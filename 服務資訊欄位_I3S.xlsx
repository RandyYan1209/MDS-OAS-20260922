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SI\MDS (20260212)\資料check\(20260806)check來源資料\20260921首次上架處理\多維度\"/>
    </mc:Choice>
  </mc:AlternateContent>
  <xr:revisionPtr revIDLastSave="0" documentId="13_ncr:1_{EDFA3B44-5FFC-4D4E-857C-5F1317A22FC4}" xr6:coauthVersionLast="47" xr6:coauthVersionMax="47" xr10:uidLastSave="{00000000-0000-0000-0000-000000000000}"/>
  <bookViews>
    <workbookView xWindow="-110" yWindow="-110" windowWidth="19420" windowHeight="10300" tabRatio="615" xr2:uid="{CD765959-A2C6-43CB-BFD6-3516485E54BA}"/>
  </bookViews>
  <sheets>
    <sheet name="子系統填寫_空白" sheetId="7" r:id="rId1"/>
    <sheet name="資拓給的檔案參考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7" l="1"/>
  <c r="R3" i="7"/>
  <c r="U3" i="7"/>
  <c r="AE3" i="7"/>
  <c r="P4" i="7"/>
  <c r="R4" i="7"/>
  <c r="U4" i="7"/>
  <c r="AE4" i="7"/>
  <c r="P5" i="7"/>
  <c r="R5" i="7"/>
  <c r="U5" i="7"/>
  <c r="AE5" i="7"/>
  <c r="P6" i="7"/>
  <c r="R6" i="7"/>
  <c r="U6" i="7"/>
  <c r="AE6" i="7"/>
</calcChain>
</file>

<file path=xl/sharedStrings.xml><?xml version="1.0" encoding="utf-8"?>
<sst xmlns="http://schemas.openxmlformats.org/spreadsheetml/2006/main" count="152" uniqueCount="91">
  <si>
    <t>唯一識別碼</t>
  </si>
  <si>
    <t>V</t>
    <phoneticPr fontId="2" type="noConversion"/>
  </si>
  <si>
    <t>來源系統</t>
    <phoneticPr fontId="2" type="noConversion"/>
  </si>
  <si>
    <t>OAS欄位說明.pptx</t>
    <phoneticPr fontId="2" type="noConversion"/>
  </si>
  <si>
    <t>OAS欄位說明手冊_東霖調整.docx</t>
  </si>
  <si>
    <t>服務資訊欄位_0508-1.xlsx</t>
  </si>
  <si>
    <t>API是否區分縣市.pptx</t>
  </si>
  <si>
    <t>OAS範例檔</t>
    <phoneticPr fontId="2" type="noConversion"/>
  </si>
  <si>
    <t>N:\23220嘉頴\服務說明資訊(含OAS文本)\資拓給的資料</t>
  </si>
  <si>
    <t>檔案路徑</t>
    <phoneticPr fontId="2" type="noConversion"/>
  </si>
  <si>
    <t>OAS文本版本</t>
  </si>
  <si>
    <t>3dms</t>
  </si>
  <si>
    <t>建物模型</t>
  </si>
  <si>
    <t>道路_原始成果版</t>
  </si>
  <si>
    <t>道路_地形貼合版</t>
  </si>
  <si>
    <t>3dms_i3s_v1_building</t>
  </si>
  <si>
    <t>I3S</t>
  </si>
  <si>
    <t>i3s</t>
  </si>
  <si>
    <t>https://i3s.nlsc.gov.tw/building/i3s/SceneServer/layers/{建物服務代碼}</t>
  </si>
  <si>
    <t>3dms_i3s_v1_road</t>
  </si>
  <si>
    <t>https://i3s.nlsc.gov.tw/road/i3s/SceneServer/layers/{道路服務代碼}</t>
  </si>
  <si>
    <t>3dms_i3s_v1_road2nd</t>
  </si>
  <si>
    <t>https://i3s.nlsc.gov.tw/road2nd/i3s/SceneServer/layers/{道路服務代碼}</t>
  </si>
  <si>
    <t>3dms_i3s_v1_PBSService</t>
  </si>
  <si>
    <t>三維建物單棟或區域式服務發布I3S</t>
  </si>
  <si>
    <t>服務類別(英)</t>
    <phoneticPr fontId="2" type="noConversion"/>
  </si>
  <si>
    <t>服務類別(中)</t>
    <phoneticPr fontId="2" type="noConversion"/>
  </si>
  <si>
    <t>詮釋資料API欄位</t>
    <phoneticPr fontId="2" type="noConversion"/>
  </si>
  <si>
    <t>OAS文本欄位</t>
    <phoneticPr fontId="2" type="noConversion"/>
  </si>
  <si>
    <t>唯一識別碼2</t>
    <phoneticPr fontId="2" type="noConversion"/>
  </si>
  <si>
    <t>系統依據核定時間自動寫入</t>
    <phoneticPr fontId="2" type="noConversion"/>
  </si>
  <si>
    <t>詮釋資料API欄位(選填)</t>
    <phoneticPr fontId="2" type="noConversion"/>
  </si>
  <si>
    <t>OAS文本寫法規劃（對應Swagger Editor驗證，參考3）</t>
    <phoneticPr fontId="2" type="noConversion"/>
  </si>
  <si>
    <t>輸入參數
(資訊太多，不納入本表)</t>
    <phoneticPr fontId="2" type="noConversion"/>
  </si>
  <si>
    <t>回應資料格式
(資訊太多，不納入本表)</t>
    <phoneticPr fontId="2" type="noConversion"/>
  </si>
  <si>
    <t>回應資料Schema
(資訊太多，不納入本表)</t>
    <phoneticPr fontId="2" type="noConversion"/>
  </si>
  <si>
    <t>3.1.1</t>
    <phoneticPr fontId="2" type="noConversion"/>
  </si>
  <si>
    <t>服務關鍵字(以半形逗號分隔)</t>
    <phoneticPr fontId="2" type="noConversion"/>
  </si>
  <si>
    <t>有下拉選單</t>
  </si>
  <si>
    <t>無下拉選單</t>
  </si>
  <si>
    <t>服務描述(中)(每個唯一碼都要各自的服務描述)</t>
    <phoneticPr fontId="2" type="noConversion"/>
  </si>
  <si>
    <t>服務名稱(中)_有正規化名稱用F欄，無則用E欄，此欄已經套用公式，請勿直接修正此欄，請編輯F欄。</t>
    <phoneticPr fontId="2" type="noConversion"/>
  </si>
  <si>
    <t>OAS文本描述(中)(同一份json內容會一樣)</t>
    <phoneticPr fontId="2" type="noConversion"/>
  </si>
  <si>
    <t>服務名稱(中)</t>
    <phoneticPr fontId="2" type="noConversion"/>
  </si>
  <si>
    <t>服務版本(v[主版本號].[次版本號]，如v1.0），v小寫，英數字一律半形。)</t>
    <phoneticPr fontId="2" type="noConversion"/>
  </si>
  <si>
    <t>來源檢視確認/研擬項目</t>
    <phoneticPr fontId="2" type="noConversion"/>
  </si>
  <si>
    <t>服務資料更新頻率(每月/不定期 擇一填寫)</t>
    <phoneticPr fontId="2" type="noConversion"/>
  </si>
  <si>
    <t>OAS文本更新時間(訂閱網審核後系統自統帶入審核日期)</t>
    <phoneticPr fontId="2" type="noConversion"/>
  </si>
  <si>
    <t>OAS文本存放路徑</t>
    <phoneticPr fontId="2" type="noConversion"/>
  </si>
  <si>
    <t>OAS文本資訊位置(請給路徑，無需繳交實體json檔，訂閱網檢核通過後會改成訂閱網網域網址)</t>
    <phoneticPr fontId="2" type="noConversion"/>
  </si>
  <si>
    <t>V</t>
  </si>
  <si>
    <t>{3dbuildcode}</t>
  </si>
  <si>
    <t>{3droadcode-orig}</t>
  </si>
  <si>
    <t>{3droadcode-terfit}</t>
  </si>
  <si>
    <t>內政部國土測繪中心</t>
    <phoneticPr fontId="2" type="noConversion"/>
  </si>
  <si>
    <t>更新資料用</t>
    <phoneticPr fontId="2" type="noConversion"/>
  </si>
  <si>
    <t>服務名稱(中)_正規化</t>
    <phoneticPr fontId="2" type="noConversion"/>
  </si>
  <si>
    <t>I3S_三維建物模型_融合版及分棟版</t>
  </si>
  <si>
    <t>I3S_三維道路模型_原始成果版</t>
  </si>
  <si>
    <t>I3S_三維道路模型_地形貼合版</t>
  </si>
  <si>
    <t>URL參數英文名稱</t>
    <phoneticPr fontId="2" type="noConversion"/>
  </si>
  <si>
    <t>URL</t>
    <phoneticPr fontId="2" type="noConversion"/>
  </si>
  <si>
    <t>URL需把{}換成英文的V</t>
    <phoneticPr fontId="2" type="noConversion"/>
  </si>
  <si>
    <t>服務標準(只有OGC與非OGC，此欄已套用公式)</t>
    <phoneticPr fontId="2" type="noConversion"/>
  </si>
  <si>
    <t>提供機關(請填寫機關全名)</t>
    <phoneticPr fontId="2" type="noConversion"/>
  </si>
  <si>
    <t>圖例網址</t>
    <phoneticPr fontId="2" type="noConversion"/>
  </si>
  <si>
    <t>列舉值需要代碼中文對照(請參照AD欄及範例檔製作OAS文本)</t>
    <phoneticPr fontId="2" type="noConversion"/>
  </si>
  <si>
    <t>服務網址(A+C欄組合，請參照OAS範例檔寫法)</t>
    <phoneticPr fontId="2" type="noConversion"/>
  </si>
  <si>
    <r>
      <t xml:space="preserve">OAS文本欄位
</t>
    </r>
    <r>
      <rPr>
        <b/>
        <sz val="12"/>
        <color rgb="FFFF0000"/>
        <rFont val="微軟正黑體"/>
        <family val="2"/>
        <charset val="136"/>
      </rPr>
      <t>詮釋資料API欄位</t>
    </r>
    <phoneticPr fontId="2" type="noConversion"/>
  </si>
  <si>
    <t>{countyname_date_time_random}</t>
    <phoneticPr fontId="2" type="noConversion"/>
  </si>
  <si>
    <t>I3S_三維建物服務_指定範圍</t>
    <phoneticPr fontId="2" type="noConversion"/>
  </si>
  <si>
    <t>https://i3s.nlsc.gov.tw/building/i3s/SceneServer/layers/{3dbuildcode}</t>
    <phoneticPr fontId="2" type="noConversion"/>
  </si>
  <si>
    <t>https://i3s.nlsc.gov.tw/road/i3s/SceneServer/layers/{3droadcode-orig}</t>
    <phoneticPr fontId="2" type="noConversion"/>
  </si>
  <si>
    <t>https://i3s.nlsc.gov.tw/road2nd/i3s/SceneServer/layers/{3droadcode-terfit}</t>
    <phoneticPr fontId="2" type="noConversion"/>
  </si>
  <si>
    <t>提供國土測繪圖資三維模型I3S服務</t>
    <phoneticPr fontId="2" type="noConversion"/>
  </si>
  <si>
    <t>取得三維建物模型-融合版及分棟版</t>
    <phoneticPr fontId="2" type="noConversion"/>
  </si>
  <si>
    <t>取得三維道路模型-原始版</t>
    <phoneticPr fontId="2" type="noConversion"/>
  </si>
  <si>
    <t>取得三維道路模型-貼地版</t>
    <phoneticPr fontId="2" type="noConversion"/>
  </si>
  <si>
    <t>不定期</t>
    <phoneticPr fontId="2" type="noConversion"/>
  </si>
  <si>
    <t>3D API,三維建物,I3S</t>
    <phoneticPr fontId="2" type="noConversion"/>
  </si>
  <si>
    <t>三維建物,I3S</t>
    <phoneticPr fontId="2" type="noConversion"/>
  </si>
  <si>
    <t>三維道路,I3S</t>
    <phoneticPr fontId="2" type="noConversion"/>
  </si>
  <si>
    <t>服務圖資更新時間(yyyy-mm-dd-hh-mm-ss)</t>
    <phoneticPr fontId="2" type="noConversion"/>
  </si>
  <si>
    <t>坐標系統(OGC服務都是必填，請填EPSG:[EPSG代碼])</t>
    <phoneticPr fontId="2" type="noConversion"/>
  </si>
  <si>
    <t>取得指定範圍之三維建物模型I3S服務</t>
    <phoneticPr fontId="2" type="noConversion"/>
  </si>
  <si>
    <t>v1</t>
    <phoneticPr fontId="2" type="noConversion"/>
  </si>
  <si>
    <t>2026-06-12T00:00:00+08:00</t>
    <phoneticPr fontId="2" type="noConversion"/>
  </si>
  <si>
    <t>2026-07-21T00:00:00+08:00</t>
    <phoneticPr fontId="2" type="noConversion"/>
  </si>
  <si>
    <t>EPSG:4326</t>
    <phoneticPr fontId="2" type="noConversion"/>
  </si>
  <si>
    <t>https://i3s.nlsc.gov.tw/WebApi/PartialBuildingService/I3S_Service/i3s/rest/services/{參數1}/SceneServer/layers/0</t>
    <phoneticPr fontId="2" type="noConversion"/>
  </si>
  <si>
    <t>https://i3s.nlsc.gov.tw/WebApi/PartialBuildingService/I3S_Service/i3s/rest/services/{countyname_date_time_random}/SceneServer/layers/0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</si>
</sst>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color rgb="FFFF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一般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border diagonalUp="0" diagonalDown="1" outline="0">
        <left/>
        <right/>
        <top/>
        <bottom/>
        <diagonal style="thin">
          <color auto="1"/>
        </diagonal>
      </border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border diagonalUp="0" diagonalDown="1" outline="0">
        <left/>
        <right/>
        <top/>
        <bottom/>
        <diagonal style="thin">
          <color auto="1"/>
        </diagonal>
      </border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CA5922C-7196-4740-A0D7-C3B078516BCB}">
      <tableStyleElement type="wholeTable" dxfId="33"/>
      <tableStyleElement type="headerRow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6</xdr:row>
      <xdr:rowOff>28575</xdr:rowOff>
    </xdr:from>
    <xdr:to>
      <xdr:col>3</xdr:col>
      <xdr:colOff>1448728</xdr:colOff>
      <xdr:row>22</xdr:row>
      <xdr:rowOff>38569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9EDA090-0F9C-DDE7-38C2-5EE17B2E0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285875"/>
          <a:ext cx="6649378" cy="3362794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6</xdr:row>
      <xdr:rowOff>133350</xdr:rowOff>
    </xdr:from>
    <xdr:to>
      <xdr:col>11</xdr:col>
      <xdr:colOff>248553</xdr:colOff>
      <xdr:row>16</xdr:row>
      <xdr:rowOff>143169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F6BF58C-6379-E6E5-3423-74776B178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0" y="1390650"/>
          <a:ext cx="6468378" cy="21053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482DE-599B-46A3-BEA5-F57582974022}" name="表格1" displayName="表格1" ref="A2:AE6" totalsRowShown="0" headerRowDxfId="31" dataDxfId="30">
  <autoFilter ref="A2:AE6" xr:uid="{188482DE-599B-46A3-BEA5-F57582974022}"/>
  <sortState xmlns:xlrd2="http://schemas.microsoft.com/office/spreadsheetml/2017/richdata2" ref="A3:AE2">
    <sortCondition ref="AD2"/>
  </sortState>
  <tableColumns count="31">
    <tableColumn id="8" xr3:uid="{FE0B6FD7-C0C4-4972-BE19-C88B7964F6F8}" name="URL" dataDxfId="29"/>
    <tableColumn id="31" xr3:uid="{7774C2C0-0223-4149-8145-865C46BCAD0E}" name="URL需把{}換成英文的V" dataDxfId="28"/>
    <tableColumn id="32" xr3:uid="{E59B43EB-2381-420D-9306-C556256F8969}" name="URL參數英文名稱" dataDxfId="27"/>
    <tableColumn id="1" xr3:uid="{378C5903-E558-43FD-9528-68F056F200F9}" name="唯一識別碼" dataDxfId="26"/>
    <tableColumn id="13" xr3:uid="{809CB1DD-7326-4053-B14E-A6165632D84D}" name="服務名稱(中)" dataDxfId="25"/>
    <tableColumn id="19" xr3:uid="{9BECADE3-DF10-4B50-A333-F4F0B92CA2DA}" name="服務名稱(中)_正規化" dataDxfId="24"/>
    <tableColumn id="14" xr3:uid="{B498BAC8-CA38-477C-ADC8-36398E99669E}" name="列舉值需要代碼中文對照(請參照AD欄及範例檔製作OAS文本)" dataDxfId="23"/>
    <tableColumn id="2" xr3:uid="{8632F416-0FA8-4A1F-B97E-E24AA2672D14}" name="服務版本(v[主版本號].[次版本號]，如v1.0），v小寫，英數字一律半形。)" dataDxfId="22"/>
    <tableColumn id="20" xr3:uid="{B129AD30-406D-490A-984D-5FF54B43AAFB}" name="服務網址(A+C欄組合，請參照OAS範例檔寫法)" dataDxfId="21"/>
    <tableColumn id="21" xr3:uid="{36F7E301-26F2-4B34-95F5-C72ACEB184DC}" name="輸入參數_x000a_(資訊太多，不納入本表)" dataDxfId="20"/>
    <tableColumn id="22" xr3:uid="{9B40CFCA-B0F4-4F9E-A215-18E877A4BC16}" name="回應資料格式_x000a_(資訊太多，不納入本表)" dataDxfId="19"/>
    <tableColumn id="23" xr3:uid="{A519802B-166A-405D-A41E-B99DDD6FDFFB}" name="回應資料Schema_x000a_(資訊太多，不納入本表)" dataDxfId="18"/>
    <tableColumn id="24" xr3:uid="{B2952056-9C87-4B9C-BE62-4BAE6446BBCB}" name="OAS文本版本" dataDxfId="17"/>
    <tableColumn id="25" xr3:uid="{18F630EB-2F22-4448-96F6-C9A7253E8774}" name="服務圖資更新時間(yyyy-mm-dd-hh-mm-ss)" dataDxfId="16"/>
    <tableColumn id="5" xr3:uid="{EB802079-2C13-4D98-AE88-E821C2B78E18}" name="OAS文本描述(中)(同一份json內容會一樣)" dataDxfId="15"/>
    <tableColumn id="6" xr3:uid="{000B4FD6-7976-49E1-A48F-9B8A078B72E1}" name="服務名稱(中)_有正規化名稱用F欄，無則用E欄，此欄已經套用公式，請勿直接修正此欄，請編輯F欄。" dataDxfId="14">
      <calculatedColumnFormula>IF(LEN(TRIM(F3))&gt;0,F3,E3)</calculatedColumnFormula>
    </tableColumn>
    <tableColumn id="7" xr3:uid="{F8B87448-D0DF-46BB-A21A-817E64081EB4}" name="服務描述(中)(每個唯一碼都要各自的服務描述)" dataDxfId="13"/>
    <tableColumn id="34" xr3:uid="{B1C4758C-EF22-4064-991A-B8C2DA51796A}" name="唯一識別碼2" dataDxfId="12">
      <calculatedColumnFormula>D3</calculatedColumnFormula>
    </tableColumn>
    <tableColumn id="9" xr3:uid="{62D79814-749E-4CD8-9999-FA8C6C116409}" name="坐標系統(OGC服務都是必填，請填EPSG:[EPSG代碼])"/>
    <tableColumn id="10" xr3:uid="{C0433782-B909-4E9A-BDAA-FB2DCA69D57E}" name="圖例網址"/>
    <tableColumn id="11" xr3:uid="{6FC7AEE3-CDD4-4155-BFDD-7462BDAB1945}" name="服務標準(只有OGC與非OGC，此欄已套用公式)" dataDxfId="11">
      <calculatedColumnFormula>_xlfn.XLOOKUP(表格1[[#This Row],[服務類別(英)]],#REF!,#REF!,"")&amp;""</calculatedColumnFormula>
    </tableColumn>
    <tableColumn id="12" xr3:uid="{0EC15F22-748D-492E-B944-BCB1EBD98E1C}" name="服務類別(中)" dataDxfId="10"/>
    <tableColumn id="33" xr3:uid="{3A5B47B6-B187-4745-B49C-8D4B4CE91D9B}" name="服務類別(英)" dataDxfId="9"/>
    <tableColumn id="3" xr3:uid="{36D62178-8502-4998-BC71-D48E7E5E2A77}" name="來源系統" dataDxfId="8"/>
    <tableColumn id="16" xr3:uid="{F9E7E0F7-162B-4D83-BFBC-9C33A8FDACE1}" name="提供機關(請填寫機關全名)" dataDxfId="7"/>
    <tableColumn id="26" xr3:uid="{1D3D8A98-6493-40D1-AF29-AFC57DD95B5D}" name="服務資料更新頻率(每月/不定期 擇一填寫)" dataDxfId="6"/>
    <tableColumn id="28" xr3:uid="{85048A0A-987B-44D4-B645-D57759806ED7}" name="服務關鍵字(以半形逗號分隔)" dataDxfId="5"/>
    <tableColumn id="4" xr3:uid="{A13C1DE3-5DC6-43F3-8844-319F80703A22}" name="OAS文本資訊位置(請給路徑，無需繳交實體json檔，訂閱網檢核通過後會改成訂閱網網域網址)" dataDxfId="4"/>
    <tableColumn id="35" xr3:uid="{F831D878-3B01-4D44-9CF2-325A6B09391F}" name="OAS文本更新時間(訂閱網審核後系統自統帶入審核日期)" dataDxfId="3"/>
    <tableColumn id="36" xr3:uid="{14F08CC4-DFD4-4DAF-A7B2-828C1F7A454D}" name="OAS文本寫法規劃（對應Swagger Editor驗證，參考3）" dataDxfId="2"/>
    <tableColumn id="15" xr3:uid="{7E53E540-7BE0-4AB1-A4B1-0F43DDFF943B}" name="更新資料用" dataDxfId="1">
      <calculatedColumnFormula>_xlfn.XLOOKUP(表格1[[#This Row],[唯一識別碼]],#REF!,#REF!,"")&amp;""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9D40-D6C9-4245-8EEE-B4AE2D382747}">
  <sheetPr>
    <tabColor rgb="FFFFC000"/>
  </sheetPr>
  <dimension ref="A1:AE6"/>
  <sheetViews>
    <sheetView tabSelected="1" topLeftCell="A2" zoomScale="120" zoomScaleNormal="120" workbookViewId="0">
      <selection activeCell="A3" sqref="A3"/>
    </sheetView>
  </sheetViews>
  <sheetFormatPr defaultRowHeight="17" x14ac:dyDescent="0.4"/>
  <cols>
    <col min="1" max="1" width="81.36328125" customWidth="1"/>
    <col min="2" max="2" width="12.36328125" customWidth="1"/>
    <col min="3" max="3" width="20.7265625" customWidth="1"/>
    <col min="4" max="4" width="44.26953125" customWidth="1"/>
    <col min="5" max="5" width="37.453125" customWidth="1"/>
    <col min="6" max="6" width="55.90625" style="7" customWidth="1"/>
    <col min="7" max="7" width="13.7265625" customWidth="1"/>
    <col min="8" max="8" width="10.6328125" customWidth="1"/>
    <col min="9" max="9" width="40.6328125" customWidth="1"/>
    <col min="10" max="13" width="10.6328125" customWidth="1"/>
    <col min="14" max="14" width="29.26953125" customWidth="1"/>
    <col min="15" max="15" width="37.08984375" customWidth="1"/>
    <col min="16" max="16" width="41.453125" customWidth="1"/>
    <col min="17" max="17" width="57.36328125" customWidth="1"/>
    <col min="18" max="18" width="44.36328125" customWidth="1"/>
    <col min="19" max="19" width="16.6328125" customWidth="1"/>
    <col min="20" max="23" width="10.6328125" customWidth="1"/>
    <col min="24" max="24" width="9.6328125" customWidth="1"/>
    <col min="25" max="25" width="10.6328125" customWidth="1"/>
    <col min="26" max="26" width="10.90625" customWidth="1"/>
    <col min="27" max="27" width="18.7265625" customWidth="1"/>
    <col min="28" max="30" width="10.6328125" customWidth="1"/>
    <col min="31" max="31" width="12" hidden="1" customWidth="1"/>
  </cols>
  <sheetData>
    <row r="1" spans="1:31" s="6" customFormat="1" ht="46.5" x14ac:dyDescent="0.4">
      <c r="A1" s="1" t="s">
        <v>45</v>
      </c>
      <c r="B1" s="1" t="s">
        <v>45</v>
      </c>
      <c r="C1" s="1" t="s">
        <v>45</v>
      </c>
      <c r="D1" s="1" t="s">
        <v>28</v>
      </c>
      <c r="E1" s="1" t="s">
        <v>28</v>
      </c>
      <c r="F1" s="1" t="s">
        <v>28</v>
      </c>
      <c r="G1" s="1" t="s">
        <v>28</v>
      </c>
      <c r="H1" s="1" t="s">
        <v>28</v>
      </c>
      <c r="I1" s="1" t="s">
        <v>28</v>
      </c>
      <c r="J1" s="1" t="s">
        <v>28</v>
      </c>
      <c r="K1" s="1" t="s">
        <v>28</v>
      </c>
      <c r="L1" s="1" t="s">
        <v>28</v>
      </c>
      <c r="M1" s="1" t="s">
        <v>28</v>
      </c>
      <c r="N1" s="1" t="s">
        <v>68</v>
      </c>
      <c r="O1" s="1" t="s">
        <v>28</v>
      </c>
      <c r="P1" s="1" t="s">
        <v>28</v>
      </c>
      <c r="Q1" s="1" t="s">
        <v>28</v>
      </c>
      <c r="R1" s="1" t="s">
        <v>27</v>
      </c>
      <c r="S1" s="1" t="s">
        <v>31</v>
      </c>
      <c r="T1" s="1" t="s">
        <v>31</v>
      </c>
      <c r="U1" s="1" t="s">
        <v>31</v>
      </c>
      <c r="V1" s="1" t="s">
        <v>27</v>
      </c>
      <c r="W1" s="1" t="s">
        <v>27</v>
      </c>
      <c r="X1" s="1" t="s">
        <v>27</v>
      </c>
      <c r="Y1" s="1" t="s">
        <v>27</v>
      </c>
      <c r="Z1" s="1" t="s">
        <v>27</v>
      </c>
      <c r="AA1" s="1" t="s">
        <v>31</v>
      </c>
      <c r="AB1" s="1" t="s">
        <v>48</v>
      </c>
      <c r="AC1" s="1" t="s">
        <v>30</v>
      </c>
      <c r="AD1" s="1" t="s">
        <v>45</v>
      </c>
    </row>
    <row r="2" spans="1:31" s="2" customFormat="1" ht="176" x14ac:dyDescent="0.4">
      <c r="A2" s="3" t="s">
        <v>61</v>
      </c>
      <c r="B2" s="3" t="s">
        <v>62</v>
      </c>
      <c r="C2" s="3" t="s">
        <v>60</v>
      </c>
      <c r="D2" s="5" t="s">
        <v>0</v>
      </c>
      <c r="E2" s="3" t="s">
        <v>43</v>
      </c>
      <c r="F2" s="3" t="s">
        <v>56</v>
      </c>
      <c r="G2" s="3" t="s">
        <v>66</v>
      </c>
      <c r="H2" s="9" t="s">
        <v>44</v>
      </c>
      <c r="I2" s="3" t="s">
        <v>67</v>
      </c>
      <c r="J2" s="3" t="s">
        <v>33</v>
      </c>
      <c r="K2" s="3" t="s">
        <v>34</v>
      </c>
      <c r="L2" s="3" t="s">
        <v>35</v>
      </c>
      <c r="M2" s="5" t="s">
        <v>10</v>
      </c>
      <c r="N2" s="3" t="s">
        <v>82</v>
      </c>
      <c r="O2" s="3" t="s">
        <v>42</v>
      </c>
      <c r="P2" s="5" t="s">
        <v>41</v>
      </c>
      <c r="Q2" s="3" t="s">
        <v>40</v>
      </c>
      <c r="R2" s="14" t="s">
        <v>29</v>
      </c>
      <c r="S2" s="13" t="s">
        <v>83</v>
      </c>
      <c r="T2" s="13" t="s">
        <v>65</v>
      </c>
      <c r="U2" s="14" t="s">
        <v>63</v>
      </c>
      <c r="V2" s="5" t="s">
        <v>26</v>
      </c>
      <c r="W2" s="14" t="s">
        <v>25</v>
      </c>
      <c r="X2" s="14" t="s">
        <v>2</v>
      </c>
      <c r="Y2" s="4" t="s">
        <v>64</v>
      </c>
      <c r="Z2" s="13" t="s">
        <v>46</v>
      </c>
      <c r="AA2" s="13" t="s">
        <v>37</v>
      </c>
      <c r="AB2" s="3" t="s">
        <v>49</v>
      </c>
      <c r="AC2" s="5" t="s">
        <v>47</v>
      </c>
      <c r="AD2" s="5" t="s">
        <v>32</v>
      </c>
      <c r="AE2" s="2" t="s">
        <v>55</v>
      </c>
    </row>
    <row r="3" spans="1:31" x14ac:dyDescent="0.4">
      <c r="A3" s="2" t="s">
        <v>89</v>
      </c>
      <c r="B3" s="2" t="s">
        <v>50</v>
      </c>
      <c r="C3" s="2" t="s">
        <v>69</v>
      </c>
      <c r="D3" s="2" t="s">
        <v>23</v>
      </c>
      <c r="E3" s="2" t="s">
        <v>24</v>
      </c>
      <c r="F3" s="2" t="s">
        <v>70</v>
      </c>
      <c r="G3" s="10" t="s">
        <v>50</v>
      </c>
      <c r="H3" s="10" t="s">
        <v>85</v>
      </c>
      <c r="I3" s="8" t="s">
        <v>90</v>
      </c>
      <c r="J3" s="11"/>
      <c r="K3" s="12"/>
      <c r="L3" s="12"/>
      <c r="M3" s="8" t="s">
        <v>36</v>
      </c>
      <c r="N3" s="8" t="s">
        <v>86</v>
      </c>
      <c r="O3" s="8" t="s">
        <v>74</v>
      </c>
      <c r="P3" s="8" t="str">
        <f t="shared" ref="P3:P6" si="0">IF(LEN(TRIM(F3))&gt;0,F3,E3)</f>
        <v>I3S_三維建物服務_指定範圍</v>
      </c>
      <c r="Q3" s="8" t="s">
        <v>84</v>
      </c>
      <c r="R3" s="2" t="str">
        <f t="shared" ref="R3:R6" si="1">D3</f>
        <v>3dms_i3s_v1_PBSService</v>
      </c>
      <c r="S3" s="2" t="s">
        <v>88</v>
      </c>
      <c r="U3" t="e">
        <f>_xlfn.XLOOKUP(表格1[[#This Row],[服務類別(英)]],#REF!,#REF!,"")&amp;""</f>
        <v>#REF!</v>
      </c>
      <c r="V3" s="2" t="s">
        <v>16</v>
      </c>
      <c r="W3" s="2" t="s">
        <v>17</v>
      </c>
      <c r="X3" s="2" t="s">
        <v>11</v>
      </c>
      <c r="Y3" s="8" t="s">
        <v>54</v>
      </c>
      <c r="Z3" s="8" t="s">
        <v>78</v>
      </c>
      <c r="AA3" s="8" t="s">
        <v>79</v>
      </c>
      <c r="AB3" s="8"/>
      <c r="AC3" s="8"/>
      <c r="AD3" s="2" t="s">
        <v>39</v>
      </c>
      <c r="AE3" s="8" t="e">
        <f>_xlfn.XLOOKUP(表格1[[#This Row],[唯一識別碼]],#REF!,#REF!,"")&amp;""</f>
        <v>#REF!</v>
      </c>
    </row>
    <row r="4" spans="1:31" x14ac:dyDescent="0.4">
      <c r="A4" s="2" t="s">
        <v>18</v>
      </c>
      <c r="B4" s="2" t="s">
        <v>50</v>
      </c>
      <c r="C4" s="2" t="s">
        <v>51</v>
      </c>
      <c r="D4" s="2" t="s">
        <v>15</v>
      </c>
      <c r="E4" s="2" t="s">
        <v>12</v>
      </c>
      <c r="F4" s="2" t="s">
        <v>57</v>
      </c>
      <c r="G4" s="10" t="s">
        <v>50</v>
      </c>
      <c r="H4" s="10" t="s">
        <v>85</v>
      </c>
      <c r="I4" s="8" t="s">
        <v>71</v>
      </c>
      <c r="J4" s="11"/>
      <c r="K4" s="12"/>
      <c r="L4" s="12"/>
      <c r="M4" s="8" t="s">
        <v>36</v>
      </c>
      <c r="N4" s="8" t="s">
        <v>87</v>
      </c>
      <c r="O4" s="8" t="s">
        <v>74</v>
      </c>
      <c r="P4" s="8" t="str">
        <f t="shared" si="0"/>
        <v>I3S_三維建物模型_融合版及分棟版</v>
      </c>
      <c r="Q4" s="8" t="s">
        <v>75</v>
      </c>
      <c r="R4" s="2" t="str">
        <f t="shared" si="1"/>
        <v>3dms_i3s_v1_building</v>
      </c>
      <c r="S4" s="2" t="s">
        <v>88</v>
      </c>
      <c r="U4" t="e">
        <f>_xlfn.XLOOKUP(表格1[[#This Row],[服務類別(英)]],#REF!,#REF!,"")&amp;""</f>
        <v>#REF!</v>
      </c>
      <c r="V4" s="2" t="s">
        <v>16</v>
      </c>
      <c r="W4" s="2" t="s">
        <v>17</v>
      </c>
      <c r="X4" s="2" t="s">
        <v>11</v>
      </c>
      <c r="Y4" s="8" t="s">
        <v>54</v>
      </c>
      <c r="Z4" s="8" t="s">
        <v>78</v>
      </c>
      <c r="AA4" s="8" t="s">
        <v>80</v>
      </c>
      <c r="AB4" s="8"/>
      <c r="AC4" s="8"/>
      <c r="AD4" s="2" t="s">
        <v>38</v>
      </c>
      <c r="AE4" s="8" t="e">
        <f>_xlfn.XLOOKUP(表格1[[#This Row],[唯一識別碼]],#REF!,#REF!,"")&amp;""</f>
        <v>#REF!</v>
      </c>
    </row>
    <row r="5" spans="1:31" x14ac:dyDescent="0.4">
      <c r="A5" s="2" t="s">
        <v>20</v>
      </c>
      <c r="B5" s="2" t="s">
        <v>50</v>
      </c>
      <c r="C5" s="2" t="s">
        <v>52</v>
      </c>
      <c r="D5" s="2" t="s">
        <v>19</v>
      </c>
      <c r="E5" s="2" t="s">
        <v>13</v>
      </c>
      <c r="F5" s="2" t="s">
        <v>58</v>
      </c>
      <c r="G5" s="10" t="s">
        <v>1</v>
      </c>
      <c r="H5" s="10" t="s">
        <v>85</v>
      </c>
      <c r="I5" s="8" t="s">
        <v>72</v>
      </c>
      <c r="J5" s="11"/>
      <c r="K5" s="12"/>
      <c r="L5" s="12"/>
      <c r="M5" s="8" t="s">
        <v>36</v>
      </c>
      <c r="N5" s="8" t="s">
        <v>87</v>
      </c>
      <c r="O5" s="8" t="s">
        <v>74</v>
      </c>
      <c r="P5" s="8" t="str">
        <f t="shared" si="0"/>
        <v>I3S_三維道路模型_原始成果版</v>
      </c>
      <c r="Q5" s="8" t="s">
        <v>76</v>
      </c>
      <c r="R5" s="2" t="str">
        <f t="shared" si="1"/>
        <v>3dms_i3s_v1_road</v>
      </c>
      <c r="S5" s="2" t="s">
        <v>88</v>
      </c>
      <c r="U5" t="e">
        <f>_xlfn.XLOOKUP(表格1[[#This Row],[服務類別(英)]],#REF!,#REF!,"")&amp;""</f>
        <v>#REF!</v>
      </c>
      <c r="V5" s="2" t="s">
        <v>16</v>
      </c>
      <c r="W5" s="2" t="s">
        <v>17</v>
      </c>
      <c r="X5" s="2" t="s">
        <v>11</v>
      </c>
      <c r="Y5" s="8" t="s">
        <v>54</v>
      </c>
      <c r="Z5" s="8" t="s">
        <v>78</v>
      </c>
      <c r="AA5" s="8" t="s">
        <v>81</v>
      </c>
      <c r="AB5" s="8"/>
      <c r="AC5" s="8"/>
      <c r="AD5" s="2" t="s">
        <v>38</v>
      </c>
      <c r="AE5" s="8" t="e">
        <f>_xlfn.XLOOKUP(表格1[[#This Row],[唯一識別碼]],#REF!,#REF!,"")&amp;""</f>
        <v>#REF!</v>
      </c>
    </row>
    <row r="6" spans="1:31" x14ac:dyDescent="0.4">
      <c r="A6" s="2" t="s">
        <v>22</v>
      </c>
      <c r="B6" s="2" t="s">
        <v>50</v>
      </c>
      <c r="C6" s="2" t="s">
        <v>53</v>
      </c>
      <c r="D6" s="2" t="s">
        <v>21</v>
      </c>
      <c r="E6" s="2" t="s">
        <v>14</v>
      </c>
      <c r="F6" s="2" t="s">
        <v>59</v>
      </c>
      <c r="G6" s="10" t="s">
        <v>50</v>
      </c>
      <c r="H6" s="10" t="s">
        <v>85</v>
      </c>
      <c r="I6" s="8" t="s">
        <v>73</v>
      </c>
      <c r="J6" s="11"/>
      <c r="K6" s="12"/>
      <c r="L6" s="12"/>
      <c r="M6" s="8" t="s">
        <v>36</v>
      </c>
      <c r="N6" s="8" t="s">
        <v>87</v>
      </c>
      <c r="O6" s="8" t="s">
        <v>74</v>
      </c>
      <c r="P6" s="8" t="str">
        <f t="shared" si="0"/>
        <v>I3S_三維道路模型_地形貼合版</v>
      </c>
      <c r="Q6" s="8" t="s">
        <v>77</v>
      </c>
      <c r="R6" s="2" t="str">
        <f t="shared" si="1"/>
        <v>3dms_i3s_v1_road2nd</v>
      </c>
      <c r="S6" s="2" t="s">
        <v>88</v>
      </c>
      <c r="U6" t="e">
        <f>_xlfn.XLOOKUP(表格1[[#This Row],[服務類別(英)]],#REF!,#REF!,"")&amp;""</f>
        <v>#REF!</v>
      </c>
      <c r="V6" s="2" t="s">
        <v>16</v>
      </c>
      <c r="W6" s="2" t="s">
        <v>17</v>
      </c>
      <c r="X6" s="2" t="s">
        <v>11</v>
      </c>
      <c r="Y6" s="8" t="s">
        <v>54</v>
      </c>
      <c r="Z6" s="8" t="s">
        <v>78</v>
      </c>
      <c r="AA6" s="8" t="s">
        <v>81</v>
      </c>
      <c r="AB6" s="8"/>
      <c r="AC6" s="8"/>
      <c r="AD6" s="2" t="s">
        <v>38</v>
      </c>
      <c r="AE6" s="8" t="e">
        <f>_xlfn.XLOOKUP(表格1[[#This Row],[唯一識別碼]],#REF!,#REF!,"")&amp;""</f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F52A-D7EF-4ECE-87A1-56A9D0100C1A}">
  <sheetPr>
    <tabColor rgb="FFFFC000"/>
  </sheetPr>
  <dimension ref="A1:F40"/>
  <sheetViews>
    <sheetView workbookViewId="0">
      <selection activeCell="B30" sqref="B30"/>
    </sheetView>
  </sheetViews>
  <sheetFormatPr defaultRowHeight="17" x14ac:dyDescent="0.4"/>
  <cols>
    <col min="1" max="1" width="9.7265625" bestFit="1" customWidth="1"/>
    <col min="2" max="2" width="38.7265625" customWidth="1"/>
    <col min="3" max="3" width="22.7265625" bestFit="1" customWidth="1"/>
    <col min="4" max="4" width="22.7265625" customWidth="1"/>
    <col min="5" max="5" width="11.90625" bestFit="1" customWidth="1"/>
    <col min="6" max="6" width="27.7265625" customWidth="1"/>
  </cols>
  <sheetData>
    <row r="1" spans="1:6" x14ac:dyDescent="0.4">
      <c r="A1" s="2" t="s">
        <v>9</v>
      </c>
      <c r="B1" s="2" t="s">
        <v>8</v>
      </c>
      <c r="C1" s="2"/>
      <c r="D1" s="2"/>
    </row>
    <row r="2" spans="1:6" x14ac:dyDescent="0.4">
      <c r="A2" s="2"/>
      <c r="B2" s="2" t="s">
        <v>3</v>
      </c>
      <c r="C2" s="2"/>
      <c r="D2" s="2"/>
    </row>
    <row r="3" spans="1:6" x14ac:dyDescent="0.4">
      <c r="A3" s="2"/>
      <c r="B3" s="2" t="s">
        <v>4</v>
      </c>
      <c r="C3" s="2"/>
      <c r="D3" s="2"/>
    </row>
    <row r="4" spans="1:6" x14ac:dyDescent="0.4">
      <c r="A4" s="2"/>
      <c r="B4" s="2" t="s">
        <v>5</v>
      </c>
      <c r="C4" s="2"/>
      <c r="D4" s="2"/>
    </row>
    <row r="5" spans="1:6" x14ac:dyDescent="0.4">
      <c r="A5" s="2"/>
      <c r="B5" s="2" t="s">
        <v>7</v>
      </c>
      <c r="C5" s="2"/>
      <c r="D5" s="2"/>
      <c r="F5" s="2" t="s">
        <v>6</v>
      </c>
    </row>
    <row r="6" spans="1:6" x14ac:dyDescent="0.4">
      <c r="A6" s="2"/>
      <c r="B6" s="2"/>
      <c r="C6" s="2"/>
      <c r="D6" s="2"/>
    </row>
    <row r="30" spans="2:6" x14ac:dyDescent="0.4">
      <c r="B30" s="2"/>
      <c r="C30" s="2"/>
      <c r="E30" s="2"/>
      <c r="F30" s="2"/>
    </row>
    <row r="31" spans="2:6" x14ac:dyDescent="0.4">
      <c r="B31" s="2"/>
      <c r="C31" s="2"/>
      <c r="E31" s="2"/>
      <c r="F31" s="2"/>
    </row>
    <row r="32" spans="2:6" x14ac:dyDescent="0.4">
      <c r="B32" s="2"/>
      <c r="C32" s="2"/>
      <c r="E32" s="2"/>
      <c r="F32" s="2"/>
    </row>
    <row r="33" spans="2:6" x14ac:dyDescent="0.4">
      <c r="B33" s="2"/>
      <c r="C33" s="2"/>
      <c r="E33" s="2"/>
      <c r="F33" s="2"/>
    </row>
    <row r="34" spans="2:6" x14ac:dyDescent="0.4">
      <c r="B34" s="2"/>
      <c r="C34" s="2"/>
      <c r="E34" s="2"/>
      <c r="F34" s="2"/>
    </row>
    <row r="35" spans="2:6" x14ac:dyDescent="0.4">
      <c r="B35" s="2"/>
      <c r="C35" s="2"/>
      <c r="E35" s="2"/>
      <c r="F35" s="2"/>
    </row>
    <row r="36" spans="2:6" x14ac:dyDescent="0.4">
      <c r="B36" s="2"/>
      <c r="C36" s="2"/>
      <c r="E36" s="2"/>
      <c r="F36" s="2"/>
    </row>
    <row r="37" spans="2:6" x14ac:dyDescent="0.4">
      <c r="B37" s="2"/>
      <c r="C37" s="2"/>
      <c r="E37" s="2"/>
      <c r="F37" s="2"/>
    </row>
    <row r="38" spans="2:6" x14ac:dyDescent="0.4">
      <c r="B38" s="2"/>
      <c r="C38" s="2"/>
      <c r="E38" s="2"/>
      <c r="F38" s="2"/>
    </row>
    <row r="39" spans="2:6" x14ac:dyDescent="0.4">
      <c r="B39" s="2"/>
      <c r="C39" s="2"/>
      <c r="E39" s="2"/>
      <c r="F39" s="2"/>
    </row>
    <row r="40" spans="2:6" x14ac:dyDescent="0.4">
      <c r="B40" s="2"/>
      <c r="C40" s="2"/>
      <c r="E40" s="2"/>
      <c r="F40" s="2"/>
    </row>
  </sheetData>
  <phoneticPr fontId="2" type="noConversion"/>
  <conditionalFormatting sqref="B30:C40">
    <cfRule type="duplicateValues" dxfId="0" priority="3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子系統填寫_空白</vt:lpstr>
      <vt:lpstr>資拓給的檔案參考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劉嘉頴</dc:creator>
  <cp:lastModifiedBy>顏吉男(Randy Yen)</cp:lastModifiedBy>
  <cp:lastPrinted>2026-06-08T01:50:21Z</cp:lastPrinted>
  <dcterms:created xsi:type="dcterms:W3CDTF">2026-04-29T05:46:11Z</dcterms:created>
  <dcterms:modified xsi:type="dcterms:W3CDTF">2026-09-23T03:19:58Z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58ace15f-bd12-4a5f-a729-ad39707e1d17</vt:lpwstr>
  </property>
  <property fmtid="{D5CDD505-2E9C-101B-9397-08002B2CF9AE}" pid="3" name="MSIP_Label_01e43920-ae8e-42a0-9a5c-464554aa03b2_Enabled">
    <vt:lpwstr>true</vt:lpwstr>
  </property>
  <property fmtid="{D5CDD505-2E9C-101B-9397-08002B2CF9AE}" pid="4" name="MSIP_Label_01e43920-ae8e-42a0-9a5c-464554aa03b2_SetDate">
    <vt:lpwstr>2026-05-06T06:54:20Z</vt:lpwstr>
  </property>
  <property fmtid="{D5CDD505-2E9C-101B-9397-08002B2CF9AE}" pid="5" name="MSIP_Label_01e43920-ae8e-42a0-9a5c-464554aa03b2_Method">
    <vt:lpwstr>Standard</vt:lpwstr>
  </property>
  <property fmtid="{D5CDD505-2E9C-101B-9397-08002B2CF9AE}" pid="6" name="MSIP_Label_01e43920-ae8e-42a0-9a5c-464554aa03b2_Name">
    <vt:lpwstr>IISIGroup - 普通文件</vt:lpwstr>
  </property>
  <property fmtid="{D5CDD505-2E9C-101B-9397-08002B2CF9AE}" pid="7" name="MSIP_Label_01e43920-ae8e-42a0-9a5c-464554aa03b2_SiteId">
    <vt:lpwstr>54aa2fea-ecb3-4c71-80b3-de9a356e77c1</vt:lpwstr>
  </property>
  <property fmtid="{D5CDD505-2E9C-101B-9397-08002B2CF9AE}" pid="8" name="MSIP_Label_01e43920-ae8e-42a0-9a5c-464554aa03b2_ActionId">
    <vt:lpwstr>5f182e48-678a-4fca-be41-1823fcdde30b</vt:lpwstr>
  </property>
  <property fmtid="{D5CDD505-2E9C-101B-9397-08002B2CF9AE}" pid="9" name="MSIP_Label_01e43920-ae8e-42a0-9a5c-464554aa03b2_ContentBits">
    <vt:lpwstr>0</vt:lpwstr>
  </property>
  <property fmtid="{D5CDD505-2E9C-101B-9397-08002B2CF9AE}" pid="10" name="MSIP_Label_01e43920-ae8e-42a0-9a5c-464554aa03b2_Tag">
    <vt:lpwstr>10, 3, 0, 1</vt:lpwstr>
  </property>
</Properties>
</file>