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D:\IISI\MDS (20260212)\資料check\(20260806)check來源資料\20260921首次上架處理\圖資服務雲OAS文本_20260918\圖資服務雲OAS文本\"/>
    </mc:Choice>
  </mc:AlternateContent>
  <xr:revisionPtr revIDLastSave="0" documentId="13_ncr:1_{78933E52-7DD9-4A21-BC0C-D29D76283E33}" xr6:coauthVersionLast="47" xr6:coauthVersionMax="47" xr10:uidLastSave="{00000000-0000-0000-0000-000000000000}"/>
  <bookViews>
    <workbookView xWindow="-110" yWindow="-110" windowWidth="19420" windowHeight="10300" tabRatio="500" activeTab="1" xr2:uid="{00000000-000D-0000-FFFF-FFFF00000000}"/>
  </bookViews>
  <sheets>
    <sheet name="欄位及範例_0715" sheetId="1" r:id="rId1"/>
    <sheet name="子系統填寫_空白" sheetId="2" r:id="rId2"/>
    <sheet name="欄位及範例" sheetId="3" r:id="rId3"/>
    <sheet name="參考0_網路服務資訊上架規劃" sheetId="4" r:id="rId4"/>
    <sheet name="服務類別" sheetId="5" r:id="rId5"/>
    <sheet name="參考1_回傳schem資訊及相關內容" sheetId="6" r:id="rId6"/>
    <sheet name="參考2_服務標準對照" sheetId="7" r:id="rId7"/>
    <sheet name="參考3_Swagger Editor驗證說明" sheetId="8" r:id="rId8"/>
    <sheet name="工作表2" sheetId="9" r:id="rId9"/>
    <sheet name="API清冊0707" sheetId="10" r:id="rId10"/>
    <sheet name="服務資訊欄位_0609版" sheetId="11" r:id="rId11"/>
    <sheet name="資拓給的檔案參考" sheetId="12" state="hidden" r:id="rId12"/>
  </sheets>
  <externalReferences>
    <externalReference r:id="rId13"/>
  </externalReferences>
  <calcPr calcId="191029"/>
  <pivotCaches>
    <pivotCache cacheId="7" r:id="rId14"/>
    <pivotCache cacheId="8" r:id="rId1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1066" i="2" l="1"/>
  <c r="U3"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U71" i="2"/>
  <c r="U72" i="2"/>
  <c r="U73" i="2"/>
  <c r="U74" i="2"/>
  <c r="U75" i="2"/>
  <c r="U76" i="2"/>
  <c r="U77" i="2"/>
  <c r="U78" i="2"/>
  <c r="U79" i="2"/>
  <c r="U80" i="2"/>
  <c r="U81" i="2"/>
  <c r="U82" i="2"/>
  <c r="U83" i="2"/>
  <c r="U84" i="2"/>
  <c r="U85" i="2"/>
  <c r="U86" i="2"/>
  <c r="U87" i="2"/>
  <c r="U88" i="2"/>
  <c r="U89" i="2"/>
  <c r="U90" i="2"/>
  <c r="U91" i="2"/>
  <c r="U92" i="2"/>
  <c r="U93" i="2"/>
  <c r="U94" i="2"/>
  <c r="U95" i="2"/>
  <c r="U96" i="2"/>
  <c r="U97" i="2"/>
  <c r="U98" i="2"/>
  <c r="U99" i="2"/>
  <c r="U100" i="2"/>
  <c r="U101" i="2"/>
  <c r="U102" i="2"/>
  <c r="U103" i="2"/>
  <c r="U104" i="2"/>
  <c r="U105" i="2"/>
  <c r="U106" i="2"/>
  <c r="U107" i="2"/>
  <c r="U108" i="2"/>
  <c r="U109" i="2"/>
  <c r="U110" i="2"/>
  <c r="U111" i="2"/>
  <c r="U112" i="2"/>
  <c r="U113" i="2"/>
  <c r="U114" i="2"/>
  <c r="U115" i="2"/>
  <c r="U116" i="2"/>
  <c r="U117" i="2"/>
  <c r="U118" i="2"/>
  <c r="U119" i="2"/>
  <c r="U120" i="2"/>
  <c r="U121" i="2"/>
  <c r="U122" i="2"/>
  <c r="U123" i="2"/>
  <c r="U124" i="2"/>
  <c r="U125" i="2"/>
  <c r="U126" i="2"/>
  <c r="U127" i="2"/>
  <c r="U128" i="2"/>
  <c r="U129" i="2"/>
  <c r="U130" i="2"/>
  <c r="U131" i="2"/>
  <c r="U132" i="2"/>
  <c r="U133" i="2"/>
  <c r="U134" i="2"/>
  <c r="U135" i="2"/>
  <c r="U136" i="2"/>
  <c r="U137" i="2"/>
  <c r="U138" i="2"/>
  <c r="U139" i="2"/>
  <c r="U140" i="2"/>
  <c r="U141" i="2"/>
  <c r="U142" i="2"/>
  <c r="U143" i="2"/>
  <c r="U144" i="2"/>
  <c r="U145" i="2"/>
  <c r="U146" i="2"/>
  <c r="U147" i="2"/>
  <c r="U148" i="2"/>
  <c r="U149" i="2"/>
  <c r="U150" i="2"/>
  <c r="U151" i="2"/>
  <c r="U152" i="2"/>
  <c r="U153" i="2"/>
  <c r="U154" i="2"/>
  <c r="U155" i="2"/>
  <c r="U156" i="2"/>
  <c r="U157" i="2"/>
  <c r="U158" i="2"/>
  <c r="U159" i="2"/>
  <c r="U160" i="2"/>
  <c r="U161" i="2"/>
  <c r="U162" i="2"/>
  <c r="U163" i="2"/>
  <c r="U164" i="2"/>
  <c r="U165" i="2"/>
  <c r="U166" i="2"/>
  <c r="U167" i="2"/>
  <c r="U168" i="2"/>
  <c r="U169" i="2"/>
  <c r="U170" i="2"/>
  <c r="U171" i="2"/>
  <c r="U172" i="2"/>
  <c r="U173" i="2"/>
  <c r="U174" i="2"/>
  <c r="U175" i="2"/>
  <c r="U176" i="2"/>
  <c r="U177" i="2"/>
  <c r="U178" i="2"/>
  <c r="U179" i="2"/>
  <c r="U180" i="2"/>
  <c r="U181" i="2"/>
  <c r="U182" i="2"/>
  <c r="U183" i="2"/>
  <c r="U184" i="2"/>
  <c r="U185" i="2"/>
  <c r="U186" i="2"/>
  <c r="U187" i="2"/>
  <c r="U188" i="2"/>
  <c r="U189" i="2"/>
  <c r="U190" i="2"/>
  <c r="U191" i="2"/>
  <c r="U192" i="2"/>
  <c r="U193" i="2"/>
  <c r="U194" i="2"/>
  <c r="U195" i="2"/>
  <c r="U196" i="2"/>
  <c r="U197" i="2"/>
  <c r="U198" i="2"/>
  <c r="U199" i="2"/>
  <c r="U200" i="2"/>
  <c r="U201" i="2"/>
  <c r="U202" i="2"/>
  <c r="U203" i="2"/>
  <c r="U204" i="2"/>
  <c r="U205" i="2"/>
  <c r="U206" i="2"/>
  <c r="U207" i="2"/>
  <c r="U208" i="2"/>
  <c r="U209" i="2"/>
  <c r="U210" i="2"/>
  <c r="U211" i="2"/>
  <c r="U212" i="2"/>
  <c r="U213" i="2"/>
  <c r="U214" i="2"/>
  <c r="U215" i="2"/>
  <c r="U216" i="2"/>
  <c r="U217" i="2"/>
  <c r="U218" i="2"/>
  <c r="U219" i="2"/>
  <c r="U220" i="2"/>
  <c r="U221" i="2"/>
  <c r="U222" i="2"/>
  <c r="U223" i="2"/>
  <c r="U224" i="2"/>
  <c r="U225" i="2"/>
  <c r="U226" i="2"/>
  <c r="U227" i="2"/>
  <c r="U228" i="2"/>
  <c r="U229" i="2"/>
  <c r="U230" i="2"/>
  <c r="U231" i="2"/>
  <c r="U232" i="2"/>
  <c r="U233" i="2"/>
  <c r="U234" i="2"/>
  <c r="U235" i="2"/>
  <c r="U236" i="2"/>
  <c r="U237" i="2"/>
  <c r="U238" i="2"/>
  <c r="U239" i="2"/>
  <c r="U240" i="2"/>
  <c r="U241" i="2"/>
  <c r="U242" i="2"/>
  <c r="U243" i="2"/>
  <c r="U244" i="2"/>
  <c r="U245" i="2"/>
  <c r="U246" i="2"/>
  <c r="U247" i="2"/>
  <c r="U248" i="2"/>
  <c r="U249" i="2"/>
  <c r="U250" i="2"/>
  <c r="U251" i="2"/>
  <c r="U252" i="2"/>
  <c r="U253" i="2"/>
  <c r="U254" i="2"/>
  <c r="U255" i="2"/>
  <c r="U256" i="2"/>
  <c r="U257" i="2"/>
  <c r="U258" i="2"/>
  <c r="U259" i="2"/>
  <c r="U260" i="2"/>
  <c r="U261" i="2"/>
  <c r="U262" i="2"/>
  <c r="U263" i="2"/>
  <c r="U264" i="2"/>
  <c r="U265" i="2"/>
  <c r="U266" i="2"/>
  <c r="U267" i="2"/>
  <c r="U268" i="2"/>
  <c r="U269" i="2"/>
  <c r="U270" i="2"/>
  <c r="U271" i="2"/>
  <c r="U272" i="2"/>
  <c r="U273" i="2"/>
  <c r="U274" i="2"/>
  <c r="U275" i="2"/>
  <c r="U276" i="2"/>
  <c r="U277" i="2"/>
  <c r="U278" i="2"/>
  <c r="U279" i="2"/>
  <c r="U280" i="2"/>
  <c r="U281" i="2"/>
  <c r="U282" i="2"/>
  <c r="U283" i="2"/>
  <c r="U284" i="2"/>
  <c r="U285" i="2"/>
  <c r="U286" i="2"/>
  <c r="U287" i="2"/>
  <c r="U288" i="2"/>
  <c r="U289" i="2"/>
  <c r="U290" i="2"/>
  <c r="U291" i="2"/>
  <c r="U292" i="2"/>
  <c r="U293" i="2"/>
  <c r="U294" i="2"/>
  <c r="U295" i="2"/>
  <c r="U296" i="2"/>
  <c r="U297" i="2"/>
  <c r="U298" i="2"/>
  <c r="U299" i="2"/>
  <c r="U300" i="2"/>
  <c r="U301" i="2"/>
  <c r="U302" i="2"/>
  <c r="U303" i="2"/>
  <c r="U304" i="2"/>
  <c r="U305" i="2"/>
  <c r="U306" i="2"/>
  <c r="U307" i="2"/>
  <c r="U308" i="2"/>
  <c r="U309" i="2"/>
  <c r="U310" i="2"/>
  <c r="U311" i="2"/>
  <c r="U312" i="2"/>
  <c r="U313" i="2"/>
  <c r="U314" i="2"/>
  <c r="U315" i="2"/>
  <c r="U316" i="2"/>
  <c r="U317" i="2"/>
  <c r="U318" i="2"/>
  <c r="U319" i="2"/>
  <c r="U320" i="2"/>
  <c r="U321" i="2"/>
  <c r="U322" i="2"/>
  <c r="U323" i="2"/>
  <c r="U324" i="2"/>
  <c r="U325" i="2"/>
  <c r="U326" i="2"/>
  <c r="U327" i="2"/>
  <c r="U328" i="2"/>
  <c r="U329" i="2"/>
  <c r="U330" i="2"/>
  <c r="U331" i="2"/>
  <c r="U332" i="2"/>
  <c r="U333" i="2"/>
  <c r="U334" i="2"/>
  <c r="U335" i="2"/>
  <c r="U336" i="2"/>
  <c r="U337" i="2"/>
  <c r="U338" i="2"/>
  <c r="U339" i="2"/>
  <c r="U340" i="2"/>
  <c r="U341" i="2"/>
  <c r="U342" i="2"/>
  <c r="U343" i="2"/>
  <c r="U344" i="2"/>
  <c r="U345" i="2"/>
  <c r="U346" i="2"/>
  <c r="U347" i="2"/>
  <c r="U348" i="2"/>
  <c r="U349" i="2"/>
  <c r="U350" i="2"/>
  <c r="U351" i="2"/>
  <c r="U352" i="2"/>
  <c r="U353" i="2"/>
  <c r="U354" i="2"/>
  <c r="U355" i="2"/>
  <c r="U356" i="2"/>
  <c r="U357" i="2"/>
  <c r="U358" i="2"/>
  <c r="U359" i="2"/>
  <c r="U360" i="2"/>
  <c r="U361" i="2"/>
  <c r="U362" i="2"/>
  <c r="U363" i="2"/>
  <c r="U364" i="2"/>
  <c r="U365" i="2"/>
  <c r="U366" i="2"/>
  <c r="U367" i="2"/>
  <c r="U368" i="2"/>
  <c r="U369" i="2"/>
  <c r="U370" i="2"/>
  <c r="U371" i="2"/>
  <c r="U372" i="2"/>
  <c r="U373" i="2"/>
  <c r="U374" i="2"/>
  <c r="U375" i="2"/>
  <c r="U376" i="2"/>
  <c r="U377" i="2"/>
  <c r="U378" i="2"/>
  <c r="U379" i="2"/>
  <c r="U380" i="2"/>
  <c r="U381" i="2"/>
  <c r="U382" i="2"/>
  <c r="U383" i="2"/>
  <c r="U384" i="2"/>
  <c r="U385" i="2"/>
  <c r="U386" i="2"/>
  <c r="U387" i="2"/>
  <c r="U388" i="2"/>
  <c r="U389" i="2"/>
  <c r="U390" i="2"/>
  <c r="U391" i="2"/>
  <c r="U392" i="2"/>
  <c r="U393" i="2"/>
  <c r="U394" i="2"/>
  <c r="U395" i="2"/>
  <c r="U396" i="2"/>
  <c r="U397" i="2"/>
  <c r="U398" i="2"/>
  <c r="U399" i="2"/>
  <c r="U400" i="2"/>
  <c r="U401" i="2"/>
  <c r="U402" i="2"/>
  <c r="U403" i="2"/>
  <c r="U404" i="2"/>
  <c r="U405" i="2"/>
  <c r="U406" i="2"/>
  <c r="U407" i="2"/>
  <c r="U408" i="2"/>
  <c r="U409" i="2"/>
  <c r="U410" i="2"/>
  <c r="U411" i="2"/>
  <c r="U412" i="2"/>
  <c r="U413" i="2"/>
  <c r="U414" i="2"/>
  <c r="U415" i="2"/>
  <c r="U416" i="2"/>
  <c r="U417" i="2"/>
  <c r="U418" i="2"/>
  <c r="U419" i="2"/>
  <c r="U420" i="2"/>
  <c r="U421" i="2"/>
  <c r="U422" i="2"/>
  <c r="U423" i="2"/>
  <c r="U424" i="2"/>
  <c r="U425" i="2"/>
  <c r="U426" i="2"/>
  <c r="U427" i="2"/>
  <c r="U428" i="2"/>
  <c r="U429" i="2"/>
  <c r="U430" i="2"/>
  <c r="U431" i="2"/>
  <c r="U432" i="2"/>
  <c r="U433" i="2"/>
  <c r="U434" i="2"/>
  <c r="U435" i="2"/>
  <c r="U436" i="2"/>
  <c r="U437" i="2"/>
  <c r="U438" i="2"/>
  <c r="U439" i="2"/>
  <c r="U440" i="2"/>
  <c r="U441" i="2"/>
  <c r="U442" i="2"/>
  <c r="U443" i="2"/>
  <c r="U444" i="2"/>
  <c r="U445" i="2"/>
  <c r="U446" i="2"/>
  <c r="U447" i="2"/>
  <c r="U448" i="2"/>
  <c r="U449" i="2"/>
  <c r="U450" i="2"/>
  <c r="U451" i="2"/>
  <c r="U452" i="2"/>
  <c r="U453" i="2"/>
  <c r="U454" i="2"/>
  <c r="U455" i="2"/>
  <c r="U456" i="2"/>
  <c r="U457" i="2"/>
  <c r="U458" i="2"/>
  <c r="U459" i="2"/>
  <c r="U460" i="2"/>
  <c r="U461" i="2"/>
  <c r="U462" i="2"/>
  <c r="U463" i="2"/>
  <c r="U464" i="2"/>
  <c r="U465" i="2"/>
  <c r="U466" i="2"/>
  <c r="U467" i="2"/>
  <c r="U468" i="2"/>
  <c r="U469" i="2"/>
  <c r="U470" i="2"/>
  <c r="U471" i="2"/>
  <c r="U472" i="2"/>
  <c r="U473" i="2"/>
  <c r="U474" i="2"/>
  <c r="U475" i="2"/>
  <c r="U476" i="2"/>
  <c r="U477" i="2"/>
  <c r="U478" i="2"/>
  <c r="U479" i="2"/>
  <c r="U480" i="2"/>
  <c r="U481" i="2"/>
  <c r="U482" i="2"/>
  <c r="U483" i="2"/>
  <c r="U484" i="2"/>
  <c r="U485" i="2"/>
  <c r="U486" i="2"/>
  <c r="U487" i="2"/>
  <c r="U488" i="2"/>
  <c r="U489" i="2"/>
  <c r="U490" i="2"/>
  <c r="U491" i="2"/>
  <c r="U492" i="2"/>
  <c r="U493" i="2"/>
  <c r="U494" i="2"/>
  <c r="U495" i="2"/>
  <c r="U496" i="2"/>
  <c r="U497" i="2"/>
  <c r="U498" i="2"/>
  <c r="U499" i="2"/>
  <c r="U500" i="2"/>
  <c r="U501" i="2"/>
  <c r="U502" i="2"/>
  <c r="U503" i="2"/>
  <c r="U504" i="2"/>
  <c r="U505" i="2"/>
  <c r="U506" i="2"/>
  <c r="U507" i="2"/>
  <c r="U508" i="2"/>
  <c r="U509" i="2"/>
  <c r="U510" i="2"/>
  <c r="U511" i="2"/>
  <c r="U512" i="2"/>
  <c r="U513" i="2"/>
  <c r="U514" i="2"/>
  <c r="U515" i="2"/>
  <c r="U516" i="2"/>
  <c r="U517" i="2"/>
  <c r="U518" i="2"/>
  <c r="U519" i="2"/>
  <c r="U520" i="2"/>
  <c r="U521" i="2"/>
  <c r="U522" i="2"/>
  <c r="U523" i="2"/>
  <c r="U524" i="2"/>
  <c r="U525" i="2"/>
  <c r="U526" i="2"/>
  <c r="U527" i="2"/>
  <c r="U528" i="2"/>
  <c r="U529" i="2"/>
  <c r="U530" i="2"/>
  <c r="U531" i="2"/>
  <c r="U532" i="2"/>
  <c r="U533" i="2"/>
  <c r="U534" i="2"/>
  <c r="U535" i="2"/>
  <c r="U536" i="2"/>
  <c r="U537" i="2"/>
  <c r="U538" i="2"/>
  <c r="U539" i="2"/>
  <c r="U540" i="2"/>
  <c r="U541" i="2"/>
  <c r="U542" i="2"/>
  <c r="U543" i="2"/>
  <c r="U544" i="2"/>
  <c r="U545" i="2"/>
  <c r="U546" i="2"/>
  <c r="U547" i="2"/>
  <c r="U548" i="2"/>
  <c r="U549" i="2"/>
  <c r="U550" i="2"/>
  <c r="U551" i="2"/>
  <c r="U552" i="2"/>
  <c r="U553" i="2"/>
  <c r="U554" i="2"/>
  <c r="U555" i="2"/>
  <c r="U556" i="2"/>
  <c r="U557" i="2"/>
  <c r="U558" i="2"/>
  <c r="U559" i="2"/>
  <c r="U560" i="2"/>
  <c r="U561" i="2"/>
  <c r="U562" i="2"/>
  <c r="U563" i="2"/>
  <c r="U564" i="2"/>
  <c r="U565" i="2"/>
  <c r="U566" i="2"/>
  <c r="U567" i="2"/>
  <c r="U568" i="2"/>
  <c r="U569" i="2"/>
  <c r="U570" i="2"/>
  <c r="U571" i="2"/>
  <c r="U572" i="2"/>
  <c r="U573" i="2"/>
  <c r="U574" i="2"/>
  <c r="U575" i="2"/>
  <c r="U576" i="2"/>
  <c r="U577" i="2"/>
  <c r="U578" i="2"/>
  <c r="U579" i="2"/>
  <c r="U580" i="2"/>
  <c r="U581" i="2"/>
  <c r="U582" i="2"/>
  <c r="U583" i="2"/>
  <c r="U584" i="2"/>
  <c r="U585" i="2"/>
  <c r="U586" i="2"/>
  <c r="U587" i="2"/>
  <c r="U588" i="2"/>
  <c r="U589" i="2"/>
  <c r="U590" i="2"/>
  <c r="U591" i="2"/>
  <c r="U592" i="2"/>
  <c r="U593" i="2"/>
  <c r="U594" i="2"/>
  <c r="U595" i="2"/>
  <c r="U596" i="2"/>
  <c r="U597" i="2"/>
  <c r="U598" i="2"/>
  <c r="U599" i="2"/>
  <c r="U600" i="2"/>
  <c r="U601" i="2"/>
  <c r="U602" i="2"/>
  <c r="U603" i="2"/>
  <c r="U604" i="2"/>
  <c r="U605" i="2"/>
  <c r="U606" i="2"/>
  <c r="U607" i="2"/>
  <c r="U608" i="2"/>
  <c r="U609" i="2"/>
  <c r="U610" i="2"/>
  <c r="U611" i="2"/>
  <c r="U612" i="2"/>
  <c r="U613" i="2"/>
  <c r="U614" i="2"/>
  <c r="U615" i="2"/>
  <c r="U616" i="2"/>
  <c r="U617" i="2"/>
  <c r="U618" i="2"/>
  <c r="U619" i="2"/>
  <c r="U620" i="2"/>
  <c r="U621" i="2"/>
  <c r="U622" i="2"/>
  <c r="U623" i="2"/>
  <c r="U624" i="2"/>
  <c r="U625" i="2"/>
  <c r="U626" i="2"/>
  <c r="U627" i="2"/>
  <c r="U628" i="2"/>
  <c r="U629" i="2"/>
  <c r="U630" i="2"/>
  <c r="U631" i="2"/>
  <c r="U632" i="2"/>
  <c r="U633" i="2"/>
  <c r="U634" i="2"/>
  <c r="U635" i="2"/>
  <c r="U636" i="2"/>
  <c r="U637" i="2"/>
  <c r="U638" i="2"/>
  <c r="U639" i="2"/>
  <c r="U640" i="2"/>
  <c r="U641" i="2"/>
  <c r="U642" i="2"/>
  <c r="U643" i="2"/>
  <c r="U644" i="2"/>
  <c r="U645" i="2"/>
  <c r="U646" i="2"/>
  <c r="U647" i="2"/>
  <c r="U648" i="2"/>
  <c r="U649" i="2"/>
  <c r="U650" i="2"/>
  <c r="U651" i="2"/>
  <c r="U652" i="2"/>
  <c r="U653" i="2"/>
  <c r="U654" i="2"/>
  <c r="U655" i="2"/>
  <c r="U656" i="2"/>
  <c r="U657" i="2"/>
  <c r="U658" i="2"/>
  <c r="U659" i="2"/>
  <c r="U660" i="2"/>
  <c r="U661" i="2"/>
  <c r="U662" i="2"/>
  <c r="U663" i="2"/>
  <c r="U664" i="2"/>
  <c r="U665" i="2"/>
  <c r="U666" i="2"/>
  <c r="U667" i="2"/>
  <c r="U668" i="2"/>
  <c r="U669" i="2"/>
  <c r="U670" i="2"/>
  <c r="U671" i="2"/>
  <c r="U672" i="2"/>
  <c r="U673" i="2"/>
  <c r="U674" i="2"/>
  <c r="U675" i="2"/>
  <c r="U676" i="2"/>
  <c r="U677" i="2"/>
  <c r="U678" i="2"/>
  <c r="U679" i="2"/>
  <c r="U680" i="2"/>
  <c r="U681" i="2"/>
  <c r="U682" i="2"/>
  <c r="U683" i="2"/>
  <c r="U684" i="2"/>
  <c r="U685" i="2"/>
  <c r="U686" i="2"/>
  <c r="U687" i="2"/>
  <c r="U688" i="2"/>
  <c r="U689" i="2"/>
  <c r="U690" i="2"/>
  <c r="U691" i="2"/>
  <c r="U692" i="2"/>
  <c r="U693" i="2"/>
  <c r="U694" i="2"/>
  <c r="U695" i="2"/>
  <c r="U696" i="2"/>
  <c r="U697" i="2"/>
  <c r="U698" i="2"/>
  <c r="U699" i="2"/>
  <c r="U700" i="2"/>
  <c r="U701" i="2"/>
  <c r="U702" i="2"/>
  <c r="U703" i="2"/>
  <c r="U704" i="2"/>
  <c r="U705" i="2"/>
  <c r="U706" i="2"/>
  <c r="U707" i="2"/>
  <c r="U708" i="2"/>
  <c r="U709" i="2"/>
  <c r="U710" i="2"/>
  <c r="U711" i="2"/>
  <c r="U712" i="2"/>
  <c r="U713" i="2"/>
  <c r="U714" i="2"/>
  <c r="U715" i="2"/>
  <c r="U716" i="2"/>
  <c r="U717" i="2"/>
  <c r="U718" i="2"/>
  <c r="U719" i="2"/>
  <c r="U720" i="2"/>
  <c r="U721" i="2"/>
  <c r="U722" i="2"/>
  <c r="U723" i="2"/>
  <c r="U724" i="2"/>
  <c r="U725" i="2"/>
  <c r="U726" i="2"/>
  <c r="U727" i="2"/>
  <c r="U728" i="2"/>
  <c r="U729" i="2"/>
  <c r="U730" i="2"/>
  <c r="U731" i="2"/>
  <c r="U732" i="2"/>
  <c r="U733" i="2"/>
  <c r="U734" i="2"/>
  <c r="U735" i="2"/>
  <c r="U736" i="2"/>
  <c r="U737" i="2"/>
  <c r="U738" i="2"/>
  <c r="U739" i="2"/>
  <c r="U740" i="2"/>
  <c r="U741" i="2"/>
  <c r="U742" i="2"/>
  <c r="U743" i="2"/>
  <c r="U744" i="2"/>
  <c r="U745" i="2"/>
  <c r="U746" i="2"/>
  <c r="U747" i="2"/>
  <c r="U748" i="2"/>
  <c r="U749" i="2"/>
  <c r="U750" i="2"/>
  <c r="U751" i="2"/>
  <c r="U752" i="2"/>
  <c r="U753" i="2"/>
  <c r="U754" i="2"/>
  <c r="U755" i="2"/>
  <c r="U756" i="2"/>
  <c r="U757" i="2"/>
  <c r="U758" i="2"/>
  <c r="U759" i="2"/>
  <c r="U760" i="2"/>
  <c r="U761" i="2"/>
  <c r="U762" i="2"/>
  <c r="U763" i="2"/>
  <c r="U764" i="2"/>
  <c r="U765" i="2"/>
  <c r="U766" i="2"/>
  <c r="U767" i="2"/>
  <c r="U768" i="2"/>
  <c r="U769" i="2"/>
  <c r="U770" i="2"/>
  <c r="U771" i="2"/>
  <c r="U772" i="2"/>
  <c r="U773" i="2"/>
  <c r="U774" i="2"/>
  <c r="U775" i="2"/>
  <c r="U776" i="2"/>
  <c r="U777" i="2"/>
  <c r="U778" i="2"/>
  <c r="U779" i="2"/>
  <c r="U780" i="2"/>
  <c r="U781" i="2"/>
  <c r="U782" i="2"/>
  <c r="U783" i="2"/>
  <c r="U784" i="2"/>
  <c r="U785" i="2"/>
  <c r="U786" i="2"/>
  <c r="U787" i="2"/>
  <c r="U788" i="2"/>
  <c r="U789" i="2"/>
  <c r="U790" i="2"/>
  <c r="U791" i="2"/>
  <c r="U792" i="2"/>
  <c r="U793" i="2"/>
  <c r="U794" i="2"/>
  <c r="U795" i="2"/>
  <c r="U796" i="2"/>
  <c r="U797" i="2"/>
  <c r="U798" i="2"/>
  <c r="U799" i="2"/>
  <c r="U800" i="2"/>
  <c r="U801" i="2"/>
  <c r="U802" i="2"/>
  <c r="U803" i="2"/>
  <c r="U804" i="2"/>
  <c r="U805" i="2"/>
  <c r="U806" i="2"/>
  <c r="U807" i="2"/>
  <c r="U808" i="2"/>
  <c r="U809" i="2"/>
  <c r="U810" i="2"/>
  <c r="U811" i="2"/>
  <c r="U812" i="2"/>
  <c r="U813" i="2"/>
  <c r="U814" i="2"/>
  <c r="U815" i="2"/>
  <c r="U816" i="2"/>
  <c r="U817" i="2"/>
  <c r="U818" i="2"/>
  <c r="U819" i="2"/>
  <c r="U820" i="2"/>
  <c r="U821" i="2"/>
  <c r="U822" i="2"/>
  <c r="U823" i="2"/>
  <c r="U824" i="2"/>
  <c r="U825" i="2"/>
  <c r="U826" i="2"/>
  <c r="U827" i="2"/>
  <c r="U828" i="2"/>
  <c r="U829" i="2"/>
  <c r="U830" i="2"/>
  <c r="U831" i="2"/>
  <c r="U832" i="2"/>
  <c r="U833" i="2"/>
  <c r="U834" i="2"/>
  <c r="U835" i="2"/>
  <c r="U836" i="2"/>
  <c r="U837" i="2"/>
  <c r="U838" i="2"/>
  <c r="U839" i="2"/>
  <c r="U840" i="2"/>
  <c r="U841" i="2"/>
  <c r="U842" i="2"/>
  <c r="U843" i="2"/>
  <c r="U844" i="2"/>
  <c r="U845" i="2"/>
  <c r="U846" i="2"/>
  <c r="U847" i="2"/>
  <c r="U848" i="2"/>
  <c r="U849" i="2"/>
  <c r="U850" i="2"/>
  <c r="U851" i="2"/>
  <c r="U852" i="2"/>
  <c r="U853" i="2"/>
  <c r="U854" i="2"/>
  <c r="U855" i="2"/>
  <c r="U856" i="2"/>
  <c r="U857" i="2"/>
  <c r="U858" i="2"/>
  <c r="U859" i="2"/>
  <c r="U860" i="2"/>
  <c r="U861" i="2"/>
  <c r="U862" i="2"/>
  <c r="U863" i="2"/>
  <c r="U864" i="2"/>
  <c r="U865" i="2"/>
  <c r="U866" i="2"/>
  <c r="U867" i="2"/>
  <c r="U868" i="2"/>
  <c r="U869" i="2"/>
  <c r="U870" i="2"/>
  <c r="U871" i="2"/>
  <c r="U872" i="2"/>
  <c r="U873" i="2"/>
  <c r="U874" i="2"/>
  <c r="U875" i="2"/>
  <c r="U876" i="2"/>
  <c r="U877" i="2"/>
  <c r="U878" i="2"/>
  <c r="U879" i="2"/>
  <c r="U880" i="2"/>
  <c r="U881" i="2"/>
  <c r="U882" i="2"/>
  <c r="U883" i="2"/>
  <c r="U884" i="2"/>
  <c r="U885" i="2"/>
  <c r="U886" i="2"/>
  <c r="U887" i="2"/>
  <c r="U888" i="2"/>
  <c r="U889" i="2"/>
  <c r="U890" i="2"/>
  <c r="U891" i="2"/>
  <c r="U892" i="2"/>
  <c r="U893" i="2"/>
  <c r="U894" i="2"/>
  <c r="U895" i="2"/>
  <c r="U896" i="2"/>
  <c r="U897" i="2"/>
  <c r="U898" i="2"/>
  <c r="U899" i="2"/>
  <c r="U900" i="2"/>
  <c r="U901" i="2"/>
  <c r="U902" i="2"/>
  <c r="U903" i="2"/>
  <c r="U904" i="2"/>
  <c r="U905" i="2"/>
  <c r="U906" i="2"/>
  <c r="U907" i="2"/>
  <c r="U908" i="2"/>
  <c r="U909" i="2"/>
  <c r="U910" i="2"/>
  <c r="U911" i="2"/>
  <c r="U912" i="2"/>
  <c r="U913" i="2"/>
  <c r="U914" i="2"/>
  <c r="U915" i="2"/>
  <c r="U916" i="2"/>
  <c r="U917" i="2"/>
  <c r="U918" i="2"/>
  <c r="U919" i="2"/>
  <c r="U920" i="2"/>
  <c r="U921" i="2"/>
  <c r="U922" i="2"/>
  <c r="U923" i="2"/>
  <c r="U924" i="2"/>
  <c r="U925" i="2"/>
  <c r="U926" i="2"/>
  <c r="U927" i="2"/>
  <c r="U928" i="2"/>
  <c r="U929" i="2"/>
  <c r="U930" i="2"/>
  <c r="U931" i="2"/>
  <c r="U932" i="2"/>
  <c r="U933" i="2"/>
  <c r="U934" i="2"/>
  <c r="U935" i="2"/>
  <c r="U936" i="2"/>
  <c r="U937" i="2"/>
  <c r="U938" i="2"/>
  <c r="U939" i="2"/>
  <c r="U940" i="2"/>
  <c r="U941" i="2"/>
  <c r="U942" i="2"/>
  <c r="U943" i="2"/>
  <c r="U944" i="2"/>
  <c r="U945" i="2"/>
  <c r="U946" i="2"/>
  <c r="U947" i="2"/>
  <c r="U948" i="2"/>
  <c r="U949" i="2"/>
  <c r="U950" i="2"/>
  <c r="U951" i="2"/>
  <c r="U952" i="2"/>
  <c r="U953" i="2"/>
  <c r="U954" i="2"/>
  <c r="U955" i="2"/>
  <c r="U956" i="2"/>
  <c r="U957" i="2"/>
  <c r="U958" i="2"/>
  <c r="U959" i="2"/>
  <c r="U960" i="2"/>
  <c r="U961" i="2"/>
  <c r="U962" i="2"/>
  <c r="U963" i="2"/>
  <c r="U964" i="2"/>
  <c r="U965" i="2"/>
  <c r="U966" i="2"/>
  <c r="U967" i="2"/>
  <c r="U968" i="2"/>
  <c r="U969" i="2"/>
  <c r="U970" i="2"/>
  <c r="U971" i="2"/>
  <c r="U972" i="2"/>
  <c r="U973" i="2"/>
  <c r="U974" i="2"/>
  <c r="U975" i="2"/>
  <c r="U976" i="2"/>
  <c r="U977" i="2"/>
  <c r="U978" i="2"/>
  <c r="U979" i="2"/>
  <c r="U980" i="2"/>
  <c r="U981" i="2"/>
  <c r="U982" i="2"/>
  <c r="U983" i="2"/>
  <c r="U984" i="2"/>
  <c r="U985" i="2"/>
  <c r="U986" i="2"/>
  <c r="U987" i="2"/>
  <c r="U988" i="2"/>
  <c r="U989" i="2"/>
  <c r="U990" i="2"/>
  <c r="U991" i="2"/>
  <c r="U992" i="2"/>
  <c r="U993" i="2"/>
  <c r="U994" i="2"/>
  <c r="U995" i="2"/>
  <c r="U996" i="2"/>
  <c r="U997" i="2"/>
  <c r="U998" i="2"/>
  <c r="U999" i="2"/>
  <c r="U1000" i="2"/>
  <c r="U1001" i="2"/>
  <c r="U1002" i="2"/>
  <c r="U1003" i="2"/>
  <c r="U1004" i="2"/>
  <c r="U1005" i="2"/>
  <c r="U1006" i="2"/>
  <c r="U1007" i="2"/>
  <c r="U1008" i="2"/>
  <c r="U1009" i="2"/>
  <c r="U1010" i="2"/>
  <c r="U1011" i="2"/>
  <c r="U1012" i="2"/>
  <c r="U1013" i="2"/>
  <c r="U1014" i="2"/>
  <c r="U1015" i="2"/>
  <c r="U1016" i="2"/>
  <c r="U1017" i="2"/>
  <c r="U1018" i="2"/>
  <c r="U1019" i="2"/>
  <c r="U1020" i="2"/>
  <c r="U1021" i="2"/>
  <c r="U1022" i="2"/>
  <c r="U1023" i="2"/>
  <c r="U1024" i="2"/>
  <c r="U1025" i="2"/>
  <c r="U1026" i="2"/>
  <c r="U1027" i="2"/>
  <c r="U1028" i="2"/>
  <c r="U1029" i="2"/>
  <c r="U1030" i="2"/>
  <c r="U1031" i="2"/>
  <c r="U1032" i="2"/>
  <c r="U1033" i="2"/>
  <c r="U1034" i="2"/>
  <c r="U1035" i="2"/>
  <c r="U1036" i="2"/>
  <c r="U1037" i="2"/>
  <c r="U1038" i="2"/>
  <c r="U1039" i="2"/>
  <c r="U1040" i="2"/>
  <c r="U1041" i="2"/>
  <c r="U1042" i="2"/>
  <c r="U1043" i="2"/>
  <c r="U1044" i="2"/>
  <c r="U1045" i="2"/>
  <c r="U1046" i="2"/>
  <c r="U1047" i="2"/>
  <c r="U1048" i="2"/>
  <c r="U1049" i="2"/>
  <c r="U1050" i="2"/>
  <c r="U1051" i="2"/>
  <c r="U1052" i="2"/>
  <c r="U1053" i="2"/>
  <c r="U1054" i="2"/>
  <c r="U1055" i="2"/>
  <c r="U1056" i="2"/>
  <c r="U1057" i="2"/>
  <c r="U1058" i="2"/>
  <c r="U1059" i="2"/>
  <c r="U1060" i="2"/>
  <c r="U1061" i="2"/>
  <c r="U1062" i="2"/>
  <c r="U1063" i="2"/>
  <c r="U1064" i="2"/>
  <c r="U1065" i="2"/>
  <c r="U1066" i="2"/>
  <c r="U1067" i="2"/>
  <c r="U1068" i="2"/>
  <c r="U1069" i="2"/>
  <c r="U1070" i="2"/>
  <c r="U1071" i="2"/>
  <c r="U1072" i="2"/>
  <c r="U1073" i="2"/>
  <c r="U1074" i="2"/>
  <c r="U1075" i="2"/>
  <c r="U1076" i="2"/>
  <c r="U1077" i="2"/>
  <c r="U1078" i="2"/>
  <c r="U1079" i="2"/>
  <c r="U1080" i="2"/>
  <c r="U1081" i="2"/>
  <c r="U1082" i="2"/>
  <c r="U1083" i="2"/>
  <c r="U1084" i="2"/>
  <c r="U1085" i="2"/>
  <c r="U1086" i="2"/>
  <c r="U1087" i="2"/>
  <c r="U1088" i="2"/>
  <c r="U1089" i="2"/>
  <c r="U1090" i="2"/>
  <c r="U1091" i="2"/>
  <c r="U1092" i="2"/>
  <c r="U1093" i="2"/>
  <c r="U1094" i="2"/>
  <c r="U1095" i="2"/>
  <c r="U1096" i="2"/>
  <c r="U1097" i="2"/>
  <c r="U1098" i="2"/>
  <c r="U1099" i="2"/>
  <c r="U1100" i="2"/>
  <c r="U1101" i="2"/>
  <c r="U1102" i="2"/>
  <c r="U1103" i="2"/>
  <c r="U1104" i="2"/>
  <c r="U1105" i="2"/>
  <c r="U1106" i="2"/>
  <c r="U1107" i="2"/>
  <c r="U1108" i="2"/>
  <c r="U1109" i="2"/>
  <c r="U1110" i="2"/>
  <c r="U1111" i="2"/>
  <c r="U1112" i="2"/>
  <c r="U1113" i="2"/>
  <c r="U1114" i="2"/>
  <c r="U1115" i="2"/>
  <c r="U1116" i="2"/>
  <c r="U1117" i="2"/>
  <c r="U1118" i="2"/>
  <c r="U1119" i="2"/>
  <c r="U1120" i="2"/>
  <c r="U1121" i="2"/>
  <c r="U1122" i="2"/>
  <c r="U1123" i="2"/>
  <c r="U1124" i="2"/>
  <c r="U1125" i="2"/>
  <c r="U1126" i="2"/>
  <c r="U1127" i="2"/>
  <c r="U1128" i="2"/>
  <c r="U1129" i="2"/>
  <c r="U1130" i="2"/>
  <c r="U1131" i="2"/>
  <c r="U1132" i="2"/>
  <c r="U1133" i="2"/>
  <c r="U1134" i="2"/>
  <c r="U1135" i="2"/>
  <c r="U1136" i="2"/>
  <c r="U1137" i="2"/>
  <c r="U1138" i="2"/>
  <c r="U1139" i="2"/>
  <c r="U1140" i="2"/>
  <c r="U1141" i="2"/>
  <c r="U1142" i="2"/>
  <c r="U1143" i="2"/>
  <c r="U1144" i="2"/>
  <c r="U1145" i="2"/>
  <c r="U1146" i="2"/>
  <c r="U1147" i="2"/>
  <c r="U1148" i="2"/>
  <c r="U1149" i="2"/>
  <c r="U1150" i="2"/>
  <c r="U1151" i="2"/>
  <c r="U1152" i="2"/>
  <c r="U1153" i="2"/>
  <c r="U1154" i="2"/>
  <c r="U1155" i="2"/>
  <c r="U1156" i="2"/>
  <c r="U1157" i="2"/>
  <c r="U1158" i="2"/>
  <c r="U1159" i="2"/>
  <c r="U1160" i="2"/>
  <c r="U1161" i="2"/>
  <c r="U1162" i="2"/>
  <c r="U1163" i="2"/>
  <c r="U1164" i="2"/>
  <c r="U1165" i="2"/>
  <c r="U1166" i="2"/>
  <c r="U1167" i="2"/>
  <c r="U1168" i="2"/>
  <c r="U1169" i="2"/>
  <c r="U1170" i="2"/>
  <c r="U1171" i="2"/>
  <c r="U1172" i="2"/>
  <c r="U1173" i="2"/>
  <c r="U1174" i="2"/>
  <c r="U1175" i="2"/>
  <c r="U1176" i="2"/>
  <c r="U1177" i="2"/>
  <c r="U1178" i="2"/>
  <c r="U1179" i="2"/>
  <c r="U1180" i="2"/>
  <c r="U1181" i="2"/>
  <c r="U1182" i="2"/>
  <c r="U1183" i="2"/>
  <c r="U1184" i="2"/>
  <c r="U1185" i="2"/>
  <c r="U1186" i="2"/>
  <c r="U1187" i="2"/>
  <c r="U1188" i="2"/>
  <c r="U1189" i="2"/>
  <c r="U1190" i="2"/>
  <c r="U1191" i="2"/>
  <c r="U1192" i="2"/>
  <c r="U1193" i="2"/>
  <c r="U1194" i="2"/>
  <c r="U1195" i="2"/>
  <c r="U1196" i="2"/>
  <c r="U1197" i="2"/>
  <c r="U1198" i="2"/>
  <c r="U1199" i="2"/>
  <c r="U1200" i="2"/>
  <c r="U1201" i="2"/>
  <c r="U1202" i="2"/>
  <c r="U1203" i="2"/>
  <c r="U1204" i="2"/>
  <c r="U1205" i="2"/>
  <c r="U1206" i="2"/>
  <c r="U1207" i="2"/>
  <c r="U1208" i="2"/>
  <c r="U1209" i="2"/>
  <c r="U1210" i="2"/>
  <c r="U1211" i="2"/>
  <c r="U1212" i="2"/>
  <c r="U1213" i="2"/>
  <c r="U1214" i="2"/>
  <c r="U1215" i="2"/>
  <c r="U1216" i="2"/>
  <c r="U1217" i="2"/>
  <c r="U1218" i="2"/>
  <c r="U1219" i="2"/>
  <c r="U1220" i="2"/>
  <c r="U1221" i="2"/>
  <c r="U1222" i="2"/>
  <c r="U1223" i="2"/>
  <c r="U1224" i="2"/>
  <c r="U1225" i="2"/>
  <c r="U1226" i="2"/>
  <c r="U1227" i="2"/>
  <c r="U1228" i="2"/>
  <c r="U1229" i="2"/>
  <c r="U1230" i="2"/>
  <c r="U1231" i="2"/>
  <c r="U1232" i="2"/>
  <c r="U1233" i="2"/>
  <c r="U1234" i="2"/>
  <c r="U1235" i="2"/>
  <c r="U1236" i="2"/>
  <c r="U1237" i="2"/>
  <c r="U1238" i="2"/>
  <c r="U1239" i="2"/>
  <c r="U1240" i="2"/>
  <c r="U1241" i="2"/>
  <c r="U1242" i="2"/>
  <c r="U1243" i="2"/>
  <c r="U1244" i="2"/>
  <c r="U1245" i="2"/>
  <c r="U1246" i="2"/>
  <c r="U1247" i="2"/>
  <c r="U1248" i="2"/>
  <c r="U1249" i="2"/>
  <c r="U1250" i="2"/>
  <c r="U1251" i="2"/>
  <c r="U1252" i="2"/>
  <c r="U1253" i="2"/>
  <c r="U1254" i="2"/>
  <c r="U1255" i="2"/>
  <c r="U1256" i="2"/>
  <c r="U1257" i="2"/>
  <c r="U1258" i="2"/>
  <c r="U1259" i="2"/>
  <c r="U1260" i="2"/>
  <c r="U1261" i="2"/>
  <c r="U1262" i="2"/>
  <c r="U1263" i="2"/>
  <c r="U1264" i="2"/>
  <c r="U1265" i="2"/>
  <c r="U1266" i="2"/>
  <c r="U1267" i="2"/>
  <c r="U1268" i="2"/>
  <c r="U1269" i="2"/>
  <c r="U1270" i="2"/>
  <c r="U1271" i="2"/>
  <c r="U1272" i="2"/>
  <c r="U1273" i="2"/>
  <c r="U1274" i="2"/>
  <c r="U1275" i="2"/>
  <c r="U1276" i="2"/>
  <c r="U1277" i="2"/>
  <c r="U1278" i="2"/>
  <c r="U1279" i="2"/>
  <c r="U1280" i="2"/>
  <c r="U1281" i="2"/>
  <c r="U1282" i="2"/>
  <c r="U1283" i="2"/>
  <c r="U1284" i="2"/>
  <c r="U1285" i="2"/>
  <c r="U1286" i="2"/>
  <c r="U1287" i="2"/>
  <c r="U1288" i="2"/>
  <c r="U1289" i="2"/>
  <c r="U1290" i="2"/>
  <c r="U1291" i="2"/>
  <c r="U1292" i="2"/>
  <c r="U1293" i="2"/>
  <c r="U1294" i="2"/>
  <c r="U1295" i="2"/>
  <c r="U1296" i="2"/>
  <c r="U1297" i="2"/>
  <c r="U1298" i="2"/>
  <c r="U1299" i="2"/>
  <c r="U1300" i="2"/>
  <c r="U1301" i="2"/>
  <c r="U1302" i="2"/>
  <c r="U1303" i="2"/>
  <c r="U1304" i="2"/>
  <c r="U1305" i="2"/>
  <c r="U1306" i="2"/>
  <c r="U1307" i="2"/>
  <c r="U1308" i="2"/>
  <c r="U1309" i="2"/>
  <c r="U1310" i="2"/>
  <c r="U1311" i="2"/>
  <c r="U1312" i="2"/>
  <c r="U1313" i="2"/>
  <c r="U1314" i="2"/>
  <c r="U1315" i="2"/>
  <c r="U1316" i="2"/>
  <c r="U1317" i="2"/>
  <c r="U1318" i="2"/>
  <c r="U1319" i="2"/>
  <c r="U1320" i="2"/>
  <c r="U1321" i="2"/>
  <c r="U1322" i="2"/>
  <c r="U1323" i="2"/>
  <c r="U1324" i="2"/>
  <c r="U1325" i="2"/>
  <c r="U1326" i="2"/>
  <c r="U1327" i="2"/>
  <c r="U1328" i="2"/>
  <c r="U1329" i="2"/>
  <c r="U1330" i="2"/>
  <c r="U1331" i="2"/>
  <c r="U1332" i="2"/>
  <c r="U1333" i="2"/>
  <c r="U1334" i="2"/>
  <c r="U1335" i="2"/>
  <c r="U1336" i="2"/>
  <c r="U1337" i="2"/>
  <c r="U1338" i="2"/>
  <c r="U1339" i="2"/>
  <c r="U1340" i="2"/>
  <c r="U1341" i="2"/>
  <c r="U1342" i="2"/>
  <c r="U1343" i="2"/>
  <c r="U1344" i="2"/>
  <c r="U1345" i="2"/>
  <c r="U1346" i="2"/>
  <c r="U1347" i="2"/>
  <c r="U1348" i="2"/>
  <c r="U1349" i="2"/>
  <c r="U1350" i="2"/>
  <c r="U1351" i="2"/>
  <c r="U1352" i="2"/>
  <c r="U1353" i="2"/>
  <c r="U1354" i="2"/>
  <c r="U1355" i="2"/>
  <c r="U1356" i="2"/>
  <c r="U1357" i="2"/>
  <c r="U1358" i="2"/>
  <c r="U1359" i="2"/>
  <c r="U1360" i="2"/>
  <c r="U1361" i="2"/>
  <c r="U1362" i="2"/>
  <c r="U1363" i="2"/>
  <c r="U1364" i="2"/>
  <c r="U1365" i="2"/>
  <c r="U1366" i="2"/>
  <c r="U1367" i="2"/>
  <c r="U1368" i="2"/>
  <c r="U1369" i="2"/>
  <c r="U1370" i="2"/>
  <c r="U1371" i="2"/>
  <c r="U1372" i="2"/>
  <c r="U1373" i="2"/>
  <c r="U1379" i="2"/>
  <c r="U1380" i="2"/>
  <c r="U1381" i="2"/>
  <c r="U1382" i="2"/>
  <c r="U1383" i="2"/>
  <c r="U1384" i="2"/>
  <c r="U1385" i="2"/>
  <c r="U1386" i="2"/>
  <c r="U1387" i="2"/>
  <c r="U1388" i="2"/>
  <c r="U1389" i="2"/>
  <c r="U1390" i="2"/>
  <c r="U1391" i="2"/>
  <c r="U1392" i="2"/>
  <c r="U1393" i="2"/>
  <c r="U1394" i="2"/>
  <c r="U1395" i="2"/>
  <c r="U1396" i="2"/>
  <c r="U1397" i="2"/>
  <c r="U1398" i="2"/>
  <c r="U1399" i="2"/>
  <c r="U1400" i="2"/>
  <c r="U1401" i="2"/>
  <c r="U1402" i="2"/>
  <c r="U1403" i="2"/>
  <c r="U1404" i="2"/>
  <c r="U1405" i="2"/>
  <c r="U1406" i="2"/>
  <c r="U1407" i="2"/>
  <c r="U1408" i="2"/>
  <c r="U1409" i="2"/>
  <c r="U1410" i="2"/>
  <c r="U1411" i="2"/>
  <c r="U1412" i="2"/>
  <c r="U1413" i="2"/>
  <c r="U1414" i="2"/>
  <c r="U1415" i="2"/>
  <c r="U1416" i="2"/>
  <c r="U1417" i="2"/>
  <c r="U1418" i="2"/>
  <c r="U1419" i="2"/>
  <c r="U1420" i="2"/>
  <c r="U1421" i="2"/>
  <c r="U1422" i="2"/>
  <c r="U1423" i="2"/>
  <c r="U1425" i="2"/>
  <c r="U1426" i="2"/>
  <c r="U1427" i="2"/>
  <c r="U1428" i="2"/>
  <c r="U1429" i="2"/>
  <c r="U1430" i="2"/>
  <c r="U1431" i="2"/>
  <c r="U1432" i="2"/>
  <c r="A21" i="11"/>
  <c r="A20" i="11"/>
  <c r="A19" i="11"/>
  <c r="A18" i="11"/>
  <c r="A17" i="11"/>
  <c r="A16" i="11"/>
  <c r="A15" i="11"/>
  <c r="A14" i="11"/>
  <c r="A13" i="11"/>
  <c r="A12" i="11"/>
  <c r="A11" i="11"/>
  <c r="A10" i="11"/>
  <c r="A9" i="11"/>
  <c r="A8" i="11"/>
  <c r="A7" i="11"/>
  <c r="A6" i="11"/>
  <c r="A5" i="11"/>
  <c r="A4" i="11"/>
  <c r="A3" i="11"/>
  <c r="A2" i="11"/>
  <c r="D22" i="3"/>
  <c r="D19" i="3"/>
  <c r="D17" i="3"/>
  <c r="A2" i="3" a="1"/>
  <c r="A14" i="3" s="1"/>
  <c r="AE1432" i="2"/>
  <c r="R1432" i="2"/>
  <c r="P1432" i="2"/>
  <c r="AE1431" i="2"/>
  <c r="R1431" i="2"/>
  <c r="P1431" i="2"/>
  <c r="AE1430" i="2"/>
  <c r="R1430" i="2"/>
  <c r="P1430" i="2"/>
  <c r="AE1429" i="2"/>
  <c r="R1429" i="2"/>
  <c r="P1429" i="2"/>
  <c r="AE1428" i="2"/>
  <c r="R1428" i="2"/>
  <c r="P1428" i="2"/>
  <c r="AE1427" i="2"/>
  <c r="R1427" i="2"/>
  <c r="P1427" i="2"/>
  <c r="AE1426" i="2"/>
  <c r="R1426" i="2"/>
  <c r="P1426" i="2"/>
  <c r="AE1425" i="2"/>
  <c r="R1425" i="2"/>
  <c r="P1425" i="2"/>
  <c r="AE1424" i="2"/>
  <c r="R1424" i="2"/>
  <c r="P1424" i="2"/>
  <c r="AE1423" i="2"/>
  <c r="R1423" i="2"/>
  <c r="P1423" i="2"/>
  <c r="AE1422" i="2"/>
  <c r="R1422" i="2"/>
  <c r="P1422" i="2"/>
  <c r="AE1421" i="2"/>
  <c r="R1421" i="2"/>
  <c r="P1421" i="2"/>
  <c r="AE1420" i="2"/>
  <c r="R1420" i="2"/>
  <c r="P1420" i="2"/>
  <c r="AE1419" i="2"/>
  <c r="R1419" i="2"/>
  <c r="P1419" i="2"/>
  <c r="AE1418" i="2"/>
  <c r="R1418" i="2"/>
  <c r="P1418" i="2"/>
  <c r="AE1417" i="2"/>
  <c r="R1417" i="2"/>
  <c r="P1417" i="2"/>
  <c r="AE1416" i="2"/>
  <c r="R1416" i="2"/>
  <c r="P1416" i="2"/>
  <c r="AE1415" i="2"/>
  <c r="R1415" i="2"/>
  <c r="P1415" i="2"/>
  <c r="AE1414" i="2"/>
  <c r="R1414" i="2"/>
  <c r="P1414" i="2"/>
  <c r="AE1413" i="2"/>
  <c r="R1413" i="2"/>
  <c r="P1413" i="2"/>
  <c r="AE1412" i="2"/>
  <c r="R1412" i="2"/>
  <c r="P1412" i="2"/>
  <c r="AE1411" i="2"/>
  <c r="R1411" i="2"/>
  <c r="P1411" i="2"/>
  <c r="AE1410" i="2"/>
  <c r="R1410" i="2"/>
  <c r="P1410" i="2"/>
  <c r="AE1409" i="2"/>
  <c r="R1409" i="2"/>
  <c r="P1409" i="2"/>
  <c r="AE1408" i="2"/>
  <c r="R1408" i="2"/>
  <c r="P1408" i="2"/>
  <c r="AE1407" i="2"/>
  <c r="R1407" i="2"/>
  <c r="P1407" i="2"/>
  <c r="AE1406" i="2"/>
  <c r="R1406" i="2"/>
  <c r="P1406" i="2"/>
  <c r="AE1405" i="2"/>
  <c r="R1405" i="2"/>
  <c r="P1405" i="2"/>
  <c r="AE1404" i="2"/>
  <c r="R1404" i="2"/>
  <c r="P1404" i="2"/>
  <c r="AE1403" i="2"/>
  <c r="R1403" i="2"/>
  <c r="P1403" i="2"/>
  <c r="AE1402" i="2"/>
  <c r="R1402" i="2"/>
  <c r="P1402" i="2"/>
  <c r="AE1401" i="2"/>
  <c r="R1401" i="2"/>
  <c r="P1401" i="2"/>
  <c r="AE1400" i="2"/>
  <c r="R1400" i="2"/>
  <c r="P1400" i="2"/>
  <c r="AE1399" i="2"/>
  <c r="R1399" i="2"/>
  <c r="P1399" i="2"/>
  <c r="AE1398" i="2"/>
  <c r="R1398" i="2"/>
  <c r="P1398" i="2"/>
  <c r="AE1397" i="2"/>
  <c r="R1397" i="2"/>
  <c r="P1397" i="2"/>
  <c r="AE1396" i="2"/>
  <c r="R1396" i="2"/>
  <c r="P1396" i="2"/>
  <c r="AE1395" i="2"/>
  <c r="R1395" i="2"/>
  <c r="P1395" i="2"/>
  <c r="AE1394" i="2"/>
  <c r="R1394" i="2"/>
  <c r="P1394" i="2"/>
  <c r="AE1393" i="2"/>
  <c r="R1393" i="2"/>
  <c r="P1393" i="2"/>
  <c r="AE1392" i="2"/>
  <c r="R1392" i="2"/>
  <c r="P1392" i="2"/>
  <c r="AE1391" i="2"/>
  <c r="R1391" i="2"/>
  <c r="P1391" i="2"/>
  <c r="AE1390" i="2"/>
  <c r="R1390" i="2"/>
  <c r="P1390" i="2"/>
  <c r="AE1389" i="2"/>
  <c r="R1389" i="2"/>
  <c r="P1389" i="2"/>
  <c r="AE1388" i="2"/>
  <c r="R1388" i="2"/>
  <c r="P1388" i="2"/>
  <c r="AE1387" i="2"/>
  <c r="R1387" i="2"/>
  <c r="P1387" i="2"/>
  <c r="AE1386" i="2"/>
  <c r="R1386" i="2"/>
  <c r="P1386" i="2"/>
  <c r="AE1385" i="2"/>
  <c r="R1385" i="2"/>
  <c r="P1385" i="2"/>
  <c r="AE1384" i="2"/>
  <c r="R1384" i="2"/>
  <c r="P1384" i="2"/>
  <c r="AE1383" i="2"/>
  <c r="R1383" i="2"/>
  <c r="P1383" i="2"/>
  <c r="AE1382" i="2"/>
  <c r="R1382" i="2"/>
  <c r="P1382" i="2"/>
  <c r="AE1381" i="2"/>
  <c r="R1381" i="2"/>
  <c r="P1381" i="2"/>
  <c r="AE1380" i="2"/>
  <c r="R1380" i="2"/>
  <c r="P1380" i="2"/>
  <c r="AE1379" i="2"/>
  <c r="R1379" i="2"/>
  <c r="P1379" i="2"/>
  <c r="AE1378" i="2"/>
  <c r="AE1377" i="2"/>
  <c r="AE1376" i="2"/>
  <c r="AE1375" i="2"/>
  <c r="AE1374" i="2"/>
  <c r="AE1373" i="2"/>
  <c r="R1373" i="2"/>
  <c r="P1373" i="2"/>
  <c r="AE1372" i="2"/>
  <c r="R1372" i="2"/>
  <c r="P1372" i="2"/>
  <c r="AE1371" i="2"/>
  <c r="R1371" i="2"/>
  <c r="P1371" i="2"/>
  <c r="AE1370" i="2"/>
  <c r="R1370" i="2"/>
  <c r="P1370" i="2"/>
  <c r="AE1369" i="2"/>
  <c r="R1369" i="2"/>
  <c r="P1369" i="2"/>
  <c r="AE1368" i="2"/>
  <c r="R1368" i="2"/>
  <c r="P1368" i="2"/>
  <c r="AE1367" i="2"/>
  <c r="R1367" i="2"/>
  <c r="P1367" i="2"/>
  <c r="AE1366" i="2"/>
  <c r="R1366" i="2"/>
  <c r="P1366" i="2"/>
  <c r="AE1365" i="2"/>
  <c r="R1365" i="2"/>
  <c r="P1365" i="2"/>
  <c r="AE1364" i="2"/>
  <c r="R1364" i="2"/>
  <c r="P1364" i="2"/>
  <c r="AE1363" i="2"/>
  <c r="R1363" i="2"/>
  <c r="P1363" i="2"/>
  <c r="AE1362" i="2"/>
  <c r="R1362" i="2"/>
  <c r="P1362" i="2"/>
  <c r="AE1361" i="2"/>
  <c r="R1361" i="2"/>
  <c r="P1361" i="2"/>
  <c r="AE1360" i="2"/>
  <c r="R1360" i="2"/>
  <c r="P1360" i="2"/>
  <c r="AE1359" i="2"/>
  <c r="R1359" i="2"/>
  <c r="P1359" i="2"/>
  <c r="AE1358" i="2"/>
  <c r="R1358" i="2"/>
  <c r="P1358" i="2"/>
  <c r="AE1357" i="2"/>
  <c r="R1357" i="2"/>
  <c r="P1357" i="2"/>
  <c r="AE1356" i="2"/>
  <c r="R1356" i="2"/>
  <c r="P1356" i="2"/>
  <c r="AE1355" i="2"/>
  <c r="R1355" i="2"/>
  <c r="P1355" i="2"/>
  <c r="AE1354" i="2"/>
  <c r="R1354" i="2"/>
  <c r="P1354" i="2"/>
  <c r="AE1353" i="2"/>
  <c r="R1353" i="2"/>
  <c r="P1353" i="2"/>
  <c r="AE1352" i="2"/>
  <c r="R1352" i="2"/>
  <c r="P1352" i="2"/>
  <c r="AE1351" i="2"/>
  <c r="R1351" i="2"/>
  <c r="P1351" i="2"/>
  <c r="AE1350" i="2"/>
  <c r="R1350" i="2"/>
  <c r="P1350" i="2"/>
  <c r="AE1349" i="2"/>
  <c r="R1349" i="2"/>
  <c r="P1349" i="2"/>
  <c r="AE1348" i="2"/>
  <c r="R1348" i="2"/>
  <c r="P1348" i="2"/>
  <c r="AE1347" i="2"/>
  <c r="R1347" i="2"/>
  <c r="P1347" i="2"/>
  <c r="AE1346" i="2"/>
  <c r="R1346" i="2"/>
  <c r="P1346" i="2"/>
  <c r="AE1345" i="2"/>
  <c r="R1345" i="2"/>
  <c r="P1345" i="2"/>
  <c r="AE1344" i="2"/>
  <c r="R1344" i="2"/>
  <c r="P1344" i="2"/>
  <c r="AE1343" i="2"/>
  <c r="R1343" i="2"/>
  <c r="P1343" i="2"/>
  <c r="AE1342" i="2"/>
  <c r="R1342" i="2"/>
  <c r="P1342" i="2"/>
  <c r="AE1341" i="2"/>
  <c r="R1341" i="2"/>
  <c r="P1341" i="2"/>
  <c r="AE1340" i="2"/>
  <c r="R1340" i="2"/>
  <c r="P1340" i="2"/>
  <c r="AE1339" i="2"/>
  <c r="R1339" i="2"/>
  <c r="P1339" i="2"/>
  <c r="AE1338" i="2"/>
  <c r="R1338" i="2"/>
  <c r="P1338" i="2"/>
  <c r="AE1337" i="2"/>
  <c r="R1337" i="2"/>
  <c r="P1337" i="2"/>
  <c r="AE1336" i="2"/>
  <c r="R1336" i="2"/>
  <c r="P1336" i="2"/>
  <c r="AE1335" i="2"/>
  <c r="R1335" i="2"/>
  <c r="P1335" i="2"/>
  <c r="AE1334" i="2"/>
  <c r="R1334" i="2"/>
  <c r="P1334" i="2"/>
  <c r="AE1333" i="2"/>
  <c r="R1333" i="2"/>
  <c r="P1333" i="2"/>
  <c r="AE1332" i="2"/>
  <c r="R1332" i="2"/>
  <c r="P1332" i="2"/>
  <c r="AE1331" i="2"/>
  <c r="R1331" i="2"/>
  <c r="P1331" i="2"/>
  <c r="AE1330" i="2"/>
  <c r="R1330" i="2"/>
  <c r="P1330" i="2"/>
  <c r="AE1329" i="2"/>
  <c r="R1329" i="2"/>
  <c r="P1329" i="2"/>
  <c r="AE1328" i="2"/>
  <c r="R1328" i="2"/>
  <c r="P1328" i="2"/>
  <c r="AE1327" i="2"/>
  <c r="R1327" i="2"/>
  <c r="P1327" i="2"/>
  <c r="AE1326" i="2"/>
  <c r="R1326" i="2"/>
  <c r="P1326" i="2"/>
  <c r="AE1325" i="2"/>
  <c r="R1325" i="2"/>
  <c r="P1325" i="2"/>
  <c r="AE1324" i="2"/>
  <c r="R1324" i="2"/>
  <c r="P1324" i="2"/>
  <c r="AE1323" i="2"/>
  <c r="R1323" i="2"/>
  <c r="P1323" i="2"/>
  <c r="AE1322" i="2"/>
  <c r="R1322" i="2"/>
  <c r="P1322" i="2"/>
  <c r="AE1321" i="2"/>
  <c r="R1321" i="2"/>
  <c r="P1321" i="2"/>
  <c r="AE1320" i="2"/>
  <c r="R1320" i="2"/>
  <c r="P1320" i="2"/>
  <c r="AE1319" i="2"/>
  <c r="R1319" i="2"/>
  <c r="P1319" i="2"/>
  <c r="AE1318" i="2"/>
  <c r="R1318" i="2"/>
  <c r="P1318" i="2"/>
  <c r="AE1317" i="2"/>
  <c r="R1317" i="2"/>
  <c r="P1317" i="2"/>
  <c r="AE1316" i="2"/>
  <c r="R1316" i="2"/>
  <c r="P1316" i="2"/>
  <c r="AE1315" i="2"/>
  <c r="R1315" i="2"/>
  <c r="P1315" i="2"/>
  <c r="AE1314" i="2"/>
  <c r="R1314" i="2"/>
  <c r="P1314" i="2"/>
  <c r="AE1313" i="2"/>
  <c r="R1313" i="2"/>
  <c r="P1313" i="2"/>
  <c r="AE1312" i="2"/>
  <c r="R1312" i="2"/>
  <c r="P1312" i="2"/>
  <c r="AE1311" i="2"/>
  <c r="R1311" i="2"/>
  <c r="P1311" i="2"/>
  <c r="AE1310" i="2"/>
  <c r="R1310" i="2"/>
  <c r="P1310" i="2"/>
  <c r="AE1309" i="2"/>
  <c r="R1309" i="2"/>
  <c r="P1309" i="2"/>
  <c r="AE1308" i="2"/>
  <c r="R1308" i="2"/>
  <c r="P1308" i="2"/>
  <c r="AE1307" i="2"/>
  <c r="R1307" i="2"/>
  <c r="P1307" i="2"/>
  <c r="AE1306" i="2"/>
  <c r="R1306" i="2"/>
  <c r="P1306" i="2"/>
  <c r="AE1305" i="2"/>
  <c r="R1305" i="2"/>
  <c r="P1305" i="2"/>
  <c r="AE1304" i="2"/>
  <c r="R1304" i="2"/>
  <c r="P1304" i="2"/>
  <c r="AE1303" i="2"/>
  <c r="R1303" i="2"/>
  <c r="P1303" i="2"/>
  <c r="AE1302" i="2"/>
  <c r="R1302" i="2"/>
  <c r="P1302" i="2"/>
  <c r="AE1301" i="2"/>
  <c r="R1301" i="2"/>
  <c r="P1301" i="2"/>
  <c r="AE1300" i="2"/>
  <c r="R1300" i="2"/>
  <c r="P1300" i="2"/>
  <c r="AE1299" i="2"/>
  <c r="R1299" i="2"/>
  <c r="P1299" i="2"/>
  <c r="AE1298" i="2"/>
  <c r="R1298" i="2"/>
  <c r="P1298" i="2"/>
  <c r="AE1297" i="2"/>
  <c r="R1297" i="2"/>
  <c r="P1297" i="2"/>
  <c r="AE1296" i="2"/>
  <c r="R1296" i="2"/>
  <c r="P1296" i="2"/>
  <c r="AE1295" i="2"/>
  <c r="R1295" i="2"/>
  <c r="P1295" i="2"/>
  <c r="AE1294" i="2"/>
  <c r="R1294" i="2"/>
  <c r="P1294" i="2"/>
  <c r="AE1293" i="2"/>
  <c r="R1293" i="2"/>
  <c r="P1293" i="2"/>
  <c r="AE1292" i="2"/>
  <c r="R1292" i="2"/>
  <c r="P1292" i="2"/>
  <c r="AE1291" i="2"/>
  <c r="R1291" i="2"/>
  <c r="P1291" i="2"/>
  <c r="AE1290" i="2"/>
  <c r="R1290" i="2"/>
  <c r="P1290" i="2"/>
  <c r="AE1289" i="2"/>
  <c r="R1289" i="2"/>
  <c r="P1289" i="2"/>
  <c r="AE1288" i="2"/>
  <c r="R1288" i="2"/>
  <c r="P1288" i="2"/>
  <c r="AE1287" i="2"/>
  <c r="R1287" i="2"/>
  <c r="P1287" i="2"/>
  <c r="AE1286" i="2"/>
  <c r="R1286" i="2"/>
  <c r="P1286" i="2"/>
  <c r="AE1285" i="2"/>
  <c r="R1285" i="2"/>
  <c r="P1285" i="2"/>
  <c r="AE1284" i="2"/>
  <c r="R1284" i="2"/>
  <c r="P1284" i="2"/>
  <c r="AE1283" i="2"/>
  <c r="R1283" i="2"/>
  <c r="P1283" i="2"/>
  <c r="AE1282" i="2"/>
  <c r="R1282" i="2"/>
  <c r="P1282" i="2"/>
  <c r="AE1281" i="2"/>
  <c r="R1281" i="2"/>
  <c r="P1281" i="2"/>
  <c r="AE1280" i="2"/>
  <c r="R1280" i="2"/>
  <c r="P1280" i="2"/>
  <c r="AE1279" i="2"/>
  <c r="R1279" i="2"/>
  <c r="P1279" i="2"/>
  <c r="AE1278" i="2"/>
  <c r="R1278" i="2"/>
  <c r="P1278" i="2"/>
  <c r="AE1277" i="2"/>
  <c r="R1277" i="2"/>
  <c r="P1277" i="2"/>
  <c r="AE1276" i="2"/>
  <c r="R1276" i="2"/>
  <c r="P1276" i="2"/>
  <c r="AE1275" i="2"/>
  <c r="R1275" i="2"/>
  <c r="P1275" i="2"/>
  <c r="AE1274" i="2"/>
  <c r="R1274" i="2"/>
  <c r="P1274" i="2"/>
  <c r="AE1273" i="2"/>
  <c r="R1273" i="2"/>
  <c r="P1273" i="2"/>
  <c r="AE1272" i="2"/>
  <c r="R1272" i="2"/>
  <c r="P1272" i="2"/>
  <c r="AE1271" i="2"/>
  <c r="R1271" i="2"/>
  <c r="P1271" i="2"/>
  <c r="AE1270" i="2"/>
  <c r="R1270" i="2"/>
  <c r="P1270" i="2"/>
  <c r="AE1269" i="2"/>
  <c r="R1269" i="2"/>
  <c r="P1269" i="2"/>
  <c r="AE1268" i="2"/>
  <c r="R1268" i="2"/>
  <c r="P1268" i="2"/>
  <c r="AE1267" i="2"/>
  <c r="R1267" i="2"/>
  <c r="P1267" i="2"/>
  <c r="AE1266" i="2"/>
  <c r="R1266" i="2"/>
  <c r="P1266" i="2"/>
  <c r="AE1265" i="2"/>
  <c r="R1265" i="2"/>
  <c r="P1265" i="2"/>
  <c r="AE1264" i="2"/>
  <c r="R1264" i="2"/>
  <c r="P1264" i="2"/>
  <c r="AE1263" i="2"/>
  <c r="R1263" i="2"/>
  <c r="P1263" i="2"/>
  <c r="AE1262" i="2"/>
  <c r="R1262" i="2"/>
  <c r="P1262" i="2"/>
  <c r="AE1261" i="2"/>
  <c r="R1261" i="2"/>
  <c r="P1261" i="2"/>
  <c r="AE1260" i="2"/>
  <c r="R1260" i="2"/>
  <c r="P1260" i="2"/>
  <c r="AE1259" i="2"/>
  <c r="R1259" i="2"/>
  <c r="P1259" i="2"/>
  <c r="AE1258" i="2"/>
  <c r="R1258" i="2"/>
  <c r="P1258" i="2"/>
  <c r="AE1257" i="2"/>
  <c r="R1257" i="2"/>
  <c r="P1257" i="2"/>
  <c r="AE1256" i="2"/>
  <c r="R1256" i="2"/>
  <c r="P1256" i="2"/>
  <c r="AE1255" i="2"/>
  <c r="R1255" i="2"/>
  <c r="P1255" i="2"/>
  <c r="AE1254" i="2"/>
  <c r="R1254" i="2"/>
  <c r="P1254" i="2"/>
  <c r="AE1253" i="2"/>
  <c r="R1253" i="2"/>
  <c r="P1253" i="2"/>
  <c r="AE1252" i="2"/>
  <c r="R1252" i="2"/>
  <c r="P1252" i="2"/>
  <c r="AE1251" i="2"/>
  <c r="R1251" i="2"/>
  <c r="P1251" i="2"/>
  <c r="AE1250" i="2"/>
  <c r="R1250" i="2"/>
  <c r="P1250" i="2"/>
  <c r="AE1249" i="2"/>
  <c r="R1249" i="2"/>
  <c r="P1249" i="2"/>
  <c r="AE1248" i="2"/>
  <c r="R1248" i="2"/>
  <c r="P1248" i="2"/>
  <c r="AE1247" i="2"/>
  <c r="R1247" i="2"/>
  <c r="P1247" i="2"/>
  <c r="AE1246" i="2"/>
  <c r="R1246" i="2"/>
  <c r="P1246" i="2"/>
  <c r="AE1245" i="2"/>
  <c r="R1245" i="2"/>
  <c r="P1245" i="2"/>
  <c r="AE1244" i="2"/>
  <c r="R1244" i="2"/>
  <c r="P1244" i="2"/>
  <c r="AE1243" i="2"/>
  <c r="R1243" i="2"/>
  <c r="P1243" i="2"/>
  <c r="AE1242" i="2"/>
  <c r="R1242" i="2"/>
  <c r="P1242" i="2"/>
  <c r="AE1241" i="2"/>
  <c r="R1241" i="2"/>
  <c r="P1241" i="2"/>
  <c r="AE1240" i="2"/>
  <c r="R1240" i="2"/>
  <c r="P1240" i="2"/>
  <c r="AE1239" i="2"/>
  <c r="R1239" i="2"/>
  <c r="P1239" i="2"/>
  <c r="AE1238" i="2"/>
  <c r="R1238" i="2"/>
  <c r="P1238" i="2"/>
  <c r="AE1237" i="2"/>
  <c r="R1237" i="2"/>
  <c r="P1237" i="2"/>
  <c r="AE1236" i="2"/>
  <c r="R1236" i="2"/>
  <c r="P1236" i="2"/>
  <c r="AE1235" i="2"/>
  <c r="R1235" i="2"/>
  <c r="P1235" i="2"/>
  <c r="AE1234" i="2"/>
  <c r="R1234" i="2"/>
  <c r="P1234" i="2"/>
  <c r="AE1233" i="2"/>
  <c r="R1233" i="2"/>
  <c r="P1233" i="2"/>
  <c r="AE1232" i="2"/>
  <c r="R1232" i="2"/>
  <c r="P1232" i="2"/>
  <c r="AE1231" i="2"/>
  <c r="R1231" i="2"/>
  <c r="P1231" i="2"/>
  <c r="AE1230" i="2"/>
  <c r="R1230" i="2"/>
  <c r="P1230" i="2"/>
  <c r="AE1229" i="2"/>
  <c r="R1229" i="2"/>
  <c r="P1229" i="2"/>
  <c r="AE1228" i="2"/>
  <c r="R1228" i="2"/>
  <c r="P1228" i="2"/>
  <c r="AE1227" i="2"/>
  <c r="R1227" i="2"/>
  <c r="P1227" i="2"/>
  <c r="AE1226" i="2"/>
  <c r="R1226" i="2"/>
  <c r="P1226" i="2"/>
  <c r="AE1225" i="2"/>
  <c r="R1225" i="2"/>
  <c r="P1225" i="2"/>
  <c r="AE1224" i="2"/>
  <c r="R1224" i="2"/>
  <c r="P1224" i="2"/>
  <c r="AE1223" i="2"/>
  <c r="R1223" i="2"/>
  <c r="P1223" i="2"/>
  <c r="AE1222" i="2"/>
  <c r="R1222" i="2"/>
  <c r="P1222" i="2"/>
  <c r="AE1221" i="2"/>
  <c r="R1221" i="2"/>
  <c r="P1221" i="2"/>
  <c r="AE1220" i="2"/>
  <c r="R1220" i="2"/>
  <c r="P1220" i="2"/>
  <c r="AE1219" i="2"/>
  <c r="R1219" i="2"/>
  <c r="P1219" i="2"/>
  <c r="AE1218" i="2"/>
  <c r="R1218" i="2"/>
  <c r="P1218" i="2"/>
  <c r="AE1217" i="2"/>
  <c r="R1217" i="2"/>
  <c r="P1217" i="2"/>
  <c r="AE1216" i="2"/>
  <c r="R1216" i="2"/>
  <c r="P1216" i="2"/>
  <c r="AE1215" i="2"/>
  <c r="R1215" i="2"/>
  <c r="P1215" i="2"/>
  <c r="AE1214" i="2"/>
  <c r="R1214" i="2"/>
  <c r="P1214" i="2"/>
  <c r="AE1213" i="2"/>
  <c r="R1213" i="2"/>
  <c r="P1213" i="2"/>
  <c r="AE1212" i="2"/>
  <c r="R1212" i="2"/>
  <c r="P1212" i="2"/>
  <c r="AE1211" i="2"/>
  <c r="R1211" i="2"/>
  <c r="P1211" i="2"/>
  <c r="AE1210" i="2"/>
  <c r="R1210" i="2"/>
  <c r="P1210" i="2"/>
  <c r="AE1209" i="2"/>
  <c r="R1209" i="2"/>
  <c r="P1209" i="2"/>
  <c r="AE1208" i="2"/>
  <c r="R1208" i="2"/>
  <c r="P1208" i="2"/>
  <c r="AE1207" i="2"/>
  <c r="R1207" i="2"/>
  <c r="P1207" i="2"/>
  <c r="AE1206" i="2"/>
  <c r="R1206" i="2"/>
  <c r="P1206" i="2"/>
  <c r="AE1205" i="2"/>
  <c r="R1205" i="2"/>
  <c r="P1205" i="2"/>
  <c r="AE1204" i="2"/>
  <c r="R1204" i="2"/>
  <c r="P1204" i="2"/>
  <c r="AE1203" i="2"/>
  <c r="R1203" i="2"/>
  <c r="P1203" i="2"/>
  <c r="AE1202" i="2"/>
  <c r="R1202" i="2"/>
  <c r="P1202" i="2"/>
  <c r="AE1201" i="2"/>
  <c r="R1201" i="2"/>
  <c r="P1201" i="2"/>
  <c r="AE1200" i="2"/>
  <c r="R1200" i="2"/>
  <c r="P1200" i="2"/>
  <c r="AE1199" i="2"/>
  <c r="R1199" i="2"/>
  <c r="P1199" i="2"/>
  <c r="AE1198" i="2"/>
  <c r="R1198" i="2"/>
  <c r="P1198" i="2"/>
  <c r="AE1197" i="2"/>
  <c r="R1197" i="2"/>
  <c r="P1197" i="2"/>
  <c r="AE1196" i="2"/>
  <c r="R1196" i="2"/>
  <c r="P1196" i="2"/>
  <c r="AE1195" i="2"/>
  <c r="R1195" i="2"/>
  <c r="P1195" i="2"/>
  <c r="AE1194" i="2"/>
  <c r="R1194" i="2"/>
  <c r="P1194" i="2"/>
  <c r="AE1193" i="2"/>
  <c r="R1193" i="2"/>
  <c r="P1193" i="2"/>
  <c r="AE1192" i="2"/>
  <c r="R1192" i="2"/>
  <c r="P1192" i="2"/>
  <c r="AE1191" i="2"/>
  <c r="R1191" i="2"/>
  <c r="P1191" i="2"/>
  <c r="AE1190" i="2"/>
  <c r="R1190" i="2"/>
  <c r="P1190" i="2"/>
  <c r="AE1189" i="2"/>
  <c r="R1189" i="2"/>
  <c r="P1189" i="2"/>
  <c r="AE1188" i="2"/>
  <c r="R1188" i="2"/>
  <c r="P1188" i="2"/>
  <c r="AE1187" i="2"/>
  <c r="R1187" i="2"/>
  <c r="P1187" i="2"/>
  <c r="AE1186" i="2"/>
  <c r="R1186" i="2"/>
  <c r="P1186" i="2"/>
  <c r="AE1185" i="2"/>
  <c r="R1185" i="2"/>
  <c r="P1185" i="2"/>
  <c r="AE1184" i="2"/>
  <c r="R1184" i="2"/>
  <c r="P1184" i="2"/>
  <c r="AE1183" i="2"/>
  <c r="R1183" i="2"/>
  <c r="P1183" i="2"/>
  <c r="AE1182" i="2"/>
  <c r="R1182" i="2"/>
  <c r="P1182" i="2"/>
  <c r="AE1181" i="2"/>
  <c r="R1181" i="2"/>
  <c r="P1181" i="2"/>
  <c r="AE1180" i="2"/>
  <c r="R1180" i="2"/>
  <c r="P1180" i="2"/>
  <c r="AE1179" i="2"/>
  <c r="R1179" i="2"/>
  <c r="P1179" i="2"/>
  <c r="AE1178" i="2"/>
  <c r="R1178" i="2"/>
  <c r="P1178" i="2"/>
  <c r="AE1177" i="2"/>
  <c r="R1177" i="2"/>
  <c r="P1177" i="2"/>
  <c r="AE1176" i="2"/>
  <c r="R1176" i="2"/>
  <c r="P1176" i="2"/>
  <c r="AE1175" i="2"/>
  <c r="R1175" i="2"/>
  <c r="P1175" i="2"/>
  <c r="AE1174" i="2"/>
  <c r="R1174" i="2"/>
  <c r="P1174" i="2"/>
  <c r="AE1173" i="2"/>
  <c r="R1173" i="2"/>
  <c r="P1173" i="2"/>
  <c r="AE1172" i="2"/>
  <c r="R1172" i="2"/>
  <c r="P1172" i="2"/>
  <c r="AE1171" i="2"/>
  <c r="R1171" i="2"/>
  <c r="P1171" i="2"/>
  <c r="AE1170" i="2"/>
  <c r="R1170" i="2"/>
  <c r="P1170" i="2"/>
  <c r="AE1169" i="2"/>
  <c r="R1169" i="2"/>
  <c r="P1169" i="2"/>
  <c r="AE1168" i="2"/>
  <c r="R1168" i="2"/>
  <c r="P1168" i="2"/>
  <c r="AE1167" i="2"/>
  <c r="R1167" i="2"/>
  <c r="P1167" i="2"/>
  <c r="AE1166" i="2"/>
  <c r="R1166" i="2"/>
  <c r="P1166" i="2"/>
  <c r="AE1165" i="2"/>
  <c r="R1165" i="2"/>
  <c r="P1165" i="2"/>
  <c r="AE1164" i="2"/>
  <c r="R1164" i="2"/>
  <c r="P1164" i="2"/>
  <c r="AE1163" i="2"/>
  <c r="R1163" i="2"/>
  <c r="P1163" i="2"/>
  <c r="AE1162" i="2"/>
  <c r="R1162" i="2"/>
  <c r="P1162" i="2"/>
  <c r="AE1161" i="2"/>
  <c r="R1161" i="2"/>
  <c r="P1161" i="2"/>
  <c r="AE1160" i="2"/>
  <c r="R1160" i="2"/>
  <c r="P1160" i="2"/>
  <c r="AE1159" i="2"/>
  <c r="R1159" i="2"/>
  <c r="P1159" i="2"/>
  <c r="AE1158" i="2"/>
  <c r="R1158" i="2"/>
  <c r="P1158" i="2"/>
  <c r="AE1157" i="2"/>
  <c r="R1157" i="2"/>
  <c r="P1157" i="2"/>
  <c r="AE1156" i="2"/>
  <c r="R1156" i="2"/>
  <c r="P1156" i="2"/>
  <c r="AE1155" i="2"/>
  <c r="R1155" i="2"/>
  <c r="P1155" i="2"/>
  <c r="AE1154" i="2"/>
  <c r="R1154" i="2"/>
  <c r="P1154" i="2"/>
  <c r="AE1153" i="2"/>
  <c r="R1153" i="2"/>
  <c r="P1153" i="2"/>
  <c r="AE1152" i="2"/>
  <c r="R1152" i="2"/>
  <c r="P1152" i="2"/>
  <c r="AE1151" i="2"/>
  <c r="R1151" i="2"/>
  <c r="P1151" i="2"/>
  <c r="AE1150" i="2"/>
  <c r="R1150" i="2"/>
  <c r="P1150" i="2"/>
  <c r="AE1149" i="2"/>
  <c r="R1149" i="2"/>
  <c r="P1149" i="2"/>
  <c r="AE1148" i="2"/>
  <c r="R1148" i="2"/>
  <c r="P1148" i="2"/>
  <c r="AE1147" i="2"/>
  <c r="R1147" i="2"/>
  <c r="P1147" i="2"/>
  <c r="AE1146" i="2"/>
  <c r="R1146" i="2"/>
  <c r="P1146" i="2"/>
  <c r="AE1145" i="2"/>
  <c r="R1145" i="2"/>
  <c r="P1145" i="2"/>
  <c r="AE1144" i="2"/>
  <c r="R1144" i="2"/>
  <c r="P1144" i="2"/>
  <c r="AE1143" i="2"/>
  <c r="R1143" i="2"/>
  <c r="P1143" i="2"/>
  <c r="AE1142" i="2"/>
  <c r="R1142" i="2"/>
  <c r="P1142" i="2"/>
  <c r="AE1141" i="2"/>
  <c r="R1141" i="2"/>
  <c r="P1141" i="2"/>
  <c r="AE1140" i="2"/>
  <c r="R1140" i="2"/>
  <c r="P1140" i="2"/>
  <c r="AE1139" i="2"/>
  <c r="R1139" i="2"/>
  <c r="P1139" i="2"/>
  <c r="AE1138" i="2"/>
  <c r="R1138" i="2"/>
  <c r="P1138" i="2"/>
  <c r="AE1137" i="2"/>
  <c r="R1137" i="2"/>
  <c r="P1137" i="2"/>
  <c r="AE1136" i="2"/>
  <c r="R1136" i="2"/>
  <c r="P1136" i="2"/>
  <c r="AE1135" i="2"/>
  <c r="R1135" i="2"/>
  <c r="P1135" i="2"/>
  <c r="AE1134" i="2"/>
  <c r="R1134" i="2"/>
  <c r="P1134" i="2"/>
  <c r="AE1133" i="2"/>
  <c r="R1133" i="2"/>
  <c r="P1133" i="2"/>
  <c r="AE1132" i="2"/>
  <c r="R1132" i="2"/>
  <c r="P1132" i="2"/>
  <c r="AE1131" i="2"/>
  <c r="R1131" i="2"/>
  <c r="P1131" i="2"/>
  <c r="AE1130" i="2"/>
  <c r="R1130" i="2"/>
  <c r="P1130" i="2"/>
  <c r="AE1129" i="2"/>
  <c r="R1129" i="2"/>
  <c r="P1129" i="2"/>
  <c r="AE1128" i="2"/>
  <c r="R1128" i="2"/>
  <c r="P1128" i="2"/>
  <c r="AE1127" i="2"/>
  <c r="R1127" i="2"/>
  <c r="P1127" i="2"/>
  <c r="AE1126" i="2"/>
  <c r="R1126" i="2"/>
  <c r="P1126" i="2"/>
  <c r="AE1125" i="2"/>
  <c r="R1125" i="2"/>
  <c r="P1125" i="2"/>
  <c r="AE1124" i="2"/>
  <c r="R1124" i="2"/>
  <c r="P1124" i="2"/>
  <c r="AE1123" i="2"/>
  <c r="R1123" i="2"/>
  <c r="P1123" i="2"/>
  <c r="AE1122" i="2"/>
  <c r="R1122" i="2"/>
  <c r="P1122" i="2"/>
  <c r="AE1121" i="2"/>
  <c r="R1121" i="2"/>
  <c r="P1121" i="2"/>
  <c r="AE1120" i="2"/>
  <c r="R1120" i="2"/>
  <c r="P1120" i="2"/>
  <c r="AE1119" i="2"/>
  <c r="R1119" i="2"/>
  <c r="P1119" i="2"/>
  <c r="AE1118" i="2"/>
  <c r="R1118" i="2"/>
  <c r="P1118" i="2"/>
  <c r="AE1117" i="2"/>
  <c r="R1117" i="2"/>
  <c r="P1117" i="2"/>
  <c r="AE1116" i="2"/>
  <c r="R1116" i="2"/>
  <c r="P1116" i="2"/>
  <c r="AE1115" i="2"/>
  <c r="R1115" i="2"/>
  <c r="P1115" i="2"/>
  <c r="AE1114" i="2"/>
  <c r="R1114" i="2"/>
  <c r="P1114" i="2"/>
  <c r="AE1113" i="2"/>
  <c r="R1113" i="2"/>
  <c r="P1113" i="2"/>
  <c r="AE1112" i="2"/>
  <c r="R1112" i="2"/>
  <c r="P1112" i="2"/>
  <c r="AE1111" i="2"/>
  <c r="R1111" i="2"/>
  <c r="P1111" i="2"/>
  <c r="AE1110" i="2"/>
  <c r="R1110" i="2"/>
  <c r="P1110" i="2"/>
  <c r="AE1109" i="2"/>
  <c r="R1109" i="2"/>
  <c r="P1109" i="2"/>
  <c r="AE1108" i="2"/>
  <c r="R1108" i="2"/>
  <c r="P1108" i="2"/>
  <c r="AE1107" i="2"/>
  <c r="R1107" i="2"/>
  <c r="P1107" i="2"/>
  <c r="AE1106" i="2"/>
  <c r="R1106" i="2"/>
  <c r="P1106" i="2"/>
  <c r="AE1105" i="2"/>
  <c r="R1105" i="2"/>
  <c r="P1105" i="2"/>
  <c r="AE1104" i="2"/>
  <c r="R1104" i="2"/>
  <c r="P1104" i="2"/>
  <c r="AE1103" i="2"/>
  <c r="R1103" i="2"/>
  <c r="P1103" i="2"/>
  <c r="AE1102" i="2"/>
  <c r="R1102" i="2"/>
  <c r="P1102" i="2"/>
  <c r="AE1101" i="2"/>
  <c r="R1101" i="2"/>
  <c r="P1101" i="2"/>
  <c r="AE1100" i="2"/>
  <c r="R1100" i="2"/>
  <c r="P1100" i="2"/>
  <c r="AE1099" i="2"/>
  <c r="R1099" i="2"/>
  <c r="P1099" i="2"/>
  <c r="AE1098" i="2"/>
  <c r="R1098" i="2"/>
  <c r="P1098" i="2"/>
  <c r="AE1097" i="2"/>
  <c r="R1097" i="2"/>
  <c r="P1097" i="2"/>
  <c r="AE1096" i="2"/>
  <c r="R1096" i="2"/>
  <c r="P1096" i="2"/>
  <c r="AE1095" i="2"/>
  <c r="R1095" i="2"/>
  <c r="P1095" i="2"/>
  <c r="AE1094" i="2"/>
  <c r="R1094" i="2"/>
  <c r="P1094" i="2"/>
  <c r="AE1093" i="2"/>
  <c r="R1093" i="2"/>
  <c r="P1093" i="2"/>
  <c r="AE1092" i="2"/>
  <c r="R1092" i="2"/>
  <c r="P1092" i="2"/>
  <c r="AE1091" i="2"/>
  <c r="R1091" i="2"/>
  <c r="P1091" i="2"/>
  <c r="AE1090" i="2"/>
  <c r="R1090" i="2"/>
  <c r="P1090" i="2"/>
  <c r="AE1089" i="2"/>
  <c r="R1089" i="2"/>
  <c r="P1089" i="2"/>
  <c r="AE1088" i="2"/>
  <c r="R1088" i="2"/>
  <c r="P1088" i="2"/>
  <c r="AE1087" i="2"/>
  <c r="R1087" i="2"/>
  <c r="P1087" i="2"/>
  <c r="AE1086" i="2"/>
  <c r="R1086" i="2"/>
  <c r="P1086" i="2"/>
  <c r="AE1085" i="2"/>
  <c r="R1085" i="2"/>
  <c r="P1085" i="2"/>
  <c r="AE1084" i="2"/>
  <c r="R1084" i="2"/>
  <c r="P1084" i="2"/>
  <c r="AE1083" i="2"/>
  <c r="R1083" i="2"/>
  <c r="P1083" i="2"/>
  <c r="AE1082" i="2"/>
  <c r="R1082" i="2"/>
  <c r="P1082" i="2"/>
  <c r="AE1081" i="2"/>
  <c r="R1081" i="2"/>
  <c r="P1081" i="2"/>
  <c r="AE1080" i="2"/>
  <c r="R1080" i="2"/>
  <c r="P1080" i="2"/>
  <c r="AE1079" i="2"/>
  <c r="R1079" i="2"/>
  <c r="P1079" i="2"/>
  <c r="AE1078" i="2"/>
  <c r="R1078" i="2"/>
  <c r="P1078" i="2"/>
  <c r="AE1077" i="2"/>
  <c r="R1077" i="2"/>
  <c r="P1077" i="2"/>
  <c r="AE1076" i="2"/>
  <c r="R1076" i="2"/>
  <c r="P1076" i="2"/>
  <c r="AE1075" i="2"/>
  <c r="R1075" i="2"/>
  <c r="P1075" i="2"/>
  <c r="AE1074" i="2"/>
  <c r="R1074" i="2"/>
  <c r="P1074" i="2"/>
  <c r="AE1073" i="2"/>
  <c r="R1073" i="2"/>
  <c r="P1073" i="2"/>
  <c r="AE1072" i="2"/>
  <c r="R1072" i="2"/>
  <c r="P1072" i="2"/>
  <c r="AE1071" i="2"/>
  <c r="R1071" i="2"/>
  <c r="P1071" i="2"/>
  <c r="AE1070" i="2"/>
  <c r="R1070" i="2"/>
  <c r="P1070" i="2"/>
  <c r="AE1069" i="2"/>
  <c r="R1069" i="2"/>
  <c r="P1069" i="2"/>
  <c r="AE1068" i="2"/>
  <c r="R1068" i="2"/>
  <c r="P1068" i="2"/>
  <c r="AE1067" i="2"/>
  <c r="R1067" i="2"/>
  <c r="P1067" i="2"/>
  <c r="AE1066" i="2"/>
  <c r="R1066" i="2"/>
  <c r="AE1065" i="2"/>
  <c r="R1065" i="2"/>
  <c r="P1065" i="2"/>
  <c r="AE1064" i="2"/>
  <c r="R1064" i="2"/>
  <c r="P1064" i="2"/>
  <c r="AE1063" i="2"/>
  <c r="R1063" i="2"/>
  <c r="P1063" i="2"/>
  <c r="AE1062" i="2"/>
  <c r="R1062" i="2"/>
  <c r="P1062" i="2"/>
  <c r="AE1061" i="2"/>
  <c r="R1061" i="2"/>
  <c r="P1061" i="2"/>
  <c r="AE1060" i="2"/>
  <c r="R1060" i="2"/>
  <c r="P1060" i="2"/>
  <c r="AE1059" i="2"/>
  <c r="R1059" i="2"/>
  <c r="P1059" i="2"/>
  <c r="AE1058" i="2"/>
  <c r="R1058" i="2"/>
  <c r="P1058" i="2"/>
  <c r="AE1057" i="2"/>
  <c r="R1057" i="2"/>
  <c r="P1057" i="2"/>
  <c r="AE1056" i="2"/>
  <c r="R1056" i="2"/>
  <c r="P1056" i="2"/>
  <c r="AE1055" i="2"/>
  <c r="R1055" i="2"/>
  <c r="P1055" i="2"/>
  <c r="AE1054" i="2"/>
  <c r="R1054" i="2"/>
  <c r="P1054" i="2"/>
  <c r="AE1053" i="2"/>
  <c r="R1053" i="2"/>
  <c r="P1053" i="2"/>
  <c r="AE1052" i="2"/>
  <c r="R1052" i="2"/>
  <c r="P1052" i="2"/>
  <c r="AE1051" i="2"/>
  <c r="R1051" i="2"/>
  <c r="P1051" i="2"/>
  <c r="AE1050" i="2"/>
  <c r="R1050" i="2"/>
  <c r="P1050" i="2"/>
  <c r="AE1049" i="2"/>
  <c r="R1049" i="2"/>
  <c r="P1049" i="2"/>
  <c r="AE1048" i="2"/>
  <c r="R1048" i="2"/>
  <c r="P1048" i="2"/>
  <c r="AE1047" i="2"/>
  <c r="R1047" i="2"/>
  <c r="P1047" i="2"/>
  <c r="AE1046" i="2"/>
  <c r="R1046" i="2"/>
  <c r="P1046" i="2"/>
  <c r="AE1045" i="2"/>
  <c r="R1045" i="2"/>
  <c r="P1045" i="2"/>
  <c r="AE1044" i="2"/>
  <c r="R1044" i="2"/>
  <c r="P1044" i="2"/>
  <c r="AE1043" i="2"/>
  <c r="R1043" i="2"/>
  <c r="P1043" i="2"/>
  <c r="AE1042" i="2"/>
  <c r="R1042" i="2"/>
  <c r="P1042" i="2"/>
  <c r="AE1041" i="2"/>
  <c r="R1041" i="2"/>
  <c r="P1041" i="2"/>
  <c r="AE1040" i="2"/>
  <c r="R1040" i="2"/>
  <c r="P1040" i="2"/>
  <c r="AE1039" i="2"/>
  <c r="R1039" i="2"/>
  <c r="P1039" i="2"/>
  <c r="AE1038" i="2"/>
  <c r="R1038" i="2"/>
  <c r="P1038" i="2"/>
  <c r="AE1037" i="2"/>
  <c r="R1037" i="2"/>
  <c r="P1037" i="2"/>
  <c r="AE1036" i="2"/>
  <c r="R1036" i="2"/>
  <c r="P1036" i="2"/>
  <c r="AE1035" i="2"/>
  <c r="R1035" i="2"/>
  <c r="P1035" i="2"/>
  <c r="AE1034" i="2"/>
  <c r="R1034" i="2"/>
  <c r="P1034" i="2"/>
  <c r="AE1033" i="2"/>
  <c r="R1033" i="2"/>
  <c r="P1033" i="2"/>
  <c r="AE1032" i="2"/>
  <c r="R1032" i="2"/>
  <c r="P1032" i="2"/>
  <c r="AE1031" i="2"/>
  <c r="R1031" i="2"/>
  <c r="P1031" i="2"/>
  <c r="AE1030" i="2"/>
  <c r="R1030" i="2"/>
  <c r="P1030" i="2"/>
  <c r="AE1029" i="2"/>
  <c r="R1029" i="2"/>
  <c r="P1029" i="2"/>
  <c r="AE1028" i="2"/>
  <c r="R1028" i="2"/>
  <c r="P1028" i="2"/>
  <c r="AE1027" i="2"/>
  <c r="R1027" i="2"/>
  <c r="P1027" i="2"/>
  <c r="AE1026" i="2"/>
  <c r="R1026" i="2"/>
  <c r="P1026" i="2"/>
  <c r="AE1025" i="2"/>
  <c r="R1025" i="2"/>
  <c r="P1025" i="2"/>
  <c r="AE1024" i="2"/>
  <c r="R1024" i="2"/>
  <c r="P1024" i="2"/>
  <c r="AE1023" i="2"/>
  <c r="R1023" i="2"/>
  <c r="P1023" i="2"/>
  <c r="AE1022" i="2"/>
  <c r="R1022" i="2"/>
  <c r="P1022" i="2"/>
  <c r="AE1021" i="2"/>
  <c r="R1021" i="2"/>
  <c r="P1021" i="2"/>
  <c r="AE1020" i="2"/>
  <c r="R1020" i="2"/>
  <c r="P1020" i="2"/>
  <c r="AE1019" i="2"/>
  <c r="R1019" i="2"/>
  <c r="P1019" i="2"/>
  <c r="AE1018" i="2"/>
  <c r="R1018" i="2"/>
  <c r="P1018" i="2"/>
  <c r="AE1017" i="2"/>
  <c r="R1017" i="2"/>
  <c r="P1017" i="2"/>
  <c r="AE1016" i="2"/>
  <c r="R1016" i="2"/>
  <c r="P1016" i="2"/>
  <c r="AE1015" i="2"/>
  <c r="R1015" i="2"/>
  <c r="P1015" i="2"/>
  <c r="AE1014" i="2"/>
  <c r="R1014" i="2"/>
  <c r="P1014" i="2"/>
  <c r="AE1013" i="2"/>
  <c r="R1013" i="2"/>
  <c r="P1013" i="2"/>
  <c r="AE1012" i="2"/>
  <c r="R1012" i="2"/>
  <c r="P1012" i="2"/>
  <c r="AE1011" i="2"/>
  <c r="R1011" i="2"/>
  <c r="P1011" i="2"/>
  <c r="AE1010" i="2"/>
  <c r="R1010" i="2"/>
  <c r="P1010" i="2"/>
  <c r="AE1009" i="2"/>
  <c r="R1009" i="2"/>
  <c r="P1009" i="2"/>
  <c r="AE1008" i="2"/>
  <c r="R1008" i="2"/>
  <c r="P1008" i="2"/>
  <c r="AE1007" i="2"/>
  <c r="R1007" i="2"/>
  <c r="P1007" i="2"/>
  <c r="AE1006" i="2"/>
  <c r="R1006" i="2"/>
  <c r="P1006" i="2"/>
  <c r="AE1005" i="2"/>
  <c r="R1005" i="2"/>
  <c r="P1005" i="2"/>
  <c r="AE1004" i="2"/>
  <c r="R1004" i="2"/>
  <c r="P1004" i="2"/>
  <c r="AE1003" i="2"/>
  <c r="R1003" i="2"/>
  <c r="P1003" i="2"/>
  <c r="AE1002" i="2"/>
  <c r="R1002" i="2"/>
  <c r="P1002" i="2"/>
  <c r="AE1001" i="2"/>
  <c r="R1001" i="2"/>
  <c r="P1001" i="2"/>
  <c r="AE1000" i="2"/>
  <c r="R1000" i="2"/>
  <c r="P1000" i="2"/>
  <c r="AE999" i="2"/>
  <c r="R999" i="2"/>
  <c r="P999" i="2"/>
  <c r="AE998" i="2"/>
  <c r="R998" i="2"/>
  <c r="P998" i="2"/>
  <c r="AE997" i="2"/>
  <c r="R997" i="2"/>
  <c r="P997" i="2"/>
  <c r="AE996" i="2"/>
  <c r="R996" i="2"/>
  <c r="P996" i="2"/>
  <c r="AE995" i="2"/>
  <c r="R995" i="2"/>
  <c r="P995" i="2"/>
  <c r="AE994" i="2"/>
  <c r="R994" i="2"/>
  <c r="P994" i="2"/>
  <c r="AE993" i="2"/>
  <c r="R993" i="2"/>
  <c r="P993" i="2"/>
  <c r="AE992" i="2"/>
  <c r="R992" i="2"/>
  <c r="P992" i="2"/>
  <c r="AE991" i="2"/>
  <c r="R991" i="2"/>
  <c r="P991" i="2"/>
  <c r="AE990" i="2"/>
  <c r="R990" i="2"/>
  <c r="P990" i="2"/>
  <c r="AE989" i="2"/>
  <c r="R989" i="2"/>
  <c r="P989" i="2"/>
  <c r="AE988" i="2"/>
  <c r="R988" i="2"/>
  <c r="P988" i="2"/>
  <c r="AE987" i="2"/>
  <c r="R987" i="2"/>
  <c r="P987" i="2"/>
  <c r="AE986" i="2"/>
  <c r="R986" i="2"/>
  <c r="P986" i="2"/>
  <c r="AE985" i="2"/>
  <c r="R985" i="2"/>
  <c r="P985" i="2"/>
  <c r="AE984" i="2"/>
  <c r="R984" i="2"/>
  <c r="P984" i="2"/>
  <c r="AE983" i="2"/>
  <c r="R983" i="2"/>
  <c r="P983" i="2"/>
  <c r="AE982" i="2"/>
  <c r="R982" i="2"/>
  <c r="P982" i="2"/>
  <c r="AE981" i="2"/>
  <c r="R981" i="2"/>
  <c r="P981" i="2"/>
  <c r="AE980" i="2"/>
  <c r="R980" i="2"/>
  <c r="P980" i="2"/>
  <c r="AE979" i="2"/>
  <c r="R979" i="2"/>
  <c r="P979" i="2"/>
  <c r="AE978" i="2"/>
  <c r="R978" i="2"/>
  <c r="P978" i="2"/>
  <c r="AE977" i="2"/>
  <c r="R977" i="2"/>
  <c r="P977" i="2"/>
  <c r="AE976" i="2"/>
  <c r="R976" i="2"/>
  <c r="P976" i="2"/>
  <c r="AE975" i="2"/>
  <c r="R975" i="2"/>
  <c r="P975" i="2"/>
  <c r="AE974" i="2"/>
  <c r="R974" i="2"/>
  <c r="P974" i="2"/>
  <c r="AE973" i="2"/>
  <c r="R973" i="2"/>
  <c r="P973" i="2"/>
  <c r="AE972" i="2"/>
  <c r="R972" i="2"/>
  <c r="P972" i="2"/>
  <c r="AE971" i="2"/>
  <c r="R971" i="2"/>
  <c r="P971" i="2"/>
  <c r="AE970" i="2"/>
  <c r="R970" i="2"/>
  <c r="P970" i="2"/>
  <c r="AE969" i="2"/>
  <c r="R969" i="2"/>
  <c r="P969" i="2"/>
  <c r="AE968" i="2"/>
  <c r="R968" i="2"/>
  <c r="P968" i="2"/>
  <c r="AE967" i="2"/>
  <c r="R967" i="2"/>
  <c r="P967" i="2"/>
  <c r="AE966" i="2"/>
  <c r="R966" i="2"/>
  <c r="P966" i="2"/>
  <c r="AE965" i="2"/>
  <c r="R965" i="2"/>
  <c r="P965" i="2"/>
  <c r="AE964" i="2"/>
  <c r="R964" i="2"/>
  <c r="P964" i="2"/>
  <c r="AE963" i="2"/>
  <c r="R963" i="2"/>
  <c r="P963" i="2"/>
  <c r="AE962" i="2"/>
  <c r="R962" i="2"/>
  <c r="P962" i="2"/>
  <c r="AE961" i="2"/>
  <c r="R961" i="2"/>
  <c r="P961" i="2"/>
  <c r="AE960" i="2"/>
  <c r="R960" i="2"/>
  <c r="P960" i="2"/>
  <c r="AE959" i="2"/>
  <c r="R959" i="2"/>
  <c r="P959" i="2"/>
  <c r="AE958" i="2"/>
  <c r="R958" i="2"/>
  <c r="P958" i="2"/>
  <c r="AE957" i="2"/>
  <c r="R957" i="2"/>
  <c r="P957" i="2"/>
  <c r="AE956" i="2"/>
  <c r="R956" i="2"/>
  <c r="P956" i="2"/>
  <c r="AE955" i="2"/>
  <c r="R955" i="2"/>
  <c r="P955" i="2"/>
  <c r="AE954" i="2"/>
  <c r="R954" i="2"/>
  <c r="P954" i="2"/>
  <c r="AE953" i="2"/>
  <c r="R953" i="2"/>
  <c r="P953" i="2"/>
  <c r="AE952" i="2"/>
  <c r="R952" i="2"/>
  <c r="P952" i="2"/>
  <c r="AE951" i="2"/>
  <c r="R951" i="2"/>
  <c r="P951" i="2"/>
  <c r="AE950" i="2"/>
  <c r="R950" i="2"/>
  <c r="P950" i="2"/>
  <c r="AE949" i="2"/>
  <c r="R949" i="2"/>
  <c r="P949" i="2"/>
  <c r="AE948" i="2"/>
  <c r="R948" i="2"/>
  <c r="P948" i="2"/>
  <c r="AE947" i="2"/>
  <c r="R947" i="2"/>
  <c r="P947" i="2"/>
  <c r="AE946" i="2"/>
  <c r="R946" i="2"/>
  <c r="P946" i="2"/>
  <c r="AE945" i="2"/>
  <c r="R945" i="2"/>
  <c r="P945" i="2"/>
  <c r="AE944" i="2"/>
  <c r="R944" i="2"/>
  <c r="P944" i="2"/>
  <c r="AE943" i="2"/>
  <c r="R943" i="2"/>
  <c r="P943" i="2"/>
  <c r="AE942" i="2"/>
  <c r="R942" i="2"/>
  <c r="P942" i="2"/>
  <c r="AE941" i="2"/>
  <c r="R941" i="2"/>
  <c r="P941" i="2"/>
  <c r="AE940" i="2"/>
  <c r="R940" i="2"/>
  <c r="P940" i="2"/>
  <c r="AE939" i="2"/>
  <c r="R939" i="2"/>
  <c r="P939" i="2"/>
  <c r="AE938" i="2"/>
  <c r="R938" i="2"/>
  <c r="P938" i="2"/>
  <c r="AE937" i="2"/>
  <c r="R937" i="2"/>
  <c r="P937" i="2"/>
  <c r="AE936" i="2"/>
  <c r="R936" i="2"/>
  <c r="P936" i="2"/>
  <c r="AE935" i="2"/>
  <c r="R935" i="2"/>
  <c r="P935" i="2"/>
  <c r="AE934" i="2"/>
  <c r="R934" i="2"/>
  <c r="P934" i="2"/>
  <c r="AE933" i="2"/>
  <c r="R933" i="2"/>
  <c r="P933" i="2"/>
  <c r="AE932" i="2"/>
  <c r="R932" i="2"/>
  <c r="P932" i="2"/>
  <c r="AE931" i="2"/>
  <c r="R931" i="2"/>
  <c r="P931" i="2"/>
  <c r="AE930" i="2"/>
  <c r="R930" i="2"/>
  <c r="P930" i="2"/>
  <c r="AE929" i="2"/>
  <c r="R929" i="2"/>
  <c r="P929" i="2"/>
  <c r="AE928" i="2"/>
  <c r="R928" i="2"/>
  <c r="P928" i="2"/>
  <c r="AE927" i="2"/>
  <c r="R927" i="2"/>
  <c r="P927" i="2"/>
  <c r="AE926" i="2"/>
  <c r="R926" i="2"/>
  <c r="P926" i="2"/>
  <c r="AE925" i="2"/>
  <c r="R925" i="2"/>
  <c r="P925" i="2"/>
  <c r="AE924" i="2"/>
  <c r="R924" i="2"/>
  <c r="P924" i="2"/>
  <c r="AE923" i="2"/>
  <c r="R923" i="2"/>
  <c r="P923" i="2"/>
  <c r="AE922" i="2"/>
  <c r="R922" i="2"/>
  <c r="P922" i="2"/>
  <c r="AE921" i="2"/>
  <c r="R921" i="2"/>
  <c r="P921" i="2"/>
  <c r="AE920" i="2"/>
  <c r="R920" i="2"/>
  <c r="P920" i="2"/>
  <c r="AE919" i="2"/>
  <c r="R919" i="2"/>
  <c r="P919" i="2"/>
  <c r="AE918" i="2"/>
  <c r="R918" i="2"/>
  <c r="P918" i="2"/>
  <c r="AE917" i="2"/>
  <c r="R917" i="2"/>
  <c r="P917" i="2"/>
  <c r="AE916" i="2"/>
  <c r="R916" i="2"/>
  <c r="P916" i="2"/>
  <c r="AE915" i="2"/>
  <c r="R915" i="2"/>
  <c r="P915" i="2"/>
  <c r="AE914" i="2"/>
  <c r="R914" i="2"/>
  <c r="P914" i="2"/>
  <c r="AE913" i="2"/>
  <c r="R913" i="2"/>
  <c r="P913" i="2"/>
  <c r="AE912" i="2"/>
  <c r="R912" i="2"/>
  <c r="P912" i="2"/>
  <c r="AE911" i="2"/>
  <c r="R911" i="2"/>
  <c r="P911" i="2"/>
  <c r="AE910" i="2"/>
  <c r="R910" i="2"/>
  <c r="P910" i="2"/>
  <c r="AE909" i="2"/>
  <c r="R909" i="2"/>
  <c r="P909" i="2"/>
  <c r="AE908" i="2"/>
  <c r="R908" i="2"/>
  <c r="P908" i="2"/>
  <c r="AE907" i="2"/>
  <c r="R907" i="2"/>
  <c r="P907" i="2"/>
  <c r="AE906" i="2"/>
  <c r="R906" i="2"/>
  <c r="P906" i="2"/>
  <c r="AE905" i="2"/>
  <c r="R905" i="2"/>
  <c r="P905" i="2"/>
  <c r="AE904" i="2"/>
  <c r="R904" i="2"/>
  <c r="P904" i="2"/>
  <c r="AE903" i="2"/>
  <c r="R903" i="2"/>
  <c r="P903" i="2"/>
  <c r="AE902" i="2"/>
  <c r="R902" i="2"/>
  <c r="P902" i="2"/>
  <c r="AE901" i="2"/>
  <c r="R901" i="2"/>
  <c r="P901" i="2"/>
  <c r="AE900" i="2"/>
  <c r="R900" i="2"/>
  <c r="P900" i="2"/>
  <c r="AE899" i="2"/>
  <c r="R899" i="2"/>
  <c r="P899" i="2"/>
  <c r="AE898" i="2"/>
  <c r="R898" i="2"/>
  <c r="P898" i="2"/>
  <c r="AE897" i="2"/>
  <c r="R897" i="2"/>
  <c r="P897" i="2"/>
  <c r="AE896" i="2"/>
  <c r="R896" i="2"/>
  <c r="P896" i="2"/>
  <c r="AE895" i="2"/>
  <c r="R895" i="2"/>
  <c r="P895" i="2"/>
  <c r="AE894" i="2"/>
  <c r="R894" i="2"/>
  <c r="P894" i="2"/>
  <c r="AE893" i="2"/>
  <c r="R893" i="2"/>
  <c r="P893" i="2"/>
  <c r="AE892" i="2"/>
  <c r="R892" i="2"/>
  <c r="P892" i="2"/>
  <c r="AE891" i="2"/>
  <c r="R891" i="2"/>
  <c r="P891" i="2"/>
  <c r="AE890" i="2"/>
  <c r="R890" i="2"/>
  <c r="P890" i="2"/>
  <c r="AE889" i="2"/>
  <c r="R889" i="2"/>
  <c r="P889" i="2"/>
  <c r="AE888" i="2"/>
  <c r="R888" i="2"/>
  <c r="P888" i="2"/>
  <c r="AE887" i="2"/>
  <c r="R887" i="2"/>
  <c r="P887" i="2"/>
  <c r="AE886" i="2"/>
  <c r="R886" i="2"/>
  <c r="P886" i="2"/>
  <c r="AE885" i="2"/>
  <c r="R885" i="2"/>
  <c r="P885" i="2"/>
  <c r="AE884" i="2"/>
  <c r="R884" i="2"/>
  <c r="P884" i="2"/>
  <c r="AE883" i="2"/>
  <c r="R883" i="2"/>
  <c r="P883" i="2"/>
  <c r="AE882" i="2"/>
  <c r="R882" i="2"/>
  <c r="P882" i="2"/>
  <c r="AE881" i="2"/>
  <c r="R881" i="2"/>
  <c r="P881" i="2"/>
  <c r="AE880" i="2"/>
  <c r="R880" i="2"/>
  <c r="P880" i="2"/>
  <c r="AE879" i="2"/>
  <c r="R879" i="2"/>
  <c r="P879" i="2"/>
  <c r="AE878" i="2"/>
  <c r="R878" i="2"/>
  <c r="P878" i="2"/>
  <c r="AE877" i="2"/>
  <c r="R877" i="2"/>
  <c r="P877" i="2"/>
  <c r="AE876" i="2"/>
  <c r="R876" i="2"/>
  <c r="P876" i="2"/>
  <c r="AE875" i="2"/>
  <c r="R875" i="2"/>
  <c r="P875" i="2"/>
  <c r="AE874" i="2"/>
  <c r="R874" i="2"/>
  <c r="P874" i="2"/>
  <c r="AE873" i="2"/>
  <c r="R873" i="2"/>
  <c r="P873" i="2"/>
  <c r="AE872" i="2"/>
  <c r="R872" i="2"/>
  <c r="P872" i="2"/>
  <c r="AE871" i="2"/>
  <c r="R871" i="2"/>
  <c r="P871" i="2"/>
  <c r="AE870" i="2"/>
  <c r="R870" i="2"/>
  <c r="P870" i="2"/>
  <c r="AE869" i="2"/>
  <c r="R869" i="2"/>
  <c r="P869" i="2"/>
  <c r="AE868" i="2"/>
  <c r="R868" i="2"/>
  <c r="P868" i="2"/>
  <c r="AE867" i="2"/>
  <c r="R867" i="2"/>
  <c r="P867" i="2"/>
  <c r="AE866" i="2"/>
  <c r="R866" i="2"/>
  <c r="P866" i="2"/>
  <c r="AE865" i="2"/>
  <c r="R865" i="2"/>
  <c r="P865" i="2"/>
  <c r="AE864" i="2"/>
  <c r="R864" i="2"/>
  <c r="P864" i="2"/>
  <c r="AE863" i="2"/>
  <c r="R863" i="2"/>
  <c r="P863" i="2"/>
  <c r="AE862" i="2"/>
  <c r="R862" i="2"/>
  <c r="P862" i="2"/>
  <c r="AE861" i="2"/>
  <c r="R861" i="2"/>
  <c r="P861" i="2"/>
  <c r="AE860" i="2"/>
  <c r="R860" i="2"/>
  <c r="P860" i="2"/>
  <c r="AE859" i="2"/>
  <c r="R859" i="2"/>
  <c r="P859" i="2"/>
  <c r="AE858" i="2"/>
  <c r="R858" i="2"/>
  <c r="P858" i="2"/>
  <c r="AE857" i="2"/>
  <c r="R857" i="2"/>
  <c r="P857" i="2"/>
  <c r="AE856" i="2"/>
  <c r="R856" i="2"/>
  <c r="P856" i="2"/>
  <c r="AE855" i="2"/>
  <c r="R855" i="2"/>
  <c r="P855" i="2"/>
  <c r="AE854" i="2"/>
  <c r="R854" i="2"/>
  <c r="P854" i="2"/>
  <c r="AE853" i="2"/>
  <c r="R853" i="2"/>
  <c r="P853" i="2"/>
  <c r="AE852" i="2"/>
  <c r="R852" i="2"/>
  <c r="P852" i="2"/>
  <c r="AE851" i="2"/>
  <c r="R851" i="2"/>
  <c r="P851" i="2"/>
  <c r="AE850" i="2"/>
  <c r="R850" i="2"/>
  <c r="P850" i="2"/>
  <c r="AE849" i="2"/>
  <c r="R849" i="2"/>
  <c r="P849" i="2"/>
  <c r="AE848" i="2"/>
  <c r="R848" i="2"/>
  <c r="P848" i="2"/>
  <c r="AE847" i="2"/>
  <c r="R847" i="2"/>
  <c r="P847" i="2"/>
  <c r="AE846" i="2"/>
  <c r="R846" i="2"/>
  <c r="P846" i="2"/>
  <c r="AE845" i="2"/>
  <c r="R845" i="2"/>
  <c r="P845" i="2"/>
  <c r="AE844" i="2"/>
  <c r="R844" i="2"/>
  <c r="P844" i="2"/>
  <c r="AE843" i="2"/>
  <c r="R843" i="2"/>
  <c r="P843" i="2"/>
  <c r="AE842" i="2"/>
  <c r="R842" i="2"/>
  <c r="P842" i="2"/>
  <c r="AE841" i="2"/>
  <c r="R841" i="2"/>
  <c r="P841" i="2"/>
  <c r="AE840" i="2"/>
  <c r="R840" i="2"/>
  <c r="P840" i="2"/>
  <c r="AE839" i="2"/>
  <c r="R839" i="2"/>
  <c r="P839" i="2"/>
  <c r="AE838" i="2"/>
  <c r="R838" i="2"/>
  <c r="P838" i="2"/>
  <c r="AE837" i="2"/>
  <c r="R837" i="2"/>
  <c r="P837" i="2"/>
  <c r="AE836" i="2"/>
  <c r="R836" i="2"/>
  <c r="P836" i="2"/>
  <c r="AE835" i="2"/>
  <c r="R835" i="2"/>
  <c r="P835" i="2"/>
  <c r="AE834" i="2"/>
  <c r="R834" i="2"/>
  <c r="P834" i="2"/>
  <c r="AE833" i="2"/>
  <c r="R833" i="2"/>
  <c r="P833" i="2"/>
  <c r="AE832" i="2"/>
  <c r="R832" i="2"/>
  <c r="P832" i="2"/>
  <c r="AE831" i="2"/>
  <c r="R831" i="2"/>
  <c r="P831" i="2"/>
  <c r="AE830" i="2"/>
  <c r="R830" i="2"/>
  <c r="P830" i="2"/>
  <c r="AE829" i="2"/>
  <c r="R829" i="2"/>
  <c r="P829" i="2"/>
  <c r="AE828" i="2"/>
  <c r="R828" i="2"/>
  <c r="P828" i="2"/>
  <c r="AE827" i="2"/>
  <c r="R827" i="2"/>
  <c r="P827" i="2"/>
  <c r="AE826" i="2"/>
  <c r="R826" i="2"/>
  <c r="P826" i="2"/>
  <c r="AE825" i="2"/>
  <c r="R825" i="2"/>
  <c r="P825" i="2"/>
  <c r="AE824" i="2"/>
  <c r="R824" i="2"/>
  <c r="P824" i="2"/>
  <c r="AE823" i="2"/>
  <c r="R823" i="2"/>
  <c r="P823" i="2"/>
  <c r="AE822" i="2"/>
  <c r="R822" i="2"/>
  <c r="P822" i="2"/>
  <c r="AE821" i="2"/>
  <c r="R821" i="2"/>
  <c r="P821" i="2"/>
  <c r="AE820" i="2"/>
  <c r="R820" i="2"/>
  <c r="P820" i="2"/>
  <c r="AE819" i="2"/>
  <c r="R819" i="2"/>
  <c r="P819" i="2"/>
  <c r="AE818" i="2"/>
  <c r="R818" i="2"/>
  <c r="P818" i="2"/>
  <c r="AE817" i="2"/>
  <c r="R817" i="2"/>
  <c r="P817" i="2"/>
  <c r="AE816" i="2"/>
  <c r="R816" i="2"/>
  <c r="P816" i="2"/>
  <c r="AE815" i="2"/>
  <c r="R815" i="2"/>
  <c r="P815" i="2"/>
  <c r="AE814" i="2"/>
  <c r="R814" i="2"/>
  <c r="P814" i="2"/>
  <c r="AE813" i="2"/>
  <c r="R813" i="2"/>
  <c r="P813" i="2"/>
  <c r="AE812" i="2"/>
  <c r="R812" i="2"/>
  <c r="P812" i="2"/>
  <c r="AE811" i="2"/>
  <c r="R811" i="2"/>
  <c r="P811" i="2"/>
  <c r="AE810" i="2"/>
  <c r="R810" i="2"/>
  <c r="P810" i="2"/>
  <c r="AE809" i="2"/>
  <c r="R809" i="2"/>
  <c r="P809" i="2"/>
  <c r="AE808" i="2"/>
  <c r="R808" i="2"/>
  <c r="P808" i="2"/>
  <c r="AE807" i="2"/>
  <c r="R807" i="2"/>
  <c r="P807" i="2"/>
  <c r="AE806" i="2"/>
  <c r="R806" i="2"/>
  <c r="P806" i="2"/>
  <c r="AE805" i="2"/>
  <c r="R805" i="2"/>
  <c r="P805" i="2"/>
  <c r="AE804" i="2"/>
  <c r="R804" i="2"/>
  <c r="P804" i="2"/>
  <c r="AE803" i="2"/>
  <c r="R803" i="2"/>
  <c r="P803" i="2"/>
  <c r="AE802" i="2"/>
  <c r="R802" i="2"/>
  <c r="P802" i="2"/>
  <c r="AE801" i="2"/>
  <c r="R801" i="2"/>
  <c r="P801" i="2"/>
  <c r="AE800" i="2"/>
  <c r="R800" i="2"/>
  <c r="P800" i="2"/>
  <c r="AE799" i="2"/>
  <c r="R799" i="2"/>
  <c r="P799" i="2"/>
  <c r="AE798" i="2"/>
  <c r="R798" i="2"/>
  <c r="P798" i="2"/>
  <c r="AE797" i="2"/>
  <c r="R797" i="2"/>
  <c r="P797" i="2"/>
  <c r="AE796" i="2"/>
  <c r="R796" i="2"/>
  <c r="P796" i="2"/>
  <c r="AE795" i="2"/>
  <c r="R795" i="2"/>
  <c r="P795" i="2"/>
  <c r="AE794" i="2"/>
  <c r="R794" i="2"/>
  <c r="P794" i="2"/>
  <c r="AE793" i="2"/>
  <c r="R793" i="2"/>
  <c r="P793" i="2"/>
  <c r="AE792" i="2"/>
  <c r="R792" i="2"/>
  <c r="P792" i="2"/>
  <c r="AE791" i="2"/>
  <c r="R791" i="2"/>
  <c r="P791" i="2"/>
  <c r="AE790" i="2"/>
  <c r="R790" i="2"/>
  <c r="P790" i="2"/>
  <c r="AE789" i="2"/>
  <c r="R789" i="2"/>
  <c r="P789" i="2"/>
  <c r="AE788" i="2"/>
  <c r="R788" i="2"/>
  <c r="P788" i="2"/>
  <c r="AE787" i="2"/>
  <c r="R787" i="2"/>
  <c r="P787" i="2"/>
  <c r="AE786" i="2"/>
  <c r="R786" i="2"/>
  <c r="P786" i="2"/>
  <c r="AE785" i="2"/>
  <c r="R785" i="2"/>
  <c r="P785" i="2"/>
  <c r="AE784" i="2"/>
  <c r="R784" i="2"/>
  <c r="P784" i="2"/>
  <c r="AE783" i="2"/>
  <c r="R783" i="2"/>
  <c r="P783" i="2"/>
  <c r="AE782" i="2"/>
  <c r="R782" i="2"/>
  <c r="P782" i="2"/>
  <c r="AE781" i="2"/>
  <c r="R781" i="2"/>
  <c r="P781" i="2"/>
  <c r="AE780" i="2"/>
  <c r="R780" i="2"/>
  <c r="P780" i="2"/>
  <c r="AE779" i="2"/>
  <c r="R779" i="2"/>
  <c r="P779" i="2"/>
  <c r="AE778" i="2"/>
  <c r="R778" i="2"/>
  <c r="P778" i="2"/>
  <c r="AE777" i="2"/>
  <c r="R777" i="2"/>
  <c r="P777" i="2"/>
  <c r="AE776" i="2"/>
  <c r="R776" i="2"/>
  <c r="P776" i="2"/>
  <c r="AE775" i="2"/>
  <c r="R775" i="2"/>
  <c r="P775" i="2"/>
  <c r="AE774" i="2"/>
  <c r="R774" i="2"/>
  <c r="P774" i="2"/>
  <c r="AE773" i="2"/>
  <c r="R773" i="2"/>
  <c r="P773" i="2"/>
  <c r="AE772" i="2"/>
  <c r="R772" i="2"/>
  <c r="P772" i="2"/>
  <c r="AE771" i="2"/>
  <c r="R771" i="2"/>
  <c r="P771" i="2"/>
  <c r="AE770" i="2"/>
  <c r="R770" i="2"/>
  <c r="P770" i="2"/>
  <c r="AE769" i="2"/>
  <c r="R769" i="2"/>
  <c r="P769" i="2"/>
  <c r="AE768" i="2"/>
  <c r="R768" i="2"/>
  <c r="P768" i="2"/>
  <c r="AE767" i="2"/>
  <c r="R767" i="2"/>
  <c r="P767" i="2"/>
  <c r="AE766" i="2"/>
  <c r="R766" i="2"/>
  <c r="P766" i="2"/>
  <c r="AE765" i="2"/>
  <c r="R765" i="2"/>
  <c r="P765" i="2"/>
  <c r="AE764" i="2"/>
  <c r="R764" i="2"/>
  <c r="P764" i="2"/>
  <c r="AE763" i="2"/>
  <c r="R763" i="2"/>
  <c r="P763" i="2"/>
  <c r="AE762" i="2"/>
  <c r="R762" i="2"/>
  <c r="P762" i="2"/>
  <c r="AE761" i="2"/>
  <c r="R761" i="2"/>
  <c r="P761" i="2"/>
  <c r="AE760" i="2"/>
  <c r="R760" i="2"/>
  <c r="P760" i="2"/>
  <c r="AE759" i="2"/>
  <c r="R759" i="2"/>
  <c r="P759" i="2"/>
  <c r="AE758" i="2"/>
  <c r="R758" i="2"/>
  <c r="P758" i="2"/>
  <c r="AE757" i="2"/>
  <c r="R757" i="2"/>
  <c r="P757" i="2"/>
  <c r="AE756" i="2"/>
  <c r="R756" i="2"/>
  <c r="P756" i="2"/>
  <c r="AE755" i="2"/>
  <c r="R755" i="2"/>
  <c r="P755" i="2"/>
  <c r="AE754" i="2"/>
  <c r="R754" i="2"/>
  <c r="P754" i="2"/>
  <c r="AE753" i="2"/>
  <c r="R753" i="2"/>
  <c r="P753" i="2"/>
  <c r="AE752" i="2"/>
  <c r="R752" i="2"/>
  <c r="P752" i="2"/>
  <c r="AE751" i="2"/>
  <c r="R751" i="2"/>
  <c r="P751" i="2"/>
  <c r="AE750" i="2"/>
  <c r="R750" i="2"/>
  <c r="P750" i="2"/>
  <c r="AE749" i="2"/>
  <c r="R749" i="2"/>
  <c r="P749" i="2"/>
  <c r="AE748" i="2"/>
  <c r="R748" i="2"/>
  <c r="P748" i="2"/>
  <c r="AE747" i="2"/>
  <c r="R747" i="2"/>
  <c r="P747" i="2"/>
  <c r="AE746" i="2"/>
  <c r="R746" i="2"/>
  <c r="P746" i="2"/>
  <c r="AE745" i="2"/>
  <c r="R745" i="2"/>
  <c r="P745" i="2"/>
  <c r="AE744" i="2"/>
  <c r="R744" i="2"/>
  <c r="P744" i="2"/>
  <c r="AE743" i="2"/>
  <c r="R743" i="2"/>
  <c r="P743" i="2"/>
  <c r="AE742" i="2"/>
  <c r="R742" i="2"/>
  <c r="P742" i="2"/>
  <c r="AE741" i="2"/>
  <c r="R741" i="2"/>
  <c r="P741" i="2"/>
  <c r="AE740" i="2"/>
  <c r="R740" i="2"/>
  <c r="P740" i="2"/>
  <c r="AE739" i="2"/>
  <c r="R739" i="2"/>
  <c r="P739" i="2"/>
  <c r="AE738" i="2"/>
  <c r="R738" i="2"/>
  <c r="P738" i="2"/>
  <c r="AE737" i="2"/>
  <c r="R737" i="2"/>
  <c r="P737" i="2"/>
  <c r="AE736" i="2"/>
  <c r="R736" i="2"/>
  <c r="P736" i="2"/>
  <c r="AE735" i="2"/>
  <c r="R735" i="2"/>
  <c r="P735" i="2"/>
  <c r="AE734" i="2"/>
  <c r="R734" i="2"/>
  <c r="P734" i="2"/>
  <c r="AE733" i="2"/>
  <c r="R733" i="2"/>
  <c r="P733" i="2"/>
  <c r="AE732" i="2"/>
  <c r="R732" i="2"/>
  <c r="P732" i="2"/>
  <c r="AE731" i="2"/>
  <c r="R731" i="2"/>
  <c r="P731" i="2"/>
  <c r="AE730" i="2"/>
  <c r="R730" i="2"/>
  <c r="P730" i="2"/>
  <c r="AE729" i="2"/>
  <c r="R729" i="2"/>
  <c r="P729" i="2"/>
  <c r="AE728" i="2"/>
  <c r="R728" i="2"/>
  <c r="P728" i="2"/>
  <c r="AE727" i="2"/>
  <c r="R727" i="2"/>
  <c r="P727" i="2"/>
  <c r="AE726" i="2"/>
  <c r="R726" i="2"/>
  <c r="P726" i="2"/>
  <c r="AE725" i="2"/>
  <c r="R725" i="2"/>
  <c r="P725" i="2"/>
  <c r="AE724" i="2"/>
  <c r="R724" i="2"/>
  <c r="P724" i="2"/>
  <c r="AE723" i="2"/>
  <c r="R723" i="2"/>
  <c r="P723" i="2"/>
  <c r="AE722" i="2"/>
  <c r="R722" i="2"/>
  <c r="P722" i="2"/>
  <c r="AE721" i="2"/>
  <c r="R721" i="2"/>
  <c r="P721" i="2"/>
  <c r="AE720" i="2"/>
  <c r="R720" i="2"/>
  <c r="P720" i="2"/>
  <c r="AE719" i="2"/>
  <c r="R719" i="2"/>
  <c r="P719" i="2"/>
  <c r="AE718" i="2"/>
  <c r="R718" i="2"/>
  <c r="P718" i="2"/>
  <c r="AE717" i="2"/>
  <c r="R717" i="2"/>
  <c r="P717" i="2"/>
  <c r="AE716" i="2"/>
  <c r="R716" i="2"/>
  <c r="P716" i="2"/>
  <c r="AE715" i="2"/>
  <c r="R715" i="2"/>
  <c r="P715" i="2"/>
  <c r="AE714" i="2"/>
  <c r="R714" i="2"/>
  <c r="P714" i="2"/>
  <c r="AE713" i="2"/>
  <c r="R713" i="2"/>
  <c r="P713" i="2"/>
  <c r="AE712" i="2"/>
  <c r="R712" i="2"/>
  <c r="P712" i="2"/>
  <c r="AE711" i="2"/>
  <c r="R711" i="2"/>
  <c r="P711" i="2"/>
  <c r="AE710" i="2"/>
  <c r="R710" i="2"/>
  <c r="P710" i="2"/>
  <c r="AE709" i="2"/>
  <c r="R709" i="2"/>
  <c r="P709" i="2"/>
  <c r="AE708" i="2"/>
  <c r="R708" i="2"/>
  <c r="P708" i="2"/>
  <c r="AE707" i="2"/>
  <c r="R707" i="2"/>
  <c r="P707" i="2"/>
  <c r="AE706" i="2"/>
  <c r="R706" i="2"/>
  <c r="P706" i="2"/>
  <c r="AE705" i="2"/>
  <c r="R705" i="2"/>
  <c r="P705" i="2"/>
  <c r="AE704" i="2"/>
  <c r="R704" i="2"/>
  <c r="P704" i="2"/>
  <c r="AE703" i="2"/>
  <c r="R703" i="2"/>
  <c r="P703" i="2"/>
  <c r="AE702" i="2"/>
  <c r="R702" i="2"/>
  <c r="P702" i="2"/>
  <c r="AE701" i="2"/>
  <c r="R701" i="2"/>
  <c r="P701" i="2"/>
  <c r="AE700" i="2"/>
  <c r="R700" i="2"/>
  <c r="P700" i="2"/>
  <c r="AE699" i="2"/>
  <c r="R699" i="2"/>
  <c r="P699" i="2"/>
  <c r="AE698" i="2"/>
  <c r="R698" i="2"/>
  <c r="P698" i="2"/>
  <c r="AE697" i="2"/>
  <c r="R697" i="2"/>
  <c r="P697" i="2"/>
  <c r="AE696" i="2"/>
  <c r="R696" i="2"/>
  <c r="P696" i="2"/>
  <c r="AE695" i="2"/>
  <c r="R695" i="2"/>
  <c r="P695" i="2"/>
  <c r="AE694" i="2"/>
  <c r="R694" i="2"/>
  <c r="P694" i="2"/>
  <c r="AE693" i="2"/>
  <c r="R693" i="2"/>
  <c r="P693" i="2"/>
  <c r="AE692" i="2"/>
  <c r="R692" i="2"/>
  <c r="P692" i="2"/>
  <c r="AE691" i="2"/>
  <c r="R691" i="2"/>
  <c r="P691" i="2"/>
  <c r="AE690" i="2"/>
  <c r="R690" i="2"/>
  <c r="P690" i="2"/>
  <c r="AE689" i="2"/>
  <c r="R689" i="2"/>
  <c r="P689" i="2"/>
  <c r="AE688" i="2"/>
  <c r="R688" i="2"/>
  <c r="P688" i="2"/>
  <c r="AE687" i="2"/>
  <c r="R687" i="2"/>
  <c r="P687" i="2"/>
  <c r="AE686" i="2"/>
  <c r="R686" i="2"/>
  <c r="P686" i="2"/>
  <c r="AE685" i="2"/>
  <c r="R685" i="2"/>
  <c r="P685" i="2"/>
  <c r="AE684" i="2"/>
  <c r="R684" i="2"/>
  <c r="P684" i="2"/>
  <c r="AE683" i="2"/>
  <c r="R683" i="2"/>
  <c r="P683" i="2"/>
  <c r="AE682" i="2"/>
  <c r="R682" i="2"/>
  <c r="P682" i="2"/>
  <c r="AE681" i="2"/>
  <c r="R681" i="2"/>
  <c r="P681" i="2"/>
  <c r="AE680" i="2"/>
  <c r="R680" i="2"/>
  <c r="P680" i="2"/>
  <c r="AE679" i="2"/>
  <c r="R679" i="2"/>
  <c r="P679" i="2"/>
  <c r="AE678" i="2"/>
  <c r="R678" i="2"/>
  <c r="P678" i="2"/>
  <c r="AE677" i="2"/>
  <c r="R677" i="2"/>
  <c r="P677" i="2"/>
  <c r="AE676" i="2"/>
  <c r="R676" i="2"/>
  <c r="P676" i="2"/>
  <c r="AE675" i="2"/>
  <c r="R675" i="2"/>
  <c r="P675" i="2"/>
  <c r="AE674" i="2"/>
  <c r="R674" i="2"/>
  <c r="P674" i="2"/>
  <c r="AE673" i="2"/>
  <c r="R673" i="2"/>
  <c r="P673" i="2"/>
  <c r="AE672" i="2"/>
  <c r="R672" i="2"/>
  <c r="P672" i="2"/>
  <c r="AE671" i="2"/>
  <c r="R671" i="2"/>
  <c r="P671" i="2"/>
  <c r="AE670" i="2"/>
  <c r="R670" i="2"/>
  <c r="P670" i="2"/>
  <c r="AE669" i="2"/>
  <c r="R669" i="2"/>
  <c r="P669" i="2"/>
  <c r="AE668" i="2"/>
  <c r="R668" i="2"/>
  <c r="P668" i="2"/>
  <c r="AE667" i="2"/>
  <c r="R667" i="2"/>
  <c r="P667" i="2"/>
  <c r="AE666" i="2"/>
  <c r="R666" i="2"/>
  <c r="P666" i="2"/>
  <c r="AE665" i="2"/>
  <c r="R665" i="2"/>
  <c r="P665" i="2"/>
  <c r="AE664" i="2"/>
  <c r="R664" i="2"/>
  <c r="P664" i="2"/>
  <c r="AE663" i="2"/>
  <c r="R663" i="2"/>
  <c r="P663" i="2"/>
  <c r="AE662" i="2"/>
  <c r="R662" i="2"/>
  <c r="P662" i="2"/>
  <c r="AE661" i="2"/>
  <c r="R661" i="2"/>
  <c r="P661" i="2"/>
  <c r="AE660" i="2"/>
  <c r="R660" i="2"/>
  <c r="P660" i="2"/>
  <c r="AE659" i="2"/>
  <c r="R659" i="2"/>
  <c r="P659" i="2"/>
  <c r="AE658" i="2"/>
  <c r="R658" i="2"/>
  <c r="P658" i="2"/>
  <c r="AE657" i="2"/>
  <c r="R657" i="2"/>
  <c r="P657" i="2"/>
  <c r="AE656" i="2"/>
  <c r="R656" i="2"/>
  <c r="P656" i="2"/>
  <c r="AE655" i="2"/>
  <c r="R655" i="2"/>
  <c r="P655" i="2"/>
  <c r="AE654" i="2"/>
  <c r="R654" i="2"/>
  <c r="P654" i="2"/>
  <c r="AE653" i="2"/>
  <c r="R653" i="2"/>
  <c r="P653" i="2"/>
  <c r="AE652" i="2"/>
  <c r="R652" i="2"/>
  <c r="P652" i="2"/>
  <c r="AE651" i="2"/>
  <c r="R651" i="2"/>
  <c r="P651" i="2"/>
  <c r="AE650" i="2"/>
  <c r="R650" i="2"/>
  <c r="P650" i="2"/>
  <c r="AE649" i="2"/>
  <c r="R649" i="2"/>
  <c r="P649" i="2"/>
  <c r="AE648" i="2"/>
  <c r="R648" i="2"/>
  <c r="P648" i="2"/>
  <c r="AE647" i="2"/>
  <c r="R647" i="2"/>
  <c r="P647" i="2"/>
  <c r="AE646" i="2"/>
  <c r="R646" i="2"/>
  <c r="P646" i="2"/>
  <c r="AE645" i="2"/>
  <c r="R645" i="2"/>
  <c r="P645" i="2"/>
  <c r="AE644" i="2"/>
  <c r="R644" i="2"/>
  <c r="P644" i="2"/>
  <c r="AE643" i="2"/>
  <c r="R643" i="2"/>
  <c r="P643" i="2"/>
  <c r="AE642" i="2"/>
  <c r="R642" i="2"/>
  <c r="P642" i="2"/>
  <c r="AE641" i="2"/>
  <c r="R641" i="2"/>
  <c r="P641" i="2"/>
  <c r="AE640" i="2"/>
  <c r="R640" i="2"/>
  <c r="P640" i="2"/>
  <c r="AE639" i="2"/>
  <c r="R639" i="2"/>
  <c r="P639" i="2"/>
  <c r="AE638" i="2"/>
  <c r="R638" i="2"/>
  <c r="P638" i="2"/>
  <c r="AE637" i="2"/>
  <c r="R637" i="2"/>
  <c r="P637" i="2"/>
  <c r="AE636" i="2"/>
  <c r="R636" i="2"/>
  <c r="P636" i="2"/>
  <c r="AE635" i="2"/>
  <c r="R635" i="2"/>
  <c r="P635" i="2"/>
  <c r="AE634" i="2"/>
  <c r="R634" i="2"/>
  <c r="P634" i="2"/>
  <c r="AE633" i="2"/>
  <c r="R633" i="2"/>
  <c r="P633" i="2"/>
  <c r="AE632" i="2"/>
  <c r="R632" i="2"/>
  <c r="P632" i="2"/>
  <c r="AE631" i="2"/>
  <c r="R631" i="2"/>
  <c r="P631" i="2"/>
  <c r="AE630" i="2"/>
  <c r="R630" i="2"/>
  <c r="P630" i="2"/>
  <c r="AE629" i="2"/>
  <c r="R629" i="2"/>
  <c r="P629" i="2"/>
  <c r="AE628" i="2"/>
  <c r="R628" i="2"/>
  <c r="P628" i="2"/>
  <c r="AE627" i="2"/>
  <c r="R627" i="2"/>
  <c r="P627" i="2"/>
  <c r="AE626" i="2"/>
  <c r="R626" i="2"/>
  <c r="P626" i="2"/>
  <c r="AE625" i="2"/>
  <c r="R625" i="2"/>
  <c r="P625" i="2"/>
  <c r="AE624" i="2"/>
  <c r="R624" i="2"/>
  <c r="P624" i="2"/>
  <c r="AE623" i="2"/>
  <c r="R623" i="2"/>
  <c r="P623" i="2"/>
  <c r="AE622" i="2"/>
  <c r="R622" i="2"/>
  <c r="P622" i="2"/>
  <c r="AE621" i="2"/>
  <c r="R621" i="2"/>
  <c r="P621" i="2"/>
  <c r="AE620" i="2"/>
  <c r="R620" i="2"/>
  <c r="P620" i="2"/>
  <c r="AE619" i="2"/>
  <c r="R619" i="2"/>
  <c r="P619" i="2"/>
  <c r="AE618" i="2"/>
  <c r="R618" i="2"/>
  <c r="P618" i="2"/>
  <c r="AE617" i="2"/>
  <c r="R617" i="2"/>
  <c r="P617" i="2"/>
  <c r="AE616" i="2"/>
  <c r="R616" i="2"/>
  <c r="P616" i="2"/>
  <c r="AE615" i="2"/>
  <c r="R615" i="2"/>
  <c r="P615" i="2"/>
  <c r="AE614" i="2"/>
  <c r="R614" i="2"/>
  <c r="P614" i="2"/>
  <c r="AE613" i="2"/>
  <c r="R613" i="2"/>
  <c r="P613" i="2"/>
  <c r="AE612" i="2"/>
  <c r="R612" i="2"/>
  <c r="P612" i="2"/>
  <c r="AE611" i="2"/>
  <c r="R611" i="2"/>
  <c r="P611" i="2"/>
  <c r="AE610" i="2"/>
  <c r="R610" i="2"/>
  <c r="P610" i="2"/>
  <c r="AE609" i="2"/>
  <c r="R609" i="2"/>
  <c r="P609" i="2"/>
  <c r="AE608" i="2"/>
  <c r="R608" i="2"/>
  <c r="P608" i="2"/>
  <c r="AE607" i="2"/>
  <c r="R607" i="2"/>
  <c r="P607" i="2"/>
  <c r="AE606" i="2"/>
  <c r="R606" i="2"/>
  <c r="P606" i="2"/>
  <c r="AE605" i="2"/>
  <c r="R605" i="2"/>
  <c r="P605" i="2"/>
  <c r="AE604" i="2"/>
  <c r="R604" i="2"/>
  <c r="P604" i="2"/>
  <c r="AE603" i="2"/>
  <c r="R603" i="2"/>
  <c r="P603" i="2"/>
  <c r="AE602" i="2"/>
  <c r="R602" i="2"/>
  <c r="P602" i="2"/>
  <c r="AE601" i="2"/>
  <c r="R601" i="2"/>
  <c r="P601" i="2"/>
  <c r="AE600" i="2"/>
  <c r="R600" i="2"/>
  <c r="P600" i="2"/>
  <c r="AE599" i="2"/>
  <c r="R599" i="2"/>
  <c r="P599" i="2"/>
  <c r="AE598" i="2"/>
  <c r="R598" i="2"/>
  <c r="P598" i="2"/>
  <c r="AE597" i="2"/>
  <c r="R597" i="2"/>
  <c r="P597" i="2"/>
  <c r="AE596" i="2"/>
  <c r="R596" i="2"/>
  <c r="P596" i="2"/>
  <c r="AE595" i="2"/>
  <c r="R595" i="2"/>
  <c r="P595" i="2"/>
  <c r="AE594" i="2"/>
  <c r="R594" i="2"/>
  <c r="P594" i="2"/>
  <c r="AE593" i="2"/>
  <c r="R593" i="2"/>
  <c r="P593" i="2"/>
  <c r="AE592" i="2"/>
  <c r="R592" i="2"/>
  <c r="P592" i="2"/>
  <c r="AE591" i="2"/>
  <c r="R591" i="2"/>
  <c r="P591" i="2"/>
  <c r="AE590" i="2"/>
  <c r="R590" i="2"/>
  <c r="P590" i="2"/>
  <c r="AE589" i="2"/>
  <c r="R589" i="2"/>
  <c r="P589" i="2"/>
  <c r="AE588" i="2"/>
  <c r="R588" i="2"/>
  <c r="P588" i="2"/>
  <c r="AE587" i="2"/>
  <c r="R587" i="2"/>
  <c r="P587" i="2"/>
  <c r="AE586" i="2"/>
  <c r="R586" i="2"/>
  <c r="P586" i="2"/>
  <c r="AE585" i="2"/>
  <c r="R585" i="2"/>
  <c r="P585" i="2"/>
  <c r="AE584" i="2"/>
  <c r="R584" i="2"/>
  <c r="P584" i="2"/>
  <c r="AE583" i="2"/>
  <c r="R583" i="2"/>
  <c r="P583" i="2"/>
  <c r="AE582" i="2"/>
  <c r="R582" i="2"/>
  <c r="P582" i="2"/>
  <c r="AE581" i="2"/>
  <c r="R581" i="2"/>
  <c r="P581" i="2"/>
  <c r="AE580" i="2"/>
  <c r="R580" i="2"/>
  <c r="P580" i="2"/>
  <c r="AE579" i="2"/>
  <c r="R579" i="2"/>
  <c r="P579" i="2"/>
  <c r="AE578" i="2"/>
  <c r="R578" i="2"/>
  <c r="P578" i="2"/>
  <c r="AE577" i="2"/>
  <c r="R577" i="2"/>
  <c r="P577" i="2"/>
  <c r="AE576" i="2"/>
  <c r="R576" i="2"/>
  <c r="P576" i="2"/>
  <c r="AE575" i="2"/>
  <c r="R575" i="2"/>
  <c r="P575" i="2"/>
  <c r="AE574" i="2"/>
  <c r="R574" i="2"/>
  <c r="P574" i="2"/>
  <c r="AE573" i="2"/>
  <c r="R573" i="2"/>
  <c r="P573" i="2"/>
  <c r="AE572" i="2"/>
  <c r="R572" i="2"/>
  <c r="P572" i="2"/>
  <c r="AE571" i="2"/>
  <c r="R571" i="2"/>
  <c r="P571" i="2"/>
  <c r="AE570" i="2"/>
  <c r="R570" i="2"/>
  <c r="P570" i="2"/>
  <c r="AE569" i="2"/>
  <c r="R569" i="2"/>
  <c r="P569" i="2"/>
  <c r="AE568" i="2"/>
  <c r="R568" i="2"/>
  <c r="P568" i="2"/>
  <c r="AE567" i="2"/>
  <c r="R567" i="2"/>
  <c r="P567" i="2"/>
  <c r="AE566" i="2"/>
  <c r="R566" i="2"/>
  <c r="P566" i="2"/>
  <c r="AE565" i="2"/>
  <c r="R565" i="2"/>
  <c r="P565" i="2"/>
  <c r="AE564" i="2"/>
  <c r="R564" i="2"/>
  <c r="P564" i="2"/>
  <c r="AE563" i="2"/>
  <c r="R563" i="2"/>
  <c r="P563" i="2"/>
  <c r="AE562" i="2"/>
  <c r="R562" i="2"/>
  <c r="P562" i="2"/>
  <c r="AE561" i="2"/>
  <c r="R561" i="2"/>
  <c r="P561" i="2"/>
  <c r="AE560" i="2"/>
  <c r="R560" i="2"/>
  <c r="P560" i="2"/>
  <c r="AE559" i="2"/>
  <c r="R559" i="2"/>
  <c r="P559" i="2"/>
  <c r="AE558" i="2"/>
  <c r="R558" i="2"/>
  <c r="P558" i="2"/>
  <c r="AE557" i="2"/>
  <c r="R557" i="2"/>
  <c r="P557" i="2"/>
  <c r="AE556" i="2"/>
  <c r="R556" i="2"/>
  <c r="P556" i="2"/>
  <c r="AE555" i="2"/>
  <c r="R555" i="2"/>
  <c r="P555" i="2"/>
  <c r="AE554" i="2"/>
  <c r="R554" i="2"/>
  <c r="P554" i="2"/>
  <c r="AE553" i="2"/>
  <c r="R553" i="2"/>
  <c r="P553" i="2"/>
  <c r="AE552" i="2"/>
  <c r="R552" i="2"/>
  <c r="P552" i="2"/>
  <c r="AE551" i="2"/>
  <c r="R551" i="2"/>
  <c r="P551" i="2"/>
  <c r="AE550" i="2"/>
  <c r="R550" i="2"/>
  <c r="P550" i="2"/>
  <c r="AE549" i="2"/>
  <c r="R549" i="2"/>
  <c r="P549" i="2"/>
  <c r="AE548" i="2"/>
  <c r="R548" i="2"/>
  <c r="P548" i="2"/>
  <c r="AE547" i="2"/>
  <c r="R547" i="2"/>
  <c r="P547" i="2"/>
  <c r="AE546" i="2"/>
  <c r="R546" i="2"/>
  <c r="P546" i="2"/>
  <c r="AE545" i="2"/>
  <c r="R545" i="2"/>
  <c r="P545" i="2"/>
  <c r="AE544" i="2"/>
  <c r="R544" i="2"/>
  <c r="P544" i="2"/>
  <c r="AE543" i="2"/>
  <c r="R543" i="2"/>
  <c r="P543" i="2"/>
  <c r="AE542" i="2"/>
  <c r="R542" i="2"/>
  <c r="P542" i="2"/>
  <c r="AE541" i="2"/>
  <c r="R541" i="2"/>
  <c r="P541" i="2"/>
  <c r="AE540" i="2"/>
  <c r="R540" i="2"/>
  <c r="P540" i="2"/>
  <c r="AE539" i="2"/>
  <c r="R539" i="2"/>
  <c r="P539" i="2"/>
  <c r="AE538" i="2"/>
  <c r="R538" i="2"/>
  <c r="P538" i="2"/>
  <c r="AE537" i="2"/>
  <c r="R537" i="2"/>
  <c r="P537" i="2"/>
  <c r="AE536" i="2"/>
  <c r="R536" i="2"/>
  <c r="P536" i="2"/>
  <c r="AE535" i="2"/>
  <c r="R535" i="2"/>
  <c r="P535" i="2"/>
  <c r="AE534" i="2"/>
  <c r="R534" i="2"/>
  <c r="P534" i="2"/>
  <c r="AE533" i="2"/>
  <c r="R533" i="2"/>
  <c r="P533" i="2"/>
  <c r="AE532" i="2"/>
  <c r="R532" i="2"/>
  <c r="P532" i="2"/>
  <c r="AE531" i="2"/>
  <c r="R531" i="2"/>
  <c r="P531" i="2"/>
  <c r="AE530" i="2"/>
  <c r="R530" i="2"/>
  <c r="P530" i="2"/>
  <c r="AE529" i="2"/>
  <c r="R529" i="2"/>
  <c r="P529" i="2"/>
  <c r="AE528" i="2"/>
  <c r="R528" i="2"/>
  <c r="P528" i="2"/>
  <c r="AE527" i="2"/>
  <c r="R527" i="2"/>
  <c r="P527" i="2"/>
  <c r="AE526" i="2"/>
  <c r="R526" i="2"/>
  <c r="P526" i="2"/>
  <c r="AE525" i="2"/>
  <c r="R525" i="2"/>
  <c r="P525" i="2"/>
  <c r="AE524" i="2"/>
  <c r="R524" i="2"/>
  <c r="P524" i="2"/>
  <c r="AE523" i="2"/>
  <c r="R523" i="2"/>
  <c r="P523" i="2"/>
  <c r="AE522" i="2"/>
  <c r="R522" i="2"/>
  <c r="P522" i="2"/>
  <c r="AE521" i="2"/>
  <c r="R521" i="2"/>
  <c r="P521" i="2"/>
  <c r="AE520" i="2"/>
  <c r="R520" i="2"/>
  <c r="P520" i="2"/>
  <c r="AE519" i="2"/>
  <c r="R519" i="2"/>
  <c r="P519" i="2"/>
  <c r="AE518" i="2"/>
  <c r="R518" i="2"/>
  <c r="P518" i="2"/>
  <c r="AE517" i="2"/>
  <c r="R517" i="2"/>
  <c r="P517" i="2"/>
  <c r="AE516" i="2"/>
  <c r="R516" i="2"/>
  <c r="P516" i="2"/>
  <c r="AE515" i="2"/>
  <c r="R515" i="2"/>
  <c r="P515" i="2"/>
  <c r="AE514" i="2"/>
  <c r="R514" i="2"/>
  <c r="P514" i="2"/>
  <c r="AE513" i="2"/>
  <c r="R513" i="2"/>
  <c r="P513" i="2"/>
  <c r="AE512" i="2"/>
  <c r="R512" i="2"/>
  <c r="P512" i="2"/>
  <c r="AE511" i="2"/>
  <c r="R511" i="2"/>
  <c r="P511" i="2"/>
  <c r="AE510" i="2"/>
  <c r="R510" i="2"/>
  <c r="P510" i="2"/>
  <c r="AE509" i="2"/>
  <c r="R509" i="2"/>
  <c r="P509" i="2"/>
  <c r="AE508" i="2"/>
  <c r="R508" i="2"/>
  <c r="P508" i="2"/>
  <c r="AE507" i="2"/>
  <c r="R507" i="2"/>
  <c r="P507" i="2"/>
  <c r="AE506" i="2"/>
  <c r="R506" i="2"/>
  <c r="P506" i="2"/>
  <c r="AE505" i="2"/>
  <c r="R505" i="2"/>
  <c r="P505" i="2"/>
  <c r="AE504" i="2"/>
  <c r="R504" i="2"/>
  <c r="P504" i="2"/>
  <c r="AE503" i="2"/>
  <c r="R503" i="2"/>
  <c r="P503" i="2"/>
  <c r="AE502" i="2"/>
  <c r="R502" i="2"/>
  <c r="P502" i="2"/>
  <c r="AE501" i="2"/>
  <c r="R501" i="2"/>
  <c r="P501" i="2"/>
  <c r="AE500" i="2"/>
  <c r="R500" i="2"/>
  <c r="P500" i="2"/>
  <c r="AE499" i="2"/>
  <c r="R499" i="2"/>
  <c r="P499" i="2"/>
  <c r="AE498" i="2"/>
  <c r="R498" i="2"/>
  <c r="P498" i="2"/>
  <c r="AE497" i="2"/>
  <c r="R497" i="2"/>
  <c r="P497" i="2"/>
  <c r="AE496" i="2"/>
  <c r="R496" i="2"/>
  <c r="P496" i="2"/>
  <c r="AE495" i="2"/>
  <c r="R495" i="2"/>
  <c r="P495" i="2"/>
  <c r="AE494" i="2"/>
  <c r="R494" i="2"/>
  <c r="P494" i="2"/>
  <c r="AE493" i="2"/>
  <c r="R493" i="2"/>
  <c r="P493" i="2"/>
  <c r="AE492" i="2"/>
  <c r="R492" i="2"/>
  <c r="P492" i="2"/>
  <c r="AE491" i="2"/>
  <c r="R491" i="2"/>
  <c r="P491" i="2"/>
  <c r="AE490" i="2"/>
  <c r="R490" i="2"/>
  <c r="P490" i="2"/>
  <c r="AE489" i="2"/>
  <c r="R489" i="2"/>
  <c r="P489" i="2"/>
  <c r="AE488" i="2"/>
  <c r="R488" i="2"/>
  <c r="P488" i="2"/>
  <c r="AE487" i="2"/>
  <c r="R487" i="2"/>
  <c r="P487" i="2"/>
  <c r="AE486" i="2"/>
  <c r="R486" i="2"/>
  <c r="P486" i="2"/>
  <c r="AE485" i="2"/>
  <c r="R485" i="2"/>
  <c r="P485" i="2"/>
  <c r="AE484" i="2"/>
  <c r="R484" i="2"/>
  <c r="P484" i="2"/>
  <c r="AE483" i="2"/>
  <c r="R483" i="2"/>
  <c r="P483" i="2"/>
  <c r="AE482" i="2"/>
  <c r="R482" i="2"/>
  <c r="P482" i="2"/>
  <c r="AE481" i="2"/>
  <c r="R481" i="2"/>
  <c r="P481" i="2"/>
  <c r="AE480" i="2"/>
  <c r="R480" i="2"/>
  <c r="P480" i="2"/>
  <c r="AE479" i="2"/>
  <c r="R479" i="2"/>
  <c r="P479" i="2"/>
  <c r="AE478" i="2"/>
  <c r="R478" i="2"/>
  <c r="P478" i="2"/>
  <c r="AE477" i="2"/>
  <c r="R477" i="2"/>
  <c r="P477" i="2"/>
  <c r="AE476" i="2"/>
  <c r="R476" i="2"/>
  <c r="P476" i="2"/>
  <c r="AE475" i="2"/>
  <c r="R475" i="2"/>
  <c r="P475" i="2"/>
  <c r="AE474" i="2"/>
  <c r="R474" i="2"/>
  <c r="P474" i="2"/>
  <c r="AE473" i="2"/>
  <c r="R473" i="2"/>
  <c r="P473" i="2"/>
  <c r="AE472" i="2"/>
  <c r="R472" i="2"/>
  <c r="P472" i="2"/>
  <c r="AE471" i="2"/>
  <c r="R471" i="2"/>
  <c r="P471" i="2"/>
  <c r="AE470" i="2"/>
  <c r="R470" i="2"/>
  <c r="P470" i="2"/>
  <c r="AE469" i="2"/>
  <c r="R469" i="2"/>
  <c r="P469" i="2"/>
  <c r="AE468" i="2"/>
  <c r="R468" i="2"/>
  <c r="P468" i="2"/>
  <c r="AE467" i="2"/>
  <c r="R467" i="2"/>
  <c r="P467" i="2"/>
  <c r="AE466" i="2"/>
  <c r="R466" i="2"/>
  <c r="P466" i="2"/>
  <c r="AE465" i="2"/>
  <c r="R465" i="2"/>
  <c r="P465" i="2"/>
  <c r="AE464" i="2"/>
  <c r="R464" i="2"/>
  <c r="P464" i="2"/>
  <c r="AE463" i="2"/>
  <c r="R463" i="2"/>
  <c r="P463" i="2"/>
  <c r="AE462" i="2"/>
  <c r="R462" i="2"/>
  <c r="P462" i="2"/>
  <c r="AE461" i="2"/>
  <c r="R461" i="2"/>
  <c r="P461" i="2"/>
  <c r="AE460" i="2"/>
  <c r="R460" i="2"/>
  <c r="P460" i="2"/>
  <c r="AE459" i="2"/>
  <c r="R459" i="2"/>
  <c r="P459" i="2"/>
  <c r="AE458" i="2"/>
  <c r="R458" i="2"/>
  <c r="P458" i="2"/>
  <c r="AE457" i="2"/>
  <c r="R457" i="2"/>
  <c r="P457" i="2"/>
  <c r="AE456" i="2"/>
  <c r="R456" i="2"/>
  <c r="P456" i="2"/>
  <c r="AE455" i="2"/>
  <c r="R455" i="2"/>
  <c r="P455" i="2"/>
  <c r="AE454" i="2"/>
  <c r="R454" i="2"/>
  <c r="P454" i="2"/>
  <c r="AE453" i="2"/>
  <c r="R453" i="2"/>
  <c r="P453" i="2"/>
  <c r="AE452" i="2"/>
  <c r="R452" i="2"/>
  <c r="P452" i="2"/>
  <c r="AE451" i="2"/>
  <c r="R451" i="2"/>
  <c r="P451" i="2"/>
  <c r="AE450" i="2"/>
  <c r="R450" i="2"/>
  <c r="P450" i="2"/>
  <c r="AE449" i="2"/>
  <c r="R449" i="2"/>
  <c r="P449" i="2"/>
  <c r="AE448" i="2"/>
  <c r="R448" i="2"/>
  <c r="P448" i="2"/>
  <c r="AE447" i="2"/>
  <c r="R447" i="2"/>
  <c r="P447" i="2"/>
  <c r="AE446" i="2"/>
  <c r="R446" i="2"/>
  <c r="P446" i="2"/>
  <c r="AE445" i="2"/>
  <c r="R445" i="2"/>
  <c r="P445" i="2"/>
  <c r="AE444" i="2"/>
  <c r="R444" i="2"/>
  <c r="P444" i="2"/>
  <c r="AE443" i="2"/>
  <c r="R443" i="2"/>
  <c r="P443" i="2"/>
  <c r="AE442" i="2"/>
  <c r="R442" i="2"/>
  <c r="P442" i="2"/>
  <c r="AE441" i="2"/>
  <c r="R441" i="2"/>
  <c r="P441" i="2"/>
  <c r="AE440" i="2"/>
  <c r="R440" i="2"/>
  <c r="P440" i="2"/>
  <c r="AE439" i="2"/>
  <c r="R439" i="2"/>
  <c r="P439" i="2"/>
  <c r="AE438" i="2"/>
  <c r="R438" i="2"/>
  <c r="P438" i="2"/>
  <c r="AE437" i="2"/>
  <c r="R437" i="2"/>
  <c r="P437" i="2"/>
  <c r="AE436" i="2"/>
  <c r="R436" i="2"/>
  <c r="P436" i="2"/>
  <c r="AE435" i="2"/>
  <c r="R435" i="2"/>
  <c r="P435" i="2"/>
  <c r="AE434" i="2"/>
  <c r="R434" i="2"/>
  <c r="P434" i="2"/>
  <c r="AE433" i="2"/>
  <c r="R433" i="2"/>
  <c r="P433" i="2"/>
  <c r="AE432" i="2"/>
  <c r="R432" i="2"/>
  <c r="P432" i="2"/>
  <c r="AE431" i="2"/>
  <c r="R431" i="2"/>
  <c r="P431" i="2"/>
  <c r="AE430" i="2"/>
  <c r="R430" i="2"/>
  <c r="P430" i="2"/>
  <c r="AE429" i="2"/>
  <c r="R429" i="2"/>
  <c r="P429" i="2"/>
  <c r="AE428" i="2"/>
  <c r="R428" i="2"/>
  <c r="P428" i="2"/>
  <c r="AE427" i="2"/>
  <c r="R427" i="2"/>
  <c r="P427" i="2"/>
  <c r="AE426" i="2"/>
  <c r="R426" i="2"/>
  <c r="P426" i="2"/>
  <c r="AE425" i="2"/>
  <c r="R425" i="2"/>
  <c r="P425" i="2"/>
  <c r="AE424" i="2"/>
  <c r="R424" i="2"/>
  <c r="P424" i="2"/>
  <c r="AE423" i="2"/>
  <c r="R423" i="2"/>
  <c r="P423" i="2"/>
  <c r="AE422" i="2"/>
  <c r="R422" i="2"/>
  <c r="P422" i="2"/>
  <c r="AE421" i="2"/>
  <c r="R421" i="2"/>
  <c r="P421" i="2"/>
  <c r="AE420" i="2"/>
  <c r="R420" i="2"/>
  <c r="P420" i="2"/>
  <c r="AE419" i="2"/>
  <c r="R419" i="2"/>
  <c r="P419" i="2"/>
  <c r="AE418" i="2"/>
  <c r="R418" i="2"/>
  <c r="P418" i="2"/>
  <c r="AE417" i="2"/>
  <c r="R417" i="2"/>
  <c r="P417" i="2"/>
  <c r="AE416" i="2"/>
  <c r="R416" i="2"/>
  <c r="P416" i="2"/>
  <c r="AE415" i="2"/>
  <c r="R415" i="2"/>
  <c r="P415" i="2"/>
  <c r="AE414" i="2"/>
  <c r="R414" i="2"/>
  <c r="P414" i="2"/>
  <c r="AE413" i="2"/>
  <c r="R413" i="2"/>
  <c r="P413" i="2"/>
  <c r="AE412" i="2"/>
  <c r="R412" i="2"/>
  <c r="P412" i="2"/>
  <c r="AE411" i="2"/>
  <c r="R411" i="2"/>
  <c r="P411" i="2"/>
  <c r="AE410" i="2"/>
  <c r="R410" i="2"/>
  <c r="P410" i="2"/>
  <c r="AE409" i="2"/>
  <c r="R409" i="2"/>
  <c r="P409" i="2"/>
  <c r="AE408" i="2"/>
  <c r="R408" i="2"/>
  <c r="P408" i="2"/>
  <c r="AE407" i="2"/>
  <c r="R407" i="2"/>
  <c r="P407" i="2"/>
  <c r="AE406" i="2"/>
  <c r="R406" i="2"/>
  <c r="P406" i="2"/>
  <c r="AE405" i="2"/>
  <c r="R405" i="2"/>
  <c r="P405" i="2"/>
  <c r="AE404" i="2"/>
  <c r="R404" i="2"/>
  <c r="P404" i="2"/>
  <c r="AE403" i="2"/>
  <c r="R403" i="2"/>
  <c r="P403" i="2"/>
  <c r="AE402" i="2"/>
  <c r="R402" i="2"/>
  <c r="P402" i="2"/>
  <c r="AE401" i="2"/>
  <c r="R401" i="2"/>
  <c r="P401" i="2"/>
  <c r="AE400" i="2"/>
  <c r="R400" i="2"/>
  <c r="P400" i="2"/>
  <c r="AE399" i="2"/>
  <c r="R399" i="2"/>
  <c r="P399" i="2"/>
  <c r="AE398" i="2"/>
  <c r="R398" i="2"/>
  <c r="P398" i="2"/>
  <c r="AE397" i="2"/>
  <c r="R397" i="2"/>
  <c r="P397" i="2"/>
  <c r="AE396" i="2"/>
  <c r="R396" i="2"/>
  <c r="P396" i="2"/>
  <c r="AE395" i="2"/>
  <c r="R395" i="2"/>
  <c r="P395" i="2"/>
  <c r="AE394" i="2"/>
  <c r="R394" i="2"/>
  <c r="P394" i="2"/>
  <c r="AE393" i="2"/>
  <c r="R393" i="2"/>
  <c r="P393" i="2"/>
  <c r="AE392" i="2"/>
  <c r="R392" i="2"/>
  <c r="P392" i="2"/>
  <c r="AE391" i="2"/>
  <c r="R391" i="2"/>
  <c r="P391" i="2"/>
  <c r="AE390" i="2"/>
  <c r="R390" i="2"/>
  <c r="P390" i="2"/>
  <c r="AE389" i="2"/>
  <c r="R389" i="2"/>
  <c r="P389" i="2"/>
  <c r="AE388" i="2"/>
  <c r="R388" i="2"/>
  <c r="P388" i="2"/>
  <c r="AE387" i="2"/>
  <c r="R387" i="2"/>
  <c r="P387" i="2"/>
  <c r="AE386" i="2"/>
  <c r="R386" i="2"/>
  <c r="P386" i="2"/>
  <c r="AE385" i="2"/>
  <c r="R385" i="2"/>
  <c r="P385" i="2"/>
  <c r="AE384" i="2"/>
  <c r="R384" i="2"/>
  <c r="P384" i="2"/>
  <c r="AE383" i="2"/>
  <c r="R383" i="2"/>
  <c r="P383" i="2"/>
  <c r="AE382" i="2"/>
  <c r="R382" i="2"/>
  <c r="P382" i="2"/>
  <c r="AE381" i="2"/>
  <c r="R381" i="2"/>
  <c r="P381" i="2"/>
  <c r="AE380" i="2"/>
  <c r="R380" i="2"/>
  <c r="P380" i="2"/>
  <c r="AE379" i="2"/>
  <c r="R379" i="2"/>
  <c r="P379" i="2"/>
  <c r="AE378" i="2"/>
  <c r="R378" i="2"/>
  <c r="P378" i="2"/>
  <c r="AE377" i="2"/>
  <c r="R377" i="2"/>
  <c r="P377" i="2"/>
  <c r="AE376" i="2"/>
  <c r="R376" i="2"/>
  <c r="P376" i="2"/>
  <c r="AE375" i="2"/>
  <c r="R375" i="2"/>
  <c r="P375" i="2"/>
  <c r="AE374" i="2"/>
  <c r="R374" i="2"/>
  <c r="P374" i="2"/>
  <c r="AE373" i="2"/>
  <c r="R373" i="2"/>
  <c r="P373" i="2"/>
  <c r="AE372" i="2"/>
  <c r="R372" i="2"/>
  <c r="P372" i="2"/>
  <c r="AE371" i="2"/>
  <c r="R371" i="2"/>
  <c r="P371" i="2"/>
  <c r="AE370" i="2"/>
  <c r="R370" i="2"/>
  <c r="P370" i="2"/>
  <c r="AE369" i="2"/>
  <c r="R369" i="2"/>
  <c r="P369" i="2"/>
  <c r="AE368" i="2"/>
  <c r="R368" i="2"/>
  <c r="P368" i="2"/>
  <c r="AE367" i="2"/>
  <c r="R367" i="2"/>
  <c r="P367" i="2"/>
  <c r="AE366" i="2"/>
  <c r="R366" i="2"/>
  <c r="P366" i="2"/>
  <c r="AE365" i="2"/>
  <c r="R365" i="2"/>
  <c r="P365" i="2"/>
  <c r="AE364" i="2"/>
  <c r="R364" i="2"/>
  <c r="P364" i="2"/>
  <c r="AE363" i="2"/>
  <c r="R363" i="2"/>
  <c r="P363" i="2"/>
  <c r="AE362" i="2"/>
  <c r="R362" i="2"/>
  <c r="P362" i="2"/>
  <c r="AE361" i="2"/>
  <c r="R361" i="2"/>
  <c r="P361" i="2"/>
  <c r="AE360" i="2"/>
  <c r="R360" i="2"/>
  <c r="P360" i="2"/>
  <c r="AE359" i="2"/>
  <c r="R359" i="2"/>
  <c r="P359" i="2"/>
  <c r="AE358" i="2"/>
  <c r="R358" i="2"/>
  <c r="P358" i="2"/>
  <c r="AE357" i="2"/>
  <c r="R357" i="2"/>
  <c r="P357" i="2"/>
  <c r="AE356" i="2"/>
  <c r="R356" i="2"/>
  <c r="P356" i="2"/>
  <c r="AE355" i="2"/>
  <c r="R355" i="2"/>
  <c r="P355" i="2"/>
  <c r="AE354" i="2"/>
  <c r="R354" i="2"/>
  <c r="P354" i="2"/>
  <c r="AE353" i="2"/>
  <c r="R353" i="2"/>
  <c r="P353" i="2"/>
  <c r="AE352" i="2"/>
  <c r="R352" i="2"/>
  <c r="P352" i="2"/>
  <c r="AE351" i="2"/>
  <c r="R351" i="2"/>
  <c r="P351" i="2"/>
  <c r="AE350" i="2"/>
  <c r="R350" i="2"/>
  <c r="P350" i="2"/>
  <c r="AE349" i="2"/>
  <c r="R349" i="2"/>
  <c r="P349" i="2"/>
  <c r="AE348" i="2"/>
  <c r="R348" i="2"/>
  <c r="P348" i="2"/>
  <c r="AE347" i="2"/>
  <c r="R347" i="2"/>
  <c r="P347" i="2"/>
  <c r="AE346" i="2"/>
  <c r="R346" i="2"/>
  <c r="P346" i="2"/>
  <c r="AE345" i="2"/>
  <c r="R345" i="2"/>
  <c r="P345" i="2"/>
  <c r="AE344" i="2"/>
  <c r="R344" i="2"/>
  <c r="P344" i="2"/>
  <c r="AE343" i="2"/>
  <c r="R343" i="2"/>
  <c r="P343" i="2"/>
  <c r="AE342" i="2"/>
  <c r="R342" i="2"/>
  <c r="P342" i="2"/>
  <c r="AE341" i="2"/>
  <c r="R341" i="2"/>
  <c r="P341" i="2"/>
  <c r="AE340" i="2"/>
  <c r="R340" i="2"/>
  <c r="P340" i="2"/>
  <c r="AE339" i="2"/>
  <c r="R339" i="2"/>
  <c r="P339" i="2"/>
  <c r="AE338" i="2"/>
  <c r="R338" i="2"/>
  <c r="P338" i="2"/>
  <c r="AE337" i="2"/>
  <c r="R337" i="2"/>
  <c r="P337" i="2"/>
  <c r="AE336" i="2"/>
  <c r="R336" i="2"/>
  <c r="P336" i="2"/>
  <c r="AE335" i="2"/>
  <c r="R335" i="2"/>
  <c r="P335" i="2"/>
  <c r="AE334" i="2"/>
  <c r="R334" i="2"/>
  <c r="P334" i="2"/>
  <c r="AE333" i="2"/>
  <c r="R333" i="2"/>
  <c r="P333" i="2"/>
  <c r="AE332" i="2"/>
  <c r="R332" i="2"/>
  <c r="P332" i="2"/>
  <c r="AE331" i="2"/>
  <c r="R331" i="2"/>
  <c r="P331" i="2"/>
  <c r="AE330" i="2"/>
  <c r="R330" i="2"/>
  <c r="P330" i="2"/>
  <c r="AE329" i="2"/>
  <c r="R329" i="2"/>
  <c r="P329" i="2"/>
  <c r="AE328" i="2"/>
  <c r="R328" i="2"/>
  <c r="P328" i="2"/>
  <c r="AE327" i="2"/>
  <c r="R327" i="2"/>
  <c r="P327" i="2"/>
  <c r="AE326" i="2"/>
  <c r="R326" i="2"/>
  <c r="P326" i="2"/>
  <c r="AE325" i="2"/>
  <c r="R325" i="2"/>
  <c r="P325" i="2"/>
  <c r="AE324" i="2"/>
  <c r="R324" i="2"/>
  <c r="P324" i="2"/>
  <c r="AE323" i="2"/>
  <c r="R323" i="2"/>
  <c r="P323" i="2"/>
  <c r="AE322" i="2"/>
  <c r="R322" i="2"/>
  <c r="P322" i="2"/>
  <c r="AE321" i="2"/>
  <c r="R321" i="2"/>
  <c r="P321" i="2"/>
  <c r="AE320" i="2"/>
  <c r="R320" i="2"/>
  <c r="P320" i="2"/>
  <c r="AE319" i="2"/>
  <c r="R319" i="2"/>
  <c r="P319" i="2"/>
  <c r="AE318" i="2"/>
  <c r="R318" i="2"/>
  <c r="P318" i="2"/>
  <c r="AE317" i="2"/>
  <c r="R317" i="2"/>
  <c r="P317" i="2"/>
  <c r="AE316" i="2"/>
  <c r="R316" i="2"/>
  <c r="P316" i="2"/>
  <c r="AE315" i="2"/>
  <c r="R315" i="2"/>
  <c r="P315" i="2"/>
  <c r="AE314" i="2"/>
  <c r="R314" i="2"/>
  <c r="P314" i="2"/>
  <c r="AE313" i="2"/>
  <c r="R313" i="2"/>
  <c r="P313" i="2"/>
  <c r="AE312" i="2"/>
  <c r="R312" i="2"/>
  <c r="P312" i="2"/>
  <c r="AE311" i="2"/>
  <c r="R311" i="2"/>
  <c r="P311" i="2"/>
  <c r="AE310" i="2"/>
  <c r="R310" i="2"/>
  <c r="P310" i="2"/>
  <c r="AE309" i="2"/>
  <c r="R309" i="2"/>
  <c r="P309" i="2"/>
  <c r="AE308" i="2"/>
  <c r="R308" i="2"/>
  <c r="P308" i="2"/>
  <c r="AE307" i="2"/>
  <c r="R307" i="2"/>
  <c r="P307" i="2"/>
  <c r="AE306" i="2"/>
  <c r="R306" i="2"/>
  <c r="P306" i="2"/>
  <c r="AE305" i="2"/>
  <c r="R305" i="2"/>
  <c r="P305" i="2"/>
  <c r="AE304" i="2"/>
  <c r="R304" i="2"/>
  <c r="P304" i="2"/>
  <c r="AE303" i="2"/>
  <c r="R303" i="2"/>
  <c r="P303" i="2"/>
  <c r="AE302" i="2"/>
  <c r="R302" i="2"/>
  <c r="P302" i="2"/>
  <c r="AE301" i="2"/>
  <c r="R301" i="2"/>
  <c r="P301" i="2"/>
  <c r="AE300" i="2"/>
  <c r="R300" i="2"/>
  <c r="P300" i="2"/>
  <c r="AE299" i="2"/>
  <c r="R299" i="2"/>
  <c r="P299" i="2"/>
  <c r="AE298" i="2"/>
  <c r="R298" i="2"/>
  <c r="P298" i="2"/>
  <c r="AE297" i="2"/>
  <c r="R297" i="2"/>
  <c r="P297" i="2"/>
  <c r="AE296" i="2"/>
  <c r="R296" i="2"/>
  <c r="P296" i="2"/>
  <c r="AE295" i="2"/>
  <c r="R295" i="2"/>
  <c r="P295" i="2"/>
  <c r="AE294" i="2"/>
  <c r="R294" i="2"/>
  <c r="P294" i="2"/>
  <c r="AE293" i="2"/>
  <c r="R293" i="2"/>
  <c r="P293" i="2"/>
  <c r="AE292" i="2"/>
  <c r="R292" i="2"/>
  <c r="P292" i="2"/>
  <c r="AE291" i="2"/>
  <c r="R291" i="2"/>
  <c r="P291" i="2"/>
  <c r="AE290" i="2"/>
  <c r="R290" i="2"/>
  <c r="P290" i="2"/>
  <c r="AE289" i="2"/>
  <c r="R289" i="2"/>
  <c r="P289" i="2"/>
  <c r="AE288" i="2"/>
  <c r="R288" i="2"/>
  <c r="P288" i="2"/>
  <c r="AE287" i="2"/>
  <c r="R287" i="2"/>
  <c r="P287" i="2"/>
  <c r="AE286" i="2"/>
  <c r="R286" i="2"/>
  <c r="P286" i="2"/>
  <c r="AE285" i="2"/>
  <c r="R285" i="2"/>
  <c r="P285" i="2"/>
  <c r="AE284" i="2"/>
  <c r="R284" i="2"/>
  <c r="P284" i="2"/>
  <c r="AE283" i="2"/>
  <c r="R283" i="2"/>
  <c r="P283" i="2"/>
  <c r="AE282" i="2"/>
  <c r="R282" i="2"/>
  <c r="P282" i="2"/>
  <c r="AE281" i="2"/>
  <c r="R281" i="2"/>
  <c r="P281" i="2"/>
  <c r="AE280" i="2"/>
  <c r="R280" i="2"/>
  <c r="P280" i="2"/>
  <c r="AE279" i="2"/>
  <c r="R279" i="2"/>
  <c r="P279" i="2"/>
  <c r="AE278" i="2"/>
  <c r="R278" i="2"/>
  <c r="P278" i="2"/>
  <c r="AE277" i="2"/>
  <c r="R277" i="2"/>
  <c r="P277" i="2"/>
  <c r="AE276" i="2"/>
  <c r="R276" i="2"/>
  <c r="P276" i="2"/>
  <c r="AE275" i="2"/>
  <c r="R275" i="2"/>
  <c r="P275" i="2"/>
  <c r="AE274" i="2"/>
  <c r="R274" i="2"/>
  <c r="P274" i="2"/>
  <c r="AE273" i="2"/>
  <c r="R273" i="2"/>
  <c r="P273" i="2"/>
  <c r="AE272" i="2"/>
  <c r="R272" i="2"/>
  <c r="P272" i="2"/>
  <c r="AE271" i="2"/>
  <c r="R271" i="2"/>
  <c r="P271" i="2"/>
  <c r="AE270" i="2"/>
  <c r="R270" i="2"/>
  <c r="P270" i="2"/>
  <c r="AE269" i="2"/>
  <c r="R269" i="2"/>
  <c r="P269" i="2"/>
  <c r="AE268" i="2"/>
  <c r="R268" i="2"/>
  <c r="P268" i="2"/>
  <c r="AE267" i="2"/>
  <c r="R267" i="2"/>
  <c r="P267" i="2"/>
  <c r="AE266" i="2"/>
  <c r="R266" i="2"/>
  <c r="P266" i="2"/>
  <c r="AE265" i="2"/>
  <c r="R265" i="2"/>
  <c r="P265" i="2"/>
  <c r="AE264" i="2"/>
  <c r="R264" i="2"/>
  <c r="P264" i="2"/>
  <c r="AE263" i="2"/>
  <c r="R263" i="2"/>
  <c r="P263" i="2"/>
  <c r="AE262" i="2"/>
  <c r="R262" i="2"/>
  <c r="P262" i="2"/>
  <c r="AE261" i="2"/>
  <c r="R261" i="2"/>
  <c r="P261" i="2"/>
  <c r="AE260" i="2"/>
  <c r="R260" i="2"/>
  <c r="P260" i="2"/>
  <c r="AE259" i="2"/>
  <c r="R259" i="2"/>
  <c r="P259" i="2"/>
  <c r="AE258" i="2"/>
  <c r="R258" i="2"/>
  <c r="P258" i="2"/>
  <c r="AE257" i="2"/>
  <c r="R257" i="2"/>
  <c r="P257" i="2"/>
  <c r="AE256" i="2"/>
  <c r="R256" i="2"/>
  <c r="P256" i="2"/>
  <c r="AE255" i="2"/>
  <c r="R255" i="2"/>
  <c r="P255" i="2"/>
  <c r="AE254" i="2"/>
  <c r="R254" i="2"/>
  <c r="P254" i="2"/>
  <c r="AE253" i="2"/>
  <c r="R253" i="2"/>
  <c r="P253" i="2"/>
  <c r="AE252" i="2"/>
  <c r="R252" i="2"/>
  <c r="P252" i="2"/>
  <c r="AE251" i="2"/>
  <c r="R251" i="2"/>
  <c r="P251" i="2"/>
  <c r="AE250" i="2"/>
  <c r="R250" i="2"/>
  <c r="P250" i="2"/>
  <c r="AE249" i="2"/>
  <c r="R249" i="2"/>
  <c r="P249" i="2"/>
  <c r="AE248" i="2"/>
  <c r="R248" i="2"/>
  <c r="P248" i="2"/>
  <c r="AE247" i="2"/>
  <c r="R247" i="2"/>
  <c r="P247" i="2"/>
  <c r="AE246" i="2"/>
  <c r="R246" i="2"/>
  <c r="P246" i="2"/>
  <c r="AE245" i="2"/>
  <c r="R245" i="2"/>
  <c r="P245" i="2"/>
  <c r="AE244" i="2"/>
  <c r="R244" i="2"/>
  <c r="P244" i="2"/>
  <c r="AE243" i="2"/>
  <c r="R243" i="2"/>
  <c r="P243" i="2"/>
  <c r="AE242" i="2"/>
  <c r="R242" i="2"/>
  <c r="P242" i="2"/>
  <c r="AE241" i="2"/>
  <c r="R241" i="2"/>
  <c r="P241" i="2"/>
  <c r="AE240" i="2"/>
  <c r="R240" i="2"/>
  <c r="P240" i="2"/>
  <c r="AE239" i="2"/>
  <c r="R239" i="2"/>
  <c r="P239" i="2"/>
  <c r="AE238" i="2"/>
  <c r="R238" i="2"/>
  <c r="P238" i="2"/>
  <c r="AE237" i="2"/>
  <c r="R237" i="2"/>
  <c r="P237" i="2"/>
  <c r="AE236" i="2"/>
  <c r="R236" i="2"/>
  <c r="P236" i="2"/>
  <c r="AE235" i="2"/>
  <c r="R235" i="2"/>
  <c r="P235" i="2"/>
  <c r="AE234" i="2"/>
  <c r="R234" i="2"/>
  <c r="P234" i="2"/>
  <c r="AE233" i="2"/>
  <c r="R233" i="2"/>
  <c r="P233" i="2"/>
  <c r="AE232" i="2"/>
  <c r="R232" i="2"/>
  <c r="P232" i="2"/>
  <c r="AE231" i="2"/>
  <c r="R231" i="2"/>
  <c r="P231" i="2"/>
  <c r="AE230" i="2"/>
  <c r="R230" i="2"/>
  <c r="P230" i="2"/>
  <c r="AE229" i="2"/>
  <c r="R229" i="2"/>
  <c r="P229" i="2"/>
  <c r="AE228" i="2"/>
  <c r="R228" i="2"/>
  <c r="P228" i="2"/>
  <c r="AE227" i="2"/>
  <c r="R227" i="2"/>
  <c r="P227" i="2"/>
  <c r="AE226" i="2"/>
  <c r="R226" i="2"/>
  <c r="P226" i="2"/>
  <c r="AE225" i="2"/>
  <c r="R225" i="2"/>
  <c r="P225" i="2"/>
  <c r="AE224" i="2"/>
  <c r="R224" i="2"/>
  <c r="P224" i="2"/>
  <c r="AE223" i="2"/>
  <c r="R223" i="2"/>
  <c r="P223" i="2"/>
  <c r="AE222" i="2"/>
  <c r="R222" i="2"/>
  <c r="P222" i="2"/>
  <c r="AE221" i="2"/>
  <c r="R221" i="2"/>
  <c r="P221" i="2"/>
  <c r="AE220" i="2"/>
  <c r="R220" i="2"/>
  <c r="P220" i="2"/>
  <c r="AE219" i="2"/>
  <c r="R219" i="2"/>
  <c r="P219" i="2"/>
  <c r="AE218" i="2"/>
  <c r="R218" i="2"/>
  <c r="P218" i="2"/>
  <c r="AE217" i="2"/>
  <c r="R217" i="2"/>
  <c r="P217" i="2"/>
  <c r="AE216" i="2"/>
  <c r="R216" i="2"/>
  <c r="P216" i="2"/>
  <c r="AE215" i="2"/>
  <c r="R215" i="2"/>
  <c r="P215" i="2"/>
  <c r="AE214" i="2"/>
  <c r="R214" i="2"/>
  <c r="P214" i="2"/>
  <c r="AE213" i="2"/>
  <c r="R213" i="2"/>
  <c r="P213" i="2"/>
  <c r="AE212" i="2"/>
  <c r="R212" i="2"/>
  <c r="P212" i="2"/>
  <c r="AE211" i="2"/>
  <c r="R211" i="2"/>
  <c r="P211" i="2"/>
  <c r="AE210" i="2"/>
  <c r="R210" i="2"/>
  <c r="P210" i="2"/>
  <c r="AE209" i="2"/>
  <c r="R209" i="2"/>
  <c r="P209" i="2"/>
  <c r="AE208" i="2"/>
  <c r="R208" i="2"/>
  <c r="P208" i="2"/>
  <c r="AE207" i="2"/>
  <c r="R207" i="2"/>
  <c r="P207" i="2"/>
  <c r="AE206" i="2"/>
  <c r="R206" i="2"/>
  <c r="P206" i="2"/>
  <c r="AE205" i="2"/>
  <c r="R205" i="2"/>
  <c r="P205" i="2"/>
  <c r="AE204" i="2"/>
  <c r="R204" i="2"/>
  <c r="P204" i="2"/>
  <c r="AE203" i="2"/>
  <c r="R203" i="2"/>
  <c r="P203" i="2"/>
  <c r="AE202" i="2"/>
  <c r="R202" i="2"/>
  <c r="P202" i="2"/>
  <c r="AE201" i="2"/>
  <c r="R201" i="2"/>
  <c r="P201" i="2"/>
  <c r="AE200" i="2"/>
  <c r="R200" i="2"/>
  <c r="P200" i="2"/>
  <c r="AE199" i="2"/>
  <c r="R199" i="2"/>
  <c r="P199" i="2"/>
  <c r="AE198" i="2"/>
  <c r="R198" i="2"/>
  <c r="P198" i="2"/>
  <c r="AE197" i="2"/>
  <c r="R197" i="2"/>
  <c r="P197" i="2"/>
  <c r="AE196" i="2"/>
  <c r="R196" i="2"/>
  <c r="P196" i="2"/>
  <c r="AE195" i="2"/>
  <c r="R195" i="2"/>
  <c r="P195" i="2"/>
  <c r="AE194" i="2"/>
  <c r="R194" i="2"/>
  <c r="P194" i="2"/>
  <c r="AE193" i="2"/>
  <c r="R193" i="2"/>
  <c r="P193" i="2"/>
  <c r="AE192" i="2"/>
  <c r="R192" i="2"/>
  <c r="P192" i="2"/>
  <c r="AE191" i="2"/>
  <c r="R191" i="2"/>
  <c r="P191" i="2"/>
  <c r="AE190" i="2"/>
  <c r="R190" i="2"/>
  <c r="P190" i="2"/>
  <c r="AE189" i="2"/>
  <c r="R189" i="2"/>
  <c r="P189" i="2"/>
  <c r="AE188" i="2"/>
  <c r="R188" i="2"/>
  <c r="P188" i="2"/>
  <c r="AE187" i="2"/>
  <c r="R187" i="2"/>
  <c r="P187" i="2"/>
  <c r="AE186" i="2"/>
  <c r="R186" i="2"/>
  <c r="P186" i="2"/>
  <c r="AE185" i="2"/>
  <c r="R185" i="2"/>
  <c r="P185" i="2"/>
  <c r="AE184" i="2"/>
  <c r="R184" i="2"/>
  <c r="P184" i="2"/>
  <c r="AE183" i="2"/>
  <c r="R183" i="2"/>
  <c r="P183" i="2"/>
  <c r="AE182" i="2"/>
  <c r="R182" i="2"/>
  <c r="P182" i="2"/>
  <c r="AE181" i="2"/>
  <c r="R181" i="2"/>
  <c r="P181" i="2"/>
  <c r="AE180" i="2"/>
  <c r="R180" i="2"/>
  <c r="P180" i="2"/>
  <c r="AE179" i="2"/>
  <c r="R179" i="2"/>
  <c r="P179" i="2"/>
  <c r="AE178" i="2"/>
  <c r="R178" i="2"/>
  <c r="P178" i="2"/>
  <c r="AE177" i="2"/>
  <c r="R177" i="2"/>
  <c r="P177" i="2"/>
  <c r="AE176" i="2"/>
  <c r="R176" i="2"/>
  <c r="P176" i="2"/>
  <c r="AE175" i="2"/>
  <c r="R175" i="2"/>
  <c r="P175" i="2"/>
  <c r="AE174" i="2"/>
  <c r="R174" i="2"/>
  <c r="P174" i="2"/>
  <c r="AE173" i="2"/>
  <c r="R173" i="2"/>
  <c r="P173" i="2"/>
  <c r="AE172" i="2"/>
  <c r="R172" i="2"/>
  <c r="P172" i="2"/>
  <c r="AE171" i="2"/>
  <c r="R171" i="2"/>
  <c r="P171" i="2"/>
  <c r="AE170" i="2"/>
  <c r="R170" i="2"/>
  <c r="P170" i="2"/>
  <c r="AE169" i="2"/>
  <c r="R169" i="2"/>
  <c r="P169" i="2"/>
  <c r="AE168" i="2"/>
  <c r="R168" i="2"/>
  <c r="P168" i="2"/>
  <c r="AE167" i="2"/>
  <c r="R167" i="2"/>
  <c r="P167" i="2"/>
  <c r="AE166" i="2"/>
  <c r="R166" i="2"/>
  <c r="P166" i="2"/>
  <c r="AE165" i="2"/>
  <c r="R165" i="2"/>
  <c r="P165" i="2"/>
  <c r="AE164" i="2"/>
  <c r="R164" i="2"/>
  <c r="P164" i="2"/>
  <c r="AE163" i="2"/>
  <c r="R163" i="2"/>
  <c r="P163" i="2"/>
  <c r="AE162" i="2"/>
  <c r="R162" i="2"/>
  <c r="P162" i="2"/>
  <c r="AE161" i="2"/>
  <c r="R161" i="2"/>
  <c r="P161" i="2"/>
  <c r="AE160" i="2"/>
  <c r="R160" i="2"/>
  <c r="P160" i="2"/>
  <c r="AE159" i="2"/>
  <c r="R159" i="2"/>
  <c r="P159" i="2"/>
  <c r="AE158" i="2"/>
  <c r="R158" i="2"/>
  <c r="P158" i="2"/>
  <c r="AE157" i="2"/>
  <c r="R157" i="2"/>
  <c r="P157" i="2"/>
  <c r="AE156" i="2"/>
  <c r="R156" i="2"/>
  <c r="P156" i="2"/>
  <c r="AE155" i="2"/>
  <c r="R155" i="2"/>
  <c r="P155" i="2"/>
  <c r="AE154" i="2"/>
  <c r="R154" i="2"/>
  <c r="P154" i="2"/>
  <c r="AE153" i="2"/>
  <c r="R153" i="2"/>
  <c r="P153" i="2"/>
  <c r="AE152" i="2"/>
  <c r="R152" i="2"/>
  <c r="P152" i="2"/>
  <c r="AE151" i="2"/>
  <c r="R151" i="2"/>
  <c r="P151" i="2"/>
  <c r="AE150" i="2"/>
  <c r="R150" i="2"/>
  <c r="P150" i="2"/>
  <c r="AE149" i="2"/>
  <c r="R149" i="2"/>
  <c r="P149" i="2"/>
  <c r="AE148" i="2"/>
  <c r="R148" i="2"/>
  <c r="P148" i="2"/>
  <c r="AE147" i="2"/>
  <c r="R147" i="2"/>
  <c r="P147" i="2"/>
  <c r="AE146" i="2"/>
  <c r="R146" i="2"/>
  <c r="P146" i="2"/>
  <c r="AE145" i="2"/>
  <c r="R145" i="2"/>
  <c r="P145" i="2"/>
  <c r="AE144" i="2"/>
  <c r="R144" i="2"/>
  <c r="P144" i="2"/>
  <c r="AE143" i="2"/>
  <c r="R143" i="2"/>
  <c r="P143" i="2"/>
  <c r="AE142" i="2"/>
  <c r="R142" i="2"/>
  <c r="P142" i="2"/>
  <c r="AE141" i="2"/>
  <c r="R141" i="2"/>
  <c r="P141" i="2"/>
  <c r="AE140" i="2"/>
  <c r="R140" i="2"/>
  <c r="P140" i="2"/>
  <c r="AE139" i="2"/>
  <c r="R139" i="2"/>
  <c r="P139" i="2"/>
  <c r="AE138" i="2"/>
  <c r="R138" i="2"/>
  <c r="P138" i="2"/>
  <c r="AE137" i="2"/>
  <c r="R137" i="2"/>
  <c r="P137" i="2"/>
  <c r="AE136" i="2"/>
  <c r="R136" i="2"/>
  <c r="P136" i="2"/>
  <c r="AE135" i="2"/>
  <c r="R135" i="2"/>
  <c r="P135" i="2"/>
  <c r="AE134" i="2"/>
  <c r="R134" i="2"/>
  <c r="P134" i="2"/>
  <c r="AE133" i="2"/>
  <c r="R133" i="2"/>
  <c r="P133" i="2"/>
  <c r="AE132" i="2"/>
  <c r="R132" i="2"/>
  <c r="P132" i="2"/>
  <c r="AE131" i="2"/>
  <c r="R131" i="2"/>
  <c r="P131" i="2"/>
  <c r="AE130" i="2"/>
  <c r="R130" i="2"/>
  <c r="P130" i="2"/>
  <c r="AE129" i="2"/>
  <c r="R129" i="2"/>
  <c r="P129" i="2"/>
  <c r="AE128" i="2"/>
  <c r="R128" i="2"/>
  <c r="P128" i="2"/>
  <c r="AE127" i="2"/>
  <c r="R127" i="2"/>
  <c r="P127" i="2"/>
  <c r="AE126" i="2"/>
  <c r="R126" i="2"/>
  <c r="P126" i="2"/>
  <c r="AE125" i="2"/>
  <c r="R125" i="2"/>
  <c r="P125" i="2"/>
  <c r="AE124" i="2"/>
  <c r="R124" i="2"/>
  <c r="P124" i="2"/>
  <c r="AE123" i="2"/>
  <c r="R123" i="2"/>
  <c r="P123" i="2"/>
  <c r="AE122" i="2"/>
  <c r="R122" i="2"/>
  <c r="P122" i="2"/>
  <c r="AE121" i="2"/>
  <c r="R121" i="2"/>
  <c r="P121" i="2"/>
  <c r="AE120" i="2"/>
  <c r="R120" i="2"/>
  <c r="P120" i="2"/>
  <c r="AE119" i="2"/>
  <c r="R119" i="2"/>
  <c r="P119" i="2"/>
  <c r="AE118" i="2"/>
  <c r="R118" i="2"/>
  <c r="P118" i="2"/>
  <c r="AE117" i="2"/>
  <c r="R117" i="2"/>
  <c r="P117" i="2"/>
  <c r="AE116" i="2"/>
  <c r="R116" i="2"/>
  <c r="P116" i="2"/>
  <c r="AE115" i="2"/>
  <c r="R115" i="2"/>
  <c r="P115" i="2"/>
  <c r="AE114" i="2"/>
  <c r="R114" i="2"/>
  <c r="P114" i="2"/>
  <c r="AE113" i="2"/>
  <c r="R113" i="2"/>
  <c r="P113" i="2"/>
  <c r="AE112" i="2"/>
  <c r="R112" i="2"/>
  <c r="P112" i="2"/>
  <c r="AE111" i="2"/>
  <c r="R111" i="2"/>
  <c r="P111" i="2"/>
  <c r="AE110" i="2"/>
  <c r="R110" i="2"/>
  <c r="P110" i="2"/>
  <c r="AE109" i="2"/>
  <c r="R109" i="2"/>
  <c r="P109" i="2"/>
  <c r="AE108" i="2"/>
  <c r="R108" i="2"/>
  <c r="P108" i="2"/>
  <c r="AE107" i="2"/>
  <c r="R107" i="2"/>
  <c r="P107" i="2"/>
  <c r="AE106" i="2"/>
  <c r="R106" i="2"/>
  <c r="P106" i="2"/>
  <c r="AE105" i="2"/>
  <c r="R105" i="2"/>
  <c r="P105" i="2"/>
  <c r="AE104" i="2"/>
  <c r="R104" i="2"/>
  <c r="P104" i="2"/>
  <c r="AE103" i="2"/>
  <c r="R103" i="2"/>
  <c r="P103" i="2"/>
  <c r="AE102" i="2"/>
  <c r="R102" i="2"/>
  <c r="P102" i="2"/>
  <c r="AE101" i="2"/>
  <c r="R101" i="2"/>
  <c r="P101" i="2"/>
  <c r="AE100" i="2"/>
  <c r="R100" i="2"/>
  <c r="P100" i="2"/>
  <c r="AE99" i="2"/>
  <c r="R99" i="2"/>
  <c r="P99" i="2"/>
  <c r="AE98" i="2"/>
  <c r="R98" i="2"/>
  <c r="P98" i="2"/>
  <c r="AE97" i="2"/>
  <c r="R97" i="2"/>
  <c r="P97" i="2"/>
  <c r="AE96" i="2"/>
  <c r="R96" i="2"/>
  <c r="P96" i="2"/>
  <c r="AE95" i="2"/>
  <c r="R95" i="2"/>
  <c r="P95" i="2"/>
  <c r="AE94" i="2"/>
  <c r="R94" i="2"/>
  <c r="P94" i="2"/>
  <c r="AE93" i="2"/>
  <c r="R93" i="2"/>
  <c r="P93" i="2"/>
  <c r="AE92" i="2"/>
  <c r="R92" i="2"/>
  <c r="P92" i="2"/>
  <c r="AE91" i="2"/>
  <c r="R91" i="2"/>
  <c r="P91" i="2"/>
  <c r="AE90" i="2"/>
  <c r="R90" i="2"/>
  <c r="P90" i="2"/>
  <c r="AE89" i="2"/>
  <c r="R89" i="2"/>
  <c r="P89" i="2"/>
  <c r="AE88" i="2"/>
  <c r="R88" i="2"/>
  <c r="P88" i="2"/>
  <c r="AE87" i="2"/>
  <c r="R87" i="2"/>
  <c r="P87" i="2"/>
  <c r="AE86" i="2"/>
  <c r="R86" i="2"/>
  <c r="P86" i="2"/>
  <c r="AE85" i="2"/>
  <c r="R85" i="2"/>
  <c r="P85" i="2"/>
  <c r="AE84" i="2"/>
  <c r="R84" i="2"/>
  <c r="P84" i="2"/>
  <c r="AE83" i="2"/>
  <c r="R83" i="2"/>
  <c r="P83" i="2"/>
  <c r="AE82" i="2"/>
  <c r="R82" i="2"/>
  <c r="P82" i="2"/>
  <c r="AE81" i="2"/>
  <c r="R81" i="2"/>
  <c r="P81" i="2"/>
  <c r="AE80" i="2"/>
  <c r="R80" i="2"/>
  <c r="P80" i="2"/>
  <c r="AE79" i="2"/>
  <c r="R79" i="2"/>
  <c r="P79" i="2"/>
  <c r="AE78" i="2"/>
  <c r="R78" i="2"/>
  <c r="P78" i="2"/>
  <c r="AE77" i="2"/>
  <c r="R77" i="2"/>
  <c r="P77" i="2"/>
  <c r="AE76" i="2"/>
  <c r="R76" i="2"/>
  <c r="P76" i="2"/>
  <c r="AE75" i="2"/>
  <c r="R75" i="2"/>
  <c r="P75" i="2"/>
  <c r="AE74" i="2"/>
  <c r="R74" i="2"/>
  <c r="P74" i="2"/>
  <c r="AE73" i="2"/>
  <c r="R73" i="2"/>
  <c r="P73" i="2"/>
  <c r="AE72" i="2"/>
  <c r="R72" i="2"/>
  <c r="P72" i="2"/>
  <c r="AE71" i="2"/>
  <c r="R71" i="2"/>
  <c r="P71" i="2"/>
  <c r="AE70" i="2"/>
  <c r="R70" i="2"/>
  <c r="P70" i="2"/>
  <c r="AE69" i="2"/>
  <c r="R69" i="2"/>
  <c r="P69" i="2"/>
  <c r="AE68" i="2"/>
  <c r="R68" i="2"/>
  <c r="P68" i="2"/>
  <c r="AE67" i="2"/>
  <c r="R67" i="2"/>
  <c r="P67" i="2"/>
  <c r="AE66" i="2"/>
  <c r="R66" i="2"/>
  <c r="P66" i="2"/>
  <c r="AE65" i="2"/>
  <c r="R65" i="2"/>
  <c r="P65" i="2"/>
  <c r="AE64" i="2"/>
  <c r="R64" i="2"/>
  <c r="P64" i="2"/>
  <c r="AE63" i="2"/>
  <c r="R63" i="2"/>
  <c r="P63" i="2"/>
  <c r="AE62" i="2"/>
  <c r="R62" i="2"/>
  <c r="P62" i="2"/>
  <c r="AE61" i="2"/>
  <c r="R61" i="2"/>
  <c r="P61" i="2"/>
  <c r="AE60" i="2"/>
  <c r="R60" i="2"/>
  <c r="P60" i="2"/>
  <c r="AE59" i="2"/>
  <c r="R59" i="2"/>
  <c r="P59" i="2"/>
  <c r="AE58" i="2"/>
  <c r="R58" i="2"/>
  <c r="P58" i="2"/>
  <c r="AE57" i="2"/>
  <c r="R57" i="2"/>
  <c r="P57" i="2"/>
  <c r="AE56" i="2"/>
  <c r="R56" i="2"/>
  <c r="P56" i="2"/>
  <c r="AE55" i="2"/>
  <c r="R55" i="2"/>
  <c r="P55" i="2"/>
  <c r="AE54" i="2"/>
  <c r="R54" i="2"/>
  <c r="P54" i="2"/>
  <c r="AE53" i="2"/>
  <c r="R53" i="2"/>
  <c r="P53" i="2"/>
  <c r="AE52" i="2"/>
  <c r="R52" i="2"/>
  <c r="P52" i="2"/>
  <c r="AE51" i="2"/>
  <c r="R51" i="2"/>
  <c r="P51" i="2"/>
  <c r="AE50" i="2"/>
  <c r="R50" i="2"/>
  <c r="P50" i="2"/>
  <c r="AE49" i="2"/>
  <c r="R49" i="2"/>
  <c r="P49" i="2"/>
  <c r="AE48" i="2"/>
  <c r="R48" i="2"/>
  <c r="P48" i="2"/>
  <c r="AE47" i="2"/>
  <c r="R47" i="2"/>
  <c r="P47" i="2"/>
  <c r="AE46" i="2"/>
  <c r="R46" i="2"/>
  <c r="P46" i="2"/>
  <c r="AE45" i="2"/>
  <c r="R45" i="2"/>
  <c r="P45" i="2"/>
  <c r="AE44" i="2"/>
  <c r="R44" i="2"/>
  <c r="P44" i="2"/>
  <c r="AE43" i="2"/>
  <c r="R43" i="2"/>
  <c r="P43" i="2"/>
  <c r="AE42" i="2"/>
  <c r="R42" i="2"/>
  <c r="P42" i="2"/>
  <c r="AE41" i="2"/>
  <c r="R41" i="2"/>
  <c r="P41" i="2"/>
  <c r="AE40" i="2"/>
  <c r="R40" i="2"/>
  <c r="P40" i="2"/>
  <c r="AE39" i="2"/>
  <c r="R39" i="2"/>
  <c r="P39" i="2"/>
  <c r="AE38" i="2"/>
  <c r="R38" i="2"/>
  <c r="P38" i="2"/>
  <c r="AE37" i="2"/>
  <c r="R37" i="2"/>
  <c r="P37" i="2"/>
  <c r="AE36" i="2"/>
  <c r="R36" i="2"/>
  <c r="P36" i="2"/>
  <c r="AE35" i="2"/>
  <c r="R35" i="2"/>
  <c r="P35" i="2"/>
  <c r="AE34" i="2"/>
  <c r="R34" i="2"/>
  <c r="P34" i="2"/>
  <c r="AE33" i="2"/>
  <c r="R33" i="2"/>
  <c r="P33" i="2"/>
  <c r="AE32" i="2"/>
  <c r="R32" i="2"/>
  <c r="P32" i="2"/>
  <c r="AE31" i="2"/>
  <c r="R31" i="2"/>
  <c r="P31" i="2"/>
  <c r="AE30" i="2"/>
  <c r="R30" i="2"/>
  <c r="P30" i="2"/>
  <c r="AE29" i="2"/>
  <c r="R29" i="2"/>
  <c r="P29" i="2"/>
  <c r="AE28" i="2"/>
  <c r="R28" i="2"/>
  <c r="P28" i="2"/>
  <c r="AE27" i="2"/>
  <c r="R27" i="2"/>
  <c r="P27" i="2"/>
  <c r="AE26" i="2"/>
  <c r="R26" i="2"/>
  <c r="P26" i="2"/>
  <c r="AE25" i="2"/>
  <c r="R25" i="2"/>
  <c r="P25" i="2"/>
  <c r="AE24" i="2"/>
  <c r="R24" i="2"/>
  <c r="P24" i="2"/>
  <c r="AE23" i="2"/>
  <c r="R23" i="2"/>
  <c r="P23" i="2"/>
  <c r="AE22" i="2"/>
  <c r="R22" i="2"/>
  <c r="P22" i="2"/>
  <c r="AE21" i="2"/>
  <c r="R21" i="2"/>
  <c r="P21" i="2"/>
  <c r="AE20" i="2"/>
  <c r="R20" i="2"/>
  <c r="P20" i="2"/>
  <c r="AE19" i="2"/>
  <c r="R19" i="2"/>
  <c r="P19" i="2"/>
  <c r="AE18" i="2"/>
  <c r="R18" i="2"/>
  <c r="P18" i="2"/>
  <c r="AE17" i="2"/>
  <c r="R17" i="2"/>
  <c r="P17" i="2"/>
  <c r="AE16" i="2"/>
  <c r="R16" i="2"/>
  <c r="P16" i="2"/>
  <c r="AE15" i="2"/>
  <c r="R15" i="2"/>
  <c r="P15" i="2"/>
  <c r="AE14" i="2"/>
  <c r="R14" i="2"/>
  <c r="P14" i="2"/>
  <c r="AE13" i="2"/>
  <c r="R13" i="2"/>
  <c r="P13" i="2"/>
  <c r="AE12" i="2"/>
  <c r="R12" i="2"/>
  <c r="P12" i="2"/>
  <c r="AE11" i="2"/>
  <c r="R11" i="2"/>
  <c r="P11" i="2"/>
  <c r="AE10" i="2"/>
  <c r="R10" i="2"/>
  <c r="P10" i="2"/>
  <c r="AE9" i="2"/>
  <c r="R9" i="2"/>
  <c r="P9" i="2"/>
  <c r="AE8" i="2"/>
  <c r="R8" i="2"/>
  <c r="P8" i="2"/>
  <c r="AE7" i="2"/>
  <c r="R7" i="2"/>
  <c r="P7" i="2"/>
  <c r="AE6" i="2"/>
  <c r="R6" i="2"/>
  <c r="P6" i="2"/>
  <c r="AE5" i="2"/>
  <c r="R5" i="2"/>
  <c r="P5" i="2"/>
  <c r="AE4" i="2"/>
  <c r="R4" i="2"/>
  <c r="P4" i="2"/>
  <c r="AE3" i="2"/>
  <c r="R3" i="2"/>
  <c r="P3" i="2"/>
  <c r="F22" i="1"/>
  <c r="F19" i="1"/>
  <c r="F17" i="1"/>
  <c r="A2" i="1" a="1"/>
  <c r="A9" i="1" s="1"/>
  <c r="A2" i="1" l="1"/>
  <c r="A21" i="1"/>
  <c r="A3" i="3"/>
  <c r="A4" i="3"/>
  <c r="A5" i="3"/>
  <c r="A23" i="3"/>
  <c r="A24" i="3"/>
  <c r="A25" i="3"/>
  <c r="A19" i="1"/>
  <c r="A20" i="1"/>
  <c r="A24" i="1"/>
  <c r="A11" i="1"/>
  <c r="A12" i="1"/>
  <c r="A13" i="1"/>
  <c r="A14" i="1"/>
  <c r="A15" i="1"/>
  <c r="A15" i="3"/>
  <c r="A3" i="1"/>
  <c r="A8" i="1"/>
  <c r="A10" i="1"/>
  <c r="A30" i="1"/>
  <c r="A31" i="1"/>
  <c r="A16" i="3"/>
  <c r="A22" i="1"/>
  <c r="A23" i="1"/>
  <c r="A28" i="1"/>
  <c r="A29" i="1"/>
  <c r="A17" i="3"/>
  <c r="A16" i="1"/>
  <c r="A17" i="1"/>
  <c r="A18" i="1"/>
  <c r="A18" i="3"/>
  <c r="A19" i="3"/>
  <c r="A20" i="3"/>
  <c r="A2" i="3"/>
  <c r="A21" i="3"/>
  <c r="A22" i="3"/>
  <c r="A6" i="3"/>
  <c r="A26" i="3"/>
  <c r="A4" i="1"/>
  <c r="A5" i="1"/>
  <c r="A25" i="1"/>
  <c r="A6" i="1"/>
  <c r="A26" i="1"/>
  <c r="A7" i="1"/>
  <c r="A27" i="1"/>
  <c r="A7" i="3"/>
  <c r="A27" i="3"/>
  <c r="A8" i="3"/>
  <c r="A28" i="3"/>
  <c r="A9" i="3"/>
  <c r="A29" i="3"/>
  <c r="A10" i="3"/>
  <c r="A30" i="3"/>
  <c r="A11" i="3"/>
  <c r="A31" i="3"/>
  <c r="A12" i="3"/>
  <c r="A1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湯美華</author>
  </authors>
  <commentList>
    <comment ref="E14" authorId="0" shapeId="0" xr:uid="{00000000-0006-0000-0A00-000001000000}">
      <text>
        <r>
          <rPr>
            <sz val="12"/>
            <color theme="1"/>
            <rFont val="新細明體"/>
            <family val="2"/>
            <charset val="136"/>
          </rPr>
          <t>湯美華:
服務阻擋時要注意，圖例網址不能擋</t>
        </r>
      </text>
    </comment>
  </commentList>
</comments>
</file>

<file path=xl/sharedStrings.xml><?xml version="1.0" encoding="utf-8"?>
<sst xmlns="http://schemas.openxmlformats.org/spreadsheetml/2006/main" count="50106" uniqueCount="8555">
  <si>
    <t>服務類別(中)</t>
  </si>
  <si>
    <t>(空缺)</t>
  </si>
  <si>
    <t>服務類別</t>
  </si>
  <si>
    <t>3D Tiles</t>
  </si>
  <si>
    <t>3D建物屬性 API</t>
  </si>
  <si>
    <t>I3S</t>
  </si>
  <si>
    <t>WMS</t>
  </si>
  <si>
    <t>WMTS</t>
  </si>
  <si>
    <t>一千分之一地形圖 WFS</t>
  </si>
  <si>
    <t>地段外圍圖 WFS</t>
  </si>
  <si>
    <t>地籍圖 API</t>
  </si>
  <si>
    <t>地籍圖 WFS</t>
  </si>
  <si>
    <t>地籍圖 WMS</t>
  </si>
  <si>
    <t>地籍圖 WMTS</t>
  </si>
  <si>
    <t>地籍屬性 API</t>
  </si>
  <si>
    <t>國土利用現況調查成果圖 WFS</t>
  </si>
  <si>
    <t>國土利用屬性 API</t>
  </si>
  <si>
    <t>開放 API</t>
  </si>
  <si>
    <t>路徑規劃 API</t>
  </si>
  <si>
    <t>臺灣通用電子地圖 WFS</t>
  </si>
  <si>
    <t>模糊檢索 API</t>
  </si>
  <si>
    <t>總計 結果</t>
  </si>
  <si>
    <t>欄位</t>
  </si>
  <si>
    <t>資拓建議的更新流程 (科內尚未討論)
1.進版
2.新增服務申請
3.修改服務申請
4.直接修改,不走申請
5.其他(如有其他請填內容)</t>
  </si>
  <si>
    <t>請資拓填寫流程對應的訂閱網介面</t>
  </si>
  <si>
    <t>內容</t>
  </si>
  <si>
    <t>來源檢視確認/研擬項目</t>
  </si>
  <si>
    <t>URL</t>
  </si>
  <si>
    <t>https://api.nlsc.gov.tw/idc/ListRoad/A/{鄉鎮市區代碼-地政}</t>
  </si>
  <si>
    <t>https://3dtiles.nlsc.gov.tw/building/tiles3d/{建物服務代碼}/tileset.json</t>
  </si>
  <si>
    <t>URL需把{}換成英文的V</t>
  </si>
  <si>
    <t>V</t>
  </si>
  <si>
    <t>URL參數英文名稱</t>
  </si>
  <si>
    <t>{towncode}</t>
  </si>
  <si>
    <t>OAS文本欄位</t>
  </si>
  <si>
    <t>唯一識別碼</t>
  </si>
  <si>
    <t>SMB02-02</t>
  </si>
  <si>
    <t>2dms_addrm_v1_ListRoad_A</t>
  </si>
  <si>
    <t>服務名稱(中)</t>
  </si>
  <si>
    <t>SMB02-04</t>
  </si>
  <si>
    <t>ADR_003門牌服務–路名清單_臺北市</t>
  </si>
  <si>
    <t>服務名稱(中)_正規化</t>
  </si>
  <si>
    <t>模糊檢索 API_路名清單_臺北市</t>
  </si>
  <si>
    <t>圖資_子圖層，OPENDATA_圖資名稱，圖資(產製及更新年度)，圖資88-89年成果</t>
  </si>
  <si>
    <t>臺灣通用電子地圖=對外販售圖層</t>
  </si>
  <si>
    <t>特定區統一修正為特定區計畫；XX主要計畫統一修正為都市計畫</t>
  </si>
  <si>
    <t>列舉值需要代碼中文對照(請參照AD欄及範例檔製作OAS文本)</t>
  </si>
  <si>
    <t>服務版本(v[主版本號].[次版本號]，如v1.0），v小寫，英數字一律半形。)</t>
  </si>
  <si>
    <t>1(原則:不可修改,欲下架既有版本需經討論,需有版本並行期間)</t>
  </si>
  <si>
    <t>v1.0</t>
  </si>
  <si>
    <t>服務網址(A+C欄組合，請參照OAS範例檔寫法)</t>
  </si>
  <si>
    <t>https://api.nlsc.gov.tw/idc/ListRoad/A/{towncode}</t>
  </si>
  <si>
    <t>輸入參數
(資訊太多，不納入本表)</t>
  </si>
  <si>
    <t>3 (原則: 不可刪除既有參數,只允許新增參數)
2 (達不到上述條件時,走新增服務申請)</t>
  </si>
  <si>
    <t>回應資料格式
(資訊太多，不納入本表)</t>
  </si>
  <si>
    <t>3 (原則: 不可刪除既有格式,只允許新增格式)
2 (達不到上述條件時,走新增服務申請)</t>
  </si>
  <si>
    <t>回應資料Schema
(資訊太多，不納入本表)</t>
  </si>
  <si>
    <t>3 (原則: 不可修改原本資料結構與欄位,只允許新增欄位於既有欄位最後方)
2 (達不到上述條件時,走新增服務申請)</t>
  </si>
  <si>
    <t>OAS文本版本</t>
  </si>
  <si>
    <t>原則: 不修改</t>
  </si>
  <si>
    <t>3.1.1</t>
  </si>
  <si>
    <t>OAS文本欄位
詮釋資料API欄位</t>
  </si>
  <si>
    <t>服務圖資更新時間(yyyy-mm-dd-hh-mm-ss)</t>
  </si>
  <si>
    <t>建議也於詮釋資料API新增此欄位,自動更新不走任何申請。</t>
  </si>
  <si>
    <t>2026-07-02-00-00-00</t>
  </si>
  <si>
    <t>OAS文本描述(中)(同一份json內容會一樣)</t>
  </si>
  <si>
    <t>模糊檢索API，涵蓋全臺各縣市的「路名」與「巷弄」清單查詢，並支援點、線、面幾何坐標轉換。提供全域及特定範圍的彈性比對，協助系統整合空間資訊，精準定位並優化地址門牌輸入。</t>
  </si>
  <si>
    <t>服務名稱(中)_有正規化名稱用F欄，無則用E欄，此欄已經套用公式，請勿直接修正此欄，請編輯F欄。</t>
  </si>
  <si>
    <t>?</t>
  </si>
  <si>
    <t>服務描述(中)(每個唯一碼都要各自的服務描述)</t>
  </si>
  <si>
    <t>可以等同P</t>
  </si>
  <si>
    <t>詮釋資料API欄位</t>
  </si>
  <si>
    <t>唯一識別碼2</t>
  </si>
  <si>
    <t>原則 : 詮釋資料不可修改此欄,若與OAS無對應,系統視為無此服務</t>
  </si>
  <si>
    <t>詮釋資料API欄位(選填)</t>
  </si>
  <si>
    <t>坐標系統(OGC服務都是必填，請填EPSG[EPSG代碼])</t>
  </si>
  <si>
    <t>圖例網址</t>
  </si>
  <si>
    <t>服務標準(只有OGC與非OGC，此欄已套用公式)</t>
  </si>
  <si>
    <t>服務類別(英)</t>
  </si>
  <si>
    <t>addrm</t>
  </si>
  <si>
    <t>來源系統</t>
  </si>
  <si>
    <t>2dms</t>
  </si>
  <si>
    <t>提供機關(請填寫機關全名)</t>
  </si>
  <si>
    <t>內政部國土測繪中心</t>
  </si>
  <si>
    <t>服務資料更新頻率(每月/不定期 擇一填寫)</t>
  </si>
  <si>
    <t>每月</t>
  </si>
  <si>
    <t>服務關鍵字(以半形逗號分隔)</t>
  </si>
  <si>
    <t>門牌,路名,巷弄,幾何</t>
  </si>
  <si>
    <t>OAS文本存放路徑</t>
  </si>
  <si>
    <t>OAS文本資訊位置(請給路徑，無需繳交實體json檔，訂閱網檢核通過後會改成訂閱網網域網址)</t>
  </si>
  <si>
    <t>https://maps.nlsc.gov.tw/S09SOA/Download.action?fileName=addrmV1.json</t>
  </si>
  <si>
    <t>系統依據核定時間自動寫入</t>
  </si>
  <si>
    <t>OAS文本更新時間(訂閱網審核後系統自統帶入審核日期)</t>
  </si>
  <si>
    <t>原則 : 不會有僅更新此欄位的需求,故更新方式依其他欄位</t>
  </si>
  <si>
    <t>2026-09-01-00-00-00</t>
  </si>
  <si>
    <t>OAS文本寫法規劃（對應Swagger Editor驗證，參考3）</t>
  </si>
  <si>
    <t>有下拉選單</t>
  </si>
  <si>
    <t>坐標系統(OGC服務都是必填，請填EPSG:[EPSG代碼])</t>
  </si>
  <si>
    <t>更新資料用</t>
  </si>
  <si>
    <t>{3dbuildcode}</t>
  </si>
  <si>
    <t>3dms_3dtile_v1_building</t>
  </si>
  <si>
    <t>建物模型</t>
  </si>
  <si>
    <t>3D Tiles_三維建物模型_融合版及分棟版</t>
  </si>
  <si>
    <t>3dtile</t>
  </si>
  <si>
    <t>3dms</t>
  </si>
  <si>
    <t>https://3dtiles.nlsc.gov.tw/road/tiles3d/{道路服務代碼}/tileset.json</t>
  </si>
  <si>
    <t>{3droadcode-orig}</t>
  </si>
  <si>
    <t>3dms_3dtile_v1_road</t>
  </si>
  <si>
    <t>道路_原始成果版</t>
  </si>
  <si>
    <t>3D Tiles_三維道路模型_原始成果版</t>
  </si>
  <si>
    <t>https://3dtiles.nlsc.gov.tw/road2nd/tiles3d/{道路服務代碼}/tileset.json</t>
  </si>
  <si>
    <t>{3droadcode-terfit}</t>
  </si>
  <si>
    <t>3dms_3dtile_v1_road2nd</t>
  </si>
  <si>
    <t>道路_地形貼合版</t>
  </si>
  <si>
    <t>3D Tiles_三維道路模型_地形貼合版</t>
  </si>
  <si>
    <t>https://download03.nlsc.gov.tw/WebApi/PartialBuildingService/3DT_Service/{參數1}/tileset.json</t>
  </si>
  <si>
    <t>3dms_3dtile_v1_PBSService</t>
  </si>
  <si>
    <t>三維建物單棟或區域式服務發布3DTiles</t>
  </si>
  <si>
    <t>3D Tiles_三維建物服務_指定範圍呼叫</t>
  </si>
  <si>
    <t>無下拉選單</t>
  </si>
  <si>
    <t>https://download03.nlsc.gov.tw/WebApi/BuildingAttributes/QueryBuildingDataSource</t>
  </si>
  <si>
    <t>3dms_bldg3d_v1_BAQueryBuildingDataSource</t>
  </si>
  <si>
    <t>建物屬性查詢(查詢建物資料來源清單)</t>
  </si>
  <si>
    <t>??</t>
  </si>
  <si>
    <t>bldg3d</t>
  </si>
  <si>
    <t>https://download03.nlsc.gov.tw/WebApi/BuildingAttributes/QueryBuilding</t>
  </si>
  <si>
    <t>3dms_bldg3d_v1_BAQueryBuilding</t>
  </si>
  <si>
    <t>建物屬性查詢(查詢建物圖層名稱清單)</t>
  </si>
  <si>
    <t>https://download03.nlsc.gov.tw/WebApi/BuildingAttributes/QueryBuildingAttributes/{Type}</t>
  </si>
  <si>
    <t>3dms_bldg3d_v1_BAQueryBuildingAttributes</t>
  </si>
  <si>
    <t>建物屬性查詢(查詢建物屬性)</t>
  </si>
  <si>
    <t>https://download03.nlsc.gov.tw/WebApi/BuildingAttributes/Status</t>
  </si>
  <si>
    <t>3dms_bldg3d_v1_BAStatus</t>
  </si>
  <si>
    <t>建物屬性查詢(查詢建物屬性API服務狀態)</t>
  </si>
  <si>
    <t>https://download03.nlsc.gov.tw/WebApi/PartialBuildingService/I3S_Service/i3s/rest/services/{參數1}/SceneServer/layers/0</t>
  </si>
  <si>
    <t>3dms_i3s_v1_PBSService</t>
  </si>
  <si>
    <t>三維建物單棟或區域式服務發布I3S</t>
  </si>
  <si>
    <t>I3S_三維建物服務_指定範圍呼叫</t>
  </si>
  <si>
    <t>i3s</t>
  </si>
  <si>
    <t>https://i3s.nlsc.gov.tw/building/i3s/SceneServer/layers/{建物服務代碼}</t>
  </si>
  <si>
    <t>3dms_i3s_v1_building</t>
  </si>
  <si>
    <t>I3S_三維建物模型_融合版及分棟版</t>
  </si>
  <si>
    <t>https://i3s.nlsc.gov.tw/road/i3s/SceneServer/layers/{道路服務代碼}</t>
  </si>
  <si>
    <t>3dms_i3s_v1_road</t>
  </si>
  <si>
    <t>I3S_三維道路模型_原始成果版</t>
  </si>
  <si>
    <t>https://i3s.nlsc.gov.tw/road2nd/i3s/SceneServer/layers/{道路服務代碼}</t>
  </si>
  <si>
    <t>3dms_i3s_v1_road2nd</t>
  </si>
  <si>
    <t>I3S_三維道路模型_地形貼合版</t>
  </si>
  <si>
    <t>https://wms.nlsc.gov.tw/wms</t>
  </si>
  <si>
    <t>2dms_wms_v1_WMS</t>
  </si>
  <si>
    <t>圖資服務雲 WMS服務</t>
  </si>
  <si>
    <t>v1</t>
  </si>
  <si>
    <t>2026-07-02T00:00:00+08:00</t>
  </si>
  <si>
    <t>提供 OGC WMS 標準服務，支援 GetCapabilities、GetMap 與 GetFeatureInfo</t>
  </si>
  <si>
    <t>提供WMS發布服務，圖層包含臺灣通用電子地圖、國土利用現況調查成果圖、段籍圖、1/5000基本地形圖、縣市界、 正射影像、各級學校範圍圖、鄉鎮區、村里界...等。</t>
  </si>
  <si>
    <t>EPSG:3857</t>
  </si>
  <si>
    <t>wms</t>
  </si>
  <si>
    <t>不定期</t>
  </si>
  <si>
    <t>https://wmts.nlsc.gov.tw/wmts/Village201910/{Style}/{TileMatrixSet}/{TileMatrix}/{TileRow}/{TileCol}</t>
  </si>
  <si>
    <t>2dms_wmts_v1_Village201910</t>
  </si>
  <si>
    <t>村里界(108年10月)</t>
  </si>
  <si>
    <t>WMTS_村里界線(108年)</t>
  </si>
  <si>
    <t>提供國土測繪圖雲資WMTS服務</t>
  </si>
  <si>
    <t>wmts</t>
  </si>
  <si>
    <t>WMTS,行政區</t>
  </si>
  <si>
    <t>https://wmts.nlsc.gov.tw/wmts/Village/{Style}/{TileMatrixSet}/{TileMatrix}/{TileRow}/{TileCol}</t>
  </si>
  <si>
    <t>2dms_wmts_v1_Village</t>
  </si>
  <si>
    <t>村里界</t>
  </si>
  <si>
    <t>WMTS_村里界線</t>
  </si>
  <si>
    <t>https://wmts.nlsc.gov.tw/wmts/UAV111Q01/{Style}/{TileMatrixSet}/{TileMatrix}/{TileRow}/{TileCol}</t>
  </si>
  <si>
    <t>2dms_wmts_v1_UAV111Q01</t>
  </si>
  <si>
    <t>嘉義縣民雄111年UAS(UAV)</t>
  </si>
  <si>
    <t>WMTS_UAV空拍影像_嘉義縣民雄(111年)</t>
  </si>
  <si>
    <t>WMTS,航照</t>
  </si>
  <si>
    <t>https://wmts.nlsc.gov.tw/wmts/UAV111P02/{Style}/{TileMatrixSet}/{TileMatrix}/{TileRow}/{TileCol}</t>
  </si>
  <si>
    <t>2dms_wmts_v1_UAV111P02</t>
  </si>
  <si>
    <t>雲林縣口湖111年UAS(UAV)</t>
  </si>
  <si>
    <t>WMTS_UAV空拍影像_雲林縣口湖(111年)</t>
  </si>
  <si>
    <t>https://wmts.nlsc.gov.tw/wmts/UAV111P01/{Style}/{TileMatrixSet}/{TileMatrix}/{TileRow}/{TileCol}</t>
  </si>
  <si>
    <t>2dms_wmts_v1_UAV111P01</t>
  </si>
  <si>
    <t>雲林縣臺西111年UAS(UAV)</t>
  </si>
  <si>
    <t>WMTS_UAV空拍影像_雲林縣臺西(111年)</t>
  </si>
  <si>
    <t>https://wmts.nlsc.gov.tw/wmts/UAV111K02/{Style}/{TileMatrixSet}/{TileMatrix}/{TileRow}/{TileCol}</t>
  </si>
  <si>
    <t>2dms_wmts_v1_UAV111K02</t>
  </si>
  <si>
    <t>苗栗縣泰安鄉觀霧111年UAS(UAV)</t>
  </si>
  <si>
    <t>WMTS_UAV空拍影像_苗栗縣泰安鄉觀霧(111年)</t>
  </si>
  <si>
    <t>WMTS,地形圖,航照</t>
  </si>
  <si>
    <t>https://wmts.nlsc.gov.tw/wmts/UAV111K01/{Style}/{TileMatrixSet}/{TileMatrix}/{TileRow}/{TileCol}</t>
  </si>
  <si>
    <t>2dms_wmts_v1_UAV111K01</t>
  </si>
  <si>
    <t>苗栗縣泰安鄉雪見111年UAS(UAV)</t>
  </si>
  <si>
    <t>WMTS_UAV空拍影像_苗栗縣泰安鄉雪見(111年)</t>
  </si>
  <si>
    <t>https://wmts.nlsc.gov.tw/wmts/UAV111J03/{Style}/{TileMatrixSet}/{TileMatrix}/{TileRow}/{TileCol}</t>
  </si>
  <si>
    <t>2dms_wmts_v1_UAV111J03</t>
  </si>
  <si>
    <t>新竹縣竹北③111年UAS(UAV)</t>
  </si>
  <si>
    <t>WMTS_UAV空拍影像_新竹縣竹北_3(111年)</t>
  </si>
  <si>
    <t>https://wmts.nlsc.gov.tw/wmts/UAV111J02/{Style}/{TileMatrixSet}/{TileMatrix}/{TileRow}/{TileCol}</t>
  </si>
  <si>
    <t>2dms_wmts_v1_UAV111J02</t>
  </si>
  <si>
    <t>新竹縣竹北②111年UAS(UAV)</t>
  </si>
  <si>
    <t>WMTS_UAV空拍影像_新竹縣竹北_2(111年)</t>
  </si>
  <si>
    <t>https://wmts.nlsc.gov.tw/wmts/UAV111J01/{Style}/{TileMatrixSet}/{TileMatrix}/{TileRow}/{TileCol}</t>
  </si>
  <si>
    <t>2dms_wmts_v1_UAV111J01</t>
  </si>
  <si>
    <t>新竹縣竹北①111年UAS(UAV)</t>
  </si>
  <si>
    <t>WMTS_UAV空拍影像_新竹縣竹北_1(111年)</t>
  </si>
  <si>
    <t>https://wmts.nlsc.gov.tw/wmts/UAV111E01/{Style}/{TileMatrixSet}/{TileMatrix}/{TileRow}/{TileCol}</t>
  </si>
  <si>
    <t>2dms_wmts_v1_UAV111E01</t>
  </si>
  <si>
    <t>高雄市永安111年UAS(UAV)</t>
  </si>
  <si>
    <t>WMTS_UAV空拍影像_高雄市永安(111年)</t>
  </si>
  <si>
    <t>https://wmts.nlsc.gov.tw/wmts/UAV111D01/{Style}/{TileMatrixSet}/{TileMatrix}/{TileRow}/{TileCol}</t>
  </si>
  <si>
    <t>2dms_wmts_v1_UAV111D01</t>
  </si>
  <si>
    <t>臺南市柳營111年UAS(UAV)</t>
  </si>
  <si>
    <t>WMTS_UAV空拍影像_臺南市柳營(111年)</t>
  </si>
  <si>
    <t>https://wmts.nlsc.gov.tw/wmts/UAV111A06/{Style}/{TileMatrixSet}/{TileMatrix}/{TileRow}/{TileCol}</t>
  </si>
  <si>
    <t xml:space="preserve">2dms_wmts_v1_UAV111A06 </t>
  </si>
  <si>
    <t>臺北市士林陽明山夢幻湖111年UAS(UAV)</t>
  </si>
  <si>
    <t>WMTS_UAV空拍影像_臺北市士林陽明山夢幻湖(111年)</t>
  </si>
  <si>
    <t>https://wmts.nlsc.gov.tw/wmts/UAV111A05/{Style}/{TileMatrixSet}/{TileMatrix}/{TileRow}/{TileCol}</t>
  </si>
  <si>
    <t>2dms_wmts_v1_UAV111A05</t>
  </si>
  <si>
    <t>臺北市士林陽明山馬槽111年UAS(UAV)</t>
  </si>
  <si>
    <t>WMTS_UAV空拍影像_臺北市士林陽明山馬槽(111年)</t>
  </si>
  <si>
    <t>https://wmts.nlsc.gov.tw/wmts/UAV111A04/{Style}/{TileMatrixSet}/{TileMatrix}/{TileRow}/{TileCol}</t>
  </si>
  <si>
    <t>2dms_wmts_v1_UAV111A04</t>
  </si>
  <si>
    <t>臺北市士林陽明山大油坑111年UAS(UAV)</t>
  </si>
  <si>
    <t>WMTS_UAV空拍影像_臺北市士林陽明山大油坑(111年)</t>
  </si>
  <si>
    <t>https://wmts.nlsc.gov.tw/wmts/UAV111A03/{Style}/{TileMatrixSet}/{TileMatrix}/{TileRow}/{TileCol}</t>
  </si>
  <si>
    <t xml:space="preserve">2dms_wmts_v1_UAV111A03 </t>
  </si>
  <si>
    <t>臺北市萬華111年UAS(UAV)</t>
  </si>
  <si>
    <t>WMTS_UAV空拍影像_臺北市萬華(111年)</t>
  </si>
  <si>
    <t>https://wmts.nlsc.gov.tw/wmts/UAV111A02/{Style}/{TileMatrixSet}/{TileMatrix}/{TileRow}/{TileCol}</t>
  </si>
  <si>
    <t>2dms_wmts_v1_UAV111A02</t>
  </si>
  <si>
    <t>臺北市北投111年UAS(UAV)</t>
  </si>
  <si>
    <t>WMTS_UAV空拍影像_臺北市北投(111年)</t>
  </si>
  <si>
    <t>https://wmts.nlsc.gov.tw/wmts/UAV110Q02/{Style}/{TileMatrixSet}/{TileMatrix}/{TileRow}/{TileCol}</t>
  </si>
  <si>
    <t>2dms_wmts_v1_UAV110Q02</t>
  </si>
  <si>
    <t>嘉義縣鹿草110年UAS(UAV)</t>
  </si>
  <si>
    <t>WMTS_UAV空拍影像_嘉義縣鹿草(110年)</t>
  </si>
  <si>
    <t>https://wmts.nlsc.gov.tw/wmts/UAV110Q01/{Style}/{TileMatrixSet}/{TileMatrix}/{TileRow}/{TileCol}</t>
  </si>
  <si>
    <t>2dms_wmts_v1_UAV110Q01</t>
  </si>
  <si>
    <t>嘉義縣朴子110年UAS(UAV)</t>
  </si>
  <si>
    <t>WMTS_UAV空拍影像_嘉義縣朴子(110年)</t>
  </si>
  <si>
    <t>https://wmts.nlsc.gov.tw/wmts/UAV110N01/{Style}/{TileMatrixSet}/{TileMatrix}/{TileRow}/{TileCol}</t>
  </si>
  <si>
    <t xml:space="preserve">2dms_wmts_v1_UAV110N01 </t>
  </si>
  <si>
    <t>彰化縣芳苑110年UAS(UAV)</t>
  </si>
  <si>
    <t>WMTS_UAV空拍影像_彰化縣芳苑(110年)</t>
  </si>
  <si>
    <t>https://wmts.nlsc.gov.tw/wmts/UAV110E02/{Style}/{TileMatrixSet}/{TileMatrix}/{TileRow}/{TileCol}</t>
  </si>
  <si>
    <t>2dms_wmts_v1_UAV110E02</t>
  </si>
  <si>
    <t>高雄市大社110年UAS(UAV)</t>
  </si>
  <si>
    <t>WMTS_UAV空拍影像_高雄市大社(110年)</t>
  </si>
  <si>
    <t>https://wmts.nlsc.gov.tw/wmts/UAV110D08/{Style}/{TileMatrixSet}/{TileMatrix}/{TileRow}/{TileCol}</t>
  </si>
  <si>
    <t xml:space="preserve">2dms_wmts_v1_UAV110D08 </t>
  </si>
  <si>
    <t xml:space="preserve">臺南市歸仁110年①UAS(UAV) </t>
  </si>
  <si>
    <t>WMTS_UAV空拍影像_臺南市歸仁_2(110年)</t>
  </si>
  <si>
    <t>https://wmts.nlsc.gov.tw/wmts/UAV110D07/{Style}/{TileMatrixSet}/{TileMatrix}/{TileRow}/{TileCol}</t>
  </si>
  <si>
    <t xml:space="preserve">2dms_wmts_v1_UAV110D07 </t>
  </si>
  <si>
    <t xml:space="preserve">臺南市歸仁110年②UAS(UAV) </t>
  </si>
  <si>
    <t>https://wmts.nlsc.gov.tw/wmts/UAV110D06/{Style}/{TileMatrixSet}/{TileMatrix}/{TileRow}/{TileCol}</t>
  </si>
  <si>
    <t>2dms_wmts_v1_UAV110D06</t>
  </si>
  <si>
    <t xml:space="preserve">臺南市永康110年②UAS(UAV) </t>
  </si>
  <si>
    <t>WMTS_UAV空拍影像_臺南市永康_2(110年)</t>
  </si>
  <si>
    <t>https://wmts.nlsc.gov.tw/wmts/UAV110D05/{Style}/{TileMatrixSet}/{TileMatrix}/{TileRow}/{TileCol}</t>
  </si>
  <si>
    <t xml:space="preserve">2dms_wmts_v1_UAV110D05 </t>
  </si>
  <si>
    <t>臺南市西港110年UAS(UAV)</t>
  </si>
  <si>
    <t>WMTS_UAV空拍影像_臺南市西港(110年)</t>
  </si>
  <si>
    <t>https://wmts.nlsc.gov.tw/wmts/UAV110D04/{Style}/{TileMatrixSet}/{TileMatrix}/{TileRow}/{TileCol}</t>
  </si>
  <si>
    <t>2dms_wmts_v1_UAV110D04</t>
  </si>
  <si>
    <t>臺南市新營110年UAS(UAV)</t>
  </si>
  <si>
    <t>WMTS_UAV空拍影像_臺南市新營(110年)</t>
  </si>
  <si>
    <t>https://wmts.nlsc.gov.tw/wmts/UAV110D03/{Style}/{TileMatrixSet}/{TileMatrix}/{TileRow}/{TileCol}</t>
  </si>
  <si>
    <t>2dms_wmts_v1_UAV110D03</t>
  </si>
  <si>
    <t>臺南市安南110年UAS(UAV)</t>
  </si>
  <si>
    <t>WMTS_UAV空拍影像_臺南市安南(110年)</t>
  </si>
  <si>
    <t>https://wmts.nlsc.gov.tw/wmts/UAV110D02/{Style}/{TileMatrixSet}/{TileMatrix}/{TileRow}/{TileCol}</t>
  </si>
  <si>
    <t>2dms_wmts_v1_UAV110D02</t>
  </si>
  <si>
    <t>臺南市南化110年UAS(UAV)</t>
  </si>
  <si>
    <t>WMTS_UAV空拍影像_臺南市南化(110年)</t>
  </si>
  <si>
    <t>https://wmts.nlsc.gov.tw/wmts/UAV110D01/{Style}/{TileMatrixSet}/{TileMatrix}/{TileRow}/{TileCol}</t>
  </si>
  <si>
    <t>2dms_wmts_v1_UAV110D01</t>
  </si>
  <si>
    <t>臺南市永康110年UAS(UAV)</t>
  </si>
  <si>
    <t>WMTS_UAV空拍影像_臺南市永康_1(110年)</t>
  </si>
  <si>
    <t>https://wmts.nlsc.gov.tw/wmts/UAV110B03/{Style}/{TileMatrixSet}/{TileMatrix}/{TileRow}/{TileCol}</t>
  </si>
  <si>
    <t>2dms_wmts_v1_UAV110B03</t>
  </si>
  <si>
    <t xml:space="preserve">臺中市霧峰110年UAS(UAV) </t>
  </si>
  <si>
    <t>WMTS_UAV空拍影像_臺中市霧峰(110年)</t>
  </si>
  <si>
    <t>https://wmts.nlsc.gov.tw/wmts/UAV110B02/{Style}/{TileMatrixSet}/{TileMatrix}/{TileRow}/{TileCol}</t>
  </si>
  <si>
    <t>2dms_wmts_v1_UAV110B02</t>
  </si>
  <si>
    <t xml:space="preserve">臺中市烏日110年UAS(UAV) </t>
  </si>
  <si>
    <t>WMTS_UAV空拍影像_臺中市烏日(110年)</t>
  </si>
  <si>
    <t>https://wmts.nlsc.gov.tw/wmts/UAV110B01/{Style}/{TileMatrixSet}/{TileMatrix}/{TileRow}/{TileCol}</t>
  </si>
  <si>
    <t>2dms_wmts_v1_UAV110B01</t>
  </si>
  <si>
    <t>臺中市豐原110年UAS(UAV)</t>
  </si>
  <si>
    <t>WMTS_UAV空拍影像_臺中市豐原(110年)</t>
  </si>
  <si>
    <t>https://wmts.nlsc.gov.tw/wmts/UAV110A01/{Style}/{TileMatrixSet}/{TileMatrix}/{TileRow}/{TileCol}</t>
  </si>
  <si>
    <t>2dms_wmts_v1_UAV110A01</t>
  </si>
  <si>
    <t>臺北市士林110年UAS(UAV)</t>
  </si>
  <si>
    <t>WMTS_UAV空拍影像_臺北市士林(110年)</t>
  </si>
  <si>
    <t>https://wmts.nlsc.gov.tw/wmts/UAV109U03/{Style}/{TileMatrixSet}/{TileMatrix}/{TileRow}/{TileCol}</t>
  </si>
  <si>
    <t>2dms_wmts_v1_UAV109U03</t>
  </si>
  <si>
    <t>花蓮縣光復109年UAS(UAV)</t>
  </si>
  <si>
    <t>WMTS_UAV空拍影像_花蓮縣光復(109年)</t>
  </si>
  <si>
    <t>https://wmts.nlsc.gov.tw/wmts/UAV109U02/{Style}/{TileMatrixSet}/{TileMatrix}/{TileRow}/{TileCol}</t>
  </si>
  <si>
    <t>2dms_wmts_v1_UAV109U02</t>
  </si>
  <si>
    <t>花蓮縣卓溪②109年UAS(UAV)</t>
  </si>
  <si>
    <t>WMTS_UAV空拍影像_花蓮縣卓溪_2(109年)</t>
  </si>
  <si>
    <t>https://wmts.nlsc.gov.tw/wmts/UAV109U01/{Style}/{TileMatrixSet}/{TileMatrix}/{TileRow}/{TileCol}</t>
  </si>
  <si>
    <t>2dms_wmts_v1_UAV109U01</t>
  </si>
  <si>
    <t>花蓮縣卓溪①109年UAS(UAV)</t>
  </si>
  <si>
    <t>WMTS_UAV空拍影像_花蓮縣卓溪_1(109年)</t>
  </si>
  <si>
    <t>https://wmts.nlsc.gov.tw/wmts/UAV109T03/{Style}/{TileMatrixSet}/{TileMatrix}/{TileRow}/{TileCol}</t>
  </si>
  <si>
    <t>2dms_wmts_v1_UAV109T03</t>
  </si>
  <si>
    <t>屏東縣高樹109年UAS(UAV)</t>
  </si>
  <si>
    <t>WMTS_UAV空拍影像_屏東縣高樹(109年)</t>
  </si>
  <si>
    <t>https://wmts.nlsc.gov.tw/wmts/UAV109T02/{Style}/{TileMatrixSet}/{TileMatrix}/{TileRow}/{TileCol}</t>
  </si>
  <si>
    <t>2dms_wmts_v1_UAV109T02</t>
  </si>
  <si>
    <t>屏東縣屏東109年UAS(UAV)</t>
  </si>
  <si>
    <t>WMTS_UAV空拍影像_屏東縣屏東(109年)</t>
  </si>
  <si>
    <t>https://wmts.nlsc.gov.tw/wmts/UAV109T01/{Style}/{TileMatrixSet}/{TileMatrix}/{TileRow}/{TileCol}</t>
  </si>
  <si>
    <t>2dms_wmts_v1_UAV109T01</t>
  </si>
  <si>
    <t>屏東東港109年UAS(UAV)</t>
  </si>
  <si>
    <t>WMTS_UAV空拍影像_屏東東港(109年)</t>
  </si>
  <si>
    <t>https://wmts.nlsc.gov.tw/wmts/UAV109Q01/{Style}/{TileMatrixSet}/{TileMatrix}/{TileRow}/{TileCol}</t>
  </si>
  <si>
    <t>2dms_wmts_v1_UAV109Q01</t>
  </si>
  <si>
    <t>嘉義縣義竹109年UAS(UAV)</t>
  </si>
  <si>
    <t>WMTS_UAV空拍影像_嘉義縣義竹(109年)</t>
  </si>
  <si>
    <t>https://wmts.nlsc.gov.tw/wmts/UAV109P01/{Style}/{TileMatrixSet}/{TileMatrix}/{TileRow}/{TileCol}</t>
  </si>
  <si>
    <t>2dms_wmts_v1_UAV109P01</t>
  </si>
  <si>
    <t>雲林古坑109年UAS(UAV)</t>
  </si>
  <si>
    <t>WMTS_UAV空拍影像_雲林古坑(109年)</t>
  </si>
  <si>
    <t>https://wmts.nlsc.gov.tw/wmts/UAV109K02/{Style}/{TileMatrixSet}/{TileMatrix}/{TileRow}/{TileCol}</t>
  </si>
  <si>
    <t>2dms_wmts_v1_UAV109K02</t>
  </si>
  <si>
    <t>苗栗縣苗栗109年UAS(UAV)</t>
  </si>
  <si>
    <t>WMTS_UAV空拍影像_苗栗縣苗栗(109年)</t>
  </si>
  <si>
    <t>https://wmts.nlsc.gov.tw/wmts/UAV109K01/{Style}/{TileMatrixSet}/{TileMatrix}/{TileRow}/{TileCol}</t>
  </si>
  <si>
    <t>2dms_wmts_v1_UAV109K01</t>
  </si>
  <si>
    <t>苗栗縣西湖109年UAS(UAV)</t>
  </si>
  <si>
    <t>WMTS_UAV空拍影像_苗栗縣西湖(109年)</t>
  </si>
  <si>
    <t>https://wmts.nlsc.gov.tw/wmts/UAV109E01/{Style}/{TileMatrixSet}/{TileMatrix}/{TileRow}/{TileCol}</t>
  </si>
  <si>
    <t>2dms_wmts_v1_UAV109E01</t>
  </si>
  <si>
    <t>高雄市岡山109年UAS(UAV)</t>
  </si>
  <si>
    <t>WMTS_UAV空拍影像_高雄市岡山(109年)</t>
  </si>
  <si>
    <t>https://wmts.nlsc.gov.tw/wmts/UAV109D01/{Style}/{TileMatrixSet}/{TileMatrix}/{TileRow}/{TileCol}</t>
  </si>
  <si>
    <t>2dms_wmts_v1_UAV109D01</t>
  </si>
  <si>
    <t>臺南市麻豆109年UAS(UAV)</t>
  </si>
  <si>
    <t>WMTS_UAV空拍影像_臺南市麻豆(109年)</t>
  </si>
  <si>
    <t>https://wmts.nlsc.gov.tw/wmts/UAV109B01/{Style}/{TileMatrixSet}/{TileMatrix}/{TileRow}/{TileCol}</t>
  </si>
  <si>
    <t>2dms_wmts_v1_UAV109B01</t>
  </si>
  <si>
    <t>臺中市梧棲109年UAS(UAV)</t>
  </si>
  <si>
    <t>WMTS_UAV空拍影像_臺中市梧棲(109年)</t>
  </si>
  <si>
    <t>https://wmts.nlsc.gov.tw/wmts/UAV109A01/{Style}/{TileMatrixSet}/{TileMatrix}/{TileRow}/{TileCol}</t>
  </si>
  <si>
    <t>2dms_wmts_v1_UAV109A01</t>
  </si>
  <si>
    <t>臺北市士林109年UAS(UAV)</t>
  </si>
  <si>
    <t>WMTS_UAV空拍影像_臺北市士林(109年)</t>
  </si>
  <si>
    <t>https://wmts.nlsc.gov.tw/wmts/UAV108Q02/{Style}/{TileMatrixSet}/{TileMatrix}/{TileRow}/{TileCol}</t>
  </si>
  <si>
    <t>2dms_wmts_v1_UAV108Q02</t>
  </si>
  <si>
    <t>嘉義縣布袋鎮②108年UAS(UAV)</t>
  </si>
  <si>
    <t>WMTS_UAV空拍影像_嘉義縣布袋鎮_2(108年)</t>
  </si>
  <si>
    <t>https://wmts.nlsc.gov.tw/wmts/UAV108Q01/{Style}/{TileMatrixSet}/{TileMatrix}/{TileRow}/{TileCol}</t>
  </si>
  <si>
    <t>2dms_wmts_v1_UAV108Q01</t>
  </si>
  <si>
    <t>嘉義縣布袋鎮①108年UAS(UAV)</t>
  </si>
  <si>
    <t>WMTS_UAV空拍影像_嘉義縣布袋鎮_1(108年)</t>
  </si>
  <si>
    <t>https://wmts.nlsc.gov.tw/wmts/UAV108G01/{Style}/{TileMatrixSet}/{TileMatrix}/{TileRow}/{TileCol}</t>
  </si>
  <si>
    <t>2dms_wmts_v1_UAV108G01</t>
  </si>
  <si>
    <t>宜蘭縣五結鄉108年UAS(UAV)</t>
  </si>
  <si>
    <t>WMTS_UAV空拍影像_宜蘭縣五結鄉(108年)</t>
  </si>
  <si>
    <t>https://wmts.nlsc.gov.tw/wmts/UAV108E01/{Style}/{TileMatrixSet}/{TileMatrix}/{TileRow}/{TileCol}</t>
  </si>
  <si>
    <t>2dms_wmts_v1_UAV108E01</t>
  </si>
  <si>
    <t>高雄市大寮區108年UAS(UAV)</t>
  </si>
  <si>
    <t>WMTS_UAV空拍影像_高雄市大寮區(108年)</t>
  </si>
  <si>
    <t>https://wmts.nlsc.gov.tw/wmts/UAV108D05/{Style}/{TileMatrixSet}/{TileMatrix}/{TileRow}/{TileCol}</t>
  </si>
  <si>
    <t>2dms_wmts_v1_UAV108D05</t>
  </si>
  <si>
    <t>臺南市永康區108年UAS(UAV)</t>
  </si>
  <si>
    <t>WMTS_UAV空拍影像_臺南市永康區(108年)</t>
  </si>
  <si>
    <t>https://wmts.nlsc.gov.tw/wmts/UAV108D04/{Style}/{TileMatrixSet}/{TileMatrix}/{TileRow}/{TileCol}</t>
  </si>
  <si>
    <t>2dms_wmts_v1_UAV108D04</t>
  </si>
  <si>
    <t>臺南市關廟區108年UAS(UAV)</t>
  </si>
  <si>
    <t>WMTS_UAV空拍影像_臺南市關廟區(108年)</t>
  </si>
  <si>
    <t>https://wmts.nlsc.gov.tw/wmts/UAV108D03/{Style}/{TileMatrixSet}/{TileMatrix}/{TileRow}/{TileCol}</t>
  </si>
  <si>
    <t>2dms_wmts_v1_UAV108D03</t>
  </si>
  <si>
    <t>臺南市七股區108年UAS(UAV)</t>
  </si>
  <si>
    <t>WMTS_UAV空拍影像_臺南市七股區(108年)</t>
  </si>
  <si>
    <t>https://wmts.nlsc.gov.tw/wmts/UAV108D02/{Style}/{TileMatrixSet}/{TileMatrix}/{TileRow}/{TileCol}</t>
  </si>
  <si>
    <t>2dms_wmts_v1_UAV108D02</t>
  </si>
  <si>
    <t>臺南市下營區108年UAS(UAV)</t>
  </si>
  <si>
    <t>WMTS_UAV空拍影像_臺南市下營區(108年)</t>
  </si>
  <si>
    <t>https://wmts.nlsc.gov.tw/wmts/UAV108D01/{Style}/{TileMatrixSet}/{TileMatrix}/{TileRow}/{TileCol}</t>
  </si>
  <si>
    <t>2dms_wmts_v1_UAV108D01</t>
  </si>
  <si>
    <t>臺南市安南區108年UAS(UAV)</t>
  </si>
  <si>
    <t>WMTS_UAV空拍影像_臺南市安南區(108年)</t>
  </si>
  <si>
    <t>https://wmts.nlsc.gov.tw/wmts/UAV108B01/{Style}/{TileMatrixSet}/{TileMatrix}/{TileRow}/{TileCol}</t>
  </si>
  <si>
    <t>2dms_wmts_v1_UAV108B01</t>
  </si>
  <si>
    <t>臺中市后里區108年UAS(UAV)</t>
  </si>
  <si>
    <t>WMTS_UAV空拍影像_臺中市后里區(108年)</t>
  </si>
  <si>
    <t>https://wmts.nlsc.gov.tw/wmts/UAV108A03/{Style}/{TileMatrixSet}/{TileMatrix}/{TileRow}/{TileCol}</t>
  </si>
  <si>
    <t>2dms_wmts_v1_UAV108A03</t>
  </si>
  <si>
    <t>臺北市士林區夢幻湖108年UAS(UAV)</t>
  </si>
  <si>
    <t>WMTS_UAV空拍影像_臺北市士林區夢幻湖(108年)</t>
  </si>
  <si>
    <t>https://wmts.nlsc.gov.tw/wmts/UAV108A02/{Style}/{TileMatrixSet}/{TileMatrix}/{TileRow}/{TileCol}</t>
  </si>
  <si>
    <t>2dms_wmts_v1_UAV108A02</t>
  </si>
  <si>
    <t>臺北市士林區馬槽108年UAS(UAV)</t>
  </si>
  <si>
    <t>WMTS_UAV空拍影像_臺北市士林區馬槽(108年)</t>
  </si>
  <si>
    <t>https://wmts.nlsc.gov.tw/wmts/UAV108A01/{Style}/{TileMatrixSet}/{TileMatrix}/{TileRow}/{TileCol}</t>
  </si>
  <si>
    <t>2dms_wmts_v1_UAV108A01</t>
  </si>
  <si>
    <t>臺北市士林區大油坑108年UAS(UAV)</t>
  </si>
  <si>
    <t>WMTS_UAV空拍影像_臺北市士林區大油坑(108年)</t>
  </si>
  <si>
    <t>https://wmts.nlsc.gov.tw/wmts/UAV107T02/{Style}/{TileMatrixSet}/{TileMatrix}/{TileRow}/{TileCol}</t>
  </si>
  <si>
    <t>2dms_wmts_v1_UAV107T02</t>
  </si>
  <si>
    <t>屏東海豐外環道107年UAS(UAV)</t>
  </si>
  <si>
    <t>WMTS_UAV空拍影像_屏東海豐外環道(107年)</t>
  </si>
  <si>
    <t>https://wmts.nlsc.gov.tw/wmts/UAV107T01/{Style}/{TileMatrixSet}/{TileMatrix}/{TileRow}/{TileCol}</t>
  </si>
  <si>
    <t>2dms_wmts_v1_UAV107T01</t>
  </si>
  <si>
    <t>屏東交流道107年UAS(UAV)</t>
  </si>
  <si>
    <t>WMTS_UAV空拍影像_屏東交流道(107年)</t>
  </si>
  <si>
    <t>https://wmts.nlsc.gov.tw/wmts/UAV107O01/{Style}/{TileMatrixSet}/{TileMatrix}/{TileRow}/{TileCol}</t>
  </si>
  <si>
    <t>2dms_wmts_v1_UAV107O01</t>
  </si>
  <si>
    <t>新竹市107年UAS(UAV)</t>
  </si>
  <si>
    <t>WMTS_UAV空拍影像_新竹市(107年)</t>
  </si>
  <si>
    <t>https://wmts.nlsc.gov.tw/wmts/UAV107K02/{Style}/{TileMatrixSet}/{TileMatrix}/{TileRow}/{TileCol}</t>
  </si>
  <si>
    <t>2dms_wmts_v1_UAV107K02</t>
  </si>
  <si>
    <t>苗栗縣通霄鎮107年UAS(UAV)</t>
  </si>
  <si>
    <t>WMTS_UAV空拍影像_苗栗縣通霄鎮(107年)</t>
  </si>
  <si>
    <t>https://wmts.nlsc.gov.tw/wmts/UAV107K01/{Style}/{TileMatrixSet}/{TileMatrix}/{TileRow}/{TileCol}</t>
  </si>
  <si>
    <t>2dms_wmts_v1_UAV107K01</t>
  </si>
  <si>
    <t>苗栗縣銅鑼鎮107年UAS(UAV)</t>
  </si>
  <si>
    <t>WMTS_UAV空拍影像_苗栗縣銅鑼鎮(107年)</t>
  </si>
  <si>
    <t>https://wmts.nlsc.gov.tw/wmts/UAV107J02/{Style}/{TileMatrixSet}/{TileMatrix}/{TileRow}/{TileCol}</t>
  </si>
  <si>
    <t>2dms_wmts_v1_UAV107J02</t>
  </si>
  <si>
    <t>新竹縣尖石鄉107年UAS(UAV)</t>
  </si>
  <si>
    <t>WMTS_UAV空拍影像_新竹縣尖石鄉(107年)</t>
  </si>
  <si>
    <t>https://wmts.nlsc.gov.tw/wmts/UAV107J01/{Style}/{TileMatrixSet}/{TileMatrix}/{TileRow}/{TileCol}</t>
  </si>
  <si>
    <t>2dms_wmts_v1_UAV107J01</t>
  </si>
  <si>
    <t>新竹縣新豐鄉107年UAS(UAV)</t>
  </si>
  <si>
    <t>WMTS_UAV空拍影像_新竹縣新豐鄉(107年)</t>
  </si>
  <si>
    <t>https://wmts.nlsc.gov.tw/wmts/UAV107G01/{Style}/{TileMatrixSet}/{TileMatrix}/{TileRow}/{TileCol}</t>
  </si>
  <si>
    <t>2dms_wmts_v1_UAV107G01</t>
  </si>
  <si>
    <t>宜蘭縣南澳鄉107年UAS(UAV)</t>
  </si>
  <si>
    <t>WMTS_UAV空拍影像_宜蘭縣南澳鄉(107年)</t>
  </si>
  <si>
    <t>https://wmts.nlsc.gov.tw/wmts/UAV107F01/{Style}/{TileMatrixSet}/{TileMatrix}/{TileRow}/{TileCol}</t>
  </si>
  <si>
    <t>2dms_wmts_v1_UAV107F01</t>
  </si>
  <si>
    <t>新北市金山區107年UAS(UAV)</t>
  </si>
  <si>
    <t>WMTS_UAV空拍影像_新北市金山區(107年)</t>
  </si>
  <si>
    <t>https://wmts.nlsc.gov.tw/wmts/UAV107D01/{Style}/{TileMatrixSet}/{TileMatrix}/{TileRow}/{TileCol}</t>
  </si>
  <si>
    <t>2dms_wmts_v1_UAV107D01</t>
  </si>
  <si>
    <t>臺中市龍井區及彰化縣伸港鄉107年UAS(UAV)</t>
  </si>
  <si>
    <t>WMTS_UAV空拍影像_臺中市龍井區及彰化縣伸港鄉(107年)</t>
  </si>
  <si>
    <t>https://wmts.nlsc.gov.tw/wmts/UAV107B02/{Style}/{TileMatrixSet}/{TileMatrix}/{TileRow}/{TileCol}</t>
  </si>
  <si>
    <t>2dms_wmts_v1_UAV107B02</t>
  </si>
  <si>
    <t>臺中市和平區107年UAS(UAV)</t>
  </si>
  <si>
    <t>WMTS_UAV空拍影像_臺中市和平區(107年)</t>
  </si>
  <si>
    <t>https://wmts.nlsc.gov.tw/wmts/UAV107B01/{Style}/{TileMatrixSet}/{TileMatrix}/{TileRow}/{TileCol}</t>
  </si>
  <si>
    <t>2dms_wmts_v1_UAV107B01</t>
  </si>
  <si>
    <t>臺中市大安區107年UAS(UAV)</t>
  </si>
  <si>
    <t>WMTS_UAV空拍影像_臺中市大安區(107年)</t>
  </si>
  <si>
    <t>https://wmts.nlsc.gov.tw/wmts/UAV107A03/{Style}/{TileMatrixSet}/{TileMatrix}/{TileRow}/{TileCol}</t>
  </si>
  <si>
    <t>2dms_wmts_v1_UAV107A03</t>
  </si>
  <si>
    <t>臺北市士林區夢幻湖107年UAS(UAV)</t>
  </si>
  <si>
    <t>WMTS_UAV空拍影像_臺北市士林區夢幻湖(107年)</t>
  </si>
  <si>
    <t>https://wmts.nlsc.gov.tw/wmts/UAV107A02/{Style}/{TileMatrixSet}/{TileMatrix}/{TileRow}/{TileCol}</t>
  </si>
  <si>
    <t>2dms_wmts_v1_UAV107A02</t>
  </si>
  <si>
    <t>臺北市士林區馬槽107年UAS(UAV)</t>
  </si>
  <si>
    <t>WMTS_UAV空拍影像_臺北市士林區馬槽(107年)</t>
  </si>
  <si>
    <t>https://wmts.nlsc.gov.tw/wmts/UAV107A01/{Style}/{TileMatrixSet}/{TileMatrix}/{TileRow}/{TileCol}</t>
  </si>
  <si>
    <t>2dms_wmts_v1_UAV107A01</t>
  </si>
  <si>
    <t>臺北市士林區大油坑107年UAS(UAV)</t>
  </si>
  <si>
    <t>WMTS_UAV空拍影像_臺北市士林區大油坑(107年)</t>
  </si>
  <si>
    <t>https://wmts.nlsc.gov.tw/wmts/UAV106U01/{Style}/{TileMatrixSet}/{TileMatrix}/{TileRow}/{TileCol}</t>
  </si>
  <si>
    <t>2dms_wmts_v1_UAV106U01</t>
  </si>
  <si>
    <t>花蓮縣卓溪鄉106年UAS(UAV)</t>
  </si>
  <si>
    <t>WMTS_UAV空拍影像_花蓮縣卓溪鄉(106年)</t>
  </si>
  <si>
    <t>https://wmts.nlsc.gov.tw/wmts/UAV106P01/{Style}/{TileMatrixSet}/{TileMatrix}/{TileRow}/{TileCol}</t>
  </si>
  <si>
    <t>2dms_wmts_v1_UAV106P01</t>
  </si>
  <si>
    <t>雲林縣斗六市(湖山水庫)106年UAS(UAV)</t>
  </si>
  <si>
    <t>WMTS_UAV空拍影像_雲林縣斗六市湖山水庫(106年)</t>
  </si>
  <si>
    <t>https://wmts.nlsc.gov.tw/wmts/UAV106O01/{Style}/{TileMatrixSet}/{TileMatrix}/{TileRow}/{TileCol}</t>
  </si>
  <si>
    <t>2dms_wmts_v1_UAV106O01</t>
  </si>
  <si>
    <t>新竹市北區(台68線)106年UAS(UAV)</t>
  </si>
  <si>
    <t>WMTS_UAV空拍影像_新竹市北區台68線(106年)</t>
  </si>
  <si>
    <t>https://wmts.nlsc.gov.tw/wmts/UAV106N01/{Style}/{TileMatrixSet}/{TileMatrix}/{TileRow}/{TileCol}</t>
  </si>
  <si>
    <t>2dms_wmts_v1_UAV106N01</t>
  </si>
  <si>
    <t>彰化縣大城鄉(152線)106年UAS(UAV)</t>
  </si>
  <si>
    <t>WMTS_UAV空拍影像_彰化縣大城鄉152線(106年)</t>
  </si>
  <si>
    <t>https://wmts.nlsc.gov.tw/wmts/UAV106M01/{Style}/{TileMatrixSet}/{TileMatrix}/{TileRow}/{TileCol}</t>
  </si>
  <si>
    <t>2dms_wmts_v1_UAV106M01</t>
  </si>
  <si>
    <t>南投縣草屯鎮(九九峰)106年UAS(UAV)</t>
  </si>
  <si>
    <t>WMTS_UAV空拍影像_南投縣草屯鎮九九峰(106年)</t>
  </si>
  <si>
    <t>https://wmts.nlsc.gov.tw/wmts/UAV106K01/{Style}/{TileMatrixSet}/{TileMatrix}/{TileRow}/{TileCol}</t>
  </si>
  <si>
    <t>2dms_wmts_v1_UAV106K01</t>
  </si>
  <si>
    <t>苗栗縣苑裡鎮(火炎山)106年UAS(UAV)</t>
  </si>
  <si>
    <t>WMTS_UAV空拍影像_苗栗縣苑裡鎮火炎山(106年)</t>
  </si>
  <si>
    <t>https://wmts.nlsc.gov.tw/wmts/UAV106I02/{Style}/{TileMatrixSet}/{TileMatrix}/{TileRow}/{TileCol}</t>
  </si>
  <si>
    <t>2dms_wmts_v1_UAV106I02</t>
  </si>
  <si>
    <t>嘉義市西區(湖子內區段徵收)106年UAS(UAV)</t>
  </si>
  <si>
    <t>WMTS_UAV空拍影像_嘉義市西區湖子內區段徵收(106年)</t>
  </si>
  <si>
    <t>WMTS,地籍,航照</t>
  </si>
  <si>
    <t>https://wmts.nlsc.gov.tw/wmts/UAV106I01/{Style}/{TileMatrixSet}/{TileMatrix}/{TileRow}/{TileCol}</t>
  </si>
  <si>
    <t>2dms_wmts_v1_UAV106I01</t>
  </si>
  <si>
    <t>嘉義市東區(彌陀路拓寬工程)106年UAS(UAV)</t>
  </si>
  <si>
    <t>WMTS_UAV空拍影像_嘉義市東區彌陀路拓寬工程(106年)</t>
  </si>
  <si>
    <t>https://wmts.nlsc.gov.tw/wmts/UAV106H03/{Style}/{TileMatrixSet}/{TileMatrix}/{TileRow}/{TileCol}</t>
  </si>
  <si>
    <t>2dms_wmts_v1_UAV106H03</t>
  </si>
  <si>
    <t>桃園市觀音區106年UAS(UAV)</t>
  </si>
  <si>
    <t>WMTS_UAV空拍影像_桃園市觀音區(106年)</t>
  </si>
  <si>
    <t>https://wmts.nlsc.gov.tw/wmts/UAV106H02/{Style}/{TileMatrixSet}/{TileMatrix}/{TileRow}/{TileCol}</t>
  </si>
  <si>
    <t>2dms_wmts_v1_UAV106H02</t>
  </si>
  <si>
    <t>桃園市新屋區106年UAS(UAV)</t>
  </si>
  <si>
    <t>WMTS_UAV空拍影像_桃園市新屋區(106年)</t>
  </si>
  <si>
    <t>https://wmts.nlsc.gov.tw/wmts/UAV106H01/{Style}/{TileMatrixSet}/{TileMatrix}/{TileRow}/{TileCol}</t>
  </si>
  <si>
    <t>2dms_wmts_v1_UAV106H01</t>
  </si>
  <si>
    <t>桃園市平鎮區106年UAS(UAV)</t>
  </si>
  <si>
    <t>WMTS_UAV空拍影像_桃園市平鎮區(106年)</t>
  </si>
  <si>
    <t>https://wmts.nlsc.gov.tw/wmts/UAV106F02/{Style}/{TileMatrixSet}/{TileMatrix}/{TileRow}/{TileCol}</t>
  </si>
  <si>
    <t>2dms_wmts_v1_UAV106F02</t>
  </si>
  <si>
    <t>新北市樹林區(國3樹林交流道)106年UAS(UAV)</t>
  </si>
  <si>
    <t>WMTS_UAV空拍影像_新北市樹林區國3樹林交流道(106年)</t>
  </si>
  <si>
    <t>https://wmts.nlsc.gov.tw/wmts/UAV106F01/{Style}/{TileMatrixSet}/{TileMatrix}/{TileRow}/{TileCol}</t>
  </si>
  <si>
    <t>2dms_wmts_v1_UAV106F01</t>
  </si>
  <si>
    <t>新北市烏來區106年UAS(UAV)</t>
  </si>
  <si>
    <t>WMTS_UAV空拍影像_新北市烏來區106年)</t>
  </si>
  <si>
    <t>https://wmts.nlsc.gov.tw/wmts/UAV106D03/{Style}/{TileMatrixSet}/{TileMatrix}/{TileRow}/{TileCol}</t>
  </si>
  <si>
    <t>2dms_wmts_v1_UAV106D03</t>
  </si>
  <si>
    <t>臺南市七股區(西濱公路)106年UAS(UAV)</t>
  </si>
  <si>
    <t>WMTS_UAV空拍影像_臺南市七股區西濱公路(106年)</t>
  </si>
  <si>
    <t>https://wmts.nlsc.gov.tw/wmts/UAV106D02/{Style}/{TileMatrixSet}/{TileMatrix}/{TileRow}/{TileCol}</t>
  </si>
  <si>
    <t>2dms_wmts_v1_UAV106D02</t>
  </si>
  <si>
    <t>臺南市東區(平實市地重劃)106年UAS(UAV)</t>
  </si>
  <si>
    <t>WMTS_UAV空拍影像_臺南市東區平實市地重劃(106年)</t>
  </si>
  <si>
    <t>https://wmts.nlsc.gov.tw/wmts/UAV106D01/{Style}/{TileMatrixSet}/{TileMatrix}/{TileRow}/{TileCol}</t>
  </si>
  <si>
    <t>2dms_wmts_v1_UAV106D01</t>
  </si>
  <si>
    <t>臺南市安南區(台江大道)106年UAS(UAV)</t>
  </si>
  <si>
    <t>WMTS_UAV空拍影像_臺南市安南區台江大道(106年)</t>
  </si>
  <si>
    <t>https://wmts.nlsc.gov.tw/wmts/UAV106A03/{Style}/{TileMatrixSet}/{TileMatrix}/{TileRow}/{TileCol}</t>
  </si>
  <si>
    <t>2dms_wmts_v1_UAV106A03</t>
  </si>
  <si>
    <t>臺北市士林區馬槽106年UAS(UAV)</t>
  </si>
  <si>
    <t>WMTS_UAV空拍影像_臺北市士林區馬槽(106年)</t>
  </si>
  <si>
    <t>https://wmts.nlsc.gov.tw/wmts/UAV106A02/{Style}/{TileMatrixSet}/{TileMatrix}/{TileRow}/{TileCol}</t>
  </si>
  <si>
    <t>2dms_wmts_v1_UAV106A02</t>
  </si>
  <si>
    <t>臺北市北投(夢幻湖)106年UAS(UAV)</t>
  </si>
  <si>
    <t>WMTS_UAV空拍影像_臺北市北投夢幻湖(106年)</t>
  </si>
  <si>
    <t>https://wmts.nlsc.gov.tw/wmts/UAV106A01/{Style}/{TileMatrixSet}/{TileMatrix}/{TileRow}/{TileCol}</t>
  </si>
  <si>
    <t>2dms_wmts_v1_UAV106A01</t>
  </si>
  <si>
    <t>臺北市士林(大油坑)106年UAS(UAV)</t>
  </si>
  <si>
    <t>WMTS_UAV空拍影像_臺北市士林大油坑(106年)</t>
  </si>
  <si>
    <t>https://wmts.nlsc.gov.tw/wmts/UAV105U01/{Style}/{TileMatrixSet}/{TileMatrix}/{TileRow}/{TileCol}</t>
  </si>
  <si>
    <t>2dms_wmts_v1_UAV105U01</t>
  </si>
  <si>
    <t>花蓮縣花蓮市105年UAS(UAV)</t>
  </si>
  <si>
    <t>WMTS_UAV空拍影像_花蓮縣花蓮市(105年)</t>
  </si>
  <si>
    <t>https://wmts.nlsc.gov.tw/wmts/UAV105P03/{Style}/{TileMatrixSet}/{TileMatrix}/{TileRow}/{TileCol}</t>
  </si>
  <si>
    <t>2dms_wmts_v1_UAV105P03</t>
  </si>
  <si>
    <t>雲林縣古坑鄉(國3古坑交流道)105年UAS(UAV)</t>
  </si>
  <si>
    <t>WMTS_UAV空拍影像_雲林縣古坑鄉國3古坑交流道(105年)</t>
  </si>
  <si>
    <t>https://wmts.nlsc.gov.tw/wmts/UAV105P02/{Style}/{TileMatrixSet}/{TileMatrix}/{TileRow}/{TileCol}</t>
  </si>
  <si>
    <t>2dms_wmts_v1_UAV105P02</t>
  </si>
  <si>
    <t>雲林縣古坑鄉(崁頭厝)105年UAS(UAV)</t>
  </si>
  <si>
    <t>WMTS_UAV空拍影像_雲林縣古坑鄉崁頭厝(105年)</t>
  </si>
  <si>
    <t>https://wmts.nlsc.gov.tw/wmts/UAV105P01/{Style}/{TileMatrixSet}/{TileMatrix}/{TileRow}/{TileCol}</t>
  </si>
  <si>
    <t>2dms_wmts_v1_UAV105P01</t>
  </si>
  <si>
    <t>雲林縣古坑鄉(樟湖)105年UAS(UAV)</t>
  </si>
  <si>
    <t>WMTS_UAV空拍影像_雲林縣古坑鄉樟湖(105年)</t>
  </si>
  <si>
    <t>https://wmts.nlsc.gov.tw/wmts/UAV105O01/{Style}/{TileMatrixSet}/{TileMatrix}/{TileRow}/{TileCol}</t>
  </si>
  <si>
    <t>2dms_wmts_v1_UAV105O01</t>
  </si>
  <si>
    <t>新竹市香山區105年UAS(UAV)</t>
  </si>
  <si>
    <t>WMTS_UAV空拍影像_新竹市香山區(105年)</t>
  </si>
  <si>
    <t>https://wmts.nlsc.gov.tw/wmts/UAV105N01/{Style}/{TileMatrixSet}/{TileMatrix}/{TileRow}/{TileCol}</t>
  </si>
  <si>
    <t>2dms_wmts_v1_UAV105N01</t>
  </si>
  <si>
    <t>彰化縣田中鎮105年UAS(UAV)</t>
  </si>
  <si>
    <t>WMTS_UAV空拍影像_彰化縣田中鎮(105年)</t>
  </si>
  <si>
    <t>https://wmts.nlsc.gov.tw/wmts/UAV105M02/{Style}/{TileMatrixSet}/{TileMatrix}/{TileRow}/{TileCol}</t>
  </si>
  <si>
    <t>2dms_wmts_v1_UAV105M02</t>
  </si>
  <si>
    <t>南投縣草屯鎮105年UAS(UAV)</t>
  </si>
  <si>
    <t>WMTS_UAV空拍影像_南投縣草屯鎮(105年)</t>
  </si>
  <si>
    <t>https://wmts.nlsc.gov.tw/wmts/UAV105M01/{Style}/{TileMatrixSet}/{TileMatrix}/{TileRow}/{TileCol}</t>
  </si>
  <si>
    <t>2dms_wmts_v1_UAV105M01</t>
  </si>
  <si>
    <t>南投縣竹山鎮105年UAS(UAV)</t>
  </si>
  <si>
    <t>WMTS_UAV空拍影像_南投縣竹山鎮(105年)</t>
  </si>
  <si>
    <t>https://wmts.nlsc.gov.tw/wmts/UAV105H04/{Style}/{TileMatrixSet}/{TileMatrix}/{TileRow}/{TileCol}</t>
  </si>
  <si>
    <t>2dms_wmts_v1_UAV105H04</t>
  </si>
  <si>
    <t>桃園市觀音區105年UAS(UAV)</t>
  </si>
  <si>
    <t>WMTS_UAV空拍影像_桃園市觀音區(105年)</t>
  </si>
  <si>
    <t>https://wmts.nlsc.gov.tw/wmts/UAV105H03/{Style}/{TileMatrixSet}/{TileMatrix}/{TileRow}/{TileCol}</t>
  </si>
  <si>
    <t>2dms_wmts_v1_UAV105H03</t>
  </si>
  <si>
    <t>桃園市蘆竹區105年UAS(UAV)</t>
  </si>
  <si>
    <t>WMTS_UAV空拍影像_桃園市蘆竹區(105年)</t>
  </si>
  <si>
    <t>https://wmts.nlsc.gov.tw/wmts/UAV105H02/{Style}/{TileMatrixSet}/{TileMatrix}/{TileRow}/{TileCol}</t>
  </si>
  <si>
    <t>2dms_wmts_v1_UAV105H02</t>
  </si>
  <si>
    <t>桃園市新屋區105年UAS(UAV)</t>
  </si>
  <si>
    <t>WMTS_UAV空拍影像_桃園市新屋區(105年)</t>
  </si>
  <si>
    <t>https://wmts.nlsc.gov.tw/wmts/UAV105H01/{Style}/{TileMatrixSet}/{TileMatrix}/{TileRow}/{TileCol}</t>
  </si>
  <si>
    <t>2dms_wmts_v1_UAV105H01</t>
  </si>
  <si>
    <t>桃園市平鎮區105年UAS(UAV)</t>
  </si>
  <si>
    <t>WMTS_UAV空拍影像_桃園市平鎮區(105年)</t>
  </si>
  <si>
    <t>https://wmts.nlsc.gov.tw/wmts/UAV105B15/{Style}/{TileMatrixSet}/{TileMatrix}/{TileRow}/{TileCol}</t>
  </si>
  <si>
    <t>2dms_wmts_v1_UAV105B15</t>
  </si>
  <si>
    <t>臺中市(第14期)105年UAS(UAV)</t>
  </si>
  <si>
    <t>WMTS_UAV空拍影像_臺中市第14期(105年)</t>
  </si>
  <si>
    <t>https://wmts.nlsc.gov.tw/wmts/UAV105B14/{Style}/{TileMatrixSet}/{TileMatrix}/{TileRow}/{TileCol}</t>
  </si>
  <si>
    <t>2dms_wmts_v1_UAV105B14</t>
  </si>
  <si>
    <t>臺中市(水湳機場)105年UAS(UAV)</t>
  </si>
  <si>
    <t>WMTS_UAV空拍影像_臺中市水湳機場(105年)</t>
  </si>
  <si>
    <t>https://wmts.nlsc.gov.tw/wmts/UAV105B13/{Style}/{TileMatrixSet}/{TileMatrix}/{TileRow}/{TileCol}</t>
  </si>
  <si>
    <t>2dms_wmts_v1_UAV105B13</t>
  </si>
  <si>
    <t>臺中市(太平新光地區)105年UAS(UAV)</t>
  </si>
  <si>
    <t>WMTS_UAV空拍影像_臺中市太平新光地區(105年)</t>
  </si>
  <si>
    <t>https://wmts.nlsc.gov.tw/wmts/UAV105B12/{Style}/{TileMatrixSet}/{TileMatrix}/{TileRow}/{TileCol}</t>
  </si>
  <si>
    <t>2dms_wmts_v1_UAV105B12</t>
  </si>
  <si>
    <t>臺中市(廍子地區)105年UAS(UAV)</t>
  </si>
  <si>
    <t>WMTS_UAV空拍影像_臺中市廍子地區(105年)</t>
  </si>
  <si>
    <t>https://wmts.nlsc.gov.tw/wmts/UAV105B11/{Style}/{TileMatrixSet}/{TileMatrix}/{TileRow}/{TileCol}</t>
  </si>
  <si>
    <t>2dms_wmts_v1_UAV105B11</t>
  </si>
  <si>
    <t>臺中市太平區(坪林森林公園)105年UAS(UAV)</t>
  </si>
  <si>
    <t>WMTS_UAV空拍影像_臺中市太平區坪林森林公園(105年)</t>
  </si>
  <si>
    <t>https://wmts.nlsc.gov.tw/wmts/UAV105B10/{Style}/{TileMatrixSet}/{TileMatrix}/{TileRow}/{TileCol}</t>
  </si>
  <si>
    <t>2dms_wmts_v1_UAV105B10</t>
  </si>
  <si>
    <t>臺中市(捷運北屯機廠)105年UAS(UAV)</t>
  </si>
  <si>
    <t>WMTS_UAV空拍影像_臺中市捷運北屯機廠(105年)</t>
  </si>
  <si>
    <t>https://wmts.nlsc.gov.tw/wmts/UAV105B09/{Style}/{TileMatrixSet}/{TileMatrix}/{TileRow}/{TileCol}</t>
  </si>
  <si>
    <t>2dms_wmts_v1_UAV105B09</t>
  </si>
  <si>
    <t>臺中市(振興路以南)105年UAS(UAV)</t>
  </si>
  <si>
    <t>WMTS_UAV空拍影像_臺中市振興路以南(105年)</t>
  </si>
  <si>
    <t>https://wmts.nlsc.gov.tw/wmts/UAV105B08/{Style}/{TileMatrixSet}/{TileMatrix}/{TileRow}/{TileCol}</t>
  </si>
  <si>
    <t>2dms_wmts_v1_UAV105B08</t>
  </si>
  <si>
    <t>臺中市潭子區105年UAS(UAV)</t>
  </si>
  <si>
    <t>WMTS_UAV空拍影像_臺中市潭子區(105年)</t>
  </si>
  <si>
    <t>https://wmts.nlsc.gov.tw/wmts/UAV105B07/{Style}/{TileMatrixSet}/{TileMatrix}/{TileRow}/{TileCol}</t>
  </si>
  <si>
    <t>2dms_wmts_v1_UAV105B07</t>
  </si>
  <si>
    <t>臺中市霧峰區105年UAS(UAV)</t>
  </si>
  <si>
    <t>WMTS_UAV空拍影像_臺中市霧峰區(105年)</t>
  </si>
  <si>
    <t>https://wmts.nlsc.gov.tw/wmts/UAV105B06/{Style}/{TileMatrixSet}/{TileMatrix}/{TileRow}/{TileCol}</t>
  </si>
  <si>
    <t>2dms_wmts_v1_UAV105B06</t>
  </si>
  <si>
    <t>臺中市(第13期)105年UAS(UAV)</t>
  </si>
  <si>
    <t>WMTS_UAV空拍影像_臺中市第13期(105年)</t>
  </si>
  <si>
    <t>https://wmts.nlsc.gov.tw/wmts/UAV105B05/{Style}/{TileMatrixSet}/{TileMatrix}/{TileRow}/{TileCol}</t>
  </si>
  <si>
    <t>2dms_wmts_v1_UAV105B05</t>
  </si>
  <si>
    <t>臺中市(台中車站)105年UAS(UAV)</t>
  </si>
  <si>
    <t>WMTS_UAV空拍影像_臺中市臺中車站(105年)</t>
  </si>
  <si>
    <t>https://wmts.nlsc.gov.tw/wmts/UAV105B04/{Style}/{TileMatrixSet}/{TileMatrix}/{TileRow}/{TileCol}</t>
  </si>
  <si>
    <t>2dms_wmts_v1_UAV105B04</t>
  </si>
  <si>
    <t>臺中市(豐原車站)105年UAS(UAV)</t>
  </si>
  <si>
    <t>WMTS_UAV空拍影像_臺中市豐原車站(105年)</t>
  </si>
  <si>
    <t>https://wmts.nlsc.gov.tw/wmts/UAV105B03/{Style}/{TileMatrixSet}/{TileMatrix}/{TileRow}/{TileCol}</t>
  </si>
  <si>
    <t>2dms_wmts_v1_UAV105B03</t>
  </si>
  <si>
    <t>臺中市(潭子車站)105年UAS(UAV)</t>
  </si>
  <si>
    <t>WMTS_UAV空拍影像_臺中市潭子車站(105年)</t>
  </si>
  <si>
    <t>https://wmts.nlsc.gov.tw/wmts/UAV105B02/{Style}/{TileMatrixSet}/{TileMatrix}/{TileRow}/{TileCol}</t>
  </si>
  <si>
    <t>2dms_wmts_v1_UAV105B02</t>
  </si>
  <si>
    <t>臺中市(太原車站)105年UAS(UAV)</t>
  </si>
  <si>
    <t>WMTS_UAV空拍影像_臺中市太原車站(105年)</t>
  </si>
  <si>
    <t>https://wmts.nlsc.gov.tw/wmts/UAV105B01/{Style}/{TileMatrixSet}/{TileMatrix}/{TileRow}/{TileCol}</t>
  </si>
  <si>
    <t>2dms_wmts_v1_UAV105B01</t>
  </si>
  <si>
    <t>臺中市(大慶車站)105年UAS(UAV)</t>
  </si>
  <si>
    <t>WMTS_UAV空拍影像_臺中市大慶車站(105年)</t>
  </si>
  <si>
    <t>https://wmts.nlsc.gov.tw/wmts/UAV105A03/{Style}/{TileMatrixSet}/{TileMatrix}/{TileRow}/{TileCol}</t>
  </si>
  <si>
    <t>2dms_wmts_v1_UAV105A03</t>
  </si>
  <si>
    <t>臺北市北投(夢幻湖)105年UAS(UAV)</t>
  </si>
  <si>
    <t>WMTS_UAV空拍影像_臺北市北投夢幻湖(105年)</t>
  </si>
  <si>
    <t>https://wmts.nlsc.gov.tw/wmts/UAV105A02/{Style}/{TileMatrixSet}/{TileMatrix}/{TileRow}/{TileCol}</t>
  </si>
  <si>
    <t>2dms_wmts_v1_UAV105A02</t>
  </si>
  <si>
    <t>臺北市士林(馬槽)105年UAS(UAV)</t>
  </si>
  <si>
    <t>WMTS_UAV空拍影像_臺北市士林馬槽(105年)</t>
  </si>
  <si>
    <t>https://wmts.nlsc.gov.tw/wmts/UAV105A01/{Style}/{TileMatrixSet}/{TileMatrix}/{TileRow}/{TileCol}</t>
  </si>
  <si>
    <t>2dms_wmts_v1_UAV105A01</t>
  </si>
  <si>
    <t>臺北市士林(大油坑)105年UAS(UAV)</t>
  </si>
  <si>
    <t>WMTS_UAV空拍影像_臺北市士林大油坑(105年)</t>
  </si>
  <si>
    <t>https://wmts.nlsc.gov.tw/wmts/UAV104T01/{Style}/{TileMatrixSet}/{TileMatrix}/{TileRow}/{TileCol}</t>
  </si>
  <si>
    <t>2dms_wmts_v1_UAV104T01</t>
  </si>
  <si>
    <t>屏東縣里港鄉(國10里港交流道)104年UAS(UAV)</t>
  </si>
  <si>
    <t>WMTS_UAV空拍影像_屏東縣里港鄉國10里港交流道(104年)</t>
  </si>
  <si>
    <t>https://wmts.nlsc.gov.tw/wmts/UAV104P01/{Style}/{TileMatrixSet}/{TileMatrix}/{TileRow}/{TileCol}</t>
  </si>
  <si>
    <t>2dms_wmts_v1_UAV104P01</t>
  </si>
  <si>
    <t>雲林縣虎尾鎮(雲林高鐵站)104年UAS(UAV)</t>
  </si>
  <si>
    <t>WMTS_UAV空拍影像_雲林縣虎尾鎮雲林高鐵站(104年)</t>
  </si>
  <si>
    <t>https://wmts.nlsc.gov.tw/wmts/UAV104N01/{Style}/{TileMatrixSet}/{TileMatrix}/{TileRow}/{TileCol}</t>
  </si>
  <si>
    <t>2dms_wmts_v1_UAV104N01</t>
  </si>
  <si>
    <t>彰化縣芳苑鄉(台61線)104年UAS(UAV)</t>
  </si>
  <si>
    <t>WMTS_UAV空拍影像_彰化縣芳苑鄉台61線(104年)</t>
  </si>
  <si>
    <t>https://wmts.nlsc.gov.tw/wmts/UAV104K02/{Style}/{TileMatrixSet}/{TileMatrix}/{TileRow}/{TileCol}</t>
  </si>
  <si>
    <t>2dms_wmts_v1_UAV104K02</t>
  </si>
  <si>
    <t>苗栗縣造橋鄉(台13甲線)104年UAS(UAV)</t>
  </si>
  <si>
    <t>WMTS_UAV空拍影像_苗栗縣造橋鄉台13甲線(104年)</t>
  </si>
  <si>
    <t>https://wmts.nlsc.gov.tw/wmts/UAV104K01/{Style}/{TileMatrixSet}/{TileMatrix}/{TileRow}/{TileCol}</t>
  </si>
  <si>
    <t>2dms_wmts_v1_UAV104K01</t>
  </si>
  <si>
    <t>苗栗縣獅潭鄉(汶水橋)104年UAS(UAV)</t>
  </si>
  <si>
    <t>WMTS_UAV空拍影像_苗栗縣獅潭鄉汶水橋(104年)</t>
  </si>
  <si>
    <t>https://wmts.nlsc.gov.tw/wmts/UAV104E03/{Style}/{TileMatrixSet}/{TileMatrix}/{TileRow}/{TileCol}</t>
  </si>
  <si>
    <t>2dms_wmts_v1_UAV104E03</t>
  </si>
  <si>
    <t>高雄市前鎮區(經貿園區65期)104年UAS(UAV)</t>
  </si>
  <si>
    <t>WMTS_UAV空拍影像_高雄市前鎮區經貿園區65期(104年)</t>
  </si>
  <si>
    <t>https://wmts.nlsc.gov.tw/wmts/UAV104E02/{Style}/{TileMatrixSet}/{TileMatrix}/{TileRow}/{TileCol}</t>
  </si>
  <si>
    <t>2dms_wmts_v1_UAV104E02</t>
  </si>
  <si>
    <t>高雄市前鎮區(氣爆災點)104年UAS(UAV)</t>
  </si>
  <si>
    <t>WMTS_UAV空拍影像_高雄市前鎮區氣爆災點(104年)</t>
  </si>
  <si>
    <t>https://wmts.nlsc.gov.tw/wmts/UAV104E01/{Style}/{TileMatrixSet}/{TileMatrix}/{TileRow}/{TileCol}</t>
  </si>
  <si>
    <t>2dms_wmts_v1_UAV104E01</t>
  </si>
  <si>
    <t>高雄市仁武區(國1鼎金交流道)104年UAS(UAV)</t>
  </si>
  <si>
    <t>WMTS_UAV空拍影像_高雄市仁武區國1鼎金交流道(104年)</t>
  </si>
  <si>
    <t>https://wmts.nlsc.gov.tw/wmts/UAV104D04/{Style}/{TileMatrixSet}/{TileMatrix}/{TileRow}/{TileCol}</t>
  </si>
  <si>
    <t>2dms_wmts_v1_UAV104D04</t>
  </si>
  <si>
    <t>臺南市安平區104年UAS(UAV)</t>
  </si>
  <si>
    <t>WMTS_UAV空拍影像_臺南市安平區(104年)</t>
  </si>
  <si>
    <t>https://wmts.nlsc.gov.tw/wmts/UAV104D03/{Style}/{TileMatrixSet}/{TileMatrix}/{TileRow}/{TileCol}</t>
  </si>
  <si>
    <t>2dms_wmts_v1_UAV104D03</t>
  </si>
  <si>
    <t>臺南市安南區(九份子重劃區)104年UAS(UAV)</t>
  </si>
  <si>
    <t>WMTS_UAV空拍影像_臺南市安南區九份子重劃區(104年)</t>
  </si>
  <si>
    <t>https://wmts.nlsc.gov.tw/wmts/UAV104D02/{Style}/{TileMatrixSet}/{TileMatrix}/{TileRow}/{TileCol}</t>
  </si>
  <si>
    <t>2dms_wmts_v1_UAV104D02</t>
  </si>
  <si>
    <t>臺南市新市區(新和重劃區)104年UAS(UAV)</t>
  </si>
  <si>
    <t>WMTS_UAV空拍影像_臺南市新市區新和重劃區(104年)</t>
  </si>
  <si>
    <t>https://wmts.nlsc.gov.tw/wmts/UAV103T01/{Style}/{TileMatrixSet}/{TileMatrix}/{TileRow}/{TileCol}</t>
  </si>
  <si>
    <t>2dms_wmts_v1_UAV103T01</t>
  </si>
  <si>
    <t>屏東縣霧台鄉(台24谷川大橋)103年UAS(UAV)</t>
  </si>
  <si>
    <t>WMTS_UAV空拍影像_屏東縣霧台鄉台24谷川大橋(103年)</t>
  </si>
  <si>
    <t>https://wmts.nlsc.gov.tw/wmts/UAV103Q01/{Style}/{TileMatrixSet}/{TileMatrix}/{TileRow}/{TileCol}</t>
  </si>
  <si>
    <t>2dms_wmts_v1_UAV103Q01</t>
  </si>
  <si>
    <t>嘉義縣大林鎮(大埔美重劃區)103年UAS(UAV)</t>
  </si>
  <si>
    <t>WMTS_UAV空拍影像_嘉義縣大林鎮大埔美重劃區(103年)</t>
  </si>
  <si>
    <t>https://wmts.nlsc.gov.tw/wmts/UAV103P01/{Style}/{TileMatrixSet}/{TileMatrix}/{TileRow}/{TileCol}</t>
  </si>
  <si>
    <t>2dms_wmts_v1_UAV103P01</t>
  </si>
  <si>
    <t>雲林縣麥寮鄉(台61線)103年UAS(UAV)</t>
  </si>
  <si>
    <t>WMTS_UAV空拍影像_雲林縣麥寮鄉台61線(103年)</t>
  </si>
  <si>
    <t>https://wmts.nlsc.gov.tw/wmts/UAV103N01/{Style}/{TileMatrixSet}/{TileMatrix}/{TileRow}/{TileCol}</t>
  </si>
  <si>
    <t>2dms_wmts_v1_UAV103N01</t>
  </si>
  <si>
    <t>彰化縣福興鄉(台61線)103年UAS(UAV)</t>
  </si>
  <si>
    <t>WMTS_UAV空拍影像_彰化縣福興鄉台61線(103年)</t>
  </si>
  <si>
    <t>https://wmts.nlsc.gov.tw/wmts/UAV103M04/{Style}/{TileMatrixSet}/{TileMatrix}/{TileRow}/{TileCol}</t>
  </si>
  <si>
    <t>2dms_wmts_v1_UAV103M04</t>
  </si>
  <si>
    <t>南投縣仁愛鄉(清境農場)103年UAS(UAV)</t>
  </si>
  <si>
    <t>WMTS_UAV空拍影像_南投縣仁愛鄉清境農場(103年)</t>
  </si>
  <si>
    <t>https://wmts.nlsc.gov.tw/wmts/UAV103M03/{Style}/{TileMatrixSet}/{TileMatrix}/{TileRow}/{TileCol}</t>
  </si>
  <si>
    <t>2dms_wmts_v1_UAV103M03</t>
  </si>
  <si>
    <t>南投縣南投市(國3南投交流道)103年UAS(UAV)</t>
  </si>
  <si>
    <t>WMTS_UAV空拍影像_南投縣南投市國3南投交流道(103年)</t>
  </si>
  <si>
    <t>https://wmts.nlsc.gov.tw/wmts/UAV103M02/{Style}/{TileMatrixSet}/{TileMatrix}/{TileRow}/{TileCol}</t>
  </si>
  <si>
    <t>2dms_wmts_v1_UAV103M02</t>
  </si>
  <si>
    <t>南投縣國姓鄉(國6北山交流道)103年UAS(UAV)</t>
  </si>
  <si>
    <t>WMTS_UAV空拍影像_南投縣國姓鄉國6北山交流道(103年)</t>
  </si>
  <si>
    <t>https://wmts.nlsc.gov.tw/wmts/UAV103M01/{Style}/{TileMatrixSet}/{TileMatrix}/{TileRow}/{TileCol}</t>
  </si>
  <si>
    <t>2dms_wmts_v1_UAV103M01</t>
  </si>
  <si>
    <t>南投縣南投市(航遙測校正場)103年UAS(UAV)</t>
  </si>
  <si>
    <t>WMTS_UAV空拍影像_南投縣南投市航遙測校正場(103年)</t>
  </si>
  <si>
    <t>https://wmts.nlsc.gov.tw/wmts/UAV103K01/{Style}/{TileMatrixSet}/{TileMatrix}/{TileRow}/{TileCol}</t>
  </si>
  <si>
    <t>2dms_wmts_v1_UAV103K01</t>
  </si>
  <si>
    <t>苗栗縣銅鑼鄉(銅鑼科學園區)103年UAS(UAV)</t>
  </si>
  <si>
    <t>WMTS_UAV空拍影像_苗栗縣銅鑼鄉(銅鑼科學園區(103年)</t>
  </si>
  <si>
    <t>https://wmts.nlsc.gov.tw/wmts/UAV103H01/{Style}/{TileMatrixSet}/{TileMatrix}/{TileRow}/{TileCol}</t>
  </si>
  <si>
    <t>2dms_wmts_v1_UAV103H01</t>
  </si>
  <si>
    <t>桃園市(中路計畫區段徵收)103年UAS(UAV)</t>
  </si>
  <si>
    <t>WMTS_UAV空拍影像_桃園市中路計畫區段徵收(103年)</t>
  </si>
  <si>
    <t>https://wmts.nlsc.gov.tw/wmts/UAV103D04/{Style}/{TileMatrixSet}/{TileMatrix}/{TileRow}/{TileCol}</t>
  </si>
  <si>
    <t>2dms_wmts_v1_UAV103D04</t>
  </si>
  <si>
    <t>臺南市學甲區(台84線)103年UAS(UAV)</t>
  </si>
  <si>
    <t>WMTS_UAV空拍影像_臺南市學甲區(台84線)(103年)</t>
  </si>
  <si>
    <t>https://wmts.nlsc.gov.tw/wmts/UAV103D03/{Style}/{TileMatrixSet}/{TileMatrix}/{TileRow}/{TileCol}</t>
  </si>
  <si>
    <t>2dms_wmts_v1_UAV103D03</t>
  </si>
  <si>
    <t>臺南市麻豆區103年UAS(UAV)</t>
  </si>
  <si>
    <t>WMTS_UAV空拍影像_臺南市麻豆區(103年)</t>
  </si>
  <si>
    <t>https://wmts.nlsc.gov.tw/wmts/UAV103D01/{Style}/{TileMatrixSet}/{TileMatrix}/{TileRow}/{TileCol}</t>
  </si>
  <si>
    <t>2dms_wmts_v1_UAV103D01</t>
  </si>
  <si>
    <t>臺南市南區(台86線)103年UAS(UAV)</t>
  </si>
  <si>
    <t>WMTS_UAV空拍影像_臺南市南區(台86線)(103年)</t>
  </si>
  <si>
    <t>https://wmts.nlsc.gov.tw/wmts/UAV102V01/{Style}/{TileMatrixSet}/{TileMatrix}/{TileRow}/{TileCol}</t>
  </si>
  <si>
    <t>2dms_wmts_v1_UAV102V01</t>
  </si>
  <si>
    <t>臺東縣大武鄉102年UAS(UAV)</t>
  </si>
  <si>
    <t>WMTS_UAV空拍影像_臺東縣大武鄉(102年)</t>
  </si>
  <si>
    <t>https://wmts.nlsc.gov.tw/wmts/UAV102T02/{Style}/{TileMatrixSet}/{TileMatrix}/{TileRow}/{TileCol}</t>
  </si>
  <si>
    <t>2dms_wmts_v1_UAV102T02</t>
  </si>
  <si>
    <t>屏東縣滿州鄉102年UAS(UAV)</t>
  </si>
  <si>
    <t>WMTS_UAV空拍影像_屏東縣滿州鄉(102年)</t>
  </si>
  <si>
    <t>https://wmts.nlsc.gov.tw/wmts/UAV102T01/{Style}/{TileMatrixSet}/{TileMatrix}/{TileRow}/{TileCol}</t>
  </si>
  <si>
    <t>2dms_wmts_v1_UAV102T01</t>
  </si>
  <si>
    <t>屏東縣里港鄉102年UAS(UAV)</t>
  </si>
  <si>
    <t>WMTS_UAV空拍影像_屏東縣里港鄉(102年)</t>
  </si>
  <si>
    <t>https://wmts.nlsc.gov.tw/wmts/UAV102Q02/{Style}/{TileMatrixSet}/{TileMatrix}/{TileRow}/{TileCol}</t>
  </si>
  <si>
    <t>2dms_wmts_v1_UAV102Q02</t>
  </si>
  <si>
    <t>嘉義縣番路鄉102年UAS(UAV)</t>
  </si>
  <si>
    <t>WMTS_UAV空拍影像_嘉義縣番路鄉(102年)</t>
  </si>
  <si>
    <t>https://wmts.nlsc.gov.tw/wmts/UAV102Q01/{Style}/{TileMatrixSet}/{TileMatrix}/{TileRow}/{TileCol}</t>
  </si>
  <si>
    <t>2dms_wmts_v1_UAV102Q01</t>
  </si>
  <si>
    <t>嘉義縣阿里山鄉102年UAS(UAV)</t>
  </si>
  <si>
    <t>WMTS_UAV空拍影像_嘉義縣阿里山鄉(102年)</t>
  </si>
  <si>
    <t>https://wmts.nlsc.gov.tw/wmts/UAV102N01/{Style}/{TileMatrixSet}/{TileMatrix}/{TileRow}/{TileCol}</t>
  </si>
  <si>
    <t>2dms_wmts_v1_UAV102N01</t>
  </si>
  <si>
    <t>彰化縣伸港鄉102年UAS(UAV)</t>
  </si>
  <si>
    <t>WMTS_UAV空拍影像_彰化縣伸港鄉(102年)</t>
  </si>
  <si>
    <t>https://wmts.nlsc.gov.tw/wmts/UAV102M01/{Style}/{TileMatrixSet}/{TileMatrix}/{TileRow}/{TileCol}</t>
  </si>
  <si>
    <t>2dms_wmts_v1_UAV102M01</t>
  </si>
  <si>
    <t>南投縣南投市(航遙測校正場)102年UAS(UAV)</t>
  </si>
  <si>
    <t>WMTS_UAV空拍影像_南投縣南投市(航遙測校正場(102年)</t>
  </si>
  <si>
    <t>https://wmts.nlsc.gov.tw/wmts/UAV102H01/{Style}/{TileMatrixSet}/{TileMatrix}/{TileRow}/{TileCol}</t>
  </si>
  <si>
    <t>2dms_wmts_v1_UAV102H01</t>
  </si>
  <si>
    <t>桃園市龜山區102年UAS(UAV)</t>
  </si>
  <si>
    <t>WMTS_UAV空拍影像_桃園市龜山區(102年)</t>
  </si>
  <si>
    <t>https://wmts.nlsc.gov.tw/wmts/UAV102D03/{Style}/{TileMatrixSet}/{TileMatrix}/{TileRow}/{TileCol}</t>
  </si>
  <si>
    <t>2dms_wmts_v1_UAV102D03</t>
  </si>
  <si>
    <t>臺南市安南區102年UAS(UAV)</t>
  </si>
  <si>
    <t>WMTS_UAV空拍影像_臺南市安南區(102年)</t>
  </si>
  <si>
    <t>https://wmts.nlsc.gov.tw/wmts/UAV102D02/{Style}/{TileMatrixSet}/{TileMatrix}/{TileRow}/{TileCol}</t>
  </si>
  <si>
    <t>2dms_wmts_v1_UAV102D02</t>
  </si>
  <si>
    <t>臺南市七股區(台江國家公園)102年UAS(UAV)</t>
  </si>
  <si>
    <t>WMTS_UAV空拍影像_臺南市七股區(台江國家公園(102年)</t>
  </si>
  <si>
    <t>https://wmts.nlsc.gov.tw/wmts/UAV102D01/{Style}/{TileMatrixSet}/{TileMatrix}/{TileRow}/{TileCol}</t>
  </si>
  <si>
    <t>2dms_wmts_v1_UAV102D01</t>
  </si>
  <si>
    <t>臺南市七股區(台61線)102年UAS(UAV)</t>
  </si>
  <si>
    <t>WMTS_UAV空拍影像_臺南市七股區(台61線(102年)</t>
  </si>
  <si>
    <t>https://wmts.nlsc.gov.tw/wmts/UAV101V01/{Style}/{TileMatrixSet}/{TileMatrix}/{TileRow}/{TileCol}</t>
  </si>
  <si>
    <t>2dms_wmts_v1_UAV101V01</t>
  </si>
  <si>
    <t>臺東縣太麻里鄉101年UAS(UAV)</t>
  </si>
  <si>
    <t>WMTS_UAV空拍影像_臺東縣太麻里鄉(101年)</t>
  </si>
  <si>
    <t>https://wmts.nlsc.gov.tw/wmts/UAV101U02/{Style}/{TileMatrixSet}/{TileMatrix}/{TileRow}/{TileCol}</t>
  </si>
  <si>
    <t>2dms_wmts_v1_UAV101U02</t>
  </si>
  <si>
    <t>花蓮縣壽豐鄉101年UAS(UAV)</t>
  </si>
  <si>
    <t>WMTS_UAV空拍影像_花蓮縣壽豐鄉(101年)</t>
  </si>
  <si>
    <t>https://wmts.nlsc.gov.tw/wmts/UAV101U01/{Style}/{TileMatrixSet}/{TileMatrix}/{TileRow}/{TileCol}</t>
  </si>
  <si>
    <t>2dms_wmts_v1_UAV101U01</t>
  </si>
  <si>
    <t>花蓮縣壽豐鄉豐平大橋101年UAS(UAV)</t>
  </si>
  <si>
    <t>WMTS_UAV空拍影像_花蓮縣壽豐鄉豐平大橋(101年)</t>
  </si>
  <si>
    <t>https://wmts.nlsc.gov.tw/wmts/UAV101T01/{Style}/{TileMatrixSet}/{TileMatrix}/{TileRow}/{TileCol}</t>
  </si>
  <si>
    <t>2dms_wmts_v1_UAV101T01</t>
  </si>
  <si>
    <t>屏東縣滿州鄉101年UAS(UAV)</t>
  </si>
  <si>
    <t>WMTS_UAV空拍影像_屏東縣滿州鄉(101年)</t>
  </si>
  <si>
    <t>https://wmts.nlsc.gov.tw/wmts/UAV101Q01/{Style}/{TileMatrixSet}/{TileMatrix}/{TileRow}/{TileCol}</t>
  </si>
  <si>
    <t>2dms_wmts_v1_UAV101Q01</t>
  </si>
  <si>
    <t>嘉義縣東石鄉101年UAS(UAV)</t>
  </si>
  <si>
    <t>WMTS_UAV空拍影像_嘉義縣東石鄉(101年)</t>
  </si>
  <si>
    <t>https://wmts.nlsc.gov.tw/wmts/UAV101K02/{Style}/{TileMatrixSet}/{TileMatrix}/{TileRow}/{TileCol}</t>
  </si>
  <si>
    <t>2dms_wmts_v1_UAV101K02</t>
  </si>
  <si>
    <t>苗栗縣後龍鎮101年UAS(UAV)</t>
  </si>
  <si>
    <t>WMTS_UAV空拍影像_苗栗縣後龍鎮(101年)</t>
  </si>
  <si>
    <t>https://wmts.nlsc.gov.tw/wmts/UAV101K01/{Style}/{TileMatrixSet}/{TileMatrix}/{TileRow}/{TileCol}</t>
  </si>
  <si>
    <t>2dms_wmts_v1_UAV101K01</t>
  </si>
  <si>
    <t>苗栗縣卓蘭鎮101年UAS(UAV)</t>
  </si>
  <si>
    <t>WMTS_UAV空拍影像_苗栗縣卓蘭鎮(101年)</t>
  </si>
  <si>
    <t>https://wmts.nlsc.gov.tw/wmts/UAV101D02/{Style}/{TileMatrixSet}/{TileMatrix}/{TileRow}/{TileCol}</t>
  </si>
  <si>
    <t>2dms_wmts_v1_UAV101D02</t>
  </si>
  <si>
    <t>臺南市關廟區101年UAS(UAV)</t>
  </si>
  <si>
    <t>WMTS_UAV空拍影像_臺南市關廟區(101年)</t>
  </si>
  <si>
    <t>https://wmts.nlsc.gov.tw/wmts/UAV101D01/{Style}/{TileMatrixSet}/{TileMatrix}/{TileRow}/{TileCol}</t>
  </si>
  <si>
    <t>2dms_wmts_v1_UAV101D01</t>
  </si>
  <si>
    <t>臺南市安南區101年UAS(UAV)</t>
  </si>
  <si>
    <t>WMTS_UAV空拍影像_臺南市安南區(101年)</t>
  </si>
  <si>
    <t>https://wmts.nlsc.gov.tw/wmts/TOWN/{Style}/{TileMatrixSet}/{TileMatrix}/{TileRow}/{TileCol}</t>
  </si>
  <si>
    <t>2dms_wmts_v1_TOWN</t>
  </si>
  <si>
    <t>鄉鎮區界</t>
  </si>
  <si>
    <t>WMTS_鄉鎮市區界線</t>
  </si>
  <si>
    <t>https://wmts.nlsc.gov.tw/wmts/TOPON1KPHOTO_X08/{Style}/{TileMatrixSet}/{TileMatrix}/{TileRow}/{TileCol}</t>
  </si>
  <si>
    <t>2dms_wmts_v1_TOPON1KPHOTO_X08</t>
  </si>
  <si>
    <t>澎湖縣湖西鄉_正射影像(113年)</t>
  </si>
  <si>
    <t>WMTS_1/1000地形圖_正射影像_澎湖縣湖西鄉都市計畫(113年)</t>
  </si>
  <si>
    <t>https://wmts.nlsc.gov.tw/wmts/TOPON1KPHOTO_X07/{Style}/{TileMatrixSet}/{TileMatrix}/{TileRow}/{TileCol}</t>
  </si>
  <si>
    <t>2dms_wmts_v1_TOPON1KPHOTO_X07</t>
  </si>
  <si>
    <t>澎湖縣馬公市_正射影像(113年)</t>
  </si>
  <si>
    <t>WMTS_1/1000地形圖_正射影像_澎湖縣馬公市都市計畫(113年)</t>
  </si>
  <si>
    <t>https://wmts.nlsc.gov.tw/wmts/TOPON1KPHOTO_X06/{Style}/{TileMatrixSet}/{TileMatrix}/{TileRow}/{TileCol}</t>
  </si>
  <si>
    <t>2dms_wmts_v1_TOPON1KPHOTO_X06</t>
  </si>
  <si>
    <t>澎湖縣二崁傳統聚落特定區計畫_正射影像(112年)</t>
  </si>
  <si>
    <t>WMTS_1/1000地形圖_正射影像_澎湖縣二崁傳統聚落特定區計畫(112年)</t>
  </si>
  <si>
    <t>https://wmts.nlsc.gov.tw/wmts/TOPON1KPHOTO_X05/{Style}/{TileMatrixSet}/{TileMatrix}/{TileRow}/{TileCol}</t>
  </si>
  <si>
    <t>2dms_wmts_v1_TOPON1KPHOTO_X05</t>
  </si>
  <si>
    <t>澎湖縣林投風景特定區計畫_正射影像(112年)</t>
  </si>
  <si>
    <t>WMTS_1/1000地形圖_正射影像_澎湖縣林投風景特定區計畫(112年)</t>
  </si>
  <si>
    <t>https://wmts.nlsc.gov.tw/wmts/TOPON1KPHOTO_X04/{Style}/{TileMatrixSet}/{TileMatrix}/{TileRow}/{TileCol}</t>
  </si>
  <si>
    <t>2dms_wmts_v1_TOPON1KPHOTO_X04</t>
  </si>
  <si>
    <t>澎湖縣西嶼西台古蹟特定區計畫_正射影像(112年)</t>
  </si>
  <si>
    <t>WMTS_1/1000地形圖_正射影像_澎湖縣西嶼西台古蹟特定區計畫(112年)</t>
  </si>
  <si>
    <t>https://wmts.nlsc.gov.tw/wmts/TOPON1KPHOTO_X03/{Style}/{TileMatrixSet}/{TileMatrix}/{TileRow}/{TileCol}</t>
  </si>
  <si>
    <t>2dms_wmts_v1_TOPON1KPHOTO_X03</t>
  </si>
  <si>
    <t>澎湖縣鎖港地區都市計畫_正射影像(112年)</t>
  </si>
  <si>
    <t>WMTS_1/1000地形圖_正射影像_澎湖縣鎖港地區都市計畫(112年)</t>
  </si>
  <si>
    <t>https://wmts.nlsc.gov.tw/wmts/TOPON1KPHOTO_X02/{Style}/{TileMatrixSet}/{TileMatrix}/{TileRow}/{TileCol}</t>
  </si>
  <si>
    <t>2dms_wmts_v1_TOPON1KPHOTO_X02</t>
  </si>
  <si>
    <t>澎湖縣白沙通梁地區都市計畫_正射影像(112年)</t>
  </si>
  <si>
    <t>WMTS_1/1000地形圖_正射影像_澎湖縣白沙通梁地區都市計畫(112年)</t>
  </si>
  <si>
    <t>https://wmts.nlsc.gov.tw/wmts/TOPON1KPHOTO_X01/{Style}/{TileMatrixSet}/{TileMatrix}/{TileRow}/{TileCol}</t>
  </si>
  <si>
    <t>2dms_wmts_v1_TOPON1KPHOTO_X01</t>
  </si>
  <si>
    <t>澎湖縣馬公都市計畫_正射影像(112年)</t>
  </si>
  <si>
    <t>WMTS_1/1000地形圖_正射影像_澎湖縣馬公都市計畫(112年)</t>
  </si>
  <si>
    <t>https://wmts.nlsc.gov.tw/wmts/TOPON1KPHOTO_V02/{Style}/{TileMatrixSet}/{TileMatrix}/{TileRow}/{TileCol}</t>
  </si>
  <si>
    <t>2dms_wmts_v1_TOPON1KPHOTO_V02</t>
  </si>
  <si>
    <t>臺東縣臺東鐵路新站附近地區都市計畫_正射影像(113年)</t>
  </si>
  <si>
    <t>WMTS_1/1000地形圖_正射影像_臺東縣臺東鐵路新站附近地區都市計畫(113年)</t>
  </si>
  <si>
    <t>https://wmts.nlsc.gov.tw/wmts/TOPON1KPHOTO_V01/{Style}/{TileMatrixSet}/{TileMatrix}/{TileRow}/{TileCol}</t>
  </si>
  <si>
    <t>2dms_wmts_v1_TOPON1KPHOTO_V01</t>
  </si>
  <si>
    <t>臺東縣臺東市都市計畫_正射影像(112年)</t>
  </si>
  <si>
    <t>WMTS_1/1000地形圖_正射影像_臺東縣臺東市都市計畫(112年)</t>
  </si>
  <si>
    <t>https://wmts.nlsc.gov.tw/wmts/TOPON1KPHOTO_U20/{Style}/{TileMatrixSet}/{TileMatrix}/{TileRow}/{TileCol}</t>
  </si>
  <si>
    <t>2dms_wmts_v1_TOPON1KPHOTO_U20</t>
  </si>
  <si>
    <t>花蓮縣光復鄉_正射影像(113年)</t>
  </si>
  <si>
    <t>WMTS_1/1000地形圖_正射影像_花蓮縣光復鄉都市計畫(113年)</t>
  </si>
  <si>
    <t>https://wmts.nlsc.gov.tw/wmts/TOPON1KPHOTO_T30/{Style}/{TileMatrixSet}/{TileMatrix}/{TileRow}/{TileCol}</t>
  </si>
  <si>
    <t>2dms_wmts_v1_TOPON1KPHOTO_T30</t>
  </si>
  <si>
    <t>屏東縣鹽埔漁港特定區計畫_正射影像(113年)</t>
  </si>
  <si>
    <t>WMTS_1/1000地形圖_正射影像_屏東縣鹽埔漁港特定區計畫(113年)</t>
  </si>
  <si>
    <t>https://wmts.nlsc.gov.tw/wmts/TOPON1KPHOTO_T20/{Style}/{TileMatrixSet}/{TileMatrix}/{TileRow}/{TileCol}</t>
  </si>
  <si>
    <t>2dms_wmts_v1_TOPON1KPHOTO_T20</t>
  </si>
  <si>
    <t>屏東縣新園(烏龍地區)都市計畫_正射影像(113年)</t>
  </si>
  <si>
    <t>WMTS_1/1000地形圖_正射影像_屏東縣新園(烏龍地區)都市計畫(113年)</t>
  </si>
  <si>
    <t>https://wmts.nlsc.gov.tw/wmts/TOPON1KPHOTO_T08/{Style}/{TileMatrixSet}/{TileMatrix}/{TileRow}/{TileCol}</t>
  </si>
  <si>
    <t>2dms_wmts_v1_TOPON1KPHOTO_T08</t>
  </si>
  <si>
    <t>屏東縣里港都市計畫_正射影像(113年)</t>
  </si>
  <si>
    <t>WMTS_1/1000地形圖_正射影像_屏東縣里港都市計畫(113年)</t>
  </si>
  <si>
    <t>https://wmts.nlsc.gov.tw/wmts/TOPON1KPHOTO_T03/{Style}/{TileMatrixSet}/{TileMatrix}/{TileRow}/{TileCol}</t>
  </si>
  <si>
    <t>2dms_wmts_v1_TOPON1KPHOTO_T03</t>
  </si>
  <si>
    <t>屏東縣東港都市計畫_正射影像(113年)</t>
  </si>
  <si>
    <t>WMTS_1/1000地形圖_正射影像_屏東縣東港都市計畫(113年)</t>
  </si>
  <si>
    <t>https://wmts.nlsc.gov.tw/wmts/TOPON1KPHOTO_T01/{Style}/{TileMatrixSet}/{TileMatrix}/{TileRow}/{TileCol}</t>
  </si>
  <si>
    <t>2dms_wmts_v1_TOPON1KPHOTO_T01</t>
  </si>
  <si>
    <t>屏東縣屏東都市計畫_正射影像(112年)</t>
  </si>
  <si>
    <t>WMTS_1/1000地形圖_正射影像_屏東縣屏東都市計畫(112年)</t>
  </si>
  <si>
    <t>https://wmts.nlsc.gov.tw/wmts/TOPON1KPHOTO_Q31/{Style}/{TileMatrixSet}/{TileMatrix}/{TileRow}/{TileCol}</t>
  </si>
  <si>
    <t>2dms_wmts_v1_TOPON1KPHOTO_Q31</t>
  </si>
  <si>
    <t>嘉義縣阿里山鄉_正射影像(113年)</t>
  </si>
  <si>
    <t>WMTS_1/1000地形圖_正射影像_嘉義縣阿里山鄉都市計畫(113年)</t>
  </si>
  <si>
    <t>https://wmts.nlsc.gov.tw/wmts/TOPON1KPHOTO_Q30/{Style}/{TileMatrixSet}/{TileMatrix}/{TileRow}/{TileCol}</t>
  </si>
  <si>
    <t>2dms_wmts_v1_TOPON1KPHOTO_Q30</t>
  </si>
  <si>
    <t>嘉義縣番路鄉_正射影像(113年)</t>
  </si>
  <si>
    <t>WMTS_1/1000地形圖_正射影像_嘉義縣番路鄉都市計畫(113年)</t>
  </si>
  <si>
    <t>https://wmts.nlsc.gov.tw/wmts/TOPON1KPHOTO_Q29/{Style}/{TileMatrixSet}/{TileMatrix}/{TileRow}/{TileCol}</t>
  </si>
  <si>
    <t>2dms_wmts_v1_TOPON1KPHOTO_Q29</t>
  </si>
  <si>
    <t>嘉義縣竹崎鄉_正射影像(113年)</t>
  </si>
  <si>
    <t>WMTS_1/1000地形圖_正射影像_嘉義縣竹崎鄉都市計畫(113年)</t>
  </si>
  <si>
    <t>https://wmts.nlsc.gov.tw/wmts/TOPON1KPHOTO_Q28/{Style}/{TileMatrixSet}/{TileMatrix}/{TileRow}/{TileCol}</t>
  </si>
  <si>
    <t>2dms_wmts_v1_TOPON1KPHOTO_Q28</t>
  </si>
  <si>
    <t>嘉義縣大林都市計畫_正射影像(112年)</t>
  </si>
  <si>
    <t>WMTS_1/1000地形圖_正射影像_嘉義縣大林都市計畫(112年)</t>
  </si>
  <si>
    <t>https://wmts.nlsc.gov.tw/wmts/TOPON1KPHOTO_Q27/{Style}/{TileMatrixSet}/{TileMatrix}/{TileRow}/{TileCol}</t>
  </si>
  <si>
    <t>2dms_wmts_v1_TOPON1KPHOTO_Q27</t>
  </si>
  <si>
    <t>嘉義縣高速鐵路嘉義車站特定區計畫_正射影像(112年)</t>
  </si>
  <si>
    <t>WMTS_1/1000地形圖_正射影像_嘉義縣高速鐵路嘉義車站特定區計畫(112年)</t>
  </si>
  <si>
    <t>https://wmts.nlsc.gov.tw/wmts/TOPON1KPHOTO_Q26/{Style}/{TileMatrixSet}/{TileMatrix}/{TileRow}/{TileCol}</t>
  </si>
  <si>
    <t>2dms_wmts_v1_TOPON1KPHOTO_Q26</t>
  </si>
  <si>
    <t>嘉義縣國立中正大學特定區主要計畫_正射影像(112年)</t>
  </si>
  <si>
    <t>WMTS_1/1000地形圖_正射影像_嘉義縣國立中正大學特定區計畫(112年)</t>
  </si>
  <si>
    <t>https://wmts.nlsc.gov.tw/wmts/TOPON1KPHOTO_Q22/{Style}/{TileMatrixSet}/{TileMatrix}/{TileRow}/{TileCol}</t>
  </si>
  <si>
    <t>2dms_wmts_v1_TOPON1KPHOTO_Q22</t>
  </si>
  <si>
    <t>嘉義縣太保都市計畫_正射影像(112年)</t>
  </si>
  <si>
    <t>WMTS_1/1000地形圖_正射影像_嘉義縣太保都市計畫(112年)</t>
  </si>
  <si>
    <t>https://wmts.nlsc.gov.tw/wmts/TOPON1KPHOTO_Q21/{Style}/{TileMatrixSet}/{TileMatrix}/{TileRow}/{TileCol}</t>
  </si>
  <si>
    <t>2dms_wmts_v1_TOPON1KPHOTO_Q21</t>
  </si>
  <si>
    <t>嘉義縣仁義潭風景特定區計畫(嘉義縣部分)_正射影像(112年)</t>
  </si>
  <si>
    <t>WMTS_1/1000地形圖_正射影像_嘉義縣仁義潭風景特定區計畫(嘉義縣部分)(112年)</t>
  </si>
  <si>
    <t>https://wmts.nlsc.gov.tw/wmts/TOPON1KPHOTO_Q19/{Style}/{TileMatrixSet}/{TileMatrix}/{TileRow}/{TileCol}</t>
  </si>
  <si>
    <t>2dms_wmts_v1_TOPON1KPHOTO_Q19</t>
  </si>
  <si>
    <t>嘉義縣吳鳳廟特定區計畫_正射影像(112年)</t>
  </si>
  <si>
    <t>WMTS_1/1000地形圖_正射影像_嘉義縣吳鳳廟特定區計畫(112年)</t>
  </si>
  <si>
    <t>https://wmts.nlsc.gov.tw/wmts/TOPON1KPHOTO_Q07/{Style}/{TileMatrixSet}/{TileMatrix}/{TileRow}/{TileCol}</t>
  </si>
  <si>
    <t>2dms_wmts_v1_TOPON1KPHOTO_Q07</t>
  </si>
  <si>
    <t>嘉義縣民雄(頭橋地區)都市計畫_正射影像(113年)</t>
  </si>
  <si>
    <t>WMTS_1/1000地形圖_正射影像_嘉義縣民雄(頭橋地區)都市計畫(113年)</t>
  </si>
  <si>
    <t>https://wmts.nlsc.gov.tw/wmts/TOPON1KPHOTO_Q06/{Style}/{TileMatrixSet}/{TileMatrix}/{TileRow}/{TileCol}</t>
  </si>
  <si>
    <t>2dms_wmts_v1_TOPON1KPHOTO_Q06</t>
  </si>
  <si>
    <t>嘉義縣民雄都市計畫_正射影像(113年)</t>
  </si>
  <si>
    <t>WMTS_1/1000地形圖_正射影像_嘉義縣民雄都市計畫(113年)</t>
  </si>
  <si>
    <t>https://wmts.nlsc.gov.tw/wmts/TOPON1KPHOTO_Q02/{Style}/{TileMatrixSet}/{TileMatrix}/{TileRow}/{TileCol}</t>
  </si>
  <si>
    <t>2dms_wmts_v1_TOPON1KPHOTO_Q02</t>
  </si>
  <si>
    <t>嘉義縣治都市計畫_正射影像(112年)</t>
  </si>
  <si>
    <t>WMTS_1/1000地形圖_正射影像_嘉義縣治都市計畫(112年)</t>
  </si>
  <si>
    <t>https://wmts.nlsc.gov.tw/wmts/TOPON1KPHOTO_P25/{Style}/{TileMatrixSet}/{TileMatrix}/{TileRow}/{TileCol}</t>
  </si>
  <si>
    <t>2dms_wmts_v1_TOPON1KPHOTO_P25</t>
  </si>
  <si>
    <t>雲林縣高速鐵路雲林車站特定區計畫_正射影像(113年)</t>
  </si>
  <si>
    <t>WMTS_1/1000地形圖_正射影像_雲林縣高速鐵路雲林車站特定區計畫(113年)</t>
  </si>
  <si>
    <t>https://wmts.nlsc.gov.tw/wmts/TOPON1KPHOTO_P24/{Style}/{TileMatrixSet}/{TileMatrix}/{TileRow}/{TileCol}</t>
  </si>
  <si>
    <t>2dms_wmts_v1_TOPON1KPHOTO_P24</t>
  </si>
  <si>
    <t>雲林縣斗六嘉東地區特定區計畫_正射影像(112年)</t>
  </si>
  <si>
    <t>WMTS_1/1000地形圖_正射影像_雲林縣斗六嘉東地區特定區計畫(112年)</t>
  </si>
  <si>
    <t>https://wmts.nlsc.gov.tw/wmts/TOPON1KPHOTO_P22/{Style}/{TileMatrixSet}/{TileMatrix}/{TileRow}/{TileCol}</t>
  </si>
  <si>
    <t>2dms_wmts_v1_TOPON1KPHOTO_P22</t>
  </si>
  <si>
    <t>雲林縣箔子寮漁港特定區計畫_正射影像(112年)</t>
  </si>
  <si>
    <t>WMTS_1/1000地形圖_正射影像_雲林縣箔子寮漁港特定區計畫(112年)</t>
  </si>
  <si>
    <t>https://wmts.nlsc.gov.tw/wmts/TOPON1KPHOTO_P13/{Style}/{TileMatrixSet}/{TileMatrix}/{TileRow}/{TileCol}</t>
  </si>
  <si>
    <t>2dms_wmts_v1_TOPON1KPHOTO_P13</t>
  </si>
  <si>
    <t>雲林縣崙背都市計畫_正射影像(112年)</t>
  </si>
  <si>
    <t>WMTS_1/1000地形圖_正射影像_雲林縣崙背都市計畫(112年)</t>
  </si>
  <si>
    <t>https://wmts.nlsc.gov.tw/wmts/TOPON1KPHOTO_P12/{Style}/{TileMatrixSet}/{TileMatrix}/{TileRow}/{TileCol}</t>
  </si>
  <si>
    <t>2dms_wmts_v1_TOPON1KPHOTO_P12</t>
  </si>
  <si>
    <t>雲林縣二崙都市計畫_正射影像(112年)</t>
  </si>
  <si>
    <t>WMTS_1/1000地形圖_正射影像_雲林縣二崙都市計畫(112年)</t>
  </si>
  <si>
    <t>https://wmts.nlsc.gov.tw/wmts/TOPON1KPHOTO_P10/{Style}/{TileMatrixSet}/{TileMatrix}/{TileRow}/{TileCol}</t>
  </si>
  <si>
    <t>2dms_wmts_v1_TOPON1KPHOTO_P10</t>
  </si>
  <si>
    <t>雲林縣莿桐都市計畫_正射影像(113年)</t>
  </si>
  <si>
    <t>WMTS_1/1000地形圖_正射影像_雲林縣莿桐都市計畫(113年)</t>
  </si>
  <si>
    <t>https://wmts.nlsc.gov.tw/wmts/TOPON1KPHOTO_P01/{Style}/{TileMatrixSet}/{TileMatrix}/{TileRow}/{TileCol}</t>
  </si>
  <si>
    <t>2dms_wmts_v1_TOPON1KPHOTO_P01</t>
  </si>
  <si>
    <t>雲林縣斗六(含大潭地區)都市計畫_正射影像(113年)</t>
  </si>
  <si>
    <t>WMTS_1/1000地形圖_正射影像_雲林縣斗六(含大潭地區)都市計畫(113年)</t>
  </si>
  <si>
    <t>https://wmts.nlsc.gov.tw/wmts/TOPON1KPHOTO_N02/{Style}/{TileMatrixSet}/{TileMatrix}/{TileRow}/{TileCol}</t>
  </si>
  <si>
    <t>2dms_wmts_v1_TOPON1KPHOTO_N02</t>
  </si>
  <si>
    <t>彰化縣高速公路彰化交流道附近特定區計畫_正射影像(112年)</t>
  </si>
  <si>
    <t>WMTS_1/1000地形圖_正射影像_彰化縣高速公路彰化交流道附近特定區計畫(112年)</t>
  </si>
  <si>
    <t>https://wmts.nlsc.gov.tw/wmts/TOPON1KPHOTO_N01/{Style}/{TileMatrixSet}/{TileMatrix}/{TileRow}/{TileCol}</t>
  </si>
  <si>
    <t>2dms_wmts_v1_TOPON1KPHOTO_N01</t>
  </si>
  <si>
    <t>彰化縣彰化都市計畫_正射影像(112年)</t>
  </si>
  <si>
    <t>WMTS_1/1000地形圖_正射影像_彰化縣彰化都市計畫(112年)</t>
  </si>
  <si>
    <t>https://wmts.nlsc.gov.tw/wmts/TOPON1KPHOTO_M04/{Style}/{TileMatrixSet}/{TileMatrix}/{TileRow}/{TileCol}</t>
  </si>
  <si>
    <t>2dms_wmts_v1_TOPON1KPHOTO_M04</t>
  </si>
  <si>
    <t>南投縣草屯都市計畫_正射影像(112年)</t>
  </si>
  <si>
    <t>WMTS_1/1000地形圖_正射影像_南投縣草屯都市計畫(112年)</t>
  </si>
  <si>
    <t>https://wmts.nlsc.gov.tw/wmts/TOPON1KPHOTO_M02/{Style}/{TileMatrixSet}/{TileMatrix}/{TileRow}/{TileCol}</t>
  </si>
  <si>
    <t>2dms_wmts_v1_TOPON1KPHOTO_M02</t>
  </si>
  <si>
    <t>南投縣中興新村(含南內轆地區)都市計畫_正射影像(112年)</t>
  </si>
  <si>
    <t>WMTS_1/1000地形圖_正射影像_南投縣中興新村(含南內轆地區)都市計畫(112年)</t>
  </si>
  <si>
    <t>https://wmts.nlsc.gov.tw/wmts/TOPON1KPHOTO_M01/{Style}/{TileMatrixSet}/{TileMatrix}/{TileRow}/{TileCol}</t>
  </si>
  <si>
    <t>2dms_wmts_v1_TOPON1KPHOTO_M01</t>
  </si>
  <si>
    <t>南投縣南投(含南崗地區)都市計畫_正射影像(112年)</t>
  </si>
  <si>
    <t>WMTS_1/1000地形圖_正射影像_南投縣南投(含南崗地區)都市計畫(112年)</t>
  </si>
  <si>
    <t>https://wmts.nlsc.gov.tw/wmts/TOPON1KPHOTO_K14/{Style}/{TileMatrixSet}/{TileMatrix}/{TileRow}/{TileCol}</t>
  </si>
  <si>
    <t>2dms_wmts_v1_TOPON1KPHOTO_K14</t>
  </si>
  <si>
    <t>苗栗縣頭屋都市計畫_正射影像(112年)</t>
  </si>
  <si>
    <t>WMTS_1/1000地形圖_正射影像_苗栗縣頭屋都市計畫(112年)</t>
  </si>
  <si>
    <t>https://wmts.nlsc.gov.tw/wmts/TOPON1KPHOTO_K02/{Style}/{TileMatrixSet}/{TileMatrix}/{TileRow}/{TileCol}</t>
  </si>
  <si>
    <t>2dms_wmts_v1_TOPON1KPHOTO_K02</t>
  </si>
  <si>
    <t>苗栗縣高速公路苗栗交流道附近特定區計畫_正射影像(112年)</t>
  </si>
  <si>
    <t>WMTS_1/1000地形圖_正射影像_苗栗縣高速公路苗栗交流道附近特定區計畫(112年)</t>
  </si>
  <si>
    <t>https://wmts.nlsc.gov.tw/wmts/TOPON1KPHOTO_K01/{Style}/{TileMatrixSet}/{TileMatrix}/{TileRow}/{TileCol}</t>
  </si>
  <si>
    <t>2dms_wmts_v1_TOPON1KPHOTO_K01</t>
  </si>
  <si>
    <t>苗栗縣苗栗都市計畫_正射影像(112年)</t>
  </si>
  <si>
    <t>WMTS_1/1000地形圖_正射影像_苗栗縣苗栗都市計畫(112年)</t>
  </si>
  <si>
    <t>https://wmts.nlsc.gov.tw/wmts/TOPON1KPHOTO_J17/{Style}/{TileMatrixSet}/{TileMatrix}/{TileRow}/{TileCol}</t>
  </si>
  <si>
    <t>2dms_wmts_v1_TOPON1KPHOTO_J17</t>
  </si>
  <si>
    <t>新竹科學工業園區特定區計畫(寶山部分)_正射影像(112年)</t>
  </si>
  <si>
    <t>WMTS_1/1000地形圖_正射影像_新竹科學工業園區特定區計畫(寶山部分)(112年)</t>
  </si>
  <si>
    <t>https://wmts.nlsc.gov.tw/wmts/TOPON1KPHOTO_J16/{Style}/{TileMatrixSet}/{TileMatrix}/{TileRow}/{TileCol}</t>
  </si>
  <si>
    <t>2dms_wmts_v1_TOPON1KPHOTO_J16</t>
  </si>
  <si>
    <t>新竹縣高速鐵路新竹車站特定區計畫_正射影像(113年)</t>
  </si>
  <si>
    <t>WMTS_1/1000地形圖_正射影像_新竹縣高速鐵路新竹車站特定區計畫(113年)</t>
  </si>
  <si>
    <t>https://wmts.nlsc.gov.tw/wmts/TOPON1KPHOTO_J13/{Style}/{TileMatrixSet}/{TileMatrix}/{TileRow}/{TileCol}</t>
  </si>
  <si>
    <t>2dms_wmts_v1_TOPON1KPHOTO_J13</t>
  </si>
  <si>
    <t>新竹縣寶山都市計畫_正射影像(112年)</t>
  </si>
  <si>
    <t>WMTS_1/1000地形圖_正射影像_新竹縣寶山都市計畫(112年)</t>
  </si>
  <si>
    <t>https://wmts.nlsc.gov.tw/wmts/TOPON1KPHOTO_J06/{Style}/{TileMatrixSet}/{TileMatrix}/{TileRow}/{TileCol}</t>
  </si>
  <si>
    <t>2dms_wmts_v1_TOPON1KPHOTO_J06</t>
  </si>
  <si>
    <t>新竹縣竹北(含斗崙地區)都市計畫_正射影像(113年)</t>
  </si>
  <si>
    <t>WMTS_1/1000地形圖_正射影像_新竹縣竹北(含斗崙地區)都市計畫(113年)</t>
  </si>
  <si>
    <t>https://wmts.nlsc.gov.tw/wmts/TOPON1KPHOTO_J01/{Style}/{TileMatrixSet}/{TileMatrix}/{TileRow}/{TileCol}</t>
  </si>
  <si>
    <t>2dms_wmts_v1_TOPON1KPHOTO_J01</t>
  </si>
  <si>
    <t>新竹科學工業園區特定區計畫(竹東部分)_正射影像(112年)</t>
  </si>
  <si>
    <t>WMTS_1/1000地形圖_正射影像_新竹科學工業園區特定區計畫(竹東部分)(112年)</t>
  </si>
  <si>
    <t>https://wmts.nlsc.gov.tw/wmts/TOPON1KPHOTO_H31/{Style}/{TileMatrixSet}/{TileMatrix}/{TileRow}/{TileCol}</t>
  </si>
  <si>
    <t>2dms_wmts_v1_TOPON1KPHOTO_H31</t>
  </si>
  <si>
    <t>桃園市平鎮(山子頂地區)都市計畫_正射影像(112年)</t>
  </si>
  <si>
    <t>WMTS_1/1000地形圖_正射影像_桃園市平鎮(山子頂地區)都市計畫(112年)</t>
  </si>
  <si>
    <t>https://wmts.nlsc.gov.tw/wmts/TOPON1KPHOTO_H21/{Style}/{TileMatrixSet}/{TileMatrix}/{TileRow}/{TileCol}</t>
  </si>
  <si>
    <t>2dms_wmts_v1_TOPON1KPHOTO_H21</t>
  </si>
  <si>
    <t>桃園市觀音(新坡地區)都市計畫_正射影像(113年)</t>
  </si>
  <si>
    <t>WMTS_1/1000地形圖_正射影像_桃園市觀音(新坡地區)都市計畫(113年)</t>
  </si>
  <si>
    <t>https://wmts.nlsc.gov.tw/wmts/TOPON1KPHOTO_H20/{Style}/{TileMatrixSet}/{TileMatrix}/{TileRow}/{TileCol}</t>
  </si>
  <si>
    <t>2dms_wmts_v1_TOPON1KPHOTO_H20</t>
  </si>
  <si>
    <t>桃園市觀音都市計畫_正射影像(113年)</t>
  </si>
  <si>
    <t>WMTS_1/1000地形圖_正射影像_桃園市觀音都市計畫(113年)</t>
  </si>
  <si>
    <t>https://wmts.nlsc.gov.tw/wmts/TOPON1KPHOTO_H19/{Style}/{TileMatrixSet}/{TileMatrix}/{TileRow}/{TileCol}</t>
  </si>
  <si>
    <t>2dms_wmts_v1_TOPON1KPHOTO_H19</t>
  </si>
  <si>
    <t>桃園市新屋都市計畫_正射影像(113年)</t>
  </si>
  <si>
    <t>WMTS_1/1000地形圖_正射影像_桃園市新屋都市計畫(113年)</t>
  </si>
  <si>
    <t>https://wmts.nlsc.gov.tw/wmts/TOPON1KPHOTO_H18/{Style}/{TileMatrixSet}/{TileMatrix}/{TileRow}/{TileCol}</t>
  </si>
  <si>
    <t>2dms_wmts_v1_TOPON1KPHOTO_H18</t>
  </si>
  <si>
    <t>桃園市龍潭都市計畫_正射影像(113年)</t>
  </si>
  <si>
    <t>WMTS_1/1000地形圖_正射影像_桃園市龍潭都市計畫(113年)</t>
  </si>
  <si>
    <t>https://wmts.nlsc.gov.tw/wmts/TOPON1KPHOTO_G20/{Style}/{TileMatrixSet}/{TileMatrix}/{TileRow}/{TileCol}</t>
  </si>
  <si>
    <t>2dms_wmts_v1_TOPON1KPHOTO_G20</t>
  </si>
  <si>
    <t>宜蘭縣政中心地區都市計畫_正射影像(112年)</t>
  </si>
  <si>
    <t>WMTS_1/1000地形圖_正射影像_宜蘭縣政中心地區都市計畫(112年)</t>
  </si>
  <si>
    <t>https://wmts.nlsc.gov.tw/wmts/TOPON1KPHOTO_G19/{Style}/{TileMatrixSet}/{TileMatrix}/{TileRow}/{TileCol}</t>
  </si>
  <si>
    <t>2dms_wmts_v1_TOPON1KPHOTO_G19</t>
  </si>
  <si>
    <t>宜蘭縣五峰旗風景特定區計畫_正射影像(112年)</t>
  </si>
  <si>
    <t>WMTS_1/1000地形圖_正射影像_宜蘭縣五峰旗風景特定區計畫(112年)</t>
  </si>
  <si>
    <t>https://wmts.nlsc.gov.tw/wmts/TOPON1KPHOTO_G18/{Style}/{TileMatrixSet}/{TileMatrix}/{TileRow}/{TileCol}</t>
  </si>
  <si>
    <t>2dms_wmts_v1_TOPON1KPHOTO_G18</t>
  </si>
  <si>
    <t>宜蘭縣龍潭湖風景特定區計畫_正射影像(112年)</t>
  </si>
  <si>
    <t>WMTS_1/1000地形圖_正射影像_宜蘭縣龍潭湖風景特定區計畫(112年)</t>
  </si>
  <si>
    <t>https://wmts.nlsc.gov.tw/wmts/TOPON1KPHOTO_G17/{Style}/{TileMatrixSet}/{TileMatrix}/{TileRow}/{TileCol}</t>
  </si>
  <si>
    <t>2dms_wmts_v1_TOPON1KPHOTO_G17</t>
  </si>
  <si>
    <t>宜蘭縣梅花湖風景特定區計畫_正射影像(112年)</t>
  </si>
  <si>
    <t>WMTS_1/1000地形圖_正射影像_宜蘭縣梅花湖風景特定區計畫(112年)</t>
  </si>
  <si>
    <t>https://wmts.nlsc.gov.tw/wmts/TOPON1KPHOTO_G16/{Style}/{TileMatrixSet}/{TileMatrix}/{TileRow}/{TileCol}</t>
  </si>
  <si>
    <t>2dms_wmts_v1_TOPON1KPHOTO_G16</t>
  </si>
  <si>
    <t>宜蘭縣大湖風景特定區計畫_正射影像(112年)</t>
  </si>
  <si>
    <t>WMTS_1/1000地形圖_正射影像_宜蘭縣大湖風景特定區計畫(112年)</t>
  </si>
  <si>
    <t>https://wmts.nlsc.gov.tw/wmts/TOPON1KPHOTO_G15/{Style}/{TileMatrixSet}/{TileMatrix}/{TileRow}/{TileCol}</t>
  </si>
  <si>
    <t>2dms_wmts_v1_TOPON1KPHOTO_G15</t>
  </si>
  <si>
    <t>宜蘭縣南澳南強都市計畫_正射影像(112年)</t>
  </si>
  <si>
    <t>WMTS_1/1000地形圖_正射影像_宜蘭縣南澳南強都市計畫(112年)</t>
  </si>
  <si>
    <t>https://wmts.nlsc.gov.tw/wmts/TOPON1KPHOTO_G11/{Style}/{TileMatrixSet}/{TileMatrix}/{TileRow}/{TileCol}</t>
  </si>
  <si>
    <t>2dms_wmts_v1_TOPON1KPHOTO_G11</t>
  </si>
  <si>
    <t>宜蘭縣冬山(順安地區)都市計畫_正射影像(112年)</t>
  </si>
  <si>
    <t>WMTS_1/1000地形圖_正射影像_宜蘭縣冬山(順安地區)都市計畫(112年)</t>
  </si>
  <si>
    <t>https://wmts.nlsc.gov.tw/wmts/TOPON1KPHOTO_G09/{Style}/{TileMatrixSet}/{TileMatrix}/{TileRow}/{TileCol}</t>
  </si>
  <si>
    <t>2dms_wmts_v1_TOPON1KPHOTO_G09</t>
  </si>
  <si>
    <t>宜蘭縣員山都市計畫_正射影像(112年)</t>
  </si>
  <si>
    <t>WMTS_1/1000地形圖_正射影像_宜蘭縣員山都市計畫(112年)</t>
  </si>
  <si>
    <t>https://wmts.nlsc.gov.tw/wmts/TOPON1KPHOTO_G06/{Style}/{TileMatrixSet}/{TileMatrix}/{TileRow}/{TileCol}</t>
  </si>
  <si>
    <t>2dms_wmts_v1_TOPON1KPHOTO_G06</t>
  </si>
  <si>
    <t>宜蘭縣礁溪都市計畫_正射影像(112年)</t>
  </si>
  <si>
    <t>WMTS_1/1000地形圖_正射影像_宜蘭縣礁溪都市計畫(112年)</t>
  </si>
  <si>
    <t>https://wmts.nlsc.gov.tw/wmts/TOPON1KPHOTO_G04/{Style}/{TileMatrixSet}/{TileMatrix}/{TileRow}/{TileCol}</t>
  </si>
  <si>
    <t>2dms_wmts_v1_TOPON1KPHOTO_G04</t>
  </si>
  <si>
    <t>宜蘭縣蘇澳(新馬地區)都市計畫_正射影像(112年)</t>
  </si>
  <si>
    <t>WMTS_1/1000地形圖_正射影像_宜蘭縣蘇澳(新馬地區)都市計畫(112年)</t>
  </si>
  <si>
    <t>https://wmts.nlsc.gov.tw/wmts/TOPON1KPHOTO_G01/{Style}/{TileMatrixSet}/{TileMatrix}/{TileRow}/{TileCol}</t>
  </si>
  <si>
    <t>2dms_wmts_v1_TOPON1KPHOTO_G01</t>
  </si>
  <si>
    <t>宜蘭縣宜蘭市都市計畫_正射影像(113年)</t>
  </si>
  <si>
    <t>WMTS_1/1000地形圖_正射影像_宜蘭縣宜蘭市都市計畫(113年)</t>
  </si>
  <si>
    <t>https://wmts.nlsc.gov.tw/wmts/TOPON1KPHOTO_E32/{Style}/{TileMatrixSet}/{TileMatrix}/{TileRow}/{TileCol}</t>
  </si>
  <si>
    <t>2dms_wmts_v1_TOPON1KPHOTO_E32</t>
  </si>
  <si>
    <t>高雄市(三民.苓雅.前金.新興.前鎮.鹽埕)都市計畫_正射影像(113年)</t>
  </si>
  <si>
    <t>WMTS_1/1000地形圖_正射影像_高雄市(三民.苓雅.前金.新興.前鎮.鹽埕)都市計畫(113年)</t>
  </si>
  <si>
    <t>https://wmts.nlsc.gov.tw/wmts/TOPON1KPHOTO_E03/{Style}/{TileMatrixSet}/{TileMatrix}/{TileRow}/{TileCol}</t>
  </si>
  <si>
    <t>2dms_wmts_v1_TOPON1KPHOTO_E03</t>
  </si>
  <si>
    <t>高雄市岡山都市計畫_正射影像(112年)</t>
  </si>
  <si>
    <t>WMTS_1/1000地形圖_正射影像_高雄市岡山都市計畫(112年)</t>
  </si>
  <si>
    <t>https://wmts.nlsc.gov.tw/wmts/TOPON1KPHOTO_E02/{Style}/{TileMatrixSet}/{TileMatrix}/{TileRow}/{TileCol}</t>
  </si>
  <si>
    <t>2dms_wmts_v1_TOPON1KPHOTO_E02</t>
  </si>
  <si>
    <t>高雄市鳳山主要計畫_正射影像(113年)</t>
  </si>
  <si>
    <t>WMTS_1/1000地形圖_正射影像_高雄市鳳山都市計畫(113年)</t>
  </si>
  <si>
    <t>https://wmts.nlsc.gov.tw/wmts/TOPON1KPHOTO_D12/{Style}/{TileMatrixSet}/{TileMatrix}/{TileRow}/{TileCol}</t>
  </si>
  <si>
    <t>2dms_wmts_v1_TOPON1KPHOTO_D12</t>
  </si>
  <si>
    <t>臺南市柳營都市計畫_正射影像(112年)</t>
  </si>
  <si>
    <t>WMTS_1/1000地形圖_正射影像_臺南市柳營都市計畫(112年)</t>
  </si>
  <si>
    <t>https://wmts.nlsc.gov.tw/wmts/TOPON1KPHOTO_D08/{Style}/{TileMatrixSet}/{TileMatrix}/{TileRow}/{TileCol}</t>
  </si>
  <si>
    <t>2dms_wmts_v1_TOPON1KPHOTO_D08</t>
  </si>
  <si>
    <t>臺南市佳里都市計畫_正射影像(113年)</t>
  </si>
  <si>
    <t>WMTS_1/1000地形圖_正射影像_臺南市佳里都市計畫(113年)</t>
  </si>
  <si>
    <t>https://wmts.nlsc.gov.tw/wmts/TOPON1KPHOTO_D05/{Style}/{TileMatrixSet}/{TileMatrix}/{TileRow}/{TileCol}</t>
  </si>
  <si>
    <t>2dms_wmts_v1_TOPON1KPHOTO_D05</t>
  </si>
  <si>
    <t>臺南市鹽水都市計畫_正射影像(112年)</t>
  </si>
  <si>
    <t>WMTS_1/1000地形圖_正射影像_臺南市鹽水都市計畫(112年)</t>
  </si>
  <si>
    <t>https://wmts.nlsc.gov.tw/wmts/TOPON1KPHOTO_D04/{Style}/{TileMatrixSet}/{TileMatrix}/{TileRow}/{TileCol}</t>
  </si>
  <si>
    <t>2dms_wmts_v1_TOPON1KPHOTO_D04</t>
  </si>
  <si>
    <t>臺南市高速公路新營交流道附近特定區計畫_正射影像(112年)</t>
  </si>
  <si>
    <t>WMTS_1/1000地形圖_正射影像_臺南市高速公路新營交流道附近特定區計畫(112年)</t>
  </si>
  <si>
    <t>https://wmts.nlsc.gov.tw/wmts/TOPON1KPHOTO_D03/{Style}/{TileMatrixSet}/{TileMatrix}/{TileRow}/{TileCol}</t>
  </si>
  <si>
    <t>2dms_wmts_v1_TOPON1KPHOTO_D03</t>
  </si>
  <si>
    <t>臺南市新營都市計畫_正射影像(112年)</t>
  </si>
  <si>
    <t>WMTS_1/1000地形圖_正射影像_臺南市新營都市計畫(112年)</t>
  </si>
  <si>
    <t>https://wmts.nlsc.gov.tw/wmts/TOPON1KPHOTO_B25/{Style}/{TileMatrixSet}/{TileMatrix}/{TileRow}/{TileCol}</t>
  </si>
  <si>
    <t>2dms_wmts_v1_TOPON1KPHOTO_B25</t>
  </si>
  <si>
    <t>臺中市豐潭雅神都市計畫_正射影像(113年)</t>
  </si>
  <si>
    <t>WMTS_1/1000地形圖_正射影像_臺中市豐潭雅神都市計畫(113年)</t>
  </si>
  <si>
    <t>https://wmts.nlsc.gov.tw/wmts/TOPON1KPHOTO_B22/{Style}/{TileMatrixSet}/{TileMatrix}/{TileRow}/{TileCol}</t>
  </si>
  <si>
    <t>2dms_wmts_v1_TOPON1KPHOTO_B22</t>
  </si>
  <si>
    <t>臺中市高速公路王田交流道附近特定區計畫_正射影像(112年)</t>
  </si>
  <si>
    <t>WMTS_1/1000地形圖_正射影像_臺中市高速公路王田交流道附近特定區計畫(112年)</t>
  </si>
  <si>
    <t>https://wmts.nlsc.gov.tw/wmts/TOPON1KPHOTO_B20/{Style}/{TileMatrixSet}/{TileMatrix}/{TileRow}/{TileCol}</t>
  </si>
  <si>
    <t>2dms_wmts_v1_TOPON1KPHOTO_B20</t>
  </si>
  <si>
    <t>臺中市中部科學工業園區台中基地附近特定區計畫_正射影像(113年)</t>
  </si>
  <si>
    <t>WMTS_1/1000地形圖_正射影像_臺中市中部科學工業園區台中基地附近特定區計畫(113年)</t>
  </si>
  <si>
    <t>https://wmts.nlsc.gov.tw/wmts/TOPON1KPHOTO_B15/{Style}/{TileMatrixSet}/{TileMatrix}/{TileRow}/{TileCol}</t>
  </si>
  <si>
    <t>2dms_wmts_v1_TOPON1KPHOTO_B15</t>
  </si>
  <si>
    <t>臺中市大肚都市計畫_正射影像(112年)</t>
  </si>
  <si>
    <t>WMTS_1/1000地形圖_正射影像_臺中市大肚都市計畫(112年)</t>
  </si>
  <si>
    <t>https://wmts.nlsc.gov.tw/wmts/TOPON1KPHOTO_B14/{Style}/{TileMatrixSet}/{TileMatrix}/{TileRow}/{TileCol}</t>
  </si>
  <si>
    <t>2dms_wmts_v1_TOPON1KPHOTO_B14</t>
  </si>
  <si>
    <t>臺中市烏日都市計畫_正射影像(112年)</t>
  </si>
  <si>
    <t>WMTS_1/1000地形圖_正射影像_臺中市烏日都市計畫(112年)</t>
  </si>
  <si>
    <t>https://wmts.nlsc.gov.tw/wmts/TOPON1KPHOTO_B11/{Style}/{TileMatrixSet}/{TileMatrix}/{TileRow}/{TileCol}</t>
  </si>
  <si>
    <t>2dms_wmts_v1_TOPON1KPHOTO_B11</t>
  </si>
  <si>
    <t>臺中市新社都市計畫_正射影像(112年)</t>
  </si>
  <si>
    <t>WMTS_1/1000地形圖_正射影像_臺中市新社都市計畫(112年)</t>
  </si>
  <si>
    <t>https://wmts.nlsc.gov.tw/wmts/TOPON1KPHOTO_B04/{Style}/{TileMatrixSet}/{TileMatrix}/{TileRow}/{TileCol}</t>
  </si>
  <si>
    <t>2dms_wmts_v1_TOPON1KPHOTO_B04</t>
  </si>
  <si>
    <t>臺中市東勢都市計畫_正射影像(112年)</t>
  </si>
  <si>
    <t>WMTS_1/1000地形圖_正射影像_臺中市東勢都市計畫(112年)</t>
  </si>
  <si>
    <t>https://wmts.nlsc.gov.tw/wmts/TOPON1K_X08/{Style}/{TileMatrixSet}/{TileMatrix}/{TileRow}/{TileCol}</t>
  </si>
  <si>
    <t>2dms_wmts_v1_TOPON1K_X08</t>
  </si>
  <si>
    <t>澎湖縣湖西鄉(113年)</t>
  </si>
  <si>
    <t>WMTS_1/1000地形圖_澎湖縣湖西鄉都市計畫(113年)</t>
  </si>
  <si>
    <t>WMTS,地形圖</t>
  </si>
  <si>
    <t>https://wmts.nlsc.gov.tw/wmts/TOPON1K_X07/{Style}/{TileMatrixSet}/{TileMatrix}/{TileRow}/{TileCol}</t>
  </si>
  <si>
    <t>2dms_wmts_v1_TOPON1K_X07</t>
  </si>
  <si>
    <t>澎湖縣馬公市(113年)</t>
  </si>
  <si>
    <t>WMTS_1/1000地形圖_澎湖縣馬公市都市計畫(113年)</t>
  </si>
  <si>
    <t>https://wmts.nlsc.gov.tw/wmts/TOPON1K_X06/{Style}/{TileMatrixSet}/{TileMatrix}/{TileRow}/{TileCol}</t>
  </si>
  <si>
    <t>2dms_wmts_v1_TOPON1K_X06</t>
  </si>
  <si>
    <t>澎湖縣二崁傳統聚落特定區計畫(112年)</t>
  </si>
  <si>
    <t>WMTS_1/1000地形圖_澎湖縣二崁傳統聚落特定區計畫(112年)</t>
  </si>
  <si>
    <t>https://wmts.nlsc.gov.tw/wmts/TOPON1K_X05/{Style}/{TileMatrixSet}/{TileMatrix}/{TileRow}/{TileCol}</t>
  </si>
  <si>
    <t>2dms_wmts_v1_TOPON1K_X05</t>
  </si>
  <si>
    <t>澎湖縣林投風景特定區計畫(112年)</t>
  </si>
  <si>
    <t>WMTS_1/1000地形圖_澎湖縣林投風景特定區計畫(112年)</t>
  </si>
  <si>
    <t>https://wmts.nlsc.gov.tw/wmts/TOPON1K_X04/{Style}/{TileMatrixSet}/{TileMatrix}/{TileRow}/{TileCol}</t>
  </si>
  <si>
    <t>2dms_wmts_v1_TOPON1K_X04</t>
  </si>
  <si>
    <t>澎湖縣西嶼西台古蹟特定區計畫(112年)</t>
  </si>
  <si>
    <t>WMTS_1/1000地形圖_澎湖縣西嶼西台古蹟特定區計畫(112年)</t>
  </si>
  <si>
    <t>https://wmts.nlsc.gov.tw/wmts/TOPON1K_X03/{Style}/{TileMatrixSet}/{TileMatrix}/{TileRow}/{TileCol}</t>
  </si>
  <si>
    <t>2dms_wmts_v1_TOPON1K_X03</t>
  </si>
  <si>
    <t>澎湖縣鎖港地區都市計畫(112年)</t>
  </si>
  <si>
    <t>WMTS_1/1000地形圖_澎湖縣鎖港地區都市計畫(112年)</t>
  </si>
  <si>
    <t>https://wmts.nlsc.gov.tw/wmts/TOPON1K_X02/{Style}/{TileMatrixSet}/{TileMatrix}/{TileRow}/{TileCol}</t>
  </si>
  <si>
    <t>2dms_wmts_v1_TOPON1K_X02</t>
  </si>
  <si>
    <t>澎湖縣白沙通梁地區都市計畫(112年)</t>
  </si>
  <si>
    <t>WMTS_1/1000地形圖_澎湖縣白沙通梁地區都市計畫(112年)</t>
  </si>
  <si>
    <t>https://wmts.nlsc.gov.tw/wmts/TOPON1K_X01/{Style}/{TileMatrixSet}/{TileMatrix}/{TileRow}/{TileCol}</t>
  </si>
  <si>
    <t>2dms_wmts_v1_TOPON1K_X01</t>
  </si>
  <si>
    <t>澎湖縣馬公都市計畫(112年)</t>
  </si>
  <si>
    <t>WMTS_1/1000地形圖_澎湖縣馬公都市計畫(112年)</t>
  </si>
  <si>
    <t>https://wmts.nlsc.gov.tw/wmts/TOPON1K_V02/{Style}/{TileMatrixSet}/{TileMatrix}/{TileRow}/{TileCol}</t>
  </si>
  <si>
    <t>2dms_wmts_v1_TOPON1K_V02</t>
  </si>
  <si>
    <t>臺東縣臺東鐵路新站附近地區都市計畫(113年)</t>
  </si>
  <si>
    <t>WMTS_1/1000地形圖_臺東縣臺東鐵路新站附近地區都市計畫(113年)</t>
  </si>
  <si>
    <t>https://wmts.nlsc.gov.tw/wmts/TOPON1K_V01/{Style}/{TileMatrixSet}/{TileMatrix}/{TileRow}/{TileCol}</t>
  </si>
  <si>
    <t>2dms_wmts_v1_TOPON1K_V01</t>
  </si>
  <si>
    <t>臺東縣臺東市都市計畫(112年)</t>
  </si>
  <si>
    <t>WMTS_1/1000地形圖_臺東縣臺東市都市計畫(112年)</t>
  </si>
  <si>
    <t>https://wmts.nlsc.gov.tw/wmts/TOPON1K_U20/{Style}/{TileMatrixSet}/{TileMatrix}/{TileRow}/{TileCol}</t>
  </si>
  <si>
    <t>2dms_wmts_v1_TOPON1K_U20</t>
  </si>
  <si>
    <t>花蓮縣光復鄉(113年)</t>
  </si>
  <si>
    <t>WMTS_1/1000地形圖_花蓮縣光復鄉都市計畫(113年)</t>
  </si>
  <si>
    <t>https://wmts.nlsc.gov.tw/wmts/TOPON1K_T30/{Style}/{TileMatrixSet}/{TileMatrix}/{TileRow}/{TileCol}</t>
  </si>
  <si>
    <t>2dms_wmts_v1_TOPON1K_T30</t>
  </si>
  <si>
    <t>屏東縣鹽埔漁港特定區計畫(113年)</t>
  </si>
  <si>
    <t>WMTS_1/1000地形圖_屏東縣鹽埔漁港特定區計畫(113年)</t>
  </si>
  <si>
    <t>https://wmts.nlsc.gov.tw/wmts/TOPON1K_T20/{Style}/{TileMatrixSet}/{TileMatrix}/{TileRow}/{TileCol}</t>
  </si>
  <si>
    <t>2dms_wmts_v1_TOPON1K_T20</t>
  </si>
  <si>
    <t>屏東縣新園(烏龍地區)都市計畫(113年)</t>
  </si>
  <si>
    <t>WMTS_1/1000地形圖_屏東縣新園(烏龍地區)都市計畫(113年)</t>
  </si>
  <si>
    <t>https://wmts.nlsc.gov.tw/wmts/TOPON1K_T08/{Style}/{TileMatrixSet}/{TileMatrix}/{TileRow}/{TileCol}</t>
  </si>
  <si>
    <t>2dms_wmts_v1_TOPON1K_T08</t>
  </si>
  <si>
    <t>屏東縣里港都市計畫(113年)</t>
  </si>
  <si>
    <t>WMTS_1/1000地形圖_屏東縣里港都市計畫(113年)</t>
  </si>
  <si>
    <t>https://wmts.nlsc.gov.tw/wmts/TOPON1K_T03/{Style}/{TileMatrixSet}/{TileMatrix}/{TileRow}/{TileCol}</t>
  </si>
  <si>
    <t>2dms_wmts_v1_TOPON1K_T03</t>
  </si>
  <si>
    <t>屏東縣東港都市計畫(113年)</t>
  </si>
  <si>
    <t>WMTS_1/1000地形圖_屏東縣東港都市計畫(113年)</t>
  </si>
  <si>
    <t>https://wmts.nlsc.gov.tw/wmts/TOPON1K_T01/{Style}/{TileMatrixSet}/{TileMatrix}/{TileRow}/{TileCol}</t>
  </si>
  <si>
    <t>2dms_wmts_v1_TOPON1K_T01</t>
  </si>
  <si>
    <t>屏東縣屏東都市計畫(112年)</t>
  </si>
  <si>
    <t>WMTS_1/1000地形圖_屏東縣屏東都市計畫(112年)</t>
  </si>
  <si>
    <t>https://wmts.nlsc.gov.tw/wmts/TOPON1K_Q31/{Style}/{TileMatrixSet}/{TileMatrix}/{TileRow}/{TileCol}</t>
  </si>
  <si>
    <t>2dms_wmts_v1_TOPON1K_Q31</t>
  </si>
  <si>
    <t>嘉義縣阿里山鄉(113年)</t>
  </si>
  <si>
    <t>WMTS_1/1000地形圖_嘉義縣阿里山鄉都市計畫(113年)</t>
  </si>
  <si>
    <t>https://wmts.nlsc.gov.tw/wmts/TOPON1K_Q30/{Style}/{TileMatrixSet}/{TileMatrix}/{TileRow}/{TileCol}</t>
  </si>
  <si>
    <t>2dms_wmts_v1_TOPON1K_Q30</t>
  </si>
  <si>
    <t>嘉義縣番路鄉(113年)</t>
  </si>
  <si>
    <t>WMTS_1/1000地形圖_嘉義縣番路鄉都市計畫(113年)</t>
  </si>
  <si>
    <t>https://wmts.nlsc.gov.tw/wmts/TOPON1K_Q29/{Style}/{TileMatrixSet}/{TileMatrix}/{TileRow}/{TileCol}</t>
  </si>
  <si>
    <t>2dms_wmts_v1_TOPON1K_Q29</t>
  </si>
  <si>
    <t>嘉義縣竹崎鄉(113年)</t>
  </si>
  <si>
    <t>WMTS_1/1000地形圖_嘉義縣竹崎鄉都市計畫(113年)</t>
  </si>
  <si>
    <t>https://wmts.nlsc.gov.tw/wmts/TOPON1K_Q28/{Style}/{TileMatrixSet}/{TileMatrix}/{TileRow}/{TileCol}</t>
  </si>
  <si>
    <t>2dms_wmts_v1_TOPON1K_Q28</t>
  </si>
  <si>
    <t>嘉義縣大林都市計畫(112年)</t>
  </si>
  <si>
    <t>WMTS_1/1000地形圖_嘉義縣大林都市計畫(112年)</t>
  </si>
  <si>
    <t>https://wmts.nlsc.gov.tw/wmts/TOPON1K_Q27/{Style}/{TileMatrixSet}/{TileMatrix}/{TileRow}/{TileCol}</t>
  </si>
  <si>
    <t>2dms_wmts_v1_TOPON1K_Q27</t>
  </si>
  <si>
    <t>嘉義縣高速鐵路嘉義車站特定區計畫(112年)</t>
  </si>
  <si>
    <t>WMTS_1/1000地形圖_嘉義縣高速鐵路嘉義車站特定區計畫(112年)</t>
  </si>
  <si>
    <t>https://wmts.nlsc.gov.tw/wmts/TOPON1K_Q26/{Style}/{TileMatrixSet}/{TileMatrix}/{TileRow}/{TileCol}</t>
  </si>
  <si>
    <t>2dms_wmts_v1_TOPON1K_Q26</t>
  </si>
  <si>
    <t>嘉義縣國立中正大學特定區主要計畫(112年)</t>
  </si>
  <si>
    <t>WMTS_1/1000地形圖_嘉義縣國立中正大學特定區計畫(112年)</t>
  </si>
  <si>
    <t>https://wmts.nlsc.gov.tw/wmts/TOPON1K_Q22/{Style}/{TileMatrixSet}/{TileMatrix}/{TileRow}/{TileCol}</t>
  </si>
  <si>
    <t>2dms_wmts_v1_TOPON1K_Q22</t>
  </si>
  <si>
    <t>嘉義縣太保都市計畫(112年)</t>
  </si>
  <si>
    <t>WMTS_1/1000地形圖_嘉義縣太保都市計畫(112年)</t>
  </si>
  <si>
    <t>https://wmts.nlsc.gov.tw/wmts/TOPON1K_Q21/{Style}/{TileMatrixSet}/{TileMatrix}/{TileRow}/{TileCol}</t>
  </si>
  <si>
    <t>2dms_wmts_v1_TOPON1K_Q21</t>
  </si>
  <si>
    <t>嘉義縣仁義潭風景特定區計畫(嘉義縣部分)(112年)</t>
  </si>
  <si>
    <t>WMTS_1/1000地形圖_嘉義縣仁義潭風景特定區計畫(嘉義縣部分)(112年)</t>
  </si>
  <si>
    <t>https://wmts.nlsc.gov.tw/wmts/TOPON1K_Q19/{Style}/{TileMatrixSet}/{TileMatrix}/{TileRow}/{TileCol}</t>
  </si>
  <si>
    <t>2dms_wmts_v1_TOPON1K_Q19</t>
  </si>
  <si>
    <t>嘉義縣吳鳳廟特定區計畫(112年)</t>
  </si>
  <si>
    <t>WMTS_1/1000地形圖_嘉義縣吳鳳廟特定區計畫(112年)</t>
  </si>
  <si>
    <t>https://wmts.nlsc.gov.tw/wmts/TOPON1K_Q07/{Style}/{TileMatrixSet}/{TileMatrix}/{TileRow}/{TileCol}</t>
  </si>
  <si>
    <t>2dms_wmts_v1_TOPON1K_Q07</t>
  </si>
  <si>
    <t>嘉義縣民雄(頭橋地區)都市計畫(113年)</t>
  </si>
  <si>
    <t>WMTS_1/1000地形圖_嘉義縣民雄(頭橋地區)都市計畫(113年)</t>
  </si>
  <si>
    <t>https://wmts.nlsc.gov.tw/wmts/TOPON1K_Q06/{Style}/{TileMatrixSet}/{TileMatrix}/{TileRow}/{TileCol}</t>
  </si>
  <si>
    <t>2dms_wmts_v1_TOPON1K_Q06</t>
  </si>
  <si>
    <t>嘉義縣民雄都市計畫(113年)</t>
  </si>
  <si>
    <t>WMTS_1/1000地形圖_嘉義縣民雄都市計畫(113年)</t>
  </si>
  <si>
    <t>https://wmts.nlsc.gov.tw/wmts/TOPON1K_Q02/{Style}/{TileMatrixSet}/{TileMatrix}/{TileRow}/{TileCol}</t>
  </si>
  <si>
    <t>2dms_wmts_v1_TOPON1K_Q02</t>
  </si>
  <si>
    <t>嘉義縣治都市計畫(112年)</t>
  </si>
  <si>
    <t>WMTS_1/1000地形圖_嘉義縣治都市計畫(112年)</t>
  </si>
  <si>
    <t>https://wmts.nlsc.gov.tw/wmts/TOPON1K_P25/{Style}/{TileMatrixSet}/{TileMatrix}/{TileRow}/{TileCol}</t>
  </si>
  <si>
    <t>2dms_wmts_v1_TOPON1K_P25</t>
  </si>
  <si>
    <t>雲林縣高速鐵路雲林車站特定區計畫(113年)</t>
  </si>
  <si>
    <t>WMTS_1/1000地形圖_雲林縣高速鐵路雲林車站特定區計畫(113年)</t>
  </si>
  <si>
    <t>https://wmts.nlsc.gov.tw/wmts/TOPON1K_P24/{Style}/{TileMatrixSet}/{TileMatrix}/{TileRow}/{TileCol}</t>
  </si>
  <si>
    <t>2dms_wmts_v1_TOPON1K_P24</t>
  </si>
  <si>
    <t>雲林縣斗六嘉東地區特定區計畫(112年)</t>
  </si>
  <si>
    <t>WMTS_1/1000地形圖_雲林縣斗六嘉東地區特定區計畫(112年)</t>
  </si>
  <si>
    <t>https://wmts.nlsc.gov.tw/wmts/TOPON1K_P22/{Style}/{TileMatrixSet}/{TileMatrix}/{TileRow}/{TileCol}</t>
  </si>
  <si>
    <t>2dms_wmts_v1_TOPON1K_P22</t>
  </si>
  <si>
    <t>雲林縣箔子寮漁港特定區計畫(112年)</t>
  </si>
  <si>
    <t>WMTS_1/1000地形圖_雲林縣箔子寮漁港特定區計畫(112年)</t>
  </si>
  <si>
    <t>https://wmts.nlsc.gov.tw/wmts/TOPON1K_P13/{Style}/{TileMatrixSet}/{TileMatrix}/{TileRow}/{TileCol}</t>
  </si>
  <si>
    <t>2dms_wmts_v1_TOPON1K_P13</t>
  </si>
  <si>
    <t>雲林縣崙背都市計畫(112年)</t>
  </si>
  <si>
    <t>WMTS_1/1000地形圖_雲林縣崙背都市計畫(112年)</t>
  </si>
  <si>
    <t>https://wmts.nlsc.gov.tw/wmts/TOPON1K_P12/{Style}/{TileMatrixSet}/{TileMatrix}/{TileRow}/{TileCol}</t>
  </si>
  <si>
    <t>2dms_wmts_v1_TOPON1K_P12</t>
  </si>
  <si>
    <t>雲林縣二崙都市計畫(112年)</t>
  </si>
  <si>
    <t>WMTS_1/1000地形圖_雲林縣二崙都市計畫(112年)</t>
  </si>
  <si>
    <t>https://wmts.nlsc.gov.tw/wmts/TOPON1K_P10/{Style}/{TileMatrixSet}/{TileMatrix}/{TileRow}/{TileCol}</t>
  </si>
  <si>
    <t>2dms_wmts_v1_TOPON1K_P10</t>
  </si>
  <si>
    <t>雲林縣莿桐都市計畫(113年)</t>
  </si>
  <si>
    <t>WMTS_1/1000地形圖_雲林縣莿桐都市計畫(113年)</t>
  </si>
  <si>
    <t>https://wmts.nlsc.gov.tw/wmts/TOPON1K_P01/{Style}/{TileMatrixSet}/{TileMatrix}/{TileRow}/{TileCol}</t>
  </si>
  <si>
    <t>2dms_wmts_v1_TOPON1K_P01</t>
  </si>
  <si>
    <t>雲林縣斗六(含大潭地區)都市計畫(113年)</t>
  </si>
  <si>
    <t>WMTS_1/1000地形圖_雲林縣斗六(含大潭地區)都市計畫(113年)</t>
  </si>
  <si>
    <t>https://wmts.nlsc.gov.tw/wmts/TOPON1K_N02/{Style}/{TileMatrixSet}/{TileMatrix}/{TileRow}/{TileCol}</t>
  </si>
  <si>
    <t>2dms_wmts_v1_TOPON1K_N02</t>
  </si>
  <si>
    <t>彰化縣高速公路彰化交流道附近特定區計畫(112年)</t>
  </si>
  <si>
    <t>WMTS_1/1000地形圖_彰化縣高速公路彰化交流道附近特定區計畫(112年)</t>
  </si>
  <si>
    <t>https://wmts.nlsc.gov.tw/wmts/TOPON1K_N01/{Style}/{TileMatrixSet}/{TileMatrix}/{TileRow}/{TileCol}</t>
  </si>
  <si>
    <t>2dms_wmts_v1_TOPON1K_N01</t>
  </si>
  <si>
    <t>彰化縣彰化都市計畫(112年)</t>
  </si>
  <si>
    <t>WMTS_1/1000地形圖_彰化縣彰化都市計畫(112年)</t>
  </si>
  <si>
    <t>https://wmts.nlsc.gov.tw/wmts/TOPON1K_M04/{Style}/{TileMatrixSet}/{TileMatrix}/{TileRow}/{TileCol}</t>
  </si>
  <si>
    <t>2dms_wmts_v1_TOPON1K_M04</t>
  </si>
  <si>
    <t>南投縣草屯都市計畫(112年)</t>
  </si>
  <si>
    <t>WMTS_1/1000地形圖_南投縣草屯都市計畫(112年)</t>
  </si>
  <si>
    <t>https://wmts.nlsc.gov.tw/wmts/TOPON1K_M02/{Style}/{TileMatrixSet}/{TileMatrix}/{TileRow}/{TileCol}</t>
  </si>
  <si>
    <t>2dms_wmts_v1_TOPON1K_M02</t>
  </si>
  <si>
    <t>南投縣中興新村(含南內轆地區)都市計畫(112年)</t>
  </si>
  <si>
    <t>WMTS_1/1000地形圖_南投縣中興新村(含南內轆地區)都市計畫(112年)</t>
  </si>
  <si>
    <t>https://wmts.nlsc.gov.tw/wmts/TOPON1K_M01/{Style}/{TileMatrixSet}/{TileMatrix}/{TileRow}/{TileCol}</t>
  </si>
  <si>
    <t>2dms_wmts_v1_TOPON1K_M01</t>
  </si>
  <si>
    <t>南投縣南投(含南崗地區)都市計畫(112年)</t>
  </si>
  <si>
    <t>WMTS_1/1000地形圖_南投縣南投(含南崗地區)都市計畫(112年)</t>
  </si>
  <si>
    <t>https://wmts.nlsc.gov.tw/wmts/TOPON1K_K14/{Style}/{TileMatrixSet}/{TileMatrix}/{TileRow}/{TileCol}</t>
  </si>
  <si>
    <t>2dms_wmts_v1_TOPON1K_K14</t>
  </si>
  <si>
    <t>苗栗縣頭屋都市計畫(112年)</t>
  </si>
  <si>
    <t>WMTS_1/1000地形圖_苗栗縣頭屋都市計畫(112年)</t>
  </si>
  <si>
    <t>https://wmts.nlsc.gov.tw/wmts/TOPON1K_K02/{Style}/{TileMatrixSet}/{TileMatrix}/{TileRow}/{TileCol}</t>
  </si>
  <si>
    <t>2dms_wmts_v1_TOPON1K_K02</t>
  </si>
  <si>
    <t>苗栗縣高速公路苗栗交流道附近特定區計畫(112年)</t>
  </si>
  <si>
    <t>WMTS_1/1000地形圖_苗栗縣高速公路苗栗交流道附近特定區計畫(112年)</t>
  </si>
  <si>
    <t>https://wmts.nlsc.gov.tw/wmts/TOPON1K_K01/{Style}/{TileMatrixSet}/{TileMatrix}/{TileRow}/{TileCol}</t>
  </si>
  <si>
    <t>2dms_wmts_v1_TOPON1K_K01</t>
  </si>
  <si>
    <t>苗栗縣苗栗都市計畫(112年)</t>
  </si>
  <si>
    <t>WMTS_1/1000地形圖_苗栗縣苗栗都市計畫(112年)</t>
  </si>
  <si>
    <t>https://wmts.nlsc.gov.tw/wmts/TOPON1K_J17/{Style}/{TileMatrixSet}/{TileMatrix}/{TileRow}/{TileCol}</t>
  </si>
  <si>
    <t>2dms_wmts_v1_TOPON1K_J17</t>
  </si>
  <si>
    <t>新竹科學工業園區特定區計畫(寶山部分)(112年)</t>
  </si>
  <si>
    <t>WMTS_1/1000地形圖_新竹科學工業園區特定區計畫(寶山部分)(112年)</t>
  </si>
  <si>
    <t>https://wmts.nlsc.gov.tw/wmts/TOPON1K_J16/{Style}/{TileMatrixSet}/{TileMatrix}/{TileRow}/{TileCol}</t>
  </si>
  <si>
    <t>2dms_wmts_v1_TOPON1K_J16</t>
  </si>
  <si>
    <t>新竹縣高速鐵路新竹車站特定區計畫(113年)</t>
  </si>
  <si>
    <t>WMTS_1/1000地形圖_新竹縣高速鐵路新竹車站特定區計畫(113年)</t>
  </si>
  <si>
    <t>https://wmts.nlsc.gov.tw/wmts/TOPON1K_J13/{Style}/{TileMatrixSet}/{TileMatrix}/{TileRow}/{TileCol}</t>
  </si>
  <si>
    <t>2dms_wmts_v1_TOPON1K_J13</t>
  </si>
  <si>
    <t>新竹縣寶山都市計畫(112年)</t>
  </si>
  <si>
    <t>WMTS_1/1000地形圖_新竹縣寶山都市計畫(112年)</t>
  </si>
  <si>
    <t>https://wmts.nlsc.gov.tw/wmts/TOPON1K_J06/{Style}/{TileMatrixSet}/{TileMatrix}/{TileRow}/{TileCol}</t>
  </si>
  <si>
    <t>2dms_wmts_v1_TOPON1K_J06</t>
  </si>
  <si>
    <t>新竹縣竹北(含斗崙地區)都市計畫(113年)</t>
  </si>
  <si>
    <t>WMTS_1/1000地形圖_新竹縣竹北(含斗崙地區)都市計畫(113年)</t>
  </si>
  <si>
    <t>https://wmts.nlsc.gov.tw/wmts/TOPON1K_J01/{Style}/{TileMatrixSet}/{TileMatrix}/{TileRow}/{TileCol}</t>
  </si>
  <si>
    <t>2dms_wmts_v1_TOPON1K_J01</t>
  </si>
  <si>
    <t>新竹科學工業園區特定區計畫(竹東部分)(112年)</t>
  </si>
  <si>
    <t>WMTS_1/1000地形圖_新竹科學工業園區特定區計畫(竹東部分)(112年)</t>
  </si>
  <si>
    <t>https://wmts.nlsc.gov.tw/wmts/TOPON1K_H31/{Style}/{TileMatrixSet}/{TileMatrix}/{TileRow}/{TileCol}</t>
  </si>
  <si>
    <t>2dms_wmts_v1_TOPON1K_H31</t>
  </si>
  <si>
    <t>桃園市平鎮(山子頂地區)都市計畫(112年)</t>
  </si>
  <si>
    <t>WMTS_1/1000地形圖_桃園市平鎮(山子頂地區)都市計畫(112年)</t>
  </si>
  <si>
    <t>https://wmts.nlsc.gov.tw/wmts/TOPON1K_H21/{Style}/{TileMatrixSet}/{TileMatrix}/{TileRow}/{TileCol}</t>
  </si>
  <si>
    <t>2dms_wmts_v1_TOPON1K_H21</t>
  </si>
  <si>
    <t>桃園市觀音(新坡地區)都市計畫(113年)</t>
  </si>
  <si>
    <t>WMTS_1/1000地形圖_桃園市觀音(新坡地區)都市計畫(113年)</t>
  </si>
  <si>
    <t>https://wmts.nlsc.gov.tw/wmts/TOPON1K_H20/{Style}/{TileMatrixSet}/{TileMatrix}/{TileRow}/{TileCol}</t>
  </si>
  <si>
    <t>2dms_wmts_v1_TOPON1K_H20</t>
  </si>
  <si>
    <t>桃園市觀音都市計畫(113年)</t>
  </si>
  <si>
    <t>WMTS_1/1000地形圖_桃園市觀音都市計畫(113年)</t>
  </si>
  <si>
    <t>https://wmts.nlsc.gov.tw/wmts/TOPON1K_H19/{Style}/{TileMatrixSet}/{TileMatrix}/{TileRow}/{TileCol}</t>
  </si>
  <si>
    <t>2dms_wmts_v1_TOPON1K_H19</t>
  </si>
  <si>
    <t>桃園市新屋都市計畫(113年)</t>
  </si>
  <si>
    <t>WMTS_1/1000地形圖_桃園市新屋都市計畫(113年)</t>
  </si>
  <si>
    <t>https://wmts.nlsc.gov.tw/wmts/TOPON1K_H18/{Style}/{TileMatrixSet}/{TileMatrix}/{TileRow}/{TileCol}</t>
  </si>
  <si>
    <t>2dms_wmts_v1_TOPON1K_H18</t>
  </si>
  <si>
    <t>桃園市龍潭都市計畫(113年)</t>
  </si>
  <si>
    <t>WMTS_1/1000地形圖_桃園市龍潭都市計畫(113年)</t>
  </si>
  <si>
    <t>https://wmts.nlsc.gov.tw/wmts/TOPON1K_G20/{Style}/{TileMatrixSet}/{TileMatrix}/{TileRow}/{TileCol}</t>
  </si>
  <si>
    <t>2dms_wmts_v1_TOPON1K_G20</t>
  </si>
  <si>
    <t>宜蘭縣政中心地區都市計畫(112年)</t>
  </si>
  <si>
    <t>WMTS_1/1000地形圖_宜蘭縣政中心地區都市計畫(112年)</t>
  </si>
  <si>
    <t>https://wmts.nlsc.gov.tw/wmts/TOPON1K_G19/{Style}/{TileMatrixSet}/{TileMatrix}/{TileRow}/{TileCol}</t>
  </si>
  <si>
    <t>2dms_wmts_v1_TOPON1K_G19</t>
  </si>
  <si>
    <t>宜蘭縣五峰旗風景特定區計畫(112年)</t>
  </si>
  <si>
    <t>WMTS_1/1000地形圖_宜蘭縣五峰旗風景特定區計畫(112年)</t>
  </si>
  <si>
    <t>https://wmts.nlsc.gov.tw/wmts/TOPON1K_G18/{Style}/{TileMatrixSet}/{TileMatrix}/{TileRow}/{TileCol}</t>
  </si>
  <si>
    <t>2dms_wmts_v1_TOPON1K_G18</t>
  </si>
  <si>
    <t>宜蘭縣龍潭湖風景特定區計畫(112年)</t>
  </si>
  <si>
    <t>WMTS_1/1000地形圖_宜蘭縣龍潭湖風景特定區計畫(112年)</t>
  </si>
  <si>
    <t>https://wmts.nlsc.gov.tw/wmts/TOPON1K_G17/{Style}/{TileMatrixSet}/{TileMatrix}/{TileRow}/{TileCol}</t>
  </si>
  <si>
    <t>2dms_wmts_v1_TOPON1K_G17</t>
  </si>
  <si>
    <t>宜蘭縣梅花湖風景特定區計畫(112年)</t>
  </si>
  <si>
    <t>WMTS_1/1000地形圖_宜蘭縣梅花湖風景特定區計畫(112年)</t>
  </si>
  <si>
    <t>https://wmts.nlsc.gov.tw/wmts/TOPON1K_G16/{Style}/{TileMatrixSet}/{TileMatrix}/{TileRow}/{TileCol}</t>
  </si>
  <si>
    <t>2dms_wmts_v1_TOPON1K_G16</t>
  </si>
  <si>
    <t>宜蘭縣大湖風景特定區計畫(112年)</t>
  </si>
  <si>
    <t>WMTS_1/1000地形圖_宜蘭縣大湖風景特定區計畫(112年)</t>
  </si>
  <si>
    <t>https://wmts.nlsc.gov.tw/wmts/TOPON1K_G15/{Style}/{TileMatrixSet}/{TileMatrix}/{TileRow}/{TileCol}</t>
  </si>
  <si>
    <t>2dms_wmts_v1_TOPON1K_G15</t>
  </si>
  <si>
    <t>宜蘭縣南澳南強都市計畫(112年)</t>
  </si>
  <si>
    <t>WMTS_1/1000地形圖_宜蘭縣南澳南強都市計畫(112年)</t>
  </si>
  <si>
    <t>https://wmts.nlsc.gov.tw/wmts/TOPON1K_G11/{Style}/{TileMatrixSet}/{TileMatrix}/{TileRow}/{TileCol}</t>
  </si>
  <si>
    <t>2dms_wmts_v1_TOPON1K_G11</t>
  </si>
  <si>
    <t>宜蘭縣冬山(順安地區)都市計畫(112年)</t>
  </si>
  <si>
    <t>WMTS_1/1000地形圖_宜蘭縣冬山(順安地區)都市計畫(112年)</t>
  </si>
  <si>
    <t>https://wmts.nlsc.gov.tw/wmts/TOPON1K_G09/{Style}/{TileMatrixSet}/{TileMatrix}/{TileRow}/{TileCol}</t>
  </si>
  <si>
    <t>2dms_wmts_v1_TOPON1K_G09</t>
  </si>
  <si>
    <t>宜蘭縣員山都市計畫(112年)</t>
  </si>
  <si>
    <t>WMTS_1/1000地形圖_宜蘭縣員山都市計畫(112年)</t>
  </si>
  <si>
    <t>https://wmts.nlsc.gov.tw/wmts/TOPON1K_G06/{Style}/{TileMatrixSet}/{TileMatrix}/{TileRow}/{TileCol}</t>
  </si>
  <si>
    <t>2dms_wmts_v1_TOPON1K_G06</t>
  </si>
  <si>
    <t>宜蘭縣礁溪都市計畫(112年)</t>
  </si>
  <si>
    <t>WMTS_1/1000地形圖_宜蘭縣礁溪都市計畫(112年)</t>
  </si>
  <si>
    <t>https://wmts.nlsc.gov.tw/wmts/TOPON1K_G04/{Style}/{TileMatrixSet}/{TileMatrix}/{TileRow}/{TileCol}</t>
  </si>
  <si>
    <t>2dms_wmts_v1_TOPON1K_G04</t>
  </si>
  <si>
    <t>宜蘭縣蘇澳(新馬地區)都市計畫(112年)</t>
  </si>
  <si>
    <t>WMTS_1/1000地形圖_宜蘭縣蘇澳(新馬地區)都市計畫(112年)</t>
  </si>
  <si>
    <t>https://wmts.nlsc.gov.tw/wmts/TOPON1K_G01/{Style}/{TileMatrixSet}/{TileMatrix}/{TileRow}/{TileCol}</t>
  </si>
  <si>
    <t>2dms_wmts_v1_TOPON1K_G01</t>
  </si>
  <si>
    <t>宜蘭縣宜蘭市都市計畫(113年)</t>
  </si>
  <si>
    <t>WMTS_1/1000地形圖_宜蘭縣宜蘭市都市計畫(113年)</t>
  </si>
  <si>
    <t>https://wmts.nlsc.gov.tw/wmts/TOPON1K_E32/{Style}/{TileMatrixSet}/{TileMatrix}/{TileRow}/{TileCol}</t>
  </si>
  <si>
    <t>2dms_wmts_v1_TOPON1K_E32</t>
  </si>
  <si>
    <t>高雄市(三民.苓雅.前金.新興.前鎮.鹽埕)都市計畫(113年)</t>
  </si>
  <si>
    <t>WMTS_1/1000地形圖_高雄市(三民.苓雅.前金.新興.前鎮.鹽埕)都市計畫(113年)</t>
  </si>
  <si>
    <t>https://wmts.nlsc.gov.tw/wmts/TOPON1K_E03/{Style}/{TileMatrixSet}/{TileMatrix}/{TileRow}/{TileCol}</t>
  </si>
  <si>
    <t>2dms_wmts_v1_TOPON1K_E03</t>
  </si>
  <si>
    <t>高雄市岡山都市計畫(112年)</t>
  </si>
  <si>
    <t>WMTS_1/1000地形圖_高雄市岡山都市計畫(112年)</t>
  </si>
  <si>
    <t>https://wmts.nlsc.gov.tw/wmts/TOPON1K_E02/{Style}/{TileMatrixSet}/{TileMatrix}/{TileRow}/{TileCol}</t>
  </si>
  <si>
    <t>2dms_wmts_v1_TOPON1K_E02</t>
  </si>
  <si>
    <t>高雄市鳳山主要計畫(113年)</t>
  </si>
  <si>
    <t>WMTS_1/1000地形圖_高雄市鳳山都市計畫(113年)</t>
  </si>
  <si>
    <t>https://wmts.nlsc.gov.tw/wmts/TOPON1K_D12/{Style}/{TileMatrixSet}/{TileMatrix}/{TileRow}/{TileCol}</t>
  </si>
  <si>
    <t>2dms_wmts_v1_TOPON1K_D12</t>
  </si>
  <si>
    <t>臺南市柳營都市計畫(112年)</t>
  </si>
  <si>
    <t>WMTS_1/1000地形圖_臺南市柳營都市計畫(112年)</t>
  </si>
  <si>
    <t>https://wmts.nlsc.gov.tw/wmts/TOPON1K_D08/{Style}/{TileMatrixSet}/{TileMatrix}/{TileRow}/{TileCol}</t>
  </si>
  <si>
    <t>2dms_wmts_v1_TOPON1K_D08</t>
  </si>
  <si>
    <t>臺南市佳里都市計畫(113年)</t>
  </si>
  <si>
    <t>WMTS_1/1000地形圖_臺南市佳里都市計畫(113年)</t>
  </si>
  <si>
    <t>https://wmts.nlsc.gov.tw/wmts/TOPON1K_D05/{Style}/{TileMatrixSet}/{TileMatrix}/{TileRow}/{TileCol}</t>
  </si>
  <si>
    <t>2dms_wmts_v1_TOPON1K_D05</t>
  </si>
  <si>
    <t>臺南市鹽水都市計畫(112年)</t>
  </si>
  <si>
    <t>WMTS_1/1000地形圖_臺南市鹽水都市計畫(112年)</t>
  </si>
  <si>
    <t>https://wmts.nlsc.gov.tw/wmts/TOPON1K_D04/{Style}/{TileMatrixSet}/{TileMatrix}/{TileRow}/{TileCol}</t>
  </si>
  <si>
    <t>2dms_wmts_v1_TOPON1K_D04</t>
  </si>
  <si>
    <t>臺南市高速公路新營交流道附近特定區計畫(112年)</t>
  </si>
  <si>
    <t>WMTS_1/1000地形圖_臺南市高速公路新營交流道附近特定區計畫(112年)</t>
  </si>
  <si>
    <t>https://wmts.nlsc.gov.tw/wmts/TOPON1K_D03/{Style}/{TileMatrixSet}/{TileMatrix}/{TileRow}/{TileCol}</t>
  </si>
  <si>
    <t>2dms_wmts_v1_TOPON1K_D03</t>
  </si>
  <si>
    <t>臺南市新營都市計畫(112年)</t>
  </si>
  <si>
    <t>WMTS_1/1000地形圖_臺南市新營都市計畫(112年)</t>
  </si>
  <si>
    <t>https://wmts.nlsc.gov.tw/wmts/TOPON1K_B25/{Style}/{TileMatrixSet}/{TileMatrix}/{TileRow}/{TileCol}</t>
  </si>
  <si>
    <t>2dms_wmts_v1_TOPON1K_B25</t>
  </si>
  <si>
    <t>臺中市豐潭雅神都市計畫(113年)</t>
  </si>
  <si>
    <t>WMTS_1/1000地形圖_臺中市豐潭雅神都市計畫(113年)</t>
  </si>
  <si>
    <t>https://wmts.nlsc.gov.tw/wmts/TOPON1K_B22/{Style}/{TileMatrixSet}/{TileMatrix}/{TileRow}/{TileCol}</t>
  </si>
  <si>
    <t>2dms_wmts_v1_TOPON1K_B22</t>
  </si>
  <si>
    <t>臺中市高速公路王田交流道附近特定區計畫(112年)</t>
  </si>
  <si>
    <t>WMTS_1/1000地形圖_臺中市高速公路王田交流道附近特定區計畫(112年)</t>
  </si>
  <si>
    <t>https://wmts.nlsc.gov.tw/wmts/TOPON1K_B20/{Style}/{TileMatrixSet}/{TileMatrix}/{TileRow}/{TileCol}</t>
  </si>
  <si>
    <t>2dms_wmts_v1_TOPON1K_B20</t>
  </si>
  <si>
    <t>臺中市中部科學工業園區台中基地附近特定區計畫(113年)</t>
  </si>
  <si>
    <t>WMTS_1/1000地形圖_臺中市中部科學工業園區台中基地附近特定區計畫(113年)</t>
  </si>
  <si>
    <t>https://wmts.nlsc.gov.tw/wmts/TOPON1K_B15/{Style}/{TileMatrixSet}/{TileMatrix}/{TileRow}/{TileCol}</t>
  </si>
  <si>
    <t>2dms_wmts_v1_TOPON1K_B15</t>
  </si>
  <si>
    <t>臺中市大肚都市計畫(112年)</t>
  </si>
  <si>
    <t>WMTS_1/1000地形圖_臺中市大肚都市計畫(112年)</t>
  </si>
  <si>
    <t>https://wmts.nlsc.gov.tw/wmts/TOPON1K_B14/{Style}/{TileMatrixSet}/{TileMatrix}/{TileRow}/{TileCol}</t>
  </si>
  <si>
    <t>2dms_wmts_v1_TOPON1K_B14</t>
  </si>
  <si>
    <t>臺中市烏日都市計畫(112年)</t>
  </si>
  <si>
    <t>WMTS_1/1000地形圖_臺中市烏日都市計畫(112年)</t>
  </si>
  <si>
    <t>https://wmts.nlsc.gov.tw/wmts/TOPON1K_B11/{Style}/{TileMatrixSet}/{TileMatrix}/{TileRow}/{TileCol}</t>
  </si>
  <si>
    <t>2dms_wmts_v1_TOPON1K_B11</t>
  </si>
  <si>
    <t>臺中市新社都市計畫(112年)</t>
  </si>
  <si>
    <t>WMTS_1/1000地形圖_臺中市新社都市計畫(112年)</t>
  </si>
  <si>
    <t>https://wmts.nlsc.gov.tw/wmts/TOPON1K_B04/{Style}/{TileMatrixSet}/{TileMatrix}/{TileRow}/{TileCol}</t>
  </si>
  <si>
    <t>2dms_wmts_v1_TOPON1K_B04</t>
  </si>
  <si>
    <t>臺中市東勢都市計畫(112年)</t>
  </si>
  <si>
    <t>WMTS_1/1000地形圖_臺中市東勢都市計畫(112年)</t>
  </si>
  <si>
    <t>https://wmts.nlsc.gov.tw/wmts/TOPO50K_113/{Style}/{TileMatrixSet}/{TileMatrix}/{TileRow}/{TileCol}</t>
  </si>
  <si>
    <t>2dms_wmts_v1_TOPO50K113</t>
  </si>
  <si>
    <t>1/50000地形圖113</t>
  </si>
  <si>
    <t>WMTS_1/50000地形圖(113年)</t>
  </si>
  <si>
    <t>https://wmts.nlsc.gov.tw/wmts/TOPO50K_112/{Style}/{TileMatrixSet}/{TileMatrix}/{TileRow}/{TileCol}</t>
  </si>
  <si>
    <t>2dms_wmts_v1_TOPO50K112</t>
  </si>
  <si>
    <t>1/50000地形圖112</t>
  </si>
  <si>
    <t>WMTS_1/50000地形圖(112年)</t>
  </si>
  <si>
    <t>https://wmts.nlsc.gov.tw/wmts/TOPO50K_111/{Style}/{TileMatrixSet}/{TileMatrix}/{TileRow}/{TileCol}</t>
  </si>
  <si>
    <t>2dms_wmts_v1_TOPO50K111</t>
  </si>
  <si>
    <t>1/50000地形圖111</t>
  </si>
  <si>
    <t>WMTS_1/50000地形圖(111年)</t>
  </si>
  <si>
    <t>https://wmts.nlsc.gov.tw/wmts/TOPO50K_110/{Style}/{TileMatrixSet}/{TileMatrix}/{TileRow}/{TileCol}</t>
  </si>
  <si>
    <t>2dms_wmts_v1_TOPO50K110</t>
  </si>
  <si>
    <t>1/50000地形圖110</t>
  </si>
  <si>
    <t>WMTS_1/50000地形圖(110年)</t>
  </si>
  <si>
    <t>https://wmts.nlsc.gov.tw/wmts/TOPO50K_109/{Style}/{TileMatrixSet}/{TileMatrix}/{TileRow}/{TileCol}</t>
  </si>
  <si>
    <t>2dms_wmts_v1_TOPO50K109</t>
  </si>
  <si>
    <t>1/50000地形圖109</t>
  </si>
  <si>
    <t>WMTS_1/50000地形圖(109年)</t>
  </si>
  <si>
    <t>https://wmts.nlsc.gov.tw/wmts/TOPO50K_107/{Style}/{TileMatrixSet}/{TileMatrix}/{TileRow}/{TileCol}</t>
  </si>
  <si>
    <t>2dms_wmts_v1_TOPO50K107</t>
  </si>
  <si>
    <t>1/50000地形圖107</t>
  </si>
  <si>
    <t>WMTS_1/50000地形圖(107年)</t>
  </si>
  <si>
    <t>https://wmts.nlsc.gov.tw/wmts/TOPO25K_114/{Style}/{TileMatrixSet}/{TileMatrix}/{TileRow}/{TileCol}</t>
  </si>
  <si>
    <t>2dms_wmts_v1_TOPO25K114</t>
  </si>
  <si>
    <t>1/25000地形圖114</t>
  </si>
  <si>
    <t>WMTS_1/25000地形圖(114年)</t>
  </si>
  <si>
    <t>https://wmts.nlsc.gov.tw/wmts/TOPO25K_113/{Style}/{TileMatrixSet}/{TileMatrix}/{TileRow}/{TileCol}</t>
  </si>
  <si>
    <t>2dms_wmts_v1_TOPO25K113</t>
  </si>
  <si>
    <t>1/25000地形圖113</t>
  </si>
  <si>
    <t>WMTS_1/25000地形圖(113年)</t>
  </si>
  <si>
    <t>https://wmts.nlsc.gov.tw/wmts/TOPO25K_112/{Style}/{TileMatrixSet}/{TileMatrix}/{TileRow}/{TileCol}</t>
  </si>
  <si>
    <t>2dms_wmts_v1_TOPO25K112</t>
  </si>
  <si>
    <t>1/25000地形圖112</t>
  </si>
  <si>
    <t>WMTS_1/25000地形圖(112年)</t>
  </si>
  <si>
    <t>https://wmts.nlsc.gov.tw/wmts/TOPO25K_111/{Style}/{TileMatrixSet}/{TileMatrix}/{TileRow}/{TileCol}</t>
  </si>
  <si>
    <t>2dms_wmts_v1_TOPO25K111</t>
  </si>
  <si>
    <t>1/25000地形圖111</t>
  </si>
  <si>
    <t>WMTS_1/25000地形圖(111年)</t>
  </si>
  <si>
    <t>https://wmts.nlsc.gov.tw/wmts/TOPO25K_110/{Style}/{TileMatrixSet}/{TileMatrix}/{TileRow}/{TileCol}</t>
  </si>
  <si>
    <t>2dms_wmts_v1_TOPO25K110</t>
  </si>
  <si>
    <t>1/25000地形圖110</t>
  </si>
  <si>
    <t>WMTS_1/25000地形圖(110年)</t>
  </si>
  <si>
    <t>https://wmts.nlsc.gov.tw/wmts/TOPO25K_109/{Style}/{TileMatrixSet}/{TileMatrix}/{TileRow}/{TileCol}</t>
  </si>
  <si>
    <t>2dms_wmts_v1_TOPO25K109</t>
  </si>
  <si>
    <t>1/25000地形圖109</t>
  </si>
  <si>
    <t>WMTS_1/25000地形圖(109年)</t>
  </si>
  <si>
    <t>https://wmts.nlsc.gov.tw/wmts/TOPO25K_108/{Style}/{TileMatrixSet}/{TileMatrix}/{TileRow}/{TileCol}</t>
  </si>
  <si>
    <t>2dms_wmts_v1_TOPO25K108</t>
  </si>
  <si>
    <t>1/25000地形圖108</t>
  </si>
  <si>
    <t>WMTS_1/25000地形圖(108年)</t>
  </si>
  <si>
    <t>https://wmts.nlsc.gov.tw/wmts/TOPO25K_107/{Style}/{TileMatrixSet}/{TileMatrix}/{TileRow}/{TileCol}</t>
  </si>
  <si>
    <t>2dms_wmts_v1_TOPO25K107</t>
  </si>
  <si>
    <t>1/25000地形圖107</t>
  </si>
  <si>
    <t>WMTS_1/25000地形圖(107年)</t>
  </si>
  <si>
    <t>https://wmts.nlsc.gov.tw/wmts/TOPO10M_114/{Style}/{TileMatrixSet}/{TileMatrix}/{TileRow}/{TileCol}</t>
  </si>
  <si>
    <t>2dms_wmts_v1_TOPO10M114</t>
  </si>
  <si>
    <t>1/100000地形圖114</t>
  </si>
  <si>
    <t>WMTS_1/100000地形圖(114年)</t>
  </si>
  <si>
    <t>https://wmts.nlsc.gov.tw/wmts/TOPO10M_113/{Style}/{TileMatrixSet}/{TileMatrix}/{TileRow}/{TileCol}</t>
  </si>
  <si>
    <t>2dms_wmts_v1_TOPO10M113</t>
  </si>
  <si>
    <t>1/100000地形圖113</t>
  </si>
  <si>
    <t>WMTS_1/100000地形圖(113年)</t>
  </si>
  <si>
    <t>https://wmts.nlsc.gov.tw/wmts/TOPO10M_112/{Style}/{TileMatrixSet}/{TileMatrix}/{TileRow}/{TileCol}</t>
  </si>
  <si>
    <t>2dms_wmts_v1_TOPO10M112</t>
  </si>
  <si>
    <t>1/100000地形圖112</t>
  </si>
  <si>
    <t>WMTS_1/100000地形圖(112年)</t>
  </si>
  <si>
    <t>https://wmts.nlsc.gov.tw/wmts/TOPO10M_111/{Style}/{TileMatrixSet}/{TileMatrix}/{TileRow}/{TileCol}</t>
  </si>
  <si>
    <t>2dms_wmts_v1_TOPO10M111</t>
  </si>
  <si>
    <t>1/100000地形圖111</t>
  </si>
  <si>
    <t>WMTS_1/100000地形圖(111年)</t>
  </si>
  <si>
    <t>https://wmts.nlsc.gov.tw/wmts/TOPO10M_110/{Style}/{TileMatrixSet}/{TileMatrix}/{TileRow}/{TileCol}</t>
  </si>
  <si>
    <t>2dms_wmts_v1_TOPO10M110</t>
  </si>
  <si>
    <t>1/100000地形圖110</t>
  </si>
  <si>
    <t>WMTS_1/100000地形圖(110年)</t>
  </si>
  <si>
    <t>https://wmts.nlsc.gov.tw/wmts/TOPO10M_109/{Style}/{TileMatrixSet}/{TileMatrix}/{TileRow}/{TileCol}</t>
  </si>
  <si>
    <t>2dms_wmts_v1_TOPO10M109</t>
  </si>
  <si>
    <t>1/100000地形圖109</t>
  </si>
  <si>
    <t>WMTS_1/100000地形圖(109年)</t>
  </si>
  <si>
    <t>https://wmts.nlsc.gov.tw/wmts/TOPO10M_107/{Style}/{TileMatrixSet}/{TileMatrix}/{TileRow}/{TileCol}</t>
  </si>
  <si>
    <t>2dms_wmts_v1_TOPO10M107</t>
  </si>
  <si>
    <t>1/100000地形圖107</t>
  </si>
  <si>
    <t>WMTS_1/100000地形圖(107年)</t>
  </si>
  <si>
    <t>https://wmts.nlsc.gov.tw/wmts/TOPO10KPHOTO/{Style}/{TileMatrixSet}/{TileMatrix}/{TileRow}/{TileCol}</t>
  </si>
  <si>
    <t>2dms_wmts_v1_TOPO10KPHOTO</t>
  </si>
  <si>
    <t>1/10000像片基本圖</t>
  </si>
  <si>
    <t>WMTS_1/10000像片基本圖(69-72年)</t>
  </si>
  <si>
    <t>https://wmts.nlsc.gov.tw/wmts/TOPO05KPHOTO_114/{Style}/{TileMatrixSet}/{TileMatrix}/{TileRow}/{TileCol}</t>
  </si>
  <si>
    <t>2dms_wmts_v1_TOPO05KPHOTO114</t>
  </si>
  <si>
    <t>1/5000像片基本圖114年</t>
  </si>
  <si>
    <t>WMTS_1/5000像片基本圖(114年)</t>
  </si>
  <si>
    <t>https://wmts.nlsc.gov.tw/wmts/TOPO05KPHOTO_113/{Style}/{TileMatrixSet}/{TileMatrix}/{TileRow}/{TileCol}</t>
  </si>
  <si>
    <t>2dms_wmts_v1_TOPO05KPHOTO113</t>
  </si>
  <si>
    <t>1/5000像片基本圖113年</t>
  </si>
  <si>
    <t>WMTS_1/5000像片基本圖(113年)</t>
  </si>
  <si>
    <t>https://wmts.nlsc.gov.tw/wmts/TOPO05KPHOTO_112/{Style}/{TileMatrixSet}/{TileMatrix}/{TileRow}/{TileCol}</t>
  </si>
  <si>
    <t>2dms_wmts_v1_TOPO05KPHOTO112</t>
  </si>
  <si>
    <t>1/5000像片基本圖112年</t>
  </si>
  <si>
    <t>WMTS_1/5000像片基本圖(112年)</t>
  </si>
  <si>
    <t>https://wmts.nlsc.gov.tw/wmts/TOPO05KPHOTO_111/{Style}/{TileMatrixSet}/{TileMatrix}/{TileRow}/{TileCol}</t>
  </si>
  <si>
    <t>2dms_wmts_v1_TOPO05KPHOTO111</t>
  </si>
  <si>
    <t>1/5000像片基本圖111</t>
  </si>
  <si>
    <t>WMTS_1/5000像片基本圖(111年)</t>
  </si>
  <si>
    <t>https://wmts.nlsc.gov.tw/wmts/TOPO05KPHOTO_110/{Style}/{TileMatrixSet}/{TileMatrix}/{TileRow}/{TileCol}</t>
  </si>
  <si>
    <t>2dms_wmts_v1_TOPO05KPHOTO110</t>
  </si>
  <si>
    <t>1/5000像片基本圖110</t>
  </si>
  <si>
    <t>WMTS_1/5000像片基本圖(110年)</t>
  </si>
  <si>
    <t>https://wmts.nlsc.gov.tw/wmts/TOPO05KPHOTO_109/{Style}/{TileMatrixSet}/{TileMatrix}/{TileRow}/{TileCol}</t>
  </si>
  <si>
    <t>2dms_wmts_v1_TOPO05KPHOTO109</t>
  </si>
  <si>
    <t>1/5000像片基本圖109</t>
  </si>
  <si>
    <t>WMTS_1/5000像片基本圖(109年)</t>
  </si>
  <si>
    <t>https://wmts.nlsc.gov.tw/wmts/TOPO05KPHOTO_108/{Style}/{TileMatrixSet}/{TileMatrix}/{TileRow}/{TileCol}</t>
  </si>
  <si>
    <t>2dms_wmts_v1_TOPO05KPHOTO108</t>
  </si>
  <si>
    <t>1/5000像片基本圖108</t>
  </si>
  <si>
    <t>WMTS_1/5000像片基本圖(108年)</t>
  </si>
  <si>
    <t>https://wmts.nlsc.gov.tw/wmts/TOPO05KPHOTO_107/{Style}/{TileMatrixSet}/{TileMatrix}/{TileRow}/{TileCol}</t>
  </si>
  <si>
    <t>2dms_wmts_v1_TOPO05KPHOTO107</t>
  </si>
  <si>
    <t>1/5000像片基本圖107</t>
  </si>
  <si>
    <t>WMTS_1/5000像片基本圖(107年)</t>
  </si>
  <si>
    <t>https://wmts.nlsc.gov.tw/wmts/TOPO05KPHOTO_106/{Style}/{TileMatrixSet}/{TileMatrix}/{TileRow}/{TileCol}</t>
  </si>
  <si>
    <t>2dms_wmts_v1_TOPO05KPHOTO106</t>
  </si>
  <si>
    <t>1/5000像片基本圖106</t>
  </si>
  <si>
    <t>WMTS_1/5000像片基本圖(106年)</t>
  </si>
  <si>
    <t>https://wmts.nlsc.gov.tw/wmts/TOPO05KPHOTO_105/{Style}/{TileMatrixSet}/{TileMatrix}/{TileRow}/{TileCol}</t>
  </si>
  <si>
    <t>2dms_wmts_v1_TOPO05KPHOTO105</t>
  </si>
  <si>
    <t>1/5000像片基本圖105</t>
  </si>
  <si>
    <t>WMTS_1/5000像片基本圖(105年)</t>
  </si>
  <si>
    <t>https://wmts.nlsc.gov.tw/wmts/TOPO05KPHOTO_104/{Style}/{TileMatrixSet}/{TileMatrix}/{TileRow}/{TileCol}</t>
  </si>
  <si>
    <t>2dms_wmts_v1_TOPO05KPHOTO104</t>
  </si>
  <si>
    <t>1/5000像片基本圖104</t>
  </si>
  <si>
    <t>WMTS_1/5000像片基本圖(104年)</t>
  </si>
  <si>
    <t>https://wmts.nlsc.gov.tw/wmts/TOPO05KPHOTO_103/{Style}/{TileMatrixSet}/{TileMatrix}/{TileRow}/{TileCol}</t>
  </si>
  <si>
    <t>2dms_wmts_v1_TOPO05KPHOTO103</t>
  </si>
  <si>
    <t>1/5000像片基本圖103</t>
  </si>
  <si>
    <t>WMTS_1/5000像片基本圖(103年)</t>
  </si>
  <si>
    <t>https://wmts.nlsc.gov.tw/wmts/TOPO05KPHOTO_102/{Style}/{TileMatrixSet}/{TileMatrix}/{TileRow}/{TileCol}</t>
  </si>
  <si>
    <t>2dms_wmts_v1_TOPO05KPHOTO102</t>
  </si>
  <si>
    <t>1/5000像片基本圖102</t>
  </si>
  <si>
    <t>WMTS_1/5000像片基本圖(102年)</t>
  </si>
  <si>
    <t>https://wmts.nlsc.gov.tw/wmts/TOPO05KPHOTO_101/{Style}/{TileMatrixSet}/{TileMatrix}/{TileRow}/{TileCol}</t>
  </si>
  <si>
    <t>2dms_wmts_v1_TOPO05KPHOTO101</t>
  </si>
  <si>
    <t>1/5000像片基本圖101</t>
  </si>
  <si>
    <t>WMTS_1/5000像片基本圖(101年)</t>
  </si>
  <si>
    <t>https://wmts.nlsc.gov.tw/wmts/TOPO05KPHOTO_100/{Style}/{TileMatrixSet}/{TileMatrix}/{TileRow}/{TileCol}</t>
  </si>
  <si>
    <t>2dms_wmts_v1_TOPO05KPHOTO100</t>
  </si>
  <si>
    <t>1/5000像片基本圖100</t>
  </si>
  <si>
    <t>WMTS_1/5000像片基本圖(100年)</t>
  </si>
  <si>
    <t>https://wmts.nlsc.gov.tw/wmts/TOPO05KPHOTO_099/{Style}/{TileMatrixSet}/{TileMatrix}/{TileRow}/{TileCol}</t>
  </si>
  <si>
    <t>2dms_wmts_v1_TOPO05KPHOTO099</t>
  </si>
  <si>
    <t>1/5000像片基本圖99</t>
  </si>
  <si>
    <t>WMTS_1/5000像片基本圖(99年)</t>
  </si>
  <si>
    <t>https://wmts.nlsc.gov.tw/wmts/TOPO05KPHOTO_098/{Style}/{TileMatrixSet}/{TileMatrix}/{TileRow}/{TileCol}</t>
  </si>
  <si>
    <t>2dms_wmts_v1_TOPO05KPHOTO098</t>
  </si>
  <si>
    <t>1/5000像片基本圖98</t>
  </si>
  <si>
    <t>WMTS_1/5000像片基本圖(98年)</t>
  </si>
  <si>
    <t>https://wmts.nlsc.gov.tw/wmts/TOPO05KPHOTO_097/{Style}/{TileMatrixSet}/{TileMatrix}/{TileRow}/{TileCol}</t>
  </si>
  <si>
    <t>2dms_wmts_v1_TOPO05KPHOTO097</t>
  </si>
  <si>
    <t>1/5000像片基本圖97</t>
  </si>
  <si>
    <t>WMTS_1/5000像片基本圖(97年)</t>
  </si>
  <si>
    <t>https://wmts.nlsc.gov.tw/wmts/TOPO05KPHOTO_096/{Style}/{TileMatrixSet}/{TileMatrix}/{TileRow}/{TileCol}</t>
  </si>
  <si>
    <t>2dms_wmts_v1_TOPO05KPHOTO096</t>
  </si>
  <si>
    <t>1/5000像片基本圖96</t>
  </si>
  <si>
    <t>WMTS_1/5000像片基本圖(96年)</t>
  </si>
  <si>
    <t>https://wmts.nlsc.gov.tw/wmts/TOPO05KPHOTO_095/{Style}/{TileMatrixSet}/{TileMatrix}/{TileRow}/{TileCol}</t>
  </si>
  <si>
    <t>2dms_wmts_v1_TOPO05KPHOTO095</t>
  </si>
  <si>
    <t>1/5000像片基本圖95</t>
  </si>
  <si>
    <t>WMTS_1/5000像片基本圖(95年)</t>
  </si>
  <si>
    <t>https://wmts.nlsc.gov.tw/wmts/TOPO05KPHOTO_094/{Style}/{TileMatrixSet}/{TileMatrix}/{TileRow}/{TileCol}</t>
  </si>
  <si>
    <t>2dms_wmts_v1_TOPO05KPHOTO094</t>
  </si>
  <si>
    <t>1/5000像片基本圖94</t>
  </si>
  <si>
    <t>WMTS_1/5000像片基本圖(94年)</t>
  </si>
  <si>
    <t>https://wmts.nlsc.gov.tw/wmts/TOPO05KPHOTO_093/{Style}/{TileMatrixSet}/{TileMatrix}/{TileRow}/{TileCol}</t>
  </si>
  <si>
    <t>2dms_wmts_v1_TOPO05KPHOTO093</t>
  </si>
  <si>
    <t>1/5000像片基本圖93</t>
  </si>
  <si>
    <t>WMTS_1/5000像片基本圖(93年)</t>
  </si>
  <si>
    <t>https://wmts.nlsc.gov.tw/wmts/TOPO05KPHOTO_092/{Style}/{TileMatrixSet}/{TileMatrix}/{TileRow}/{TileCol}</t>
  </si>
  <si>
    <t>2dms_wmts_v1_TOPO05KPHOTO092</t>
  </si>
  <si>
    <t>1/5000像片基本圖92</t>
  </si>
  <si>
    <t>WMTS_1/5000像片基本圖(92年)</t>
  </si>
  <si>
    <t>https://wmts.nlsc.gov.tw/wmts/TOPO05KPHOTO_091/{Style}/{TileMatrixSet}/{TileMatrix}/{TileRow}/{TileCol}</t>
  </si>
  <si>
    <t>2dms_wmts_v1_TOPO05KPHOTO091</t>
  </si>
  <si>
    <t>1/5000像片基本圖91</t>
  </si>
  <si>
    <t>WMTS_1/5000像片基本圖(91年)</t>
  </si>
  <si>
    <t>https://wmts.nlsc.gov.tw/wmts/TOPO05KPHOTO_090/{Style}/{TileMatrixSet}/{TileMatrix}/{TileRow}/{TileCol}</t>
  </si>
  <si>
    <t>2dms_wmts_v1_TOPO05KPHOTO090</t>
  </si>
  <si>
    <t>1/5000像片基本圖90</t>
  </si>
  <si>
    <t>WMTS_1/5000像片基本圖(90年)</t>
  </si>
  <si>
    <t>https://wmts.nlsc.gov.tw/wmts/TOPO05KPHOTO_089/{Style}/{TileMatrixSet}/{TileMatrix}/{TileRow}/{TileCol}</t>
  </si>
  <si>
    <t>2dms_wmts_v1_TOPO05KPHOTO089</t>
  </si>
  <si>
    <t>1/5000像片基本圖89</t>
  </si>
  <si>
    <t>WMTS_1/5000像片基本圖(89年)</t>
  </si>
  <si>
    <t>https://wmts.nlsc.gov.tw/wmts/TOPO05KPHOTO_088/{Style}/{TileMatrixSet}/{TileMatrix}/{TileRow}/{TileCol}</t>
  </si>
  <si>
    <t>2dms_wmts_v1_TOPO05KPHOTO088</t>
  </si>
  <si>
    <t>1/5000像片基本圖88</t>
  </si>
  <si>
    <t>WMTS_1/5000像片基本圖(88年)</t>
  </si>
  <si>
    <t>https://wmts.nlsc.gov.tw/wmts/TOPO05KPHOTO_087/{Style}/{TileMatrixSet}/{TileMatrix}/{TileRow}/{TileCol}</t>
  </si>
  <si>
    <t>2dms_wmts_v1_TOPO05KPHOTO087</t>
  </si>
  <si>
    <t>1/5000像片基本圖87</t>
  </si>
  <si>
    <t>WMTS_1/5000像片基本圖(87年)</t>
  </si>
  <si>
    <t>https://wmts.nlsc.gov.tw/wmts/TOPO05KPHOTO_086/{Style}/{TileMatrixSet}/{TileMatrix}/{TileRow}/{TileCol}</t>
  </si>
  <si>
    <t>2dms_wmts_v1_TOPO05KPHOTO086</t>
  </si>
  <si>
    <t>1/5000像片基本圖86</t>
  </si>
  <si>
    <t>WMTS_1/5000像片基本圖(86年)</t>
  </si>
  <si>
    <t>https://wmts.nlsc.gov.tw/wmts/TOPO05KPHOTO_084/{Style}/{TileMatrixSet}/{TileMatrix}/{TileRow}/{TileCol}</t>
  </si>
  <si>
    <t>2dms_wmts_v1_TOPO05KPHOTO084</t>
  </si>
  <si>
    <t>1/5000像片基本圖84</t>
  </si>
  <si>
    <t>WMTS_1/5000像片基本圖(84年)</t>
  </si>
  <si>
    <t>https://wmts.nlsc.gov.tw/wmts/TOPO05KPHOTO_083/{Style}/{TileMatrixSet}/{TileMatrix}/{TileRow}/{TileCol}</t>
  </si>
  <si>
    <t>2dms_wmts_v1_TOPO05KPHOTO083</t>
  </si>
  <si>
    <t>1/5000像片基本圖83</t>
  </si>
  <si>
    <t>WMTS_1/5000像片基本圖(83年)</t>
  </si>
  <si>
    <t>https://wmts.nlsc.gov.tw/wmts/TOPO05KPHOTO_081/{Style}/{TileMatrixSet}/{TileMatrix}/{TileRow}/{TileCol}</t>
  </si>
  <si>
    <t>2dms_wmts_v1_TOPO05KPHOTO081</t>
  </si>
  <si>
    <t>1/5000像片基本圖81</t>
  </si>
  <si>
    <t>WMTS_1/5000像片基本圖(81年)</t>
  </si>
  <si>
    <t>https://wmts.nlsc.gov.tw/wmts/TOPO05KPHOTO_080/{Style}/{TileMatrixSet}/{TileMatrix}/{TileRow}/{TileCol}</t>
  </si>
  <si>
    <t>2dms_wmts_v1_TOPO05KPHOTO080</t>
  </si>
  <si>
    <t>1/5000像片基本圖80</t>
  </si>
  <si>
    <t>WMTS_1/5000像片基本圖(80年)</t>
  </si>
  <si>
    <t>https://wmts.nlsc.gov.tw/wmts/TOPO05KPHOTO_079/{Style}/{TileMatrixSet}/{TileMatrix}/{TileRow}/{TileCol}</t>
  </si>
  <si>
    <t>2dms_wmts_v1_TOPO05KPHOTO079</t>
  </si>
  <si>
    <t>1/5000像片基本圖79</t>
  </si>
  <si>
    <t>WMTS_1/5000像片基本圖(79年)</t>
  </si>
  <si>
    <t>https://wmts.nlsc.gov.tw/wmts/TOPO05KPHOTO_078/{Style}/{TileMatrixSet}/{TileMatrix}/{TileRow}/{TileCol}</t>
  </si>
  <si>
    <t>2dms_wmts_v1_TOPO05KPHOTO078</t>
  </si>
  <si>
    <t>1/5000像片基本圖78</t>
  </si>
  <si>
    <t>WMTS_1/5000像片基本圖(78年)</t>
  </si>
  <si>
    <t>https://wmts.nlsc.gov.tw/wmts/TOPO05KPHOTO_076/{Style}/{TileMatrixSet}/{TileMatrix}/{TileRow}/{TileCol}</t>
  </si>
  <si>
    <t>2dms_wmts_v1_TOPO05KPHOTO076</t>
  </si>
  <si>
    <t>1/5000像片基本圖76</t>
  </si>
  <si>
    <t>WMTS_1/5000像片基本圖(76年)</t>
  </si>
  <si>
    <t>https://wmts.nlsc.gov.tw/wmts/TOPO05KPHOTO_075/{Style}/{TileMatrixSet}/{TileMatrix}/{TileRow}/{TileCol}</t>
  </si>
  <si>
    <t>2dms_wmts_v1_TOPO05KPHOTO075</t>
  </si>
  <si>
    <t>1/5000像片基本圖75</t>
  </si>
  <si>
    <t>WMTS_1/5000像片基本圖(75年)</t>
  </si>
  <si>
    <t>https://wmts.nlsc.gov.tw/wmts/TOPO05KPHOTO_074/{Style}/{TileMatrixSet}/{TileMatrix}/{TileRow}/{TileCol}</t>
  </si>
  <si>
    <t>2dms_wmts_v1_TOPO05KPHOTO074</t>
  </si>
  <si>
    <t>1/5000像片基本圖74</t>
  </si>
  <si>
    <t>WMTS_1/5000像片基本圖(74年)</t>
  </si>
  <si>
    <t>https://wmts.nlsc.gov.tw/wmts/TOPO05KPHOTO_073/{Style}/{TileMatrixSet}/{TileMatrix}/{TileRow}/{TileCol}</t>
  </si>
  <si>
    <t>2dms_wmts_v1_TOPO05KPHOTO073</t>
  </si>
  <si>
    <t>1/5000像片基本圖73</t>
  </si>
  <si>
    <t>WMTS_1/5000像片基本圖(73年)</t>
  </si>
  <si>
    <t>https://wmts.nlsc.gov.tw/wmts/TOPO05KPHOTO_072/{Style}/{TileMatrixSet}/{TileMatrix}/{TileRow}/{TileCol}</t>
  </si>
  <si>
    <t>2dms_wmts_v1_TOPO05KPHOTO072</t>
  </si>
  <si>
    <t>1/5000像片基本圖72</t>
  </si>
  <si>
    <t>WMTS_1/5000像片基本圖(72年)</t>
  </si>
  <si>
    <t>https://wmts.nlsc.gov.tw/wmts/TOPO05KPHOTO_071/{Style}/{TileMatrixSet}/{TileMatrix}/{TileRow}/{TileCol}</t>
  </si>
  <si>
    <t>2dms_wmts_v1_TOPO05KPHOTO071</t>
  </si>
  <si>
    <t>1/5000像片基本圖71</t>
  </si>
  <si>
    <t>WMTS_1/5000像片基本圖(71年)</t>
  </si>
  <si>
    <t>https://wmts.nlsc.gov.tw/wmts/TOPO05KPHOTO_070/{Style}/{TileMatrixSet}/{TileMatrix}/{TileRow}/{TileCol}</t>
  </si>
  <si>
    <t>2dms_wmts_v1_TOPO05KPHOTO070</t>
  </si>
  <si>
    <t>1/5000像片基本圖70</t>
  </si>
  <si>
    <t>WMTS_1/5000像片基本圖(70年)</t>
  </si>
  <si>
    <t>https://wmts.nlsc.gov.tw/wmts/TOPO05KPHOTO_069/{Style}/{TileMatrixSet}/{TileMatrix}/{TileRow}/{TileCol}</t>
  </si>
  <si>
    <t>2dms_wmts_v1_TOPO05KPHOTO069</t>
  </si>
  <si>
    <t>1/5000像片基本圖69</t>
  </si>
  <si>
    <t>WMTS_1/5000像片基本圖(69年)</t>
  </si>
  <si>
    <t>https://wmts.nlsc.gov.tw/wmts/TOPO05KPHOTO_068/{Style}/{TileMatrixSet}/{TileMatrix}/{TileRow}/{TileCol}</t>
  </si>
  <si>
    <t>2dms_wmts_v1_TOPO05KPHOTO068</t>
  </si>
  <si>
    <t>1/5000像片基本圖68</t>
  </si>
  <si>
    <t>WMTS_1/5000像片基本圖(68年)</t>
  </si>
  <si>
    <t>https://wmts.nlsc.gov.tw/wmts/TOPO05KPHOTO_067/{Style}/{TileMatrixSet}/{TileMatrix}/{TileRow}/{TileCol}</t>
  </si>
  <si>
    <t>2dms_wmts_v1_TOPO05KPHOTO067</t>
  </si>
  <si>
    <t>1/5000像片基本圖67</t>
  </si>
  <si>
    <t>WMTS_1/5000像片基本圖(67年)</t>
  </si>
  <si>
    <t>https://wmts.nlsc.gov.tw/wmts/TOPO05KPHOTO_066/{Style}/{TileMatrixSet}/{TileMatrix}/{TileRow}/{TileCol}</t>
  </si>
  <si>
    <t>2dms_wmts_v1_TOPO05KPHOTO066</t>
  </si>
  <si>
    <t>1/5000像片基本圖66</t>
  </si>
  <si>
    <t>WMTS_1/5000像片基本圖(66年)</t>
  </si>
  <si>
    <t>https://wmts.nlsc.gov.tw/wmts/TOPO05KPHOTO_065/{Style}/{TileMatrixSet}/{TileMatrix}/{TileRow}/{TileCol}</t>
  </si>
  <si>
    <t>2dms_wmts_v1_TOPO05KPHOTO065</t>
  </si>
  <si>
    <t>1/5000像片基本圖65</t>
  </si>
  <si>
    <t>WMTS_1/5000像片基本圖(65年)</t>
  </si>
  <si>
    <t>https://wmts.nlsc.gov.tw/wmts/TOPO05K_99/{Style}/{TileMatrixSet}/{TileMatrix}/{TileRow}/{TileCol}</t>
  </si>
  <si>
    <t>2dms_wmts_v1_TOPO05K99</t>
  </si>
  <si>
    <t>1/5000基本地形圖_99年</t>
  </si>
  <si>
    <t>WMTS_1/5000基本地形圖(99年)</t>
  </si>
  <si>
    <t>https://wmts.nlsc.gov.tw/wmts/TOPO05K_98/{Style}/{TileMatrixSet}/{TileMatrix}/{TileRow}/{TileCol}</t>
  </si>
  <si>
    <t>2dms_wmts_v1_TOPO05K98</t>
  </si>
  <si>
    <t>1/5000基本地形圖_98年</t>
  </si>
  <si>
    <t>WMTS_1/5000基本地形圖(98年)</t>
  </si>
  <si>
    <t>https://wmts.nlsc.gov.tw/wmts/TOPO05K_96/{Style}/{TileMatrixSet}/{TileMatrix}/{TileRow}/{TileCol}</t>
  </si>
  <si>
    <t>2dms_wmts_v1_TOPO05K96</t>
  </si>
  <si>
    <t>1/5000基本地形圖_96年</t>
  </si>
  <si>
    <t>WMTS_1/5000基本地形圖(96年)</t>
  </si>
  <si>
    <t>https://wmts.nlsc.gov.tw/wmts/TOPO05K_92/{Style}/{TileMatrixSet}/{TileMatrix}/{TileRow}/{TileCol}</t>
  </si>
  <si>
    <t>2dms_wmts_v1_TOPO05K92</t>
  </si>
  <si>
    <t>1/5000基本地形圖_92年</t>
  </si>
  <si>
    <t>WMTS_1/5000基本地形圖(92年)</t>
  </si>
  <si>
    <t>https://wmts.nlsc.gov.tw/wmts/TOPO05K_91/{Style}/{TileMatrixSet}/{TileMatrix}/{TileRow}/{TileCol}</t>
  </si>
  <si>
    <t>2dms_wmts_v1_TOPO05K91</t>
  </si>
  <si>
    <t>1/5000基本地形圖_91年</t>
  </si>
  <si>
    <t>WMTS_1/5000基本地形圖(91年)</t>
  </si>
  <si>
    <t>https://wmts.nlsc.gov.tw/wmts/TOPO05K_90/{Style}/{TileMatrixSet}/{TileMatrix}/{TileRow}/{TileCol}</t>
  </si>
  <si>
    <t>2dms_wmts_v1_TOPO05K90</t>
  </si>
  <si>
    <t>1/5000基本地形圖_90年</t>
  </si>
  <si>
    <t>WMTS_1/5000基本地形圖(90年)</t>
  </si>
  <si>
    <t>https://wmts.nlsc.gov.tw/wmts/TOPO05K_88/{Style}/{TileMatrixSet}/{TileMatrix}/{TileRow}/{TileCol}</t>
  </si>
  <si>
    <t>2dms_wmts_v1_TOPO05K88</t>
  </si>
  <si>
    <t>1/5000基本地形圖_88年</t>
  </si>
  <si>
    <t>WMTS_1/5000基本地形圖(88年)</t>
  </si>
  <si>
    <t>https://wmts.nlsc.gov.tw/wmts/TOPO05K_87/{Style}/{TileMatrixSet}/{TileMatrix}/{TileRow}/{TileCol}</t>
  </si>
  <si>
    <t>2dms_wmts_v1_TOPO05K87</t>
  </si>
  <si>
    <t>1/5000基本地形圖_87年</t>
  </si>
  <si>
    <t>WMTS_1/5000基本地形圖(87年)</t>
  </si>
  <si>
    <t>https://wmts.nlsc.gov.tw/wmts/TOPO05K_86/{Style}/{TileMatrixSet}/{TileMatrix}/{TileRow}/{TileCol}</t>
  </si>
  <si>
    <t>2dms_wmts_v1_TOPO05K86</t>
  </si>
  <si>
    <t>1/5000基本地形圖_86年</t>
  </si>
  <si>
    <t>WMTS_1/5000基本地形圖(86年)</t>
  </si>
  <si>
    <t>https://wmts.nlsc.gov.tw/wmts/TOPO05K_84/{Style}/{TileMatrixSet}/{TileMatrix}/{TileRow}/{TileCol}</t>
  </si>
  <si>
    <t>2dms_wmts_v1_TOPO05K84</t>
  </si>
  <si>
    <t>1/5000基本地形圖_84年</t>
  </si>
  <si>
    <t>WMTS_1/5000基本地形圖(84年)</t>
  </si>
  <si>
    <t>https://wmts.nlsc.gov.tw/wmts/TOPO05K_111/{Style}/{TileMatrixSet}/{TileMatrix}/{TileRow}/{TileCol}</t>
  </si>
  <si>
    <t>2dms_wmts_v1_TOPO05K111</t>
  </si>
  <si>
    <t>1/5000基本地形圖_111年</t>
  </si>
  <si>
    <t>WMTS_1/5000基本地形圖(111年)</t>
  </si>
  <si>
    <t>https://wmts.nlsc.gov.tw/wmts/TOPO05K_110/{Style}/{TileMatrixSet}/{TileMatrix}/{TileRow}/{TileCol}</t>
  </si>
  <si>
    <t>2dms_wmts_v1_TOPO05K110</t>
  </si>
  <si>
    <t>1/5000基本地形圖_110年</t>
  </si>
  <si>
    <t>WMTS_1/5000基本地形圖(110年)</t>
  </si>
  <si>
    <t>https://wmts.nlsc.gov.tw/wmts/TOPO05K_109/{Style}/{TileMatrixSet}/{TileMatrix}/{TileRow}/{TileCol}</t>
  </si>
  <si>
    <t>2dms_wmts_v1_TOPO05K109</t>
  </si>
  <si>
    <t>1/5000基本地形圖_109年</t>
  </si>
  <si>
    <t>WMTS_1/5000基本地形圖(109年)</t>
  </si>
  <si>
    <t>https://wmts.nlsc.gov.tw/wmts/TOPO05K_108/{Style}/{TileMatrixSet}/{TileMatrix}/{TileRow}/{TileCol}</t>
  </si>
  <si>
    <t>2dms_wmts_v1_TOPO05K108</t>
  </si>
  <si>
    <t>1/5000基本地形圖_108年</t>
  </si>
  <si>
    <t>WMTS_1/5000基本地形圖(108年)</t>
  </si>
  <si>
    <t>https://wmts.nlsc.gov.tw/wmts/TOPO05K_107/{Style}/{TileMatrixSet}/{TileMatrix}/{TileRow}/{TileCol}</t>
  </si>
  <si>
    <t>2dms_wmts_v1_TOPO05K107</t>
  </si>
  <si>
    <t>1/5000基本地形圖_107年</t>
  </si>
  <si>
    <t>WMTS_1/5000基本地形圖(107年)</t>
  </si>
  <si>
    <t>https://wmts.nlsc.gov.tw/wmts/TOPO05K_106/{Style}/{TileMatrixSet}/{TileMatrix}/{TileRow}/{TileCol}</t>
  </si>
  <si>
    <t>2dms_wmts_v1_TOPO05K106</t>
  </si>
  <si>
    <t>1/5000基本地形圖_106年</t>
  </si>
  <si>
    <t>WMTS_1/5000基本地形圖(106年)</t>
  </si>
  <si>
    <t>https://wmts.nlsc.gov.tw/wmts/TOPO05K_105/{Style}/{TileMatrixSet}/{TileMatrix}/{TileRow}/{TileCol}</t>
  </si>
  <si>
    <t>2dms_wmts_v1_TOPO05K105</t>
  </si>
  <si>
    <t>1/5000基本地形圖_105年</t>
  </si>
  <si>
    <t>WMTS_1/5000基本地形圖(105年)</t>
  </si>
  <si>
    <t>https://wmts.nlsc.gov.tw/wmts/TOPO05K_104/{Style}/{TileMatrixSet}/{TileMatrix}/{TileRow}/{TileCol}</t>
  </si>
  <si>
    <t>2dms_wmts_v1_TOPO05K104</t>
  </si>
  <si>
    <t>1/5000基本地形圖_104年</t>
  </si>
  <si>
    <t>WMTS_1/5000基本地形圖(104年)</t>
  </si>
  <si>
    <t>https://wmts.nlsc.gov.tw/wmts/TOPO05K_103/{Style}/{TileMatrixSet}/{TileMatrix}/{TileRow}/{TileCol}</t>
  </si>
  <si>
    <t>2dms_wmts_v1_TOPO05K103</t>
  </si>
  <si>
    <t>1/5000基本地形圖_103年</t>
  </si>
  <si>
    <t>WMTS_1/5000基本地形圖(103年)</t>
  </si>
  <si>
    <t>https://wmts.nlsc.gov.tw/wmts/TOPO05K_102/{Style}/{TileMatrixSet}/{TileMatrix}/{TileRow}/{TileCol}</t>
  </si>
  <si>
    <t>2dms_wmts_v1_TOPO05K102</t>
  </si>
  <si>
    <t>1/5000基本地形圖_102年</t>
  </si>
  <si>
    <t>WMTS_1/5000基本地形圖(102年)</t>
  </si>
  <si>
    <t>https://wmts.nlsc.gov.tw/wmts/TOPO05K_101/{Style}/{TileMatrixSet}/{TileMatrix}/{TileRow}/{TileCol}</t>
  </si>
  <si>
    <t>2dms_wmts_v1_TOPO05K101</t>
  </si>
  <si>
    <t>1/5000基本地形圖_101年</t>
  </si>
  <si>
    <t>WMTS_1/5000基本地形圖(101年)</t>
  </si>
  <si>
    <t>https://wmts.nlsc.gov.tw/wmts/TOPO05K_100/{Style}/{TileMatrixSet}/{TileMatrix}/{TileRow}/{TileCol}</t>
  </si>
  <si>
    <t>2dms_wmts_v1_TOPO05K100</t>
  </si>
  <si>
    <t>1/5000基本地形圖_100年</t>
  </si>
  <si>
    <t>WMTS_1/5000基本地形圖(100年)</t>
  </si>
  <si>
    <t>https://wmts.nlsc.gov.tw/wmts/TOPO01K_Z01/{Style}/{TileMatrixSet}/{TileMatrix}/{TileRow}/{TileCol}</t>
  </si>
  <si>
    <t>2dms_wmts_v1_TOPO01K_Z01</t>
  </si>
  <si>
    <t>連江縣都市計畫</t>
  </si>
  <si>
    <t>WMTS_1/1000地形圖_連江縣都市計畫</t>
  </si>
  <si>
    <t>https://wmts.nlsc.gov.tw/wmts/TOPO01K_X08/{Style}/{TileMatrixSet}/{TileMatrix}/{TileRow}/{TileCol}</t>
  </si>
  <si>
    <t>2dms_wmts_v1_TOPO01K_X08</t>
  </si>
  <si>
    <t>澎湖南方四島國家公園_104年</t>
  </si>
  <si>
    <t>WMTS_1/1000地形圖_澎湖縣南方四島國家公園計畫(104年)</t>
  </si>
  <si>
    <t>https://wmts.nlsc.gov.tw/wmts/TOPO01K_X07/{Style}/{TileMatrixSet}/{TileMatrix}/{TileRow}/{TileCol}</t>
  </si>
  <si>
    <t>2dms_wmts_v1_TOPO01K_X07</t>
  </si>
  <si>
    <t>澎湖縣馬公都市計畫_97-98年</t>
  </si>
  <si>
    <t>WMTS_1/1000地形圖_澎湖縣馬公都市計畫(97-98年)</t>
  </si>
  <si>
    <t>https://wmts.nlsc.gov.tw/wmts/TOPO01K_X06/{Style}/{TileMatrixSet}/{TileMatrix}/{TileRow}/{TileCol}</t>
  </si>
  <si>
    <t>2dms_wmts_v1_TOPO01K_X06</t>
  </si>
  <si>
    <t>澎湖縣鎖港都市計畫_104年</t>
  </si>
  <si>
    <t>WMTS_1/1000地形圖_澎湖縣鎖港都市計畫(104年)</t>
  </si>
  <si>
    <t>https://wmts.nlsc.gov.tw/wmts/TOPO01K_X05/{Style}/{TileMatrixSet}/{TileMatrix}/{TileRow}/{TileCol}</t>
  </si>
  <si>
    <t>2dms_wmts_v1_TOPO01K_X05</t>
  </si>
  <si>
    <t>澎湖縣西嶼西台都市計畫_95年</t>
  </si>
  <si>
    <t>WMTS_1/1000地形圖_澎湖縣西嶼西台都市計畫(95年)</t>
  </si>
  <si>
    <t>https://wmts.nlsc.gov.tw/wmts/TOPO01K_X04/{Style}/{TileMatrixSet}/{TileMatrix}/{TileRow}/{TileCol}</t>
  </si>
  <si>
    <t>2dms_wmts_v1_TOPO01K_X04</t>
  </si>
  <si>
    <t>澎湖縣花宅聚落_103年</t>
  </si>
  <si>
    <t>WMTS_1/1000地形圖_澎湖縣花宅聚落(103年)</t>
  </si>
  <si>
    <t>https://wmts.nlsc.gov.tw/wmts/TOPO01K_X03/{Style}/{TileMatrixSet}/{TileMatrix}/{TileRow}/{TileCol}</t>
  </si>
  <si>
    <t>2dms_wmts_v1_TOPO01K_X03</t>
  </si>
  <si>
    <t>澎湖縣白沙鄉都市計畫_99年</t>
  </si>
  <si>
    <t>WMTS_1/1000地形圖_澎湖縣白沙鄉都市計畫(99年)</t>
  </si>
  <si>
    <t>https://wmts.nlsc.gov.tw/wmts/TOPO01K_X02/{Style}/{TileMatrixSet}/{TileMatrix}/{TileRow}/{TileCol}</t>
  </si>
  <si>
    <t>2dms_wmts_v1_TOPO01K_X02</t>
  </si>
  <si>
    <t>澎湖縣林投都市計畫_96年</t>
  </si>
  <si>
    <t>WMTS_1/1000地形圖_澎湖縣林投都市計畫(96年)</t>
  </si>
  <si>
    <t>https://wmts.nlsc.gov.tw/wmts/TOPO01K_X01/{Style}/{TileMatrixSet}/{TileMatrix}/{TileRow}/{TileCol}</t>
  </si>
  <si>
    <t>2dms_wmts_v1_TOPO01K_X01</t>
  </si>
  <si>
    <t>澎湖縣二崁都市計畫_104年</t>
  </si>
  <si>
    <t>WMTS_1/1000地形圖_澎湖縣二崁都市計畫(104年)</t>
  </si>
  <si>
    <t>https://wmts.nlsc.gov.tw/wmts/TOPO01K_W02/{Style}/{TileMatrixSet}/{TileMatrix}/{TileRow}/{TileCol}</t>
  </si>
  <si>
    <t>2dms_wmts_v1_TOPO01K_W02</t>
  </si>
  <si>
    <t>金門縣_112年</t>
  </si>
  <si>
    <t>WMTS_1/1000地形圖_金門縣都市計畫(112年)</t>
  </si>
  <si>
    <t>https://wmts.nlsc.gov.tw/wmts/TOPO01K_W01/{Style}/{TileMatrixSet}/{TileMatrix}/{TileRow}/{TileCol}</t>
  </si>
  <si>
    <t>2dms_wmts_v1_TOPO01K_W01</t>
  </si>
  <si>
    <t>金門縣都市計畫</t>
  </si>
  <si>
    <t>WMTS_1/1000地形圖_金門縣都市計畫(106年)</t>
  </si>
  <si>
    <t>https://wmts.nlsc.gov.tw/wmts/TOPO01K_V20/{Style}/{TileMatrixSet}/{TileMatrix}/{TileRow}/{TileCol}</t>
  </si>
  <si>
    <t>2dms_wmts_v1_TOPO01K_V20</t>
  </si>
  <si>
    <t>臺東縣綠島_111年</t>
  </si>
  <si>
    <t>WMTS_1/1000地形圖_臺東縣綠島都市計畫(111年)</t>
  </si>
  <si>
    <t>https://wmts.nlsc.gov.tw/wmts/TOPO01K_V19/{Style}/{TileMatrixSet}/{TileMatrix}/{TileRow}/{TileCol}</t>
  </si>
  <si>
    <t>2dms_wmts_v1_TOPO01K_V19</t>
  </si>
  <si>
    <t>臺東縣蘭嶼(109年)</t>
  </si>
  <si>
    <t>WMTS_1/1000地形圖_臺東縣蘭嶼都市計畫(109年)</t>
  </si>
  <si>
    <t>https://wmts.nlsc.gov.tw/wmts/TOPO01K_V18/{Style}/{TileMatrixSet}/{TileMatrix}/{TileRow}/{TileCol}</t>
  </si>
  <si>
    <t>2dms_wmts_v1_TOPO01K_V18</t>
  </si>
  <si>
    <t>臺東縣鹿野都市計畫(98年)</t>
  </si>
  <si>
    <t>WMTS_1/1000地形圖_臺東縣鹿野都市計畫(98年)</t>
  </si>
  <si>
    <t>https://wmts.nlsc.gov.tw/wmts/TOPO01K_V17/{Style}/{TileMatrixSet}/{TileMatrix}/{TileRow}/{TileCol}</t>
  </si>
  <si>
    <t>2dms_wmts_v1_TOPO01K_V17</t>
  </si>
  <si>
    <t>臺東縣關山都市計畫(98年)</t>
  </si>
  <si>
    <t>WMTS_1/1000地形圖_臺東縣關山都市計畫(98年)</t>
  </si>
  <si>
    <t>https://wmts.nlsc.gov.tw/wmts/TOPO01K_V16/{Style}/{TileMatrixSet}/{TileMatrix}/{TileRow}/{TileCol}</t>
  </si>
  <si>
    <t>2dms_wmts_v1_TOPO01K_V16</t>
  </si>
  <si>
    <t>臺東縣長濱都市計畫(101年)</t>
  </si>
  <si>
    <t>WMTS_1/1000地形圖_臺東縣長濱都市計畫(101年)</t>
  </si>
  <si>
    <t>https://wmts.nlsc.gov.tw/wmts/TOPO01K_V15/{Style}/{TileMatrixSet}/{TileMatrix}/{TileRow}/{TileCol}</t>
  </si>
  <si>
    <t>2dms_wmts_v1_TOPO01K_V15</t>
  </si>
  <si>
    <t>臺東鐵路新站附近地區(94年)</t>
  </si>
  <si>
    <t>WMTS_1/1000地形圖_臺東鐵路新站附近地區(94年)</t>
  </si>
  <si>
    <t>https://wmts.nlsc.gov.tw/wmts/TOPO01K_V14/{Style}/{TileMatrixSet}/{TileMatrix}/{TileRow}/{TileCol}</t>
  </si>
  <si>
    <t>2dms_wmts_v1_TOPO01K_V14</t>
  </si>
  <si>
    <t>臺東市都市計畫(100年)</t>
  </si>
  <si>
    <t>WMTS_1/1000地形圖_臺東市都市計畫(100年)</t>
  </si>
  <si>
    <t>https://wmts.nlsc.gov.tw/wmts/TOPO01K_V13/{Style}/{TileMatrixSet}/{TileMatrix}/{TileRow}/{TileCol}</t>
  </si>
  <si>
    <t>2dms_wmts_v1_TOPO01K_V13</t>
  </si>
  <si>
    <t>臺東縣綠島風景特定區(101年)</t>
  </si>
  <si>
    <t>WMTS_1/1000地形圖_臺東縣綠島風景特定區計畫(101年)</t>
  </si>
  <si>
    <t>https://wmts.nlsc.gov.tw/wmts/TOPO01K_V12/{Style}/{TileMatrixSet}/{TileMatrix}/{TileRow}/{TileCol}</t>
  </si>
  <si>
    <t>2dms_wmts_v1_TOPO01K_V12</t>
  </si>
  <si>
    <t>臺東縣紅葉溫泉風景特定區(99年)</t>
  </si>
  <si>
    <t>WMTS_1/1000地形圖_臺東縣紅葉溫泉風景特定區計畫(99年)</t>
  </si>
  <si>
    <t>https://wmts.nlsc.gov.tw/wmts/TOPO01K_V11/{Style}/{TileMatrixSet}/{TileMatrix}/{TileRow}/{TileCol}</t>
  </si>
  <si>
    <t>2dms_wmts_v1_TOPO01K_V11</t>
  </si>
  <si>
    <t>臺東縣知本鐵路車站地區(94年)</t>
  </si>
  <si>
    <t>WMTS_1/1000地形圖_臺東縣知本鐵路車站地區(94年)</t>
  </si>
  <si>
    <t>https://wmts.nlsc.gov.tw/wmts/TOPO01K_V10/{Style}/{TileMatrixSet}/{TileMatrix}/{TileRow}/{TileCol}</t>
  </si>
  <si>
    <t>2dms_wmts_v1_TOPO01K_V10</t>
  </si>
  <si>
    <t>臺東縣知本溫泉風景特定區(100年)</t>
  </si>
  <si>
    <t>WMTS_1/1000地形圖_臺東縣知本溫泉風景特定區計畫(100年)</t>
  </si>
  <si>
    <t>https://wmts.nlsc.gov.tw/wmts/TOPO01K_V09/{Style}/{TileMatrixSet}/{TileMatrix}/{TileRow}/{TileCol}</t>
  </si>
  <si>
    <t>2dms_wmts_v1_TOPO01K_V09</t>
  </si>
  <si>
    <t>臺東縣池上都市計畫(99年)</t>
  </si>
  <si>
    <t>WMTS_1/1000地形圖_臺東縣池上都市計畫(99年)</t>
  </si>
  <si>
    <t>https://wmts.nlsc.gov.tw/wmts/TOPO01K_V08/{Style}/{TileMatrixSet}/{TileMatrix}/{TileRow}/{TileCol}</t>
  </si>
  <si>
    <t>2dms_wmts_v1_TOPO01K_V08</t>
  </si>
  <si>
    <t>臺東縣東河都市計畫(100年)</t>
  </si>
  <si>
    <t>WMTS_1/1000地形圖_臺東縣東河都市計畫(100年)</t>
  </si>
  <si>
    <t>https://wmts.nlsc.gov.tw/wmts/TOPO01K_V07/{Style}/{TileMatrixSet}/{TileMatrix}/{TileRow}/{TileCol}</t>
  </si>
  <si>
    <t>2dms_wmts_v1_TOPO01K_V07</t>
  </si>
  <si>
    <t>臺東縣成功都市計畫(98年)</t>
  </si>
  <si>
    <t>WMTS_1/1000地形圖_臺東縣成功都市計畫(98年)</t>
  </si>
  <si>
    <t>https://wmts.nlsc.gov.tw/wmts/TOPO01K_V06/{Style}/{TileMatrixSet}/{TileMatrix}/{TileRow}/{TileCol}</t>
  </si>
  <si>
    <t>2dms_wmts_v1_TOPO01K_V06</t>
  </si>
  <si>
    <t>臺東縣小野柳風景特定區(94年)</t>
  </si>
  <si>
    <t>WMTS_1/1000地形圖_臺東縣小野柳風景特定區計畫(94年)</t>
  </si>
  <si>
    <t>https://wmts.nlsc.gov.tw/wmts/TOPO01K_V05/{Style}/{TileMatrixSet}/{TileMatrix}/{TileRow}/{TileCol}</t>
  </si>
  <si>
    <t>2dms_wmts_v1_TOPO01K_V05</t>
  </si>
  <si>
    <t>臺東縣太麻里都市計畫(98年)</t>
  </si>
  <si>
    <t>WMTS_1/1000地形圖_臺東縣太麻里都市計畫(98年)</t>
  </si>
  <si>
    <t>https://wmts.nlsc.gov.tw/wmts/TOPO01K_V04/{Style}/{TileMatrixSet}/{TileMatrix}/{TileRow}/{TileCol}</t>
  </si>
  <si>
    <t>2dms_wmts_v1_TOPO01K_V04</t>
  </si>
  <si>
    <t>臺東縣大武都市計畫(99年)</t>
  </si>
  <si>
    <t>WMTS_1/1000地形圖_臺東縣大武都市計畫(99年)</t>
  </si>
  <si>
    <t>https://wmts.nlsc.gov.tw/wmts/TOPO01K_V03/{Style}/{TileMatrixSet}/{TileMatrix}/{TileRow}/{TileCol}</t>
  </si>
  <si>
    <t>2dms_wmts_v1_TOPO01K_V03</t>
  </si>
  <si>
    <t>臺東縣卑南南王都市計畫(99年)</t>
  </si>
  <si>
    <t>WMTS_1/1000地形圖_臺東縣卑南南王都市計畫(99年)</t>
  </si>
  <si>
    <t>https://wmts.nlsc.gov.tw/wmts/TOPO01K_V02/{Style}/{TileMatrixSet}/{TileMatrix}/{TileRow}/{TileCol}</t>
  </si>
  <si>
    <t>2dms_wmts_v1_TOPO01K_V02</t>
  </si>
  <si>
    <t>臺東縣八仙洞風景特定區(101年)</t>
  </si>
  <si>
    <t>WMTS_1/1000地形圖_臺東縣八仙洞風景特定區計畫(101年)</t>
  </si>
  <si>
    <t>https://wmts.nlsc.gov.tw/wmts/TOPO01K_V01/{Style}/{TileMatrixSet}/{TileMatrix}/{TileRow}/{TileCol}</t>
  </si>
  <si>
    <t>2dms_wmts_v1_TOPO01K_V01</t>
  </si>
  <si>
    <t>臺東縣三仙台風景特定區(101年)</t>
  </si>
  <si>
    <t>WMTS_1/1000地形圖_臺東縣三仙台風景特定區計畫(101年)</t>
  </si>
  <si>
    <t>https://wmts.nlsc.gov.tw/wmts/TOPO01K_U26/{Style}/{TileMatrixSet}/{TileMatrix}/{TileRow}/{TileCol}</t>
  </si>
  <si>
    <t>2dms_wmts_v1_TOPO01K_U26</t>
  </si>
  <si>
    <t>花蓮縣鳳林都市計畫_109年</t>
  </si>
  <si>
    <t>WMTS_1/1000地形圖_花蓮縣鳳林都市計畫(109年)</t>
  </si>
  <si>
    <t>https://wmts.nlsc.gov.tw/wmts/TOPO01K_U25/{Style}/{TileMatrixSet}/{TileMatrix}/{TileRow}/{TileCol}</t>
  </si>
  <si>
    <t>2dms_wmts_v1_TOPO01K_U25</t>
  </si>
  <si>
    <t>花蓮縣新城(北埔地區)都市計畫_109年</t>
  </si>
  <si>
    <t>WMTS_1/1000地形圖_花蓮縣新城(北埔地區)都市計畫(109年)</t>
  </si>
  <si>
    <t>https://wmts.nlsc.gov.tw/wmts/TOPO01K_U24/{Style}/{TileMatrixSet}/{TileMatrix}/{TileRow}/{TileCol}</t>
  </si>
  <si>
    <t>2dms_wmts_v1_TOPO01K_U24</t>
  </si>
  <si>
    <t>花蓮縣花蓮都市計畫_109年</t>
  </si>
  <si>
    <t>WMTS_1/1000地形圖_花蓮縣花蓮都市計畫(109年)</t>
  </si>
  <si>
    <t>https://wmts.nlsc.gov.tw/wmts/TOPO01K_U23/{Style}/{TileMatrixSet}/{TileMatrix}/{TileRow}/{TileCol}</t>
  </si>
  <si>
    <t>2dms_wmts_v1_TOPO01K_U23</t>
  </si>
  <si>
    <t>花蓮縣吉安都市計畫_109年</t>
  </si>
  <si>
    <t>WMTS_1/1000地形圖_花蓮縣吉安都市計畫(109年)</t>
  </si>
  <si>
    <t>https://wmts.nlsc.gov.tw/wmts/TOPO01K_U22/{Style}/{TileMatrixSet}/{TileMatrix}/{TileRow}/{TileCol}</t>
  </si>
  <si>
    <t>2dms_wmts_v1_TOPO01K_U22</t>
  </si>
  <si>
    <t>花蓮縣吉安(鄉公所)都市計畫_109年</t>
  </si>
  <si>
    <t>WMTS_1/1000地形圖_花蓮縣吉安(鄉公所)都市計畫(109年)</t>
  </si>
  <si>
    <t>https://wmts.nlsc.gov.tw/wmts/TOPO01K_U21/{Style}/{TileMatrixSet}/{TileMatrix}/{TileRow}/{TileCol}</t>
  </si>
  <si>
    <t>2dms_wmts_v1_TOPO01K_U21</t>
  </si>
  <si>
    <t>花蓮縣光復都市計畫_109年</t>
  </si>
  <si>
    <t>WMTS_1/1000地形圖_花蓮縣光復都市計畫(109年)</t>
  </si>
  <si>
    <t>https://wmts.nlsc.gov.tw/wmts/TOPO01K_U20/{Style}/{TileMatrixSet}/{TileMatrix}/{TileRow}/{TileCol}</t>
  </si>
  <si>
    <t>2dms_wmts_v1_TOPO01K_U20</t>
  </si>
  <si>
    <t>花蓮縣玉里都市計畫_111年</t>
  </si>
  <si>
    <t>WMTS_1/1000地形圖_花蓮縣玉里都市計畫(111年)</t>
  </si>
  <si>
    <t>https://wmts.nlsc.gov.tw/wmts/TOPO01K_U19/{Style}/{TileMatrixSet}/{TileMatrix}/{TileRow}/{TileCol}</t>
  </si>
  <si>
    <t>2dms_wmts_v1_TOPO01K_U19</t>
  </si>
  <si>
    <t>花蓮縣大花蓮都市計畫_111年</t>
  </si>
  <si>
    <t>WMTS_1/1000地形圖_花蓮縣大花蓮都市計畫(111年)</t>
  </si>
  <si>
    <t>https://wmts.nlsc.gov.tw/wmts/TOPO01K_U18/{Style}/{TileMatrixSet}/{TileMatrix}/{TileRow}/{TileCol}</t>
  </si>
  <si>
    <t>2dms_wmts_v1_TOPO01K_U18</t>
  </si>
  <si>
    <t>花蓮縣花蓮吉安新城都市計畫_109年</t>
  </si>
  <si>
    <t>WMTS_1/1000地形圖_花蓮縣花蓮吉安新城都市計畫(109年)</t>
  </si>
  <si>
    <t>https://wmts.nlsc.gov.tw/wmts/TOPO01K_U17/{Style}/{TileMatrixSet}/{TileMatrix}/{TileRow}/{TileCol}</t>
  </si>
  <si>
    <t>2dms_wmts_v1_TOPO01K_U17</t>
  </si>
  <si>
    <t>花蓮縣鳳林都市計畫_104年</t>
  </si>
  <si>
    <t>WMTS_1/1000地形圖_花蓮縣鳳林都市計畫(104年)</t>
  </si>
  <si>
    <t>https://wmts.nlsc.gov.tw/wmts/TOPO01K_U16/{Style}/{TileMatrixSet}/{TileMatrix}/{TileRow}/{TileCol}</t>
  </si>
  <si>
    <t>2dms_wmts_v1_TOPO01K_U16</t>
  </si>
  <si>
    <t>花蓮縣鯉魚潭風景特定區_106年</t>
  </si>
  <si>
    <t>WMTS_1/1000地形圖_花蓮縣鯉魚潭風景特定區計畫(106年)</t>
  </si>
  <si>
    <t>https://wmts.nlsc.gov.tw/wmts/TOPO01K_U15/{Style}/{TileMatrixSet}/{TileMatrix}/{TileRow}/{TileCol}</t>
  </si>
  <si>
    <t>2dms_wmts_v1_TOPO01K_U15</t>
  </si>
  <si>
    <t>花蓮縣花蓮都市計畫_104年</t>
  </si>
  <si>
    <t>WMTS_1/1000地形圖_花蓮縣花蓮都市計畫(104年)</t>
  </si>
  <si>
    <t>https://wmts.nlsc.gov.tw/wmts/TOPO01K_U14/{Style}/{TileMatrixSet}/{TileMatrix}/{TileRow}/{TileCol}</t>
  </si>
  <si>
    <t>2dms_wmts_v1_TOPO01K_U14</t>
  </si>
  <si>
    <t>花蓮縣秀林(崇德地區)都市計畫_107年</t>
  </si>
  <si>
    <t>WMTS_1/1000地形圖_花蓮縣秀林(崇德地區)都市計畫(107年)</t>
  </si>
  <si>
    <t>https://wmts.nlsc.gov.tw/wmts/TOPO01K_U13/{Style}/{TileMatrixSet}/{TileMatrix}/{TileRow}/{TileCol}</t>
  </si>
  <si>
    <t>2dms_wmts_v1_TOPO01K_U13</t>
  </si>
  <si>
    <t>花蓮縣秀林(和平地區)都市計畫_107年</t>
  </si>
  <si>
    <t>WMTS_1/1000地形圖_花蓮縣秀林(和平地區)都市計畫</t>
  </si>
  <si>
    <t>https://wmts.nlsc.gov.tw/wmts/TOPO01K_U12/{Style}/{TileMatrixSet}/{TileMatrix}/{TileRow}/{TileCol}</t>
  </si>
  <si>
    <t>2dms_wmts_v1_TOPO01K_U12</t>
  </si>
  <si>
    <t>花蓮縣磯崎風景特定區_107年</t>
  </si>
  <si>
    <t>WMTS_1/1000地形圖_花蓮縣磯崎風景特定區計畫(107年)</t>
  </si>
  <si>
    <t>https://wmts.nlsc.gov.tw/wmts/TOPO01K_U11/{Style}/{TileMatrixSet}/{TileMatrix}/{TileRow}/{TileCol}</t>
  </si>
  <si>
    <t>2dms_wmts_v1_TOPO01K_U11</t>
  </si>
  <si>
    <t>花蓮縣石梯秀姑巒風景特定區_107年</t>
  </si>
  <si>
    <t>WMTS_1/1000地形圖_花蓮縣石梯秀姑巒風景特定區計畫(107年)</t>
  </si>
  <si>
    <t>https://wmts.nlsc.gov.tw/wmts/TOPO01K_U10/{Style}/{TileMatrixSet}/{TileMatrix}/{TileRow}/{TileCol}</t>
  </si>
  <si>
    <t>2dms_wmts_v1_TOPO01K_U10</t>
  </si>
  <si>
    <t>花蓮縣瑞穗都市計畫_106年</t>
  </si>
  <si>
    <t>WMTS_1/1000地形圖_花蓮縣瑞穗都市計畫(106年)</t>
  </si>
  <si>
    <t>https://wmts.nlsc.gov.tw/wmts/TOPO01K_U09/{Style}/{TileMatrixSet}/{TileMatrix}/{TileRow}/{TileCol}</t>
  </si>
  <si>
    <t>2dms_wmts_v1_TOPO01K_U09</t>
  </si>
  <si>
    <t>花蓮縣玉里都市計畫_106年</t>
  </si>
  <si>
    <t>WMTS_1/1000地形圖_花蓮縣玉里都市計畫(106年)</t>
  </si>
  <si>
    <t>https://wmts.nlsc.gov.tw/wmts/TOPO01K_U08/{Style}/{TileMatrixSet}/{TileMatrix}/{TileRow}/{TileCol}</t>
  </si>
  <si>
    <t>2dms_wmts_v1_TOPO01K_U08</t>
  </si>
  <si>
    <t>花蓮縣東華大學城特定區_105年</t>
  </si>
  <si>
    <t>WMTS_1/1000地形圖_花蓮縣東華大學城特定區計畫(105年)</t>
  </si>
  <si>
    <t>https://wmts.nlsc.gov.tw/wmts/TOPO01K_U07/{Style}/{TileMatrixSet}/{TileMatrix}/{TileRow}/{TileCol}</t>
  </si>
  <si>
    <t>2dms_wmts_v1_TOPO01K_U07</t>
  </si>
  <si>
    <t>花蓮縣新城秀林都市計畫_107年</t>
  </si>
  <si>
    <t>WMTS_1/1000地形圖_花蓮縣新城秀林都市計畫(107年)</t>
  </si>
  <si>
    <t>https://wmts.nlsc.gov.tw/wmts/TOPO01K_U06/{Style}/{TileMatrixSet}/{TileMatrix}/{TileRow}/{TileCol}</t>
  </si>
  <si>
    <t>2dms_wmts_v1_TOPO01K_U06</t>
  </si>
  <si>
    <t>花蓮縣新城北埔都市計畫_104年</t>
  </si>
  <si>
    <t>WMTS_1/1000地形圖_花蓮縣新城(北埔地區)都市計畫(104年)</t>
  </si>
  <si>
    <t>https://wmts.nlsc.gov.tw/wmts/TOPO01K_U05/{Style}/{TileMatrixSet}/{TileMatrix}/{TileRow}/{TileCol}</t>
  </si>
  <si>
    <t>2dms_wmts_v1_TOPO01K_U05</t>
  </si>
  <si>
    <t>花蓮縣富里都市計畫_106年</t>
  </si>
  <si>
    <t>WMTS_1/1000地形圖_花蓮縣富里都市計畫(106年)</t>
  </si>
  <si>
    <t>https://wmts.nlsc.gov.tw/wmts/TOPO01K_U04/{Style}/{TileMatrixSet}/{TileMatrix}/{TileRow}/{TileCol}</t>
  </si>
  <si>
    <t>2dms_wmts_v1_TOPO01K_U04</t>
  </si>
  <si>
    <t>花蓮縣壽豐都市計畫_106年</t>
  </si>
  <si>
    <t>WMTS_1/1000地形圖_花蓮縣壽豐都市計畫(106年)</t>
  </si>
  <si>
    <t>https://wmts.nlsc.gov.tw/wmts/TOPO01K_U03/{Style}/{TileMatrixSet}/{TileMatrix}/{TileRow}/{TileCol}</t>
  </si>
  <si>
    <t>2dms_wmts_v1_TOPO01K_U03</t>
  </si>
  <si>
    <t>花蓮縣吉安都市計畫_104年</t>
  </si>
  <si>
    <t>WMTS_1/1000地形圖_花蓮縣吉安都市計畫(104年)</t>
  </si>
  <si>
    <t>https://wmts.nlsc.gov.tw/wmts/TOPO01K_U02/{Style}/{TileMatrixSet}/{TileMatrix}/{TileRow}/{TileCol}</t>
  </si>
  <si>
    <t>2dms_wmts_v1_TOPO01K_U02</t>
  </si>
  <si>
    <t>花蓮縣吉安(鄉公所)都市計畫_104年</t>
  </si>
  <si>
    <t>WMTS_1/1000地形圖_花蓮縣吉安(鄉公所)都市計畫(104年)</t>
  </si>
  <si>
    <t>https://wmts.nlsc.gov.tw/wmts/TOPO01K_U01/{Style}/{TileMatrixSet}/{TileMatrix}/{TileRow}/{TileCol}</t>
  </si>
  <si>
    <t>2dms_wmts_v1_TOPO01K_U01</t>
  </si>
  <si>
    <t>花蓮縣光復都市計畫_104年</t>
  </si>
  <si>
    <t>WMTS_1/1000地形圖_花蓮縣光復都市計畫(104年)</t>
  </si>
  <si>
    <t>https://wmts.nlsc.gov.tw/wmts/TOPO01K_T32/{Style}/{TileMatrixSet}/{TileMatrix}/{TileRow}/{TileCol}</t>
  </si>
  <si>
    <t>2dms_wmts_v1_TOPO01K_T32</t>
  </si>
  <si>
    <t>墾丁國家公園_104年</t>
  </si>
  <si>
    <t>WMTS_1/1000地形圖_屏東縣墾丁國家公園計畫(104年)</t>
  </si>
  <si>
    <t>https://wmts.nlsc.gov.tw/wmts/TOPO01K_T31/{Style}/{TileMatrixSet}/{TileMatrix}/{TileRow}/{TileCol}</t>
  </si>
  <si>
    <t>2dms_wmts_v1_TOPO01K_T31</t>
  </si>
  <si>
    <t>屏東縣麟洛都市計畫(100年)</t>
  </si>
  <si>
    <t>WMTS_1/1000地形圖_屏東縣麟洛都市計畫(100年)</t>
  </si>
  <si>
    <t>https://wmts.nlsc.gov.tw/wmts/TOPO01K_T30/{Style}/{TileMatrixSet}/{TileMatrix}/{TileRow}/{TileCol}</t>
  </si>
  <si>
    <t>2dms_wmts_v1_TOPO01K_T30</t>
  </si>
  <si>
    <t>屏東縣鹽埔都市計畫(100年)</t>
  </si>
  <si>
    <t>WMTS_1/1000地形圖_屏東縣鹽埔都市計畫(100年)</t>
  </si>
  <si>
    <t>https://wmts.nlsc.gov.tw/wmts/TOPO01K_T29/{Style}/{TileMatrixSet}/{TileMatrix}/{TileRow}/{TileCol}</t>
  </si>
  <si>
    <t>2dms_wmts_v1_TOPO01K_T29</t>
  </si>
  <si>
    <t>屏東縣鹽埔漁港特定區(102年)</t>
  </si>
  <si>
    <t>WMTS_1/1000地形圖_屏東縣鹽埔漁港特定區計畫(102年)</t>
  </si>
  <si>
    <t>https://wmts.nlsc.gov.tw/wmts/TOPO01K_T28/{Style}/{TileMatrixSet}/{TileMatrix}/{TileRow}/{TileCol}</t>
  </si>
  <si>
    <t>2dms_wmts_v1_TOPO01K_T28</t>
  </si>
  <si>
    <t>屏東縣高樹都市計畫(100年)</t>
  </si>
  <si>
    <t>WMTS_1/1000地形圖_屏東縣高樹都市計畫(100年)</t>
  </si>
  <si>
    <t>https://wmts.nlsc.gov.tw/wmts/TOPO01K_T27/{Style}/{TileMatrixSet}/{TileMatrix}/{TileRow}/{TileCol}</t>
  </si>
  <si>
    <t>2dms_wmts_v1_TOPO01K_T27</t>
  </si>
  <si>
    <t>屏東縣長治都市計畫(100年)</t>
  </si>
  <si>
    <t>WMTS_1/1000地形圖_屏東縣長治都市計畫(100年)</t>
  </si>
  <si>
    <t>https://wmts.nlsc.gov.tw/wmts/TOPO01K_T26/{Style}/{TileMatrixSet}/{TileMatrix}/{TileRow}/{TileCol}</t>
  </si>
  <si>
    <t>2dms_wmts_v1_TOPO01K_T26</t>
  </si>
  <si>
    <t>屏東縣里港都市計畫(100年)</t>
  </si>
  <si>
    <t>WMTS_1/1000地形圖_屏東縣里港都市計畫(100年)</t>
  </si>
  <si>
    <t>https://wmts.nlsc.gov.tw/wmts/TOPO01K_T25/{Style}/{TileMatrixSet}/{TileMatrix}/{TileRow}/{TileCol}</t>
  </si>
  <si>
    <t>2dms_wmts_v1_TOPO01K_T25</t>
  </si>
  <si>
    <t>屏東縣車城都市計畫(101年)</t>
  </si>
  <si>
    <t>WMTS_1/1000地形圖_屏東縣車城都市計畫(101年)</t>
  </si>
  <si>
    <t>https://wmts.nlsc.gov.tw/wmts/TOPO01K_T24/{Style}/{TileMatrixSet}/{TileMatrix}/{TileRow}/{TileCol}</t>
  </si>
  <si>
    <t>2dms_wmts_v1_TOPO01K_T24</t>
  </si>
  <si>
    <t>屏東縣萬巒都市計畫(101年)</t>
  </si>
  <si>
    <t>WMTS_1/1000地形圖_屏東縣萬巒都市計畫(101年)</t>
  </si>
  <si>
    <t>https://wmts.nlsc.gov.tw/wmts/TOPO01K_T23/{Style}/{TileMatrixSet}/{TileMatrix}/{TileRow}/{TileCol}</t>
  </si>
  <si>
    <t>2dms_wmts_v1_TOPO01K_T23</t>
  </si>
  <si>
    <t>屏東縣萬丹都市計畫(100年)</t>
  </si>
  <si>
    <t>WMTS_1/1000地形圖_屏東縣萬丹都市計畫(100年)</t>
  </si>
  <si>
    <t>https://wmts.nlsc.gov.tw/wmts/TOPO01K_T22/{Style}/{TileMatrixSet}/{TileMatrix}/{TileRow}/{TileCol}</t>
  </si>
  <si>
    <t>2dms_wmts_v1_TOPO01K_T22</t>
  </si>
  <si>
    <t>屏東縣竹田都市計畫(101年)</t>
  </si>
  <si>
    <t>WMTS_1/1000地形圖_屏東縣竹田都市計畫(101年)</t>
  </si>
  <si>
    <t>https://wmts.nlsc.gov.tw/wmts/TOPO01K_T21/{Style}/{TileMatrixSet}/{TileMatrix}/{TileRow}/{TileCol}</t>
  </si>
  <si>
    <t>2dms_wmts_v1_TOPO01K_T21</t>
  </si>
  <si>
    <t>屏東縣潮州都市計畫(98年)</t>
  </si>
  <si>
    <t>WMTS_1/1000地形圖_屏東縣潮州都市計畫(98年)</t>
  </si>
  <si>
    <t>https://wmts.nlsc.gov.tw/wmts/TOPO01K_T20/{Style}/{TileMatrixSet}/{TileMatrix}/{TileRow}/{TileCol}</t>
  </si>
  <si>
    <t>2dms_wmts_v1_TOPO01K_T20</t>
  </si>
  <si>
    <t>屏東縣滿州都市計畫(101年)</t>
  </si>
  <si>
    <t>WMTS_1/1000地形圖_屏東縣滿州都市計畫(101年)</t>
  </si>
  <si>
    <t>https://wmts.nlsc.gov.tw/wmts/TOPO01K_T19/{Style}/{TileMatrixSet}/{TileMatrix}/{TileRow}/{TileCol}</t>
  </si>
  <si>
    <t>2dms_wmts_v1_TOPO01K_T19</t>
  </si>
  <si>
    <t>屏東縣林邊都市計畫(99年)</t>
  </si>
  <si>
    <t>WMTS_1/1000地形圖_屏東縣林邊都市計畫(99年)</t>
  </si>
  <si>
    <t>https://wmts.nlsc.gov.tw/wmts/TOPO01K_T18/{Style}/{TileMatrixSet}/{TileMatrix}/{TileRow}/{TileCol}</t>
  </si>
  <si>
    <t>2dms_wmts_v1_TOPO01K_T18</t>
  </si>
  <si>
    <t>屏東縣林邊都市計畫(100年)</t>
  </si>
  <si>
    <t>WMTS_1/1000地形圖_屏東縣林邊都市計畫(100年)</t>
  </si>
  <si>
    <t>https://wmts.nlsc.gov.tw/wmts/TOPO01K_T17/{Style}/{TileMatrixSet}/{TileMatrix}/{TileRow}/{TileCol}</t>
  </si>
  <si>
    <t>2dms_wmts_v1_TOPO01K_T17</t>
  </si>
  <si>
    <t>屏東縣枋寮都市計畫(100年)</t>
  </si>
  <si>
    <t>WMTS_1/1000地形圖_屏東縣枋寮都市計畫(100年)</t>
  </si>
  <si>
    <t>https://wmts.nlsc.gov.tw/wmts/TOPO01K_T16/{Style}/{TileMatrixSet}/{TileMatrix}/{TileRow}/{TileCol}</t>
  </si>
  <si>
    <t>2dms_wmts_v1_TOPO01K_T16</t>
  </si>
  <si>
    <t>屏東縣枋寮水底寮都市計畫(100年)</t>
  </si>
  <si>
    <t>WMTS_1/1000地形圖_屏東縣枋寮水底寮都市計畫(100年)</t>
  </si>
  <si>
    <t>https://wmts.nlsc.gov.tw/wmts/TOPO01K_T15/{Style}/{TileMatrixSet}/{TileMatrix}/{TileRow}/{TileCol}</t>
  </si>
  <si>
    <t>2dms_wmts_v1_TOPO01K_T15</t>
  </si>
  <si>
    <t>屏東縣東港都市計畫(99年)</t>
  </si>
  <si>
    <t>WMTS_1/1000地形圖_屏東縣東港都市計畫(99年)</t>
  </si>
  <si>
    <t>https://wmts.nlsc.gov.tw/wmts/TOPO01K_T14/{Style}/{TileMatrixSet}/{TileMatrix}/{TileRow}/{TileCol}</t>
  </si>
  <si>
    <t>2dms_wmts_v1_TOPO01K_T14</t>
  </si>
  <si>
    <t>屏東縣新埤都市計畫(100年)</t>
  </si>
  <si>
    <t>WMTS_1/1000地形圖_屏東縣新埤都市計畫(100年)</t>
  </si>
  <si>
    <t>https://wmts.nlsc.gov.tw/wmts/TOPO01K_T13/{Style}/{TileMatrixSet}/{TileMatrix}/{TileRow}/{TileCol}</t>
  </si>
  <si>
    <t>2dms_wmts_v1_TOPO01K_T13</t>
  </si>
  <si>
    <t>屏東縣新園都市計畫(100年)</t>
  </si>
  <si>
    <t>WMTS_1/1000地形圖_屏東縣新園都市計畫(100年)</t>
  </si>
  <si>
    <t>https://wmts.nlsc.gov.tw/wmts/TOPO01K_T12/{Style}/{TileMatrixSet}/{TileMatrix}/{TileRow}/{TileCol}</t>
  </si>
  <si>
    <t>2dms_wmts_v1_TOPO01K_T12</t>
  </si>
  <si>
    <t>屏東縣新園烏龍都市計畫(100年)</t>
  </si>
  <si>
    <t>WMTS_1/1000地形圖_屏東縣新園烏龍都市計畫(100年)</t>
  </si>
  <si>
    <t>https://wmts.nlsc.gov.tw/wmts/TOPO01K_T11/{Style}/{TileMatrixSet}/{TileMatrix}/{TileRow}/{TileCol}</t>
  </si>
  <si>
    <t>2dms_wmts_v1_TOPO01K_T11</t>
  </si>
  <si>
    <t>屏東縣恆春都市計畫(100年)</t>
  </si>
  <si>
    <t>WMTS_1/1000地形圖_屏東縣恆春都市計畫(100年)</t>
  </si>
  <si>
    <t>https://wmts.nlsc.gov.tw/wmts/TOPO01K_T10/{Style}/{TileMatrixSet}/{TileMatrix}/{TileRow}/{TileCol}</t>
  </si>
  <si>
    <t>2dms_wmts_v1_TOPO01K_T10</t>
  </si>
  <si>
    <t>屏東縣崁頂都市計畫(101年)</t>
  </si>
  <si>
    <t>WMTS_1/1000地形圖_屏東縣崁頂都市計畫(101年)</t>
  </si>
  <si>
    <t>https://wmts.nlsc.gov.tw/wmts/TOPO01K_T09/{Style}/{TileMatrixSet}/{TileMatrix}/{TileRow}/{TileCol}</t>
  </si>
  <si>
    <t>2dms_wmts_v1_TOPO01K_T09</t>
  </si>
  <si>
    <t>屏東縣屏東都市計畫(93-94年)</t>
  </si>
  <si>
    <t>WMTS_1/1000地形圖_屏東縣屏東都市計畫(93-94年)</t>
  </si>
  <si>
    <t>https://wmts.nlsc.gov.tw/wmts/TOPO01K_T08/{Style}/{TileMatrixSet}/{TileMatrix}/{TileRow}/{TileCol}</t>
  </si>
  <si>
    <t>2dms_wmts_v1_TOPO01K_T08</t>
  </si>
  <si>
    <t>屏東縣小琉球風景特定區(102年)</t>
  </si>
  <si>
    <t>WMTS_1/1000地形圖_屏東縣小琉球風景特定區計畫(102年)</t>
  </si>
  <si>
    <t>https://wmts.nlsc.gov.tw/wmts/TOPO01K_T07/{Style}/{TileMatrixSet}/{TileMatrix}/{TileRow}/{TileCol}</t>
  </si>
  <si>
    <t>2dms_wmts_v1_TOPO01K_T07</t>
  </si>
  <si>
    <t>屏東縣大鵬灣風景特定區(102年)</t>
  </si>
  <si>
    <t>WMTS_1/1000地形圖_屏東縣大鵬灣風景特定區計畫(102年)</t>
  </si>
  <si>
    <t>https://wmts.nlsc.gov.tw/wmts/TOPO01K_T06/{Style}/{TileMatrixSet}/{TileMatrix}/{TileRow}/{TileCol}</t>
  </si>
  <si>
    <t>2dms_wmts_v1_TOPO01K_T06</t>
  </si>
  <si>
    <t>屏東縣南州都市計畫(101年)</t>
  </si>
  <si>
    <t>WMTS_1/1000地形圖_屏東縣南州都市計畫(101年)</t>
  </si>
  <si>
    <t>https://wmts.nlsc.gov.tw/wmts/TOPO01K_T05/{Style}/{TileMatrixSet}/{TileMatrix}/{TileRow}/{TileCol}</t>
  </si>
  <si>
    <t>2dms_wmts_v1_TOPO01K_T05</t>
  </si>
  <si>
    <t>屏東縣內埔都市計畫(100年)</t>
  </si>
  <si>
    <t>WMTS_1/1000地形圖_屏東縣內埔都市計畫(100年)</t>
  </si>
  <si>
    <t>https://wmts.nlsc.gov.tw/wmts/TOPO01K_T04/{Style}/{TileMatrixSet}/{TileMatrix}/{TileRow}/{TileCol}</t>
  </si>
  <si>
    <t>2dms_wmts_v1_TOPO01K_T04</t>
  </si>
  <si>
    <t>屏東縣內埔龍泉都市計畫(100年)</t>
  </si>
  <si>
    <t>WMTS_1/1000地形圖_屏東縣內埔龍泉都市計畫(100年)</t>
  </si>
  <si>
    <t>https://wmts.nlsc.gov.tw/wmts/TOPO01K_T03/{Style}/{TileMatrixSet}/{TileMatrix}/{TileRow}/{TileCol}</t>
  </si>
  <si>
    <t>2dms_wmts_v1_TOPO01K_T03</t>
  </si>
  <si>
    <t>屏東縣內埔豐田都市計畫(100年)</t>
  </si>
  <si>
    <t>WMTS_1/1000地形圖_屏東縣內埔豐田都市計畫(100年)</t>
  </si>
  <si>
    <t>https://wmts.nlsc.gov.tw/wmts/TOPO01K_T02/{Style}/{TileMatrixSet}/{TileMatrix}/{TileRow}/{TileCol}</t>
  </si>
  <si>
    <t>2dms_wmts_v1_TOPO01K_T02</t>
  </si>
  <si>
    <t>屏東縣佳冬都市計畫(100年)</t>
  </si>
  <si>
    <t>WMTS_1/1000地形圖_屏東縣佳冬都市計畫(100年)</t>
  </si>
  <si>
    <t>https://wmts.nlsc.gov.tw/wmts/TOPO01K_T01/{Style}/{TileMatrixSet}/{TileMatrix}/{TileRow}/{TileCol}</t>
  </si>
  <si>
    <t>2dms_wmts_v1_TOPO01K_T01</t>
  </si>
  <si>
    <t>屏東縣九如都市計畫(100年)</t>
  </si>
  <si>
    <t>WMTS_1/1000地形圖_屏東縣九如都市計畫(100年)</t>
  </si>
  <si>
    <t>https://wmts.nlsc.gov.tw/wmts/TOPO01K_Q29/{Style}/{TileMatrixSet}/{TileMatrix}/{TileRow}/{TileCol}</t>
  </si>
  <si>
    <t>2dms_wmts_v1_TOPO01K_Q29</t>
  </si>
  <si>
    <t>嘉義縣阿里山風景區_110年</t>
  </si>
  <si>
    <t>WMTS_1/1000地形圖_嘉義縣阿里山風景區計畫(110年)</t>
  </si>
  <si>
    <t>https://wmts.nlsc.gov.tw/wmts/TOPO01K_Q27/{Style}/{TileMatrixSet}/{TileMatrix}/{TileRow}/{TileCol}</t>
  </si>
  <si>
    <t>2dms_wmts_v1_TOPO01K_Q27</t>
  </si>
  <si>
    <t>嘉義縣鹿草都市計畫_99年</t>
  </si>
  <si>
    <t>WMTS_1/1000地形圖_嘉義縣鹿草都市計畫(99年)</t>
  </si>
  <si>
    <t>https://wmts.nlsc.gov.tw/wmts/TOPO01K_Q26/{Style}/{TileMatrixSet}/{TileMatrix}/{TileRow}/{TileCol}</t>
  </si>
  <si>
    <t>2dms_wmts_v1_TOPO01K_Q26</t>
  </si>
  <si>
    <t>嘉義縣高速鐵路嘉義車站特定區_94年</t>
  </si>
  <si>
    <t>WMTS_1/1000地形圖_嘉義縣高速鐵路嘉義車站特定區計畫(94年)</t>
  </si>
  <si>
    <t>https://wmts.nlsc.gov.tw/wmts/TOPO01K_Q25/{Style}/{TileMatrixSet}/{TileMatrix}/{TileRow}/{TileCol}</t>
  </si>
  <si>
    <t>2dms_wmts_v1_TOPO01K_Q25</t>
  </si>
  <si>
    <t>嘉義縣高速公路嘉義交流道特定區_98年</t>
  </si>
  <si>
    <t>WMTS_1/1000地形圖_嘉義縣高速公路嘉義交流道特定區計畫(98年)</t>
  </si>
  <si>
    <t>https://wmts.nlsc.gov.tw/wmts/TOPO01K_Q24/{Style}/{TileMatrixSet}/{TileMatrix}/{TileRow}/{TileCol}</t>
  </si>
  <si>
    <t>2dms_wmts_v1_TOPO01K_Q24</t>
  </si>
  <si>
    <t>嘉義縣阿里山達邦地區都市計畫_99年</t>
  </si>
  <si>
    <t>WMTS_1/1000地形圖_嘉義縣阿里山達邦地區都市計畫(99年)</t>
  </si>
  <si>
    <t>https://wmts.nlsc.gov.tw/wmts/TOPO01K_Q23/{Style}/{TileMatrixSet}/{TileMatrix}/{TileRow}/{TileCol}</t>
  </si>
  <si>
    <t>2dms_wmts_v1_TOPO01K_Q23</t>
  </si>
  <si>
    <t>嘉義縣義竹都市計畫_98年</t>
  </si>
  <si>
    <t>WMTS_1/1000地形圖_嘉義縣義竹都市計畫(98年)</t>
  </si>
  <si>
    <t>https://wmts.nlsc.gov.tw/wmts/TOPO01K_Q22/{Style}/{TileMatrixSet}/{TileMatrix}/{TileRow}/{TileCol}</t>
  </si>
  <si>
    <t>2dms_wmts_v1_TOPO01K_Q22</t>
  </si>
  <si>
    <t>嘉義縣縣治所在地都市計畫_94年</t>
  </si>
  <si>
    <t>WMTS_1/1000地形圖_嘉義縣縣治所在地都市計畫(94年)</t>
  </si>
  <si>
    <t>https://wmts.nlsc.gov.tw/wmts/TOPO01K_Q21/{Style}/{TileMatrixSet}/{TileMatrix}/{TileRow}/{TileCol}</t>
  </si>
  <si>
    <t>2dms_wmts_v1_TOPO01K_Q21</t>
  </si>
  <si>
    <t>嘉義縣竹崎都市計畫_99年</t>
  </si>
  <si>
    <t>WMTS_1/1000地形圖_嘉義縣竹崎都市計畫(99年)</t>
  </si>
  <si>
    <t>https://wmts.nlsc.gov.tw/wmts/TOPO01K_Q20/{Style}/{TileMatrixSet}/{TileMatrix}/{TileRow}/{TileCol}</t>
  </si>
  <si>
    <t>2dms_wmts_v1_TOPO01K_Q20</t>
  </si>
  <si>
    <t>嘉義縣溪口都市計畫_97年</t>
  </si>
  <si>
    <t>WMTS_1/1000地形圖_嘉義縣溪口都市計畫(97年)</t>
  </si>
  <si>
    <t>https://wmts.nlsc.gov.tw/wmts/TOPO01K_Q19/{Style}/{TileMatrixSet}/{TileMatrix}/{TileRow}/{TileCol}</t>
  </si>
  <si>
    <t>2dms_wmts_v1_TOPO01K_Q19</t>
  </si>
  <si>
    <t>嘉義縣水上都市計畫_98年</t>
  </si>
  <si>
    <t>WMTS_1/1000地形圖_嘉義縣水上都市計畫(98年)</t>
  </si>
  <si>
    <t>https://wmts.nlsc.gov.tw/wmts/TOPO01K_Q18/{Style}/{TileMatrixSet}/{TileMatrix}/{TileRow}/{TileCol}</t>
  </si>
  <si>
    <t>2dms_wmts_v1_TOPO01K_Q18</t>
  </si>
  <si>
    <t>嘉義縣水上北回都市計畫_98年</t>
  </si>
  <si>
    <t>WMTS_1/1000地形圖_嘉義縣水上北回都市計畫(98年)</t>
  </si>
  <si>
    <t>https://wmts.nlsc.gov.tw/wmts/TOPO01K_Q17/{Style}/{TileMatrixSet}/{TileMatrix}/{TileRow}/{TileCol}</t>
  </si>
  <si>
    <t>2dms_wmts_v1_TOPO01K_Q17</t>
  </si>
  <si>
    <t>嘉義縣民雄頭橋地區都市計畫_97年</t>
  </si>
  <si>
    <t>WMTS_1/1000地形圖_嘉義縣民雄頭橋地區都市計畫(97年)</t>
  </si>
  <si>
    <t>https://wmts.nlsc.gov.tw/wmts/TOPO01K_Q16/{Style}/{TileMatrixSet}/{TileMatrix}/{TileRow}/{TileCol}</t>
  </si>
  <si>
    <t>2dms_wmts_v1_TOPO01K_Q16</t>
  </si>
  <si>
    <t>嘉義縣民雄都市計畫_97年</t>
  </si>
  <si>
    <t>WMTS_1/1000地形圖_嘉義縣民雄都市計畫(97年)</t>
  </si>
  <si>
    <t>https://wmts.nlsc.gov.tw/wmts/TOPO01K_Q15/{Style}/{TileMatrixSet}/{TileMatrix}/{TileRow}/{TileCol}</t>
  </si>
  <si>
    <t>2dms_wmts_v1_TOPO01K_Q15</t>
  </si>
  <si>
    <t>嘉義縣梅山都市計畫_97年</t>
  </si>
  <si>
    <t>WMTS_1/1000地形圖_嘉義縣梅山都市計畫(97年)</t>
  </si>
  <si>
    <t>https://wmts.nlsc.gov.tw/wmts/TOPO01K_Q14/{Style}/{TileMatrixSet}/{TileMatrix}/{TileRow}/{TileCol}</t>
  </si>
  <si>
    <t>2dms_wmts_v1_TOPO01K_Q14</t>
  </si>
  <si>
    <t>嘉義縣朴子都市計畫_94年</t>
  </si>
  <si>
    <t>WMTS_1/1000地形圖_嘉義縣朴子都市計畫(94年)</t>
  </si>
  <si>
    <t>https://wmts.nlsc.gov.tw/wmts/TOPO01K_Q13/{Style}/{TileMatrixSet}/{TileMatrix}/{TileRow}/{TileCol}</t>
  </si>
  <si>
    <t>2dms_wmts_v1_TOPO01K_Q13</t>
  </si>
  <si>
    <t>嘉義縣曾文水庫特定區_101年</t>
  </si>
  <si>
    <t>WMTS_1/1000地形圖_嘉義縣曾文水庫特定區計畫(101年)</t>
  </si>
  <si>
    <t>https://wmts.nlsc.gov.tw/wmts/TOPO01K_Q12/{Style}/{TileMatrixSet}/{TileMatrix}/{TileRow}/{TileCol}</t>
  </si>
  <si>
    <t>2dms_wmts_v1_TOPO01K_Q12</t>
  </si>
  <si>
    <t>嘉義縣新港都市計畫_97年</t>
  </si>
  <si>
    <t>WMTS_1/1000地形圖_嘉義縣新港都市計畫(97年)</t>
  </si>
  <si>
    <t>https://wmts.nlsc.gov.tw/wmts/TOPO01K_Q11/{Style}/{TileMatrixSet}/{TileMatrix}/{TileRow}/{TileCol}</t>
  </si>
  <si>
    <t>2dms_wmts_v1_TOPO01K_Q11</t>
  </si>
  <si>
    <t>嘉義縣布袋都市計畫_98年</t>
  </si>
  <si>
    <t>WMTS_1/1000地形圖_嘉義縣布袋都市計畫(98年)</t>
  </si>
  <si>
    <t>https://wmts.nlsc.gov.tw/wmts/TOPO01K_Q10/{Style}/{TileMatrixSet}/{TileMatrix}/{TileRow}/{TileCol}</t>
  </si>
  <si>
    <t>2dms_wmts_v1_TOPO01K_Q10</t>
  </si>
  <si>
    <t>嘉義縣太保都市計畫_94年</t>
  </si>
  <si>
    <t>WMTS_1/1000地形圖_嘉義縣太保都市計畫(94年)</t>
  </si>
  <si>
    <t>https://wmts.nlsc.gov.tw/wmts/TOPO01K_Q09/{Style}/{TileMatrixSet}/{TileMatrix}/{TileRow}/{TileCol}</t>
  </si>
  <si>
    <t>2dms_wmts_v1_TOPO01K_Q09</t>
  </si>
  <si>
    <t>嘉義縣大林都市計畫_97年</t>
  </si>
  <si>
    <t>WMTS_1/1000地形圖_嘉義縣大林都市計畫(97年)</t>
  </si>
  <si>
    <t>https://wmts.nlsc.gov.tw/wmts/TOPO01K_Q08/{Style}/{TileMatrixSet}/{TileMatrix}/{TileRow}/{TileCol}</t>
  </si>
  <si>
    <t>2dms_wmts_v1_TOPO01K_Q08</t>
  </si>
  <si>
    <t>嘉義縣大埔都市計畫_101年</t>
  </si>
  <si>
    <t>WMTS_1/1000地形圖_嘉義縣大埔都市計畫(101年)</t>
  </si>
  <si>
    <t>https://wmts.nlsc.gov.tw/wmts/TOPO01K_Q07/{Style}/{TileMatrixSet}/{TileMatrix}/{TileRow}/{TileCol}</t>
  </si>
  <si>
    <t>2dms_wmts_v1_TOPO01K_Q07</t>
  </si>
  <si>
    <t>嘉義縣吳鳳廟特定區_99年</t>
  </si>
  <si>
    <t>WMTS_1/1000地形圖_嘉義縣吳鳳廟特定區計畫(99年)</t>
  </si>
  <si>
    <t>https://wmts.nlsc.gov.tw/wmts/TOPO01K_Q06/{Style}/{TileMatrixSet}/{TileMatrix}/{TileRow}/{TileCol}</t>
  </si>
  <si>
    <t>2dms_wmts_v1_TOPO01K_Q06</t>
  </si>
  <si>
    <t>嘉義縣六腳蒜頭都市計畫_98年</t>
  </si>
  <si>
    <t>WMTS_1/1000地形圖_嘉義縣六腳蒜頭都市計畫(98年)</t>
  </si>
  <si>
    <t>https://wmts.nlsc.gov.tw/wmts/TOPO01K_Q05/{Style}/{TileMatrixSet}/{TileMatrix}/{TileRow}/{TileCol}</t>
  </si>
  <si>
    <t>2dms_wmts_v1_TOPO01K_Q05</t>
  </si>
  <si>
    <t>嘉義縣仁義潭風景特定區_99年</t>
  </si>
  <si>
    <t>WMTS_1/1000地形圖_嘉義縣仁義潭風景特定區計畫(99年)</t>
  </si>
  <si>
    <t>https://wmts.nlsc.gov.tw/wmts/TOPO01K_Q04/{Style}/{TileMatrixSet}/{TileMatrix}/{TileRow}/{TileCol}</t>
  </si>
  <si>
    <t>2dms_wmts_v1_TOPO01K_Q04</t>
  </si>
  <si>
    <t>嘉義縣中正大學特定區_97年</t>
  </si>
  <si>
    <t>WMTS_1/1000地形圖_嘉義縣中正大學特定區計畫(97年)</t>
  </si>
  <si>
    <t>https://wmts.nlsc.gov.tw/wmts/TOPO01K_Q03/{Style}/{TileMatrixSet}/{TileMatrix}/{TileRow}/{TileCol}</t>
  </si>
  <si>
    <t>2dms_wmts_v1_TOPO01K_Q03</t>
  </si>
  <si>
    <t>嘉義縣中崙風景特定區_99年</t>
  </si>
  <si>
    <t>WMTS_1/1000地形圖_嘉義縣中崙風景特定區計畫(99年)</t>
  </si>
  <si>
    <t>https://wmts.nlsc.gov.tw/wmts/TOPO01K_Q02/{Style}/{TileMatrixSet}/{TileMatrix}/{TileRow}/{TileCol}</t>
  </si>
  <si>
    <t>2dms_wmts_v1_TOPO01K_Q02</t>
  </si>
  <si>
    <t>嘉義縣中埔都市計畫_99年</t>
  </si>
  <si>
    <t>WMTS_1/1000地形圖_嘉義縣中埔都市計畫(99年)</t>
  </si>
  <si>
    <t>https://wmts.nlsc.gov.tw/wmts/TOPO01K_Q01/{Style}/{TileMatrixSet}/{TileMatrix}/{TileRow}/{TileCol}</t>
  </si>
  <si>
    <t>2dms_wmts_v1_TOPO01K_Q01</t>
  </si>
  <si>
    <t>嘉義縣中埔和睦地區都市計畫_99年</t>
  </si>
  <si>
    <t>WMTS_1/1000地形圖_嘉義縣中埔和睦地區都市計畫(99年)</t>
  </si>
  <si>
    <t>https://wmts.nlsc.gov.tw/wmts/TOPO01K_P15/{Style}/{TileMatrixSet}/{TileMatrix}/{TileRow}/{TileCol}</t>
  </si>
  <si>
    <t>2dms_wmts_v1_TOPO01K_P15</t>
  </si>
  <si>
    <t>雲林縣褒忠都市計畫(97年)</t>
  </si>
  <si>
    <t>WMTS_1/1000地形圖_雲林縣褒忠都市計畫(97年)</t>
  </si>
  <si>
    <t>https://wmts.nlsc.gov.tw/wmts/TOPO01K_P14/{Style}/{TileMatrixSet}/{TileMatrix}/{TileRow}/{TileCol}</t>
  </si>
  <si>
    <t>2dms_wmts_v1_TOPO01K_P14</t>
  </si>
  <si>
    <t>雲林縣草嶺都市計畫(97年)</t>
  </si>
  <si>
    <t>WMTS_1/1000地形圖_雲林縣草嶺都市計畫(97年)</t>
  </si>
  <si>
    <t>https://wmts.nlsc.gov.tw/wmts/TOPO01K_P13/{Style}/{TileMatrixSet}/{TileMatrix}/{TileRow}/{TileCol}</t>
  </si>
  <si>
    <t>2dms_wmts_v1_TOPO01K_P13</t>
  </si>
  <si>
    <t>雲林縣箔子寮漁港特定區(97年)</t>
  </si>
  <si>
    <t>WMTS_1/1000地形圖_雲林縣箔子寮漁港特定區計畫(97年)</t>
  </si>
  <si>
    <t>https://wmts.nlsc.gov.tw/wmts/TOPO01K_P12/{Style}/{TileMatrixSet}/{TileMatrix}/{TileRow}/{TileCol}</t>
  </si>
  <si>
    <t>2dms_wmts_v1_TOPO01K_P12</t>
  </si>
  <si>
    <t>雲林縣林內都市計畫(97年)</t>
  </si>
  <si>
    <t>WMTS_1/1000地形圖_雲林縣林內都市計畫(97年)</t>
  </si>
  <si>
    <t>https://wmts.nlsc.gov.tw/wmts/TOPO01K_P11/{Style}/{TileMatrixSet}/{TileMatrix}/{TileRow}/{TileCol}</t>
  </si>
  <si>
    <t>2dms_wmts_v1_TOPO01K_P11</t>
  </si>
  <si>
    <t>雲林縣東勢都市計畫(97年)</t>
  </si>
  <si>
    <t>WMTS_1/1000地形圖_雲林縣東勢都市計畫(97年)</t>
  </si>
  <si>
    <t>https://wmts.nlsc.gov.tw/wmts/TOPO01K_P10/{Style}/{TileMatrixSet}/{TileMatrix}/{TileRow}/{TileCol}</t>
  </si>
  <si>
    <t>2dms_wmts_v1_TOPO01K_P10</t>
  </si>
  <si>
    <t>雲林縣斗南交流道特定區(98年)</t>
  </si>
  <si>
    <t>WMTS_1/1000地形圖_雲林縣斗南交流道特定區計畫(98年)</t>
  </si>
  <si>
    <t>https://wmts.nlsc.gov.tw/wmts/TOPO01K_P09/{Style}/{TileMatrixSet}/{TileMatrix}/{TileRow}/{TileCol}</t>
  </si>
  <si>
    <t>2dms_wmts_v1_TOPO01K_P09</t>
  </si>
  <si>
    <t>雲林縣斗六都市計畫(99年)</t>
  </si>
  <si>
    <t>WMTS_1/1000地形圖_雲林縣斗六都市計畫(99年)</t>
  </si>
  <si>
    <t>https://wmts.nlsc.gov.tw/wmts/TOPO01K_P08/{Style}/{TileMatrixSet}/{TileMatrix}/{TileRow}/{TileCol}</t>
  </si>
  <si>
    <t>2dms_wmts_v1_TOPO01K_P08</t>
  </si>
  <si>
    <t>雲林縣斗六嘉東特定區(97年)</t>
  </si>
  <si>
    <t>WMTS_1/1000地形圖_雲林縣斗六嘉東特定區計畫(97年)</t>
  </si>
  <si>
    <t>https://wmts.nlsc.gov.tw/wmts/TOPO01K_P07/{Style}/{TileMatrixSet}/{TileMatrix}/{TileRow}/{TileCol}</t>
  </si>
  <si>
    <t>2dms_wmts_v1_TOPO01K_P07</t>
  </si>
  <si>
    <t>雲林縣崙背都市計畫(97年)</t>
  </si>
  <si>
    <t>WMTS_1/1000地形圖_雲林縣崙背都市計畫(97年)</t>
  </si>
  <si>
    <t>https://wmts.nlsc.gov.tw/wmts/TOPO01K_P06/{Style}/{TileMatrixSet}/{TileMatrix}/{TileRow}/{TileCol}</t>
  </si>
  <si>
    <t>2dms_wmts_v1_TOPO01K_P06</t>
  </si>
  <si>
    <t>雲林縣大埤都市計畫(97年)</t>
  </si>
  <si>
    <t>WMTS_1/1000地形圖_雲林縣大埤都市計畫(97年)</t>
  </si>
  <si>
    <t>https://wmts.nlsc.gov.tw/wmts/TOPO01K_P05/{Style}/{TileMatrixSet}/{TileMatrix}/{TileRow}/{TileCol}</t>
  </si>
  <si>
    <t>2dms_wmts_v1_TOPO01K_P05</t>
  </si>
  <si>
    <t>雲林縣四湖都市計畫(97年)</t>
  </si>
  <si>
    <t>WMTS_1/1000地形圖_雲林縣四湖都市計畫(97年)</t>
  </si>
  <si>
    <t>https://wmts.nlsc.gov.tw/wmts/TOPO01K_P04/{Style}/{TileMatrixSet}/{TileMatrix}/{TileRow}/{TileCol}</t>
  </si>
  <si>
    <t>2dms_wmts_v1_TOPO01K_P04</t>
  </si>
  <si>
    <t>雲林縣台西都市計畫(97年)</t>
  </si>
  <si>
    <t>WMTS_1/1000地形圖_雲林縣台西都市計畫(97年)</t>
  </si>
  <si>
    <t>https://wmts.nlsc.gov.tw/wmts/TOPO01K_P03/{Style}/{TileMatrixSet}/{TileMatrix}/{TileRow}/{TileCol}</t>
  </si>
  <si>
    <t>2dms_wmts_v1_TOPO01K_P03</t>
  </si>
  <si>
    <t>雲林縣古坑都市計畫(100年)</t>
  </si>
  <si>
    <t>WMTS_1/1000地形圖_雲林縣古坑都市計畫(100年)</t>
  </si>
  <si>
    <t>https://wmts.nlsc.gov.tw/wmts/TOPO01K_P02/{Style}/{TileMatrixSet}/{TileMatrix}/{TileRow}/{TileCol}</t>
  </si>
  <si>
    <t>2dms_wmts_v1_TOPO01K_P02</t>
  </si>
  <si>
    <t>雲林縣元長都市計畫(100年)</t>
  </si>
  <si>
    <t>WMTS_1/1000地形圖_雲林縣元長都市計畫(100年)</t>
  </si>
  <si>
    <t>https://wmts.nlsc.gov.tw/wmts/TOPO01K_P01/{Style}/{TileMatrixSet}/{TileMatrix}/{TileRow}/{TileCol}</t>
  </si>
  <si>
    <t>2dms_wmts_v1_TOPO01K_P01</t>
  </si>
  <si>
    <t>雲林縣二崙都市計畫(99年)</t>
  </si>
  <si>
    <t>WMTS_1/1000地形圖_雲林縣二崙都市計畫(99年)</t>
  </si>
  <si>
    <t>https://wmts.nlsc.gov.tw/wmts/TOPO01K_O08/{Style}/{TileMatrixSet}/{TileMatrix}/{TileRow}/{TileCol}</t>
  </si>
  <si>
    <t>2dms_wmts_v1_TOPO01K_O08</t>
  </si>
  <si>
    <t>新竹市香山區_111年</t>
  </si>
  <si>
    <t>WMTS_1/1000地形圖_新竹市香山區都市計畫(111年)</t>
  </si>
  <si>
    <t>https://wmts.nlsc.gov.tw/wmts/TOPO01K_O07/{Style}/{TileMatrixSet}/{TileMatrix}/{TileRow}/{TileCol}</t>
  </si>
  <si>
    <t>2dms_wmts_v1_TOPO01K_O07</t>
  </si>
  <si>
    <t>新竹市香山區_108年</t>
  </si>
  <si>
    <t>WMTS_1/1000地形圖_新竹市香山區都市計畫(108年)</t>
  </si>
  <si>
    <t>https://wmts.nlsc.gov.tw/wmts/TOPO01K_O06/{Style}/{TileMatrixSet}/{TileMatrix}/{TileRow}/{TileCol}</t>
  </si>
  <si>
    <t>2dms_wmts_v1_TOPO01K_O06</t>
  </si>
  <si>
    <t>新竹市東區_112年</t>
  </si>
  <si>
    <t>WMTS_1/1000地形圖_新竹市東區都市計畫(112年)</t>
  </si>
  <si>
    <t>https://wmts.nlsc.gov.tw/wmts/TOPO01K_O05/{Style}/{TileMatrixSet}/{TileMatrix}/{TileRow}/{TileCol}</t>
  </si>
  <si>
    <t>2dms_wmts_v1_TOPO01K_O05</t>
  </si>
  <si>
    <t>新竹市東區_109年</t>
  </si>
  <si>
    <t>WMTS_1/1000地形圖_新竹市東區都市計畫(109年)</t>
  </si>
  <si>
    <t>https://wmts.nlsc.gov.tw/wmts/TOPO01K_O04/{Style}/{TileMatrixSet}/{TileMatrix}/{TileRow}/{TileCol}</t>
  </si>
  <si>
    <t>2dms_wmts_v1_TOPO01K_O04</t>
  </si>
  <si>
    <t>新竹市北區_113年</t>
  </si>
  <si>
    <t>WMTS_1/1000地形圖_新竹市北區都市計畫(113年)</t>
  </si>
  <si>
    <t>https://wmts.nlsc.gov.tw/wmts/TOPO01K_O03/{Style}/{TileMatrixSet}/{TileMatrix}/{TileRow}/{TileCol}</t>
  </si>
  <si>
    <t>2dms_wmts_v1_TOPO01K_O03</t>
  </si>
  <si>
    <t>新竹市北區_110年</t>
  </si>
  <si>
    <t>WMTS_1/1000地形圖_新竹市北區都市計畫(110年)</t>
  </si>
  <si>
    <t>https://wmts.nlsc.gov.tw/wmts/TOPO01K_O01/{Style}/{TileMatrixSet}/{TileMatrix}/{TileRow}/{TileCol}</t>
  </si>
  <si>
    <t>2dms_wmts_v1_TOPO01K_O01</t>
  </si>
  <si>
    <t>新竹市都市計畫</t>
  </si>
  <si>
    <t>WMTS_1/1000地形圖_新竹市都市計畫(104-106年)</t>
  </si>
  <si>
    <t>https://wmts.nlsc.gov.tw/wmts/TOPO01K_N35/{Style}/{TileMatrixSet}/{TileMatrix}/{TileRow}/{TileCol}</t>
  </si>
  <si>
    <t>2dms_wmts_v1_TOPO01K_N35</t>
  </si>
  <si>
    <t>彰化縣鹿港福興都市計畫_97年</t>
  </si>
  <si>
    <t>WMTS_1/1000地形圖_彰化縣鹿港福興都市計畫(97年)</t>
  </si>
  <si>
    <t>https://wmts.nlsc.gov.tw/wmts/TOPO01K_N34/{Style}/{TileMatrixSet}/{TileMatrix}/{TileRow}/{TileCol}</t>
  </si>
  <si>
    <t>2dms_wmts_v1_TOPO01K_N34</t>
  </si>
  <si>
    <t>彰化縣高速鐵路彰化車站_102年</t>
  </si>
  <si>
    <t>WMTS_1/1000地形圖_彰化縣高速鐵路彰化車站特定區計畫(102年)</t>
  </si>
  <si>
    <t>https://wmts.nlsc.gov.tw/wmts/TOPO01K_N33/{Style}/{TileMatrixSet}/{TileMatrix}/{TileRow}/{TileCol}</t>
  </si>
  <si>
    <t>2dms_wmts_v1_TOPO01K_N33</t>
  </si>
  <si>
    <t>彰化縣高速公路彰化交流道_100年</t>
  </si>
  <si>
    <t>WMTS_1/1000地形圖_彰化縣高速公路彰化交流道特定區計畫(100年)</t>
  </si>
  <si>
    <t>https://wmts.nlsc.gov.tw/wmts/TOPO01K_N32/{Style}/{TileMatrixSet}/{TileMatrix}/{TileRow}/{TileCol}</t>
  </si>
  <si>
    <t>2dms_wmts_v1_TOPO01K_N32</t>
  </si>
  <si>
    <t>彰化縣高速公路員林交流道_98年</t>
  </si>
  <si>
    <t>WMTS_1/1000地形圖_彰化縣高速公路員林交流道特定區計畫(98年)</t>
  </si>
  <si>
    <t>https://wmts.nlsc.gov.tw/wmts/TOPO01K_N31/{Style}/{TileMatrixSet}/{TileMatrix}/{TileRow}/{TileCol}</t>
  </si>
  <si>
    <t>2dms_wmts_v1_TOPO01K_N31</t>
  </si>
  <si>
    <t>彰化縣芳苑都市計畫_98年</t>
  </si>
  <si>
    <t>WMTS_1/1000地形圖_彰化縣芳苑都市計畫(98年)</t>
  </si>
  <si>
    <t>https://wmts.nlsc.gov.tw/wmts/TOPO01K_N30/{Style}/{TileMatrixSet}/{TileMatrix}/{TileRow}/{TileCol}</t>
  </si>
  <si>
    <t>2dms_wmts_v1_TOPO01K_N30</t>
  </si>
  <si>
    <t>彰化縣花壇都市計畫_98年</t>
  </si>
  <si>
    <t>WMTS_1/1000地形圖_彰化縣花壇都市計畫(98年)</t>
  </si>
  <si>
    <t>https://wmts.nlsc.gov.tw/wmts/TOPO01K_N29/{Style}/{TileMatrixSet}/{TileMatrix}/{TileRow}/{TileCol}</t>
  </si>
  <si>
    <t>2dms_wmts_v1_TOPO01K_N29</t>
  </si>
  <si>
    <t>彰化縣芬園都市計畫_98年</t>
  </si>
  <si>
    <t>WMTS_1/1000地形圖_彰化縣芬園都市計畫(98年)</t>
  </si>
  <si>
    <t>https://wmts.nlsc.gov.tw/wmts/TOPO01K_N28/{Style}/{TileMatrixSet}/{TileMatrix}/{TileRow}/{TileCol}</t>
  </si>
  <si>
    <t>2dms_wmts_v1_TOPO01K_N28</t>
  </si>
  <si>
    <t>彰化縣線西都市計畫_97年</t>
  </si>
  <si>
    <t>WMTS_1/1000地形圖_彰化縣線西都市計畫(97年)</t>
  </si>
  <si>
    <t>https://wmts.nlsc.gov.tw/wmts/TOPO01K_N27/{Style}/{TileMatrixSet}/{TileMatrix}/{TileRow}/{TileCol}</t>
  </si>
  <si>
    <t>2dms_wmts_v1_TOPO01K_N27</t>
  </si>
  <si>
    <t>彰化縣竹塘都市計畫_98年</t>
  </si>
  <si>
    <t>WMTS_1/1000地形圖_彰化縣竹塘都市計畫(98年)</t>
  </si>
  <si>
    <t>https://wmts.nlsc.gov.tw/wmts/TOPO01K_N26/{Style}/{TileMatrixSet}/{TileMatrix}/{TileRow}/{TileCol}</t>
  </si>
  <si>
    <t>2dms_wmts_v1_TOPO01K_N26</t>
  </si>
  <si>
    <t>彰化縣秀水都市計畫_98年</t>
  </si>
  <si>
    <t>WMTS_1/1000地形圖_彰化縣秀水都市計畫(98年)</t>
  </si>
  <si>
    <t>https://wmts.nlsc.gov.tw/wmts/TOPO01K_N25/{Style}/{TileMatrixSet}/{TileMatrix}/{TileRow}/{TileCol}</t>
  </si>
  <si>
    <t>2dms_wmts_v1_TOPO01K_N25</t>
  </si>
  <si>
    <t>彰化縣社頭都市計畫_97年</t>
  </si>
  <si>
    <t>WMTS_1/1000地形圖_彰化縣社頭都市計畫(97年)</t>
  </si>
  <si>
    <t>https://wmts.nlsc.gov.tw/wmts/TOPO01K_N24/{Style}/{TileMatrixSet}/{TileMatrix}/{TileRow}/{TileCol}</t>
  </si>
  <si>
    <t>2dms_wmts_v1_TOPO01K_N24</t>
  </si>
  <si>
    <t>彰化縣田尾都市計畫_102年</t>
  </si>
  <si>
    <t>WMTS_1/1000地形圖_彰化縣田尾都市計畫(102年)</t>
  </si>
  <si>
    <t>https://wmts.nlsc.gov.tw/wmts/TOPO01K_N23/{Style}/{TileMatrixSet}/{TileMatrix}/{TileRow}/{TileCol}</t>
  </si>
  <si>
    <t>2dms_wmts_v1_TOPO01K_N23</t>
  </si>
  <si>
    <t>彰化縣田尾園藝特定區_102年</t>
  </si>
  <si>
    <t>WMTS_1/1000地形圖_彰化縣田尾園藝特定區計畫(102年)</t>
  </si>
  <si>
    <t>https://wmts.nlsc.gov.tw/wmts/TOPO01K_N22/{Style}/{TileMatrixSet}/{TileMatrix}/{TileRow}/{TileCol}</t>
  </si>
  <si>
    <t>2dms_wmts_v1_TOPO01K_N22</t>
  </si>
  <si>
    <t>彰化縣田中都市計畫_100年</t>
  </si>
  <si>
    <t>WMTS_1/1000地形圖_彰化縣田中都市計畫(100年)</t>
  </si>
  <si>
    <t>https://wmts.nlsc.gov.tw/wmts/TOPO01K_N21/{Style}/{TileMatrixSet}/{TileMatrix}/{TileRow}/{TileCol}</t>
  </si>
  <si>
    <t>2dms_wmts_v1_TOPO01K_N21</t>
  </si>
  <si>
    <t>彰化縣溪湖都市計畫_102年</t>
  </si>
  <si>
    <t>WMTS_1/1000地形圖_彰化縣溪湖都市計畫(102年)</t>
  </si>
  <si>
    <t>https://wmts.nlsc.gov.tw/wmts/TOPO01K_N20/{Style}/{TileMatrixSet}/{TileMatrix}/{TileRow}/{TileCol}</t>
  </si>
  <si>
    <t>2dms_wmts_v1_TOPO01K_N20</t>
  </si>
  <si>
    <t>彰化縣溪州都市計畫_97年</t>
  </si>
  <si>
    <t>WMTS_1/1000地形圖_彰化縣溪州都市計畫(97年)</t>
  </si>
  <si>
    <t>https://wmts.nlsc.gov.tw/wmts/TOPO01K_N19/{Style}/{TileMatrixSet}/{TileMatrix}/{TileRow}/{TileCol}</t>
  </si>
  <si>
    <t>2dms_wmts_v1_TOPO01K_N19</t>
  </si>
  <si>
    <t>彰化縣永靖都市計畫_98年</t>
  </si>
  <si>
    <t>WMTS_1/1000地形圖_彰化縣永靖都市計畫(98年)</t>
  </si>
  <si>
    <t>https://wmts.nlsc.gov.tw/wmts/TOPO01K_N18/{Style}/{TileMatrixSet}/{TileMatrix}/{TileRow}/{TileCol}</t>
  </si>
  <si>
    <t>2dms_wmts_v1_TOPO01K_N18</t>
  </si>
  <si>
    <t>彰化縣彰化市都市計畫_99年</t>
  </si>
  <si>
    <t>WMTS_1/1000地形圖_彰化縣彰化市都市計畫(99年)</t>
  </si>
  <si>
    <t>https://wmts.nlsc.gov.tw/wmts/TOPO01K_N17/{Style}/{TileMatrixSet}/{TileMatrix}/{TileRow}/{TileCol}</t>
  </si>
  <si>
    <t>2dms_wmts_v1_TOPO01K_N17</t>
  </si>
  <si>
    <t>彰化縣大村都市計畫_97年</t>
  </si>
  <si>
    <t>WMTS_1/1000地形圖_彰化縣大村都市計畫(97年)</t>
  </si>
  <si>
    <t>https://wmts.nlsc.gov.tw/wmts/TOPO01K_N16/{Style}/{TileMatrixSet}/{TileMatrix}/{TileRow}/{TileCol}</t>
  </si>
  <si>
    <t>2dms_wmts_v1_TOPO01K_N16</t>
  </si>
  <si>
    <t>彰化縣大城都市計畫_98年</t>
  </si>
  <si>
    <t>WMTS_1/1000地形圖_彰化縣大城都市計畫(98年)</t>
  </si>
  <si>
    <t>https://wmts.nlsc.gov.tw/wmts/TOPO01K_N15/{Style}/{TileMatrixSet}/{TileMatrix}/{TileRow}/{TileCol}</t>
  </si>
  <si>
    <t>2dms_wmts_v1_TOPO01K_N15</t>
  </si>
  <si>
    <t>彰化縣埤頭都市計畫_100年</t>
  </si>
  <si>
    <t>WMTS_1/1000地形圖_彰化縣埤頭都市計畫(100年)</t>
  </si>
  <si>
    <t>https://wmts.nlsc.gov.tw/wmts/TOPO01K_N14/{Style}/{TileMatrixSet}/{TileMatrix}/{TileRow}/{TileCol}</t>
  </si>
  <si>
    <t>2dms_wmts_v1_TOPO01K_N14</t>
  </si>
  <si>
    <t>彰化縣埔鹽都市計畫_97年</t>
  </si>
  <si>
    <t>WMTS_1/1000地形圖_彰化縣埔鹽都市計畫(97年)</t>
  </si>
  <si>
    <t>https://wmts.nlsc.gov.tw/wmts/TOPO01K_N13/{Style}/{TileMatrixSet}/{TileMatrix}/{TileRow}/{TileCol}</t>
  </si>
  <si>
    <t>2dms_wmts_v1_TOPO01K_N13</t>
  </si>
  <si>
    <t>彰化縣埔心都市計畫_100年</t>
  </si>
  <si>
    <t>WMTS_1/1000地形圖_彰化縣埔心都市計畫(100年)</t>
  </si>
  <si>
    <t>https://wmts.nlsc.gov.tw/wmts/TOPO01K_N12/{Style}/{TileMatrixSet}/{TileMatrix}/{TileRow}/{TileCol}</t>
  </si>
  <si>
    <t>2dms_wmts_v1_TOPO01K_N12</t>
  </si>
  <si>
    <t>彰化縣員林都市計畫_99年</t>
  </si>
  <si>
    <t>WMTS_1/1000地形圖_彰化縣員林都市計畫(99年)</t>
  </si>
  <si>
    <t>https://wmts.nlsc.gov.tw/wmts/TOPO01K_N11/{Style}/{TileMatrixSet}/{TileMatrix}/{TileRow}/{TileCol}</t>
  </si>
  <si>
    <t>2dms_wmts_v1_TOPO01K_N11</t>
  </si>
  <si>
    <t>彰化縣和美都市計畫_102年</t>
  </si>
  <si>
    <t>WMTS_1/1000地形圖_彰化縣和美都市計畫(102年)</t>
  </si>
  <si>
    <t>https://wmts.nlsc.gov.tw/wmts/TOPO01K_N10/{Style}/{TileMatrixSet}/{TileMatrix}/{TileRow}/{TileCol}</t>
  </si>
  <si>
    <t>2dms_wmts_v1_TOPO01K_N10</t>
  </si>
  <si>
    <t>彰化縣北斗都市計畫_97年</t>
  </si>
  <si>
    <t>WMTS_1/1000地形圖_彰化縣北斗都市計畫(97年)</t>
  </si>
  <si>
    <t>https://wmts.nlsc.gov.tw/wmts/TOPO01K_N09/{Style}/{TileMatrixSet}/{TileMatrix}/{TileRow}/{TileCol}</t>
  </si>
  <si>
    <t>2dms_wmts_v1_TOPO01K_N09</t>
  </si>
  <si>
    <t>彰化縣八卦山脈_百果山地區_98年</t>
  </si>
  <si>
    <t>WMTS_1/1000地形圖_彰化縣八卦山脈(百果山地區)都市計畫(98年)</t>
  </si>
  <si>
    <t>https://wmts.nlsc.gov.tw/wmts/TOPO01K_N08/{Style}/{TileMatrixSet}/{TileMatrix}/{TileRow}/{TileCol}</t>
  </si>
  <si>
    <t>2dms_wmts_v1_TOPO01K_N08</t>
  </si>
  <si>
    <t>彰化縣八卦山脈_松柏嶺地區_98年</t>
  </si>
  <si>
    <t>WMTS_1/1000地形圖_彰化縣八卦山脈(松柏嶺地區)都市計畫(98年)</t>
  </si>
  <si>
    <t>https://wmts.nlsc.gov.tw/wmts/TOPO01K_N07/{Style}/{TileMatrixSet}/{TileMatrix}/{TileRow}/{TileCol}</t>
  </si>
  <si>
    <t>2dms_wmts_v1_TOPO01K_N07</t>
  </si>
  <si>
    <t>彰化縣八卦山脈_東源地區_98年</t>
  </si>
  <si>
    <t>WMTS_1/1000地形圖_彰化縣八卦山脈(東源地區)都市計畫(98年)</t>
  </si>
  <si>
    <t>https://wmts.nlsc.gov.tw/wmts/TOPO01K_N06/{Style}/{TileMatrixSet}/{TileMatrix}/{TileRow}/{TileCol}</t>
  </si>
  <si>
    <t>2dms_wmts_v1_TOPO01K_N06</t>
  </si>
  <si>
    <t>彰化縣八卦山脈_文山橫山地區_98年</t>
  </si>
  <si>
    <t>WMTS_1/1000地形圖_彰化縣八卦山脈(文山橫山地區)都市計畫(98年)</t>
  </si>
  <si>
    <t>https://wmts.nlsc.gov.tw/wmts/TOPO01K_N05/{Style}/{TileMatrixSet}/{TileMatrix}/{TileRow}/{TileCol}</t>
  </si>
  <si>
    <t>2dms_wmts_v1_TOPO01K_N05</t>
  </si>
  <si>
    <t>彰化縣八卦山脈_各區道路_98年</t>
  </si>
  <si>
    <t>WMTS_1/1000地形圖_彰化縣八卦山脈(各區道路)都市計畫(98年)</t>
  </si>
  <si>
    <t>https://wmts.nlsc.gov.tw/wmts/TOPO01K_N04/{Style}/{TileMatrixSet}/{TileMatrix}/{TileRow}/{TileCol}</t>
  </si>
  <si>
    <t>2dms_wmts_v1_TOPO01K_N04</t>
  </si>
  <si>
    <t>化縣八卦山脈_八卦山地區_98年</t>
  </si>
  <si>
    <t>WMTS_1/1000地形圖_彰化縣八卦山脈(八卦山地區)都市計畫(98年)</t>
  </si>
  <si>
    <t>https://wmts.nlsc.gov.tw/wmts/TOPO01K_N03/{Style}/{TileMatrixSet}/{TileMatrix}/{TileRow}/{TileCol}</t>
  </si>
  <si>
    <t>2dms_wmts_v1_TOPO01K_N03</t>
  </si>
  <si>
    <t>彰化縣伸港都市計畫_97年</t>
  </si>
  <si>
    <t>WMTS_1/1000地形圖_彰化縣伸港都市計畫(97年)</t>
  </si>
  <si>
    <t>https://wmts.nlsc.gov.tw/wmts/TOPO01K_N02/{Style}/{TileMatrixSet}/{TileMatrix}/{TileRow}/{TileCol}</t>
  </si>
  <si>
    <t>2dms_wmts_v1_TOPO01K_N02</t>
  </si>
  <si>
    <t>彰化縣二水都市計畫_97年</t>
  </si>
  <si>
    <t>WMTS_1/1000地形圖_彰化縣二水都市計畫(97年)</t>
  </si>
  <si>
    <t>https://wmts.nlsc.gov.tw/wmts/TOPO01K_N01/{Style}/{TileMatrixSet}/{TileMatrix}/{TileRow}/{TileCol}</t>
  </si>
  <si>
    <t>2dms_wmts_v1_TOPO01K_N01</t>
  </si>
  <si>
    <t>彰化縣二林都市計畫_97年</t>
  </si>
  <si>
    <t>WMTS_1/1000地形圖_彰化縣二林都市計畫(97年)</t>
  </si>
  <si>
    <t>https://wmts.nlsc.gov.tw/wmts/TOPO01K_M22/{Style}/{TileMatrixSet}/{TileMatrix}/{TileRow}/{TileCol}</t>
  </si>
  <si>
    <t>2dms_wmts_v1_TOPO01K_M22</t>
  </si>
  <si>
    <t>南投縣鹿谷都市計畫</t>
  </si>
  <si>
    <t>WMTS_1/1000地形圖_南投縣鹿谷都市計畫(106年)</t>
  </si>
  <si>
    <t>https://wmts.nlsc.gov.tw/wmts/TOPO01K_M21/{Style}/{TileMatrixSet}/{TileMatrix}/{TileRow}/{TileCol}</t>
  </si>
  <si>
    <t>2dms_wmts_v1_TOPO01K_M21</t>
  </si>
  <si>
    <t>南投縣鳳凰谷風景區</t>
  </si>
  <si>
    <t>WMTS_1/1000地形圖_南投縣鳳凰谷風景特定區計畫(93-98年)</t>
  </si>
  <si>
    <t>https://wmts.nlsc.gov.tw/wmts/TOPO01K_M20/{Style}/{TileMatrixSet}/{TileMatrix}/{TileRow}/{TileCol}</t>
  </si>
  <si>
    <t>2dms_wmts_v1_TOPO01K_M20</t>
  </si>
  <si>
    <t>南投縣魚池都市計畫</t>
  </si>
  <si>
    <t>WMTS_1/1000地形圖_南投縣魚池都市計畫(103年)</t>
  </si>
  <si>
    <t>https://wmts.nlsc.gov.tw/wmts/TOPO01K_M19/{Style}/{TileMatrixSet}/{TileMatrix}/{TileRow}/{TileCol}</t>
  </si>
  <si>
    <t>2dms_wmts_v1_TOPO01K_M19</t>
  </si>
  <si>
    <t>南投縣霧社都市計畫</t>
  </si>
  <si>
    <t>WMTS_1/1000地形圖_南投縣霧社都市計畫(94-98年)</t>
  </si>
  <si>
    <t>https://wmts.nlsc.gov.tw/wmts/TOPO01K_M18/{Style}/{TileMatrixSet}/{TileMatrix}/{TileRow}/{TileCol}</t>
  </si>
  <si>
    <t>2dms_wmts_v1_TOPO01K_M18</t>
  </si>
  <si>
    <t>南投縣集集都市計畫</t>
  </si>
  <si>
    <t>WMTS_1/1000地形圖_南投縣集集都市計畫(95-98年)</t>
  </si>
  <si>
    <t>https://wmts.nlsc.gov.tw/wmts/TOPO01K_M17/{Style}/{TileMatrixSet}/{TileMatrix}/{TileRow}/{TileCol}</t>
  </si>
  <si>
    <t>2dms_wmts_v1_TOPO01K_M17</t>
  </si>
  <si>
    <t>南投縣草屯都市計畫</t>
  </si>
  <si>
    <t>WMTS_1/1000地形圖_南投縣草屯都市計畫(94-98年)</t>
  </si>
  <si>
    <t>https://wmts.nlsc.gov.tw/wmts/TOPO01K_M16/{Style}/{TileMatrixSet}/{TileMatrix}/{TileRow}/{TileCol}</t>
  </si>
  <si>
    <t>2dms_wmts_v1_TOPO01K_M16</t>
  </si>
  <si>
    <t>南投縣翠峰風景區</t>
  </si>
  <si>
    <t>WMTS_1/1000地形圖_南投縣翠峰風景特定區計畫(93-98年)</t>
  </si>
  <si>
    <t>https://wmts.nlsc.gov.tw/wmts/TOPO01K_M15/{Style}/{TileMatrixSet}/{TileMatrix}/{TileRow}/{TileCol}</t>
  </si>
  <si>
    <t>2dms_wmts_v1_TOPO01K_M15</t>
  </si>
  <si>
    <t>南投縣竹山都市計畫_竹山</t>
  </si>
  <si>
    <t>WMTS_1/1000地形圖_南投縣竹山都市計畫(竹山部分(94-98年)</t>
  </si>
  <si>
    <t>https://wmts.nlsc.gov.tw/wmts/TOPO01K_M14/{Style}/{TileMatrixSet}/{TileMatrix}/{TileRow}/{TileCol}</t>
  </si>
  <si>
    <t>2dms_wmts_v1_TOPO01K_M14</t>
  </si>
  <si>
    <t>南投縣竹山都市計畫_延平</t>
  </si>
  <si>
    <t>WMTS_1/1000地形圖_南投縣竹山都市計畫(延平部分(94-98年)</t>
  </si>
  <si>
    <t>https://wmts.nlsc.gov.tw/wmts/TOPO01K_M13/{Style}/{TileMatrixSet}/{TileMatrix}/{TileRow}/{TileCol}</t>
  </si>
  <si>
    <t>2dms_wmts_v1_TOPO01K_M13</t>
  </si>
  <si>
    <t>南投縣溪頭森林遊樂區</t>
  </si>
  <si>
    <t>WMTS_1/1000地形圖_南投縣溪頭森林遊樂特定區計畫(93-98年)</t>
  </si>
  <si>
    <t>https://wmts.nlsc.gov.tw/wmts/TOPO01K_M12/{Style}/{TileMatrixSet}/{TileMatrix}/{TileRow}/{TileCol}</t>
  </si>
  <si>
    <t>2dms_wmts_v1_TOPO01K_M12</t>
  </si>
  <si>
    <t>南投縣水里都市計畫</t>
  </si>
  <si>
    <t>WMTS_1/1000地形圖_南投縣水里都市計畫(95-98年)</t>
  </si>
  <si>
    <t>https://wmts.nlsc.gov.tw/wmts/TOPO01K_M11/{Style}/{TileMatrixSet}/{TileMatrix}/{TileRow}/{TileCol}</t>
  </si>
  <si>
    <t>2dms_wmts_v1_TOPO01K_M11</t>
  </si>
  <si>
    <t>南投縣東埔風景區</t>
  </si>
  <si>
    <t>WMTS_1/1000地形圖_南投縣東埔風景特定區計畫(93-98年)</t>
  </si>
  <si>
    <t>https://wmts.nlsc.gov.tw/wmts/TOPO01K_M10/{Style}/{TileMatrixSet}/{TileMatrix}/{TileRow}/{TileCol}</t>
  </si>
  <si>
    <t>2dms_wmts_v1_TOPO01K_M10</t>
  </si>
  <si>
    <t>南投縣日月潭特定區</t>
  </si>
  <si>
    <t>WMTS_1/1000地形圖_南投縣日月潭特定區計畫(93-98年)</t>
  </si>
  <si>
    <t>https://wmts.nlsc.gov.tw/wmts/TOPO01K_M09/{Style}/{TileMatrixSet}/{TileMatrix}/{TileRow}/{TileCol}</t>
  </si>
  <si>
    <t>2dms_wmts_v1_TOPO01K_M09</t>
  </si>
  <si>
    <t>南投縣廬山風景區</t>
  </si>
  <si>
    <t>WMTS_1/1000地形圖_南投縣廬山風景特定區計畫(93-98年)</t>
  </si>
  <si>
    <t>https://wmts.nlsc.gov.tw/wmts/TOPO01K_M08/{Style}/{TileMatrixSet}/{TileMatrix}/{TileRow}/{TileCol}</t>
  </si>
  <si>
    <t>2dms_wmts_v1_TOPO01K_M08</t>
  </si>
  <si>
    <t>南投縣埔里都市計畫</t>
  </si>
  <si>
    <t>WMTS_1/1000地形圖_南投縣埔里都市計畫(94-98年)</t>
  </si>
  <si>
    <t>https://wmts.nlsc.gov.tw/wmts/TOPO01K_M07/{Style}/{TileMatrixSet}/{TileMatrix}/{TileRow}/{TileCol}</t>
  </si>
  <si>
    <t>2dms_wmts_v1_TOPO01K_M07</t>
  </si>
  <si>
    <t>南投縣國姓都市計畫</t>
  </si>
  <si>
    <t>WMTS_1/1000地形圖_南投縣國姓都市計畫(93-98年)</t>
  </si>
  <si>
    <t>https://wmts.nlsc.gov.tw/wmts/TOPO01K_M06/{Style}/{TileMatrixSet}/{TileMatrix}/{TileRow}/{TileCol}</t>
  </si>
  <si>
    <t>2dms_wmts_v1_TOPO01K_M06</t>
  </si>
  <si>
    <t>南投縣名間都市計畫</t>
  </si>
  <si>
    <t>WMTS_1/1000地形圖_南投縣名間都市計畫(95-98年)</t>
  </si>
  <si>
    <t>https://wmts.nlsc.gov.tw/wmts/TOPO01K_M05/{Style}/{TileMatrixSet}/{TileMatrix}/{TileRow}/{TileCol}</t>
  </si>
  <si>
    <t>2dms_wmts_v1_TOPO01K_M05</t>
  </si>
  <si>
    <t>南投縣南投都市計畫_南投</t>
  </si>
  <si>
    <t>WMTS_1/1000地形圖_南投縣南投都市計畫(南投(94-98年)</t>
  </si>
  <si>
    <t>https://wmts.nlsc.gov.tw/wmts/TOPO01K_M04/{Style}/{TileMatrixSet}/{TileMatrix}/{TileRow}/{TileCol}</t>
  </si>
  <si>
    <t>2dms_wmts_v1_TOPO01K_M04</t>
  </si>
  <si>
    <t>南投縣南投都市計畫_南崗</t>
  </si>
  <si>
    <t>WMTS_1/1000地形圖_南投縣南投都市計畫(南崗(94-98年)</t>
  </si>
  <si>
    <t>https://wmts.nlsc.gov.tw/wmts/TOPO01K_M03/{Style}/{TileMatrixSet}/{TileMatrix}/{TileRow}/{TileCol}</t>
  </si>
  <si>
    <t>2dms_wmts_v1_TOPO01K_M03</t>
  </si>
  <si>
    <t>南投縣八卦山脈</t>
  </si>
  <si>
    <t>WMTS_1/1000地形圖_南投縣八卦山脈風景特定區計畫(93-98年)</t>
  </si>
  <si>
    <t>https://wmts.nlsc.gov.tw/wmts/TOPO01K_M02/{Style}/{TileMatrixSet}/{TileMatrix}/{TileRow}/{TileCol}</t>
  </si>
  <si>
    <t>2dms_wmts_v1_TOPO01K_M02</t>
  </si>
  <si>
    <t>南投縣中興新村</t>
  </si>
  <si>
    <t>WMTS_1/1000地形圖_南投縣中興新村都市計畫(102年)</t>
  </si>
  <si>
    <t>https://wmts.nlsc.gov.tw/wmts/TOPO01K_M01/{Style}/{TileMatrixSet}/{TileMatrix}/{TileRow}/{TileCol}</t>
  </si>
  <si>
    <t>2dms_wmts_v1_TOPO01K_M01</t>
  </si>
  <si>
    <t>南投縣中寮都市計畫</t>
  </si>
  <si>
    <t>WMTS_1/1000地形圖_南投縣中寮都市計畫(95-98年)</t>
  </si>
  <si>
    <t>https://wmts.nlsc.gov.tw/wmts/TOPO01K_K18/{Style}/{TileMatrixSet}/{TileMatrix}/{TileRow}/{TileCol}</t>
  </si>
  <si>
    <t>2dms_wmts_v1_TOPO01K_K18</t>
  </si>
  <si>
    <t>苗栗縣苗栗高鐵車站</t>
  </si>
  <si>
    <t>WMTS_1/1000地形圖_苗栗縣高速鐵路苗栗車站特定區計畫(92年)</t>
  </si>
  <si>
    <t>https://wmts.nlsc.gov.tw/wmts/TOPO01K_K17/{Style}/{TileMatrixSet}/{TileMatrix}/{TileRow}/{TileCol}</t>
  </si>
  <si>
    <t>2dms_wmts_v1_TOPO01K_K17</t>
  </si>
  <si>
    <t>苗栗縣造橋都市計畫</t>
  </si>
  <si>
    <t>WMTS_1/1000地形圖_苗栗縣造橋都市計畫(97年)</t>
  </si>
  <si>
    <t>https://wmts.nlsc.gov.tw/wmts/TOPO01K_K16/{Style}/{TileMatrixSet}/{TileMatrix}/{TileRow}/{TileCol}</t>
  </si>
  <si>
    <t>2dms_wmts_v1_TOPO01K_K16</t>
  </si>
  <si>
    <t>苗栗縣苗栗都市計畫</t>
  </si>
  <si>
    <t>WMTS_1/1000地形圖_苗栗縣苗栗都市計畫(93年)</t>
  </si>
  <si>
    <t>https://wmts.nlsc.gov.tw/wmts/TOPO01K_K15/{Style}/{TileMatrixSet}/{TileMatrix}/{TileRow}/{TileCol}</t>
  </si>
  <si>
    <t>2dms_wmts_v1_TOPO01K_K15</t>
  </si>
  <si>
    <t>苗栗縣頭屋都市計畫</t>
  </si>
  <si>
    <t>WMTS_1/1000地形圖_苗栗縣頭屋都市計畫(98年)</t>
  </si>
  <si>
    <t>https://wmts.nlsc.gov.tw/wmts/TOPO01K_K14/{Style}/{TileMatrixSet}/{TileMatrix}/{TileRow}/{TileCol}</t>
  </si>
  <si>
    <t>2dms_wmts_v1_TOPO01K_K14</t>
  </si>
  <si>
    <t>苗栗縣頭份交流道</t>
  </si>
  <si>
    <t>WMTS_1/1000地形圖_苗栗縣頭份交流道特定區計畫(96年)</t>
  </si>
  <si>
    <t>https://wmts.nlsc.gov.tw/wmts/TOPO01K_K13/{Style}/{TileMatrixSet}/{TileMatrix}/{TileRow}/{TileCol}</t>
  </si>
  <si>
    <t>2dms_wmts_v1_TOPO01K_K13</t>
  </si>
  <si>
    <t>苗栗縣銅鑼都市計畫</t>
  </si>
  <si>
    <t>WMTS_1/1000地形圖_苗栗縣銅鑼都市計畫(98年)</t>
  </si>
  <si>
    <t>https://wmts.nlsc.gov.tw/wmts/TOPO01K_K12/{Style}/{TileMatrixSet}/{TileMatrix}/{TileRow}/{TileCol}</t>
  </si>
  <si>
    <t>2dms_wmts_v1_TOPO01K_K12</t>
  </si>
  <si>
    <t>苗栗縣通霄都市計畫</t>
  </si>
  <si>
    <t>WMTS_1/1000地形圖_苗栗縣通霄都市計畫(98年)</t>
  </si>
  <si>
    <t>https://wmts.nlsc.gov.tw/wmts/TOPO01K_K11/{Style}/{TileMatrixSet}/{TileMatrix}/{TileRow}/{TileCol}</t>
  </si>
  <si>
    <t>2dms_wmts_v1_TOPO01K_K11</t>
  </si>
  <si>
    <t>苗栗縣苑裡都市計畫</t>
  </si>
  <si>
    <t>WMTS_1/1000地形圖_苗栗縣苑裡都市計畫(98年)</t>
  </si>
  <si>
    <t>https://wmts.nlsc.gov.tw/wmts/TOPO01K_K10/{Style}/{TileMatrixSet}/{TileMatrix}/{TileRow}/{TileCol}</t>
  </si>
  <si>
    <t>2dms_wmts_v1_TOPO01K_K10</t>
  </si>
  <si>
    <t>苗栗縣竹南頭份都市計畫</t>
  </si>
  <si>
    <t>WMTS_1/1000地形圖_苗栗縣竹南頭份都市計畫(94年)</t>
  </si>
  <si>
    <t>https://wmts.nlsc.gov.tw/wmts/TOPO01K_K09/{Style}/{TileMatrixSet}/{TileMatrix}/{TileRow}/{TileCol}</t>
  </si>
  <si>
    <t>2dms_wmts_v1_TOPO01K_K09</t>
  </si>
  <si>
    <t>苗栗縣明德水庫特定區</t>
  </si>
  <si>
    <t>WMTS_1/1000地形圖_苗栗縣明德水庫特定區計畫(93年)</t>
  </si>
  <si>
    <t>https://wmts.nlsc.gov.tw/wmts/TOPO01K_K08/{Style}/{TileMatrixSet}/{TileMatrix}/{TileRow}/{TileCol}</t>
  </si>
  <si>
    <t>2dms_wmts_v1_TOPO01K_K08</t>
  </si>
  <si>
    <t>苗栗縣新竹科學園區</t>
  </si>
  <si>
    <t>WMTS_1/1000地形圖_苗栗縣新竹科學園區竹南基地特定區計畫(95年)</t>
  </si>
  <si>
    <t>https://wmts.nlsc.gov.tw/wmts/TOPO01K_K07/{Style}/{TileMatrixSet}/{TileMatrix}/{TileRow}/{TileCol}</t>
  </si>
  <si>
    <t>2dms_wmts_v1_TOPO01K_K07</t>
  </si>
  <si>
    <t>苗栗縣後龍都市計畫</t>
  </si>
  <si>
    <t>WMTS_1/1000地形圖_苗栗縣後龍都市計畫(97年)</t>
  </si>
  <si>
    <t>https://wmts.nlsc.gov.tw/wmts/TOPO01K_K06/{Style}/{TileMatrixSet}/{TileMatrix}/{TileRow}/{TileCol}</t>
  </si>
  <si>
    <t>2dms_wmts_v1_TOPO01K_K06</t>
  </si>
  <si>
    <t>苗栗縣後龍外埔漁港</t>
  </si>
  <si>
    <t>WMTS_1/1000地形圖_苗栗縣後龍外埔漁港特定區計畫(95年)</t>
  </si>
  <si>
    <t>https://wmts.nlsc.gov.tw/wmts/TOPO01K_K05/{Style}/{TileMatrixSet}/{TileMatrix}/{TileRow}/{TileCol}</t>
  </si>
  <si>
    <t>2dms_wmts_v1_TOPO01K_K05</t>
  </si>
  <si>
    <t>苗栗縣大湖都市計畫</t>
  </si>
  <si>
    <t>WMTS_1/1000地形圖_苗栗縣大湖都市計畫(95年)</t>
  </si>
  <si>
    <t>https://wmts.nlsc.gov.tw/wmts/TOPO01K_K04/{Style}/{TileMatrixSet}/{TileMatrix}/{TileRow}/{TileCol}</t>
  </si>
  <si>
    <t>2dms_wmts_v1_TOPO01K_K04</t>
  </si>
  <si>
    <t>苗栗縣南庄都市計畫</t>
  </si>
  <si>
    <t>WMTS_1/1000地形圖_苗栗縣南庄都市計畫(98年)</t>
  </si>
  <si>
    <t>https://wmts.nlsc.gov.tw/wmts/TOPO01K_K03/{Style}/{TileMatrixSet}/{TileMatrix}/{TileRow}/{TileCol}</t>
  </si>
  <si>
    <t>2dms_wmts_v1_TOPO01K_K03</t>
  </si>
  <si>
    <t>苗栗縣卓蘭都市計畫</t>
  </si>
  <si>
    <t>WMTS_1/1000地形圖_苗栗縣卓蘭都市計畫(89年)</t>
  </si>
  <si>
    <t>https://wmts.nlsc.gov.tw/wmts/TOPO01K_K02/{Style}/{TileMatrixSet}/{TileMatrix}/{TileRow}/{TileCol}</t>
  </si>
  <si>
    <t>2dms_wmts_v1_TOPO01K_K02</t>
  </si>
  <si>
    <t>苗栗縣公館都市計畫</t>
  </si>
  <si>
    <t>WMTS_1/1000地形圖_苗栗縣公館都市計畫(98年)</t>
  </si>
  <si>
    <t>https://wmts.nlsc.gov.tw/wmts/TOPO01K_K01/{Style}/{TileMatrixSet}/{TileMatrix}/{TileRow}/{TileCol}</t>
  </si>
  <si>
    <t>2dms_wmts_v1_TOPO01K_K01</t>
  </si>
  <si>
    <t>苗栗縣三義都市計畫</t>
  </si>
  <si>
    <t>WMTS_1/1000地形圖_苗栗縣三義都市計畫(97年)</t>
  </si>
  <si>
    <t>https://wmts.nlsc.gov.tw/wmts/TOPO01K_J10/{Style}/{TileMatrixSet}/{TileMatrix}/{TileRow}/{TileCol}</t>
  </si>
  <si>
    <t>2dms_wmts_v1_TOPO01K_J10</t>
  </si>
  <si>
    <t>新竹縣關西都市計畫</t>
  </si>
  <si>
    <t>WMTS_1/1000地形圖_關西都市計畫(94年)</t>
  </si>
  <si>
    <t>https://wmts.nlsc.gov.tw/wmts/TOPO01K_J09/{Style}/{TileMatrixSet}/{TileMatrix}/{TileRow}/{TileCol}</t>
  </si>
  <si>
    <t>2dms_wmts_v1_TOPO01K_J09</t>
  </si>
  <si>
    <t>新竹縣芎林都市計畫</t>
  </si>
  <si>
    <t>WMTS_1/1000地形圖_芎林都市計畫(93年)</t>
  </si>
  <si>
    <t>https://wmts.nlsc.gov.tw/wmts/TOPO01K_J08/{Style}/{TileMatrixSet}/{TileMatrix}/{TileRow}/{TileCol}</t>
  </si>
  <si>
    <t>2dms_wmts_v1_TOPO01K_J08</t>
  </si>
  <si>
    <t>新竹縣竹東都市計畫</t>
  </si>
  <si>
    <t>WMTS_1/1000地形圖_竹東都市計畫(93-94年)</t>
  </si>
  <si>
    <t>https://wmts.nlsc.gov.tw/wmts/TOPO01K_J07/{Style}/{TileMatrixSet}/{TileMatrix}/{TileRow}/{TileCol}</t>
  </si>
  <si>
    <t>2dms_wmts_v1_TOPO01K_J07</t>
  </si>
  <si>
    <t>新竹縣竹北都市計畫</t>
  </si>
  <si>
    <t>WMTS_1/1000地形圖_竹北都市計畫(93年)</t>
  </si>
  <si>
    <t>https://wmts.nlsc.gov.tw/wmts/TOPO01K_J06/{Style}/{TileMatrixSet}/{TileMatrix}/{TileRow}/{TileCol}</t>
  </si>
  <si>
    <t>2dms_wmts_v1_TOPO01K_J06</t>
  </si>
  <si>
    <t>新竹縣湖口都市計畫</t>
  </si>
  <si>
    <t>WMTS_1/1000地形圖_湖口都市計畫(94年)</t>
  </si>
  <si>
    <t>https://wmts.nlsc.gov.tw/wmts/TOPO01K_J05/{Style}/{TileMatrixSet}/{TileMatrix}/{TileRow}/{TileCol}</t>
  </si>
  <si>
    <t>2dms_wmts_v1_TOPO01K_J05</t>
  </si>
  <si>
    <t>新竹縣新豐新庄子都市計畫</t>
  </si>
  <si>
    <t>WMTS_1/1000地形圖_新豐(新庄子地區(都市計畫(94年)</t>
  </si>
  <si>
    <t>https://wmts.nlsc.gov.tw/wmts/TOPO01K_J04/{Style}/{TileMatrixSet}/{TileMatrix}/{TileRow}/{TileCol}</t>
  </si>
  <si>
    <t>2dms_wmts_v1_TOPO01K_J04</t>
  </si>
  <si>
    <t>新竹縣新豐山崎仔都市計畫</t>
  </si>
  <si>
    <t>WMTS_1/1000地形圖_新豐(山崎仔地區(都市計畫(94年)</t>
  </si>
  <si>
    <t>https://wmts.nlsc.gov.tw/wmts/TOPO01K_J03/{Style}/{TileMatrixSet}/{TileMatrix}/{TileRow}/{TileCol}</t>
  </si>
  <si>
    <t>2dms_wmts_v1_TOPO01K_J03</t>
  </si>
  <si>
    <t>新竹縣新埔都市計畫</t>
  </si>
  <si>
    <t>WMTS_1/1000地形圖_新埔都市計畫(94年)</t>
  </si>
  <si>
    <t>https://wmts.nlsc.gov.tw/wmts/TOPO01K_J02/{Style}/{TileMatrixSet}/{TileMatrix}/{TileRow}/{TileCol}</t>
  </si>
  <si>
    <t>2dms_wmts_v1_TOPO01K_J02</t>
  </si>
  <si>
    <t>新竹縣寶山都市計畫</t>
  </si>
  <si>
    <t>WMTS_1/1000地形圖_寶山都市計畫(93-94年)</t>
  </si>
  <si>
    <t>https://wmts.nlsc.gov.tw/wmts/TOPO01K_J01/{Style}/{TileMatrixSet}/{TileMatrix}/{TileRow}/{TileCol}</t>
  </si>
  <si>
    <t>2dms_wmts_v1_TOPO01K_J01</t>
  </si>
  <si>
    <t>新竹縣北埔都市計畫</t>
  </si>
  <si>
    <t>WMTS_1/1000地形圖_北埔都市計畫(97年)</t>
  </si>
  <si>
    <t>https://wmts.nlsc.gov.tw/wmts/TOPO01K_H44/{Style}/{TileMatrixSet}/{TileMatrix}/{TileRow}/{TileCol}</t>
  </si>
  <si>
    <t>2dms_wmts_v1_TOPO01K_H44</t>
  </si>
  <si>
    <t>桃園航空城特定區_110年</t>
  </si>
  <si>
    <t>WMTS_1/1000地形圖_桃園市航空城特定區計畫(110年)</t>
  </si>
  <si>
    <t>https://wmts.nlsc.gov.tw/wmts/TOPO01K_H40/{Style}/{TileMatrixSet}/{TileMatrix}/{TileRow}/{TileCol}</t>
  </si>
  <si>
    <t>2dms_wmts_v1_TOPO01K_H40</t>
  </si>
  <si>
    <t>桃園市高鐵特定區都市計畫_105年</t>
  </si>
  <si>
    <t>WMTS_1/1000地形圖_桃園市高鐵特定區計畫(105年)</t>
  </si>
  <si>
    <t>https://wmts.nlsc.gov.tw/wmts/TOPO01K_H39/{Style}/{TileMatrixSet}/{TileMatrix}/{TileRow}/{TileCol}</t>
  </si>
  <si>
    <t>2dms_wmts_v1_TOPO01K_H39</t>
  </si>
  <si>
    <t>桃園市南崁地區都市計畫_107年</t>
  </si>
  <si>
    <t>WMTS_1/1000地形圖_桃園市南崁都市計畫(107年)</t>
  </si>
  <si>
    <t>https://wmts.nlsc.gov.tw/wmts/TOPO01K_H38/{Style}/{TileMatrixSet}/{TileMatrix}/{TileRow}/{TileCol}</t>
  </si>
  <si>
    <t>2dms_wmts_v1_TOPO01K_H38</t>
  </si>
  <si>
    <t>桃園市中壢平鎮都市計畫_111年</t>
  </si>
  <si>
    <t>WMTS_1/1000地形圖_桃園市中壢平鎮都市計畫(111年)</t>
  </si>
  <si>
    <t>https://wmts.nlsc.gov.tw/wmts/TOPO01K_H37/{Style}/{TileMatrixSet}/{TileMatrix}/{TileRow}/{TileCol}</t>
  </si>
  <si>
    <t>2dms_wmts_v1_TOPO01K_H37</t>
  </si>
  <si>
    <t>桃園市中壢(龍岡地區)都市計畫_111年</t>
  </si>
  <si>
    <t>WMTS_1/1000地形圖_桃園市中壢(龍岡地區)都市計畫(111年)</t>
  </si>
  <si>
    <t>https://wmts.nlsc.gov.tw/wmts/TOPO01K_H36/{Style}/{TileMatrixSet}/{TileMatrix}/{TileRow}/{TileCol}</t>
  </si>
  <si>
    <t>2dms_wmts_v1_TOPO01K_H36</t>
  </si>
  <si>
    <t>桃園市大溪(埔頂地區)都市計畫_111年</t>
  </si>
  <si>
    <t>WMTS_1/1000地形圖_桃園市大溪(埔頂地區)都市計畫(111年)</t>
  </si>
  <si>
    <t>https://wmts.nlsc.gov.tw/wmts/TOPO01K_H35/{Style}/{TileMatrixSet}/{TileMatrix}/{TileRow}/{TileCol}</t>
  </si>
  <si>
    <t>2dms_wmts_v1_TOPO01K_H35</t>
  </si>
  <si>
    <t>桃園市大園都市計畫_108年</t>
  </si>
  <si>
    <t>WMTS_1/1000地形圖_桃園市大園都市計畫(108年)</t>
  </si>
  <si>
    <t>https://wmts.nlsc.gov.tw/wmts/TOPO01K_H34/{Style}/{TileMatrixSet}/{TileMatrix}/{TileRow}/{TileCol}</t>
  </si>
  <si>
    <t>2dms_wmts_v1_TOPO01K_H34</t>
  </si>
  <si>
    <t>桃園市大園(菓林)都市計畫_107年</t>
  </si>
  <si>
    <t>WMTS_1/1000地形圖_桃園市大園(菓林)都市計畫(107年)</t>
  </si>
  <si>
    <t>https://wmts.nlsc.gov.tw/wmts/TOPO01K_H33/{Style}/{TileMatrixSet}/{TileMatrix}/{TileRow}/{TileCol}</t>
  </si>
  <si>
    <t>2dms_wmts_v1_TOPO01K_H33</t>
  </si>
  <si>
    <t>桃園市八德(大湳地區)都市計畫_111年</t>
  </si>
  <si>
    <t>WMTS_1/1000地形圖_桃園市八德(大湳地區)都市計畫(111年)</t>
  </si>
  <si>
    <t>https://wmts.nlsc.gov.tw/wmts/TOPO01K_H32/{Style}/{TileMatrixSet}/{TileMatrix}/{TileRow}/{TileCol}</t>
  </si>
  <si>
    <t>2dms_wmts_v1_TOPO01K_H32</t>
  </si>
  <si>
    <t>桃園市八德(八德地區)都市計畫_111年</t>
  </si>
  <si>
    <t>WMTS_1/1000地形圖_桃園市八德(八德地區)都市計畫(111年)</t>
  </si>
  <si>
    <t>https://wmts.nlsc.gov.tw/wmts/TOPO01K_H31/{Style}/{TileMatrixSet}/{TileMatrix}/{TileRow}/{TileCol}</t>
  </si>
  <si>
    <t>2dms_wmts_v1_TOPO01K_H31</t>
  </si>
  <si>
    <t>桃園市龜山都市計畫_98年</t>
  </si>
  <si>
    <t>WMTS_1/1000地形圖_桃園市龜山都市計畫(98年)</t>
  </si>
  <si>
    <t>https://wmts.nlsc.gov.tw/wmts/TOPO01K_H30/{Style}/{TileMatrixSet}/{TileMatrix}/{TileRow}/{TileCol}</t>
  </si>
  <si>
    <t>2dms_wmts_v1_TOPO01K_H30</t>
  </si>
  <si>
    <t>桃園市龍潭都市計畫_97年</t>
  </si>
  <si>
    <t>WMTS_1/1000地形圖_桃園市龍潭都市計畫(97年)</t>
  </si>
  <si>
    <t>https://wmts.nlsc.gov.tw/wmts/TOPO01K_H29/{Style}/{TileMatrixSet}/{TileMatrix}/{TileRow}/{TileCol}</t>
  </si>
  <si>
    <t>2dms_wmts_v1_TOPO01K_H29</t>
  </si>
  <si>
    <t>桃園市龍壽迴龍都市計畫_98年</t>
  </si>
  <si>
    <t>WMTS_1/1000地形圖_桃園市龍壽迴龍都市計畫(98年)</t>
  </si>
  <si>
    <t>https://wmts.nlsc.gov.tw/wmts/TOPO01K_H28/{Style}/{TileMatrixSet}/{TileMatrix}/{TileRow}/{TileCol}</t>
  </si>
  <si>
    <t>2dms_wmts_v1_TOPO01K_H28</t>
  </si>
  <si>
    <t>桃園市高鐵桃園車站特定區_98年</t>
  </si>
  <si>
    <t>WMTS_1/1000地形圖_桃園市高鐵桃園車站特定區計畫(98年)</t>
  </si>
  <si>
    <t>https://wmts.nlsc.gov.tw/wmts/TOPO01K_H27/{Style}/{TileMatrixSet}/{TileMatrix}/{TileRow}/{TileCol}</t>
  </si>
  <si>
    <t>2dms_wmts_v1_TOPO01K_H27</t>
  </si>
  <si>
    <t>桃園市中壢及內壢交流道特定區_100年</t>
  </si>
  <si>
    <t>WMTS_1/1000地形圖_桃園市中壢及內壢交流道特定區計畫(100年)</t>
  </si>
  <si>
    <t>https://wmts.nlsc.gov.tw/wmts/TOPO01K_H26/{Style}/{TileMatrixSet}/{TileMatrix}/{TileRow}/{TileCol}</t>
  </si>
  <si>
    <t>2dms_wmts_v1_TOPO01K_H26</t>
  </si>
  <si>
    <t>桃園市觀音都市計畫_94年</t>
  </si>
  <si>
    <t>WMTS_1/1000地形圖_桃園市觀音都市計畫(94年)</t>
  </si>
  <si>
    <t>https://wmts.nlsc.gov.tw/wmts/TOPO01K_H25/{Style}/{TileMatrixSet}/{TileMatrix}/{TileRow}/{TileCol}</t>
  </si>
  <si>
    <t>2dms_wmts_v1_TOPO01K_H25</t>
  </si>
  <si>
    <t>桃園市觀音草漯都市計畫_100年</t>
  </si>
  <si>
    <t>WMTS_1/1000地形圖_桃園市觀音草漯都市計畫(100年)</t>
  </si>
  <si>
    <t>https://wmts.nlsc.gov.tw/wmts/TOPO01K_H24/{Style}/{TileMatrixSet}/{TileMatrix}/{TileRow}/{TileCol}</t>
  </si>
  <si>
    <t>2dms_wmts_v1_TOPO01K_H24</t>
  </si>
  <si>
    <t>桃園市觀音新坡都市計畫_94年</t>
  </si>
  <si>
    <t>WMTS_1/1000地形圖_桃園市觀音新坡都市計畫(94年)</t>
  </si>
  <si>
    <t>https://wmts.nlsc.gov.tw/wmts/TOPO01K_H23/{Style}/{TileMatrixSet}/{TileMatrix}/{TileRow}/{TileCol}</t>
  </si>
  <si>
    <t>2dms_wmts_v1_TOPO01K_H23</t>
  </si>
  <si>
    <t>桃園市蘆竹大竹都市計畫_98年</t>
  </si>
  <si>
    <t>WMTS_1/1000地形圖_桃園市蘆竹大竹都市計畫(98年)</t>
  </si>
  <si>
    <t>https://wmts.nlsc.gov.tw/wmts/TOPO01K_H22/{Style}/{TileMatrixSet}/{TileMatrix}/{TileRow}/{TileCol}</t>
  </si>
  <si>
    <t>2dms_wmts_v1_TOPO01K_H22</t>
  </si>
  <si>
    <t>桃園市航空城_大園南港特定區_98年</t>
  </si>
  <si>
    <t>WMTS_1/1000地形圖_桃園市航空城(大園南港特定區)計畫(98年)</t>
  </si>
  <si>
    <t>https://wmts.nlsc.gov.tw/wmts/TOPO01K_H21/{Style}/{TileMatrixSet}/{TileMatrix}/{TileRow}/{TileCol}</t>
  </si>
  <si>
    <t>2dms_wmts_v1_TOPO01K_H21</t>
  </si>
  <si>
    <t>桃園市縱貫公路內壢間都市計畫_100年</t>
  </si>
  <si>
    <t>WMTS_1/1000地形圖_桃園市縱貫公路內壢間都市計畫(100年)</t>
  </si>
  <si>
    <t>https://wmts.nlsc.gov.tw/wmts/TOPO01K_H20/{Style}/{TileMatrixSet}/{TileMatrix}/{TileRow}/{TileCol}</t>
  </si>
  <si>
    <t>2dms_wmts_v1_TOPO01K_H20</t>
  </si>
  <si>
    <t>桃園市石門都市計畫_102年</t>
  </si>
  <si>
    <t>WMTS_1/1000地形圖_桃園市石門都市計畫(102年)</t>
  </si>
  <si>
    <t>https://wmts.nlsc.gov.tw/wmts/TOPO01K_H19/{Style}/{TileMatrixSet}/{TileMatrix}/{TileRow}/{TileCol}</t>
  </si>
  <si>
    <t>2dms_wmts_v1_TOPO01K_H19</t>
  </si>
  <si>
    <t>桃園市石門水庫水源特定區_100年</t>
  </si>
  <si>
    <t>WMTS_1/1000地形圖_桃園市石門水庫水源特定區計畫(100年)</t>
  </si>
  <si>
    <t>https://wmts.nlsc.gov.tw/wmts/TOPO01K_H18/{Style}/{TileMatrixSet}/{TileMatrix}/{TileRow}/{TileCol}</t>
  </si>
  <si>
    <t>2dms_wmts_v1_TOPO01K_H18</t>
  </si>
  <si>
    <t>桃園市楊梅都市計畫_102年</t>
  </si>
  <si>
    <t>WMTS_1/1000地形圖_桃園市楊梅都市計畫(102年)</t>
  </si>
  <si>
    <t>https://wmts.nlsc.gov.tw/wmts/TOPO01K_H17/{Style}/{TileMatrixSet}/{TileMatrix}/{TileRow}/{TileCol}</t>
  </si>
  <si>
    <t>2dms_wmts_v1_TOPO01K_H17</t>
  </si>
  <si>
    <t>桃園市楊梅富岡豐野都市計畫_100年</t>
  </si>
  <si>
    <t>WMTS_1/1000地形圖_桃園市楊梅富岡豐野都市計畫(100年)</t>
  </si>
  <si>
    <t>https://wmts.nlsc.gov.tw/wmts/TOPO01K_H16/{Style}/{TileMatrixSet}/{TileMatrix}/{TileRow}/{TileCol}</t>
  </si>
  <si>
    <t>2dms_wmts_v1_TOPO01K_H16</t>
  </si>
  <si>
    <t>桃園市桃園市都市計畫_103_105年</t>
  </si>
  <si>
    <t>WMTS_1/1000地形圖_桃園市桃園市都市計畫(103(105年)</t>
  </si>
  <si>
    <t>https://wmts.nlsc.gov.tw/wmts/TOPO01K_H15/{Style}/{TileMatrixSet}/{TileMatrix}/{TileRow}/{TileCol}</t>
  </si>
  <si>
    <t>2dms_wmts_v1_TOPO01K_H15</t>
  </si>
  <si>
    <t>桃園市林口特定區_101年</t>
  </si>
  <si>
    <t>WMTS_1/1000地形圖_桃園市林口特定區計畫(101年)</t>
  </si>
  <si>
    <t>https://wmts.nlsc.gov.tw/wmts/TOPO01K_H14/{Style}/{TileMatrixSet}/{TileMatrix}/{TileRow}/{TileCol}</t>
  </si>
  <si>
    <t>2dms_wmts_v1_TOPO01K_H14</t>
  </si>
  <si>
    <t>桃園市新屋都市計畫_100年</t>
  </si>
  <si>
    <t>WMTS_1/1000地形圖_桃園市新屋都市計畫(100年)</t>
  </si>
  <si>
    <t>https://wmts.nlsc.gov.tw/wmts/TOPO01K_H13/{Style}/{TileMatrixSet}/{TileMatrix}/{TileRow}/{TileCol}</t>
  </si>
  <si>
    <t>2dms_wmts_v1_TOPO01K_H13</t>
  </si>
  <si>
    <t>桃園市復興都市計畫_94年</t>
  </si>
  <si>
    <t>WMTS_1/1000地形圖_桃園市復興都市計畫(94年)</t>
  </si>
  <si>
    <t>https://wmts.nlsc.gov.tw/wmts/TOPO01K_H12/{Style}/{TileMatrixSet}/{TileMatrix}/{TileRow}/{TileCol}</t>
  </si>
  <si>
    <t>2dms_wmts_v1_TOPO01K_H12</t>
  </si>
  <si>
    <t>桃園市平鎮山子頂都市計畫_96年</t>
  </si>
  <si>
    <t>WMTS_1/1000地形圖_桃園市平鎮山子頂都市計畫(96年)</t>
  </si>
  <si>
    <t>https://wmts.nlsc.gov.tw/wmts/TOPO01K_H11/{Style}/{TileMatrixSet}/{TileMatrix}/{TileRow}/{TileCol}</t>
  </si>
  <si>
    <t>2dms_wmts_v1_TOPO01K_H11</t>
  </si>
  <si>
    <t>桃園市巴陵達觀山風景特定區_100年</t>
  </si>
  <si>
    <t>WMTS_1/1000地形圖_桃園市巴陵達觀山風景特定區計畫(100年)</t>
  </si>
  <si>
    <t>https://wmts.nlsc.gov.tw/wmts/TOPO01K_H10/{Style}/{TileMatrixSet}/{TileMatrix}/{TileRow}/{TileCol}</t>
  </si>
  <si>
    <t>2dms_wmts_v1_TOPO01K_H10</t>
  </si>
  <si>
    <t>桃園市小烏來風景特定區_100年</t>
  </si>
  <si>
    <t>WMTS_1/1000地形圖_桃園市小烏來風景特定區計畫(100年)</t>
  </si>
  <si>
    <t>https://wmts.nlsc.gov.tw/wmts/TOPO01K_H09/{Style}/{TileMatrixSet}/{TileMatrix}/{TileRow}/{TileCol}</t>
  </si>
  <si>
    <t>2dms_wmts_v1_TOPO01K_H09</t>
  </si>
  <si>
    <t>桃園市大溪都市計畫_93年</t>
  </si>
  <si>
    <t>WMTS_1/1000地形圖_桃園市大溪都市計畫(93年)</t>
  </si>
  <si>
    <t>https://wmts.nlsc.gov.tw/wmts/TOPO01K_H08/{Style}/{TileMatrixSet}/{TileMatrix}/{TileRow}/{TileCol}</t>
  </si>
  <si>
    <t>2dms_wmts_v1_TOPO01K_H08</t>
  </si>
  <si>
    <t>桃園市大溪埔頂都市計畫_102年</t>
  </si>
  <si>
    <t>WMTS_1/1000地形圖_桃園市大溪埔頂都市計畫(102年)</t>
  </si>
  <si>
    <t>https://wmts.nlsc.gov.tw/wmts/TOPO01K_H07/{Style}/{TileMatrixSet}/{TileMatrix}/{TileRow}/{TileCol}</t>
  </si>
  <si>
    <t>2dms_wmts_v1_TOPO01K_H07</t>
  </si>
  <si>
    <t>桃園市大園都市計畫_98年</t>
  </si>
  <si>
    <t>WMTS_1/1000地形圖_桃園市大園都市計畫(98年)</t>
  </si>
  <si>
    <t>https://wmts.nlsc.gov.tw/wmts/TOPO01K_H06/{Style}/{TileMatrixSet}/{TileMatrix}/{TileRow}/{TileCol}</t>
  </si>
  <si>
    <t>2dms_wmts_v1_TOPO01K_H06</t>
  </si>
  <si>
    <t>桃園市大園果林都市計畫_98年</t>
  </si>
  <si>
    <t>WMTS_1/1000地形圖_桃園市大園果林都市計畫(98年)</t>
  </si>
  <si>
    <t>https://wmts.nlsc.gov.tw/wmts/TOPO01K_H05/{Style}/{TileMatrixSet}/{TileMatrix}/{TileRow}/{TileCol}</t>
  </si>
  <si>
    <t>2dms_wmts_v1_TOPO01K_H05</t>
  </si>
  <si>
    <t>桃園市南崁都市計畫_94年</t>
  </si>
  <si>
    <t>WMTS_1/1000地形圖_桃園市南崁都市計畫(94年)</t>
  </si>
  <si>
    <t>https://wmts.nlsc.gov.tw/wmts/TOPO01K_H04/{Style}/{TileMatrixSet}/{TileMatrix}/{TileRow}/{TileCol}</t>
  </si>
  <si>
    <t>2dms_wmts_v1_TOPO01K_H04</t>
  </si>
  <si>
    <t>桃園市八德大湳都市計畫_92年</t>
  </si>
  <si>
    <t>WMTS_1/1000地形圖_桃園市八德大湳都市計畫(92年)</t>
  </si>
  <si>
    <t>https://wmts.nlsc.gov.tw/wmts/TOPO01K_H03/{Style}/{TileMatrixSet}/{TileMatrix}/{TileRow}/{TileCol}</t>
  </si>
  <si>
    <t>2dms_wmts_v1_TOPO01K_H03</t>
  </si>
  <si>
    <t>桃園市中壢龍岡都市計畫_95年</t>
  </si>
  <si>
    <t>WMTS_1/1000地形圖_桃園市中壢龍岡都市計畫(95年)</t>
  </si>
  <si>
    <t>https://wmts.nlsc.gov.tw/wmts/TOPO01K_H02/{Style}/{TileMatrixSet}/{TileMatrix}/{TileRow}/{TileCol}</t>
  </si>
  <si>
    <t>2dms_wmts_v1_TOPO01K_H02</t>
  </si>
  <si>
    <t>桃園市中壢過嶺地區等都市計畫_100年</t>
  </si>
  <si>
    <t>WMTS_1/1000地形圖_桃園市中壢過嶺地區等都市計畫(100年)</t>
  </si>
  <si>
    <t>https://wmts.nlsc.gov.tw/wmts/TOPO01K_H01/{Style}/{TileMatrixSet}/{TileMatrix}/{TileRow}/{TileCol}</t>
  </si>
  <si>
    <t>2dms_wmts_v1_TOPO01K_H01</t>
  </si>
  <si>
    <t>桃園市中壢平鎮都市計畫_100年</t>
  </si>
  <si>
    <t>WMTS_1/1000地形圖_桃園市中壢平鎮都市計畫(100年)</t>
  </si>
  <si>
    <t>https://wmts.nlsc.gov.tw/wmts/TOPO01K_G15/{Style}/{TileMatrixSet}/{TileMatrix}/{TileRow}/{TileCol}</t>
  </si>
  <si>
    <t>2dms_wmts_v1_TOPO01K_G15</t>
  </si>
  <si>
    <t>宜蘭縣龍潭湖特定區及四城地區</t>
  </si>
  <si>
    <t>WMTS_1/1000地形圖_宜蘭縣龍潭湖風景特定區計畫及四城地區(97年)</t>
  </si>
  <si>
    <t>https://wmts.nlsc.gov.tw/wmts/TOPO01K_G14/{Style}/{TileMatrixSet}/{TileMatrix}/{TileRow}/{TileCol}</t>
  </si>
  <si>
    <t>2dms_wmts_v1_TOPO01K_G14</t>
  </si>
  <si>
    <t>宜蘭縣頭城都市計畫</t>
  </si>
  <si>
    <t>WMTS_1/1000地形圖_宜蘭縣頭城都市計畫(97年)</t>
  </si>
  <si>
    <t>https://wmts.nlsc.gov.tw/wmts/TOPO01K_G13/{Style}/{TileMatrixSet}/{TileMatrix}/{TileRow}/{TileCol}</t>
  </si>
  <si>
    <t>2dms_wmts_v1_TOPO01K_G13</t>
  </si>
  <si>
    <t>宜蘭縣羅東都市計畫</t>
  </si>
  <si>
    <t>WMTS_1/1000地形圖_宜蘭縣羅東都市計畫(100年)</t>
  </si>
  <si>
    <t>https://wmts.nlsc.gov.tw/wmts/TOPO01K_G12/{Style}/{TileMatrixSet}/{TileMatrix}/{TileRow}/{TileCol}</t>
  </si>
  <si>
    <t>2dms_wmts_v1_TOPO01K_G12</t>
  </si>
  <si>
    <t>宜蘭縣梅花湖風景特定區</t>
  </si>
  <si>
    <t>WMTS_1/1000地形圖_宜蘭縣梅花湖風景特定區計畫(98年)</t>
  </si>
  <si>
    <t>https://wmts.nlsc.gov.tw/wmts/TOPO01K_G11/{Style}/{TileMatrixSet}/{TileMatrix}/{TileRow}/{TileCol}</t>
  </si>
  <si>
    <t>2dms_wmts_v1_TOPO01K_G11</t>
  </si>
  <si>
    <t>宜蘭縣東北角暨宜蘭海岸國家風景區</t>
  </si>
  <si>
    <t>WMTS_1/1000地形圖_宜蘭縣東北角暨宜蘭海岸國家風景區(100年)</t>
  </si>
  <si>
    <t>https://wmts.nlsc.gov.tw/wmts/TOPO01K_G10/{Style}/{TileMatrixSet}/{TileMatrix}/{TileRow}/{TileCol}</t>
  </si>
  <si>
    <t>2dms_wmts_v1_TOPO01K_G10</t>
  </si>
  <si>
    <t>宜蘭縣宜蘭市都市計畫</t>
  </si>
  <si>
    <t>WMTS_1/1000地形圖_宜蘭縣宜蘭市(100年)</t>
  </si>
  <si>
    <t>https://wmts.nlsc.gov.tw/wmts/TOPO01K_G09/{Style}/{TileMatrixSet}/{TileMatrix}/{TileRow}/{TileCol}</t>
  </si>
  <si>
    <t>2dms_wmts_v1_TOPO01K_G09</t>
  </si>
  <si>
    <t>宜蘭縣大湖風景特定區</t>
  </si>
  <si>
    <t>WMTS_1/1000地形圖_宜蘭縣大湖風景特定區計畫(97年)</t>
  </si>
  <si>
    <t>https://wmts.nlsc.gov.tw/wmts/TOPO01K_G08/{Style}/{TileMatrixSet}/{TileMatrix}/{TileRow}/{TileCol}</t>
  </si>
  <si>
    <t>2dms_wmts_v1_TOPO01K_G08</t>
  </si>
  <si>
    <t>宜蘭縣壯圍都市計畫</t>
  </si>
  <si>
    <t>WMTS_1/1000地形圖_宜蘭縣壯圍都市計畫(97年)</t>
  </si>
  <si>
    <t>https://wmts.nlsc.gov.tw/wmts/TOPO01K_G07/{Style}/{TileMatrixSet}/{TileMatrix}/{TileRow}/{TileCol}</t>
  </si>
  <si>
    <t>2dms_wmts_v1_TOPO01K_G07</t>
  </si>
  <si>
    <t>宜蘭縣員山都市計畫</t>
  </si>
  <si>
    <t>WMTS_1/1000地形圖_宜蘭縣員山都市計畫(97年)</t>
  </si>
  <si>
    <t>https://wmts.nlsc.gov.tw/wmts/TOPO01K_G06/{Style}/{TileMatrixSet}/{TileMatrix}/{TileRow}/{TileCol}</t>
  </si>
  <si>
    <t>2dms_wmts_v1_TOPO01K_G06</t>
  </si>
  <si>
    <t>宜蘭縣南澳南強都市計畫</t>
  </si>
  <si>
    <t>WMTS_1/1000地形圖_宜蘭縣南澳南強都市計畫(98年)</t>
  </si>
  <si>
    <t>https://wmts.nlsc.gov.tw/wmts/TOPO01K_G05/{Style}/{TileMatrixSet}/{TileMatrix}/{TileRow}/{TileCol}</t>
  </si>
  <si>
    <t>2dms_wmts_v1_TOPO01K_G05</t>
  </si>
  <si>
    <t>宜蘭縣冬山及蘇澳_含新馬_都市計畫</t>
  </si>
  <si>
    <t>WMTS_1/1000地形圖_宜蘭縣冬山及蘇澳(含新馬)都市計畫(98年)</t>
  </si>
  <si>
    <t>https://wmts.nlsc.gov.tw/wmts/TOPO01K_G04/{Style}/{TileMatrixSet}/{TileMatrix}/{TileRow}/{TileCol}</t>
  </si>
  <si>
    <t>2dms_wmts_v1_TOPO01K_G04</t>
  </si>
  <si>
    <t>宜蘭縣冬山_順安地區都市計畫</t>
  </si>
  <si>
    <t>WMTS_1/1000地形圖_宜蘭縣冬山(順安地區)都市計畫(98年)</t>
  </si>
  <si>
    <t>https://wmts.nlsc.gov.tw/wmts/TOPO01K_G03/{Style}/{TileMatrixSet}/{TileMatrix}/{TileRow}/{TileCol}</t>
  </si>
  <si>
    <t>2dms_wmts_v1_TOPO01K_G03</t>
  </si>
  <si>
    <t>宜蘭縣五結_學進地區都市計畫</t>
  </si>
  <si>
    <t>WMTS_1/1000地形圖_宜蘭縣五結(學進地區)都市計畫(97年)</t>
  </si>
  <si>
    <t>https://wmts.nlsc.gov.tw/wmts/TOPO01K_G02/{Style}/{TileMatrixSet}/{TileMatrix}/{TileRow}/{TileCol}</t>
  </si>
  <si>
    <t>2dms_wmts_v1_TOPO01K_G02</t>
  </si>
  <si>
    <t>宜蘭縣五峰旗及礁溪都市計畫</t>
  </si>
  <si>
    <t>WMTS_1/1000地形圖_宜蘭縣五峰旗風景特定區計畫及礁溪都市計畫(97年)</t>
  </si>
  <si>
    <t>https://wmts.nlsc.gov.tw/wmts/TOPO01K_G01/{Style}/{TileMatrixSet}/{TileMatrix}/{TileRow}/{TileCol}</t>
  </si>
  <si>
    <t>2dms_wmts_v1_TOPO01K_G01</t>
  </si>
  <si>
    <t>宜蘭縣三星都市計畫</t>
  </si>
  <si>
    <t>WMTS_1/1000地形圖_宜蘭縣三星都市計畫(98年)</t>
  </si>
  <si>
    <t>https://wmts.nlsc.gov.tw/wmts/TOPO01K_F56/{Style}/{TileMatrixSet}/{TileMatrix}/{TileRow}/{TileCol}</t>
  </si>
  <si>
    <t>2dms_wmts_v1_TOPO01K_F56</t>
  </si>
  <si>
    <t>新北市鶯歌區(111年修測)</t>
  </si>
  <si>
    <t>WMTS_1/1000地形圖_新北市鶯歌都市計畫(111年)</t>
  </si>
  <si>
    <t>https://wmts.nlsc.gov.tw/wmts/TOPO01K_F55/{Style}/{TileMatrixSet}/{TileMatrix}/{TileRow}/{TileCol}</t>
  </si>
  <si>
    <t>2dms_wmts_v1_TOPO01K_F55</t>
  </si>
  <si>
    <t>新北市蘆洲區(110年修測)</t>
  </si>
  <si>
    <t>WMTS_1/1000地形圖_新北市蘆洲都市計畫(110年)</t>
  </si>
  <si>
    <t>https://wmts.nlsc.gov.tw/wmts/TOPO01K_F54/{Style}/{TileMatrixSet}/{TileMatrix}/{TileRow}/{TileCol}</t>
  </si>
  <si>
    <t>2dms_wmts_v1_TOPO01K_F54</t>
  </si>
  <si>
    <t>新北市雙溪區(112年修測)</t>
  </si>
  <si>
    <t>WMTS_1/1000地形圖_新北市雙溪都市計畫(112年)</t>
  </si>
  <si>
    <t>https://wmts.nlsc.gov.tw/wmts/TOPO01K_F53/{Style}/{TileMatrixSet}/{TileMatrix}/{TileRow}/{TileCol}</t>
  </si>
  <si>
    <t>2dms_wmts_v1_TOPO01K_F53</t>
  </si>
  <si>
    <t>新北市萬里區(109年修測)</t>
  </si>
  <si>
    <t>WMTS_1/1000地形圖_新北市萬里都市計畫(109年)</t>
  </si>
  <si>
    <t>https://wmts.nlsc.gov.tw/wmts/TOPO01K_F52/{Style}/{TileMatrixSet}/{TileMatrix}/{TileRow}/{TileCol}</t>
  </si>
  <si>
    <t>2dms_wmts_v1_TOPO01K_F52</t>
  </si>
  <si>
    <t>新北市瑞芳區(111年修測)</t>
  </si>
  <si>
    <t>WMTS_1/1000地形圖_新北市瑞芳都市計畫(111年)</t>
  </si>
  <si>
    <t>https://wmts.nlsc.gov.tw/wmts/TOPO01K_F51/{Style}/{TileMatrixSet}/{TileMatrix}/{TileRow}/{TileCol}</t>
  </si>
  <si>
    <t>2dms_wmts_v1_TOPO01K_F51</t>
  </si>
  <si>
    <t>新北市新店區(111年修測)</t>
  </si>
  <si>
    <t>WMTS_1/1000地形圖_新北市新店都市計畫(111年)</t>
  </si>
  <si>
    <t>https://wmts.nlsc.gov.tw/wmts/TOPO01K_F50/{Style}/{TileMatrixSet}/{TileMatrix}/{TileRow}/{TileCol}</t>
  </si>
  <si>
    <t>2dms_wmts_v1_TOPO01K_F50</t>
  </si>
  <si>
    <t>新北市深坑區(110年修測)</t>
  </si>
  <si>
    <t>WMTS_1/1000地形圖_新北市深坑都市計畫(110年)</t>
  </si>
  <si>
    <t>https://wmts.nlsc.gov.tw/wmts/TOPO01K_F49/{Style}/{TileMatrixSet}/{TileMatrix}/{TileRow}/{TileCol}</t>
  </si>
  <si>
    <t>2dms_wmts_v1_TOPO01K_F49</t>
  </si>
  <si>
    <t>新北市淡水區(110年修測)</t>
  </si>
  <si>
    <t>WMTS_1/1000地形圖_新北市淡水都市計畫(110年)</t>
  </si>
  <si>
    <t>https://wmts.nlsc.gov.tw/wmts/TOPO01K_F48/{Style}/{TileMatrixSet}/{TileMatrix}/{TileRow}/{TileCol}</t>
  </si>
  <si>
    <t>2dms_wmts_v1_TOPO01K_F48</t>
  </si>
  <si>
    <t>新北市貢寮區(112年修測)</t>
  </si>
  <si>
    <t>WMTS_1/1000地形圖_新北市貢寮都市計畫(112年)</t>
  </si>
  <si>
    <t>https://wmts.nlsc.gov.tw/wmts/TOPO01K_F47/{Style}/{TileMatrixSet}/{TileMatrix}/{TileRow}/{TileCol}</t>
  </si>
  <si>
    <t>2dms_wmts_v1_TOPO01K_F47</t>
  </si>
  <si>
    <t>新北市貢寮區(108年修測)</t>
  </si>
  <si>
    <t>WMTS_1/1000地形圖_新北市貢寮都市計畫(108年)</t>
  </si>
  <si>
    <t>https://wmts.nlsc.gov.tw/wmts/TOPO01K_F46/{Style}/{TileMatrixSet}/{TileMatrix}/{TileRow}/{TileCol}</t>
  </si>
  <si>
    <t>2dms_wmts_v1_TOPO01K_F46</t>
  </si>
  <si>
    <t>新北市烏來區(112年修測)</t>
  </si>
  <si>
    <t>WMTS_1/1000地形圖_新北市烏來都市計畫(112年)</t>
  </si>
  <si>
    <t>https://wmts.nlsc.gov.tw/wmts/TOPO01K_F45/{Style}/{TileMatrixSet}/{TileMatrix}/{TileRow}/{TileCol}</t>
  </si>
  <si>
    <t>2dms_wmts_v1_TOPO01K_F45</t>
  </si>
  <si>
    <t>新北市金山區(109年修測)</t>
  </si>
  <si>
    <t>WMTS_1/1000地形圖_新北市金山都市計畫(109年)</t>
  </si>
  <si>
    <t>https://wmts.nlsc.gov.tw/wmts/TOPO01K_F44/{Style}/{TileMatrixSet}/{TileMatrix}/{TileRow}/{TileCol}</t>
  </si>
  <si>
    <t>2dms_wmts_v1_TOPO01K_F44</t>
  </si>
  <si>
    <t>新北市林口區(107年修測)</t>
  </si>
  <si>
    <t>WMTS_1/1000地形圖_新北市林口都市計畫(107年)</t>
  </si>
  <si>
    <t>https://wmts.nlsc.gov.tw/wmts/TOPO01K_F43/{Style}/{TileMatrixSet}/{TileMatrix}/{TileRow}/{TileCol}</t>
  </si>
  <si>
    <t>2dms_wmts_v1_TOPO01K_F43</t>
  </si>
  <si>
    <t>新北市板橋區(109年修測)</t>
  </si>
  <si>
    <t>WMTS_1/1000地形圖_新北市板橋都市計畫(109年)</t>
  </si>
  <si>
    <t>https://wmts.nlsc.gov.tw/wmts/TOPO01K_F42/{Style}/{TileMatrixSet}/{TileMatrix}/{TileRow}/{TileCol}</t>
  </si>
  <si>
    <t>2dms_wmts_v1_TOPO01K_F42</t>
  </si>
  <si>
    <t>新北市坪林區(110年修測)</t>
  </si>
  <si>
    <t>WMTS_1/1000地形圖_新北市坪林都市計畫(110年)</t>
  </si>
  <si>
    <t>https://wmts.nlsc.gov.tw/wmts/TOPO01K_F41/{Style}/{TileMatrixSet}/{TileMatrix}/{TileRow}/{TileCol}</t>
  </si>
  <si>
    <t>2dms_wmts_v1_TOPO01K_F41</t>
  </si>
  <si>
    <t>新北市汐止區(108年修測)</t>
  </si>
  <si>
    <t>WMTS_1/1000地形圖_新北市汐止都市計畫(108年)</t>
  </si>
  <si>
    <t>https://wmts.nlsc.gov.tw/wmts/TOPO01K_F40/{Style}/{TileMatrixSet}/{TileMatrix}/{TileRow}/{TileCol}</t>
  </si>
  <si>
    <t>2dms_wmts_v1_TOPO01K_F40</t>
  </si>
  <si>
    <t>新北市石碇區(110年修測)</t>
  </si>
  <si>
    <t>WMTS_1/1000地形圖_新北市石碇都市計畫(110年)</t>
  </si>
  <si>
    <t>https://wmts.nlsc.gov.tw/wmts/TOPO01K_F39/{Style}/{TileMatrixSet}/{TileMatrix}/{TileRow}/{TileCol}</t>
  </si>
  <si>
    <t>2dms_wmts_v1_TOPO01K_F39</t>
  </si>
  <si>
    <t>新北市石門區(110年修測)</t>
  </si>
  <si>
    <t>WMTS_1/1000地形圖_新北市石門都市計畫(110年)</t>
  </si>
  <si>
    <t>https://wmts.nlsc.gov.tw/wmts/TOPO01K_F38/{Style}/{TileMatrixSet}/{TileMatrix}/{TileRow}/{TileCol}</t>
  </si>
  <si>
    <t>2dms_wmts_v1_TOPO01K_F38</t>
  </si>
  <si>
    <t>新北市永和區(112年修測)</t>
  </si>
  <si>
    <t>WMTS_1/1000地形圖_新北市永和都市計畫(112年)</t>
  </si>
  <si>
    <t>https://wmts.nlsc.gov.tw/wmts/TOPO01K_F37/{Style}/{TileMatrixSet}/{TileMatrix}/{TileRow}/{TileCol}</t>
  </si>
  <si>
    <t>2dms_wmts_v1_TOPO01K_F37</t>
  </si>
  <si>
    <t>新北市平溪區(110年修測)</t>
  </si>
  <si>
    <t>WMTS_1/1000地形圖_新北市平溪都市計畫(110年)</t>
  </si>
  <si>
    <t>https://wmts.nlsc.gov.tw/wmts/TOPO01K_F36/{Style}/{TileMatrixSet}/{TileMatrix}/{TileRow}/{TileCol}</t>
  </si>
  <si>
    <t>2dms_wmts_v1_TOPO01K_F36</t>
  </si>
  <si>
    <t>新北市五股區(107年修測)</t>
  </si>
  <si>
    <t>WMTS_1/1000地形圖_新北市五股都市計畫(107年)</t>
  </si>
  <si>
    <t>https://wmts.nlsc.gov.tw/wmts/TOPO01K_F35/{Style}/{TileMatrixSet}/{TileMatrix}/{TileRow}/{TileCol}</t>
  </si>
  <si>
    <t>2dms_wmts_v1_TOPO01K_F35</t>
  </si>
  <si>
    <t>新北市中和區(112年修測)</t>
  </si>
  <si>
    <t>WMTS_1/1000地形圖_新北市中和都市計畫(112年)</t>
  </si>
  <si>
    <t>https://wmts.nlsc.gov.tw/wmts/TOPO01K_F34/{Style}/{TileMatrixSet}/{TileMatrix}/{TileRow}/{TileCol}</t>
  </si>
  <si>
    <t>2dms_wmts_v1_TOPO01K_F34</t>
  </si>
  <si>
    <t>新北市土城區(109年修測)</t>
  </si>
  <si>
    <t>WMTS_1/1000地形圖_新北市土城都市計畫(109年)</t>
  </si>
  <si>
    <t>https://wmts.nlsc.gov.tw/wmts/TOPO01K_F33/{Style}/{TileMatrixSet}/{TileMatrix}/{TileRow}/{TileCol}</t>
  </si>
  <si>
    <t>2dms_wmts_v1_TOPO01K_F33</t>
  </si>
  <si>
    <t>新北市三峽區(111年修測)</t>
  </si>
  <si>
    <t>WMTS_1/1000地形圖_新北市三峽都市計畫(111年)</t>
  </si>
  <si>
    <t>https://wmts.nlsc.gov.tw/wmts/TOPO01K_F32/{Style}/{TileMatrixSet}/{TileMatrix}/{TileRow}/{TileCol}</t>
  </si>
  <si>
    <t>2dms_wmts_v1_TOPO01K_F32</t>
  </si>
  <si>
    <t>新北市三重區(110年修測)</t>
  </si>
  <si>
    <t>WMTS_1/1000地形圖_新北市三重都市計畫(110年)</t>
  </si>
  <si>
    <t>https://wmts.nlsc.gov.tw/wmts/TOPO01K_F31/{Style}/{TileMatrixSet}/{TileMatrix}/{TileRow}/{TileCol}</t>
  </si>
  <si>
    <t>2dms_wmts_v1_TOPO01K_F31</t>
  </si>
  <si>
    <t>新北市三芝區(109年修測)</t>
  </si>
  <si>
    <t>WMTS_1/1000地形圖_新北市三芝都市計畫(109年)</t>
  </si>
  <si>
    <t>https://wmts.nlsc.gov.tw/wmts/TOPO01K_F30/{Style}/{TileMatrixSet}/{TileMatrix}/{TileRow}/{TileCol}</t>
  </si>
  <si>
    <t>2dms_wmts_v1_TOPO01K_F30</t>
  </si>
  <si>
    <t>新北市八里區(107年修測)</t>
  </si>
  <si>
    <t>WMTS_1/1000地形圖_新北市八里都市計畫(107年)</t>
  </si>
  <si>
    <t>https://wmts.nlsc.gov.tw/wmts/TOPO01K_F29/{Style}/{TileMatrixSet}/{TileMatrix}/{TileRow}/{TileCol}</t>
  </si>
  <si>
    <t>2dms_wmts_v1_TOPO01K_F29</t>
  </si>
  <si>
    <t>新北市鶯歌都市計畫_105年</t>
  </si>
  <si>
    <t>WMTS_1/1000地形圖_新北市鶯歌都市計畫(105年)</t>
  </si>
  <si>
    <t>https://wmts.nlsc.gov.tw/wmts/TOPO01K_F28/{Style}/{TileMatrixSet}/{TileMatrix}/{TileRow}/{TileCol}</t>
  </si>
  <si>
    <t>2dms_wmts_v1_TOPO01K_F28</t>
  </si>
  <si>
    <t>新北市雙溪都市計畫_103年</t>
  </si>
  <si>
    <t>WMTS_1/1000地形圖_新北市雙溪都市計畫(103年)</t>
  </si>
  <si>
    <t>https://wmts.nlsc.gov.tw/wmts/TOPO01K_F27/{Style}/{TileMatrixSet}/{TileMatrix}/{TileRow}/{TileCol}</t>
  </si>
  <si>
    <t>2dms_wmts_v1_TOPO01K_F27</t>
  </si>
  <si>
    <t>新北市金山都市計畫_103年</t>
  </si>
  <si>
    <t>WMTS_1/1000地形圖_新北市金山都市計畫(103年)</t>
  </si>
  <si>
    <t>https://wmts.nlsc.gov.tw/wmts/TOPO01K_F26/{Style}/{TileMatrixSet}/{TileMatrix}/{TileRow}/{TileCol}</t>
  </si>
  <si>
    <t>2dms_wmts_v1_TOPO01K_F26</t>
  </si>
  <si>
    <t>新北市貢寮都市計畫_100年</t>
  </si>
  <si>
    <t>WMTS_1/1000地形圖_新北市貢寮都市計畫(100年)</t>
  </si>
  <si>
    <t>https://wmts.nlsc.gov.tw/wmts/TOPO01K_F25/{Style}/{TileMatrixSet}/{TileMatrix}/{TileRow}/{TileCol}</t>
  </si>
  <si>
    <t>2dms_wmts_v1_TOPO01K_F25</t>
  </si>
  <si>
    <t>新北市蘆洲都市計畫_104年</t>
  </si>
  <si>
    <t>WMTS_1/1000地形圖_新北市蘆洲都市計畫(104年)</t>
  </si>
  <si>
    <t>https://wmts.nlsc.gov.tw/wmts/TOPO01K_F24/{Style}/{TileMatrixSet}/{TileMatrix}/{TileRow}/{TileCol}</t>
  </si>
  <si>
    <t>2dms_wmts_v1_TOPO01K_F24</t>
  </si>
  <si>
    <t>新北市萬里都市計畫_103年</t>
  </si>
  <si>
    <t>WMTS_1/1000地形圖_新北市萬里都市計畫(103年)</t>
  </si>
  <si>
    <t>https://wmts.nlsc.gov.tw/wmts/TOPO01K_F23/{Style}/{TileMatrixSet}/{TileMatrix}/{TileRow}/{TileCol}</t>
  </si>
  <si>
    <t>2dms_wmts_v1_TOPO01K_F23</t>
  </si>
  <si>
    <t>新北市石門都市計畫_104年</t>
  </si>
  <si>
    <t>WMTS_1/1000地形圖_新北市石門都市計畫(104年)</t>
  </si>
  <si>
    <t>https://wmts.nlsc.gov.tw/wmts/TOPO01K_F22/{Style}/{TileMatrixSet}/{TileMatrix}/{TileRow}/{TileCol}</t>
  </si>
  <si>
    <t>2dms_wmts_v1_TOPO01K_F22</t>
  </si>
  <si>
    <t>新北市石碇都市計畫_104年</t>
  </si>
  <si>
    <t>WMTS_1/1000地形圖_新北市石碇都市計畫(104年)</t>
  </si>
  <si>
    <t>https://wmts.nlsc.gov.tw/wmts/TOPO01K_F21/{Style}/{TileMatrixSet}/{TileMatrix}/{TileRow}/{TileCol}</t>
  </si>
  <si>
    <t>2dms_wmts_v1_TOPO01K_F21</t>
  </si>
  <si>
    <t>新北市瑞芳都市計畫_105年</t>
  </si>
  <si>
    <t>WMTS_1/1000地形圖_新北市瑞芳都市計畫(105年)</t>
  </si>
  <si>
    <t>https://wmts.nlsc.gov.tw/wmts/TOPO01K_F20/{Style}/{TileMatrixSet}/{TileMatrix}/{TileRow}/{TileCol}</t>
  </si>
  <si>
    <t>2dms_wmts_v1_TOPO01K_F20</t>
  </si>
  <si>
    <t>新北市烏來都市計畫_104年</t>
  </si>
  <si>
    <t>WMTS_1/1000地形圖_新北市烏來都市計畫(104年)</t>
  </si>
  <si>
    <t>https://wmts.nlsc.gov.tw/wmts/TOPO01K_F19/{Style}/{TileMatrixSet}/{TileMatrix}/{TileRow}/{TileCol}</t>
  </si>
  <si>
    <t>2dms_wmts_v1_TOPO01K_F19</t>
  </si>
  <si>
    <t>新北市深坑都市計畫_104年</t>
  </si>
  <si>
    <t>WMTS_1/1000地形圖_新北市深坑都市計畫(104年)</t>
  </si>
  <si>
    <t>https://wmts.nlsc.gov.tw/wmts/TOPO01K_F18/{Style}/{TileMatrixSet}/{TileMatrix}/{TileRow}/{TileCol}</t>
  </si>
  <si>
    <t>2dms_wmts_v1_TOPO01K_F18</t>
  </si>
  <si>
    <t>新北市淡水都市計畫_105年</t>
  </si>
  <si>
    <t>WMTS_1/1000地形圖_新北市淡水都市計畫(105年)</t>
  </si>
  <si>
    <t>https://wmts.nlsc.gov.tw/wmts/TOPO01K_F17/{Style}/{TileMatrixSet}/{TileMatrix}/{TileRow}/{TileCol}</t>
  </si>
  <si>
    <t>2dms_wmts_v1_TOPO01K_F17</t>
  </si>
  <si>
    <t>新北市泰山都市計畫_105年</t>
  </si>
  <si>
    <t>WMTS_1/1000地形圖_新北市泰山都市計畫(105年)</t>
  </si>
  <si>
    <t>https://wmts.nlsc.gov.tw/wmts/TOPO01K_F16/{Style}/{TileMatrixSet}/{TileMatrix}/{TileRow}/{TileCol}</t>
  </si>
  <si>
    <t>2dms_wmts_v1_TOPO01K_F16</t>
  </si>
  <si>
    <t>新北市汐止都市計畫_102年</t>
  </si>
  <si>
    <t>WMTS_1/1000地形圖_新北市汐止都市計畫(102年)</t>
  </si>
  <si>
    <t>https://wmts.nlsc.gov.tw/wmts/TOPO01K_F15/{Style}/{TileMatrixSet}/{TileMatrix}/{TileRow}/{TileCol}</t>
  </si>
  <si>
    <t>2dms_wmts_v1_TOPO01K_F15</t>
  </si>
  <si>
    <t>新北市永和都市計畫_104年</t>
  </si>
  <si>
    <t>WMTS_1/1000地形圖_新北市永和都市計畫(104年)</t>
  </si>
  <si>
    <t>https://wmts.nlsc.gov.tw/wmts/TOPO01K_F14/{Style}/{TileMatrixSet}/{TileMatrix}/{TileRow}/{TileCol}</t>
  </si>
  <si>
    <t>2dms_wmts_v1_TOPO01K_F14</t>
  </si>
  <si>
    <t>新北市樹林都市計畫_105年</t>
  </si>
  <si>
    <t>WMTS_1/1000地形圖_新北市樹林都市計畫(105年)</t>
  </si>
  <si>
    <t>https://wmts.nlsc.gov.tw/wmts/TOPO01K_F13/{Style}/{TileMatrixSet}/{TileMatrix}/{TileRow}/{TileCol}</t>
  </si>
  <si>
    <t>2dms_wmts_v1_TOPO01K_F13</t>
  </si>
  <si>
    <t>新北市林口都市計畫_101年</t>
  </si>
  <si>
    <t>WMTS_1/1000地形圖_新北市林口都市計畫(101年)</t>
  </si>
  <si>
    <t>https://wmts.nlsc.gov.tw/wmts/TOPO01K_F12/{Style}/{TileMatrixSet}/{TileMatrix}/{TileRow}/{TileCol}</t>
  </si>
  <si>
    <t>2dms_wmts_v1_TOPO01K_F12</t>
  </si>
  <si>
    <t>新北市板橋都市計畫_103年</t>
  </si>
  <si>
    <t>WMTS_1/1000地形圖_新北市板橋都市計畫(103年)</t>
  </si>
  <si>
    <t>https://wmts.nlsc.gov.tw/wmts/TOPO01K_F11/{Style}/{TileMatrixSet}/{TileMatrix}/{TileRow}/{TileCol}</t>
  </si>
  <si>
    <t>2dms_wmts_v1_TOPO01K_F11</t>
  </si>
  <si>
    <t>新北市新莊都市計畫_105年</t>
  </si>
  <si>
    <t>WMTS_1/1000地形圖_新北市新莊都市計畫(105年)</t>
  </si>
  <si>
    <t>https://wmts.nlsc.gov.tw/wmts/TOPO01K_F10/{Style}/{TileMatrixSet}/{TileMatrix}/{TileRow}/{TileCol}</t>
  </si>
  <si>
    <t>2dms_wmts_v1_TOPO01K_F10</t>
  </si>
  <si>
    <t>新北市新店都市計畫_104年</t>
  </si>
  <si>
    <t>WMTS_1/1000地形圖_新北市新店都市計畫(104年)</t>
  </si>
  <si>
    <t>https://wmts.nlsc.gov.tw/wmts/TOPO01K_F09/{Style}/{TileMatrixSet}/{TileMatrix}/{TileRow}/{TileCol}</t>
  </si>
  <si>
    <t>2dms_wmts_v1_TOPO01K_F09</t>
  </si>
  <si>
    <t>新北市平溪都市計畫_103年</t>
  </si>
  <si>
    <t>WMTS_1/1000地形圖_新北市平溪都市計畫(103年)</t>
  </si>
  <si>
    <t>https://wmts.nlsc.gov.tw/wmts/TOPO01K_F08/{Style}/{TileMatrixSet}/{TileMatrix}/{TileRow}/{TileCol}</t>
  </si>
  <si>
    <t>2dms_wmts_v1_TOPO01K_F08</t>
  </si>
  <si>
    <t>新北市坪林都市計畫_104年</t>
  </si>
  <si>
    <t>WMTS_1/1000地形圖_新北市坪林都市計畫(104年)</t>
  </si>
  <si>
    <t>https://wmts.nlsc.gov.tw/wmts/TOPO01K_F07/{Style}/{TileMatrixSet}/{TileMatrix}/{TileRow}/{TileCol}</t>
  </si>
  <si>
    <t>2dms_wmts_v1_TOPO01K_F07</t>
  </si>
  <si>
    <t>新北市土城都市計畫_103年</t>
  </si>
  <si>
    <t>WMTS_1/1000地形圖_新北市土城都市計畫(103年)</t>
  </si>
  <si>
    <t>https://wmts.nlsc.gov.tw/wmts/TOPO01K_F06/{Style}/{TileMatrixSet}/{TileMatrix}/{TileRow}/{TileCol}</t>
  </si>
  <si>
    <t>2dms_wmts_v1_TOPO01K_F06</t>
  </si>
  <si>
    <t>新北市八里都市計畫_101年</t>
  </si>
  <si>
    <t>WMTS_1/1000地形圖_新北市八里都市計畫(101年)</t>
  </si>
  <si>
    <t>https://wmts.nlsc.gov.tw/wmts/TOPO01K_F05/{Style}/{TileMatrixSet}/{TileMatrix}/{TileRow}/{TileCol}</t>
  </si>
  <si>
    <t>2dms_wmts_v1_TOPO01K_F05</t>
  </si>
  <si>
    <t>新北市五股都市計畫_101年</t>
  </si>
  <si>
    <t>WMTS_1/1000地形圖_新北市五股都市計畫(101年)</t>
  </si>
  <si>
    <t>https://wmts.nlsc.gov.tw/wmts/TOPO01K_F04/{Style}/{TileMatrixSet}/{TileMatrix}/{TileRow}/{TileCol}</t>
  </si>
  <si>
    <t>2dms_wmts_v1_TOPO01K_F04</t>
  </si>
  <si>
    <t>新北市中和都市計畫_104年</t>
  </si>
  <si>
    <t>WMTS_1/1000地形圖_新北市中和都市計畫(104年)</t>
  </si>
  <si>
    <t>https://wmts.nlsc.gov.tw/wmts/TOPO01K_F03/{Style}/{TileMatrixSet}/{TileMatrix}/{TileRow}/{TileCol}</t>
  </si>
  <si>
    <t>2dms_wmts_v1_TOPO01K_F03</t>
  </si>
  <si>
    <t>新北市三重都市計畫_103年</t>
  </si>
  <si>
    <t>WMTS_1/1000地形圖_新北市三重都市計畫(103年)</t>
  </si>
  <si>
    <t>https://wmts.nlsc.gov.tw/wmts/TOPO01K_F02/{Style}/{TileMatrixSet}/{TileMatrix}/{TileRow}/{TileCol}</t>
  </si>
  <si>
    <t>2dms_wmts_v1_TOPO01K_F02</t>
  </si>
  <si>
    <t>新北市三芝都市計畫_104年</t>
  </si>
  <si>
    <t>WMTS_1/1000地形圖_新北市三芝都市計畫(104年)</t>
  </si>
  <si>
    <t>https://wmts.nlsc.gov.tw/wmts/TOPO01K_F01/{Style}/{TileMatrixSet}/{TileMatrix}/{TileRow}/{TileCol}</t>
  </si>
  <si>
    <t>2dms_wmts_v1_TOPO01K_F01</t>
  </si>
  <si>
    <t>新北市三峽都市計畫_105年</t>
  </si>
  <si>
    <t>WMTS_1/1000地形圖_新北市三峽都市計畫(105年)</t>
  </si>
  <si>
    <t>https://wmts.nlsc.gov.tw/wmts/TOPO01K_E38/{Style}/{TileMatrixSet}/{TileMatrix}/{TileRow}/{TileCol}</t>
  </si>
  <si>
    <t>2dms_wmts_v1_TOPO01K_E38</t>
  </si>
  <si>
    <t>高雄市興達港漁業特定區_109年</t>
  </si>
  <si>
    <t>WMTS_1/1000地形圖_高雄市興達港漁業特定區計畫(109年)</t>
  </si>
  <si>
    <t>https://wmts.nlsc.gov.tw/wmts/TOPO01K_E37/{Style}/{TileMatrixSet}/{TileMatrix}/{TileRow}/{TileCol}</t>
  </si>
  <si>
    <t>2dms_wmts_v1_TOPO01K_E37</t>
  </si>
  <si>
    <t>高雄市楠梓區_113年</t>
  </si>
  <si>
    <t>WMTS_1/1000地形圖_高雄市楠梓計畫(113年)</t>
  </si>
  <si>
    <t>https://wmts.nlsc.gov.tw/wmts/TOPO01K_E36/{Style}/{TileMatrixSet}/{TileMatrix}/{TileRow}/{TileCol}</t>
  </si>
  <si>
    <t>2dms_wmts_v1_TOPO01K_E36</t>
  </si>
  <si>
    <t>高雄市新市鎮特定區_102年</t>
  </si>
  <si>
    <t>WMTS_1/1000地形圖_高雄市新市鎮特定區計畫(102年)</t>
  </si>
  <si>
    <t>https://wmts.nlsc.gov.tw/wmts/TOPO01K_E35/{Style}/{TileMatrixSet}/{TileMatrix}/{TileRow}/{TileCol}</t>
  </si>
  <si>
    <t>2dms_wmts_v1_TOPO01K_E35</t>
  </si>
  <si>
    <t>高雄市鳥松(仁美地區)都市計畫區_108年</t>
  </si>
  <si>
    <t>WMTS_1/1000地形圖_高雄市鳥松仁美地區都市計畫(108年)</t>
  </si>
  <si>
    <t>https://wmts.nlsc.gov.tw/wmts/TOPO01K_E34/{Style}/{TileMatrixSet}/{TileMatrix}/{TileRow}/{TileCol}</t>
  </si>
  <si>
    <t>2dms_wmts_v1_TOPO01K_E34</t>
  </si>
  <si>
    <t>高雄市梓官都市計畫_109年</t>
  </si>
  <si>
    <t>WMTS_1/1000地形圖_高雄市梓官都市計畫(109年)</t>
  </si>
  <si>
    <t>https://wmts.nlsc.gov.tw/wmts/TOPO01K_E32/{Style}/{TileMatrixSet}/{TileMatrix}/{TileRow}/{TileCol}</t>
  </si>
  <si>
    <t>2dms_wmts_v1_TOPO01K_E32</t>
  </si>
  <si>
    <t>高雄市左營鼓山地區_113年</t>
  </si>
  <si>
    <t>WMTS_1/1000地形圖_高雄市左營鼓山都市計畫(113年)</t>
  </si>
  <si>
    <t>https://wmts.nlsc.gov.tw/wmts/TOPO01K_E31/{Style}/{TileMatrixSet}/{TileMatrix}/{TileRow}/{TileCol}</t>
  </si>
  <si>
    <t>2dms_wmts_v1_TOPO01K_E31</t>
  </si>
  <si>
    <t>高雄市大樹都市計畫區_107年</t>
  </si>
  <si>
    <t>WMTS_1/1000地形圖_高雄市大樹都市計畫(107年)</t>
  </si>
  <si>
    <t>https://wmts.nlsc.gov.tw/wmts/TOPO01K_E30/{Style}/{TileMatrixSet}/{TileMatrix}/{TileRow}/{TileCol}</t>
  </si>
  <si>
    <t>2dms_wmts_v1_TOPO01K_E30</t>
  </si>
  <si>
    <t>高雄市鳳山都市計畫_100年</t>
  </si>
  <si>
    <t>WMTS_1/1000地形圖_高雄市鳳山都市計畫(100年)</t>
  </si>
  <si>
    <t>https://wmts.nlsc.gov.tw/wmts/TOPO01K_E29/{Style}/{TileMatrixSet}/{TileMatrix}/{TileRow}/{TileCol}</t>
  </si>
  <si>
    <t>2dms_wmts_v1_TOPO01K_E29</t>
  </si>
  <si>
    <t>高雄市鳥松仁美地區都市計畫_101年</t>
  </si>
  <si>
    <t>WMTS_1/1000地形圖_高雄市鳥松仁美地區都市計畫(101年)</t>
  </si>
  <si>
    <t>https://wmts.nlsc.gov.tw/wmts/TOPO01K_E28/{Style}/{TileMatrixSet}/{TileMatrix}/{TileRow}/{TileCol}</t>
  </si>
  <si>
    <t>2dms_wmts_v1_TOPO01K_E28</t>
  </si>
  <si>
    <t>高雄市新市鎮特定區_97年</t>
  </si>
  <si>
    <t>WMTS_1/1000地形圖_高雄市新市鎮特定區計畫(97年)</t>
  </si>
  <si>
    <t>https://wmts.nlsc.gov.tw/wmts/TOPO01K_E27/{Style}/{TileMatrixSet}/{TileMatrix}/{TileRow}/{TileCol}</t>
  </si>
  <si>
    <t>2dms_wmts_v1_TOPO01K_E27</t>
  </si>
  <si>
    <t>高雄市都市計畫_102年</t>
  </si>
  <si>
    <t>WMTS_1/1000地形圖_高雄市都市計畫(102年)</t>
  </si>
  <si>
    <t>https://wmts.nlsc.gov.tw/wmts/TOPO01K_E26/{Style}/{TileMatrixSet}/{TileMatrix}/{TileRow}/{TileCol}</t>
  </si>
  <si>
    <t>2dms_wmts_v1_TOPO01K_E26</t>
  </si>
  <si>
    <t>高雄市岡山交流道特定區_99年</t>
  </si>
  <si>
    <t>WMTS_1/1000地形圖_高雄市岡山交流道特定區計畫(99年)</t>
  </si>
  <si>
    <t>https://wmts.nlsc.gov.tw/wmts/TOPO01K_E25/{Style}/{TileMatrixSet}/{TileMatrix}/{TileRow}/{TileCol}</t>
  </si>
  <si>
    <t>2dms_wmts_v1_TOPO01K_E25</t>
  </si>
  <si>
    <t>高雄市阿蓮都市計畫_104年</t>
  </si>
  <si>
    <t>WMTS_1/1000地形圖_高雄市阿蓮都市計畫(104年)</t>
  </si>
  <si>
    <t>https://wmts.nlsc.gov.tw/wmts/TOPO01K_E24/{Style}/{TileMatrixSet}/{TileMatrix}/{TileRow}/{TileCol}</t>
  </si>
  <si>
    <t>2dms_wmts_v1_TOPO01K_E24</t>
  </si>
  <si>
    <t>高雄市路竹都市計畫_106年</t>
  </si>
  <si>
    <t>WMTS_1/1000地形圖_高雄市路竹都市計畫(106年)</t>
  </si>
  <si>
    <t>https://wmts.nlsc.gov.tw/wmts/TOPO01K_E23/{Style}/{TileMatrixSet}/{TileMatrix}/{TileRow}/{TileCol}</t>
  </si>
  <si>
    <t>2dms_wmts_v1_TOPO01K_E23</t>
  </si>
  <si>
    <t>高雄市蚵仔寮近海漁業特定區_101年</t>
  </si>
  <si>
    <t>WMTS_1/1000地形圖_高雄市蚵仔寮近海漁業特定區計畫(101年)</t>
  </si>
  <si>
    <t>https://wmts.nlsc.gov.tw/wmts/TOPO01K_E22/{Style}/{TileMatrixSet}/{TileMatrix}/{TileRow}/{TileCol}</t>
  </si>
  <si>
    <t>2dms_wmts_v1_TOPO01K_E22</t>
  </si>
  <si>
    <t>高雄市茄萣都市計畫及興達港漁業特定區_101年</t>
  </si>
  <si>
    <t>WMTS_1/1000地形圖_高雄市茄萣都市計畫及興達港漁業特定區計畫(101年)</t>
  </si>
  <si>
    <t>https://wmts.nlsc.gov.tw/wmts/TOPO01K_E21/{Style}/{TileMatrixSet}/{TileMatrix}/{TileRow}/{TileCol}</t>
  </si>
  <si>
    <t>2dms_wmts_v1_TOPO01K_E21</t>
  </si>
  <si>
    <t>高雄市美濃都市計畫_105年</t>
  </si>
  <si>
    <t>WMTS_1/1000地形圖_高雄市美濃都市計畫(105年)</t>
  </si>
  <si>
    <t>https://wmts.nlsc.gov.tw/wmts/TOPO01K_E20/{Style}/{TileMatrixSet}/{TileMatrix}/{TileRow}/{TileCol}</t>
  </si>
  <si>
    <t>2dms_wmts_v1_TOPO01K_E20</t>
  </si>
  <si>
    <t>高雄市美濃中正湖風景特定區_101年</t>
  </si>
  <si>
    <t>WMTS_1/1000地形圖_高雄市美濃中正湖風景特定區計畫(101年)</t>
  </si>
  <si>
    <t>https://wmts.nlsc.gov.tw/wmts/TOPO01K_E19/{Style}/{TileMatrixSet}/{TileMatrix}/{TileRow}/{TileCol}</t>
  </si>
  <si>
    <t>2dms_wmts_v1_TOPO01K_E19</t>
  </si>
  <si>
    <t>高雄市甲仙都市計畫_99年</t>
  </si>
  <si>
    <t>WMTS_1/1000地形圖_高雄市甲仙都市計畫(99年)</t>
  </si>
  <si>
    <t>https://wmts.nlsc.gov.tw/wmts/TOPO01K_E18/{Style}/{TileMatrixSet}/{TileMatrix}/{TileRow}/{TileCol}</t>
  </si>
  <si>
    <t>2dms_wmts_v1_TOPO01K_E18</t>
  </si>
  <si>
    <t>高雄市燕巢都市計畫_104年</t>
  </si>
  <si>
    <t>WMTS_1/1000地形圖_高雄市燕巢都市計畫(104年)</t>
  </si>
  <si>
    <t>https://wmts.nlsc.gov.tw/wmts/TOPO01K_E17/{Style}/{TileMatrixSet}/{TileMatrix}/{TileRow}/{TileCol}</t>
  </si>
  <si>
    <t>2dms_wmts_v1_TOPO01K_E17</t>
  </si>
  <si>
    <t>高雄市湖內含大湖都市計畫_101年</t>
  </si>
  <si>
    <t>WMTS_1/1000地形圖_高雄市湖內含大湖都市計畫(101年)</t>
  </si>
  <si>
    <t>https://wmts.nlsc.gov.tw/wmts/TOPO01K_E16/{Style}/{TileMatrixSet}/{TileMatrix}/{TileRow}/{TileCol}</t>
  </si>
  <si>
    <t>2dms_wmts_v1_TOPO01K_E16</t>
  </si>
  <si>
    <t>高雄市楠梓交流道特定區鳳山厝_106年</t>
  </si>
  <si>
    <t>WMTS_1/1000地形圖_高雄市楠梓交流道特定區計畫鳳山厝(106年)</t>
  </si>
  <si>
    <t>https://wmts.nlsc.gov.tw/wmts/TOPO01K_E15/{Style}/{TileMatrixSet}/{TileMatrix}/{TileRow}/{TileCol}</t>
  </si>
  <si>
    <t>2dms_wmts_v1_TOPO01K_E15</t>
  </si>
  <si>
    <t>高雄市梓官都市計畫_101年</t>
  </si>
  <si>
    <t>WMTS_1/1000地形圖_高雄市梓官都市計畫(101年)</t>
  </si>
  <si>
    <t>https://wmts.nlsc.gov.tw/wmts/TOPO01K_E14/{Style}/{TileMatrixSet}/{TileMatrix}/{TileRow}/{TileCol}</t>
  </si>
  <si>
    <t>2dms_wmts_v1_TOPO01K_E14</t>
  </si>
  <si>
    <t>高雄市月世界風景特定區_99年</t>
  </si>
  <si>
    <t>WMTS_1/1000地形圖_高雄市月世界風景特定區計畫(99年)</t>
  </si>
  <si>
    <t>https://wmts.nlsc.gov.tw/wmts/TOPO01K_E13/{Style}/{TileMatrixSet}/{TileMatrix}/{TileRow}/{TileCol}</t>
  </si>
  <si>
    <t>2dms_wmts_v1_TOPO01K_E13</t>
  </si>
  <si>
    <t>高雄市旗山都市計畫_99年</t>
  </si>
  <si>
    <t>WMTS_1/1000地形圖_高雄市旗山都市計畫(99年)</t>
  </si>
  <si>
    <t>https://wmts.nlsc.gov.tw/wmts/TOPO01K_E12/{Style}/{TileMatrixSet}/{TileMatrix}/{TileRow}/{TileCol}</t>
  </si>
  <si>
    <t>2dms_wmts_v1_TOPO01K_E12</t>
  </si>
  <si>
    <t>高雄市彌陀都市計畫_101年</t>
  </si>
  <si>
    <t>WMTS_1/1000地形圖_高雄市彌陀都市計畫(101年)</t>
  </si>
  <si>
    <t>https://wmts.nlsc.gov.tw/wmts/TOPO01K_E11/{Style}/{TileMatrixSet}/{TileMatrix}/{TileRow}/{TileCol}</t>
  </si>
  <si>
    <t>2dms_wmts_v1_TOPO01K_E11</t>
  </si>
  <si>
    <t>高雄市岡山都市計畫_98年</t>
  </si>
  <si>
    <t>WMTS_1/1000地形圖_高雄市岡山都市計畫(98年)</t>
  </si>
  <si>
    <t>https://wmts.nlsc.gov.tw/wmts/TOPO01K_E10/{Style}/{TileMatrixSet}/{TileMatrix}/{TileRow}/{TileCol}</t>
  </si>
  <si>
    <t>2dms_wmts_v1_TOPO01K_E10</t>
  </si>
  <si>
    <t>高雄市大社都市計畫_105年</t>
  </si>
  <si>
    <t>WMTS_1/1000地形圖_高雄市大社都市計畫(105年)</t>
  </si>
  <si>
    <t>https://wmts.nlsc.gov.tw/wmts/TOPO01K_E09/{Style}/{TileMatrixSet}/{TileMatrix}/{TileRow}/{TileCol}</t>
  </si>
  <si>
    <t>2dms_wmts_v1_TOPO01K_E09</t>
  </si>
  <si>
    <t>高雄市大樹都市計畫_92年</t>
  </si>
  <si>
    <t>WMTS_1/1000地形圖_高雄市大樹都市計畫(92年)</t>
  </si>
  <si>
    <t>https://wmts.nlsc.gov.tw/wmts/TOPO01K_E08/{Style}/{TileMatrixSet}/{TileMatrix}/{TileRow}/{TileCol}</t>
  </si>
  <si>
    <t>2dms_wmts_v1_TOPO01K_E08</t>
  </si>
  <si>
    <t>高雄市大樹九曲堂都市計畫_106年</t>
  </si>
  <si>
    <t>WMTS_1/1000地形圖_高雄市大樹九曲堂都市計畫(106年)</t>
  </si>
  <si>
    <t>https://wmts.nlsc.gov.tw/wmts/TOPO01K_E07/{Style}/{TileMatrixSet}/{TileMatrix}/{TileRow}/{TileCol}</t>
  </si>
  <si>
    <t>2dms_wmts_v1_TOPO01K_E07</t>
  </si>
  <si>
    <t>高雄市大寮都市計畫_105年</t>
  </si>
  <si>
    <t>WMTS_1/1000地形圖_高雄市大寮都市計畫(105年)</t>
  </si>
  <si>
    <t>https://wmts.nlsc.gov.tw/wmts/TOPO01K_E06/{Style}/{TileMatrixSet}/{TileMatrix}/{TileRow}/{TileCol}</t>
  </si>
  <si>
    <t>2dms_wmts_v1_TOPO01K_E06</t>
  </si>
  <si>
    <t>高雄市大坪頂特定區_99年</t>
  </si>
  <si>
    <t>WMTS_1/1000地形圖_高雄市大坪頂特定區計畫(99年)</t>
  </si>
  <si>
    <t>https://wmts.nlsc.gov.tw/wmts/TOPO01K_E05/{Style}/{TileMatrixSet}/{TileMatrix}/{TileRow}/{TileCol}</t>
  </si>
  <si>
    <t>2dms_wmts_v1_TOPO01K_E05</t>
  </si>
  <si>
    <t>高雄市大坪頂以東地區88以南_97年</t>
  </si>
  <si>
    <t>WMTS_1/1000地形圖_高雄市大坪頂以東地區88以南(97年)</t>
  </si>
  <si>
    <t>https://wmts.nlsc.gov.tw/wmts/TOPO01K_E04/{Style}/{TileMatrixSet}/{TileMatrix}/{TileRow}/{TileCol}</t>
  </si>
  <si>
    <t>2dms_wmts_v1_TOPO01K_E04</t>
  </si>
  <si>
    <t>高雄市大坪頂以東地區88以北_94年</t>
  </si>
  <si>
    <t>WMTS_1/1000地形圖_高雄市大坪頂以東地區88以北(94年)</t>
  </si>
  <si>
    <t>https://wmts.nlsc.gov.tw/wmts/TOPO01K_E03/{Style}/{TileMatrixSet}/{TileMatrix}/{TileRow}/{TileCol}</t>
  </si>
  <si>
    <t>2dms_wmts_v1_TOPO01K_E03</t>
  </si>
  <si>
    <t>高雄市大坪頂以東地區88以北_93年</t>
  </si>
  <si>
    <t>WMTS_1/1000地形圖_高雄市大坪頂以東地區88以北(93年)</t>
  </si>
  <si>
    <t>https://wmts.nlsc.gov.tw/wmts/TOPO01K_E02/{Style}/{TileMatrixSet}/{TileMatrix}/{TileRow}/{TileCol}</t>
  </si>
  <si>
    <t>2dms_wmts_v1_TOPO01K_E02</t>
  </si>
  <si>
    <t>高雄市六龜彩蝶谷風景特定區_99年</t>
  </si>
  <si>
    <t>WMTS_1/1000地形圖_高雄市六龜彩蝶谷風景特定區計畫(99年)</t>
  </si>
  <si>
    <t>https://wmts.nlsc.gov.tw/wmts/TOPO01K_E01/{Style}/{TileMatrixSet}/{TileMatrix}/{TileRow}/{TileCol}</t>
  </si>
  <si>
    <t>2dms_wmts_v1_TOPO01K_E01</t>
  </si>
  <si>
    <t>高雄市仁武都市計畫_100年</t>
  </si>
  <si>
    <t>WMTS_1/1000地形圖_高雄市仁武都市計畫(100年)</t>
  </si>
  <si>
    <t>https://wmts.nlsc.gov.tw/wmts/TOPO01K_DA2/{Style}/{TileMatrixSet}/{TileMatrix}/{TileRow}/{TileCol}</t>
  </si>
  <si>
    <t>2dms_wmts_v1_TOPO01K_DA2</t>
  </si>
  <si>
    <t>臺南市都市計畫102年</t>
  </si>
  <si>
    <t>WMTS_1/1000地形圖_臺南市都市計畫(102年)</t>
  </si>
  <si>
    <t>https://wmts.nlsc.gov.tw/wmts/TOPO01K_DA1/{Style}/{TileMatrixSet}/{TileMatrix}/{TileRow}/{TileCol}</t>
  </si>
  <si>
    <t>2dms_wmts_v1_TOPO01K_DA1</t>
  </si>
  <si>
    <t>臺南市都市計畫101年</t>
  </si>
  <si>
    <t>WMTS_1/1000地形圖_臺南市都市計畫(101年)</t>
  </si>
  <si>
    <t>https://wmts.nlsc.gov.tw/wmts/TOPO01K_DA0/{Style}/{TileMatrixSet}/{TileMatrix}/{TileRow}/{TileCol}</t>
  </si>
  <si>
    <t>2dms_wmts_v1_TOPO01K_DA0</t>
  </si>
  <si>
    <t>臺南市都市計畫100年</t>
  </si>
  <si>
    <t>WMTS_1/1000地形圖_臺南市都市計畫(100年)</t>
  </si>
  <si>
    <t>https://wmts.nlsc.gov.tw/wmts/TOPO01K_D99/{Style}/{TileMatrixSet}/{TileMatrix}/{TileRow}/{TileCol}</t>
  </si>
  <si>
    <t>2dms_wmts_v1_TOPO01K_D99</t>
  </si>
  <si>
    <t>臺南市都市計畫99年</t>
  </si>
  <si>
    <t>WMTS_1/1000地形圖_臺南市都市計畫(99年)</t>
  </si>
  <si>
    <t>https://wmts.nlsc.gov.tw/wmts/TOPO01K_D97/{Style}/{TileMatrixSet}/{TileMatrix}/{TileRow}/{TileCol}</t>
  </si>
  <si>
    <t>2dms_wmts_v1_TOPO01K_D97</t>
  </si>
  <si>
    <t>臺南市永康區都市計畫97年</t>
  </si>
  <si>
    <t>WMTS_1/1000地形圖_臺南市永康區都市計畫(97年)</t>
  </si>
  <si>
    <t>https://wmts.nlsc.gov.tw/wmts/TOPO01K_D93/{Style}/{TileMatrixSet}/{TileMatrix}/{TileRow}/{TileCol}</t>
  </si>
  <si>
    <t>2dms_wmts_v1_TOPO01K_D93</t>
  </si>
  <si>
    <t>臺南市都市計畫93年</t>
  </si>
  <si>
    <t>WMTS_1/1000地形圖_臺南市都市計畫(93年)</t>
  </si>
  <si>
    <t>https://wmts.nlsc.gov.tw/wmts/TOPO01K_C02/{Style}/{TileMatrixSet}/{TileMatrix}/{TileRow}/{TileCol}</t>
  </si>
  <si>
    <t>2dms_wmts_v1_TOPO01K_C02</t>
  </si>
  <si>
    <t>基隆市_111年</t>
  </si>
  <si>
    <t>WMTS_1/1000地形圖_基隆市都市計畫(111年)</t>
  </si>
  <si>
    <t>https://wmts.nlsc.gov.tw/wmts/TOPO01K_C01/{Style}/{TileMatrixSet}/{TileMatrix}/{TileRow}/{TileCol}</t>
  </si>
  <si>
    <t>2dms_wmts_v1_TOPO01K_C01</t>
  </si>
  <si>
    <t>基隆市都市計畫</t>
  </si>
  <si>
    <t>WMTS_1/1000地形圖_基隆市都市計畫(96年)</t>
  </si>
  <si>
    <t>https://wmts.nlsc.gov.tw/wmts/TOPO01K_B32/{Style}/{TileMatrixSet}/{TileMatrix}/{TileRow}/{TileCol}</t>
  </si>
  <si>
    <t>2dms_wmts_v1_TOPO01K_B32</t>
  </si>
  <si>
    <t>臺中市都市計畫(107年修測)</t>
  </si>
  <si>
    <t>WMTS_1/1000地形圖_臺中市都市計畫(107年)</t>
  </si>
  <si>
    <t>https://wmts.nlsc.gov.tw/wmts/TOPO01K_B31/{Style}/{TileMatrixSet}/{TileMatrix}/{TileRow}/{TileCol}</t>
  </si>
  <si>
    <t>2dms_wmts_v1_TOPO01K_B31</t>
  </si>
  <si>
    <t>臺中市日南都市計畫(100年)</t>
  </si>
  <si>
    <t>WMTS_1/1000地形圖_臺中市日南都市計畫(100年)</t>
  </si>
  <si>
    <t>https://wmts.nlsc.gov.tw/wmts/TOPO01K_B30/{Style}/{TileMatrixSet}/{TileMatrix}/{TileRow}/{TileCol}</t>
  </si>
  <si>
    <t>2dms_wmts_v1_TOPO01K_B30</t>
  </si>
  <si>
    <t>臺中市大甲(日南)都市計畫(100年)</t>
  </si>
  <si>
    <t>WMTS_1/1000地形圖_臺中市大甲(日南)都市計畫(100年)</t>
  </si>
  <si>
    <t>https://wmts.nlsc.gov.tw/wmts/TOPO01K_B29/{Style}/{TileMatrixSet}/{TileMatrix}/{TileRow}/{TileCol}</t>
  </si>
  <si>
    <t>2dms_wmts_v1_TOPO01K_B29</t>
  </si>
  <si>
    <t>臺中市大安都市計畫(100年)</t>
  </si>
  <si>
    <t>WMTS_1/1000地形圖_臺中市大安都市計畫(100年)</t>
  </si>
  <si>
    <t>https://wmts.nlsc.gov.tw/wmts/TOPO01K_B28/{Style}/{TileMatrixSet}/{TileMatrix}/{TileRow}/{TileCol}</t>
  </si>
  <si>
    <t>2dms_wmts_v1_TOPO01K_B28</t>
  </si>
  <si>
    <t>臺中市外埔都市計畫(100年)</t>
  </si>
  <si>
    <t>WMTS_1/1000地形圖_臺中市外埔都市計畫(100年)</t>
  </si>
  <si>
    <t>https://wmts.nlsc.gov.tw/wmts/TOPO01K_B27/{Style}/{TileMatrixSet}/{TileMatrix}/{TileRow}/{TileCol}</t>
  </si>
  <si>
    <t>2dms_wmts_v1_TOPO01K_B27</t>
  </si>
  <si>
    <t>臺中市大肚都市計畫(98年)</t>
  </si>
  <si>
    <t>WMTS_1/1000地形圖_臺中市大肚都市計畫(98年)</t>
  </si>
  <si>
    <t>https://wmts.nlsc.gov.tw/wmts/TOPO01K_B26/{Style}/{TileMatrixSet}/{TileMatrix}/{TileRow}/{TileCol}</t>
  </si>
  <si>
    <t>2dms_wmts_v1_TOPO01K_B26</t>
  </si>
  <si>
    <t>臺中市大甲都市計畫(98年)</t>
  </si>
  <si>
    <t>WMTS_1/1000地形圖_臺中市大甲都市計畫(98年)</t>
  </si>
  <si>
    <t>https://wmts.nlsc.gov.tw/wmts/TOPO01K_B25/{Style}/{TileMatrixSet}/{TileMatrix}/{TileRow}/{TileCol}</t>
  </si>
  <si>
    <t>2dms_wmts_v1_TOPO01K_B25</t>
  </si>
  <si>
    <t>臺中市后里都市計畫(98年)</t>
  </si>
  <si>
    <t>WMTS_1/1000地形圖_臺中市后里都市計畫(98年)</t>
  </si>
  <si>
    <t>https://wmts.nlsc.gov.tw/wmts/TOPO01K_B24/{Style}/{TileMatrixSet}/{TileMatrix}/{TileRow}/{TileCol}</t>
  </si>
  <si>
    <t>2dms_wmts_v1_TOPO01K_B24</t>
  </si>
  <si>
    <t>臺中市大雅都市計畫(97年)</t>
  </si>
  <si>
    <t>WMTS_1/1000地形圖_臺中市大雅都市計畫(97年)</t>
  </si>
  <si>
    <t>https://wmts.nlsc.gov.tw/wmts/TOPO01K_B23/{Style}/{TileMatrixSet}/{TileMatrix}/{TileRow}/{TileCol}</t>
  </si>
  <si>
    <t>2dms_wmts_v1_TOPO01K_B23</t>
  </si>
  <si>
    <t>臺中市谷關都市計畫(96年)</t>
  </si>
  <si>
    <t>WMTS_1/1000地形圖_臺中市谷關都市計畫(96年)</t>
  </si>
  <si>
    <t>https://wmts.nlsc.gov.tw/wmts/TOPO01K_B22/{Style}/{TileMatrixSet}/{TileMatrix}/{TileRow}/{TileCol}</t>
  </si>
  <si>
    <t>2dms_wmts_v1_TOPO01K_B22</t>
  </si>
  <si>
    <t>臺中市梨山都市計畫(96年)</t>
  </si>
  <si>
    <t>WMTS_1/1000地形圖_臺中市梨山都市計畫(96年)</t>
  </si>
  <si>
    <t>https://wmts.nlsc.gov.tw/wmts/TOPO01K_B21/{Style}/{TileMatrixSet}/{TileMatrix}/{TileRow}/{TileCol}</t>
  </si>
  <si>
    <t>2dms_wmts_v1_TOPO01K_B21</t>
  </si>
  <si>
    <t>臺中市梨山(環山)都市計畫(96年)</t>
  </si>
  <si>
    <t>WMTS_1/1000地形圖_臺中市梨山(環山)都市計畫(96年)</t>
  </si>
  <si>
    <t>https://wmts.nlsc.gov.tw/wmts/TOPO01K_B20/{Style}/{TileMatrixSet}/{TileMatrix}/{TileRow}/{TileCol}</t>
  </si>
  <si>
    <t>2dms_wmts_v1_TOPO01K_B20</t>
  </si>
  <si>
    <t>臺中市梨山(松茂)都市計畫(96年)</t>
  </si>
  <si>
    <t>WMTS_1/1000地形圖_臺中市梨山(松茂)都市計畫(96年)</t>
  </si>
  <si>
    <t>https://wmts.nlsc.gov.tw/wmts/TOPO01K_B19/{Style}/{TileMatrixSet}/{TileMatrix}/{TileRow}/{TileCol}</t>
  </si>
  <si>
    <t>2dms_wmts_v1_TOPO01K_B19</t>
  </si>
  <si>
    <t>臺中市梨山(新佳陽)都市計畫(96年)</t>
  </si>
  <si>
    <t>WMTS_1/1000地形圖_臺中市梨山(新佳陽)都市計畫(96年)</t>
  </si>
  <si>
    <t>https://wmts.nlsc.gov.tw/wmts/TOPO01K_B18/{Style}/{TileMatrixSet}/{TileMatrix}/{TileRow}/{TileCol}</t>
  </si>
  <si>
    <t>2dms_wmts_v1_TOPO01K_B18</t>
  </si>
  <si>
    <t>臺中市大里都市計畫(96年)</t>
  </si>
  <si>
    <t>WMTS_1/1000地形圖_臺中市大里都市計畫(96年)</t>
  </si>
  <si>
    <t>https://wmts.nlsc.gov.tw/wmts/TOPO01K_B17/{Style}/{TileMatrixSet}/{TileMatrix}/{TileRow}/{TileCol}</t>
  </si>
  <si>
    <t>2dms_wmts_v1_TOPO01K_B17</t>
  </si>
  <si>
    <t>臺中市臺中港特定區(95年)</t>
  </si>
  <si>
    <t>WMTS_1/1000地形圖_臺中市臺中港特定區計畫(95年)</t>
  </si>
  <si>
    <t>https://wmts.nlsc.gov.tw/wmts/TOPO01K_B16/{Style}/{TileMatrixSet}/{TileMatrix}/{TileRow}/{TileCol}</t>
  </si>
  <si>
    <t>2dms_wmts_v1_TOPO01K_B16</t>
  </si>
  <si>
    <t>臺中市王田交流道特定區(95年)</t>
  </si>
  <si>
    <t>WMTS_1/1000地形圖_臺中市王田交流道特定區計畫(95年)</t>
  </si>
  <si>
    <t>https://wmts.nlsc.gov.tw/wmts/TOPO01K_B15/{Style}/{TileMatrixSet}/{TileMatrix}/{TileRow}/{TileCol}</t>
  </si>
  <si>
    <t>2dms_wmts_v1_TOPO01K_B15</t>
  </si>
  <si>
    <t>臺中市豐原都市計畫(94年)</t>
  </si>
  <si>
    <t>WMTS_1/1000地形圖_臺中市豐原都市計畫(94年)</t>
  </si>
  <si>
    <t>https://wmts.nlsc.gov.tw/wmts/TOPO01K_B14/{Style}/{TileMatrixSet}/{TileMatrix}/{TileRow}/{TileCol}</t>
  </si>
  <si>
    <t>2dms_wmts_v1_TOPO01K_B14</t>
  </si>
  <si>
    <t>臺中市豐原交流道特定區(94年)</t>
  </si>
  <si>
    <t>WMTS_1/1000地形圖_臺中市豐原交流道特定區計畫(94年)</t>
  </si>
  <si>
    <t>https://wmts.nlsc.gov.tw/wmts/TOPO01K_B13/{Style}/{TileMatrixSet}/{TileMatrix}/{TileRow}/{TileCol}</t>
  </si>
  <si>
    <t>2dms_wmts_v1_TOPO01K_B13</t>
  </si>
  <si>
    <t>臺中市潭子都市計畫(94年)</t>
  </si>
  <si>
    <t>WMTS_1/1000地形圖_臺中市潭子都市計畫(94年)</t>
  </si>
  <si>
    <t>https://wmts.nlsc.gov.tw/wmts/TOPO01K_B12/{Style}/{TileMatrixSet}/{TileMatrix}/{TileRow}/{TileCol}</t>
  </si>
  <si>
    <t>2dms_wmts_v1_TOPO01K_B12</t>
  </si>
  <si>
    <t>臺中市鐵砧山風景特定區(93年)</t>
  </si>
  <si>
    <t>WMTS_1/1000地形圖_臺中市鐵砧山風景特定區計畫(93年)</t>
  </si>
  <si>
    <t>https://wmts.nlsc.gov.tw/wmts/TOPO01K_B11/{Style}/{TileMatrixSet}/{TileMatrix}/{TileRow}/{TileCol}</t>
  </si>
  <si>
    <t>2dms_wmts_v1_TOPO01K_B11</t>
  </si>
  <si>
    <t>臺中市鐵砧山都市計畫(93年)</t>
  </si>
  <si>
    <t>WMTS_1/1000地形圖_臺中市鐵砧山都市計畫(93年)</t>
  </si>
  <si>
    <t>https://wmts.nlsc.gov.tw/wmts/TOPO01K_B10/{Style}/{TileMatrixSet}/{TileMatrix}/{TileRow}/{TileCol}</t>
  </si>
  <si>
    <t>2dms_wmts_v1_TOPO01K_B10</t>
  </si>
  <si>
    <t>臺中市中部科學工業園區(93年)</t>
  </si>
  <si>
    <t>WMTS_1/1000地形圖_臺中市中部科學工業園區(93年)</t>
  </si>
  <si>
    <t>https://wmts.nlsc.gov.tw/wmts/TOPO01K_B09/{Style}/{TileMatrixSet}/{TileMatrix}/{TileRow}/{TileCol}</t>
  </si>
  <si>
    <t>2dms_wmts_v1_TOPO01K_B09</t>
  </si>
  <si>
    <t>臺中市霧峰都市計畫(92年)</t>
  </si>
  <si>
    <t>WMTS_1/1000地形圖_臺中市霧峰都市計畫(92年)</t>
  </si>
  <si>
    <t>https://wmts.nlsc.gov.tw/wmts/TOPO01K_B08/{Style}/{TileMatrixSet}/{TileMatrix}/{TileRow}/{TileCol}</t>
  </si>
  <si>
    <t>2dms_wmts_v1_TOPO01K_B08</t>
  </si>
  <si>
    <t>臺中市石岡水壩都市計畫(91年)</t>
  </si>
  <si>
    <t>WMTS_1/1000地形圖_臺中市石岡水壩都市計畫(91年)</t>
  </si>
  <si>
    <t>https://wmts.nlsc.gov.tw/wmts/TOPO01K_B07/{Style}/{TileMatrixSet}/{TileMatrix}/{TileRow}/{TileCol}</t>
  </si>
  <si>
    <t>2dms_wmts_v1_TOPO01K_B07</t>
  </si>
  <si>
    <t>臺中市烏日都市計畫(91年)</t>
  </si>
  <si>
    <t>WMTS_1/1000地形圖_臺中市烏日都市計畫(91年)</t>
  </si>
  <si>
    <t>https://wmts.nlsc.gov.tw/wmts/TOPO01K_B06/{Style}/{TileMatrixSet}/{TileMatrix}/{TileRow}/{TileCol}</t>
  </si>
  <si>
    <t>2dms_wmts_v1_TOPO01K_B06</t>
  </si>
  <si>
    <t>臺中市東勢都市計畫(91年)</t>
  </si>
  <si>
    <t>WMTS_1/1000地形圖_臺中市東勢都市計畫(91年)</t>
  </si>
  <si>
    <t>https://wmts.nlsc.gov.tw/wmts/TOPO01K_B05/{Style}/{TileMatrixSet}/{TileMatrix}/{TileRow}/{TileCol}</t>
  </si>
  <si>
    <t>2dms_wmts_v1_TOPO01K_B05</t>
  </si>
  <si>
    <t>臺中市新社都市計畫(91年)</t>
  </si>
  <si>
    <t>WMTS_1/1000地形圖_臺中市新社都市計畫(91年)</t>
  </si>
  <si>
    <t>https://wmts.nlsc.gov.tw/wmts/TOPO01K_B04/{Style}/{TileMatrixSet}/{TileMatrix}/{TileRow}/{TileCol}</t>
  </si>
  <si>
    <t>2dms_wmts_v1_TOPO01K_B04</t>
  </si>
  <si>
    <t>臺中市大里(草湖)都市計畫(91年)</t>
  </si>
  <si>
    <t>WMTS_1/1000地形圖_臺中市大里(草湖)都市計畫(91年)</t>
  </si>
  <si>
    <t>https://wmts.nlsc.gov.tw/wmts/TOPO01K_B03/{Style}/{TileMatrixSet}/{TileMatrix}/{TileRow}/{TileCol}</t>
  </si>
  <si>
    <t>2dms_wmts_v1_TOPO01K_B03</t>
  </si>
  <si>
    <t>臺中市太平都市計畫(90年)</t>
  </si>
  <si>
    <t>WMTS_1/1000地形圖_臺中市太平都市計畫(90年)</t>
  </si>
  <si>
    <t>https://wmts.nlsc.gov.tw/wmts/TOPO01K_B02/{Style}/{TileMatrixSet}/{TileMatrix}/{TileRow}/{TileCol}</t>
  </si>
  <si>
    <t>2dms_wmts_v1_TOPO01K_B02</t>
  </si>
  <si>
    <t>臺中市太平(新光)都市計畫(90年)</t>
  </si>
  <si>
    <t>WMTS_1/1000地形圖_臺中市太平(新光)都市計畫(90年)</t>
  </si>
  <si>
    <t>https://wmts.nlsc.gov.tw/wmts/TOPO01K_B01/{Style}/{TileMatrixSet}/{TileMatrix}/{TileRow}/{TileCol}</t>
  </si>
  <si>
    <t>2dms_wmts_v1_TOPO01K_B01</t>
  </si>
  <si>
    <t>WMTS_1/1000地形圖_臺中市太平(中平)都市計畫(90年)</t>
  </si>
  <si>
    <t>https://wmts.nlsc.gov.tw/wmts/SoilLiquefaction2/{Style}/{TileMatrixSet}/{TileMatrix}/{TileRow}/{TileCol}</t>
  </si>
  <si>
    <t>2dms_wmts_v1_SoilLiquefaction2</t>
  </si>
  <si>
    <t>土壤液化潛勢_中級</t>
  </si>
  <si>
    <t>WMTS_土壤液化潛勢_中級</t>
  </si>
  <si>
    <t>土壤液化潛勢_中級WMTS服務</t>
  </si>
  <si>
    <t>https://wmts.nlsc.gov.tw/wmts/SoilLiquefaction/{Style}/{TileMatrixSet}/{TileMatrix}/{TileRow}/{TileCol}</t>
  </si>
  <si>
    <t>2dms_wmts_v1_SoilLiquefaction</t>
  </si>
  <si>
    <t>土壤液化潛勢_初級</t>
  </si>
  <si>
    <t>WMTS_土壤液化潛勢_初級</t>
  </si>
  <si>
    <t>土壤液化潛勢_初級WMTS服務</t>
  </si>
  <si>
    <t>https://wmts.nlsc.gov.tw/wmts/SHELTERS/{Style}/{TileMatrixSet}/{TileMatrix}/{TileRow}/{TileCol}</t>
  </si>
  <si>
    <t>2dms_wmts_v1_SHELTERS</t>
  </si>
  <si>
    <t>避難收容所</t>
  </si>
  <si>
    <t>WMTS_OPENDATA_避難收容所</t>
  </si>
  <si>
    <t>OPENDATA_避難收容所WMTS服務</t>
  </si>
  <si>
    <t>https://wmts.nlsc.gov.tw/wmts/SCHOOL/{Style}/{TileMatrixSet}/{TileMatrix}/{TileRow}/{TileCol}</t>
  </si>
  <si>
    <t>2dms_wmts_v1_SCHOOL</t>
  </si>
  <si>
    <t>各級學校範圍圖</t>
  </si>
  <si>
    <t>WMTS_臺灣通用電子地圖_各級學校範圍圖</t>
  </si>
  <si>
    <t>臺灣通用電子地圖_各級學校範圍圖WMTS服務</t>
  </si>
  <si>
    <t>https://maps.nlsc.gov.tw/demo/school.png</t>
  </si>
  <si>
    <t>https://wmts.nlsc.gov.tw/wmts/ROAD/{Style}/{TileMatrixSet}/{TileMatrix}/{TileRow}/{TileCol}</t>
  </si>
  <si>
    <t>2dms_wmts_v1_ROAD</t>
  </si>
  <si>
    <t>道路路網</t>
  </si>
  <si>
    <t>WMTS_臺灣通用電子地圖_道路圖層(無文字)</t>
  </si>
  <si>
    <t>臺灣通用電子地圖_道路圖層(無文字)WMTS服務</t>
  </si>
  <si>
    <t>WMTS,路名</t>
  </si>
  <si>
    <t>https://wmts.nlsc.gov.tw/wmts/PHOTO_VA/{Style}/{TileMatrixSet}/{TileMatrix}/{TileRow}/{TileCol}</t>
  </si>
  <si>
    <t>2dms_wmts_v1_PhotoVA</t>
  </si>
  <si>
    <t>蘭嶼鄉正射影像109年</t>
  </si>
  <si>
    <t>WMTS_蘭嶼鄉正射影像(109年)</t>
  </si>
  <si>
    <t>蘭嶼鄉正射影像(109年)WMTS服務</t>
  </si>
  <si>
    <t>https://wmts.nlsc.gov.tw/wmts/PHOTO_MIX/{Style}/{TileMatrixSet}/{TileMatrix}/{TileRow}/{TileCol}</t>
  </si>
  <si>
    <t>2dms_wmts_v1_PhotoMIX</t>
  </si>
  <si>
    <t>正射影像(混合)</t>
  </si>
  <si>
    <t>WMTS_正射影像(套疊交通路網)</t>
  </si>
  <si>
    <t>正射影像(套疊交通路網)WMTS服務</t>
  </si>
  <si>
    <t>https://wmts.nlsc.gov.tw/97/wmts/PHOTO3826/{Style}/{TileMatrixSet}/{TileMatrix}/{TileRow}/{TileCol}</t>
  </si>
  <si>
    <t>2dms_wmts_v1_PHOTO3826</t>
  </si>
  <si>
    <t>正射影像圖(通用)_3826</t>
  </si>
  <si>
    <t>WMTS_正射影像圖TWD97/TM2 Zone 121</t>
  </si>
  <si>
    <t>EPSG:3826</t>
  </si>
  <si>
    <t>https://wmts.nlsc.gov.tw/wmts/PHOTO2025/{Style}/{TileMatrixSet}/{TileMatrix}/{TileRow}/{TileCol}</t>
  </si>
  <si>
    <t>2dms_wmts_v1_PHOTO2025</t>
  </si>
  <si>
    <t>114年正射影像圖</t>
  </si>
  <si>
    <t>WMTS_正射影像圖(114年更新區)</t>
  </si>
  <si>
    <t>https://wmts.nlsc.gov.tw/wmts/PHOTO2024/{Style}/{TileMatrixSet}/{TileMatrix}/{TileRow}/{TileCol}</t>
  </si>
  <si>
    <t>2dms_wmts_v1_PHOTO2024</t>
  </si>
  <si>
    <t>113年正射影像圖</t>
  </si>
  <si>
    <t>WMTS_正射影像圖(113年更新區)</t>
  </si>
  <si>
    <t>https://wmts.nlsc.gov.tw/wmts/PHOTO2023/{Style}/{TileMatrixSet}/{TileMatrix}/{TileRow}/{TileCol}</t>
  </si>
  <si>
    <t>2dms_wmts_v1_PHOTO2023</t>
  </si>
  <si>
    <t>112年正射影像圖</t>
  </si>
  <si>
    <t>WMTS_正射影像圖(112年更新區)</t>
  </si>
  <si>
    <t>https://wmts.nlsc.gov.tw/wmts/PHOTO2022/{Style}/{TileMatrixSet}/{TileMatrix}/{TileRow}/{TileCol}</t>
  </si>
  <si>
    <t>2dms_wmts_v1_PHOTO2022</t>
  </si>
  <si>
    <t>111年正射影像圖</t>
  </si>
  <si>
    <t>WMTS_正射影像圖(111年更新區)</t>
  </si>
  <si>
    <t>https://wmts.nlsc.gov.tw/wmts/PHOTO2021/{Style}/{TileMatrixSet}/{TileMatrix}/{TileRow}/{TileCol}</t>
  </si>
  <si>
    <t>2dms_wmts_v1_PHOTO2021</t>
  </si>
  <si>
    <t>110年正射影像圖</t>
  </si>
  <si>
    <t>WMTS_正射影像圖(110年更新區)</t>
  </si>
  <si>
    <t>https://wmts.nlsc.gov.tw/wmts/PHOTO2020/{Style}/{TileMatrixSet}/{TileMatrix}/{TileRow}/{TileCol}</t>
  </si>
  <si>
    <t>2dms_wmts_v1_PHOTO2020</t>
  </si>
  <si>
    <t>109年正射影像圖</t>
  </si>
  <si>
    <t>WMTS_正射影像圖(109年更新區)</t>
  </si>
  <si>
    <t>https://wmts.nlsc.gov.tw/wmts/PHOTO2019/{Style}/{TileMatrixSet}/{TileMatrix}/{TileRow}/{TileCol}</t>
  </si>
  <si>
    <t>2dms_wmts_v1_PHOTO2019</t>
  </si>
  <si>
    <t>108年正射影像圖</t>
  </si>
  <si>
    <t>WMTS_正射影像圖(108年更新區)</t>
  </si>
  <si>
    <t>https://wmts.nlsc.gov.tw/wmts/PHOTO2018/{Style}/{TileMatrixSet}/{TileMatrix}/{TileRow}/{TileCol}</t>
  </si>
  <si>
    <t>2dms_wmts_v1_PHOTO2018</t>
  </si>
  <si>
    <t>107年正射影像圖</t>
  </si>
  <si>
    <t>WMTS_正射影像圖(107年更新區)</t>
  </si>
  <si>
    <t>https://wmts.nlsc.gov.tw/wmts/PHOTO2017/{Style}/{TileMatrixSet}/{TileMatrix}/{TileRow}/{TileCol}</t>
  </si>
  <si>
    <t>2dms_wmts_v1_PHOTO2017</t>
  </si>
  <si>
    <t>106年正射影像圖</t>
  </si>
  <si>
    <t>WMTS_正射影像圖(106年更新區)</t>
  </si>
  <si>
    <t>https://wmts.nlsc.gov.tw/wmts/PHOTO2016/{Style}/{TileMatrixSet}/{TileMatrix}/{TileRow}/{TileCol}</t>
  </si>
  <si>
    <t>2dms_wmts_v1_PHOTO2016</t>
  </si>
  <si>
    <t>105年正射影像圖</t>
  </si>
  <si>
    <t>WMTS_正射影像圖(105年更新區)</t>
  </si>
  <si>
    <t>https://wmts.nlsc.gov.tw/wmts/PHOTO2015/{Style}/{TileMatrixSet}/{TileMatrix}/{TileRow}/{TileCol}</t>
  </si>
  <si>
    <t>2dms_wmts_v1_PHOTO2015</t>
  </si>
  <si>
    <t>104年正射影像圖</t>
  </si>
  <si>
    <t>WMTS_正射影像圖(104年更新區)</t>
  </si>
  <si>
    <t>https://wmts.nlsc.gov.tw/wmts/PHOTO2014/{Style}/{TileMatrixSet}/{TileMatrix}/{TileRow}/{TileCol}</t>
  </si>
  <si>
    <t>2dms_wmts_v1_PHOTO2014</t>
  </si>
  <si>
    <t>103年正射影像圖</t>
  </si>
  <si>
    <t>WMTS_正射影像圖(103年更新區)</t>
  </si>
  <si>
    <t>https://wmts.nlsc.gov.tw/wmts/PHOTO2/{Style}/{TileMatrixSet}/{TileMatrix}/{TileRow}/{TileCol}</t>
  </si>
  <si>
    <t>2dms_wmts_v1_PHOTO2</t>
  </si>
  <si>
    <t>正射影像圖(通用)</t>
  </si>
  <si>
    <t>WMTS_正射影像圖(最新成果)</t>
  </si>
  <si>
    <t>https://wmts.nlsc.gov.tw/wmts/PHOTO1/{Style}/{TileMatrixSet}/{TileMatrix}/{TileRow}/{TileCol}</t>
  </si>
  <si>
    <t>2dms_wmts_v1_PHOTO1</t>
  </si>
  <si>
    <t>正射影像圖(92-94)</t>
  </si>
  <si>
    <t>WMTS_正射影像圖(92-94年成果)</t>
  </si>
  <si>
    <t>https://wmts.nlsc.gov.tw/wmts/nURBAN2/{Style}/{TileMatrixSet}/{TileMatrix}/{TileRow}/{TileCol}</t>
  </si>
  <si>
    <t>2dms_wmts_v1_nURBAN2</t>
  </si>
  <si>
    <t>非都市土地使用地類別圖</t>
  </si>
  <si>
    <t>WMTS_非都市土地使用地類別圖</t>
  </si>
  <si>
    <t>https://maps.nlsc.gov.tw/demo/20140924.png</t>
  </si>
  <si>
    <t>https://wmts.nlsc.gov.tw/wmts/nURBAN1/{Style}/{TileMatrixSet}/{TileMatrix}/{TileRow}/{TileCol}</t>
  </si>
  <si>
    <t>2dms_wmts_v1_nURBAN1</t>
  </si>
  <si>
    <t>非都市土地使用分區圖</t>
  </si>
  <si>
    <t>WMTS_非都市土地使用分區圖</t>
  </si>
  <si>
    <t>https://maps.nlsc.gov.tw/demo/20140925.png</t>
  </si>
  <si>
    <t>https://wmts.nlsc.gov.tw/wmts/MOI_SLOPEP_LV7_2/{Style}/{TileMatrixSet}/{TileMatrix}/{TileRow}/{TileCol}</t>
  </si>
  <si>
    <t>2dms_wmts_v1_MoiSlopepLV72</t>
  </si>
  <si>
    <t>坡度圖-7級(2010-2015)</t>
  </si>
  <si>
    <t>WMTS_坡度圖-7級(2010-2015年20公尺DEM成果產製)</t>
  </si>
  <si>
    <t>坡度圖-7級(2010-2015年20公尺DEM成果產製)</t>
  </si>
  <si>
    <t>https://maps.nlsc.gov.tw/demo/坡度分級圖例說明.png</t>
  </si>
  <si>
    <t>https://wmts.nlsc.gov.tw/wmts/MOI_SLOPEP_LV7/{Style}/{TileMatrixSet}/{TileMatrix}/{TileRow}/{TileCol}</t>
  </si>
  <si>
    <t>2dms_wmts_v1_MoiSlopepLV7</t>
  </si>
  <si>
    <t>坡度圖-7級(2003-2005)</t>
  </si>
  <si>
    <t>WMTS_坡度圖-7級(2003-2005年20公尺DEM成果產製)</t>
  </si>
  <si>
    <t>坡度圖-7級(2003-2005年20公尺DEM成果產製)</t>
  </si>
  <si>
    <t>https://wmts.nlsc.gov.tw/wmts/MOI_SLOPEP_GT30_2/{Style}/{TileMatrixSet}/{TileMatrix}/{TileRow}/{TileCol}</t>
  </si>
  <si>
    <t>2dms_wmts_v1_MoiSlopepGT302</t>
  </si>
  <si>
    <t>坡度圖-30%坡(2010-2015)</t>
  </si>
  <si>
    <t>WMTS_坡度圖-30%坡(2003-2005年20公尺DEM成果產製)</t>
  </si>
  <si>
    <t>坡度圖-30%坡(2003-2005年20公尺DEM成果產製)</t>
  </si>
  <si>
    <t>https://wmts.nlsc.gov.tw/wmts/MOI_SLOPEP_GT30/{Style}/{TileMatrixSet}/{TileMatrix}/{TileRow}/{TileCol}</t>
  </si>
  <si>
    <t>2dms_wmts_v1_MoiSlopepGT30</t>
  </si>
  <si>
    <t>坡度圖-30%坡(2003-2005)</t>
  </si>
  <si>
    <t>https://wmts.nlsc.gov.tw/wmts/MOI_SHADERMAP/{Style}/{TileMatrixSet}/{TileMatrix}/{TileRow}/{TileCol}</t>
  </si>
  <si>
    <t>2dms_wmts_v1_MoiShadermap</t>
  </si>
  <si>
    <t>渲染圖</t>
  </si>
  <si>
    <t>WMTS_渲染圖(20公尺DEM產製)</t>
  </si>
  <si>
    <t>渲染圖(20公尺DEM產製)</t>
  </si>
  <si>
    <t>https://wmts.nlsc.gov.tw/wmts/MOI_HILLSHADE/{Style}/{TileMatrixSet}/{TileMatrix}/{TileRow}/{TileCol}</t>
  </si>
  <si>
    <t>2dms_wmts_v1_MoiHillshade</t>
  </si>
  <si>
    <t>陰影圖</t>
  </si>
  <si>
    <t>WMTS_陰影圖(20公尺DEM產製)</t>
  </si>
  <si>
    <t>陰影圖(20公尺DEM產製)</t>
  </si>
  <si>
    <t>https://wmts.nlsc.gov.tw/wmts/MOI_CONTOUR_2/{Style}/{TileMatrixSet}/{TileMatrix}/{TileRow}/{TileCol}</t>
  </si>
  <si>
    <t>2dms_wmts_v1_MoiContour2</t>
  </si>
  <si>
    <t>等高線圖(2010-2015)</t>
  </si>
  <si>
    <t>WMTS_等高線圖(2010-2015年20公尺DEM產製)</t>
  </si>
  <si>
    <t>等高線圖(2010-2015年20公尺DEM產製)</t>
  </si>
  <si>
    <t>https://wmts.nlsc.gov.tw/wmts/MOI_CONTOUR/{Style}/{TileMatrixSet}/{TileMatrix}/{TileRow}/{TileCol}</t>
  </si>
  <si>
    <t>2dms_wmts_v1_MoiContour</t>
  </si>
  <si>
    <t>等高線圖(2003-2005)</t>
  </si>
  <si>
    <t>WMTS_等高線圖(2003-2005年20公尺DEM產製)</t>
  </si>
  <si>
    <t>等高線圖(2003-2005年20公尺DEM產製)</t>
  </si>
  <si>
    <t>https://wmts.nlsc.gov.tw/wmts/MOI_ASPECT/{Style}/{TileMatrixSet}/{TileMatrix}/{TileRow}/{TileCol}</t>
  </si>
  <si>
    <t>2dms_wmts_v1_MoiAspect</t>
  </si>
  <si>
    <t>坡向圖</t>
  </si>
  <si>
    <t>WMTS_坡向圖(20公尺DEM產製)</t>
  </si>
  <si>
    <t>坡向圖(20公尺DEM產製)</t>
  </si>
  <si>
    <t>https://maps.nlsc.gov.tw/demo/坡向圖圖例.gif</t>
  </si>
  <si>
    <t>https://wmts.nlsc.gov.tw/wmts/MB5000/{Style}/{TileMatrixSet}/{TileMatrix}/{TileRow}/{TileCol}</t>
  </si>
  <si>
    <t>2dms_wmts_v1_MB5000</t>
  </si>
  <si>
    <t>1/5000圖幅框</t>
  </si>
  <si>
    <t>WMTS_1/5000圖幅框</t>
  </si>
  <si>
    <t>https://wmts.nlsc.gov.tw/wmts/LUIMAP99/{Style}/{TileMatrixSet}/{TileMatrix}/{TileRow}/{TileCol}</t>
  </si>
  <si>
    <t>2dms_wmts_v1_LUIMAP99</t>
  </si>
  <si>
    <t>國土利用現況調查099年更新區</t>
  </si>
  <si>
    <t>WMTS_國土利用現況調查成果圖(99年更新區)</t>
  </si>
  <si>
    <t>https://maps.nlsc.gov.tw/demo/95RGB色碼表.jpg</t>
  </si>
  <si>
    <t>WMTS,國土利用</t>
  </si>
  <si>
    <t>https://wmts.nlsc.gov.tw/wmts/LUIMAP98/{Style}/{TileMatrixSet}/{TileMatrix}/{TileRow}/{TileCol}</t>
  </si>
  <si>
    <t>2dms_wmts_v1_LUIMAP98</t>
  </si>
  <si>
    <t>國土利用現況調查098年更新區</t>
  </si>
  <si>
    <t>WMTS_國土利用現況調查成果圖(98年更新區)</t>
  </si>
  <si>
    <t>https://wmts.nlsc.gov.tw/wmts/LUIMAP95/{Style}/{TileMatrixSet}/{TileMatrix}/{TileRow}/{TileCol}</t>
  </si>
  <si>
    <t>2dms_wmts_v1_LUIMAP95</t>
  </si>
  <si>
    <t>國土利用調查成果圖95-97年</t>
  </si>
  <si>
    <t>WMTS_國土利用現況調查成果圖(95-97年成果)</t>
  </si>
  <si>
    <t>https://wmts.nlsc.gov.tw/wmts/LUIMAP82/{Style}/{TileMatrixSet}/{TileMatrix}/{TileRow}/{TileCol}</t>
  </si>
  <si>
    <t>2dms_wmts_v1_LUIMAP82</t>
  </si>
  <si>
    <t>國土利用調查成果圖82年</t>
  </si>
  <si>
    <t>WMTS_國土利用現況調查成果圖(82-84年成果)</t>
  </si>
  <si>
    <t>https://wmts.nlsc.gov.tw/wmts/LUIMAP114/{Style}/{TileMatrixSet}/{TileMatrix}/{TileRow}/{TileCol}</t>
  </si>
  <si>
    <t>2dms_wmts_v1_LUIMAP114</t>
  </si>
  <si>
    <t>國土利用現況調查114年更新區</t>
  </si>
  <si>
    <t>WMTS_國土利用現況調查成果圖(114年更新區)</t>
  </si>
  <si>
    <t>https://maps.nlsc.gov.tw/demo/109年版國土利用色碼表.png</t>
  </si>
  <si>
    <t>https://wmts.nlsc.gov.tw/wmts/LUIMAP113/{Style}/{TileMatrixSet}/{TileMatrix}/{TileRow}/{TileCol}</t>
  </si>
  <si>
    <t>2dms_wmts_v1_LUIMAP113</t>
  </si>
  <si>
    <t>國土利用現況調查113年更新區</t>
  </si>
  <si>
    <t>WMTS_國土利用現況調查成果圖(113年更新區)</t>
  </si>
  <si>
    <t>https://wmts.nlsc.gov.tw/wmts/LUIMAP112/{Style}/{TileMatrixSet}/{TileMatrix}/{TileRow}/{TileCol}</t>
  </si>
  <si>
    <t>2dms_wmts_v1_LUIMAP112</t>
  </si>
  <si>
    <t>國土利用現況調查112年更新區</t>
  </si>
  <si>
    <t>WMTS_國土利用現況調查成果圖(112年更新區)</t>
  </si>
  <si>
    <t>https://wmts.nlsc.gov.tw/wmts/LUIMAP111/{Style}/{TileMatrixSet}/{TileMatrix}/{TileRow}/{TileCol}</t>
  </si>
  <si>
    <t>2dms_wmts_v1_LUIMAP111</t>
  </si>
  <si>
    <t>國土利用現況調查111年更新區</t>
  </si>
  <si>
    <t>WMTS_國土利用現況調查成果圖(111年更新區)</t>
  </si>
  <si>
    <t>https://wmts.nlsc.gov.tw/wmts/LUIMAP110/{Style}/{TileMatrixSet}/{TileMatrix}/{TileRow}/{TileCol}</t>
  </si>
  <si>
    <t>2dms_wmts_v1_LUIMAP110</t>
  </si>
  <si>
    <t>國土利用現況調查110年更新區</t>
  </si>
  <si>
    <t>WMTS_國土利用現況調查成果圖(110年更新區)</t>
  </si>
  <si>
    <t>https://wmts.nlsc.gov.tw/wmts/LUIMAP109/{Style}/{TileMatrixSet}/{TileMatrix}/{TileRow}/{TileCol}</t>
  </si>
  <si>
    <t>2dms_wmts_v1_LUIMAP109</t>
  </si>
  <si>
    <t>國土利用現況調查109年更新區</t>
  </si>
  <si>
    <t>WMTS_國土利用現況調查成果圖(109年更新區)</t>
  </si>
  <si>
    <t>https://wmts.nlsc.gov.tw/wmts/LUIMAP108/{Style}/{TileMatrixSet}/{TileMatrix}/{TileRow}/{TileCol}</t>
  </si>
  <si>
    <t>2dms_wmts_v1_LUIMAP108</t>
  </si>
  <si>
    <t>國土利用現況調查108年更新區</t>
  </si>
  <si>
    <t>WMTS_國土利用現況調查成果圖(108年更新區)</t>
  </si>
  <si>
    <t>https://maps.nlsc.gov.tw/demo/105RGB色碼表.png</t>
  </si>
  <si>
    <t>https://wmts.nlsc.gov.tw/wmts/LUIMAP107/{Style}/{TileMatrixSet}/{TileMatrix}/{TileRow}/{TileCol}</t>
  </si>
  <si>
    <t>2dms_wmts_v1_LUIMAP107</t>
  </si>
  <si>
    <t>國土利用現況調查107年更新區</t>
  </si>
  <si>
    <t>WMTS_國土利用現況調查成果圖(107年更新區)</t>
  </si>
  <si>
    <t>https://wmts.nlsc.gov.tw/wmts/LUIMAP106/{Style}/{TileMatrixSet}/{TileMatrix}/{TileRow}/{TileCol}</t>
  </si>
  <si>
    <t>2dms_wmts_v1_LUIMAP106</t>
  </si>
  <si>
    <t>國土利用現況調查106年更新區</t>
  </si>
  <si>
    <t>WMTS_國土利用現況調查成果圖(106年更新區)</t>
  </si>
  <si>
    <t>https://wmts.nlsc.gov.tw/wmts/LUIMAP105/{Style}/{TileMatrixSet}/{TileMatrix}/{TileRow}/{TileCol}</t>
  </si>
  <si>
    <t>2dms_wmts_v1_LUIMAP105</t>
  </si>
  <si>
    <t>國土利用現況調查105年更新區</t>
  </si>
  <si>
    <t>WMTS_國土利用現況調查成果圖(105年更新區)</t>
  </si>
  <si>
    <t>https://wmts.nlsc.gov.tw/wmts/LUIMAP104/{Style}/{TileMatrixSet}/{TileMatrix}/{TileRow}/{TileCol}</t>
  </si>
  <si>
    <t>2dms_wmts_v1_LUIMAP104</t>
  </si>
  <si>
    <t>國土利用現況調查104年更新區</t>
  </si>
  <si>
    <t>WMTS_國土利用現況調查成果圖(104年更新區)</t>
  </si>
  <si>
    <t>https://wmts.nlsc.gov.tw/wmts/LUIMAP103/{Style}/{TileMatrixSet}/{TileMatrix}/{TileRow}/{TileCol}</t>
  </si>
  <si>
    <t>2dms_wmts_v1_LUIMAP103</t>
  </si>
  <si>
    <t>國土利用現況調查103年更新區</t>
  </si>
  <si>
    <t>WMTS_國土利用現況調查成果圖(103年更新區)</t>
  </si>
  <si>
    <t>https://wmts.nlsc.gov.tw/wmts/LUIMAP102/{Style}/{TileMatrixSet}/{TileMatrix}/{TileRow}/{TileCol}</t>
  </si>
  <si>
    <t>2dms_wmts_v1_LUIMAP102</t>
  </si>
  <si>
    <t>國土利用現況調查102年更新區</t>
  </si>
  <si>
    <t>WMTS_國土利用現況調查成果圖(102年更新區)</t>
  </si>
  <si>
    <t>https://wmts.nlsc.gov.tw/wmts/LUIMAP101/{Style}/{TileMatrixSet}/{TileMatrix}/{TileRow}/{TileCol}</t>
  </si>
  <si>
    <t>2dms_wmts_v1_LUIMAP101</t>
  </si>
  <si>
    <t>國土利用現況調查101年更新區</t>
  </si>
  <si>
    <t>WMTS_國土利用現況調查成果圖(101年更新區)</t>
  </si>
  <si>
    <t>https://wmts.nlsc.gov.tw/wmts/LUIMAP100/{Style}/{TileMatrixSet}/{TileMatrix}/{TileRow}/{TileCol}</t>
  </si>
  <si>
    <t>2dms_wmts_v1_LUIMAP100</t>
  </si>
  <si>
    <t>國土利用現況調查100年更新區</t>
  </si>
  <si>
    <t>WMTS_國土利用現況調查成果圖(100年更新區)</t>
  </si>
  <si>
    <t>https://wmts.nlsc.gov.tw/wmts/LUIMAP09/{Style}/{TileMatrixSet}/{TileMatrix}/{TileRow}/{TileCol}</t>
  </si>
  <si>
    <t>2dms_wmts_v1_LUIMAP09</t>
  </si>
  <si>
    <t>國土利用現況調查-9類其他</t>
  </si>
  <si>
    <t>WMTS_國土利用現況調查成果圖_9類其他</t>
  </si>
  <si>
    <t>https://wmts.nlsc.gov.tw/wmts/LUIMAP08/{Style}/{TileMatrixSet}/{TileMatrix}/{TileRow}/{TileCol}</t>
  </si>
  <si>
    <t>2dms_wmts_v1_LUIMAP08</t>
  </si>
  <si>
    <t>國土利用現況調查-8類礦鹽</t>
  </si>
  <si>
    <t>WMTS_國土利用現況調查成果圖_8類礦鹽</t>
  </si>
  <si>
    <t>https://wmts.nlsc.gov.tw/wmts/LUIMAP07/{Style}/{TileMatrixSet}/{TileMatrix}/{TileRow}/{TileCol}</t>
  </si>
  <si>
    <t>2dms_wmts_v1_LUIMAP07</t>
  </si>
  <si>
    <t>國土利用現況調查-7類遊憩</t>
  </si>
  <si>
    <t>WMTS_國土利用現況調查成果圖_7類遊憩</t>
  </si>
  <si>
    <t>https://wmts.nlsc.gov.tw/wmts/LUIMAP06/{Style}/{TileMatrixSet}/{TileMatrix}/{TileRow}/{TileCol}</t>
  </si>
  <si>
    <t>2dms_wmts_v1_LUIMAP06</t>
  </si>
  <si>
    <t>國土利用現況調查-6類公共</t>
  </si>
  <si>
    <t>WMTS_國土利用現況調查成果圖_6類公共</t>
  </si>
  <si>
    <t>https://wmts.nlsc.gov.tw/wmts/LUIMAP05/{Style}/{TileMatrixSet}/{TileMatrix}/{TileRow}/{TileCol}</t>
  </si>
  <si>
    <t>2dms_wmts_v1_LUIMAP05</t>
  </si>
  <si>
    <t>國土利用現況調查-5類建築</t>
  </si>
  <si>
    <t>WMTS_國土利用現況調查成果圖_5類建築</t>
  </si>
  <si>
    <t>https://wmts.nlsc.gov.tw/wmts/LUIMAP04/{Style}/{TileMatrixSet}/{TileMatrix}/{TileRow}/{TileCol}</t>
  </si>
  <si>
    <t>2dms_wmts_v1_LUIMAP04</t>
  </si>
  <si>
    <t>國土利用現況調查-4類水利</t>
  </si>
  <si>
    <t>WMTS_國土利用現況調查成果圖_4類水利</t>
  </si>
  <si>
    <t>https://wmts.nlsc.gov.tw/wmts/LUIMAP03/{Style}/{TileMatrixSet}/{TileMatrix}/{TileRow}/{TileCol}</t>
  </si>
  <si>
    <t>2dms_wmts_v1_LUIMAP03</t>
  </si>
  <si>
    <t>國土利用現況調查-3類交通</t>
  </si>
  <si>
    <t>WMTS_國土利用現況調查成果圖_3類交通</t>
  </si>
  <si>
    <t>https://wmts.nlsc.gov.tw/wmts/LUIMAP02/{Style}/{TileMatrixSet}/{TileMatrix}/{TileRow}/{TileCol}</t>
  </si>
  <si>
    <t>2dms_wmts_v1_LUIMAP02</t>
  </si>
  <si>
    <t>國土利用現況調查-2類森林</t>
  </si>
  <si>
    <t>WMTS_國土利用現況調查成果圖_2類森林</t>
  </si>
  <si>
    <t>https://wmts.nlsc.gov.tw/wmts/LUIMAP01/{Style}/{TileMatrixSet}/{TileMatrix}/{TileRow}/{TileCol}</t>
  </si>
  <si>
    <t>2dms_wmts_v1_LUIMAP01</t>
  </si>
  <si>
    <t>國土利用現況調查-1類農業</t>
  </si>
  <si>
    <t>WMTS_國土利用現況調查成果圖_1類農業</t>
  </si>
  <si>
    <t>https://wmts.nlsc.gov.tw/wmts/LUIMAP/{Style}/{TileMatrixSet}/{TileMatrix}/{TileRow}/{TileCol}</t>
  </si>
  <si>
    <t>2dms_wmts_v1_LUIMAP</t>
  </si>
  <si>
    <t>國土利用現況調查成果圖</t>
  </si>
  <si>
    <t>WMTS_國土利用現況調查成果圖(最新成果)</t>
  </si>
  <si>
    <t>https://maps.nlsc.gov.tw/demo/109年版國土利用色碼表.png ; https://maps.nlsc.gov.tw/demo/105RGB色碼表.png ; https://maps.nlsc.gov.tw/demo/95RGB色碼表.jpg</t>
  </si>
  <si>
    <t>https://wmts.nlsc.gov.tw/wmts/LANDSECT2/{Style}/{TileMatrixSet}/{TileMatrix}/{TileRow}/{TileCol}</t>
  </si>
  <si>
    <t>2dms_wmts_v1_LANDSECT2</t>
  </si>
  <si>
    <t>地段外圍圖(段籍圖)(類別)</t>
  </si>
  <si>
    <t>WMTS_地段外圍圖(段籍圖,區分測量類別)</t>
  </si>
  <si>
    <t>WMTS,地籍</t>
  </si>
  <si>
    <t>https://wmts.nlsc.gov.tw/wmts/LANDSECT/{Style}/{TileMatrixSet}/{TileMatrix}/{TileRow}/{TileCol}</t>
  </si>
  <si>
    <t>2dms_wmts_v1_LANDSECT</t>
  </si>
  <si>
    <t>地段外圍圖(段籍圖)</t>
  </si>
  <si>
    <t>WMTS_地段外圍圖(段籍圖)</t>
  </si>
  <si>
    <t>https://wmts.nlsc.gov.tw/wmts/LAND_OPENDATA/{Style}/{TileMatrixSet}/{TileMatrix}/{TileRow}/{TileCol}</t>
  </si>
  <si>
    <t>2dms_wmts_v1_LandOpendata</t>
  </si>
  <si>
    <t>公有土地地籍圖</t>
  </si>
  <si>
    <t>WMTS_OPENDATA_公有土地地籍圖</t>
  </si>
  <si>
    <t>https://wmts.nlsc.gov.tw/wmts/LandOffice/{Style}/{TileMatrixSet}/{TileMatrix}/{TileRow}/{TileCol}</t>
  </si>
  <si>
    <t>2dms_wmts_v1_LandOffice</t>
  </si>
  <si>
    <t>地政事務所轄區圖</t>
  </si>
  <si>
    <t>WMTS_地政事務所轄區圖</t>
  </si>
  <si>
    <t>https://wmts.nlsc.gov.tw/wmts/GeoSensitive2/{Style}/{TileMatrixSet}/{TileMatrix}/{TileRow}/{TileCol}</t>
  </si>
  <si>
    <t>2dms_wmts_v1_GeoSensitive2</t>
  </si>
  <si>
    <t>地質敏感區(山崩與地滑)</t>
  </si>
  <si>
    <t>WMTS_山崩與地滑地質敏感區</t>
  </si>
  <si>
    <t>https://wmts.nlsc.gov.tw/wmts/GeoSensitive/{Style}/{TileMatrixSet}/{TileMatrix}/{TileRow}/{TileCol}</t>
  </si>
  <si>
    <t>2dms_wmts_v1_GeoSensitive</t>
  </si>
  <si>
    <t>地質敏感區</t>
  </si>
  <si>
    <t>WMTS_地質敏感區</t>
  </si>
  <si>
    <t>待確認(查無資料)WMTS服務</t>
  </si>
  <si>
    <t>https://wmts.nlsc.gov.tw/wmts/fireplug/{Style}/{TileMatrixSet}/{TileMatrix}/{TileRow}/{TileCol}</t>
  </si>
  <si>
    <t>2dms_wmts_v1_fireplug</t>
  </si>
  <si>
    <t>消防栓</t>
  </si>
  <si>
    <t>WMTS_消防栓位置</t>
  </si>
  <si>
    <t>https://wmts.nlsc.gov.tw/wmts/EMAPX99/{Style}/{TileMatrixSet}/{TileMatrix}/{TileRow}/{TileCol}</t>
  </si>
  <si>
    <t>2dms_wmts_v1_EMAPX99</t>
  </si>
  <si>
    <t>臺灣通用電子地圖(無文字)</t>
  </si>
  <si>
    <t>WMTS_臺灣通用電子地圖(無文字)</t>
  </si>
  <si>
    <t>https://wmts.nlsc.gov.tw/wmts/EMAP98/{Style}/{TileMatrixSet}/{TileMatrix}/{TileRow}/{TileCol}</t>
  </si>
  <si>
    <t>2dms_wmts_v1_EMAP98</t>
  </si>
  <si>
    <t>臺灣通用電子地圖(新)</t>
  </si>
  <si>
    <t>WMTS_臺灣通用電子地圖(響應式文字)</t>
  </si>
  <si>
    <t>https://wmts.nlsc.gov.tw/wmts/EMAP97/{Style}/{TileMatrixSet}/{TileMatrix}/{TileRow}/{TileCol}</t>
  </si>
  <si>
    <t>2dms_wmts_v1_EMAP97</t>
  </si>
  <si>
    <t>Taiwan e-Map(new)</t>
  </si>
  <si>
    <t>WMTS_Taiwan E-Map(ResponsiveText)</t>
  </si>
  <si>
    <t>https://wmts.nlsc.gov.tw/wmts/EMAP96/{Style}/{TileMatrixSet}/{TileMatrix}/{TileRow}/{TileCol}</t>
  </si>
  <si>
    <t>2dms_wmts_v1_EMAP96</t>
  </si>
  <si>
    <t>臺灣通用電子地圖(高DPI字)</t>
  </si>
  <si>
    <t>WMTS_臺灣通用電子地圖(高DPI文字)</t>
  </si>
  <si>
    <t>https://wmts.nlsc.gov.tw/wmts/EMAP9/{Style}/{TileMatrixSet}/{TileMatrix}/{TileRow}/{TileCol}</t>
  </si>
  <si>
    <t>2dms_wmts_v1_EMAP9</t>
  </si>
  <si>
    <t>臺灣通用電子地圖(無鐵公路)</t>
  </si>
  <si>
    <t>WMTS_臺灣通用電子地圖(無鐵公路)</t>
  </si>
  <si>
    <t>https://wmts.nlsc.gov.tw/wmts/EMAP8/{Style}/{TileMatrixSet}/{TileMatrix}/{TileRow}/{TileCol}</t>
  </si>
  <si>
    <t>2dms_wmts_v1_EMAP8</t>
  </si>
  <si>
    <t>TaiwanE-Map(EN)</t>
  </si>
  <si>
    <t>WMTS_TaiwanE-Map</t>
  </si>
  <si>
    <t>https://wmts.nlsc.gov.tw/wmts/EMAP7/{Style}/{TileMatrixSet}/{TileMatrix}/{TileRow}/{TileCol}</t>
  </si>
  <si>
    <t>2dms_wmts_v1_EMAP7</t>
  </si>
  <si>
    <t>TaiwanE-Map(Transparent)</t>
  </si>
  <si>
    <t>WMTS_TaiwanE-Map_Road</t>
  </si>
  <si>
    <t>https://wmts.nlsc.gov.tw/wmts/EMAP6_OPENDATA/{Style}/{TileMatrixSet}/{TileMatrix}/{TileRow}/{TileCol}</t>
  </si>
  <si>
    <t>2dms_wmts_v1_EMAP6Opendata</t>
  </si>
  <si>
    <t>臺灣通用電子地圖(不含等高線)OpenData, 最大比例尺一萬八千分之一</t>
  </si>
  <si>
    <t>WMTS_OPENDATA_臺灣通用電子地圖( 比例尺小於一萬八千分之一)</t>
  </si>
  <si>
    <t>https://wmts.nlsc.gov.tw/wmts/EMAP6/{Style}/{TileMatrixSet}/{TileMatrix}/{TileRow}/{TileCol}</t>
  </si>
  <si>
    <t>2dms_wmts_v1_EMAP6</t>
  </si>
  <si>
    <t>臺灣通用電子地圖(無等高線)</t>
  </si>
  <si>
    <t>WMTS_臺灣通用電子地圖</t>
  </si>
  <si>
    <t>https://wmts.nlsc.gov.tw/wmts/EMAP5_OPENDATA/{Style}/{TileMatrixSet}/{TileMatrix}/{TileRow}/{TileCol}</t>
  </si>
  <si>
    <t>2dms_wmts_v1_EMAP5Opendata</t>
  </si>
  <si>
    <t>臺灣通用電子地圖(套疊等高線)OpenData, 最大比例尺一萬八千分之一</t>
  </si>
  <si>
    <t>WMTS_OPENDATA_臺灣通用電子地圖(套疊等高線, 比例尺小於一萬八千分之一)</t>
  </si>
  <si>
    <t>https://wmts.nlsc.gov.tw/wmts/EMAP5/{Style}/{TileMatrixSet}/{TileMatrix}/{TileRow}/{TileCol}</t>
  </si>
  <si>
    <t>2dms_wmts_v1_EMAP5</t>
  </si>
  <si>
    <t>臺灣通用電子地圖(等高線+門牌)</t>
  </si>
  <si>
    <t>WMTS_臺灣通用電子地圖(等高線+門牌)</t>
  </si>
  <si>
    <t>WMTS,門牌</t>
  </si>
  <si>
    <t>https://wmts.nlsc.gov.tw/97/wmts/EMAP3826/{Style}/{TileMatrixSet}/{TileMatrix}/{TileRow}/{TileCol}</t>
  </si>
  <si>
    <t>2dms_wmts_v1_EMAP3826</t>
  </si>
  <si>
    <t>臺灣通用電子地圖_3826</t>
  </si>
  <si>
    <t>WMTS_臺灣通用電子地圖TWD97/TM2 Zone 121</t>
  </si>
  <si>
    <t>https://wmts.nlsc.gov.tw/97/wmts/EMAP3825/{Style}/{TileMatrixSet}/{TileMatrix}/{TileRow}/{TileCol}</t>
  </si>
  <si>
    <t>2dms_wmts_v1_EMAP3825</t>
  </si>
  <si>
    <t>臺灣通用電子地圖_3825</t>
  </si>
  <si>
    <t>WMTS_臺灣通用電子地圖TWD97/TM2 Zone 119</t>
  </si>
  <si>
    <t>https://wmts.nlsc.gov.tw/wmts/EMAP2/{Style}/{TileMatrixSet}/{TileMatrix}/{TileRow}/{TileCol}</t>
  </si>
  <si>
    <t>2dms_wmts_v1_EMAP2</t>
  </si>
  <si>
    <t>臺灣通用電子地圖透明</t>
  </si>
  <si>
    <t>WMTS_臺灣通用電子地圖_交通路網(套疊門牌)</t>
  </si>
  <si>
    <t>https://wmts.nlsc.gov.tw/wmts/EMAP16/{Style}/{TileMatrixSet}/{TileMatrix}/{TileRow}/{TileCol}</t>
  </si>
  <si>
    <t>2dms_wmts_v1_EMAP16</t>
  </si>
  <si>
    <t>臺灣通用電子地圖(無等高線及門牌)</t>
  </si>
  <si>
    <t>https://wmts.nlsc.gov.tw/wmts/EMAP15/{Style}/{TileMatrixSet}/{TileMatrix}/{TileRow}/{TileCol}</t>
  </si>
  <si>
    <t>2dms_wmts_v1_EMAP15</t>
  </si>
  <si>
    <t>臺灣通用電子地圖(等高線無門牌)</t>
  </si>
  <si>
    <t>WMTS_臺灣通用電子地圖(套疊等高線)</t>
  </si>
  <si>
    <t>https://wmts.nlsc.gov.tw/wmts/EMAP12/{Style}/{TileMatrixSet}/{TileMatrix}/{TileRow}/{TileCol}</t>
  </si>
  <si>
    <t>2dms_wmts_v1_EMAP12</t>
  </si>
  <si>
    <t>臺灣通用電子地圖透明(無門牌)</t>
  </si>
  <si>
    <t>WMTS_臺灣通用電子地圖_道路圖層(透明)</t>
  </si>
  <si>
    <t>https://wmts.nlsc.gov.tw/wmts/EMAP01/{Style}/{TileMatrixSet}/{TileMatrix}/{TileRow}/{TileCol}</t>
  </si>
  <si>
    <t>2dms_wmts_v1_EMAP01</t>
  </si>
  <si>
    <t>臺灣通用電子地圖(灰階)</t>
  </si>
  <si>
    <t>WMTS_臺灣通用電子地圖(灰階)</t>
  </si>
  <si>
    <t>https://wmts.nlsc.gov.tw/wmts/EMAP/{Style}/{TileMatrixSet}/{TileMatrix}/{TileRow}/{TileCol}</t>
  </si>
  <si>
    <t>2dms_wmts_v1_EMAP</t>
  </si>
  <si>
    <t>臺灣通用電子地圖</t>
  </si>
  <si>
    <t>WMTS_臺灣通用電子地圖(套疊等高線及門牌)</t>
  </si>
  <si>
    <t>https://wmts.nlsc.gov.tw/wmts/DDEM05/{Style}/{TileMatrixSet}/{TileMatrix}/{TileRow}/{TileCol}</t>
  </si>
  <si>
    <t>2dms_wmts_v1_DDEM05</t>
  </si>
  <si>
    <t>空載光達數值地形變異分析圖(0.5M門檻)</t>
  </si>
  <si>
    <t>WMTS_空載光達數值地形變異分析圖(0.5M門檻)</t>
  </si>
  <si>
    <t>https://maps.nlsc.gov.tw/demo/DEM各年度辦理範圍.jpg ; https://maps.nlsc.gov.tw/demo/地形變異圖例.png</t>
  </si>
  <si>
    <t>https://wmts.nlsc.gov.tw/wmts/ConvenienceStore/{Style}/{TileMatrixSet}/{TileMatrix}/{TileRow}/{TileCol}</t>
  </si>
  <si>
    <t>2dms_wmts_v1_ConvenienceStore</t>
  </si>
  <si>
    <t>便利商店(超商)</t>
  </si>
  <si>
    <t>WMTS_連鎖便利商店</t>
  </si>
  <si>
    <t>https://wmts.nlsc.gov.tw/wmts/CITY/{Style}/{TileMatrixSet}/{TileMatrix}/{TileRow}/{TileCol}</t>
  </si>
  <si>
    <t>2dms_wmts_v1_CITY</t>
  </si>
  <si>
    <t>縣市界</t>
  </si>
  <si>
    <t>WMTS_直轄市及縣市界線</t>
  </si>
  <si>
    <t>https://wmts.nlsc.gov.tw/wmts/BUILDX/{Style}/{TileMatrixSet}/{TileMatrix}/{TileRow}/{TileCol}</t>
  </si>
  <si>
    <t>2dms_wmts_v1_BUILDX</t>
  </si>
  <si>
    <t>臺灣通用電子地圖加值分棟建物框</t>
  </si>
  <si>
    <t>WMTS_臺灣通用電子地圖加值分棟建物框</t>
  </si>
  <si>
    <t>https://wmts.nlsc.gov.tw/wmts/B50000/{Style}/{TileMatrixSet}/{TileMatrix}/{TileRow}/{TileCol}</t>
  </si>
  <si>
    <t>2dms_wmts_v1_B50000</t>
  </si>
  <si>
    <t>1/50000 地形圖</t>
  </si>
  <si>
    <t>WMTS_1/50000基本地形圖</t>
  </si>
  <si>
    <t>https://wmts.nlsc.gov.tw/wmts/B5000/{Style}/{TileMatrixSet}/{TileMatrix}/{TileRow}/{TileCol}</t>
  </si>
  <si>
    <t>2dms_wmts_v1_B5000</t>
  </si>
  <si>
    <t>1/5000基本地形圖</t>
  </si>
  <si>
    <t>WMTS_1/5000基本地形圖</t>
  </si>
  <si>
    <t>https://wmts.nlsc.gov.tw/wmts/B25000/{Style}/{TileMatrixSet}/{TileMatrix}/{TileRow}/{TileCol}</t>
  </si>
  <si>
    <t>2dms_wmts_v1_B25000</t>
  </si>
  <si>
    <t>1/25000 地形圖</t>
  </si>
  <si>
    <t>WMTS_1/25000基本地形圖</t>
  </si>
  <si>
    <t>https://wmts.nlsc.gov.tw/wmts/B100000/{Style}/{TileMatrixSet}/{TileMatrix}/{TileRow}/{TileCol}</t>
  </si>
  <si>
    <t>2dms_wmts_v1_B100000</t>
  </si>
  <si>
    <t>1/100000 地形圖</t>
  </si>
  <si>
    <t>WMTS_1/100000基本地形圖</t>
  </si>
  <si>
    <t>https://wmts.nlsc.gov.tw/wmts/Asrs_2025_ortho/{Style}/{TileMatrixSet}/{TileMatrix}/{TileRow}/{TileCol}</t>
  </si>
  <si>
    <t>2dms_wmts_v1_Asrs2025ortho</t>
  </si>
  <si>
    <t>馬太鞍溪事件_2024_2025_災前航照圖</t>
  </si>
  <si>
    <t>WMTS_航照影像_馬太鞍溪事件_災前(113-114)</t>
  </si>
  <si>
    <t>https://wmts.nlsc.gov.tw/wmts/Asrs_20251116_8/{Style}/{TileMatrixSet}/{TileMatrix}/{TileRow}/{TileCol}</t>
  </si>
  <si>
    <t>2dms_wmts_v1_Asrs202511168</t>
  </si>
  <si>
    <t>馬太鞍溪事件_20251116_航照圖8</t>
  </si>
  <si>
    <t>WMTS_航照影像_馬太鞍溪事件_1141116_8</t>
  </si>
  <si>
    <t>https://wmts.nlsc.gov.tw/wmts/Asrs_20251116_7/{Style}/{TileMatrixSet}/{TileMatrix}/{TileRow}/{TileCol}</t>
  </si>
  <si>
    <t>2dms_wmts_v1_Asrs202511167</t>
  </si>
  <si>
    <t>馬太鞍溪事件_20251116_航照圖7</t>
  </si>
  <si>
    <t>WMTS_航照影像_馬太鞍溪事件_1141116_7</t>
  </si>
  <si>
    <t>https://wmts.nlsc.gov.tw/wmts/Asrs_20251116_6/{Style}/{TileMatrixSet}/{TileMatrix}/{TileRow}/{TileCol}</t>
  </si>
  <si>
    <t>2dms_wmts_v1_Asrs202511166</t>
  </si>
  <si>
    <t>馬太鞍溪事件_20251116_航照圖6</t>
  </si>
  <si>
    <t>WMTS_航照影像_馬太鞍溪事件_1141116_6</t>
  </si>
  <si>
    <t>https://wmts.nlsc.gov.tw/wmts/Asrs_20251116_5/{Style}/{TileMatrixSet}/{TileMatrix}/{TileRow}/{TileCol}</t>
  </si>
  <si>
    <t>2dms_wmts_v1_Asrs202511165</t>
  </si>
  <si>
    <t>馬太鞍溪事件_20251116_航照圖5</t>
  </si>
  <si>
    <t>WMTS_航照影像_馬太鞍溪事件_1141116_5</t>
  </si>
  <si>
    <t>https://wmts.nlsc.gov.tw/wmts/Asrs_20251116_4/{Style}/{TileMatrixSet}/{TileMatrix}/{TileRow}/{TileCol}</t>
  </si>
  <si>
    <t>2dms_wmts_v1_Asrs202511164</t>
  </si>
  <si>
    <t>馬太鞍溪事件_20251116_航照圖4</t>
  </si>
  <si>
    <t>WMTS_航照影像_馬太鞍溪事件_1141116_4</t>
  </si>
  <si>
    <t>https://wmts.nlsc.gov.tw/wmts/Asrs_20251116_3/{Style}/{TileMatrixSet}/{TileMatrix}/{TileRow}/{TileCol}</t>
  </si>
  <si>
    <t>2dms_wmts_v1_Asrs202511163</t>
  </si>
  <si>
    <t>馬太鞍溪事件_20251116_航照圖3</t>
  </si>
  <si>
    <t>WMTS_航照影像_馬太鞍溪事件_1141116_3</t>
  </si>
  <si>
    <t>https://wmts.nlsc.gov.tw/wmts/Asrs_20251116_2/{Style}/{TileMatrixSet}/{TileMatrix}/{TileRow}/{TileCol}</t>
  </si>
  <si>
    <t>2dms_wmts_v1_Asrs202511162</t>
  </si>
  <si>
    <t>馬太鞍溪事件_20251116_航照圖2</t>
  </si>
  <si>
    <t>WMTS_航照影像_馬太鞍溪事件_1141116_2</t>
  </si>
  <si>
    <t>https://wmts.nlsc.gov.tw/wmts/Asrs_20251116_1/{Style}/{TileMatrixSet}/{TileMatrix}/{TileRow}/{TileCol}</t>
  </si>
  <si>
    <t>2dms_wmts_v1_Asrs202511161</t>
  </si>
  <si>
    <t>馬太鞍溪事件_20251116_航照圖1</t>
  </si>
  <si>
    <t>WMTS_航照影像_馬太鞍溪事件_1141116_1</t>
  </si>
  <si>
    <t>https://wmts.nlsc.gov.tw/wmts/Asrs_20251013_9/{Style}/{TileMatrixSet}/{TileMatrix}/{TileRow}/{TileCol}</t>
  </si>
  <si>
    <t>2dms_wmts_v1_Asrs202510139</t>
  </si>
  <si>
    <t>馬太鞍溪事件_20251013_航照圖9</t>
  </si>
  <si>
    <t>WMTS_航照影像_馬太鞍溪事件_1141013_9</t>
  </si>
  <si>
    <t>https://wmts.nlsc.gov.tw/wmts/Asrs_20251013_8/{Style}/{TileMatrixSet}/{TileMatrix}/{TileRow}/{TileCol}</t>
  </si>
  <si>
    <t>2dms_wmts_v1_Asrs202510138</t>
  </si>
  <si>
    <t>馬太鞍溪事件_20251013_航照圖8</t>
  </si>
  <si>
    <t>WMTS_航照影像_馬太鞍溪事件_1141013_8</t>
  </si>
  <si>
    <t>https://wmts.nlsc.gov.tw/wmts/Asrs_20251013_7/{Style}/{TileMatrixSet}/{TileMatrix}/{TileRow}/{TileCol}</t>
  </si>
  <si>
    <t>2dms_wmts_v1_Asrs202510137</t>
  </si>
  <si>
    <t>馬太鞍溪事件_20251013_航照圖7</t>
  </si>
  <si>
    <t>WMTS_航照影像_馬太鞍溪事件_1141013_7</t>
  </si>
  <si>
    <t>https://wmts.nlsc.gov.tw/wmts/Asrs_20251013_6/{Style}/{TileMatrixSet}/{TileMatrix}/{TileRow}/{TileCol}</t>
  </si>
  <si>
    <t>2dms_wmts_v1_Asrs202510136</t>
  </si>
  <si>
    <t>馬太鞍溪事件_20251013_航照圖6</t>
  </si>
  <si>
    <t>WMTS_航照影像_馬太鞍溪事件_1141013_6</t>
  </si>
  <si>
    <t>https://wmts.nlsc.gov.tw/wmts/Asrs_20251013_5/{Style}/{TileMatrixSet}/{TileMatrix}/{TileRow}/{TileCol}</t>
  </si>
  <si>
    <t>2dms_wmts_v1_Asrs202510135</t>
  </si>
  <si>
    <t>馬太鞍溪事件_20251013_航照圖5</t>
  </si>
  <si>
    <t>WMTS_航照影像_馬太鞍溪事件_1141013_5</t>
  </si>
  <si>
    <t>https://wmts.nlsc.gov.tw/wmts/Asrs_20251013_4/{Style}/{TileMatrixSet}/{TileMatrix}/{TileRow}/{TileCol}</t>
  </si>
  <si>
    <t>2dms_wmts_v1_Asrs202510134</t>
  </si>
  <si>
    <t>馬太鞍溪事件_20251013_航照圖4</t>
  </si>
  <si>
    <t>WMTS_航照影像_馬太鞍溪事件_1141013_4</t>
  </si>
  <si>
    <t>https://wmts.nlsc.gov.tw/wmts/Asrs_20251013_3/{Style}/{TileMatrixSet}/{TileMatrix}/{TileRow}/{TileCol}</t>
  </si>
  <si>
    <t>2dms_wmts_v1_Asrs202510133</t>
  </si>
  <si>
    <t>馬太鞍溪事件_20251013_航照圖3</t>
  </si>
  <si>
    <t>WMTS_航照影像_馬太鞍溪事件_1141013_3</t>
  </si>
  <si>
    <t>https://wmts.nlsc.gov.tw/wmts/Asrs_20251013_2/{Style}/{TileMatrixSet}/{TileMatrix}/{TileRow}/{TileCol}</t>
  </si>
  <si>
    <t>2dms_wmts_v1_Asrs202510132</t>
  </si>
  <si>
    <t>馬太鞍溪事件_20251013_航照圖2</t>
  </si>
  <si>
    <t>WMTS_航照影像_馬太鞍溪事件_1141013_2</t>
  </si>
  <si>
    <t>https://wmts.nlsc.gov.tw/wmts/Asrs_20251013_1/{Style}/{TileMatrixSet}/{TileMatrix}/{TileRow}/{TileCol}</t>
  </si>
  <si>
    <t>2dms_wmts_v1_Asrs202510131</t>
  </si>
  <si>
    <t>馬太鞍溪事件_20251013_航照圖1</t>
  </si>
  <si>
    <t>WMTS_航照影像_馬太鞍溪事件_1141013_1</t>
  </si>
  <si>
    <t>https://wmts.nlsc.gov.tw/wmts/Asrs_20251007_3/{Style}/{TileMatrixSet}/{TileMatrix}/{TileRow}/{TileCol}</t>
  </si>
  <si>
    <t>2dms_wmts_v1_Asrs202510073</t>
  </si>
  <si>
    <t>馬太鞍溪事件_20251007_航照圖3</t>
  </si>
  <si>
    <t>WMTS_航照影像_馬太鞍溪事件_1141007_3</t>
  </si>
  <si>
    <t>https://wmts.nlsc.gov.tw/wmts/Asrs_20251007_2/{Style}/{TileMatrixSet}/{TileMatrix}/{TileRow}/{TileCol}</t>
  </si>
  <si>
    <t>2dms_wmts_v1_Asrs202510072</t>
  </si>
  <si>
    <t>馬太鞍溪事件_20251007_航照圖2</t>
  </si>
  <si>
    <t>WMTS_航照影像_馬太鞍溪事件_1141007_2</t>
  </si>
  <si>
    <t>https://wmts.nlsc.gov.tw/wmts/Asrs_20251007_1/{Style}/{TileMatrixSet}/{TileMatrix}/{TileRow}/{TileCol}</t>
  </si>
  <si>
    <t>2dms_wmts_v1_Asrs202510071</t>
  </si>
  <si>
    <t>馬太鞍溪事件_20251007_航照圖1</t>
  </si>
  <si>
    <t>WMTS_航照影像_馬太鞍溪事件_1141007_1</t>
  </si>
  <si>
    <t>https://wmts.nlsc.gov.tw/wmts/Asrs_20251006_3/{Style}/{TileMatrixSet}/{TileMatrix}/{TileRow}/{TileCol}</t>
  </si>
  <si>
    <t>2dms_wmts_v1_Asrs202510063</t>
  </si>
  <si>
    <t>馬太鞍溪事件_20251006_航照圖3</t>
  </si>
  <si>
    <t>WMTS_航照影像_馬太鞍溪事件_1141006_3</t>
  </si>
  <si>
    <t>https://wmts.nlsc.gov.tw/wmts/Asrs_20251006_2/{Style}/{TileMatrixSet}/{TileMatrix}/{TileRow}/{TileCol}</t>
  </si>
  <si>
    <t>2dms_wmts_v1_Asrs202510062</t>
  </si>
  <si>
    <t>馬太鞍溪事件_20251006_航照圖2</t>
  </si>
  <si>
    <t>WMTS_航照影像_馬太鞍溪事件_1141006_2</t>
  </si>
  <si>
    <t>https://wmts.nlsc.gov.tw/wmts/Asrs_20251006_1/{Style}/{TileMatrixSet}/{TileMatrix}/{TileRow}/{TileCol}</t>
  </si>
  <si>
    <t>2dms_wmts_v1_Asrs202510061</t>
  </si>
  <si>
    <t>馬太鞍溪事件_20251006_航照圖1</t>
  </si>
  <si>
    <t>WMTS_航照影像_馬太鞍溪事件_1141006_1</t>
  </si>
  <si>
    <t>https://wmts.nlsc.gov.tw/wmts/Asrs_20251005_3/{Style}/{TileMatrixSet}/{TileMatrix}/{TileRow}/{TileCol}</t>
  </si>
  <si>
    <t>2dms_wmts_v1_Asrs202510053</t>
  </si>
  <si>
    <t>馬太鞍溪事件_20251005_航照圖3</t>
  </si>
  <si>
    <t>WMTS_航照影像_馬太鞍溪事件_1141005_3</t>
  </si>
  <si>
    <t>https://wmts.nlsc.gov.tw/wmts/Asrs_20251005_2/{Style}/{TileMatrixSet}/{TileMatrix}/{TileRow}/{TileCol}</t>
  </si>
  <si>
    <t>2dms_wmts_v1_Asrs202510052</t>
  </si>
  <si>
    <t>馬太鞍溪事件_20251005_航照圖2</t>
  </si>
  <si>
    <t>WMTS_航照影像_馬太鞍溪事件_1141005_2</t>
  </si>
  <si>
    <t>https://wmts.nlsc.gov.tw/wmts/Asrs_20251005_1/{Style}/{TileMatrixSet}/{TileMatrix}/{TileRow}/{TileCol}</t>
  </si>
  <si>
    <t>2dms_wmts_v1_Asrs202510051</t>
  </si>
  <si>
    <t>馬太鞍溪事件_20251005_航照圖1</t>
  </si>
  <si>
    <t>WMTS_航照影像_馬太鞍溪事件_1141005_1</t>
  </si>
  <si>
    <t>https://wmts.nlsc.gov.tw/wmts/Asrs_20251004_3/{Style}/{TileMatrixSet}/{TileMatrix}/{TileRow}/{TileCol}</t>
  </si>
  <si>
    <t>2dms_wmts_v1_Asrs202510043</t>
  </si>
  <si>
    <t>馬太鞍溪事件_20251004_航照圖3</t>
  </si>
  <si>
    <t>WMTS_航照影像_馬太鞍溪事件_1141004_3</t>
  </si>
  <si>
    <t>https://wmts.nlsc.gov.tw/wmts/Asrs_20251004_2/{Style}/{TileMatrixSet}/{TileMatrix}/{TileRow}/{TileCol}</t>
  </si>
  <si>
    <t>2dms_wmts_v1_Asrs202510042</t>
  </si>
  <si>
    <t>馬太鞍溪事件_20251004_航照圖2</t>
  </si>
  <si>
    <t>WMTS_航照影像_馬太鞍溪事件_1141004_2</t>
  </si>
  <si>
    <t>https://wmts.nlsc.gov.tw/wmts/Asrs_20251004_1/{Style}/{TileMatrixSet}/{TileMatrix}/{TileRow}/{TileCol}</t>
  </si>
  <si>
    <t>2dms_wmts_v1_Asrs202510041</t>
  </si>
  <si>
    <t>馬太鞍溪事件_20251004_航照圖1</t>
  </si>
  <si>
    <t>WMTS_航照影像_馬太鞍溪事件_1141004_1</t>
  </si>
  <si>
    <t>https://wmts.nlsc.gov.tw/wmts/Asrs_20251003_7/{Style}/{TileMatrixSet}/{TileMatrix}/{TileRow}/{TileCol}</t>
  </si>
  <si>
    <t>2dms_wmts_v1_Asrs202510037</t>
  </si>
  <si>
    <t>馬太鞍溪事件_20251003_航照圖7</t>
  </si>
  <si>
    <t>WMTS_航照影像_馬太鞍溪事件_1141003_7</t>
  </si>
  <si>
    <t>https://wmts.nlsc.gov.tw/wmts/Asrs_20251003_6/{Style}/{TileMatrixSet}/{TileMatrix}/{TileRow}/{TileCol}</t>
  </si>
  <si>
    <t>2dms_wmts_v1_Asrs202510036</t>
  </si>
  <si>
    <t>馬太鞍溪事件_20251003_航照圖6</t>
  </si>
  <si>
    <t>WMTS_航照影像_馬太鞍溪事件_1141003_6</t>
  </si>
  <si>
    <t>https://wmts.nlsc.gov.tw/wmts/Asrs_20251003_5/{Style}/{TileMatrixSet}/{TileMatrix}/{TileRow}/{TileCol}</t>
  </si>
  <si>
    <t>2dms_wmts_v1_Asrs202510035</t>
  </si>
  <si>
    <t>馬太鞍溪事件_20251003_航照圖5</t>
  </si>
  <si>
    <t>WMTS_航照影像_馬太鞍溪事件_1141003_5</t>
  </si>
  <si>
    <t>https://wmts.nlsc.gov.tw/wmts/Asrs_20251003_4/{Style}/{TileMatrixSet}/{TileMatrix}/{TileRow}/{TileCol}</t>
  </si>
  <si>
    <t>2dms_wmts_v1_Asrs202510034</t>
  </si>
  <si>
    <t>馬太鞍溪事件_20251003_航照圖4</t>
  </si>
  <si>
    <t>WMTS_航照影像_馬太鞍溪事件_1141003_4</t>
  </si>
  <si>
    <t>https://wmts.nlsc.gov.tw/wmts/Asrs_20251003_3/{Style}/{TileMatrixSet}/{TileMatrix}/{TileRow}/{TileCol}</t>
  </si>
  <si>
    <t>2dms_wmts_v1_Asrs202510033</t>
  </si>
  <si>
    <t>馬太鞍溪事件_20251003_航照圖3</t>
  </si>
  <si>
    <t>WMTS_航照影像_馬太鞍溪事件_1141003_3</t>
  </si>
  <si>
    <t>https://wmts.nlsc.gov.tw/wmts/Asrs_20251003_2/{Style}/{TileMatrixSet}/{TileMatrix}/{TileRow}/{TileCol}</t>
  </si>
  <si>
    <t>2dms_wmts_v1_Asrs202510032</t>
  </si>
  <si>
    <t>馬太鞍溪事件_20251003_航照圖2</t>
  </si>
  <si>
    <t>WMTS_航照影像_馬太鞍溪事件_1141003_2</t>
  </si>
  <si>
    <t>https://wmts.nlsc.gov.tw/wmts/Asrs_20251003_1/{Style}/{TileMatrixSet}/{TileMatrix}/{TileRow}/{TileCol}</t>
  </si>
  <si>
    <t>2dms_wmts_v1_Asrs202510031</t>
  </si>
  <si>
    <t>馬太鞍溪事件_20251003_航照圖1</t>
  </si>
  <si>
    <t>WMTS_航照影像_馬太鞍溪事件_1141003_1</t>
  </si>
  <si>
    <t>https://wmts.nlsc.gov.tw/wmts/Asrs_20251002_3/{Style}/{TileMatrixSet}/{TileMatrix}/{TileRow}/{TileCol}</t>
  </si>
  <si>
    <t>2dms_wmts_v1_Asrs202510023</t>
  </si>
  <si>
    <t>馬太鞍溪事件_20251002_航照圖3</t>
  </si>
  <si>
    <t>WMTS_航照影像_馬太鞍溪事件_1141002_3</t>
  </si>
  <si>
    <t>https://wmts.nlsc.gov.tw/wmts/Asrs_20251002_2/{Style}/{TileMatrixSet}/{TileMatrix}/{TileRow}/{TileCol}</t>
  </si>
  <si>
    <t>2dms_wmts_v1_Asrs202510022</t>
  </si>
  <si>
    <t>馬太鞍溪事件_20251002_航照圖2</t>
  </si>
  <si>
    <t>WMTS_航照影像_馬太鞍溪事件_1141002_2</t>
  </si>
  <si>
    <t>https://wmts.nlsc.gov.tw/wmts/Asrs_20251002_1/{Style}/{TileMatrixSet}/{TileMatrix}/{TileRow}/{TileCol}</t>
  </si>
  <si>
    <t>2dms_wmts_v1_Asrs202510021</t>
  </si>
  <si>
    <t>馬太鞍溪事件_20251002_航照圖1</t>
  </si>
  <si>
    <t>WMTS_航照影像_馬太鞍溪事件_1141002_1</t>
  </si>
  <si>
    <t>https://wmts.nlsc.gov.tw/wmts/Asrs_20251001_1/{Style}/{TileMatrixSet}/{TileMatrix}/{TileRow}/{TileCol}</t>
  </si>
  <si>
    <t>2dms_wmts_v1_Asrs202510011</t>
  </si>
  <si>
    <t>馬太鞍溪事件_20251001_航照圖1</t>
  </si>
  <si>
    <t>WMTS_航照影像_馬太鞍溪事件_1141001_1</t>
  </si>
  <si>
    <t>https://wmts.nlsc.gov.tw/wmts/Asrs_20250930_2/{Style}/{TileMatrixSet}/{TileMatrix}/{TileRow}/{TileCol}</t>
  </si>
  <si>
    <t>2dms_wmts_v1_Asrs202509302</t>
  </si>
  <si>
    <t>馬太鞍溪事件_20250930_航照圖2</t>
  </si>
  <si>
    <t>WMTS_航照影像_馬太鞍溪事件_1140930_2</t>
  </si>
  <si>
    <t>https://wmts.nlsc.gov.tw/wmts/Asrs_20250930_1/{Style}/{TileMatrixSet}/{TileMatrix}/{TileRow}/{TileCol}</t>
  </si>
  <si>
    <t>2dms_wmts_v1_Asrs202509301</t>
  </si>
  <si>
    <t>馬太鞍溪事件_20250930_航照圖1</t>
  </si>
  <si>
    <t>WMTS_航照影像_馬太鞍溪事件_1140930_1</t>
  </si>
  <si>
    <t>https://wmts.nlsc.gov.tw/wmts/Asrs_20250929_2/{Style}/{TileMatrixSet}/{TileMatrix}/{TileRow}/{TileCol}</t>
  </si>
  <si>
    <t>2dms_wmts_v1_Asrs202509292</t>
  </si>
  <si>
    <t>馬太鞍溪事件_20250929_航照圖2</t>
  </si>
  <si>
    <t>WMTS_航照影像_馬太鞍溪事件_1140929_2</t>
  </si>
  <si>
    <t>https://wmts.nlsc.gov.tw/wmts/Asrs_20250929_1/{Style}/{TileMatrixSet}/{TileMatrix}/{TileRow}/{TileCol}</t>
  </si>
  <si>
    <t>2dms_wmts_v1_Asrs202509291</t>
  </si>
  <si>
    <t>馬太鞍溪事件_20250929_航照圖1</t>
  </si>
  <si>
    <t>WMTS_航照影像_馬太鞍溪事件_1140929_1</t>
  </si>
  <si>
    <t>https://wmts.nlsc.gov.tw/wmts/Asrs_20250928_2/{Style}/{TileMatrixSet}/{TileMatrix}/{TileRow}/{TileCol}</t>
  </si>
  <si>
    <t>2dms_wmts_v1_Asrs202509282</t>
  </si>
  <si>
    <t>馬太鞍溪事件_20250928_航照圖2</t>
  </si>
  <si>
    <t>WMTS_航照影像_馬太鞍溪事件_1140928_2</t>
  </si>
  <si>
    <t>https://wmts.nlsc.gov.tw/wmts/Asrs_20250928_1/{Style}/{TileMatrixSet}/{TileMatrix}/{TileRow}/{TileCol}</t>
  </si>
  <si>
    <t>2dms_wmts_v1_Asrs202509281</t>
  </si>
  <si>
    <t>馬太鞍溪事件_20250928_航照圖1</t>
  </si>
  <si>
    <t>WMTS_航照影像_馬太鞍溪事件_1140928_1</t>
  </si>
  <si>
    <t>https://wmts.nlsc.gov.tw/wmts/Asrs_20250927_3/{Style}/{TileMatrixSet}/{TileMatrix}/{TileRow}/{TileCol}</t>
  </si>
  <si>
    <t>2dms_wmts_v1_Asrs202509273</t>
  </si>
  <si>
    <t>馬太鞍溪事件_20250927_航照圖3</t>
  </si>
  <si>
    <t>WMTS_航照影像_馬太鞍溪事件_1140927_3</t>
  </si>
  <si>
    <t>https://wmts.nlsc.gov.tw/wmts/Asrs_20250927_2/{Style}/{TileMatrixSet}/{TileMatrix}/{TileRow}/{TileCol}</t>
  </si>
  <si>
    <t>2dms_wmts_v1_Asrs202509272</t>
  </si>
  <si>
    <t>馬太鞍溪事件_20250927_航照圖2</t>
  </si>
  <si>
    <t>WMTS_航照影像_馬太鞍溪事件_1140927_2</t>
  </si>
  <si>
    <t>https://wmts.nlsc.gov.tw/wmts/Asrs_20250927_1/{Style}/{TileMatrixSet}/{TileMatrix}/{TileRow}/{TileCol}</t>
  </si>
  <si>
    <t>2dms_wmts_v1_Asrs202509271</t>
  </si>
  <si>
    <t>馬太鞍溪事件_20250927_航照圖1</t>
  </si>
  <si>
    <t>WMTS_航照影像_馬太鞍溪事件_1140927_1</t>
  </si>
  <si>
    <t>https://wmts.nlsc.gov.tw/wmts/Asrs_20250925_3/{Style}/{TileMatrixSet}/{TileMatrix}/{TileRow}/{TileCol}</t>
  </si>
  <si>
    <t>2dms_wmts_v1_Asrs202509253</t>
  </si>
  <si>
    <t>馬太鞍溪事件_20250925_航照圖3</t>
  </si>
  <si>
    <t>WMTS_航照影像_馬太鞍溪事件_1140925_3</t>
  </si>
  <si>
    <t>https://wmts.nlsc.gov.tw/wmts/Asrs_20250925_2/{Style}/{TileMatrixSet}/{TileMatrix}/{TileRow}/{TileCol}</t>
  </si>
  <si>
    <t>2dms_wmts_v1_Asrs202509252</t>
  </si>
  <si>
    <t>馬太鞍溪事件_20250925_航照圖2</t>
  </si>
  <si>
    <t>WMTS_航照影像_馬太鞍溪事件_1140925_2</t>
  </si>
  <si>
    <t>https://wmts.nlsc.gov.tw/wmts/Asrs_20250925_1/{Style}/{TileMatrixSet}/{TileMatrix}/{TileRow}/{TileCol}</t>
  </si>
  <si>
    <t>2dms_wmts_v1_Asrs202509251</t>
  </si>
  <si>
    <t>馬太鞍溪事件_20250925_航照圖1</t>
  </si>
  <si>
    <t>WMTS_航照影像_馬太鞍溪事件_1140925_1</t>
  </si>
  <si>
    <t>https://wmts.nlsc.gov.tw/wmts/AED/{Style}/{TileMatrixSet}/{TileMatrix}/{TileRow}/{TileCol}</t>
  </si>
  <si>
    <t>2dms_wmts_v1_AED</t>
  </si>
  <si>
    <t>AED位置</t>
  </si>
  <si>
    <t>WMTS_OPENDATA_公共場所AED位置資訊</t>
  </si>
  <si>
    <t>https://wfs.nlsc.gov.tw/WFS/TOPON1K/TOPON1K_112_B04</t>
  </si>
  <si>
    <t>2dms_t1kwfs_v1_TOPON1K_B04</t>
  </si>
  <si>
    <t>WFS_1/1000地形圖_臺中市東勢都市計畫(112年)</t>
  </si>
  <si>
    <t>提供國土測繪圖資雲一千分之一地形圖WFS服務</t>
  </si>
  <si>
    <t>EPSG:4326</t>
  </si>
  <si>
    <t>t1kwfs</t>
  </si>
  <si>
    <t>WFS,地形圖</t>
  </si>
  <si>
    <t>https://wfs.nlsc.gov.tw/WFS/TOPON1K/TOPON1K_112_B11</t>
  </si>
  <si>
    <t>2dms_t1kwfs_v1_TOPON1K_B11</t>
  </si>
  <si>
    <t>WFS_1/1000地形圖_臺中市新社都市計畫(112年)</t>
  </si>
  <si>
    <t>https://wfs.nlsc.gov.tw/WFS/TOPON1K/TOPON1K_112_B14</t>
  </si>
  <si>
    <t>2dms_t1kwfs_v1_TOPON1K_B14</t>
  </si>
  <si>
    <t>WFS_1/1000地形圖_臺中市烏日都市計畫(112年)</t>
  </si>
  <si>
    <t>https://wfs.nlsc.gov.tw/WFS/TOPON1K/TOPON1K_112_B15</t>
  </si>
  <si>
    <t>2dms_t1kwfs_v1_TOPON1K_B15</t>
  </si>
  <si>
    <t>WFS_1/1000地形圖_臺中市大肚都市計畫(112年)</t>
  </si>
  <si>
    <t>https://wfs.nlsc.gov.tw/WFS/TOPON1K/TOPON1K_113_B20</t>
  </si>
  <si>
    <t>2dms_t1kwfs_v1_TOPON1K_B20</t>
  </si>
  <si>
    <t>WFS_1/1000地形圖_臺中市中部科學工業園區台中基地附近特定區計畫(113年)</t>
  </si>
  <si>
    <t>https://wfs.nlsc.gov.tw/WFS/TOPON1K/TOPON1K_112_B22</t>
  </si>
  <si>
    <t>2dms_t1kwfs_v1_TOPON1K_B22</t>
  </si>
  <si>
    <t>WFS_1/1000地形圖_臺中市高速公路王田交流道附近特定區計畫(112年)</t>
  </si>
  <si>
    <t>https://wfs.nlsc.gov.tw/WFS/TOPON1K/TOPON1K_113_B25</t>
  </si>
  <si>
    <t>2dms_t1kwfs_v1_TOPON1K_B25</t>
  </si>
  <si>
    <t>WFS_1/1000地形圖_臺中市豐潭雅神都市計畫(113年)</t>
  </si>
  <si>
    <t>https://wfs.nlsc.gov.tw/WFS/TOPON1K/TOPON1K_112_D03</t>
  </si>
  <si>
    <t>2dms_t1kwfs_v1_TOPON1K_D03</t>
  </si>
  <si>
    <t>WFS_1/1000地形圖_臺南市新營都市計畫(112年)</t>
  </si>
  <si>
    <t>https://wfs.nlsc.gov.tw/WFS/TOPON1K/TOPON1K_112_D04</t>
  </si>
  <si>
    <t>2dms_t1kwfs_v1_TOPON1K_D04</t>
  </si>
  <si>
    <t>WFS_1/1000地形圖_臺南市高速公路新營交流道附近特定區計畫(112年)</t>
  </si>
  <si>
    <t>https://wfs.nlsc.gov.tw/WFS/TOPON1K/TOPON1K_112_D05</t>
  </si>
  <si>
    <t>2dms_t1kwfs_v1_TOPON1K_D05</t>
  </si>
  <si>
    <t>WFS_1/1000地形圖_臺南市鹽水都市計畫(112年)</t>
  </si>
  <si>
    <t>https://wfs.nlsc.gov.tw/WFS/TOPON1K/TOPON1K_113_D08</t>
  </si>
  <si>
    <t>2dms_t1kwfs_v1_TOPON1K_D08</t>
  </si>
  <si>
    <t>WFS_1/1000地形圖_臺南市佳里都市計畫(113年)</t>
  </si>
  <si>
    <t>https://wfs.nlsc.gov.tw/WFS/TOPON1K/TOPON1K_112_D12</t>
  </si>
  <si>
    <t>2dms_t1kwfs_v1_TOPON1K_D12</t>
  </si>
  <si>
    <t>WFS_1/1000地形圖_臺南市柳營都市計畫(112年)</t>
  </si>
  <si>
    <t>https://wfs.nlsc.gov.tw/WFS/TOPON1K/TOPON1K_113_E02</t>
  </si>
  <si>
    <t>2dms_t1kwfs_v1_TOPON1K_E02</t>
  </si>
  <si>
    <t>WFS_1/1000地形圖_高雄市鳳山都市計畫(113年)</t>
  </si>
  <si>
    <t>https://wfs.nlsc.gov.tw/WFS/TOPON1K/TOPON1K_112_E03</t>
  </si>
  <si>
    <t>2dms_t1kwfs_v1_TOPON1K_E03</t>
  </si>
  <si>
    <t>WFS_1/1000地形圖_高雄市岡山都市計畫(112年)</t>
  </si>
  <si>
    <t>https://wfs.nlsc.gov.tw/WFS/TOPON1K/TOPON1K_113_E32</t>
  </si>
  <si>
    <t>2dms_t1kwfs_v1_TOPON1K_E32</t>
  </si>
  <si>
    <t>WFS_1/1000地形圖_高雄市(三民.苓雅.前金.新興.前鎮.鹽埕)都市計畫(113年)</t>
  </si>
  <si>
    <t>https://wfs.nlsc.gov.tw/WFS/TOPON1K/TOPON1K_113_G01</t>
  </si>
  <si>
    <t>2dms_t1kwfs_v1_TOPON1K_G01</t>
  </si>
  <si>
    <t>WFS_1/1000地形圖_宜蘭縣宜蘭市都市計畫(113年)</t>
  </si>
  <si>
    <t>https://wfs.nlsc.gov.tw/WFS/TOPON1K/TOPON1K_112_G04</t>
  </si>
  <si>
    <t>2dms_t1kwfs_v1_TOPON1K_G04</t>
  </si>
  <si>
    <t>WFS_1/1000地形圖_宜蘭縣蘇澳(新馬地區)都市計畫(112年)</t>
  </si>
  <si>
    <t>https://wfs.nlsc.gov.tw/WFS/TOPON1K/TOPON1K_112_G06</t>
  </si>
  <si>
    <t>2dms_t1kwfs_v1_TOPON1K_G06</t>
  </si>
  <si>
    <t>WFS_1/1000地形圖_宜蘭縣礁溪都市計畫(112年)</t>
  </si>
  <si>
    <t>https://wfs.nlsc.gov.tw/WFS/TOPON1K/TOPON1K_112_G09</t>
  </si>
  <si>
    <t>2dms_t1kwfs_v1_TOPON1K_G09</t>
  </si>
  <si>
    <t>WFS_1/1000地形圖_宜蘭縣員山都市計畫(112年)</t>
  </si>
  <si>
    <t>https://wfs.nlsc.gov.tw/WFS/TOPON1K/TOPON1K_112_G11</t>
  </si>
  <si>
    <t>2dms_t1kwfs_v1_TOPON1K_G11</t>
  </si>
  <si>
    <t>WFS_1/1000地形圖_宜蘭縣冬山(順安地區)都市計畫(112年)</t>
  </si>
  <si>
    <t>https://wfs.nlsc.gov.tw/WFS/TOPON1K/TOPON1K_112_G15</t>
  </si>
  <si>
    <t>2dms_t1kwfs_v1_TOPON1K_G15</t>
  </si>
  <si>
    <t>WFS_1/1000地形圖_宜蘭縣南澳南強都市計畫(112年)</t>
  </si>
  <si>
    <t>https://wfs.nlsc.gov.tw/WFS/TOPON1K/TOPON1K_112_G16</t>
  </si>
  <si>
    <t>2dms_t1kwfs_v1_TOPON1K_G16</t>
  </si>
  <si>
    <t>WFS_1/1000地形圖_宜蘭縣大湖風景特定區計畫(112年)</t>
  </si>
  <si>
    <t>https://wfs.nlsc.gov.tw/WFS/TOPON1K/TOPON1K_112_G17</t>
  </si>
  <si>
    <t>2dms_t1kwfs_v1_TOPON1K_G17</t>
  </si>
  <si>
    <t>WFS_1/1000地形圖_宜蘭縣梅花湖風景特定區計畫(112年)</t>
  </si>
  <si>
    <t>https://wfs.nlsc.gov.tw/WFS/TOPON1K/TOPON1K_112_G18</t>
  </si>
  <si>
    <t>2dms_t1kwfs_v1_TOPON1K_G18</t>
  </si>
  <si>
    <t>WFS_1/1000地形圖_宜蘭縣龍潭湖風景特定區計畫(112年)</t>
  </si>
  <si>
    <t>https://wfs.nlsc.gov.tw/WFS/TOPON1K/TOPON1K_112_G19</t>
  </si>
  <si>
    <t>2dms_t1kwfs_v1_TOPON1K_G19</t>
  </si>
  <si>
    <t>WFS_1/1000地形圖_宜蘭縣五峰旗風景特定區計畫(112年)</t>
  </si>
  <si>
    <t>https://wfs.nlsc.gov.tw/WFS/TOPON1K/TOPON1K_112_G20</t>
  </si>
  <si>
    <t>2dms_t1kwfs_v1_TOPON1K_G20</t>
  </si>
  <si>
    <t>WFS_1/1000地形圖_宜蘭縣政中心地區都市計畫(112年)</t>
  </si>
  <si>
    <t>https://wfs.nlsc.gov.tw/WFS/TOPON1K/TOPON1K_113_H18</t>
  </si>
  <si>
    <t>2dms_t1kwfs_v1_TOPON1K_H18</t>
  </si>
  <si>
    <t>WFS_1/1000地形圖_桃園市龍潭都市計畫(113年)</t>
  </si>
  <si>
    <t>https://wfs.nlsc.gov.tw/WFS/TOPON1K/TOPON1K_113_H19</t>
  </si>
  <si>
    <t>2dms_t1kwfs_v1_TOPON1K_H19</t>
  </si>
  <si>
    <t>WFS_1/1000地形圖_桃園市新屋都市計畫(113年)</t>
  </si>
  <si>
    <t>https://wfs.nlsc.gov.tw/WFS/TOPON1K/TOPON1K_113_H20</t>
  </si>
  <si>
    <t>2dms_t1kwfs_v1_TOPON1K_H20</t>
  </si>
  <si>
    <t>WFS_1/1000地形圖_桃園市觀音都市計畫(113年)</t>
  </si>
  <si>
    <t>https://wfs.nlsc.gov.tw/WFS/TOPON1K/TOPON1K_113_H21</t>
  </si>
  <si>
    <t>2dms_t1kwfs_v1_TOPON1K_H21</t>
  </si>
  <si>
    <t>WFS_1/1000地形圖_桃園市觀音(新坡地區)都市計畫(113年)</t>
  </si>
  <si>
    <t>https://wfs.nlsc.gov.tw/WFS/TOPON1K/TOPON1K_112_H31</t>
  </si>
  <si>
    <t>2dms_t1kwfs_v1_TOPON1K_H31</t>
  </si>
  <si>
    <t>WFS_1/1000地形圖_桃園市平鎮(山子頂地區)都市計畫(112年)</t>
  </si>
  <si>
    <t>https://wfs.nlsc.gov.tw/WFS/TOPON1K/TOPON1K_112_J01</t>
  </si>
  <si>
    <t>2dms_t1kwfs_v1_TOPON1K_J01</t>
  </si>
  <si>
    <t>WFS_1/1000地形圖_新竹科學工業園區特定區計畫(竹東部分)(112年)</t>
  </si>
  <si>
    <t>https://wfs.nlsc.gov.tw/WFS/TOPON1K/TOPON1K_113_J06</t>
  </si>
  <si>
    <t>2dms_t1kwfs_v1_TOPON1K_J06</t>
  </si>
  <si>
    <t>WFS_1/1000地形圖_新竹縣竹北(含斗崙地區)都市計畫(113年)</t>
  </si>
  <si>
    <t>https://wfs.nlsc.gov.tw/WFS/TOPON1K/TOPON1K_112_J13</t>
  </si>
  <si>
    <t>2dms_t1kwfs_v1_TOPON1K_J13</t>
  </si>
  <si>
    <t>WFS_1/1000地形圖_新竹縣寶山都市計畫(112年)</t>
  </si>
  <si>
    <t>https://wfs.nlsc.gov.tw/WFS/TOPON1K/TOPON1K_113_J16</t>
  </si>
  <si>
    <t>2dms_t1kwfs_v1_TOPON1K_J16</t>
  </si>
  <si>
    <t>WFS_1/1000地形圖_新竹縣高速鐵路新竹車站特定區計畫(113年)</t>
  </si>
  <si>
    <t>https://wfs.nlsc.gov.tw/WFS/TOPON1K/TOPON1K_112_J17</t>
  </si>
  <si>
    <t>2dms_t1kwfs_v1_TOPON1K_J17</t>
  </si>
  <si>
    <t>WFS_1/1000地形圖_新竹科學工業園區特定區計畫(寶山部分)(112年)</t>
  </si>
  <si>
    <t>https://wfs.nlsc.gov.tw/WFS/TOPON1K/TOPON1K_112_K01</t>
  </si>
  <si>
    <t>2dms_t1kwfs_v1_TOPON1K_K01</t>
  </si>
  <si>
    <t>WFS_1/1000地形圖_苗栗縣苗栗都市計畫(112年)</t>
  </si>
  <si>
    <t>https://wfs.nlsc.gov.tw/WFS/TOPON1K/TOPON1K_112_K02</t>
  </si>
  <si>
    <t>2dms_t1kwfs_v1_TOPON1K_K02</t>
  </si>
  <si>
    <t>WFS_1/1000地形圖_苗栗縣高速公路苗栗交流道附近特定區計畫(112年)</t>
  </si>
  <si>
    <t>https://wfs.nlsc.gov.tw/WFS/TOPON1K/TOPON1K_112_K14</t>
  </si>
  <si>
    <t>2dms_t1kwfs_v1_TOPON1K_K14</t>
  </si>
  <si>
    <t>WFS_1/1000地形圖_苗栗縣頭屋都市計畫(112年)</t>
  </si>
  <si>
    <t>https://wfs.nlsc.gov.tw/WFS/TOPON1K/TOPON1K_112_M01</t>
  </si>
  <si>
    <t>2dms_t1kwfs_v1_TOPON1K_M01</t>
  </si>
  <si>
    <t>WFS_1/1000地形圖_南投縣南投(含南崗地區)都市計畫(112年)</t>
  </si>
  <si>
    <t>https://wfs.nlsc.gov.tw/WFS/TOPON1K/TOPON1K_112_M02</t>
  </si>
  <si>
    <t>2dms_t1kwfs_v1_TOPON1K_M02</t>
  </si>
  <si>
    <t>WFS_1/1000地形圖_南投縣中興新村(含南內轆地區)都市計畫(112年)</t>
  </si>
  <si>
    <t>https://wfs.nlsc.gov.tw/WFS/TOPON1K/TOPON1K_112_M04</t>
  </si>
  <si>
    <t>2dms_t1kwfs_v1_TOPON1K_M04</t>
  </si>
  <si>
    <t>WFS_1/1000地形圖_南投縣草屯都市計畫(112年)</t>
  </si>
  <si>
    <t>https://wfs.nlsc.gov.tw/WFS/TOPON1K/TOPON1K_112_N01</t>
  </si>
  <si>
    <t>2dms_t1kwfs_v1_TOPON1K_N01</t>
  </si>
  <si>
    <t>WFS_1/1000地形圖_彰化縣彰化都市計畫(112年)</t>
  </si>
  <si>
    <t>https://wfs.nlsc.gov.tw/WFS/TOPON1K/TOPON1K_112_N02</t>
  </si>
  <si>
    <t>2dms_t1kwfs_v1_TOPON1K_N02</t>
  </si>
  <si>
    <t>WFS_1/1000地形圖_彰化縣高速公路彰化交流道附近特定區計畫(112年)</t>
  </si>
  <si>
    <t>https://wfs.nlsc.gov.tw/WFS/TOPON1K/TOPON1K_113_P01</t>
  </si>
  <si>
    <t>2dms_t1kwfs_v1_TOPON1K_P01</t>
  </si>
  <si>
    <t>WFS_1/1000地形圖_雲林縣斗六(含大潭地區)都市計畫(113年)</t>
  </si>
  <si>
    <t>https://wfs.nlsc.gov.tw/WFS/TOPON1K/TOPON1K_113_P10</t>
  </si>
  <si>
    <t>2dms_t1kwfs_v1_TOPON1K_P10</t>
  </si>
  <si>
    <t>WFS_1/1000地形圖_雲林縣莿桐都市計畫(113年)</t>
  </si>
  <si>
    <t>https://wfs.nlsc.gov.tw/WFS/TOPON1K/TOPON1K_112_P12</t>
  </si>
  <si>
    <t>2dms_t1kwfs_v1_TOPON1K_P12</t>
  </si>
  <si>
    <t>WFS_1/1000地形圖_雲林縣二崙都市計畫(112年)</t>
  </si>
  <si>
    <t>https://wfs.nlsc.gov.tw/WFS/TOPON1K/TOPON1K_112_P13</t>
  </si>
  <si>
    <t>2dms_t1kwfs_v1_TOPON1K_P13</t>
  </si>
  <si>
    <t>WFS_1/1000地形圖_雲林縣崙背都市計畫(112年)</t>
  </si>
  <si>
    <t>https://wfs.nlsc.gov.tw/WFS/TOPON1K/TOPON1K_112_P22</t>
  </si>
  <si>
    <t>2dms_t1kwfs_v1_TOPON1K_P22</t>
  </si>
  <si>
    <t>WFS_1/1000地形圖_雲林縣箔子寮漁港特定區計畫(112年)</t>
  </si>
  <si>
    <t>https://wfs.nlsc.gov.tw/WFS/TOPON1K/TOPON1K_112_P24</t>
  </si>
  <si>
    <t>2dms_t1kwfs_v1_TOPON1K_P24</t>
  </si>
  <si>
    <t>WFS_1/1000地形圖_雲林縣斗六嘉東地區特定區計畫(112年)</t>
  </si>
  <si>
    <t>https://wfs.nlsc.gov.tw/WFS/TOPON1K/TOPON1K_113_P25</t>
  </si>
  <si>
    <t>2dms_t1kwfs_v1_TOPON1K_P25</t>
  </si>
  <si>
    <t>WFS_1/1000地形圖_雲林縣高速鐵路雲林車站特定區計畫(113年)</t>
  </si>
  <si>
    <t>https://wfs.nlsc.gov.tw/WFS/TOPON1K/TOPON1K_112_Q02</t>
  </si>
  <si>
    <t>2dms_t1kwfs_v1_TOPON1K_Q02</t>
  </si>
  <si>
    <t>WFS_1/1000地形圖_嘉義縣治都市計畫(112年)</t>
  </si>
  <si>
    <t>https://wfs.nlsc.gov.tw/WFS/TOPON1K/TOPON1K_113_Q06</t>
  </si>
  <si>
    <t>2dms_t1kwfs_v1_TOPON1K_Q06</t>
  </si>
  <si>
    <t>WFS_1/1000地形圖_嘉義縣民雄都市計畫(113年)</t>
  </si>
  <si>
    <t>https://wfs.nlsc.gov.tw/WFS/TOPON1K/TOPON1K_113_Q07</t>
  </si>
  <si>
    <t>2dms_t1kwfs_v1_TOPON1K_Q07</t>
  </si>
  <si>
    <t>WFS_1/1000地形圖_嘉義縣民雄(頭橋地區)都市計畫(113年)</t>
  </si>
  <si>
    <t>https://wfs.nlsc.gov.tw/WFS/TOPON1K/TOPON1K_112_Q19</t>
  </si>
  <si>
    <t>2dms_t1kwfs_v1_TOPON1K_Q19</t>
  </si>
  <si>
    <t>WFS_1/1000地形圖_嘉義縣吳鳳廟特定區計畫(112年)</t>
  </si>
  <si>
    <t>https://wfs.nlsc.gov.tw/WFS/TOPON1K/TOPON1K_112_Q21</t>
  </si>
  <si>
    <t>2dms_t1kwfs_v1_TOPON1K_Q21</t>
  </si>
  <si>
    <t>WFS_1/1000地形圖_嘉義縣仁義潭風景特定區計畫(嘉義縣部分)(112年)</t>
  </si>
  <si>
    <t>https://wfs.nlsc.gov.tw/WFS/TOPON1K/TOPON1K_112_Q22</t>
  </si>
  <si>
    <t>2dms_t1kwfs_v1_TOPON1K_Q22</t>
  </si>
  <si>
    <t>WFS_1/1000地形圖_嘉義縣太保都市計畫(112年)</t>
  </si>
  <si>
    <t>https://wfs.nlsc.gov.tw/WFS/TOPON1K/TOPON1K_112_Q26</t>
  </si>
  <si>
    <t>2dms_t1kwfs_v1_TOPON1K_Q26</t>
  </si>
  <si>
    <t>WFS_1/1000地形圖_嘉義縣國立中正大學特定區計畫(112年)</t>
  </si>
  <si>
    <t>https://wfs.nlsc.gov.tw/WFS/TOPON1K/TOPON1K_112_Q27</t>
  </si>
  <si>
    <t>2dms_t1kwfs_v1_TOPON1K_Q27</t>
  </si>
  <si>
    <t>WFS_1/1000地形圖_嘉義縣高速鐵路嘉義車站特定區計畫(112年)</t>
  </si>
  <si>
    <t>https://wfs.nlsc.gov.tw/WFS/TOPON1K/TOPON1K_112_Q28</t>
  </si>
  <si>
    <t>2dms_t1kwfs_v1_TOPON1K_Q28</t>
  </si>
  <si>
    <t>WFS_1/1000地形圖_嘉義縣大林都市計畫(112年)</t>
  </si>
  <si>
    <t>https://wfs.nlsc.gov.tw/WFS/TOPON1K/TOPON1K_113_Q29</t>
  </si>
  <si>
    <t>2dms_t1kwfs_v1_TOPON1K_Q29</t>
  </si>
  <si>
    <t>WFS_1/1000地形圖_嘉義縣竹崎鄉都市計畫(113年)</t>
  </si>
  <si>
    <t>https://wfs.nlsc.gov.tw/WFS/TOPON1K/TOPON1K_113_Q30</t>
  </si>
  <si>
    <t>2dms_t1kwfs_v1_TOPON1K_Q30</t>
  </si>
  <si>
    <t>WFS_1/1000地形圖_嘉義縣番路鄉都市計畫(113年)</t>
  </si>
  <si>
    <t>https://wfs.nlsc.gov.tw/WFS/TOPON1K/TOPON1K_113_Q31</t>
  </si>
  <si>
    <t>2dms_t1kwfs_v1_TOPON1K_Q31</t>
  </si>
  <si>
    <t>WFS_1/1000地形圖_嘉義縣阿里山鄉都市計畫(113年)</t>
  </si>
  <si>
    <t>https://wfs.nlsc.gov.tw/WFS/TOPON1K/TOPON1K_112_T01</t>
  </si>
  <si>
    <t>2dms_t1kwfs_v1_TOPON1K_T01</t>
  </si>
  <si>
    <t>WFS_1/1000地形圖_屏東縣屏東都市計畫(112年)</t>
  </si>
  <si>
    <t>https://wfs.nlsc.gov.tw/WFS/TOPON1K/TOPON1K_113_T03</t>
  </si>
  <si>
    <t>2dms_t1kwfs_v1_TOPON1K_T03</t>
  </si>
  <si>
    <t>WFS_1/1000地形圖_屏東縣東港都市計畫(113年)</t>
  </si>
  <si>
    <t>https://wfs.nlsc.gov.tw/WFS/TOPON1K/TOPON1K_113_T08</t>
  </si>
  <si>
    <t>2dms_t1kwfs_v1_TOPON1K_T08</t>
  </si>
  <si>
    <t>WFS_1/1000地形圖_屏東縣里港都市計畫(113年)</t>
  </si>
  <si>
    <t>https://wfs.nlsc.gov.tw/WFS/TOPON1K/TOPON1K_113_T20</t>
  </si>
  <si>
    <t>2dms_t1kwfs_v1_TOPON1K_T20</t>
  </si>
  <si>
    <t>WFS_1/1000地形圖_屏東縣新園(烏龍地區)都市計畫(113年)</t>
  </si>
  <si>
    <t>https://wfs.nlsc.gov.tw/WFS/TOPON1K/TOPON1K_113_T30</t>
  </si>
  <si>
    <t>2dms_t1kwfs_v1_TOPON1K_T30</t>
  </si>
  <si>
    <t>WFS_1/1000地形圖_屏東縣鹽埔漁港特定區計畫(113年)</t>
  </si>
  <si>
    <t>https://wfs.nlsc.gov.tw/WFS/TOPON1K/TOPON1K_113_U20</t>
  </si>
  <si>
    <t>2dms_t1kwfs_v1_TOPON1K_U20</t>
  </si>
  <si>
    <t>WFS_1/1000地形圖_花蓮縣光復鄉都市計畫(113年)</t>
  </si>
  <si>
    <t>https://wfs.nlsc.gov.tw/WFS/TOPON1K/TOPON1K_112_V01</t>
  </si>
  <si>
    <t>2dms_t1kwfs_v1_TOPON1K_V01</t>
  </si>
  <si>
    <t>WFS_1/1000地形圖_臺東縣臺東市都市計畫(112年)</t>
  </si>
  <si>
    <t>https://wfs.nlsc.gov.tw/WFS/TOPON1K/TOPON1K_113_V02</t>
  </si>
  <si>
    <t>2dms_t1kwfs_v1_TOPON1K_V02</t>
  </si>
  <si>
    <t>WFS_1/1000地形圖_臺東縣臺東鐵路新站附近地區都市計畫(113年)</t>
  </si>
  <si>
    <t>https://wfs.nlsc.gov.tw/WFS/TOPON1K/TOPON1K_112_X01</t>
  </si>
  <si>
    <t>2dms_t1kwfs_v1_TOPON1K_X01</t>
  </si>
  <si>
    <t>WFS_1/1000地形圖_澎湖縣馬公都市計畫(112年)</t>
  </si>
  <si>
    <t>https://wfs.nlsc.gov.tw/WFS/TOPON1K/TOPON1K_112_X02</t>
  </si>
  <si>
    <t>2dms_t1kwfs_v1_TOPON1K_X02</t>
  </si>
  <si>
    <t>WFS_1/1000地形圖_澎湖縣白沙通梁地區都市計畫(112年)</t>
  </si>
  <si>
    <t>https://wfs.nlsc.gov.tw/WFS/TOPON1K/TOPON1K_112_X03</t>
  </si>
  <si>
    <t>2dms_t1kwfs_v1_TOPON1K_X03</t>
  </si>
  <si>
    <t>WFS_1/1000地形圖_澎湖縣鎖港地區都市計畫(112年)</t>
  </si>
  <si>
    <t>https://wfs.nlsc.gov.tw/WFS/TOPON1K/TOPON1K_112_X04</t>
  </si>
  <si>
    <t>2dms_t1kwfs_v1_TOPON1K_X04</t>
  </si>
  <si>
    <t>WFS_1/1000地形圖_澎湖縣西嶼西台古蹟特定區計畫(112年)</t>
  </si>
  <si>
    <t>https://wfs.nlsc.gov.tw/WFS/TOPON1K/TOPON1K_112_X05</t>
  </si>
  <si>
    <t>2dms_t1kwfs_v1_TOPON1K_X05</t>
  </si>
  <si>
    <t>WFS_1/1000地形圖_澎湖縣林投風景特定區計畫(112年)</t>
  </si>
  <si>
    <t>https://wfs.nlsc.gov.tw/WFS/TOPON1K/TOPON1K_112_X06</t>
  </si>
  <si>
    <t>2dms_t1kwfs_v1_TOPON1K_X06</t>
  </si>
  <si>
    <t>WFS_1/1000地形圖_澎湖縣二崁傳統聚落特定區計畫(112年)</t>
  </si>
  <si>
    <t>https://wfs.nlsc.gov.tw/WFS/TOPON1K/TOPON1K_113_X07</t>
  </si>
  <si>
    <t>2dms_t1kwfs_v1_TOPON1K_X07</t>
  </si>
  <si>
    <t>WFS_1/1000地形圖_澎湖縣馬公市都市計畫(113年)</t>
  </si>
  <si>
    <t>https://wfs.nlsc.gov.tw/WFS/TOPON1K/TOPON1K_113_X08</t>
  </si>
  <si>
    <t>2dms_t1kwfs_v1_TOPON1K_X08</t>
  </si>
  <si>
    <t>WFS_1/1000地形圖_澎湖縣湖西鄉都市計畫(113年)</t>
  </si>
  <si>
    <t>https://wfs.nlsc.gov.tw/WFS/LANDSECT</t>
  </si>
  <si>
    <t>2dms_secwfs_v1_LanSect</t>
  </si>
  <si>
    <t>地段外圍圖</t>
  </si>
  <si>
    <t>WFS_地段外圍圖</t>
  </si>
  <si>
    <t>提供國土測繪雲地段外圍圖WFS服務</t>
  </si>
  <si>
    <t>secwfs</t>
  </si>
  <si>
    <t>WFS,地籍</t>
  </si>
  <si>
    <t>https://api.nlsc.gov.tw/dmaps/CadasMapQuery/{縣市代碼}/{地段代碼}[/地號(8碼)/檔案格式(gml, kml, shp)/坐標類別代碼(4326、3826，預設將使用經緯度)]</t>
  </si>
  <si>
    <t>{county}/{sect}/{landno}/{type}/{epsg}</t>
  </si>
  <si>
    <t>2dms_cadapi_v1_CadasMapQuery</t>
  </si>
  <si>
    <t>MAP_001指定地號查詢「地籍圖」</t>
  </si>
  <si>
    <t>API_地籍圖_指定地號查詢_全國</t>
  </si>
  <si>
    <t>https://api.nlsc.gov.tw/dmaps/CadasMapQuery/{county}/{sect}/{landno}/{type}/{epsg}</t>
  </si>
  <si>
    <t>提供國土測繪圖資雲地籍圖API服務</t>
  </si>
  <si>
    <t>cadapi</t>
  </si>
  <si>
    <t>API,地籍,行政區,幾何</t>
  </si>
  <si>
    <t>https://api.nlsc.gov.tw/dmaps/CadasMapPointQuery/{X坐標}/{Y坐標}[/坐標類別代碼(4326、3826，預設將使用經緯度)/檔案格式(GML,KML,SHP)]</t>
  </si>
  <si>
    <t>{pointX}/{pointY}/{epsg}/{returnType}"</t>
  </si>
  <si>
    <t>2dms_cadapi_v1_CadasMapPointQuery</t>
  </si>
  <si>
    <t>MAP_002指定座標查詢「地籍圖」</t>
  </si>
  <si>
    <t>API_地籍圖_指定坐標查詢_全國</t>
  </si>
  <si>
    <t>https://api.nlsc.gov.tw/dmaps/CadasMapPointQuery/{pointX}/{pointY}/{epsg}/{returnType}</t>
  </si>
  <si>
    <t>API,地籍,幾何</t>
  </si>
  <si>
    <t>https://wfs.nlsc.gov.tw/WFS/CADAS_MERGE</t>
  </si>
  <si>
    <t>2dms_cadwfs_v1_CadasMerge</t>
  </si>
  <si>
    <t>地籍圖</t>
  </si>
  <si>
    <t>WFS_地籍圖</t>
  </si>
  <si>
    <t>提供國土測繪圖資雲地籍圖WFS服務</t>
  </si>
  <si>
    <t>cadwfs</t>
  </si>
  <si>
    <t>https://landmaps.nlsc.gov.tw/S_Maps/wms</t>
  </si>
  <si>
    <t>2dms_cadwms_v1_DMAPS</t>
  </si>
  <si>
    <t>地籍圖磚</t>
  </si>
  <si>
    <t>WMS_地籍圖</t>
  </si>
  <si>
    <t>cadwms</t>
  </si>
  <si>
    <t>WMS,地籍</t>
  </si>
  <si>
    <t>https://landmaps.nlsc.gov.tw/S_Maps/wmts/DMAPS/{Style}/{TileMatrixSet}/{TileMatrix}/{TileRow}/{TileCol}</t>
  </si>
  <si>
    <t>2dms_cadwmt_v1_DMAPS</t>
  </si>
  <si>
    <t>WMTS_地籍圖</t>
  </si>
  <si>
    <t>提供國土測繪圖資雲地籍圖WMTS服務</t>
  </si>
  <si>
    <t>cadwmt</t>
  </si>
  <si>
    <t>https://api.nlsc.gov.tw/dmaps/CadasMapPosition/G/{地段代碼}/{地號(8碼)}[/坐標類別代碼(4326、3826，預設將使用經緯度)]</t>
  </si>
  <si>
    <t>{sect}/{landno}/{epsg}</t>
  </si>
  <si>
    <t>2dms_cadatt_v1_CadasMapPosition_G</t>
  </si>
  <si>
    <t>CAD_001指定地號查詢位置_宜蘭縣</t>
  </si>
  <si>
    <t>API_地籍屬性_指定地號查詢位置_宜蘭縣</t>
  </si>
  <si>
    <t>https://api.nlsc.gov.tw/dmaps/CadasMapPosition/G/{sect}/{landno}/{epsg}</t>
  </si>
  <si>
    <t>提供國土測繪圖資雲地籍屬性API服務</t>
  </si>
  <si>
    <t>cadatt</t>
  </si>
  <si>
    <t>https://api.nlsc.gov.tw/dmaps/CadasMapPosition/U/{地段代碼}/{地號(8碼)}[/坐標類別代碼(4326、3826，預設將使用經緯度)]</t>
  </si>
  <si>
    <t>2dms_cadatt_v1_CadasMapPosition_U</t>
  </si>
  <si>
    <t>CAD_001指定地號查詢位置_花蓮縣</t>
  </si>
  <si>
    <t>API_地籍屬性_指定地號查詢位置_花蓮縣</t>
  </si>
  <si>
    <t>https://api.nlsc.gov.tw/dmaps/CadasMapPosition/U/{sect}/{landno}/{epsg}</t>
  </si>
  <si>
    <t>https://api.nlsc.gov.tw/dmaps/CadasMapPosition/W/{地段代碼}/{地號(8碼)}[/坐標類別代碼(4326、3826，預設將使用經緯度)]</t>
  </si>
  <si>
    <t>2dms_cadatt_v1_CadasMapPosition_W</t>
  </si>
  <si>
    <t>CAD_001指定地號查詢位置_金門縣</t>
  </si>
  <si>
    <t>API_地籍屬性_指定地號查詢位置_金門縣</t>
  </si>
  <si>
    <t>https://api.nlsc.gov.tw/dmaps/CadasMapPosition/W/{sect}/{landno}/{epsg}</t>
  </si>
  <si>
    <t>https://api.nlsc.gov.tw/dmaps/CadasMapPosition/M/{地段代碼}/{地號(8碼)}[/坐標類別代碼(4326、3826，預設將使用經緯度)]</t>
  </si>
  <si>
    <t>2dms_cadatt_v1_CadasMapPosition_M</t>
  </si>
  <si>
    <t>CAD_001指定地號查詢位置_南投縣</t>
  </si>
  <si>
    <t>API_地籍屬性_指定地號查詢位置_南投縣</t>
  </si>
  <si>
    <t>https://api.nlsc.gov.tw/dmaps/CadasMapPosition/M/{sect}/{landno}/{epsg}</t>
  </si>
  <si>
    <t>https://api.nlsc.gov.tw/dmaps/CadasMapPosition/T/{地段代碼}/{地號(8碼)}[/坐標類別代碼(4326、3826，預設將使用經緯度)]</t>
  </si>
  <si>
    <t>2dms_cadatt_v1_CadasMapPosition_T</t>
  </si>
  <si>
    <t>CAD_001指定地號查詢位置_屏東縣</t>
  </si>
  <si>
    <t>API_地籍屬性_指定地號查詢位置_屏東縣</t>
  </si>
  <si>
    <t>https://api.nlsc.gov.tw/dmaps/CadasMapPosition/T/{sect}/{landno}/{epsg}</t>
  </si>
  <si>
    <t>https://api.nlsc.gov.tw/dmaps/CadasMapPosition/K/{地段代碼}/{地號(8碼)}[/坐標類別代碼(4326、3826，預設將使用經緯度)]</t>
  </si>
  <si>
    <t>2dms_cadatt_v1_CadasMapPosition_K</t>
  </si>
  <si>
    <t>CAD_001指定地號查詢位置_苗栗縣</t>
  </si>
  <si>
    <t>API_地籍屬性_指定地號查詢位置_苗栗縣</t>
  </si>
  <si>
    <t>https://api.nlsc.gov.tw/dmaps/CadasMapPosition/K/{sect}/{landno}/{epsg}</t>
  </si>
  <si>
    <t>https://api.nlsc.gov.tw/dmaps/CadasMapPosition/H/{地段代碼}/{地號(8碼)}[/坐標類別代碼(4326、3826，預設將使用經緯度)]</t>
  </si>
  <si>
    <t>2dms_cadatt_v1_CadasMapPosition_H</t>
  </si>
  <si>
    <t>CAD_001指定地號查詢位置_桃園市</t>
  </si>
  <si>
    <t>API_地籍屬性_指定地號查詢位置_桃園市</t>
  </si>
  <si>
    <t>https://api.nlsc.gov.tw/dmaps/CadasMapPosition/H/{sect}/{landno}/{epsg}</t>
  </si>
  <si>
    <t>https://api.nlsc.gov.tw/dmaps/CadasMapPosition/E/{地段代碼}/{地號(8碼)}[/坐標類別代碼(4326、3826，預設將使用經緯度)]</t>
  </si>
  <si>
    <t>2dms_cadatt_v1_CadasMapPosition_E</t>
  </si>
  <si>
    <t>CAD_001指定地號查詢位置_高雄市</t>
  </si>
  <si>
    <t>API_地籍屬性_指定地號查詢位置_高雄市</t>
  </si>
  <si>
    <t>https://api.nlsc.gov.tw/dmaps/CadasMapPosition/E/{sect}/{landno}/{epsg}</t>
  </si>
  <si>
    <t>https://api.nlsc.gov.tw/dmaps/CadasMapPosition/C/{地段代碼}/{地號(8碼)}[/坐標類別代碼(4326、3826，預設將使用經緯度)]</t>
  </si>
  <si>
    <t>2dms_cadatt_v1_CadasMapPosition_C</t>
  </si>
  <si>
    <t>CAD_001指定地號查詢位置_基隆市</t>
  </si>
  <si>
    <t>API_地籍屬性_指定地號查詢位置_基隆市</t>
  </si>
  <si>
    <t>https://api.nlsc.gov.tw/dmaps/CadasMapPosition/C/{sect}/{landno}/{epsg}</t>
  </si>
  <si>
    <t>https://api.nlsc.gov.tw/dmaps/CadasMapPosition/Z/{地段代碼}/{地號(8碼)}[/坐標類別代碼(4326、3826，預設將使用經緯度)]</t>
  </si>
  <si>
    <t>2dms_cadatt_v1_CadasMapPosition_Z</t>
  </si>
  <si>
    <t>CAD_001指定地號查詢位置_連江縣</t>
  </si>
  <si>
    <t>API_地籍屬性_指定地號查詢位置_連江縣</t>
  </si>
  <si>
    <t>https://api.nlsc.gov.tw/dmaps/CadasMapPosition/Z/{sect}/{landno}/{epsg}</t>
  </si>
  <si>
    <t>https://api.nlsc.gov.tw/dmaps/CadasMapPosition/P/{地段代碼}/{地號(8碼)}[/坐標類別代碼(4326、3826，預設將使用經緯度)]</t>
  </si>
  <si>
    <t>2dms_cadatt_v1_CadasMapPosition_P</t>
  </si>
  <si>
    <t>CAD_001指定地號查詢位置_雲林縣</t>
  </si>
  <si>
    <t>API_地籍屬性_指定地號查詢位置_雲林縣</t>
  </si>
  <si>
    <t>https://api.nlsc.gov.tw/dmaps/CadasMapPosition/P/{sect}/{landno}/{epsg}</t>
  </si>
  <si>
    <t>https://api.nlsc.gov.tw/dmaps/CadasMapPosition/F/{地段代碼}/{地號(8碼)}[/坐標類別代碼(4326、3826，預設將使用經緯度)]</t>
  </si>
  <si>
    <t>2dms_cadatt_v1_CadasMapPosition_F</t>
  </si>
  <si>
    <t>CAD_001指定地號查詢位置_新北市</t>
  </si>
  <si>
    <t>API_地籍屬性_指定地號查詢位置_新北市</t>
  </si>
  <si>
    <t>https://api.nlsc.gov.tw/dmaps/CadasMapPosition/F/{sect}/{landno}/{epsg}</t>
  </si>
  <si>
    <t>https://api.nlsc.gov.tw/dmaps/CadasMapPosition/O/{地段代碼}/{地號(8碼)}[/坐標類別代碼(4326、3826，預設將使用經緯度)]</t>
  </si>
  <si>
    <t>2dms_cadatt_v1_CadasMapPosition_O</t>
  </si>
  <si>
    <t>CAD_001指定地號查詢位置_新竹市</t>
  </si>
  <si>
    <t>API_地籍屬性_指定地號查詢位置_新竹市</t>
  </si>
  <si>
    <t>https://api.nlsc.gov.tw/dmaps/CadasMapPosition/O/{sect}/{landno}/{epsg}</t>
  </si>
  <si>
    <t>https://api.nlsc.gov.tw/dmaps/CadasMapPosition/J/{地段代碼}/{地號(8碼)}[/坐標類別代碼(4326、3826，預設將使用經緯度)]</t>
  </si>
  <si>
    <t>2dms_cadatt_v1_CadasMapPosition_J</t>
  </si>
  <si>
    <t>CAD_001指定地號查詢位置_新竹縣</t>
  </si>
  <si>
    <t>API_地籍屬性_指定地號查詢位置_新竹縣</t>
  </si>
  <si>
    <t>https://api.nlsc.gov.tw/dmaps/CadasMapPosition/J/{sect}/{landno}/{epsg}</t>
  </si>
  <si>
    <t>https://api.nlsc.gov.tw/dmaps/CadasMapPosition/I/{地段代碼}/{地號(8碼)}[/坐標類別代碼(4326、3826，預設將使用經緯度)]</t>
  </si>
  <si>
    <t>2dms_cadatt_v1_CadasMapPosition_I</t>
  </si>
  <si>
    <t>CAD_001指定地號查詢位置_嘉義市</t>
  </si>
  <si>
    <t>API_地籍屬性_指定地號查詢位置_嘉義市</t>
  </si>
  <si>
    <t>https://api.nlsc.gov.tw/dmaps/CadasMapPosition/I/{sect}/{landno}/{epsg}</t>
  </si>
  <si>
    <t>https://api.nlsc.gov.tw/dmaps/CadasMapPosition/Q/{地段代碼}/{地號(8碼)}[/坐標類別代碼(4326、3826，預設將使用經緯度)]</t>
  </si>
  <si>
    <t>2dms_cadatt_v1_CadasMapPosition_Q</t>
  </si>
  <si>
    <t>CAD_001指定地號查詢位置_嘉義縣</t>
  </si>
  <si>
    <t>API_地籍屬性_指定地號查詢位置_嘉義縣</t>
  </si>
  <si>
    <t>https://api.nlsc.gov.tw/dmaps/CadasMapPosition/Q/{sect}/{landno}/{epsg}</t>
  </si>
  <si>
    <t>https://api.nlsc.gov.tw/dmaps/CadasMapPosition/N/{地段代碼}/{地號(8碼)}[/坐標類別代碼(4326、3826，預設將使用經緯度)]</t>
  </si>
  <si>
    <t>2dms_cadatt_v1_CadasMapPosition_N</t>
  </si>
  <si>
    <t>CAD_001指定地號查詢位置_彰化縣</t>
  </si>
  <si>
    <t>API_地籍屬性_指定地號查詢位置_彰化縣</t>
  </si>
  <si>
    <t>https://api.nlsc.gov.tw/dmaps/CadasMapPosition/N/{sect}/{landno}/{epsg}</t>
  </si>
  <si>
    <t>https://api.nlsc.gov.tw/dmaps/CadasMapPosition/B/{地段代碼}/{地號(8碼)}[/坐標類別代碼(4326、3826，預設將使用經緯度)]</t>
  </si>
  <si>
    <t>2dms_cadatt_v1_CadasMapPosition_B</t>
  </si>
  <si>
    <t>CAD_001指定地號查詢位置_臺中市</t>
  </si>
  <si>
    <t>API_地籍屬性_指定地號查詢位置_臺中市</t>
  </si>
  <si>
    <t>https://api.nlsc.gov.tw/dmaps/CadasMapPosition/B/{sect}/{landno}/{epsg}</t>
  </si>
  <si>
    <t>https://api.nlsc.gov.tw/dmaps/CadasMapPosition/A/{地段代碼}/{地號(8碼)}[/坐標類別代碼(4326、3826，預設將使用經緯度)]</t>
  </si>
  <si>
    <t>2dms_cadatt_v1_CadasMapPosition_A</t>
  </si>
  <si>
    <t>CAD_001指定地號查詢位置_臺北市</t>
  </si>
  <si>
    <t>API_地籍屬性_指定地號查詢位置_臺北市</t>
  </si>
  <si>
    <t>https://api.nlsc.gov.tw/dmaps/CadasMapPosition/A/{sect}/{landno}/{epsg}</t>
  </si>
  <si>
    <t>https://api.nlsc.gov.tw/dmaps/CadasMapPosition/V/{地段代碼}/{地號(8碼)}[/坐標類別代碼(4326、3826，預設將使用經緯度)]</t>
  </si>
  <si>
    <t>2dms_cadatt_v1_CadasMapPosition_V</t>
  </si>
  <si>
    <t>CAD_001指定地號查詢位置_臺東縣</t>
  </si>
  <si>
    <t>API_地籍屬性_指定地號查詢位置_臺東縣</t>
  </si>
  <si>
    <t>https://api.nlsc.gov.tw/dmaps/CadasMapPosition/V/{sect}/{landno}/{epsg}</t>
  </si>
  <si>
    <t>https://api.nlsc.gov.tw/dmaps/CadasMapPosition/D/{地段代碼}/{地號(8碼)}[/坐標類別代碼(4326、3826，預設將使用經緯度)]</t>
  </si>
  <si>
    <t>2dms_cadatt_v1_CadasMapPosition_D</t>
  </si>
  <si>
    <t>CAD_001指定地號查詢位置_臺南市</t>
  </si>
  <si>
    <t>API_地籍屬性_指定地號查詢位置_臺南市</t>
  </si>
  <si>
    <t>https://api.nlsc.gov.tw/dmaps/CadasMapPosition/D/{sect}/{landno}/{epsg}</t>
  </si>
  <si>
    <t>https://api.nlsc.gov.tw/dmaps/CadasMapPosition/X/{地段代碼}/{地號(8碼)}[/坐標類別代碼(4326、3826，預設將使用經緯度)]</t>
  </si>
  <si>
    <t>2dms_cadatt_v1_CadasMapPosition_X</t>
  </si>
  <si>
    <t>CAD_001指定地號查詢位置_澎湖縣</t>
  </si>
  <si>
    <t>API_地籍屬性_指定地號查詢位置_澎湖縣</t>
  </si>
  <si>
    <t>https://api.nlsc.gov.tw/dmaps/CadasMapPosition/X/{sect}/{landno}/{epsg}</t>
  </si>
  <si>
    <t>https://api.nlsc.gov.tw/dmaps/CadasMapImage/G/{地段代碼}/{地號(8碼)}</t>
  </si>
  <si>
    <t>{sect}/{landno}</t>
  </si>
  <si>
    <t>2dms_cadatt_v1_CadasMapImage_G</t>
  </si>
  <si>
    <t>CAD_002指定地號查詢著色圖_宜蘭縣</t>
  </si>
  <si>
    <t>API_地籍屬性_指定地號查詢著色圖_宜蘭縣</t>
  </si>
  <si>
    <t>https://api.nlsc.gov.tw/dmaps/CadasMapImage/G/{sect}/{landno}</t>
  </si>
  <si>
    <t>API,地籍</t>
  </si>
  <si>
    <t>https://api.nlsc.gov.tw/dmaps/CadasMapImage/U/{地段代碼}/{地號(8碼)}</t>
  </si>
  <si>
    <t>2dms_cadatt_v1_CadasMapImage_U</t>
  </si>
  <si>
    <t>CAD_002指定地號查詢著色圖_花蓮縣</t>
  </si>
  <si>
    <t>API_地籍屬性_指定地號查詢著色圖_花蓮縣</t>
  </si>
  <si>
    <t>https://api.nlsc.gov.tw/dmaps/CadasMapImage/U/{sect}/{landno}</t>
  </si>
  <si>
    <t>https://api.nlsc.gov.tw/dmaps/CadasMapImage/W/{地段代碼}/{地號(8碼)}</t>
  </si>
  <si>
    <t>2dms_cadatt_v1_CadasMapImage_W</t>
  </si>
  <si>
    <t>CAD_002指定地號查詢著色圖_金門縣</t>
  </si>
  <si>
    <t>API_地籍屬性_指定地號查詢著色圖_金門縣</t>
  </si>
  <si>
    <t>https://api.nlsc.gov.tw/dmaps/CadasMapImage/W/{sect}/{landno}</t>
  </si>
  <si>
    <t>https://api.nlsc.gov.tw/dmaps/CadasMapImage/M/{地段代碼}/{地號(8碼)}</t>
  </si>
  <si>
    <t>2dms_cadatt_v1_CadasMapImage_M</t>
  </si>
  <si>
    <t>CAD_002指定地號查詢著色圖_南投縣</t>
  </si>
  <si>
    <t>API_地籍屬性_指定地號查詢著色圖_南投縣</t>
  </si>
  <si>
    <t>https://api.nlsc.gov.tw/dmaps/CadasMapImage/M/{sect}/{landno}</t>
  </si>
  <si>
    <t>https://api.nlsc.gov.tw/dmaps/CadasMapImage/T/{地段代碼}/{地號(8碼)}</t>
  </si>
  <si>
    <t>2dms_cadatt_v1_CadasMapImage_T</t>
  </si>
  <si>
    <t>CAD_002指定地號查詢著色圖_屏東縣</t>
  </si>
  <si>
    <t>API_地籍屬性_指定地號查詢著色圖_屏東縣</t>
  </si>
  <si>
    <t>https://api.nlsc.gov.tw/dmaps/CadasMapImage/T/{sect}/{landno}</t>
  </si>
  <si>
    <t>https://api.nlsc.gov.tw/dmaps/CadasMapImage/K/{地段代碼}/{地號(8碼)}</t>
  </si>
  <si>
    <t>2dms_cadatt_v1_CadasMapImage_K</t>
  </si>
  <si>
    <t>CAD_002指定地號查詢著色圖_苗栗縣</t>
  </si>
  <si>
    <t>API_地籍屬性_指定地號查詢著色圖_苗栗縣</t>
  </si>
  <si>
    <t>https://api.nlsc.gov.tw/dmaps/CadasMapImage/K/{sect}/{landno}</t>
  </si>
  <si>
    <t>https://api.nlsc.gov.tw/dmaps/CadasMapImage/H/{地段代碼}/{地號(8碼)}</t>
  </si>
  <si>
    <t>2dms_cadatt_v1_CadasMapImage_H</t>
  </si>
  <si>
    <t>CAD_002指定地號查詢著色圖_桃園市</t>
  </si>
  <si>
    <t>API_地籍屬性_指定地號查詢著色圖_桃園市</t>
  </si>
  <si>
    <t>https://api.nlsc.gov.tw/dmaps/CadasMapImage/H/{sect}/{landno}</t>
  </si>
  <si>
    <t>https://api.nlsc.gov.tw/dmaps/CadasMapImage/E/{地段代碼}/{地號(8碼)}</t>
  </si>
  <si>
    <t>2dms_cadatt_v1_CadasMapImage_E</t>
  </si>
  <si>
    <t>CAD_002指定地號查詢著色圖_高雄市</t>
  </si>
  <si>
    <t>API_地籍屬性_指定地號查詢著色圖_高雄市</t>
  </si>
  <si>
    <t>https://api.nlsc.gov.tw/dmaps/CadasMapImage/E/{sect}/{landno}</t>
  </si>
  <si>
    <t>https://api.nlsc.gov.tw/dmaps/CadasMapImage/C/{地段代碼}/{地號(8碼)}</t>
  </si>
  <si>
    <t>2dms_cadatt_v1_CadasMapImage_C</t>
  </si>
  <si>
    <t>CAD_002指定地號查詢著色圖_基隆市</t>
  </si>
  <si>
    <t>API_地籍屬性_指定地號查詢著色圖_基隆市</t>
  </si>
  <si>
    <t>https://api.nlsc.gov.tw/dmaps/CadasMapImage/C/{sect}/{landno}</t>
  </si>
  <si>
    <t>https://api.nlsc.gov.tw/dmaps/CadasMapImage/Z/{地段代碼}/{地號(8碼)}</t>
  </si>
  <si>
    <t>2dms_cadatt_v1_CadasMapImage_Z</t>
  </si>
  <si>
    <t>CAD_002指定地號查詢著色圖_連江縣</t>
  </si>
  <si>
    <t>API_地籍屬性_指定地號查詢著色圖_連江縣</t>
  </si>
  <si>
    <t>https://api.nlsc.gov.tw/dmaps/CadasMapImage/Z/{sect}/{landno}</t>
  </si>
  <si>
    <t>https://api.nlsc.gov.tw/dmaps/CadasMapImage/P/{地段代碼}/{地號(8碼)}</t>
  </si>
  <si>
    <t>2dms_cadatt_v1_CadasMapImage_P</t>
  </si>
  <si>
    <t>CAD_002指定地號查詢著色圖_雲林縣</t>
  </si>
  <si>
    <t>API_地籍屬性_指定地號查詢著色圖_雲林縣</t>
  </si>
  <si>
    <t>https://api.nlsc.gov.tw/dmaps/CadasMapImage/P/{sect}/{landno}</t>
  </si>
  <si>
    <t>https://api.nlsc.gov.tw/dmaps/CadasMapImage/F/{地段代碼}/{地號(8碼)}</t>
  </si>
  <si>
    <t>2dms_cadatt_v1_CadasMapImage_F</t>
  </si>
  <si>
    <t>CAD_002指定地號查詢著色圖_新北市</t>
  </si>
  <si>
    <t>API_地籍屬性_指定地號查詢著色圖_新北市</t>
  </si>
  <si>
    <t>https://api.nlsc.gov.tw/dmaps/CadasMapImage/F/{sect}/{landno}</t>
  </si>
  <si>
    <t>https://api.nlsc.gov.tw/dmaps/CadasMapImage/O/{地段代碼}/{地號(8碼)}</t>
  </si>
  <si>
    <t>2dms_cadatt_v1_CadasMapImage_O</t>
  </si>
  <si>
    <t>CAD_002指定地號查詢著色圖_新竹市</t>
  </si>
  <si>
    <t>API_地籍屬性_指定地號查詢著色圖_新竹市</t>
  </si>
  <si>
    <t>https://api.nlsc.gov.tw/dmaps/CadasMapImage/O/{sect}/{landno}</t>
  </si>
  <si>
    <t>https://api.nlsc.gov.tw/dmaps/CadasMapImage/J/{地段代碼}/{地號(8碼)}</t>
  </si>
  <si>
    <t>2dms_cadatt_v1_CadasMapImage_J</t>
  </si>
  <si>
    <t>CAD_002指定地號查詢著色圖_新竹縣</t>
  </si>
  <si>
    <t>API_地籍屬性_指定地號查詢著色圖_新竹縣</t>
  </si>
  <si>
    <t>https://api.nlsc.gov.tw/dmaps/CadasMapImage/J/{sect}/{landno}</t>
  </si>
  <si>
    <t>https://api.nlsc.gov.tw/dmaps/CadasMapImage/I/{地段代碼}/{地號(8碼)}</t>
  </si>
  <si>
    <t>2dms_cadatt_v1_CadasMapImage_I</t>
  </si>
  <si>
    <t>CAD_002指定地號查詢著色圖_嘉義市</t>
  </si>
  <si>
    <t>API_地籍屬性_指定地號查詢著色圖_嘉義市</t>
  </si>
  <si>
    <t>https://api.nlsc.gov.tw/dmaps/CadasMapImage/I/{sect}/{landno}</t>
  </si>
  <si>
    <t>https://api.nlsc.gov.tw/dmaps/CadasMapImage/Q/{地段代碼}/{地號(8碼)}</t>
  </si>
  <si>
    <t>2dms_cadatt_v1_CadasMapImage_Q</t>
  </si>
  <si>
    <t>CAD_002指定地號查詢著色圖_嘉義縣</t>
  </si>
  <si>
    <t>API_地籍屬性_指定地號查詢著色圖_嘉義縣</t>
  </si>
  <si>
    <t>https://api.nlsc.gov.tw/dmaps/CadasMapImage/Q/{sect}/{landno}</t>
  </si>
  <si>
    <t>https://api.nlsc.gov.tw/dmaps/CadasMapImage/N/{地段代碼}/{地號(8碼)}</t>
  </si>
  <si>
    <t>2dms_cadatt_v1_CadasMapImage_N</t>
  </si>
  <si>
    <t>CAD_002指定地號查詢著色圖_彰化縣</t>
  </si>
  <si>
    <t>API_地籍屬性_指定地號查詢著色圖_彰化縣</t>
  </si>
  <si>
    <t>https://api.nlsc.gov.tw/dmaps/CadasMapImage/N/{sect}/{landno}</t>
  </si>
  <si>
    <t>https://api.nlsc.gov.tw/dmaps/CadasMapImage/B/{地段代碼}/{地號(8碼)}</t>
  </si>
  <si>
    <t>2dms_cadatt_v1_CadasMapImage_B</t>
  </si>
  <si>
    <t>CAD_002指定地號查詢著色圖_臺中市</t>
  </si>
  <si>
    <t>API_地籍屬性_指定地號查詢著色圖_臺中市</t>
  </si>
  <si>
    <t>https://api.nlsc.gov.tw/dmaps/CadasMapImage/B/{sect}/{landno}</t>
  </si>
  <si>
    <t>https://api.nlsc.gov.tw/dmaps/CadasMapImage/A/{地段代碼}/{地號(8碼)}</t>
  </si>
  <si>
    <t>2dms_cadatt_v1_CadasMapImage_A</t>
  </si>
  <si>
    <t>CAD_002指定地號查詢著色圖_臺北市</t>
  </si>
  <si>
    <t>API_地籍屬性_指定地號查詢著色圖_臺北市</t>
  </si>
  <si>
    <t>https://api.nlsc.gov.tw/dmaps/CadasMapImage/A/{sect}/{landno}</t>
  </si>
  <si>
    <t>https://api.nlsc.gov.tw/dmaps/CadasMapImage/V/{地段代碼}/{地號(8碼)}</t>
  </si>
  <si>
    <t>2dms_cadatt_v1_CadasMapImage_V</t>
  </si>
  <si>
    <t>CAD_002指定地號查詢著色圖_臺東縣</t>
  </si>
  <si>
    <t>API_地籍屬性_指定地號查詢著色圖_臺東縣</t>
  </si>
  <si>
    <t>https://api.nlsc.gov.tw/dmaps/CadasMapImage/V/{sect}/{landno}</t>
  </si>
  <si>
    <t>https://api.nlsc.gov.tw/dmaps/CadasMapImage/D/{地段代碼}/{地號(8碼)}</t>
  </si>
  <si>
    <t>2dms_cadatt_v1_CadasMapImage_D</t>
  </si>
  <si>
    <t>CAD_002指定地號查詢著色圖_臺南市</t>
  </si>
  <si>
    <t>API_地籍屬性_指定地號查詢著色圖_臺南市</t>
  </si>
  <si>
    <t>https://api.nlsc.gov.tw/dmaps/CadasMapImage/D/{sect}/{landno}</t>
  </si>
  <si>
    <t>https://api.nlsc.gov.tw/dmaps/CadasMapImage/X/{地段代碼}/{地號(8碼)}</t>
  </si>
  <si>
    <t>2dms_cadatt_v1_CadasMapImage_X</t>
  </si>
  <si>
    <t>CAD_002指定地號查詢著色圖_澎湖縣</t>
  </si>
  <si>
    <t>API_地籍屬性_指定地號查詢著色圖_澎湖縣</t>
  </si>
  <si>
    <t>https://api.nlsc.gov.tw/dmaps/CadasMapImage/X/{sect}/{landno}</t>
  </si>
  <si>
    <t>https://api.nlsc.gov.tw/S_Maps_WebService/qryLand/GetLandNO/{經度}/{緯度}</t>
  </si>
  <si>
    <t>{經度}/{緯度}</t>
  </si>
  <si>
    <t>2dms_cadatt_v1_GetLandNO</t>
  </si>
  <si>
    <t>CAD_003單點坐標查詢地段號</t>
  </si>
  <si>
    <t>API_地籍屬性_單點坐標查詢地段號_全國</t>
  </si>
  <si>
    <t>https://api.nlsc.gov.tw/S_Maps_WebService/qryLand/GetLandPositionLongitudeLatitude/G/{地段代碼}/{地號(8碼)}</t>
  </si>
  <si>
    <t>2dms_cadatt_v1_GetLandPositionLongitudeLatitude_G</t>
  </si>
  <si>
    <t>CAD_004地段號查詢坐標_宜蘭縣</t>
  </si>
  <si>
    <t>API_地籍屬性_地段號查詢坐標_宜蘭縣</t>
  </si>
  <si>
    <t>https://api.nlsc.gov.tw/S_Maps_WebService/qryLand/GetLandPositionLongitudeLatitude/G/{sect}/{landno}</t>
  </si>
  <si>
    <t>https://api.nlsc.gov.tw/S_Maps_WebService/qryLand/GetLandPositionLongitudeLatitude/U/{地段代碼}/{地號(8碼)}</t>
  </si>
  <si>
    <t>2dms_cadatt_v1_GetLandPositionLongitudeLatitude_U</t>
  </si>
  <si>
    <t>CAD_004地段號查詢坐標_花蓮縣</t>
  </si>
  <si>
    <t>API_地籍屬性_地段號查詢坐標_花蓮縣</t>
  </si>
  <si>
    <t>https://api.nlsc.gov.tw/S_Maps_WebService/qryLand/GetLandPositionLongitudeLatitude/U/{sect}/{landno}</t>
  </si>
  <si>
    <t>https://api.nlsc.gov.tw/S_Maps_WebService/qryLand/GetLandPositionLongitudeLatitude/W/{地段代碼}/{地號(8碼)}</t>
  </si>
  <si>
    <t>2dms_cadatt_v1_GetLandPositionLongitudeLatitude_W</t>
  </si>
  <si>
    <t>CAD_004地段號查詢坐標_金門縣</t>
  </si>
  <si>
    <t>API_地籍屬性_地段號查詢坐標_金門縣</t>
  </si>
  <si>
    <t>https://api.nlsc.gov.tw/S_Maps_WebService/qryLand/GetLandPositionLongitudeLatitude/W/{sect}/{landno}</t>
  </si>
  <si>
    <t>https://api.nlsc.gov.tw/S_Maps_WebService/qryLand/GetLandPositionLongitudeLatitude/M/{地段代碼}/{地號(8碼)}</t>
  </si>
  <si>
    <t>2dms_cadatt_v1_GetLandPositionLongitudeLatitude_M</t>
  </si>
  <si>
    <t>CAD_004地段號查詢坐標_南投縣</t>
  </si>
  <si>
    <t>API_地籍屬性_地段號查詢坐標_南投縣</t>
  </si>
  <si>
    <t>https://api.nlsc.gov.tw/S_Maps_WebService/qryLand/GetLandPositionLongitudeLatitude/M/{sect}/{landno}</t>
  </si>
  <si>
    <t>https://api.nlsc.gov.tw/S_Maps_WebService/qryLand/GetLandPositionLongitudeLatitude/T/{地段代碼}/{地號(8碼)}</t>
  </si>
  <si>
    <t>2dms_cadatt_v1_GetLandPositionLongitudeLatitude_T</t>
  </si>
  <si>
    <t>CAD_004地段號查詢坐標_屏東縣</t>
  </si>
  <si>
    <t>API_地籍屬性_地段號查詢坐標_屏東縣</t>
  </si>
  <si>
    <t>https://api.nlsc.gov.tw/S_Maps_WebService/qryLand/GetLandPositionLongitudeLatitude/T/{sect}/{landno}</t>
  </si>
  <si>
    <t>https://api.nlsc.gov.tw/S_Maps_WebService/qryLand/GetLandPositionLongitudeLatitude/K/{地段代碼}/{地號(8碼)}</t>
  </si>
  <si>
    <t>2dms_cadatt_v1_GetLandPositionLongitudeLatitude_K</t>
  </si>
  <si>
    <t>CAD_004地段號查詢坐標_苗栗縣</t>
  </si>
  <si>
    <t>API_地籍屬性_地段號查詢坐標_苗栗縣</t>
  </si>
  <si>
    <t>https://api.nlsc.gov.tw/S_Maps_WebService/qryLand/GetLandPositionLongitudeLatitude/K/{sect}/{landno}</t>
  </si>
  <si>
    <t>https://api.nlsc.gov.tw/S_Maps_WebService/qryLand/GetLandPositionLongitudeLatitude/H/{地段代碼}/{地號(8碼)}</t>
  </si>
  <si>
    <t>2dms_cadatt_v1_GetLandPositionLongitudeLatitude_H</t>
  </si>
  <si>
    <t>CAD_004地段號查詢坐標_桃園市</t>
  </si>
  <si>
    <t>API_地籍屬性_地段號查詢坐標_桃園市</t>
  </si>
  <si>
    <t>https://api.nlsc.gov.tw/S_Maps_WebService/qryLand/GetLandPositionLongitudeLatitude/H/{sect}/{landno}</t>
  </si>
  <si>
    <t>https://api.nlsc.gov.tw/S_Maps_WebService/qryLand/GetLandPositionLongitudeLatitude/E/{地段代碼}/{地號(8碼)}</t>
  </si>
  <si>
    <t>2dms_cadatt_v1_GetLandPositionLongitudeLatitude_E</t>
  </si>
  <si>
    <t>CAD_004地段號查詢坐標_高雄市</t>
  </si>
  <si>
    <t>API_地籍屬性_地段號查詢坐標_高雄市</t>
  </si>
  <si>
    <t>https://api.nlsc.gov.tw/S_Maps_WebService/qryLand/GetLandPositionLongitudeLatitude/E/{sect}/{landno}</t>
  </si>
  <si>
    <t>https://api.nlsc.gov.tw/S_Maps_WebService/qryLand/GetLandPositionLongitudeLatitude/C/{地段代碼}/{地號(8碼)}</t>
  </si>
  <si>
    <t>2dms_cadatt_v1_GetLandPositionLongitudeLatitude_C</t>
  </si>
  <si>
    <t>CAD_004地段號查詢坐標_基隆市</t>
  </si>
  <si>
    <t>API_地籍屬性_地段號查詢坐標_基隆市</t>
  </si>
  <si>
    <t>https://api.nlsc.gov.tw/S_Maps_WebService/qryLand/GetLandPositionLongitudeLatitude/C/{sect}/{landno}</t>
  </si>
  <si>
    <t>https://api.nlsc.gov.tw/S_Maps_WebService/qryLand/GetLandPositionLongitudeLatitude/Z/{地段代碼}/{地號(8碼)}</t>
  </si>
  <si>
    <t>2dms_cadatt_v1_GetLandPositionLongitudeLatitude_Z</t>
  </si>
  <si>
    <t>CAD_004地段號查詢坐標_連江縣</t>
  </si>
  <si>
    <t>API_地籍屬性_地段號查詢坐標_連江縣</t>
  </si>
  <si>
    <t>https://api.nlsc.gov.tw/S_Maps_WebService/qryLand/GetLandPositionLongitudeLatitude/Z/{sect}/{landno}</t>
  </si>
  <si>
    <t>https://api.nlsc.gov.tw/S_Maps_WebService/qryLand/GetLandPositionLongitudeLatitude/P/{地段代碼}/{地號(8碼)}</t>
  </si>
  <si>
    <t>2dms_cadatt_v1_GetLandPositionLongitudeLatitude_P</t>
  </si>
  <si>
    <t>CAD_004地段號查詢坐標_雲林縣</t>
  </si>
  <si>
    <t>API_地籍屬性_地段號查詢坐標_雲林縣</t>
  </si>
  <si>
    <t>https://api.nlsc.gov.tw/S_Maps_WebService/qryLand/GetLandPositionLongitudeLatitude/P/{sect}/{landno}</t>
  </si>
  <si>
    <t>https://api.nlsc.gov.tw/S_Maps_WebService/qryLand/GetLandPositionLongitudeLatitude/F/{地段代碼}/{地號(8碼)}</t>
  </si>
  <si>
    <t>2dms_cadatt_v1_GetLandPositionLongitudeLatitude_F</t>
  </si>
  <si>
    <t>CAD_004地段號查詢坐標_新北市</t>
  </si>
  <si>
    <t>API_地籍屬性_地段號查詢坐標_新北市</t>
  </si>
  <si>
    <t>https://api.nlsc.gov.tw/S_Maps_WebService/qryLand/GetLandPositionLongitudeLatitude/F/{sect}/{landno}</t>
  </si>
  <si>
    <t>https://api.nlsc.gov.tw/S_Maps_WebService/qryLand/GetLandPositionLongitudeLatitude/O/{地段代碼}/{地號(8碼)}</t>
  </si>
  <si>
    <t>2dms_cadatt_v1_GetLandPositionLongitudeLatitude_O</t>
  </si>
  <si>
    <t>CAD_004地段號查詢坐標_新竹市</t>
  </si>
  <si>
    <t>API_地籍屬性_地段號查詢坐標_新竹市</t>
  </si>
  <si>
    <t>https://api.nlsc.gov.tw/S_Maps_WebService/qryLand/GetLandPositionLongitudeLatitude/O/{sect}/{landno}</t>
  </si>
  <si>
    <t>https://api.nlsc.gov.tw/S_Maps_WebService/qryLand/GetLandPositionLongitudeLatitude/J/{地段代碼}/{地號(8碼)}</t>
  </si>
  <si>
    <t>2dms_cadatt_v1_GetLandPositionLongitudeLatitude_J</t>
  </si>
  <si>
    <t>CAD_004地段號查詢坐標_新竹縣</t>
  </si>
  <si>
    <t>API_地籍屬性_地段號查詢坐標_新竹縣</t>
  </si>
  <si>
    <t>https://api.nlsc.gov.tw/S_Maps_WebService/qryLand/GetLandPositionLongitudeLatitude/J/{sect}/{landno}</t>
  </si>
  <si>
    <t>https://api.nlsc.gov.tw/S_Maps_WebService/qryLand/GetLandPositionLongitudeLatitude/I/{地段代碼}/{地號(8碼)}</t>
  </si>
  <si>
    <t>2dms_cadatt_v1_GetLandPositionLongitudeLatitude_I</t>
  </si>
  <si>
    <t>CAD_004地段號查詢坐標_嘉義市</t>
  </si>
  <si>
    <t>API_地籍屬性_地段號查詢坐標_嘉義市</t>
  </si>
  <si>
    <t>https://api.nlsc.gov.tw/S_Maps_WebService/qryLand/GetLandPositionLongitudeLatitude/I/{sect}/{landno}</t>
  </si>
  <si>
    <t>https://api.nlsc.gov.tw/S_Maps_WebService/qryLand/GetLandPositionLongitudeLatitude/Q/{地段代碼}/{地號(8碼)}</t>
  </si>
  <si>
    <t>2dms_cadatt_v1_GetLandPositionLongitudeLatitude_Q</t>
  </si>
  <si>
    <t>CAD_004地段號查詢坐標_嘉義縣</t>
  </si>
  <si>
    <t>API_地籍屬性_地段號查詢坐標_嘉義縣</t>
  </si>
  <si>
    <t>https://api.nlsc.gov.tw/S_Maps_WebService/qryLand/GetLandPositionLongitudeLatitude/Q/{sect}/{landno}</t>
  </si>
  <si>
    <t>https://api.nlsc.gov.tw/S_Maps_WebService/qryLand/GetLandPositionLongitudeLatitude/N/{地段代碼}/{地號(8碼)}</t>
  </si>
  <si>
    <t>2dms_cadatt_v1_GetLandPositionLongitudeLatitude_N</t>
  </si>
  <si>
    <t>CAD_004地段號查詢坐標_彰化縣</t>
  </si>
  <si>
    <t>API_地籍屬性_地段號查詢坐標_彰化縣</t>
  </si>
  <si>
    <t>https://api.nlsc.gov.tw/S_Maps_WebService/qryLand/GetLandPositionLongitudeLatitude/N/{sect}/{landno}</t>
  </si>
  <si>
    <t>https://api.nlsc.gov.tw/S_Maps_WebService/qryLand/GetLandPositionLongitudeLatitude/B/{地段代碼}/{地號(8碼)}</t>
  </si>
  <si>
    <t>2dms_cadatt_v1_GetLandPositionLongitudeLatitude_B</t>
  </si>
  <si>
    <t>CAD_004地段號查詢坐標_臺中市</t>
  </si>
  <si>
    <t>API_地籍屬性_地段號查詢坐標_臺中市</t>
  </si>
  <si>
    <t>https://api.nlsc.gov.tw/S_Maps_WebService/qryLand/GetLandPositionLongitudeLatitude/B/{sect}/{landno}</t>
  </si>
  <si>
    <t>https://api.nlsc.gov.tw/S_Maps_WebService/qryLand/GetLandPositionLongitudeLatitude/A/{地段代碼}/{地號(8碼)}</t>
  </si>
  <si>
    <t>2dms_cadatt_v1_GetLandPositionLongitudeLatitude_A</t>
  </si>
  <si>
    <t>CAD_004地段號查詢坐標_臺北市</t>
  </si>
  <si>
    <t>API_地籍屬性_地段號查詢坐標_臺北市</t>
  </si>
  <si>
    <t>https://api.nlsc.gov.tw/S_Maps_WebService/qryLand/GetLandPositionLongitudeLatitude/A/{sect}/{landno}</t>
  </si>
  <si>
    <t>https://api.nlsc.gov.tw/S_Maps_WebService/qryLand/GetLandPositionLongitudeLatitude/V/{地段代碼}/{地號(8碼)}</t>
  </si>
  <si>
    <t>2dms_cadatt_v1_GetLandPositionLongitudeLatitude_V</t>
  </si>
  <si>
    <t>CAD_004地段號查詢坐標_臺東縣</t>
  </si>
  <si>
    <t>API_地籍屬性_地段號查詢坐標_臺東縣</t>
  </si>
  <si>
    <t>https://api.nlsc.gov.tw/S_Maps_WebService/qryLand/GetLandPositionLongitudeLatitude/V/{sect}/{landno}</t>
  </si>
  <si>
    <t>https://api.nlsc.gov.tw/S_Maps_WebService/qryLand/GetLandPositionLongitudeLatitude/D/{地段代碼}/{地號(8碼)}</t>
  </si>
  <si>
    <t>2dms_cadatt_v1_GetLandPositionLongitudeLatitude_D</t>
  </si>
  <si>
    <t>CAD_004地段號查詢坐標_臺南市</t>
  </si>
  <si>
    <t>API_地籍屬性_地段號查詢坐標_臺南市</t>
  </si>
  <si>
    <t>https://api.nlsc.gov.tw/S_Maps_WebService/qryLand/GetLandPositionLongitudeLatitude/D/{sect}/{landno}</t>
  </si>
  <si>
    <t>https://api.nlsc.gov.tw/S_Maps_WebService/qryLand/GetLandPositionLongitudeLatitude/X/{地段代碼}/{地號(8碼)}</t>
  </si>
  <si>
    <t>2dms_cadatt_v1_GetLandPositionLongitudeLatitude_X</t>
  </si>
  <si>
    <t>CAD_004地段號查詢坐標_澎湖縣</t>
  </si>
  <si>
    <t>API_地籍屬性_地段號查詢坐標_澎湖縣</t>
  </si>
  <si>
    <t>https://api.nlsc.gov.tw/S_Maps_WebService/qryLand/GetLandPositionLongitudeLatitude/X/{sect}/{landno}</t>
  </si>
  <si>
    <t>https://api.nlsc.gov.twS_Maps/qryTileMapIndex?type=2&amp;flag=1</t>
  </si>
  <si>
    <t>2dms_cadatt_v1_QryTileMapIndex1</t>
  </si>
  <si>
    <t>CAD_005坐標查地段號</t>
  </si>
  <si>
    <t>API_地籍屬性_坐標查地段號_全國</t>
  </si>
  <si>
    <t>https://api.nlsc.gov.tw/S_Maps/qryTileMapIndex?type=2&amp;flag=2</t>
  </si>
  <si>
    <t>2dms_cadatt_v1_QryTileMapIndex2</t>
  </si>
  <si>
    <t>CAD_006地段號宗地定位</t>
  </si>
  <si>
    <t>API_地籍屬性_地段號宗地定位_全國</t>
  </si>
  <si>
    <t>https://api.nlsc.gov.tw/dmaps/CadasAttrQuery/G/{地段代碼}/{地號(8碼或簡式)}</t>
  </si>
  <si>
    <t>2dms_cadatt_v1_CadasAttrQuery_G</t>
  </si>
  <si>
    <t>CAD_007指定地號查詢土地標示資料_宜蘭縣</t>
  </si>
  <si>
    <t>API_地籍屬性_指定地號查詢標示資料_宜蘭縣</t>
  </si>
  <si>
    <t>https://api.nlsc.gov.tw/dmaps/CadasAttrQuery/G/{sect}/{landno}</t>
  </si>
  <si>
    <t>https://api.nlsc.gov.tw/dmaps/CadasAttrQuery/U/{地段代碼}/{地號(8碼或簡式)}</t>
  </si>
  <si>
    <t>2dms_cadatt_v1_CadasAttrQuery_U</t>
  </si>
  <si>
    <t>CAD_007指定地號查詢土地標示資料_花蓮縣</t>
  </si>
  <si>
    <t>API_地籍屬性_指定地號查詢標示資料_花蓮縣</t>
  </si>
  <si>
    <t>https://api.nlsc.gov.tw/dmaps/CadasAttrQuery/U/{sect}/{landno}</t>
  </si>
  <si>
    <t>https://api.nlsc.gov.tw/dmaps/CadasAttrQuery/W/{地段代碼}/{地號(8碼或簡式)}</t>
  </si>
  <si>
    <t>2dms_cadatt_v1_CadasAttrQuery_W</t>
  </si>
  <si>
    <t>CAD_007指定地號查詢土地標示資料_金門縣</t>
  </si>
  <si>
    <t>API_地籍屬性_指定地號查詢標示資料_金門縣</t>
  </si>
  <si>
    <t>https://api.nlsc.gov.tw/dmaps/CadasAttrQuery/W/{sect}/{landno}</t>
  </si>
  <si>
    <t>https://api.nlsc.gov.tw/dmaps/CadasAttrQuery/M/{地段代碼}/{地號(8碼或簡式)}</t>
  </si>
  <si>
    <t>2dms_cadatt_v1_CadasAttrQuery_M</t>
  </si>
  <si>
    <t>CAD_007指定地號查詢土地標示資料_南投縣</t>
  </si>
  <si>
    <t>API_地籍屬性_指定地號查詢標示資料_南投縣</t>
  </si>
  <si>
    <t>https://api.nlsc.gov.tw/dmaps/CadasAttrQuery/M/{sect}/{landno}</t>
  </si>
  <si>
    <t>https://api.nlsc.gov.tw/dmaps/CadasAttrQuery/T/{地段代碼}/{地號(8碼或簡式)}</t>
  </si>
  <si>
    <t>2dms_cadatt_v1_CadasAttrQuery_T</t>
  </si>
  <si>
    <t>CAD_007指定地號查詢土地標示資料_屏東縣</t>
  </si>
  <si>
    <t>API_地籍屬性_指定地號查詢標示資料_屏東縣</t>
  </si>
  <si>
    <t>https://api.nlsc.gov.tw/dmaps/CadasAttrQuery/T/{sect}/{landno}</t>
  </si>
  <si>
    <t>https://api.nlsc.gov.tw/dmaps/CadasAttrQuery/K/{地段代碼}/{地號(8碼或簡式)}</t>
  </si>
  <si>
    <t>2dms_cadatt_v1_CadasAttrQuery_K</t>
  </si>
  <si>
    <t>CAD_007指定地號查詢土地標示資料_苗栗縣</t>
  </si>
  <si>
    <t>API_地籍屬性_指定地號查詢標示資料_苗栗縣</t>
  </si>
  <si>
    <t>https://api.nlsc.gov.tw/dmaps/CadasAttrQuery/K/{sect}/{landno}</t>
  </si>
  <si>
    <t>https://api.nlsc.gov.tw/dmaps/CadasAttrQuery/H/{地段代碼}/{地號(8碼或簡式)}</t>
  </si>
  <si>
    <t>2dms_cadatt_v1_CadasAttrQuery_H</t>
  </si>
  <si>
    <t>CAD_007指定地號查詢土地標示資料_桃園市</t>
  </si>
  <si>
    <t>API_地籍屬性_指定地號查詢標示資料_桃園市</t>
  </si>
  <si>
    <t>https://api.nlsc.gov.tw/dmaps/CadasAttrQuery/H/{sect}/{landno}</t>
  </si>
  <si>
    <t>https://api.nlsc.gov.tw/dmaps/CadasAttrQuery/E/{地段代碼}/{地號(8碼或簡式)}</t>
  </si>
  <si>
    <t>2dms_cadatt_v1_CadasAttrQuery_E</t>
  </si>
  <si>
    <t>CAD_007指定地號查詢土地標示資料_高雄市</t>
  </si>
  <si>
    <t>API_地籍屬性_指定地號查詢標示資料_高雄市</t>
  </si>
  <si>
    <t>https://api.nlsc.gov.tw/dmaps/CadasAttrQuery/E/{sect}/{landno}</t>
  </si>
  <si>
    <t>https://api.nlsc.gov.tw/dmaps/CadasAttrQuery/C/{地段代碼}/{地號(8碼或簡式)}</t>
  </si>
  <si>
    <t>2dms_cadatt_v1_CadasAttrQuery_C</t>
  </si>
  <si>
    <t>CAD_007指定地號查詢土地標示資料_基隆市</t>
  </si>
  <si>
    <t>API_地籍屬性_指定地號查詢標示資料_基隆市</t>
  </si>
  <si>
    <t>https://api.nlsc.gov.tw/dmaps/CadasAttrQuery/C/{sect}/{landno}</t>
  </si>
  <si>
    <t>https://api.nlsc.gov.tw/dmaps/CadasAttrQuery/Z/{地段代碼}/{地號(8碼或簡式)}</t>
  </si>
  <si>
    <t>2dms_cadatt_v1_CadasAttrQuery_Z</t>
  </si>
  <si>
    <t>CAD_007指定地號查詢土地標示資料_連江縣</t>
  </si>
  <si>
    <t>API_地籍屬性_指定地號查詢標示資料_連江縣</t>
  </si>
  <si>
    <t>https://api.nlsc.gov.tw/dmaps/CadasAttrQuery/Z/{sect}/{landno}</t>
  </si>
  <si>
    <t>https://api.nlsc.gov.tw/dmaps/CadasAttrQuery/P/{地段代碼}/{地號(8碼或簡式)}</t>
  </si>
  <si>
    <t>2dms_cadatt_v1_CadasAttrQuery_P</t>
  </si>
  <si>
    <t>CAD_007指定地號查詢土地標示資料_雲林縣</t>
  </si>
  <si>
    <t>API_地籍屬性_指定地號查詢標示資料_雲林縣</t>
  </si>
  <si>
    <t>https://api.nlsc.gov.tw/dmaps/CadasAttrQuery/P/{sect}/{landno}</t>
  </si>
  <si>
    <t>https://api.nlsc.gov.tw/dmaps/CadasAttrQuery/F/{地段代碼}/{地號(8碼或簡式)}</t>
  </si>
  <si>
    <t>2dms_cadatt_v1_CadasAttrQuery_F</t>
  </si>
  <si>
    <t>CAD_007指定地號查詢土地標示資料_新北市</t>
  </si>
  <si>
    <t>API_地籍屬性_指定地號查詢標示資料_新北市</t>
  </si>
  <si>
    <t>https://api.nlsc.gov.tw/dmaps/CadasAttrQuery/F/{sect}/{landno}</t>
  </si>
  <si>
    <t>https://api.nlsc.gov.tw/dmaps/CadasAttrQuery/O/{地段代碼}/{地號(8碼或簡式)}</t>
  </si>
  <si>
    <t>2dms_cadatt_v1_CadasAttrQuery_O</t>
  </si>
  <si>
    <t>CAD_007指定地號查詢土地標示資料_新竹市</t>
  </si>
  <si>
    <t>API_地籍屬性_指定地號查詢標示資料_新竹市</t>
  </si>
  <si>
    <t>https://api.nlsc.gov.tw/dmaps/CadasAttrQuery/O/{sect}/{landno}</t>
  </si>
  <si>
    <t>https://api.nlsc.gov.tw/dmaps/CadasAttrQuery/J/{地段代碼}/{地號(8碼或簡式)}</t>
  </si>
  <si>
    <t>2dms_cadatt_v1_CadasAttrQuery_J</t>
  </si>
  <si>
    <t>CAD_007指定地號查詢土地標示資料_新竹縣</t>
  </si>
  <si>
    <t>API_地籍屬性_指定地號查詢標示資料_新竹縣</t>
  </si>
  <si>
    <t>https://api.nlsc.gov.tw/dmaps/CadasAttrQuery/J/{sect}/{landno}</t>
  </si>
  <si>
    <t>https://api.nlsc.gov.tw/dmaps/CadasAttrQuery/I/{地段代碼}/{地號(8碼或簡式)}</t>
  </si>
  <si>
    <t>2dms_cadatt_v1_CadasAttrQuery_I</t>
  </si>
  <si>
    <t>CAD_007指定地號查詢土地標示資料_嘉義市</t>
  </si>
  <si>
    <t>API_地籍屬性_指定地號查詢標示資料_嘉義市</t>
  </si>
  <si>
    <t>https://api.nlsc.gov.tw/dmaps/CadasAttrQuery/I/{sect}/{landno}</t>
  </si>
  <si>
    <t>https://api.nlsc.gov.tw/dmaps/CadasAttrQuery/Q/{地段代碼}/{地號(8碼或簡式)}</t>
  </si>
  <si>
    <t>2dms_cadatt_v1_CadasAttrQuery_Q</t>
  </si>
  <si>
    <t>CAD_007指定地號查詢土地標示資料_嘉義縣</t>
  </si>
  <si>
    <t>API_地籍屬性_指定地號查詢標示資料_嘉義縣</t>
  </si>
  <si>
    <t>https://api.nlsc.gov.tw/dmaps/CadasAttrQuery/Q/{sect}/{landno}</t>
  </si>
  <si>
    <t>https://api.nlsc.gov.tw/dmaps/CadasAttrQuery/N/{地段代碼}/{地號(8碼或簡式)}</t>
  </si>
  <si>
    <t>2dms_cadatt_v1_CadasAttrQuery_N</t>
  </si>
  <si>
    <t>CAD_007指定地號查詢土地標示資料_彰化縣</t>
  </si>
  <si>
    <t>API_地籍屬性_指定地號查詢標示資料_彰化縣</t>
  </si>
  <si>
    <t>https://api.nlsc.gov.tw/dmaps/CadasAttrQuery/N/{sect}/{landno}</t>
  </si>
  <si>
    <t>https://api.nlsc.gov.tw/dmaps/CadasAttrQuery/B/{地段代碼}/{地號(8碼或簡式)}</t>
  </si>
  <si>
    <t>2dms_cadatt_v1_CadasAttrQuery_B</t>
  </si>
  <si>
    <t>CAD_007指定地號查詢土地標示資料_臺中市</t>
  </si>
  <si>
    <t>API_地籍屬性_指定地號查詢標示資料_臺中市</t>
  </si>
  <si>
    <t>https://api.nlsc.gov.tw/dmaps/CadasAttrQuery/B/{sect}/{landno}</t>
  </si>
  <si>
    <t>https://api.nlsc.gov.tw/dmaps/CadasAttrQuery/A/{地段代碼}/{地號(8碼或簡式)}</t>
  </si>
  <si>
    <t>2dms_cadatt_v1_CadasAttrQuery_A</t>
  </si>
  <si>
    <t>CAD_007指定地號查詢土地標示資料_臺北市</t>
  </si>
  <si>
    <t>API_地籍屬性_指定地號查詢標示資料_臺北市</t>
  </si>
  <si>
    <t>https://api.nlsc.gov.tw/dmaps/CadasAttrQuery/A/{sect}/{landno}</t>
  </si>
  <si>
    <t>https://api.nlsc.gov.tw/dmaps/CadasAttrQuery/V/{地段代碼}/{地號(8碼或簡式)}</t>
  </si>
  <si>
    <t>2dms_cadatt_v1_CadasAttrQuery_V</t>
  </si>
  <si>
    <t>CAD_007指定地號查詢土地標示資料_臺東縣</t>
  </si>
  <si>
    <t>API_地籍屬性_指定地號查詢標示資料_臺東縣</t>
  </si>
  <si>
    <t>https://api.nlsc.gov.tw/dmaps/CadasAttrQuery/V/{sect}/{landno}</t>
  </si>
  <si>
    <t>https://api.nlsc.gov.tw/dmaps/CadasAttrQuery/D/{地段代碼}/{地號(8碼或簡式)}</t>
  </si>
  <si>
    <t>2dms_cadatt_v1_CadasAttrQuery_D</t>
  </si>
  <si>
    <t>CAD_007指定地號查詢土地標示資料_臺南市</t>
  </si>
  <si>
    <t>API_地籍屬性_指定地號查詢標示資料_臺南市</t>
  </si>
  <si>
    <t>https://api.nlsc.gov.tw/dmaps/CadasAttrQuery/D/{sect}/{landno}</t>
  </si>
  <si>
    <t>https://api.nlsc.gov.tw/dmaps/CadasAttrQuery/X/{地段代碼}/{地號(8碼或簡式)}</t>
  </si>
  <si>
    <t>2dms_cadatt_v1_CadasAttrQuery_X</t>
  </si>
  <si>
    <t>CAD_007指定地號查詢土地標示資料_澎湖縣</t>
  </si>
  <si>
    <t>API_地籍屬性_指定地號查詢標示資料_澎湖縣</t>
  </si>
  <si>
    <t>https://api.nlsc.gov.tw/dmaps/CadasAttrQuery/X/{sect}/{landno}</t>
  </si>
  <si>
    <t>https://api.nlsc.gov.tw/other/GetLandSecInfoNlsc/G/{地段代碼}/[段延伸碼]</t>
  </si>
  <si>
    <t>{sect}/{ext}</t>
  </si>
  <si>
    <t>2dms_cadatt_v1_GetLandSecInfoNlsc_G</t>
  </si>
  <si>
    <t>CAD_008地段代碼回傳測繪段籍屬性_宜蘭縣</t>
  </si>
  <si>
    <t>API_地籍屬性_地段代碼回傳測繪段籍屬性_宜蘭縣</t>
  </si>
  <si>
    <t>https://api.nlsc.gov.tw/other/GetLandSecInfoNlsc/G/{sect}/{ext}</t>
  </si>
  <si>
    <t>https://api.nlsc.gov.tw/other/GetLandSecInfoNlsc/U/{地段代碼}/[段延伸碼]</t>
  </si>
  <si>
    <t>2dms_cadatt_v1_GetLandSecInfoNlsc_U</t>
  </si>
  <si>
    <t>CAD_008地段代碼回傳測繪段籍屬性_花蓮縣</t>
  </si>
  <si>
    <t>API_地籍屬性_地段代碼回傳測繪段籍屬性_花蓮縣</t>
  </si>
  <si>
    <t>https://api.nlsc.gov.tw/other/GetLandSecInfoNlsc/U/{sect}/{ext}</t>
  </si>
  <si>
    <t>https://api.nlsc.gov.tw/other/GetLandSecInfoNlsc/W/{地段代碼}/[段延伸碼]</t>
  </si>
  <si>
    <t>2dms_cadatt_v1_GetLandSecInfoNlsc_W</t>
  </si>
  <si>
    <t>CAD_008地段代碼回傳測繪段籍屬性_金門縣</t>
  </si>
  <si>
    <t>API_地籍屬性_地段代碼回傳測繪段籍屬性_金門縣</t>
  </si>
  <si>
    <t>https://api.nlsc.gov.tw/other/GetLandSecInfoNlsc/W/{sect}/{ext}</t>
  </si>
  <si>
    <t>https://api.nlsc.gov.tw/other/GetLandSecInfoNlsc/M/{地段代碼}/[段延伸碼]</t>
  </si>
  <si>
    <t>2dms_cadatt_v1_GetLandSecInfoNlsc_M</t>
  </si>
  <si>
    <t>CAD_008地段代碼回傳測繪段籍屬性_南投縣</t>
  </si>
  <si>
    <t>API_地籍屬性_地段代碼回傳測繪段籍屬性_南投縣</t>
  </si>
  <si>
    <t>https://api.nlsc.gov.tw/other/GetLandSecInfoNlsc/M/{sect}/{ext}</t>
  </si>
  <si>
    <t>https://api.nlsc.gov.tw/other/GetLandSecInfoNlsc/T/{地段代碼}/[段延伸碼]</t>
  </si>
  <si>
    <t>2dms_cadatt_v1_GetLandSecInfoNlsc_T</t>
  </si>
  <si>
    <t>CAD_008地段代碼回傳測繪段籍屬性_屏東縣</t>
  </si>
  <si>
    <t>API_地籍屬性_地段代碼回傳測繪段籍屬性_屏東縣</t>
  </si>
  <si>
    <t>https://api.nlsc.gov.tw/other/GetLandSecInfoNlsc/T/{sect}/{ext}</t>
  </si>
  <si>
    <t>https://api.nlsc.gov.tw/other/GetLandSecInfoNlsc/K/{地段代碼}/[段延伸碼]</t>
  </si>
  <si>
    <t>2dms_cadatt_v1_GetLandSecInfoNlsc_K</t>
  </si>
  <si>
    <t>CAD_008地段代碼回傳測繪段籍屬性_苗栗縣</t>
  </si>
  <si>
    <t>API_地籍屬性_地段代碼回傳測繪段籍屬性_苗栗縣</t>
  </si>
  <si>
    <t>https://api.nlsc.gov.tw/other/GetLandSecInfoNlsc/K/{sect}/{ext}</t>
  </si>
  <si>
    <t>https://api.nlsc.gov.tw/other/GetLandSecInfoNlsc/H/{地段代碼}/[段延伸碼]</t>
  </si>
  <si>
    <t>2dms_cadatt_v1_GetLandSecInfoNlsc_H</t>
  </si>
  <si>
    <t>CAD_008地段代碼回傳測繪段籍屬性_桃園市</t>
  </si>
  <si>
    <t>API_地籍屬性_地段代碼回傳測繪段籍屬性_桃園市</t>
  </si>
  <si>
    <t>https://api.nlsc.gov.tw/other/GetLandSecInfoNlsc/H/{sect}/{ext}</t>
  </si>
  <si>
    <t>https://api.nlsc.gov.tw/other/GetLandSecInfoNlsc/E/{地段代碼}/[段延伸碼]</t>
  </si>
  <si>
    <t>2dms_cadatt_v1_GetLandSecInfoNlsc_E</t>
  </si>
  <si>
    <t>CAD_008地段代碼回傳測繪段籍屬性_高雄市</t>
  </si>
  <si>
    <t>API_地籍屬性_地段代碼回傳測繪段籍屬性_高雄市</t>
  </si>
  <si>
    <t>https://api.nlsc.gov.tw/other/GetLandSecInfoNlsc/E/{sect}/{ext}</t>
  </si>
  <si>
    <t>https://api.nlsc.gov.tw/other/GetLandSecInfoNlsc/C/{地段代碼}/[段延伸碼]</t>
  </si>
  <si>
    <t>2dms_cadatt_v1_GetLandSecInfoNlsc_C</t>
  </si>
  <si>
    <t>CAD_008地段代碼回傳測繪段籍屬性_基隆市</t>
  </si>
  <si>
    <t>API_地籍屬性_地段代碼回傳測繪段籍屬性_基隆市</t>
  </si>
  <si>
    <t>https://api.nlsc.gov.tw/other/GetLandSecInfoNlsc/C/{sect}/{ext}</t>
  </si>
  <si>
    <t>https://api.nlsc.gov.tw/other/GetLandSecInfoNlsc/Z/{地段代碼}/[段延伸碼]</t>
  </si>
  <si>
    <t>2dms_cadatt_v1_GetLandSecInfoNlsc_Z</t>
  </si>
  <si>
    <t>CAD_008地段代碼回傳測繪段籍屬性_連江縣</t>
  </si>
  <si>
    <t>API_地籍屬性_地段代碼回傳測繪段籍屬性_連江縣</t>
  </si>
  <si>
    <t>https://api.nlsc.gov.tw/other/GetLandSecInfoNlsc/Z/{sect}/{ext}</t>
  </si>
  <si>
    <t>https://api.nlsc.gov.tw/other/GetLandSecInfoNlsc/P/{地段代碼}/[段延伸碼]</t>
  </si>
  <si>
    <t>2dms_cadatt_v1_GetLandSecInfoNlsc_P</t>
  </si>
  <si>
    <t>CAD_008地段代碼回傳測繪段籍屬性_雲林縣</t>
  </si>
  <si>
    <t>API_地籍屬性_地段代碼回傳測繪段籍屬性_雲林縣</t>
  </si>
  <si>
    <t>https://api.nlsc.gov.tw/other/GetLandSecInfoNlsc/P/{sect}/{ext}</t>
  </si>
  <si>
    <t>https://api.nlsc.gov.tw/other/GetLandSecInfoNlsc/F/{地段代碼}/[段延伸碼]</t>
  </si>
  <si>
    <t>2dms_cadatt_v1_GetLandSecInfoNlsc_F</t>
  </si>
  <si>
    <t>CAD_008地段代碼回傳測繪段籍屬性_新北市</t>
  </si>
  <si>
    <t>API_地籍屬性_地段代碼回傳測繪段籍屬性_新北市</t>
  </si>
  <si>
    <t>https://api.nlsc.gov.tw/other/GetLandSecInfoNlsc/F/{sect}/{ext}</t>
  </si>
  <si>
    <t>https://api.nlsc.gov.tw/other/GetLandSecInfoNlsc/O/{地段代碼}/[段延伸碼]</t>
  </si>
  <si>
    <t>2dms_cadatt_v1_GetLandSecInfoNlsc_O</t>
  </si>
  <si>
    <t>CAD_008地段代碼回傳測繪段籍屬性_新竹市</t>
  </si>
  <si>
    <t>API_地籍屬性_地段代碼回傳測繪段籍屬性_新竹市</t>
  </si>
  <si>
    <t>https://api.nlsc.gov.tw/other/GetLandSecInfoNlsc/O/{sect}/{ext}</t>
  </si>
  <si>
    <t>https://api.nlsc.gov.tw/other/GetLandSecInfoNlsc/J/{地段代碼}/[段延伸碼]</t>
  </si>
  <si>
    <t>2dms_cadatt_v1_GetLandSecInfoNlsc_J</t>
  </si>
  <si>
    <t>CAD_008地段代碼回傳測繪段籍屬性_新竹縣</t>
  </si>
  <si>
    <t>API_地籍屬性_地段代碼回傳測繪段籍屬性_新竹縣</t>
  </si>
  <si>
    <t>https://api.nlsc.gov.tw/other/GetLandSecInfoNlsc/J/{sect}/{ext}</t>
  </si>
  <si>
    <t>https://api.nlsc.gov.tw/other/GetLandSecInfoNlsc/I/{地段代碼}/[段延伸碼]</t>
  </si>
  <si>
    <t>2dms_cadatt_v1_GetLandSecInfoNlsc_I</t>
  </si>
  <si>
    <t>CAD_008地段代碼回傳測繪段籍屬性_嘉義市</t>
  </si>
  <si>
    <t>API_地籍屬性_地段代碼回傳測繪段籍屬性_嘉義市</t>
  </si>
  <si>
    <t>https://api.nlsc.gov.tw/other/GetLandSecInfoNlsc/I/{sect}/{ext}</t>
  </si>
  <si>
    <t>https://api.nlsc.gov.tw/other/GetLandSecInfoNlsc/Q/{地段代碼}/[段延伸碼]</t>
  </si>
  <si>
    <t>2dms_cadatt_v1_GetLandSecInfoNlsc_Q</t>
  </si>
  <si>
    <t>CAD_008地段代碼回傳測繪段籍屬性_嘉義縣</t>
  </si>
  <si>
    <t>API_地籍屬性_地段代碼回傳測繪段籍屬性_嘉義縣</t>
  </si>
  <si>
    <t>https://api.nlsc.gov.tw/other/GetLandSecInfoNlsc/Q/{sect}/{ext}</t>
  </si>
  <si>
    <t>https://api.nlsc.gov.tw/other/GetLandSecInfoNlsc/N/{地段代碼}/[段延伸碼]</t>
  </si>
  <si>
    <t>2dms_cadatt_v1_GetLandSecInfoNlsc_N</t>
  </si>
  <si>
    <t>CAD_008地段代碼回傳測繪段籍屬性_彰化縣</t>
  </si>
  <si>
    <t>API_地籍屬性_地段代碼回傳測繪段籍屬性_彰化縣</t>
  </si>
  <si>
    <t>https://api.nlsc.gov.tw/other/GetLandSecInfoNlsc/N/{sect}/{ext}</t>
  </si>
  <si>
    <t>https://api.nlsc.gov.tw/other/GetLandSecInfoNlsc/B/{地段代碼}/[段延伸碼]</t>
  </si>
  <si>
    <t>2dms_cadatt_v1_GetLandSecInfoNlsc_B</t>
  </si>
  <si>
    <t>CAD_008地段代碼回傳測繪段籍屬性_臺中市</t>
  </si>
  <si>
    <t>API_地籍屬性_地段代碼回傳測繪段籍屬性_臺中市</t>
  </si>
  <si>
    <t>https://api.nlsc.gov.tw/other/GetLandSecInfoNlsc/B/{sect}/{ext}</t>
  </si>
  <si>
    <t>https://api.nlsc.gov.tw/other/GetLandSecInfoNlsc/A/{地段代碼}/[段延伸碼]</t>
  </si>
  <si>
    <t>2dms_cadatt_v1_GetLandSecInfoNlsc_A</t>
  </si>
  <si>
    <t>CAD_008地段代碼回傳測繪段籍屬性_臺北市</t>
  </si>
  <si>
    <t>API_地籍屬性_地段代碼回傳測繪段籍屬性_臺北市</t>
  </si>
  <si>
    <t>https://api.nlsc.gov.tw/other/GetLandSecInfoNlsc/A/{sect}/{ext}</t>
  </si>
  <si>
    <t>https://api.nlsc.gov.tw/other/GetLandSecInfoNlsc/V/{地段代碼}/[段延伸碼]</t>
  </si>
  <si>
    <t>2dms_cadatt_v1_GetLandSecInfoNlsc_V</t>
  </si>
  <si>
    <t>CAD_008地段代碼回傳測繪段籍屬性_臺東縣</t>
  </si>
  <si>
    <t>API_地籍屬性_地段代碼回傳測繪段籍屬性_臺東縣</t>
  </si>
  <si>
    <t>https://api.nlsc.gov.tw/other/GetLandSecInfoNlsc/V/{sect}/{ext}</t>
  </si>
  <si>
    <t>https://api.nlsc.gov.tw/other/GetLandSecInfoNlsc/D/{地段代碼}/[段延伸碼]</t>
  </si>
  <si>
    <t>2dms_cadatt_v1_GetLandSecInfoNlsc_D</t>
  </si>
  <si>
    <t>CAD_008地段代碼回傳測繪段籍屬性_臺南市</t>
  </si>
  <si>
    <t>API_地籍屬性_地段代碼回傳測繪段籍屬性_臺南市</t>
  </si>
  <si>
    <t>https://api.nlsc.gov.tw/other/GetLandSecInfoNlsc/D/{sect}/{ext}</t>
  </si>
  <si>
    <t>https://api.nlsc.gov.tw/other/GetLandSecInfoNlsc/X/{地段代碼}/[段延伸碼]</t>
  </si>
  <si>
    <t>2dms_cadatt_v1_GetLandSecInfoNlsc_X</t>
  </si>
  <si>
    <t>CAD_008地段代碼回傳測繪段籍屬性_澎湖縣</t>
  </si>
  <si>
    <t>API_地籍屬性_地段代碼回傳測繪段籍屬性_澎湖縣</t>
  </si>
  <si>
    <t>https://api.nlsc.gov.tw/other/GetLandSecInfoNlsc/X/{sect}/{ext}</t>
  </si>
  <si>
    <t>https://api.nlsc.gov.tw/idc/AddressQueryLand/{搜尋字串}[/回傳數量(預設為1)]</t>
  </si>
  <si>
    <t>{queryString}/{num}</t>
  </si>
  <si>
    <t>2dms_cadatt_v1_AddressQueryLand</t>
  </si>
  <si>
    <t>CAD_009指定門牌查詢地號</t>
  </si>
  <si>
    <t>API_地籍屬性_指定門牌查詢地號_全國</t>
  </si>
  <si>
    <t>https://api.nlsc.gov.tw/idc/AddressQueryLand/{queryString}/{num}</t>
  </si>
  <si>
    <t>API,門牌,地籍</t>
  </si>
  <si>
    <t>https://api.nlsc.gov.tw/dmaps/CadasLandNoQuery/{多邊形坐標(x1,y1,x2,y2,x3,y3...)}[/坐標類別代碼(4326為預設、3825、3826)/判定方式(預設未填為相交，填WithIn為內含)]</t>
  </si>
  <si>
    <t>{area}/{epsg}/{within}</t>
  </si>
  <si>
    <t>2dms_cadatt_v1_CadasLandNoQuery</t>
  </si>
  <si>
    <t>CAD_010指定範圍查詢地號清單</t>
  </si>
  <si>
    <t>API_地籍屬性_指定範圍查詢地號清單_全國</t>
  </si>
  <si>
    <t>https://api.nlsc.gov.tw/dmaps/CadasLandNoQuery/{area}/{epsg}/{within}</t>
  </si>
  <si>
    <t>https://api.nlsc.gov.tw/dmaps/CadasLandInfo/G/{段代碼}/{地號(8碼或簡式)}</t>
  </si>
  <si>
    <t>2dms_cadatt_v1_CadasLandInfo_G</t>
  </si>
  <si>
    <t>CAD_011指定地號查詢建號列表與土地權利人類別_宜蘭縣</t>
  </si>
  <si>
    <t>API_地籍屬性_指定地號查詢建號列表與土地權利人類別_宜蘭縣</t>
  </si>
  <si>
    <t>https://api.nlsc.gov.tw/dmaps/CadasLandInfo/G/{sect}/{landno}</t>
  </si>
  <si>
    <t>https://api.nlsc.gov.tw/dmaps/CadasLandInfo/U/{段代碼}/{地號(8碼或簡式)}</t>
  </si>
  <si>
    <t>2dms_cadatt_v1_CadasLandInfo_U</t>
  </si>
  <si>
    <t>CAD_011指定地號查詢建號列表與土地權利人類別_花蓮縣</t>
  </si>
  <si>
    <t>API_地籍屬性_指定地號查詢建號列表與土地權利人類別_花蓮縣</t>
  </si>
  <si>
    <t>https://api.nlsc.gov.tw/dmaps/CadasLandInfo/U/{sect}/{landno}</t>
  </si>
  <si>
    <t>https://api.nlsc.gov.tw/dmaps/CadasLandInfo/W/{段代碼}/{地號(8碼或簡式)}</t>
  </si>
  <si>
    <t>2dms_cadatt_v1_CadasLandInfo_W</t>
  </si>
  <si>
    <t>CAD_011指定地號查詢建號列表與土地權利人類別_金門縣</t>
  </si>
  <si>
    <t>API_地籍屬性_指定地號查詢建號列表與土地權利人類別_金門縣</t>
  </si>
  <si>
    <t>https://api.nlsc.gov.tw/dmaps/CadasLandInfo/W/{sect}/{landno}</t>
  </si>
  <si>
    <t>https://api.nlsc.gov.tw/dmaps/CadasLandInfo/M/{段代碼}/{地號(8碼或簡式)}</t>
  </si>
  <si>
    <t>2dms_cadatt_v1_CadasLandInfo_M</t>
  </si>
  <si>
    <t>CAD_011指定地號查詢建號列表與土地權利人類別_南投縣</t>
  </si>
  <si>
    <t>API_地籍屬性_指定地號查詢建號列表與土地權利人類別_南投縣</t>
  </si>
  <si>
    <t>https://api.nlsc.gov.tw/dmaps/CadasLandInfo/M/{sect}/{landno}</t>
  </si>
  <si>
    <t>https://api.nlsc.gov.tw/dmaps/CadasLandInfo/T/{段代碼}/{地號(8碼或簡式)}</t>
  </si>
  <si>
    <t>2dms_cadatt_v1_CadasLandInfo_T</t>
  </si>
  <si>
    <t>CAD_011指定地號查詢建號列表與土地權利人類別_屏東縣</t>
  </si>
  <si>
    <t>API_地籍屬性_指定地號查詢建號列表與土地權利人類別_屏東縣</t>
  </si>
  <si>
    <t>https://api.nlsc.gov.tw/dmaps/CadasLandInfo/T/{sect}/{landno}</t>
  </si>
  <si>
    <t>https://api.nlsc.gov.tw/dmaps/CadasLandInfo/K/{段代碼}/{地號(8碼或簡式)}</t>
  </si>
  <si>
    <t>2dms_cadatt_v1_CadasLandInfo_K</t>
  </si>
  <si>
    <t>CAD_011指定地號查詢建號列表與土地權利人類別_苗栗縣</t>
  </si>
  <si>
    <t>API_地籍屬性_指定地號查詢建號列表與土地權利人類別_苗栗縣</t>
  </si>
  <si>
    <t>https://api.nlsc.gov.tw/dmaps/CadasLandInfo/K/{sect}/{landno}</t>
  </si>
  <si>
    <t>https://api.nlsc.gov.tw/dmaps/CadasLandInfo/H/{段代碼}/{地號(8碼或簡式)}</t>
  </si>
  <si>
    <t>2dms_cadatt_v1_CadasLandInfo_H</t>
  </si>
  <si>
    <t>CAD_011指定地號查詢建號列表與土地權利人類別_桃園市</t>
  </si>
  <si>
    <t>API_地籍屬性_指定地號查詢建號列表與土地權利人類別_桃園市</t>
  </si>
  <si>
    <t>https://api.nlsc.gov.tw/dmaps/CadasLandInfo/H/{sect}/{landno}</t>
  </si>
  <si>
    <t>https://api.nlsc.gov.tw/dmaps/CadasLandInfo/E/{段代碼}/{地號(8碼或簡式)}</t>
  </si>
  <si>
    <t>2dms_cadatt_v1_CadasLandInfo_E</t>
  </si>
  <si>
    <t>CAD_011指定地號查詢建號列表與土地權利人類別_高雄市</t>
  </si>
  <si>
    <t>API_地籍屬性_指定地號查詢建號列表與土地權利人類別_高雄市</t>
  </si>
  <si>
    <t>https://api.nlsc.gov.tw/dmaps/CadasLandInfo/E/{sect}/{landno}</t>
  </si>
  <si>
    <t>https://api.nlsc.gov.tw/dmaps/CadasLandInfo/C/{段代碼}/{地號(8碼或簡式)}</t>
  </si>
  <si>
    <t>2dms_cadatt_v1_CadasLandInfo_C</t>
  </si>
  <si>
    <t>CAD_011指定地號查詢建號列表與土地權利人類別_基隆市</t>
  </si>
  <si>
    <t>API_地籍屬性_指定地號查詢建號列表與土地權利人類別_基隆市</t>
  </si>
  <si>
    <t>https://api.nlsc.gov.tw/dmaps/CadasLandInfo/C/{sect}/{landno}</t>
  </si>
  <si>
    <t>https://api.nlsc.gov.tw/dmaps/CadasLandInfo/Z/{段代碼}/{地號(8碼或簡式)}</t>
  </si>
  <si>
    <t>2dms_cadatt_v1_CadasLandInfo_Z</t>
  </si>
  <si>
    <t>CAD_011指定地號查詢建號列表與土地權利人類別_連江縣</t>
  </si>
  <si>
    <t>API_地籍屬性_指定地號查詢建號列表與土地權利人類別_連江縣</t>
  </si>
  <si>
    <t>https://api.nlsc.gov.tw/dmaps/CadasLandInfo/Z/{sect}/{landno}</t>
  </si>
  <si>
    <t>https://api.nlsc.gov.tw/dmaps/CadasLandInfo/P/{段代碼}/{地號(8碼或簡式)}</t>
  </si>
  <si>
    <t>2dms_cadatt_v1_CadasLandInfo_P</t>
  </si>
  <si>
    <t>CAD_011指定地號查詢建號列表與土地權利人類別_雲林縣</t>
  </si>
  <si>
    <t>API_地籍屬性_指定地號查詢建號列表與土地權利人類別_雲林縣</t>
  </si>
  <si>
    <t>https://api.nlsc.gov.tw/dmaps/CadasLandInfo/P/{sect}/{landno}</t>
  </si>
  <si>
    <t>https://api.nlsc.gov.tw/dmaps/CadasLandInfo/F/{段代碼}/{地號(8碼或簡式)}</t>
  </si>
  <si>
    <t>2dms_cadatt_v1_CadasLandInfo_F</t>
  </si>
  <si>
    <t>CAD_011指定地號查詢建號列表與土地權利人類別_新北市</t>
  </si>
  <si>
    <t>API_地籍屬性_指定地號查詢建號列表與土地權利人類別_新北市</t>
  </si>
  <si>
    <t>https://api.nlsc.gov.tw/dmaps/CadasLandInfo/F/{sect}/{landno}</t>
  </si>
  <si>
    <t>https://api.nlsc.gov.tw/dmaps/CadasLandInfo/O/{段代碼}/{地號(8碼或簡式)}</t>
  </si>
  <si>
    <t>2dms_cadatt_v1_CadasLandInfo_O</t>
  </si>
  <si>
    <t>CAD_011指定地號查詢建號列表與土地權利人類別_新竹市</t>
  </si>
  <si>
    <t>API_地籍屬性_指定地號查詢建號列表與土地權利人類別_新竹市</t>
  </si>
  <si>
    <t>https://api.nlsc.gov.tw/dmaps/CadasLandInfo/O/{sect}/{landno}</t>
  </si>
  <si>
    <t>https://api.nlsc.gov.tw/dmaps/CadasLandInfo/J/{段代碼}/{地號(8碼或簡式)}</t>
  </si>
  <si>
    <t>2dms_cadatt_v1_CadasLandInfo_J</t>
  </si>
  <si>
    <t>CAD_011指定地號查詢建號列表與土地權利人類別_新竹縣</t>
  </si>
  <si>
    <t>API_地籍屬性_指定地號查詢建號列表與土地權利人類別_新竹縣</t>
  </si>
  <si>
    <t>https://api.nlsc.gov.tw/dmaps/CadasLandInfo/J/{sect}/{landno}</t>
  </si>
  <si>
    <t>https://api.nlsc.gov.tw/dmaps/CadasLandInfo/I/{段代碼}/{地號(8碼或簡式)}</t>
  </si>
  <si>
    <t>2dms_cadatt_v1_CadasLandInfo_I</t>
  </si>
  <si>
    <t>CAD_011指定地號查詢建號列表與土地權利人類別_嘉義市</t>
  </si>
  <si>
    <t>API_地籍屬性_指定地號查詢建號列表與土地權利人類別_嘉義市</t>
  </si>
  <si>
    <t>https://api.nlsc.gov.tw/dmaps/CadasLandInfo/I/{sect}/{landno}</t>
  </si>
  <si>
    <t>https://api.nlsc.gov.tw/dmaps/CadasLandInfo/Q/{段代碼}/{地號(8碼或簡式)}</t>
  </si>
  <si>
    <t>2dms_cadatt_v1_CadasLandInfo_Q</t>
  </si>
  <si>
    <t>CAD_011指定地號查詢建號列表與土地權利人類別_嘉義縣</t>
  </si>
  <si>
    <t>API_地籍屬性_指定地號查詢建號列表與土地權利人類別_嘉義縣</t>
  </si>
  <si>
    <t>https://api.nlsc.gov.tw/dmaps/CadasLandInfo/Q/{sect}/{landno}</t>
  </si>
  <si>
    <t>https://api.nlsc.gov.tw/dmaps/CadasLandInfo/N/{段代碼}/{地號(8碼或簡式)}</t>
  </si>
  <si>
    <t>2dms_cadatt_v1_CadasLandInfo_N</t>
  </si>
  <si>
    <t>CAD_011指定地號查詢建號列表與土地權利人類別_彰化縣</t>
  </si>
  <si>
    <t>API_地籍屬性_指定地號查詢建號列表與土地權利人類別_彰化縣</t>
  </si>
  <si>
    <t>https://api.nlsc.gov.tw/dmaps/CadasLandInfo/N/{sect}/{landno}</t>
  </si>
  <si>
    <t>https://api.nlsc.gov.tw/dmaps/CadasLandInfo/B/{段代碼}/{地號(8碼或簡式)}</t>
  </si>
  <si>
    <t>2dms_cadatt_v1_CadasLandInfo_B</t>
  </si>
  <si>
    <t>CAD_011指定地號查詢建號列表與土地權利人類別_臺中市</t>
  </si>
  <si>
    <t>API_地籍屬性_指定地號查詢建號列表與土地權利人類別_臺中市</t>
  </si>
  <si>
    <t>https://api.nlsc.gov.tw/dmaps/CadasLandInfo/B/{sect}/{landno}</t>
  </si>
  <si>
    <t>https://api.nlsc.gov.tw/dmaps/CadasLandInfo/A/{段代碼}/{地號(8碼或簡式)}</t>
  </si>
  <si>
    <t>2dms_cadatt_v1_CadasLandInfo_A</t>
  </si>
  <si>
    <t>CAD_011指定地號查詢建號列表與土地權利人類別_臺北市</t>
  </si>
  <si>
    <t>API_地籍屬性_指定地號查詢建號列表與土地權利人類別_臺北市</t>
  </si>
  <si>
    <t>https://api.nlsc.gov.tw/dmaps/CadasLandInfo/A/{sect}/{landno}</t>
  </si>
  <si>
    <t>https://api.nlsc.gov.tw/dmaps/CadasLandInfo/V/{段代碼}/{地號(8碼或簡式)}</t>
  </si>
  <si>
    <t>2dms_cadatt_v1_CadasLandInfo_V</t>
  </si>
  <si>
    <t>CAD_011指定地號查詢建號列表與土地權利人類別_臺東縣</t>
  </si>
  <si>
    <t>API_地籍屬性_指定地號查詢建號列表與土地權利人類別_臺東縣</t>
  </si>
  <si>
    <t>https://api.nlsc.gov.tw/dmaps/CadasLandInfo/V/{sect}/{landno}</t>
  </si>
  <si>
    <t>https://api.nlsc.gov.tw/dmaps/CadasLandInfo/D/{段代碼}/{地號(8碼或簡式)}</t>
  </si>
  <si>
    <t>2dms_cadatt_v1_CadasLandInfo_D</t>
  </si>
  <si>
    <t>CAD_011指定地號查詢建號列表與土地權利人類別_臺南市</t>
  </si>
  <si>
    <t>API_地籍屬性_指定地號查詢建號列表與土地權利人類別_臺南市</t>
  </si>
  <si>
    <t>https://api.nlsc.gov.tw/dmaps/CadasLandInfo/D/{sect}/{landno}</t>
  </si>
  <si>
    <t>https://api.nlsc.gov.tw/dmaps/CadasLandInfo/X/{段代碼}/{地號(8碼或簡式)}</t>
  </si>
  <si>
    <t>2dms_cadatt_v1_CadasLandInfo_X</t>
  </si>
  <si>
    <t>CAD_011指定地號查詢建號列表與土地權利人類別_澎湖縣</t>
  </si>
  <si>
    <t>API_地籍屬性_指定地號查詢建號列表與土地權利人類別_澎湖縣</t>
  </si>
  <si>
    <t>https://api.nlsc.gov.tw/dmaps/CadasLandInfo/X/{sect}/{landno}</t>
  </si>
  <si>
    <t>https://wfs.nlsc.gov.tw/WFS/LUIMAP</t>
  </si>
  <si>
    <t>2dms_luwfs_v1_LuiMap</t>
  </si>
  <si>
    <t>國土利用調查成果圖</t>
  </si>
  <si>
    <t>WFS_國土利用現況調查成果圖</t>
  </si>
  <si>
    <t>提供國土測繪圖資雲國土利用現況調查成果圖WFS服務</t>
  </si>
  <si>
    <t>luwfs</t>
  </si>
  <si>
    <t>WFS,國土利用</t>
  </si>
  <si>
    <t>https://api.nlsc.gov.tw/other/LandUseCompare/{新年度}/{舊年度}/{範圍參數(鄉鎮市區代碼 或 範圍矩框的WGS84坐標)}</t>
  </si>
  <si>
    <t>{year1}/{year2}/{towncode}</t>
  </si>
  <si>
    <t>2dms_luseat_v1_LandUseCompare</t>
  </si>
  <si>
    <t>LUI_001指定國土利用現況調查成果圖比較</t>
  </si>
  <si>
    <t>API_國土利用屬性_指定範圍及年度查詢變遷_全國</t>
  </si>
  <si>
    <t>https://api.nlsc.gov.tw/other/LandUseCompare/{year1}/{year2}/{towncode}</t>
  </si>
  <si>
    <t>提供國土測繪圖資雲國土利用屬性API服務</t>
  </si>
  <si>
    <t>luseat</t>
  </si>
  <si>
    <t>API,國土利用,行政區,幾何</t>
  </si>
  <si>
    <t>https://api.nlsc.gov.tw/other/LandUsePointYears/{指定民國年(0為歷年)}/{X坐標}/{Y坐標}[/坐標類別代碼(4326、3826，預設將使用經緯度)]</t>
  </si>
  <si>
    <t>{year}/{x}/{y}/{epsg}</t>
  </si>
  <si>
    <t>2dms_luseat_v1_LandUsePointYears</t>
  </si>
  <si>
    <t>LUI_002歷年(或指定年分)國土利用現況調查成果圖屬性</t>
  </si>
  <si>
    <t>API_國土利用屬性_指定坐標及年度查詢屬性_全國</t>
  </si>
  <si>
    <t>https://api.nlsc.gov.tw/other/LandUsePointYears/{year}/{x}/{y}/{epsg}</t>
  </si>
  <si>
    <t>API,國土利用,幾何</t>
  </si>
  <si>
    <t>https://api.nlsc.gov.tw/other/TownVillagePointQuery/{X坐標}/{Y坐標}[/坐標類別代碼(4326、3826，預設使用經緯度4326)]</t>
  </si>
  <si>
    <t>{x}/{y}/{epsg}</t>
  </si>
  <si>
    <t>2dms_pubapi_v1_TownVillagePointQuery</t>
  </si>
  <si>
    <t>COM_001單點坐標回傳行政區(地政)</t>
  </si>
  <si>
    <t>API_開放_單點坐標回傳行政區(地政)_全國</t>
  </si>
  <si>
    <t>https://api.nlsc.gov.tw/other/TownVillagePointQuery/{x}/{y}/{epsg}</t>
  </si>
  <si>
    <t>提供國土測繪圖資雲開放API服務</t>
  </si>
  <si>
    <t>pubapi</t>
  </si>
  <si>
    <t>API,行政區,幾何</t>
  </si>
  <si>
    <t>https://api.nlsc.gov.tw/other/TownVillagePointQuery1/{X坐標}/{Y坐標}[/坐標類別代碼(4326、3826，預設使用經緯度4326)]</t>
  </si>
  <si>
    <t>2dms_pubapi_v1_TownVillagePointQuery1</t>
  </si>
  <si>
    <t>COM_002單點坐標回傳行政區(戶政)</t>
  </si>
  <si>
    <t>API_開放_單點坐標回傳行政區(戶政)_全國</t>
  </si>
  <si>
    <t>https://api.nlsc.gov.tw/other/TownVillagePointQuery1/{x}/{y}/{epsg}</t>
  </si>
  <si>
    <t>https://api.nlsc.gov.tw/other/ListCounty</t>
  </si>
  <si>
    <t>2dms_pubapi_v1_ListCounty</t>
  </si>
  <si>
    <t>COM_003代碼服務－縣市清單</t>
  </si>
  <si>
    <t>API_開放_縣市名稱及代碼清單_全國</t>
  </si>
  <si>
    <t>API,行政區</t>
  </si>
  <si>
    <t>https://api.nlsc.gov.tw/other/ListTown/G</t>
  </si>
  <si>
    <t>2dms_pubapi_v1_ListTown_G</t>
  </si>
  <si>
    <t>COM_004代碼服務－鄉鎮市區清單(地政)_宜蘭縣</t>
  </si>
  <si>
    <t>API_開放_鄉鎮市區清單(地政)_宜蘭縣</t>
  </si>
  <si>
    <t>https://api.nlsc.gov.tw/other/ListTown/U</t>
  </si>
  <si>
    <t>2dms_pubapi_v1_ListTown_U</t>
  </si>
  <si>
    <t>COM_004代碼服務－鄉鎮市區清單(地政)_花蓮縣</t>
  </si>
  <si>
    <t>API_開放_鄉鎮市區清單(地政)_花蓮縣</t>
  </si>
  <si>
    <t>https://api.nlsc.gov.tw/other/ListTown/W</t>
  </si>
  <si>
    <t>2dms_pubapi_v1_ListTown_W</t>
  </si>
  <si>
    <t>COM_004代碼服務－鄉鎮市區清單(地政)_金門縣</t>
  </si>
  <si>
    <t>API_開放_鄉鎮市區清單(地政)_金門縣</t>
  </si>
  <si>
    <t>https://api.nlsc.gov.tw/other/ListTown/M</t>
  </si>
  <si>
    <t>2dms_pubapi_v1_ListTown_M</t>
  </si>
  <si>
    <t>COM_004代碼服務－鄉鎮市區清單(地政)_南投縣</t>
  </si>
  <si>
    <t>API_開放_鄉鎮市區清單(地政)_南投縣</t>
  </si>
  <si>
    <t>https://api.nlsc.gov.tw/other/ListTown/T</t>
  </si>
  <si>
    <t>2dms_pubapi_v1_ListTown_T</t>
  </si>
  <si>
    <t>COM_004代碼服務－鄉鎮市區清單(地政)_屏東縣</t>
  </si>
  <si>
    <t>API_開放_鄉鎮市區清單(地政)_屏東縣</t>
  </si>
  <si>
    <t>https://api.nlsc.gov.tw/other/ListTown/K</t>
  </si>
  <si>
    <t>2dms_pubapi_v1_ListTown_K</t>
  </si>
  <si>
    <t>COM_004代碼服務－鄉鎮市區清單(地政)_苗栗縣</t>
  </si>
  <si>
    <t>API_開放_鄉鎮市區清單(地政)_苗栗縣</t>
  </si>
  <si>
    <t>https://api.nlsc.gov.tw/other/ListTown/H</t>
  </si>
  <si>
    <t>2dms_pubapi_v1_ListTown_H</t>
  </si>
  <si>
    <t>COM_004代碼服務－鄉鎮市區清單(地政)_桃園市</t>
  </si>
  <si>
    <t>API_開放_鄉鎮市區清單(地政)_桃園市</t>
  </si>
  <si>
    <t>https://api.nlsc.gov.tw/other/ListTown/E</t>
  </si>
  <si>
    <t>2dms_pubapi_v1_ListTown_E</t>
  </si>
  <si>
    <t>COM_004代碼服務－鄉鎮市區清單(地政)_高雄市</t>
  </si>
  <si>
    <t>API_開放_鄉鎮市區清單(地政)_高雄市</t>
  </si>
  <si>
    <t>https://api.nlsc.gov.tw/other/ListTown/C</t>
  </si>
  <si>
    <t>2dms_pubapi_v1_ListTown_C</t>
  </si>
  <si>
    <t>COM_004代碼服務－鄉鎮市區清單(地政)_基隆市</t>
  </si>
  <si>
    <t>API_開放_鄉鎮市區清單(地政)_基隆市</t>
  </si>
  <si>
    <t>https://api.nlsc.gov.tw/other/ListTown/Z</t>
  </si>
  <si>
    <t>2dms_pubapi_v1_ListTown_Z</t>
  </si>
  <si>
    <t>COM_004代碼服務－鄉鎮市區清單(地政)_連江縣</t>
  </si>
  <si>
    <t>API_開放_鄉鎮市區清單(地政)_連江縣</t>
  </si>
  <si>
    <t>https://api.nlsc.gov.tw/other/ListTown/P</t>
  </si>
  <si>
    <t>2dms_pubapi_v1_ListTown_P</t>
  </si>
  <si>
    <t>COM_004代碼服務－鄉鎮市區清單(地政)_雲林縣</t>
  </si>
  <si>
    <t>API_開放_鄉鎮市區清單(地政)_雲林縣</t>
  </si>
  <si>
    <t>https://api.nlsc.gov.tw/other/ListTown/F</t>
  </si>
  <si>
    <t>2dms_pubapi_v1_ListTown_F</t>
  </si>
  <si>
    <t>COM_004代碼服務－鄉鎮市區清單(地政)_新北市</t>
  </si>
  <si>
    <t>API_開放_鄉鎮市區清單(地政)_新北市</t>
  </si>
  <si>
    <t>https://api.nlsc.gov.tw/other/ListTown/O</t>
  </si>
  <si>
    <t>2dms_pubapi_v1_ListTown_O</t>
  </si>
  <si>
    <t>COM_004代碼服務－鄉鎮市區清單(地政)_新竹市</t>
  </si>
  <si>
    <t>API_開放_鄉鎮市區清單(地政)_新竹市</t>
  </si>
  <si>
    <t>https://api.nlsc.gov.tw/other/ListTown/J</t>
  </si>
  <si>
    <t>2dms_pubapi_v1_ListTown_J</t>
  </si>
  <si>
    <t>COM_004代碼服務－鄉鎮市區清單(地政)_新竹縣</t>
  </si>
  <si>
    <t>API_開放_鄉鎮市區清單(地政)_新竹縣</t>
  </si>
  <si>
    <t>https://api.nlsc.gov.tw/other/ListTown/I</t>
  </si>
  <si>
    <t>2dms_pubapi_v1_ListTown_I</t>
  </si>
  <si>
    <t>COM_004代碼服務－鄉鎮市區清單(地政)_嘉義市</t>
  </si>
  <si>
    <t>API_開放_鄉鎮市區清單(地政)_嘉義市</t>
  </si>
  <si>
    <t>https://api.nlsc.gov.tw/other/ListTown/Q</t>
  </si>
  <si>
    <t>2dms_pubapi_v1_ListTown_Q</t>
  </si>
  <si>
    <t>COM_004代碼服務－鄉鎮市區清單(地政)_嘉義縣</t>
  </si>
  <si>
    <t>API_開放_鄉鎮市區清單(地政)_嘉義縣</t>
  </si>
  <si>
    <t>https://api.nlsc.gov.tw/other/ListTown/N</t>
  </si>
  <si>
    <t>2dms_pubapi_v1_ListTown_N</t>
  </si>
  <si>
    <t>COM_004代碼服務－鄉鎮市區清單(地政)_彰化縣</t>
  </si>
  <si>
    <t>API_開放_鄉鎮市區清單(地政)_彰化縣</t>
  </si>
  <si>
    <t>https://api.nlsc.gov.tw/other/ListTown/B</t>
  </si>
  <si>
    <t>2dms_pubapi_v1_ListTown_B</t>
  </si>
  <si>
    <t>COM_004代碼服務－鄉鎮市區清單(地政)_臺中市</t>
  </si>
  <si>
    <t>API_開放_鄉鎮市區清單(地政)_臺中市</t>
  </si>
  <si>
    <t>https://api.nlsc.gov.tw/other/ListTown/A</t>
  </si>
  <si>
    <t>2dms_pubapi_v1_ListTown_A</t>
  </si>
  <si>
    <t>COM_004代碼服務－鄉鎮市區清單(地政)_臺北市</t>
  </si>
  <si>
    <t>API_開放_鄉鎮市區清單(地政)_臺北市</t>
  </si>
  <si>
    <t>https://api.nlsc.gov.tw/other/ListTown/V</t>
  </si>
  <si>
    <t>2dms_pubapi_v1_ListTown_V</t>
  </si>
  <si>
    <t>COM_004代碼服務－鄉鎮市區清單(地政)_臺東縣</t>
  </si>
  <si>
    <t>API_開放_鄉鎮市區清單(地政)_臺東縣</t>
  </si>
  <si>
    <t>https://api.nlsc.gov.tw/other/ListTown/D</t>
  </si>
  <si>
    <t>2dms_pubapi_v1_ListTown_D</t>
  </si>
  <si>
    <t>COM_004代碼服務－鄉鎮市區清單(地政)_臺南市</t>
  </si>
  <si>
    <t>API_開放_鄉鎮市區清單(地政)_臺南市</t>
  </si>
  <si>
    <t>https://api.nlsc.gov.tw/other/ListTown/X</t>
  </si>
  <si>
    <t>2dms_pubapi_v1_ListTown_X</t>
  </si>
  <si>
    <t>COM_004代碼服務－鄉鎮市區清單(地政)_澎湖縣</t>
  </si>
  <si>
    <t>API_開放_鄉鎮市區清單(地政)_澎湖縣</t>
  </si>
  <si>
    <t>https://api.nlsc.gov.tw/other/ListTown1/G</t>
  </si>
  <si>
    <t>2dms_pubapi_v1_ListTown1_G</t>
  </si>
  <si>
    <t>COM_005代碼服務－鄉鎮市區清單(戶政)_宜蘭縣</t>
  </si>
  <si>
    <t>API_開放_鄉鎮市區清單(戶政)_宜蘭縣</t>
  </si>
  <si>
    <t>https://api.nlsc.gov.tw/other/ListTown1/U</t>
  </si>
  <si>
    <t>2dms_pubapi_v1_ListTown1_U</t>
  </si>
  <si>
    <t>COM_005代碼服務－鄉鎮市區清單(戶政)_花蓮縣</t>
  </si>
  <si>
    <t>API_開放_鄉鎮市區清單(戶政)_花蓮縣</t>
  </si>
  <si>
    <t>https://api.nlsc.gov.tw/other/ListTown1/W</t>
  </si>
  <si>
    <t>2dms_pubapi_v1_ListTown1_W</t>
  </si>
  <si>
    <t>COM_005代碼服務－鄉鎮市區清單(戶政)_金門縣</t>
  </si>
  <si>
    <t>API_開放_鄉鎮市區清單(戶政)_金門縣</t>
  </si>
  <si>
    <t>https://api.nlsc.gov.tw/other/ListTown1/M</t>
  </si>
  <si>
    <t>2dms_pubapi_v1_ListTown1_M</t>
  </si>
  <si>
    <t>COM_005代碼服務－鄉鎮市區清單(戶政)_南投縣</t>
  </si>
  <si>
    <t>API_開放_鄉鎮市區清單(戶政)_南投縣</t>
  </si>
  <si>
    <t>https://api.nlsc.gov.tw/other/ListTown1/T</t>
  </si>
  <si>
    <t>2dms_pubapi_v1_ListTown1_T</t>
  </si>
  <si>
    <t>COM_005代碼服務－鄉鎮市區清單(戶政)_屏東縣</t>
  </si>
  <si>
    <t>API_開放_鄉鎮市區清單(戶政)_屏東縣</t>
  </si>
  <si>
    <t>https://api.nlsc.gov.tw/other/ListTown1/K</t>
  </si>
  <si>
    <t>2dms_pubapi_v1_ListTown1_K</t>
  </si>
  <si>
    <t>COM_005代碼服務－鄉鎮市區清單(戶政)_苗栗縣</t>
  </si>
  <si>
    <t>API_開放_鄉鎮市區清單(戶政)_苗栗縣</t>
  </si>
  <si>
    <t>https://api.nlsc.gov.tw/other/ListTown1/H</t>
  </si>
  <si>
    <t>2dms_pubapi_v1_ListTown1_H</t>
  </si>
  <si>
    <t>COM_005代碼服務－鄉鎮市區清單(戶政)_桃園市</t>
  </si>
  <si>
    <t>API_開放_鄉鎮市區清單(戶政)_桃園市</t>
  </si>
  <si>
    <t>https://api.nlsc.gov.tw/other/ListTown1/E</t>
  </si>
  <si>
    <t>2dms_pubapi_v1_ListTown1_E</t>
  </si>
  <si>
    <t>COM_005代碼服務－鄉鎮市區清單(戶政)_高雄市</t>
  </si>
  <si>
    <t>API_開放_鄉鎮市區清單(戶政)_高雄市</t>
  </si>
  <si>
    <t>https://api.nlsc.gov.tw/other/ListTown1/C</t>
  </si>
  <si>
    <t>2dms_pubapi_v1_ListTown1_C</t>
  </si>
  <si>
    <t>COM_005代碼服務－鄉鎮市區清單(戶政)_基隆市</t>
  </si>
  <si>
    <t>API_開放_鄉鎮市區清單(戶政)_基隆市</t>
  </si>
  <si>
    <t>https://api.nlsc.gov.tw/other/ListTown1/Z</t>
  </si>
  <si>
    <t>2dms_pubapi_v1_ListTown1_Z</t>
  </si>
  <si>
    <t>COM_005代碼服務－鄉鎮市區清單(戶政)_連江縣</t>
  </si>
  <si>
    <t>API_開放_鄉鎮市區清單(戶政)_連江縣</t>
  </si>
  <si>
    <t>https://api.nlsc.gov.tw/other/ListTown1/P</t>
  </si>
  <si>
    <t>2dms_pubapi_v1_ListTown1_P</t>
  </si>
  <si>
    <t>COM_005代碼服務－鄉鎮市區清單(戶政)_雲林縣</t>
  </si>
  <si>
    <t>API_開放_鄉鎮市區清單(戶政)_雲林縣</t>
  </si>
  <si>
    <t>https://api.nlsc.gov.tw/other/ListTown1/F</t>
  </si>
  <si>
    <t>2dms_pubapi_v1_ListTown1_F</t>
  </si>
  <si>
    <t>COM_005代碼服務－鄉鎮市區清單(戶政)_新北市</t>
  </si>
  <si>
    <t>API_開放_鄉鎮市區清單(戶政)_新北市</t>
  </si>
  <si>
    <t>https://api.nlsc.gov.tw/other/ListTown1/O</t>
  </si>
  <si>
    <t>2dms_pubapi_v1_ListTown1_O</t>
  </si>
  <si>
    <t>COM_005代碼服務－鄉鎮市區清單(戶政)_新竹市</t>
  </si>
  <si>
    <t>API_開放_鄉鎮市區清單(戶政)_新竹市</t>
  </si>
  <si>
    <t>https://api.nlsc.gov.tw/other/ListTown1/J</t>
  </si>
  <si>
    <t>2dms_pubapi_v1_ListTown1_J</t>
  </si>
  <si>
    <t>COM_005代碼服務－鄉鎮市區清單(戶政)_新竹縣</t>
  </si>
  <si>
    <t>API_開放_鄉鎮市區清單(戶政)_新竹縣</t>
  </si>
  <si>
    <t>https://api.nlsc.gov.tw/other/ListTown1/I</t>
  </si>
  <si>
    <t>2dms_pubapi_v1_ListTown1_I</t>
  </si>
  <si>
    <t>COM_005代碼服務－鄉鎮市區清單(戶政)_嘉義市</t>
  </si>
  <si>
    <t>API_開放_鄉鎮市區清單(戶政)_嘉義市</t>
  </si>
  <si>
    <t>https://api.nlsc.gov.tw/other/ListTown1/Q</t>
  </si>
  <si>
    <t>2dms_pubapi_v1_ListTown1_Q</t>
  </si>
  <si>
    <t>COM_005代碼服務－鄉鎮市區清單(戶政)_嘉義縣</t>
  </si>
  <si>
    <t>API_開放_鄉鎮市區清單(戶政)_嘉義縣</t>
  </si>
  <si>
    <t>https://api.nlsc.gov.tw/other/ListTown1/N</t>
  </si>
  <si>
    <t>2dms_pubapi_v1_ListTown1_N</t>
  </si>
  <si>
    <t>COM_005代碼服務－鄉鎮市區清單(戶政)_彰化縣</t>
  </si>
  <si>
    <t>API_開放_鄉鎮市區清單(戶政)_彰化縣</t>
  </si>
  <si>
    <t>https://api.nlsc.gov.tw/other/ListTown1/B</t>
  </si>
  <si>
    <t>2dms_pubapi_v1_ListTown1_B</t>
  </si>
  <si>
    <t>COM_005代碼服務－鄉鎮市區清單(戶政)_臺中市</t>
  </si>
  <si>
    <t>API_開放_鄉鎮市區清單(戶政)_臺中市</t>
  </si>
  <si>
    <t>https://api.nlsc.gov.tw/other/ListTown1/A</t>
  </si>
  <si>
    <t>2dms_pubapi_v1_ListTown1_A</t>
  </si>
  <si>
    <t>COM_005代碼服務－鄉鎮市區清單(戶政)_臺北市</t>
  </si>
  <si>
    <t>API_開放_鄉鎮市區清單(戶政)_臺北市</t>
  </si>
  <si>
    <t>https://api.nlsc.gov.tw/other/ListTown1/V</t>
  </si>
  <si>
    <t>2dms_pubapi_v1_ListTown1_V</t>
  </si>
  <si>
    <t>COM_005代碼服務－鄉鎮市區清單(戶政)_臺東縣</t>
  </si>
  <si>
    <t>API_開放_鄉鎮市區清單(戶政)_臺東縣</t>
  </si>
  <si>
    <t>https://api.nlsc.gov.tw/other/ListTown1/D</t>
  </si>
  <si>
    <t>2dms_pubapi_v1_ListTown1_D</t>
  </si>
  <si>
    <t>COM_005代碼服務－鄉鎮市區清單(戶政)_臺南市</t>
  </si>
  <si>
    <t>API_開放_鄉鎮市區清單(戶政)_臺南市</t>
  </si>
  <si>
    <t>https://api.nlsc.gov.tw/other/ListTown1/X</t>
  </si>
  <si>
    <t>2dms_pubapi_v1_ListTown1_X</t>
  </si>
  <si>
    <t>COM_005代碼服務－鄉鎮市區清單(戶政)_澎湖縣</t>
  </si>
  <si>
    <t>API_開放_鄉鎮市區清單(戶政)_澎湖縣</t>
  </si>
  <si>
    <t>https://api.nlsc.gov.tw/other/ListLandSection/G/{鄉鎮市區代碼-地政}</t>
  </si>
  <si>
    <t>{town}</t>
  </si>
  <si>
    <t>2dms_pubapi_v1_ListLandSection_G</t>
  </si>
  <si>
    <t>COM_006代碼服務－地段清單_宜蘭縣</t>
  </si>
  <si>
    <t>API_開放_地段清單_宜蘭縣</t>
  </si>
  <si>
    <t>https://api.nlsc.gov.tw/other/ListLandSection/G/{town}</t>
  </si>
  <si>
    <t>API,地籍,行政區</t>
  </si>
  <si>
    <t>https://api.nlsc.gov.tw/other/ListLandSection/U/{鄉鎮市區代碼-地政}</t>
  </si>
  <si>
    <t>2dms_pubapi_v1_ListLandSection_U</t>
  </si>
  <si>
    <t>COM_006代碼服務－地段清單_花蓮縣</t>
  </si>
  <si>
    <t>API_開放_地段清單_花蓮縣</t>
  </si>
  <si>
    <t>https://api.nlsc.gov.tw/other/ListLandSection/U/{town}</t>
  </si>
  <si>
    <t>https://api.nlsc.gov.tw/other/ListLandSection/W/{鄉鎮市區代碼-地政}</t>
  </si>
  <si>
    <t>2dms_pubapi_v1_ListLandSection_W</t>
  </si>
  <si>
    <t>COM_006代碼服務－地段清單_金門縣</t>
  </si>
  <si>
    <t>API_開放_地段清單_金門縣</t>
  </si>
  <si>
    <t>https://api.nlsc.gov.tw/other/ListLandSection/W/{town}</t>
  </si>
  <si>
    <t>https://api.nlsc.gov.tw/other/ListLandSection/M/{鄉鎮市區代碼-地政}</t>
  </si>
  <si>
    <t>2dms_pubapi_v1_ListLandSection_M</t>
  </si>
  <si>
    <t>COM_006代碼服務－地段清單_南投縣</t>
  </si>
  <si>
    <t>API_開放_地段清單_南投縣</t>
  </si>
  <si>
    <t>https://api.nlsc.gov.tw/other/ListLandSection/M/{town}</t>
  </si>
  <si>
    <t>https://api.nlsc.gov.tw/other/ListLandSection/T/{鄉鎮市區代碼-地政}</t>
  </si>
  <si>
    <t>2dms_pubapi_v1_ListLandSection_T</t>
  </si>
  <si>
    <t>COM_006代碼服務－地段清單_屏東縣</t>
  </si>
  <si>
    <t>API_開放_地段清單_屏東縣</t>
  </si>
  <si>
    <t>https://api.nlsc.gov.tw/other/ListLandSection/T/{town}</t>
  </si>
  <si>
    <t>https://api.nlsc.gov.tw/other/ListLandSection/K/{鄉鎮市區代碼-地政}</t>
  </si>
  <si>
    <t>2dms_pubapi_v1_ListLandSection_K</t>
  </si>
  <si>
    <t>COM_006代碼服務－地段清單_苗栗縣</t>
  </si>
  <si>
    <t>API_開放_地段清單_苗栗縣</t>
  </si>
  <si>
    <t>https://api.nlsc.gov.tw/other/ListLandSection/K/{town}</t>
  </si>
  <si>
    <t>https://api.nlsc.gov.tw/other/ListLandSection/H/{鄉鎮市區代碼-地政}</t>
  </si>
  <si>
    <t>2dms_pubapi_v1_ListLandSection_H</t>
  </si>
  <si>
    <t>COM_006代碼服務－地段清單_桃園市</t>
  </si>
  <si>
    <t>API_開放_地段清單_桃園市</t>
  </si>
  <si>
    <t>https://api.nlsc.gov.tw/other/ListLandSection/H/{town}</t>
  </si>
  <si>
    <t>https://api.nlsc.gov.tw/other/ListLandSection/E/{鄉鎮市區代碼-地政}</t>
  </si>
  <si>
    <t>2dms_pubapi_v1_ListLandSection_E</t>
  </si>
  <si>
    <t>COM_006代碼服務－地段清單_高雄市</t>
  </si>
  <si>
    <t>API_開放_地段清單_高雄市</t>
  </si>
  <si>
    <t>https://api.nlsc.gov.tw/other/ListLandSection/E/{town}</t>
  </si>
  <si>
    <t>https://api.nlsc.gov.tw/other/ListLandSection/C/{鄉鎮市區代碼-地政}</t>
  </si>
  <si>
    <t>2dms_pubapi_v1_ListLandSection_C</t>
  </si>
  <si>
    <t>COM_006代碼服務－地段清單_基隆市</t>
  </si>
  <si>
    <t>API_開放_地段清單_基隆市</t>
  </si>
  <si>
    <t>https://api.nlsc.gov.tw/other/ListLandSection/C/{town}</t>
  </si>
  <si>
    <t>https://api.nlsc.gov.tw/other/ListLandSection/Z/{鄉鎮市區代碼-地政}</t>
  </si>
  <si>
    <t>2dms_pubapi_v1_ListLandSection_Z</t>
  </si>
  <si>
    <t>COM_006代碼服務－地段清單_連江縣</t>
  </si>
  <si>
    <t>API_開放_地段清單_連江縣</t>
  </si>
  <si>
    <t>https://api.nlsc.gov.tw/other/ListLandSection/Z/{town}</t>
  </si>
  <si>
    <t>https://api.nlsc.gov.tw/other/ListLandSection/P/{鄉鎮市區代碼-地政}</t>
  </si>
  <si>
    <t>2dms_pubapi_v1_ListLandSection_P</t>
  </si>
  <si>
    <t>COM_006代碼服務－地段清單_雲林縣</t>
  </si>
  <si>
    <t>API_開放_地段清單_雲林縣</t>
  </si>
  <si>
    <t>https://api.nlsc.gov.tw/other/ListLandSection/P/{town}</t>
  </si>
  <si>
    <t>https://api.nlsc.gov.tw/other/ListLandSection/F/{鄉鎮市區代碼-地政}</t>
  </si>
  <si>
    <t>2dms_pubapi_v1_ListLandSection_F</t>
  </si>
  <si>
    <t>COM_006代碼服務－地段清單_新北市</t>
  </si>
  <si>
    <t>API_開放_地段清單_新北市</t>
  </si>
  <si>
    <t>https://api.nlsc.gov.tw/other/ListLandSection/F/{town}</t>
  </si>
  <si>
    <t>https://api.nlsc.gov.tw/other/ListLandSection/O/{鄉鎮市區代碼-地政}</t>
  </si>
  <si>
    <t>2dms_pubapi_v1_ListLandSection_O</t>
  </si>
  <si>
    <t>COM_006代碼服務－地段清單_新竹市</t>
  </si>
  <si>
    <t>API_開放_地段清單_新竹市</t>
  </si>
  <si>
    <t>https://api.nlsc.gov.tw/other/ListLandSection/O/{town}</t>
  </si>
  <si>
    <t>https://api.nlsc.gov.tw/other/ListLandSection/J/{鄉鎮市區代碼-地政}</t>
  </si>
  <si>
    <t>2dms_pubapi_v1_ListLandSection_J</t>
  </si>
  <si>
    <t>COM_006代碼服務－地段清單_新竹縣</t>
  </si>
  <si>
    <t>API_開放_地段清單_新竹縣</t>
  </si>
  <si>
    <t>https://api.nlsc.gov.tw/other/ListLandSection/J/{town}</t>
  </si>
  <si>
    <t>https://api.nlsc.gov.tw/other/ListLandSection/I/{鄉鎮市區代碼-地政}</t>
  </si>
  <si>
    <t>2dms_pubapi_v1_ListLandSection_I</t>
  </si>
  <si>
    <t>COM_006代碼服務－地段清單_嘉義市</t>
  </si>
  <si>
    <t>API_開放_地段清單_嘉義市</t>
  </si>
  <si>
    <t>https://api.nlsc.gov.tw/other/ListLandSection/I/{town}</t>
  </si>
  <si>
    <t>https://api.nlsc.gov.tw/other/ListLandSection/Q/{鄉鎮市區代碼-地政}</t>
  </si>
  <si>
    <t>2dms_pubapi_v1_ListLandSection_Q</t>
  </si>
  <si>
    <t>COM_006代碼服務－地段清單_嘉義縣</t>
  </si>
  <si>
    <t>API_開放_地段清單_嘉義縣</t>
  </si>
  <si>
    <t>https://api.nlsc.gov.tw/other/ListLandSection/Q/{town}</t>
  </si>
  <si>
    <t>https://api.nlsc.gov.tw/other/ListLandSection/N/{鄉鎮市區代碼-地政}</t>
  </si>
  <si>
    <t>2dms_pubapi_v1_ListLandSection_N</t>
  </si>
  <si>
    <t>COM_006代碼服務－地段清單_彰化縣</t>
  </si>
  <si>
    <t>API_開放_地段清單_彰化縣</t>
  </si>
  <si>
    <t>https://api.nlsc.gov.tw/other/ListLandSection/N/{town}</t>
  </si>
  <si>
    <t>https://api.nlsc.gov.tw/other/ListLandSection/B/{鄉鎮市區代碼-地政}</t>
  </si>
  <si>
    <t>2dms_pubapi_v1_ListLandSection_B</t>
  </si>
  <si>
    <t>COM_006代碼服務－地段清單_臺中市</t>
  </si>
  <si>
    <t>API_開放_地段清單_臺中市</t>
  </si>
  <si>
    <t>https://api.nlsc.gov.tw/other/ListLandSection/B/{town}</t>
  </si>
  <si>
    <t>https://api.nlsc.gov.tw/other/ListLandSection/A/{鄉鎮市區代碼-地政}</t>
  </si>
  <si>
    <t>2dms_pubapi_v1_ListLandSection_A</t>
  </si>
  <si>
    <t>COM_006代碼服務－地段清單_臺北市</t>
  </si>
  <si>
    <t>API_開放_地段清單_臺北市</t>
  </si>
  <si>
    <t>https://api.nlsc.gov.tw/other/ListLandSection/A/{town}</t>
  </si>
  <si>
    <t>https://api.nlsc.gov.tw/other/ListLandSection/V/{鄉鎮市區代碼-地政}</t>
  </si>
  <si>
    <t>2dms_pubapi_v1_ListLandSection_V</t>
  </si>
  <si>
    <t>COM_006代碼服務－地段清單_臺東縣</t>
  </si>
  <si>
    <t>API_開放_地段清單_臺東縣</t>
  </si>
  <si>
    <t>https://api.nlsc.gov.tw/other/ListLandSection/V/{town}</t>
  </si>
  <si>
    <t>https://api.nlsc.gov.tw/other/ListLandSection/D/{鄉鎮市區代碼-地政}</t>
  </si>
  <si>
    <t>2dms_pubapi_v1_ListLandSection_D</t>
  </si>
  <si>
    <t>COM_006代碼服務－地段清單_臺南市</t>
  </si>
  <si>
    <t>API_開放_地段清單_臺南市</t>
  </si>
  <si>
    <t>https://api.nlsc.gov.tw/other/ListLandSection/D/{town}</t>
  </si>
  <si>
    <t>https://api.nlsc.gov.tw/other/ListLandSection/X/{鄉鎮市區代碼-地政}</t>
  </si>
  <si>
    <t>2dms_pubapi_v1_ListLandSection_X</t>
  </si>
  <si>
    <t>COM_006代碼服務－地段清單_澎湖縣</t>
  </si>
  <si>
    <t>API_開放_地段清單_澎湖縣</t>
  </si>
  <si>
    <t>https://api.nlsc.gov.tw/other/ListLandSection/X/{town}</t>
  </si>
  <si>
    <t>https://api.nlsc.gov.tw/other/ListVillage/G/{鄉鎮市區代碼-地政}</t>
  </si>
  <si>
    <t>2dms_pubapi_v1_ListVillage_G</t>
  </si>
  <si>
    <t>COM_007代碼服務－村里清單_宜蘭縣</t>
  </si>
  <si>
    <t>API_開放_村里清單_宜蘭縣</t>
  </si>
  <si>
    <t>https://api.nlsc.gov.tw/other/ListVillage/G/{town}</t>
  </si>
  <si>
    <t>https://api.nlsc.gov.tw/other/ListVillage/U/{鄉鎮市區代碼-地政}</t>
  </si>
  <si>
    <t>2dms_pubapi_v1_ListVillage_U</t>
  </si>
  <si>
    <t>COM_007代碼服務－村里清單_花蓮縣</t>
  </si>
  <si>
    <t>API_開放_村里清單_花蓮縣</t>
  </si>
  <si>
    <t>https://api.nlsc.gov.tw/other/ListVillage/U/{town}</t>
  </si>
  <si>
    <t>https://api.nlsc.gov.tw/other/ListVillage/W/{鄉鎮市區代碼-地政}</t>
  </si>
  <si>
    <t>2dms_pubapi_v1_ListVillage_W</t>
  </si>
  <si>
    <t>COM_007代碼服務－村里清單_金門縣</t>
  </si>
  <si>
    <t>API_開放_村里清單_金門縣</t>
  </si>
  <si>
    <t>https://api.nlsc.gov.tw/other/ListVillage/W/{town}</t>
  </si>
  <si>
    <t>https://api.nlsc.gov.tw/other/ListVillage/M/{鄉鎮市區代碼-地政}</t>
  </si>
  <si>
    <t>2dms_pubapi_v1_ListVillage_M</t>
  </si>
  <si>
    <t>COM_007代碼服務－村里清單_南投縣</t>
  </si>
  <si>
    <t>API_開放_村里清單_南投縣</t>
  </si>
  <si>
    <t>https://api.nlsc.gov.tw/other/ListVillage/M/{town}</t>
  </si>
  <si>
    <t>https://api.nlsc.gov.tw/other/ListVillage/T/{鄉鎮市區代碼-地政}</t>
  </si>
  <si>
    <t>2dms_pubapi_v1_ListVillage_T</t>
  </si>
  <si>
    <t>COM_007代碼服務－村里清單_屏東縣</t>
  </si>
  <si>
    <t>API_開放_村里清單_屏東縣</t>
  </si>
  <si>
    <t>https://api.nlsc.gov.tw/other/ListVillage/T/{town}</t>
  </si>
  <si>
    <t>https://api.nlsc.gov.tw/other/ListVillage/K/{鄉鎮市區代碼-地政}</t>
  </si>
  <si>
    <t>2dms_pubapi_v1_ListVillage_K</t>
  </si>
  <si>
    <t>COM_007代碼服務－村里清單_苗栗縣</t>
  </si>
  <si>
    <t>API_開放_村里清單_苗栗縣</t>
  </si>
  <si>
    <t>https://api.nlsc.gov.tw/other/ListVillage/K/{town}</t>
  </si>
  <si>
    <t>https://api.nlsc.gov.tw/other/ListVillage/H/{鄉鎮市區代碼-地政}</t>
  </si>
  <si>
    <t>2dms_pubapi_v1_ListVillage_H</t>
  </si>
  <si>
    <t>COM_007代碼服務－村里清單_桃園市</t>
  </si>
  <si>
    <t>API_開放_村里清單_桃園市</t>
  </si>
  <si>
    <t>https://api.nlsc.gov.tw/other/ListVillage/H/{town}</t>
  </si>
  <si>
    <t>https://api.nlsc.gov.tw/other/ListVillage/E/{鄉鎮市區代碼-地政}</t>
  </si>
  <si>
    <t>2dms_pubapi_v1_ListVillage_E</t>
  </si>
  <si>
    <t>COM_007代碼服務－村里清單_高雄市</t>
  </si>
  <si>
    <t>API_開放_村里清單_高雄市</t>
  </si>
  <si>
    <t>https://api.nlsc.gov.tw/other/ListVillage/E/{town}</t>
  </si>
  <si>
    <t>https://api.nlsc.gov.tw/other/ListVillage/C/{鄉鎮市區代碼-地政}</t>
  </si>
  <si>
    <t>2dms_pubapi_v1_ListVillage_C</t>
  </si>
  <si>
    <t>COM_007代碼服務－村里清單_基隆市</t>
  </si>
  <si>
    <t>API_開放_村里清單_基隆市</t>
  </si>
  <si>
    <t>https://api.nlsc.gov.tw/other/ListVillage/C/{town}</t>
  </si>
  <si>
    <t>https://api.nlsc.gov.tw/other/ListVillage/Z/{鄉鎮市區代碼-地政}</t>
  </si>
  <si>
    <t>2dms_pubapi_v1_ListVillage_Z</t>
  </si>
  <si>
    <t>COM_007代碼服務－村里清單_連江縣</t>
  </si>
  <si>
    <t>API_開放_村里清單_連江縣</t>
  </si>
  <si>
    <t>https://api.nlsc.gov.tw/other/ListVillage/Z/{town}</t>
  </si>
  <si>
    <t>https://api.nlsc.gov.tw/other/ListVillage/P/{鄉鎮市區代碼-地政}</t>
  </si>
  <si>
    <t>2dms_pubapi_v1_ListVillage_P</t>
  </si>
  <si>
    <t>COM_007代碼服務－村里清單_雲林縣</t>
  </si>
  <si>
    <t>API_開放_村里清單_雲林縣</t>
  </si>
  <si>
    <t>https://api.nlsc.gov.tw/other/ListVillage/P/{town}</t>
  </si>
  <si>
    <t>https://api.nlsc.gov.tw/other/ListVillage/F/{鄉鎮市區代碼-地政}</t>
  </si>
  <si>
    <t>2dms_pubapi_v1_ListVillage_F</t>
  </si>
  <si>
    <t>COM_007代碼服務－村里清單_新北市</t>
  </si>
  <si>
    <t>API_開放_村里清單_新北市</t>
  </si>
  <si>
    <t>https://api.nlsc.gov.tw/other/ListVillage/F/{town}</t>
  </si>
  <si>
    <t>https://api.nlsc.gov.tw/other/ListVillage/O/{鄉鎮市區代碼-地政}</t>
  </si>
  <si>
    <t>2dms_pubapi_v1_ListVillage_O</t>
  </si>
  <si>
    <t>COM_007代碼服務－村里清單_新竹市</t>
  </si>
  <si>
    <t>API_開放_村里清單_新竹市</t>
  </si>
  <si>
    <t>https://api.nlsc.gov.tw/other/ListVillage/O/{town}</t>
  </si>
  <si>
    <t>https://api.nlsc.gov.tw/other/ListVillage/J/{鄉鎮市區代碼-地政}</t>
  </si>
  <si>
    <t>2dms_pubapi_v1_ListVillage_J</t>
  </si>
  <si>
    <t>COM_007代碼服務－村里清單_新竹縣</t>
  </si>
  <si>
    <t>API_開放_村里清單_新竹縣</t>
  </si>
  <si>
    <t>https://api.nlsc.gov.tw/other/ListVillage/J/{town}</t>
  </si>
  <si>
    <t>https://api.nlsc.gov.tw/other/ListVillage/I/{鄉鎮市區代碼-地政}</t>
  </si>
  <si>
    <t>2dms_pubapi_v1_ListVillage_I</t>
  </si>
  <si>
    <t>COM_007代碼服務－村里清單_嘉義市</t>
  </si>
  <si>
    <t>API_開放_村里清單_嘉義市</t>
  </si>
  <si>
    <t>https://api.nlsc.gov.tw/other/ListVillage/I/{town}</t>
  </si>
  <si>
    <t>https://api.nlsc.gov.tw/other/ListVillage/Q/{鄉鎮市區代碼-地政}</t>
  </si>
  <si>
    <t>2dms_pubapi_v1_ListVillage_Q</t>
  </si>
  <si>
    <t>COM_007代碼服務－村里清單_嘉義縣</t>
  </si>
  <si>
    <t>API_開放_村里清單_嘉義縣</t>
  </si>
  <si>
    <t>https://api.nlsc.gov.tw/other/ListVillage/Q/{town}</t>
  </si>
  <si>
    <t>https://api.nlsc.gov.tw/other/ListVillage/N/{鄉鎮市區代碼-地政}</t>
  </si>
  <si>
    <t>2dms_pubapi_v1_ListVillage_N</t>
  </si>
  <si>
    <t>COM_007代碼服務－村里清單_彰化縣</t>
  </si>
  <si>
    <t>API_開放_村里清單_彰化縣</t>
  </si>
  <si>
    <t>https://api.nlsc.gov.tw/other/ListVillage/N/{town}</t>
  </si>
  <si>
    <t>https://api.nlsc.gov.tw/other/ListVillage/B/{鄉鎮市區代碼-地政}</t>
  </si>
  <si>
    <t>2dms_pubapi_v1_ListVillage_B</t>
  </si>
  <si>
    <t>COM_007代碼服務－村里清單_臺中市</t>
  </si>
  <si>
    <t>API_開放_村里清單_臺中市</t>
  </si>
  <si>
    <t>https://api.nlsc.gov.tw/other/ListVillage/B/{town}</t>
  </si>
  <si>
    <t>https://api.nlsc.gov.tw/other/ListVillage/A/{鄉鎮市區代碼-地政}</t>
  </si>
  <si>
    <t>2dms_pubapi_v1_ListVillage_A</t>
  </si>
  <si>
    <t>COM_007代碼服務－村里清單_臺北市</t>
  </si>
  <si>
    <t>API_開放_村里清單_臺北市</t>
  </si>
  <si>
    <t>https://api.nlsc.gov.tw/other/ListVillage/A/{town}</t>
  </si>
  <si>
    <t>https://api.nlsc.gov.tw/other/ListVillage/V/{鄉鎮市區代碼-地政}</t>
  </si>
  <si>
    <t>2dms_pubapi_v1_ListVillage_V</t>
  </si>
  <si>
    <t>COM_007代碼服務－村里清單_臺東縣</t>
  </si>
  <si>
    <t>API_開放_村里清單_臺東縣</t>
  </si>
  <si>
    <t>https://api.nlsc.gov.tw/other/ListVillage/V/{town}</t>
  </si>
  <si>
    <t>https://api.nlsc.gov.tw/other/ListVillage/D/{鄉鎮市區代碼-地政}</t>
  </si>
  <si>
    <t>2dms_pubapi_v1_ListVillage_D</t>
  </si>
  <si>
    <t>COM_007代碼服務－村里清單_臺南市</t>
  </si>
  <si>
    <t>API_開放_村里清單_臺南市</t>
  </si>
  <si>
    <t>https://api.nlsc.gov.tw/other/ListVillage/D/{town}</t>
  </si>
  <si>
    <t>https://api.nlsc.gov.tw/other/ListVillage/X/{鄉鎮市區代碼-地政}</t>
  </si>
  <si>
    <t>2dms_pubapi_v1_ListVillage_X</t>
  </si>
  <si>
    <t>COM_007代碼服務－村里清單_澎湖縣</t>
  </si>
  <si>
    <t>API_開放_村里清單_澎湖縣</t>
  </si>
  <si>
    <t>https://api.nlsc.gov.tw/other/ListVillage/X/{town}</t>
  </si>
  <si>
    <t>https://api.nlsc.gov.tw/other/GetMapVillage/{縣市代碼（可填空值或NULL）}/{鄉鎮市區代碼（可填空值或NULL）}/{村里代碼（戶役政資訊系統資料代碼）}[/坐標類別代碼(4326、3826，預設使用經緯度4326)]</t>
  </si>
  <si>
    <t>{cty}/{town}/{village}/{epsg}</t>
  </si>
  <si>
    <t>2dms_pubapi_v1_GetMapVillage</t>
  </si>
  <si>
    <t>COM_008代碼服務－村里圖形(戶政)</t>
  </si>
  <si>
    <t>API_開放_村里界線範圍圖形(戶政)_全國</t>
  </si>
  <si>
    <t>https://api.nlsc.gov.tw/other/GetMapVillage/{cty}/{town}/{village}/{epsg}</t>
  </si>
  <si>
    <t>https://api.nlsc.gov.tw/other/MarkBufferAnlys/edu/{經度}/{緯度}/{半徑範圍(公尺)}</t>
  </si>
  <si>
    <t>{x}/{y}/{radius}</t>
  </si>
  <si>
    <t>2dms_pubapi_v1_MarkBufferAnlysEdu</t>
  </si>
  <si>
    <t>COM_009查詢文教設施</t>
  </si>
  <si>
    <t>API_開放_查詢文教設施_全國</t>
  </si>
  <si>
    <t>https://api.nlsc.gov.tw/other/MarkBufferAnlys/edu/{x}/{y}/{radius}</t>
  </si>
  <si>
    <t>API</t>
  </si>
  <si>
    <t>https://api.nlsc.gov.tw/other/MarkBufferAnlys/med/{經度}/{緯度}/{半徑範圍(公尺)}</t>
  </si>
  <si>
    <t>2dms_pubapi_v1_MarkBufferAnlysMed</t>
  </si>
  <si>
    <t>COM_010查詢醫療設施</t>
  </si>
  <si>
    <t>API_開放_查詢醫療設施_全國</t>
  </si>
  <si>
    <t>https://api.nlsc.gov.tw/other/MarkBufferAnlys/med/{x}/{y}/{radius}</t>
  </si>
  <si>
    <t>https://api.nlsc.gov.tw/other/MarkBufferAnlys/bus/{經度}/{緯度}/{半徑範圍(公尺)}</t>
  </si>
  <si>
    <t>2dms_pubapi_v1_MarkBufferAnlysBus</t>
  </si>
  <si>
    <t>COM_011查詢工商設施</t>
  </si>
  <si>
    <t>API_開放_查詢工商設施_全國</t>
  </si>
  <si>
    <t>https://api.nlsc.gov.tw/other/MarkBufferAnlys/bus/{x}/{y}/{radius}</t>
  </si>
  <si>
    <t>https://api.nlsc.gov.tw/other/MarkBufferAnlys/dis/{經度}/{緯度}/{半徑範圍(公尺)}</t>
  </si>
  <si>
    <t>2dms_pubapi_v1_MarkBufferAnlysDis</t>
  </si>
  <si>
    <t>COM_012查詢鄰避設施</t>
  </si>
  <si>
    <t>API_開放_查詢鄰避設施_全國</t>
  </si>
  <si>
    <t>https://api.nlsc.gov.tw/other/MarkBufferAnlys/dis/{x}/{y}/{radius}</t>
  </si>
  <si>
    <t>https://api.nlsc.gov.tw/idc/ListRoadM/G/{鄉鎮市區代碼-地政}</t>
  </si>
  <si>
    <t>2dms_pubapi_v1_ListRoadM_G</t>
  </si>
  <si>
    <t>COM_014交叉路口-鄉鎮市區查詢道路列表_宜蘭縣</t>
  </si>
  <si>
    <t>API_開放_鄉鎮市區查詢道路列表_宜蘭縣</t>
  </si>
  <si>
    <t>https://api.nlsc.gov.tw/idc/ListRoadM/G/{town}</t>
  </si>
  <si>
    <t>API,路名,行政區</t>
  </si>
  <si>
    <t>https://api.nlsc.gov.tw/idc/ListRoadM/U/{鄉鎮市區代碼-地政}</t>
  </si>
  <si>
    <t>2dms_pubapi_v1_ListRoadM_U</t>
  </si>
  <si>
    <t>COM_014交叉路口-鄉鎮市區查詢道路列表_花蓮縣</t>
  </si>
  <si>
    <t>API_開放_鄉鎮市區查詢道路列表_花蓮縣</t>
  </si>
  <si>
    <t>https://api.nlsc.gov.tw/idc/ListRoadM/U/{town}</t>
  </si>
  <si>
    <t>https://api.nlsc.gov.tw/idc/ListRoadM/W/{鄉鎮市區代碼-地政}</t>
  </si>
  <si>
    <t>2dms_pubapi_v1_ListRoadM_W</t>
  </si>
  <si>
    <t>COM_014交叉路口-鄉鎮市區查詢道路列表_金門縣</t>
  </si>
  <si>
    <t>API_開放_鄉鎮市區查詢道路列表_金門縣</t>
  </si>
  <si>
    <t>https://api.nlsc.gov.tw/idc/ListRoadM/W/{town}</t>
  </si>
  <si>
    <t>https://api.nlsc.gov.tw/idc/ListRoadM/M/{鄉鎮市區代碼-地政}</t>
  </si>
  <si>
    <t>2dms_pubapi_v1_ListRoadM_M</t>
  </si>
  <si>
    <t>COM_014交叉路口-鄉鎮市區查詢道路列表_南投縣</t>
  </si>
  <si>
    <t>API_開放_鄉鎮市區查詢道路列表_南投縣</t>
  </si>
  <si>
    <t>https://api.nlsc.gov.tw/idc/ListRoadM/M/{town}</t>
  </si>
  <si>
    <t>https://api.nlsc.gov.tw/idc/ListRoadM/T/{鄉鎮市區代碼-地政}</t>
  </si>
  <si>
    <t>2dms_pubapi_v1_ListRoadM_T</t>
  </si>
  <si>
    <t>COM_014交叉路口-鄉鎮市區查詢道路列表_屏東縣</t>
  </si>
  <si>
    <t>API_開放_鄉鎮市區查詢道路列表_屏東縣</t>
  </si>
  <si>
    <t>https://api.nlsc.gov.tw/idc/ListRoadM/T/{town}</t>
  </si>
  <si>
    <t>https://api.nlsc.gov.tw/idc/ListRoadM/K/{鄉鎮市區代碼-地政}</t>
  </si>
  <si>
    <t>2dms_pubapi_v1_ListRoadM_K</t>
  </si>
  <si>
    <t>COM_014交叉路口-鄉鎮市區查詢道路列表_苗栗縣</t>
  </si>
  <si>
    <t>API_開放_鄉鎮市區查詢道路列表_苗栗縣</t>
  </si>
  <si>
    <t>https://api.nlsc.gov.tw/idc/ListRoadM/K/{town}</t>
  </si>
  <si>
    <t>https://api.nlsc.gov.tw/idc/ListRoadM/H/{鄉鎮市區代碼-地政}</t>
  </si>
  <si>
    <t>2dms_pubapi_v1_ListRoadM_H</t>
  </si>
  <si>
    <t>COM_014交叉路口-鄉鎮市區查詢道路列表_桃園市</t>
  </si>
  <si>
    <t>API_開放_鄉鎮市區查詢道路列表_桃園市</t>
  </si>
  <si>
    <t>https://api.nlsc.gov.tw/idc/ListRoadM/H/{town}</t>
  </si>
  <si>
    <t>https://api.nlsc.gov.tw/idc/ListRoadM/E/{鄉鎮市區代碼-地政}</t>
  </si>
  <si>
    <t>2dms_pubapi_v1_ListRoadM_E</t>
  </si>
  <si>
    <t>COM_014交叉路口-鄉鎮市區查詢道路列表_高雄市</t>
  </si>
  <si>
    <t>API_開放_鄉鎮市區查詢道路列表_高雄市</t>
  </si>
  <si>
    <t>https://api.nlsc.gov.tw/idc/ListRoadM/E/{town}</t>
  </si>
  <si>
    <t>https://api.nlsc.gov.tw/idc/ListRoadM/C/{鄉鎮市區代碼-地政}</t>
  </si>
  <si>
    <t>2dms_pubapi_v1_ListRoadM_C</t>
  </si>
  <si>
    <t>COM_014交叉路口-鄉鎮市區查詢道路列表_基隆市</t>
  </si>
  <si>
    <t>API_開放_鄉鎮市區查詢道路列表_基隆市</t>
  </si>
  <si>
    <t>https://api.nlsc.gov.tw/idc/ListRoadM/C/{town}</t>
  </si>
  <si>
    <t>https://api.nlsc.gov.tw/idc/ListRoadM/Z/{鄉鎮市區代碼-地政}</t>
  </si>
  <si>
    <t>2dms_pubapi_v1_ListRoadM_Z</t>
  </si>
  <si>
    <t>COM_014交叉路口-鄉鎮市區查詢道路列表_連江縣</t>
  </si>
  <si>
    <t>API_開放_鄉鎮市區查詢道路列表_連江縣</t>
  </si>
  <si>
    <t>https://api.nlsc.gov.tw/idc/ListRoadM/Z/{town}</t>
  </si>
  <si>
    <t>https://api.nlsc.gov.tw/idc/ListRoadM/P/{鄉鎮市區代碼-地政}</t>
  </si>
  <si>
    <t>2dms_pubapi_v1_ListRoadM_P</t>
  </si>
  <si>
    <t>COM_014交叉路口-鄉鎮市區查詢道路列表_雲林縣</t>
  </si>
  <si>
    <t>API_開放_鄉鎮市區查詢道路列表_雲林縣</t>
  </si>
  <si>
    <t>https://api.nlsc.gov.tw/idc/ListRoadM/P/{town}</t>
  </si>
  <si>
    <t>https://api.nlsc.gov.tw/idc/ListRoadM/F/{鄉鎮市區代碼-地政}</t>
  </si>
  <si>
    <t>2dms_pubapi_v1_ListRoadM_F</t>
  </si>
  <si>
    <t>COM_014交叉路口-鄉鎮市區查詢道路列表_新北市</t>
  </si>
  <si>
    <t>API_開放_鄉鎮市區查詢道路列表_新北市</t>
  </si>
  <si>
    <t>https://api.nlsc.gov.tw/idc/ListRoadM/F/{town}</t>
  </si>
  <si>
    <t>https://api.nlsc.gov.tw/idc/ListRoadM/O/{鄉鎮市區代碼-地政}</t>
  </si>
  <si>
    <t>2dms_pubapi_v1_ListRoadM_O</t>
  </si>
  <si>
    <t>COM_014交叉路口-鄉鎮市區查詢道路列表_新竹市</t>
  </si>
  <si>
    <t>API_開放_鄉鎮市區查詢道路列表_新竹市</t>
  </si>
  <si>
    <t>https://api.nlsc.gov.tw/idc/ListRoadM/O/{town}</t>
  </si>
  <si>
    <t>https://api.nlsc.gov.tw/idc/ListRoadM/J/{鄉鎮市區代碼-地政}</t>
  </si>
  <si>
    <t>2dms_pubapi_v1_ListRoadM_J</t>
  </si>
  <si>
    <t>COM_014交叉路口-鄉鎮市區查詢道路列表_新竹縣</t>
  </si>
  <si>
    <t>API_開放_鄉鎮市區查詢道路列表_新竹縣</t>
  </si>
  <si>
    <t>https://api.nlsc.gov.tw/idc/ListRoadM/J/{town}</t>
  </si>
  <si>
    <t>https://api.nlsc.gov.tw/idc/ListRoadM/I/{鄉鎮市區代碼-地政}</t>
  </si>
  <si>
    <t>2dms_pubapi_v1_ListRoadM_I</t>
  </si>
  <si>
    <t>COM_014交叉路口-鄉鎮市區查詢道路列表_嘉義市</t>
  </si>
  <si>
    <t>API_開放_鄉鎮市區查詢道路列表_嘉義市</t>
  </si>
  <si>
    <t>https://api.nlsc.gov.tw/idc/ListRoadM/I/{town}</t>
  </si>
  <si>
    <t>https://api.nlsc.gov.tw/idc/ListRoadM/Q/{鄉鎮市區代碼-地政}</t>
  </si>
  <si>
    <t>2dms_pubapi_v1_ListRoadM_Q</t>
  </si>
  <si>
    <t>COM_014交叉路口-鄉鎮市區查詢道路列表_嘉義縣</t>
  </si>
  <si>
    <t>API_開放_鄉鎮市區查詢道路列表_嘉義縣</t>
  </si>
  <si>
    <t>https://api.nlsc.gov.tw/idc/ListRoadM/Q/{town}</t>
  </si>
  <si>
    <t>https://api.nlsc.gov.tw/idc/ListRoadM/N/{鄉鎮市區代碼-地政}</t>
  </si>
  <si>
    <t>2dms_pubapi_v1_ListRoadM_N</t>
  </si>
  <si>
    <t>COM_014交叉路口-鄉鎮市區查詢道路列表_彰化縣</t>
  </si>
  <si>
    <t>API_開放_鄉鎮市區查詢道路列表_彰化縣</t>
  </si>
  <si>
    <t>https://api.nlsc.gov.tw/idc/ListRoadM/N/{town}</t>
  </si>
  <si>
    <t>https://api.nlsc.gov.tw/idc/ListRoadM/B/{鄉鎮市區代碼-地政}</t>
  </si>
  <si>
    <t>2dms_pubapi_v1_ListRoadM_B</t>
  </si>
  <si>
    <t>COM_014交叉路口-鄉鎮市區查詢道路列表_臺中市</t>
  </si>
  <si>
    <t>API_開放_鄉鎮市區查詢道路列表_臺中市</t>
  </si>
  <si>
    <t>https://api.nlsc.gov.tw/idc/ListRoadM/B/{town}</t>
  </si>
  <si>
    <t>https://api.nlsc.gov.tw/idc/ListRoadM/A/{鄉鎮市區代碼-地政}</t>
  </si>
  <si>
    <t>2dms_pubapi_v1_ListRoadM_A</t>
  </si>
  <si>
    <t>COM_014交叉路口-鄉鎮市區查詢道路列表_臺北市</t>
  </si>
  <si>
    <t>API_開放_鄉鎮市區查詢道路列表_臺北市</t>
  </si>
  <si>
    <t>https://api.nlsc.gov.tw/idc/ListRoadM/A/{town}</t>
  </si>
  <si>
    <t>https://api.nlsc.gov.tw/idc/ListRoadM/V/{鄉鎮市區代碼-地政}</t>
  </si>
  <si>
    <t>2dms_pubapi_v1_ListRoadM_V</t>
  </si>
  <si>
    <t>COM_014交叉路口-鄉鎮市區查詢道路列表_臺東縣</t>
  </si>
  <si>
    <t>API_開放_鄉鎮市區查詢道路列表_臺東縣</t>
  </si>
  <si>
    <t>https://api.nlsc.gov.tw/idc/ListRoadM/V/{town}</t>
  </si>
  <si>
    <t>https://api.nlsc.gov.tw/idc/ListRoadM/D/{鄉鎮市區代碼-地政}</t>
  </si>
  <si>
    <t>2dms_pubapi_v1_ListRoadM_D</t>
  </si>
  <si>
    <t>COM_014交叉路口-鄉鎮市區查詢道路列表_臺南市</t>
  </si>
  <si>
    <t>API_開放_鄉鎮市區查詢道路列表_臺南市</t>
  </si>
  <si>
    <t>https://api.nlsc.gov.tw/idc/ListRoadM/D/{town}</t>
  </si>
  <si>
    <t>https://api.nlsc.gov.tw/idc/ListRoadM/X/{鄉鎮市區代碼-地政}</t>
  </si>
  <si>
    <t>2dms_pubapi_v1_ListRoadM_X</t>
  </si>
  <si>
    <t>COM_014交叉路口-鄉鎮市區查詢道路列表_澎湖縣</t>
  </si>
  <si>
    <t>API_開放_鄉鎮市區查詢道路列表_澎湖縣</t>
  </si>
  <si>
    <t>https://api.nlsc.gov.tw/idc/ListRoadM/X/{town}</t>
  </si>
  <si>
    <t>https://api.nlsc.gov.tw/idc/TextQueryRoad/G/{道路關鍵字}</t>
  </si>
  <si>
    <t>{queryString}</t>
  </si>
  <si>
    <t>2dms_pubapi_v1_TextQueryRoad_G</t>
  </si>
  <si>
    <t>COM_015 交叉路口-縣市道路關鍵字查詢主要道路-宜蘭縣</t>
  </si>
  <si>
    <t>API_開放_縣市道路關鍵字查詢主要道路_宜蘭縣</t>
  </si>
  <si>
    <t>https://api.nlsc.gov.tw/idc/TextQueryRoad/G/{queryString}</t>
  </si>
  <si>
    <t>https://api.nlsc.gov.tw/idc/TextQueryRoad/U/{道路關鍵字}</t>
  </si>
  <si>
    <t>2dms_pubapi_v1_TextQueryRoad_U</t>
  </si>
  <si>
    <t>COM_015 交叉路口-縣市道路關鍵字查詢主要道路-花蓮縣</t>
  </si>
  <si>
    <t>API_開放_縣市道路關鍵字查詢主要道路_花蓮縣</t>
  </si>
  <si>
    <t>https://api.nlsc.gov.tw/idc/TextQueryRoad/U/{queryString}</t>
  </si>
  <si>
    <t>https://api.nlsc.gov.tw/idc/TextQueryRoad/W/{道路關鍵字}</t>
  </si>
  <si>
    <t>2dms_pubapi_v1_TextQueryRoad_W</t>
  </si>
  <si>
    <t>COM_015 交叉路口-縣市道路關鍵字查詢主要道路-金門縣</t>
  </si>
  <si>
    <t>API_開放_縣市道路關鍵字查詢主要道路_金門縣</t>
  </si>
  <si>
    <t>https://api.nlsc.gov.tw/idc/TextQueryRoad/W/{queryString}</t>
  </si>
  <si>
    <t>https://api.nlsc.gov.tw/idc/TextQueryRoad/M/{道路關鍵字}</t>
  </si>
  <si>
    <t>2dms_pubapi_v1_TextQueryRoad_M</t>
  </si>
  <si>
    <t>COM_015 交叉路口-縣市道路關鍵字查詢主要道路-南投縣</t>
  </si>
  <si>
    <t>API_開放_縣市道路關鍵字查詢主要道路_南投縣</t>
  </si>
  <si>
    <t>https://api.nlsc.gov.tw/idc/TextQueryRoad/M/{queryString}</t>
  </si>
  <si>
    <t>https://api.nlsc.gov.tw/idc/TextQueryRoad/T/{道路關鍵字}</t>
  </si>
  <si>
    <t>2dms_pubapi_v1_TextQueryRoad_T</t>
  </si>
  <si>
    <t>COM_015 交叉路口-縣市道路關鍵字查詢主要道路-屏東縣</t>
  </si>
  <si>
    <t>API_開放_縣市道路關鍵字查詢主要道路_屏東縣</t>
  </si>
  <si>
    <t>https://api.nlsc.gov.tw/idc/TextQueryRoad/T/{queryString}</t>
  </si>
  <si>
    <t>https://api.nlsc.gov.tw/idc/TextQueryRoad/K/{道路關鍵字}</t>
  </si>
  <si>
    <t>2dms_pubapi_v1_TextQueryRoad_K</t>
  </si>
  <si>
    <t>COM_015 交叉路口-縣市道路關鍵字查詢主要道路-苗栗縣</t>
  </si>
  <si>
    <t>API_開放_縣市道路關鍵字查詢主要道路_苗栗縣</t>
  </si>
  <si>
    <t>https://api.nlsc.gov.tw/idc/TextQueryRoad/K/{queryString}</t>
  </si>
  <si>
    <t>https://api.nlsc.gov.tw/idc/TextQueryRoad/H/{道路關鍵字}</t>
  </si>
  <si>
    <t>2dms_pubapi_v1_TextQueryRoad_H</t>
  </si>
  <si>
    <t>COM_015 交叉路口-縣市道路關鍵字查詢主要道路-桃園市</t>
  </si>
  <si>
    <t>API_開放_縣市道路關鍵字查詢主要道路_桃園市</t>
  </si>
  <si>
    <t>https://api.nlsc.gov.tw/idc/TextQueryRoad/H/{queryString}</t>
  </si>
  <si>
    <t>https://api.nlsc.gov.tw/idc/TextQueryRoad/E/{道路關鍵字}</t>
  </si>
  <si>
    <t>2dms_pubapi_v1_TextQueryRoad_E</t>
  </si>
  <si>
    <t>COM_015 交叉路口-縣市道路關鍵字查詢主要道路-高雄市</t>
  </si>
  <si>
    <t>API_開放_縣市道路關鍵字查詢主要道路_高雄市</t>
  </si>
  <si>
    <t>https://api.nlsc.gov.tw/idc/TextQueryRoad/E/{queryString}</t>
  </si>
  <si>
    <t>https://api.nlsc.gov.tw/idc/TextQueryRoad/C/{道路關鍵字}</t>
  </si>
  <si>
    <t>2dms_pubapi_v1_TextQueryRoad_C</t>
  </si>
  <si>
    <t>COM_015 交叉路口-縣市道路關鍵字查詢主要道路-基隆市</t>
  </si>
  <si>
    <t>API_開放_縣市道路關鍵字查詢主要道路_基隆市</t>
  </si>
  <si>
    <t>https://api.nlsc.gov.tw/idc/TextQueryRoad/C/{queryString}</t>
  </si>
  <si>
    <t>https://api.nlsc.gov.tw/idc/TextQueryRoad/Z/{道路關鍵字}</t>
  </si>
  <si>
    <t>2dms_pubapi_v1_TextQueryRoad_Z</t>
  </si>
  <si>
    <t>COM_015 交叉路口-縣市道路關鍵字查詢主要道路-連江縣</t>
  </si>
  <si>
    <t>API_開放_縣市道路關鍵字查詢主要道路_連江縣</t>
  </si>
  <si>
    <t>https://api.nlsc.gov.tw/idc/TextQueryRoad/Z/{queryString}</t>
  </si>
  <si>
    <t>https://api.nlsc.gov.tw/idc/TextQueryRoad/P/{道路關鍵字}</t>
  </si>
  <si>
    <t>2dms_pubapi_v1_TextQueryRoad_P</t>
  </si>
  <si>
    <t>COM_015 交叉路口-縣市道路關鍵字查詢主要道路-雲林縣</t>
  </si>
  <si>
    <t>API_開放_縣市道路關鍵字查詢主要道路_雲林縣</t>
  </si>
  <si>
    <t>https://api.nlsc.gov.tw/idc/TextQueryRoad/P/{queryString}</t>
  </si>
  <si>
    <t>https://api.nlsc.gov.tw/idc/TextQueryRoad/F/{道路關鍵字}</t>
  </si>
  <si>
    <t>2dms_pubapi_v1_TextQueryRoad_F</t>
  </si>
  <si>
    <t>COM_015 交叉路口-縣市道路關鍵字查詢主要道路-新北市</t>
  </si>
  <si>
    <t>API_開放_縣市道路關鍵字查詢主要道路_新北市</t>
  </si>
  <si>
    <t>https://api.nlsc.gov.tw/idc/TextQueryRoad/F/{queryString}</t>
  </si>
  <si>
    <t>https://api.nlsc.gov.tw/idc/TextQueryRoad/O/{道路關鍵字}</t>
  </si>
  <si>
    <t>2dms_pubapi_v1_TextQueryRoad_O</t>
  </si>
  <si>
    <t>COM_015 交叉路口-縣市道路關鍵字查詢主要道路-新竹市</t>
  </si>
  <si>
    <t>API_開放_縣市道路關鍵字查詢主要道路_新竹市</t>
  </si>
  <si>
    <t>https://api.nlsc.gov.tw/idc/TextQueryRoad/O/{queryString}</t>
  </si>
  <si>
    <t>https://api.nlsc.gov.tw/idc/TextQueryRoad/J/{道路關鍵字}</t>
  </si>
  <si>
    <t>2dms_pubapi_v1_TextQueryRoad_J</t>
  </si>
  <si>
    <t>COM_015 交叉路口-縣市道路關鍵字查詢主要道路-新竹縣</t>
  </si>
  <si>
    <t>API_開放_縣市道路關鍵字查詢主要道路_新竹縣</t>
  </si>
  <si>
    <t>https://api.nlsc.gov.tw/idc/TextQueryRoad/J/{queryString}</t>
  </si>
  <si>
    <t>https://api.nlsc.gov.tw/idc/TextQueryRoad/I/{道路關鍵字}</t>
  </si>
  <si>
    <t>2dms_pubapi_v1_TextQueryRoad_I</t>
  </si>
  <si>
    <t>COM_015 交叉路口-縣市道路關鍵字查詢主要道路-嘉義市</t>
  </si>
  <si>
    <t>API_開放_縣市道路關鍵字查詢主要道路_嘉義市</t>
  </si>
  <si>
    <t>https://api.nlsc.gov.tw/idc/TextQueryRoad/I/{queryString}</t>
  </si>
  <si>
    <t>https://api.nlsc.gov.tw/idc/TextQueryRoad/Q/{道路關鍵字}</t>
  </si>
  <si>
    <t>2dms_pubapi_v1_TextQueryRoad_Q</t>
  </si>
  <si>
    <t>COM_015 交叉路口-縣市道路關鍵字查詢主要道路-嘉義縣</t>
  </si>
  <si>
    <t>API_開放_縣市道路關鍵字查詢主要道路_嘉義縣</t>
  </si>
  <si>
    <t>https://api.nlsc.gov.tw/idc/TextQueryRoad/Q/{queryString}</t>
  </si>
  <si>
    <t>https://api.nlsc.gov.tw/idc/TextQueryRoad/N/{道路關鍵字}</t>
  </si>
  <si>
    <t>2dms_pubapi_v1_TextQueryRoad_N</t>
  </si>
  <si>
    <t>COM_015 交叉路口-縣市道路關鍵字查詢主要道路-彰化縣</t>
  </si>
  <si>
    <t>API_開放_縣市道路關鍵字查詢主要道路_彰化縣</t>
  </si>
  <si>
    <t>https://api.nlsc.gov.tw/idc/TextQueryRoad/N/{queryString}</t>
  </si>
  <si>
    <t>https://api.nlsc.gov.tw/idc/TextQueryRoad/B/{道路關鍵字}</t>
  </si>
  <si>
    <t>2dms_pubapi_v1_TextQueryRoad_B</t>
  </si>
  <si>
    <t>COM_015 交叉路口-縣市道路關鍵字查詢主要道路-臺中市</t>
  </si>
  <si>
    <t>API_開放_縣市道路關鍵字查詢主要道路_臺中市</t>
  </si>
  <si>
    <t>https://api.nlsc.gov.tw/idc/TextQueryRoad/B/{queryString}</t>
  </si>
  <si>
    <t>https://api.nlsc.gov.tw/idc/TextQueryRoad/A/{道路關鍵字}</t>
  </si>
  <si>
    <t>2dms_pubapi_v1_TextQueryRoad_A</t>
  </si>
  <si>
    <t>COM_015 交叉路口-縣市道路關鍵字查詢主要道路-臺北市</t>
  </si>
  <si>
    <t>API_開放_縣市道路關鍵字查詢主要道路_臺北市</t>
  </si>
  <si>
    <t>https://api.nlsc.gov.tw/idc/TextQueryRoad/A/{queryString}</t>
  </si>
  <si>
    <t>https://api.nlsc.gov.tw/idc/TextQueryRoad/V/{道路關鍵字}</t>
  </si>
  <si>
    <t>2dms_pubapi_v1_TextQueryRoad_V</t>
  </si>
  <si>
    <t>COM_015 交叉路口-縣市道路關鍵字查詢主要道路-臺東縣</t>
  </si>
  <si>
    <t>API_開放_縣市道路關鍵字查詢主要道路_臺東縣</t>
  </si>
  <si>
    <t>https://api.nlsc.gov.tw/idc/TextQueryRoad/V/{queryString}</t>
  </si>
  <si>
    <t>https://api.nlsc.gov.tw/idc/TextQueryRoad/D/{道路關鍵字}</t>
  </si>
  <si>
    <t>2dms_pubapi_v1_TextQueryRoad_D</t>
  </si>
  <si>
    <t>COM_015 交叉路口-縣市道路關鍵字查詢主要道路-臺南市</t>
  </si>
  <si>
    <t>API_開放_縣市道路關鍵字查詢主要道路_臺南市</t>
  </si>
  <si>
    <t>https://api.nlsc.gov.tw/idc/TextQueryRoad/D/{queryString}</t>
  </si>
  <si>
    <t>https://api.nlsc.gov.tw/idc/TextQueryRoad/X/{道路關鍵字}</t>
  </si>
  <si>
    <t>2dms_pubapi_v1_TextQueryRoad_X</t>
  </si>
  <si>
    <t>COM_015 交叉路口-縣市道路關鍵字查詢主要道路-澎湖縣</t>
  </si>
  <si>
    <t>API_開放_縣市道路關鍵字查詢主要道路_澎湖縣</t>
  </si>
  <si>
    <t>https://api.nlsc.gov.tw/idc/TextQueryRoad/X/{queryString}</t>
  </si>
  <si>
    <t>https://api.nlsc.gov.tw/idc/ListRoadCross/G/{鄉鎮市區代碼-地政}/{主要道路名稱}</t>
  </si>
  <si>
    <t>{town}/{roadName}</t>
  </si>
  <si>
    <t>2dms_pubapi_v1_ListRoadCross_G</t>
  </si>
  <si>
    <t>COM_016交叉路口-鄉鎮市區路名查詢交叉路口及坐標_宜蘭縣</t>
  </si>
  <si>
    <t>API_開放_鄉鎮市區路名查詢交叉路口及坐標_宜蘭縣</t>
  </si>
  <si>
    <t>https://api.nlsc.gov.tw/idc/ListRoadCross/G/{town}/{roadName}</t>
  </si>
  <si>
    <t>API,路名,行政區,幾何</t>
  </si>
  <si>
    <t>https://api.nlsc.gov.tw/idc/ListRoadCross/U/{鄉鎮市區代碼-地政}/{主要道路名稱}</t>
  </si>
  <si>
    <t>2dms_pubapi_v1_ListRoadCross_U</t>
  </si>
  <si>
    <t>COM_016交叉路口-鄉鎮市區路名查詢交叉路口及坐標_花蓮縣</t>
  </si>
  <si>
    <t>API_開放_鄉鎮市區路名查詢交叉路口及坐標_花蓮縣</t>
  </si>
  <si>
    <t>https://api.nlsc.gov.tw/idc/ListRoadCross/U/{town}/{roadName}</t>
  </si>
  <si>
    <t>https://api.nlsc.gov.tw/idc/ListRoadCross/W/{鄉鎮市區代碼-地政}/{主要道路名稱}</t>
  </si>
  <si>
    <t>2dms_pubapi_v1_ListRoadCross_W</t>
  </si>
  <si>
    <t>COM_016交叉路口-鄉鎮市區路名查詢交叉路口及坐標_金門縣</t>
  </si>
  <si>
    <t>API_開放_鄉鎮市區路名查詢交叉路口及坐標_金門縣</t>
  </si>
  <si>
    <t>https://api.nlsc.gov.tw/idc/ListRoadCross/W/{town}/{roadName}</t>
  </si>
  <si>
    <t>https://api.nlsc.gov.tw/idc/ListRoadCross/M/{鄉鎮市區代碼-地政}/{主要道路名稱}</t>
  </si>
  <si>
    <t>2dms_pubapi_v1_ListRoadCross_M</t>
  </si>
  <si>
    <t>COM_016交叉路口-鄉鎮市區路名查詢交叉路口及坐標_南投縣</t>
  </si>
  <si>
    <t>API_開放_鄉鎮市區路名查詢交叉路口及坐標_南投縣</t>
  </si>
  <si>
    <t>https://api.nlsc.gov.tw/idc/ListRoadCross/M/{town}/{roadName}</t>
  </si>
  <si>
    <t>https://api.nlsc.gov.tw/idc/ListRoadCross/T/{鄉鎮市區代碼-地政}/{主要道路名稱}</t>
  </si>
  <si>
    <t>2dms_pubapi_v1_ListRoadCross_T</t>
  </si>
  <si>
    <t>COM_016交叉路口-鄉鎮市區路名查詢交叉路口及坐標_屏東縣</t>
  </si>
  <si>
    <t>API_開放_鄉鎮市區路名查詢交叉路口及坐標_屏東縣</t>
  </si>
  <si>
    <t>https://api.nlsc.gov.tw/idc/ListRoadCross/T/{town}/{roadName}</t>
  </si>
  <si>
    <t>https://api.nlsc.gov.tw/idc/ListRoadCross/K/{鄉鎮市區代碼-地政}/{主要道路名稱}</t>
  </si>
  <si>
    <t>2dms_pubapi_v1_ListRoadCross_K</t>
  </si>
  <si>
    <t>COM_016交叉路口-鄉鎮市區路名查詢交叉路口及坐標_苗栗縣</t>
  </si>
  <si>
    <t>API_開放_鄉鎮市區路名查詢交叉路口及坐標_苗栗縣</t>
  </si>
  <si>
    <t>https://api.nlsc.gov.tw/idc/ListRoadCross/K/{town}/{roadName}</t>
  </si>
  <si>
    <t>https://api.nlsc.gov.tw/idc/ListRoadCross/H/{鄉鎮市區代碼-地政}/{主要道路名稱}</t>
  </si>
  <si>
    <t>2dms_pubapi_v1_ListRoadCross_H</t>
  </si>
  <si>
    <t>COM_016交叉路口-鄉鎮市區路名查詢交叉路口及坐標_桃園市</t>
  </si>
  <si>
    <t>API_開放_鄉鎮市區路名查詢交叉路口及坐標_桃園市</t>
  </si>
  <si>
    <t>https://api.nlsc.gov.tw/idc/ListRoadCross/H/{town}/{roadName}</t>
  </si>
  <si>
    <t>https://api.nlsc.gov.tw/idc/ListRoadCross/E/{鄉鎮市區代碼-地政}/{主要道路名稱}</t>
  </si>
  <si>
    <t>2dms_pubapi_v1_ListRoadCross_E</t>
  </si>
  <si>
    <t>COM_016交叉路口-鄉鎮市區路名查詢交叉路口及坐標_高雄市</t>
  </si>
  <si>
    <t>API_開放_鄉鎮市區路名查詢交叉路口及坐標_高雄市</t>
  </si>
  <si>
    <t>https://api.nlsc.gov.tw/idc/ListRoadCross/E/{town}/{roadName}</t>
  </si>
  <si>
    <t>https://api.nlsc.gov.tw/idc/ListRoadCross/C/{鄉鎮市區代碼-地政}/{主要道路名稱}</t>
  </si>
  <si>
    <t>2dms_pubapi_v1_ListRoadCross_C</t>
  </si>
  <si>
    <t>COM_016交叉路口-鄉鎮市區路名查詢交叉路口及坐標_基隆市</t>
  </si>
  <si>
    <t>API_開放_鄉鎮市區路名查詢交叉路口及坐標_基隆市</t>
  </si>
  <si>
    <t>https://api.nlsc.gov.tw/idc/ListRoadCross/C/{town}/{roadName}</t>
  </si>
  <si>
    <t>https://api.nlsc.gov.tw/idc/ListRoadCross/Z/{鄉鎮市區代碼-地政}/{主要道路名稱}</t>
  </si>
  <si>
    <t>2dms_pubapi_v1_ListRoadCross_Z</t>
  </si>
  <si>
    <t>COM_016交叉路口-鄉鎮市區路名查詢交叉路口及坐標_連江縣</t>
  </si>
  <si>
    <t>API_開放_鄉鎮市區路名查詢交叉路口及坐標_連江縣</t>
  </si>
  <si>
    <t>https://api.nlsc.gov.tw/idc/ListRoadCross/Z/{town}/{roadName}</t>
  </si>
  <si>
    <t>https://api.nlsc.gov.tw/idc/ListRoadCross/P/{鄉鎮市區代碼-地政}/{主要道路名稱}</t>
  </si>
  <si>
    <t>2dms_pubapi_v1_ListRoadCross_P</t>
  </si>
  <si>
    <t>COM_016交叉路口-鄉鎮市區路名查詢交叉路口及坐標_雲林縣</t>
  </si>
  <si>
    <t>API_開放_鄉鎮市區路名查詢交叉路口及坐標_雲林縣</t>
  </si>
  <si>
    <t>https://api.nlsc.gov.tw/idc/ListRoadCross/P/{town}/{roadName}</t>
  </si>
  <si>
    <t>https://api.nlsc.gov.tw/idc/ListRoadCross/F/{鄉鎮市區代碼-地政}/{主要道路名稱}</t>
  </si>
  <si>
    <t>2dms_pubapi_v1_ListRoadCross_F</t>
  </si>
  <si>
    <t>COM_016交叉路口-鄉鎮市區路名查詢交叉路口及坐標_新北市</t>
  </si>
  <si>
    <t>API_開放_鄉鎮市區路名查詢交叉路口及坐標_新北市</t>
  </si>
  <si>
    <t>https://api.nlsc.gov.tw/idc/ListRoadCross/F/{town}/{roadName}</t>
  </si>
  <si>
    <t>https://api.nlsc.gov.tw/idc/ListRoadCross/O/{鄉鎮市區代碼-地政}/{主要道路名稱}</t>
  </si>
  <si>
    <t>2dms_pubapi_v1_ListRoadCross_O</t>
  </si>
  <si>
    <t>COM_016交叉路口-鄉鎮市區路名查詢交叉路口及坐標_新竹市</t>
  </si>
  <si>
    <t>API_開放_鄉鎮市區路名查詢交叉路口及坐標_新竹市</t>
  </si>
  <si>
    <t>https://api.nlsc.gov.tw/idc/ListRoadCross/O/{town}/{roadName}</t>
  </si>
  <si>
    <t>https://api.nlsc.gov.tw/idc/ListRoadCross/J/{鄉鎮市區代碼-地政}/{主要道路名稱}</t>
  </si>
  <si>
    <t>2dms_pubapi_v1_ListRoadCross_J</t>
  </si>
  <si>
    <t>COM_016交叉路口-鄉鎮市區路名查詢交叉路口及坐標_新竹縣</t>
  </si>
  <si>
    <t>API_開放_鄉鎮市區路名查詢交叉路口及坐標_新竹縣</t>
  </si>
  <si>
    <t>https://api.nlsc.gov.tw/idc/ListRoadCross/J/{town}/{roadName}</t>
  </si>
  <si>
    <t>https://api.nlsc.gov.tw/idc/ListRoadCross/I/{鄉鎮市區代碼-地政}/{主要道路名稱}</t>
  </si>
  <si>
    <t>2dms_pubapi_v1_ListRoadCross_I</t>
  </si>
  <si>
    <t>COM_016交叉路口-鄉鎮市區路名查詢交叉路口及坐標_嘉義市</t>
  </si>
  <si>
    <t>API_開放_鄉鎮市區路名查詢交叉路口及坐標_嘉義市</t>
  </si>
  <si>
    <t>https://api.nlsc.gov.tw/idc/ListRoadCross/I/{town}/{roadName}</t>
  </si>
  <si>
    <t>https://api.nlsc.gov.tw/idc/ListRoadCross/Q/{鄉鎮市區代碼-地政}/{主要道路名稱}</t>
  </si>
  <si>
    <t>2dms_pubapi_v1_ListRoadCross_Q</t>
  </si>
  <si>
    <t>COM_016交叉路口-鄉鎮市區路名查詢交叉路口及坐標_嘉義縣</t>
  </si>
  <si>
    <t>API_開放_鄉鎮市區路名查詢交叉路口及坐標_嘉義縣</t>
  </si>
  <si>
    <t>https://api.nlsc.gov.tw/idc/ListRoadCross/Q/{town}/{roadName}</t>
  </si>
  <si>
    <t>https://api.nlsc.gov.tw/idc/ListRoadCross/N/{鄉鎮市區代碼-地政}/{主要道路名稱}</t>
  </si>
  <si>
    <t>2dms_pubapi_v1_ListRoadCross_N</t>
  </si>
  <si>
    <t>COM_016交叉路口-鄉鎮市區路名查詢交叉路口及坐標_彰化縣</t>
  </si>
  <si>
    <t>API_開放_鄉鎮市區路名查詢交叉路口及坐標_彰化縣</t>
  </si>
  <si>
    <t>https://api.nlsc.gov.tw/idc/ListRoadCross/N/{town}/{roadName}</t>
  </si>
  <si>
    <t>https://api.nlsc.gov.tw/idc/ListRoadCross/B/{鄉鎮市區代碼-地政}/{主要道路名稱}</t>
  </si>
  <si>
    <t>2dms_pubapi_v1_ListRoadCross_B</t>
  </si>
  <si>
    <t>COM_016交叉路口-鄉鎮市區路名查詢交叉路口及坐標_臺中市</t>
  </si>
  <si>
    <t>API_開放_鄉鎮市區路名查詢交叉路口及坐標_臺中市</t>
  </si>
  <si>
    <t>https://api.nlsc.gov.tw/idc/ListRoadCross/B/{town}/{roadName}</t>
  </si>
  <si>
    <t>https://api.nlsc.gov.tw/idc/ListRoadCross/A/{鄉鎮市區代碼-地政}/{主要道路名稱}</t>
  </si>
  <si>
    <t>2dms_pubapi_v1_ListRoadCross_A</t>
  </si>
  <si>
    <t>COM_016交叉路口-鄉鎮市區路名查詢交叉路口及坐標_臺北市</t>
  </si>
  <si>
    <t>API_開放_鄉鎮市區路名查詢交叉路口及坐標_臺北市</t>
  </si>
  <si>
    <t>https://api.nlsc.gov.tw/idc/ListRoadCross/A/{town}/{roadName}</t>
  </si>
  <si>
    <t>https://api.nlsc.gov.tw/idc/ListRoadCross/V/{鄉鎮市區代碼-地政}/{主要道路名稱}</t>
  </si>
  <si>
    <t>2dms_pubapi_v1_ListRoadCross_V</t>
  </si>
  <si>
    <t>COM_016交叉路口-鄉鎮市區路名查詢交叉路口及坐標_臺東縣</t>
  </si>
  <si>
    <t>API_開放_鄉鎮市區路名查詢交叉路口及坐標_臺東縣</t>
  </si>
  <si>
    <t>https://api.nlsc.gov.tw/idc/ListRoadCross/V/{town}/{roadName}</t>
  </si>
  <si>
    <t>https://api.nlsc.gov.tw/idc/ListRoadCross/D/{鄉鎮市區代碼-地政}/{主要道路名稱}</t>
  </si>
  <si>
    <t>2dms_pubapi_v1_ListRoadCross_D</t>
  </si>
  <si>
    <t>COM_016交叉路口-鄉鎮市區路名查詢交叉路口及坐標_臺南市</t>
  </si>
  <si>
    <t>API_開放_鄉鎮市區路名查詢交叉路口及坐標_臺南市</t>
  </si>
  <si>
    <t>https://api.nlsc.gov.tw/idc/ListRoadCross/D/{town}/{roadName}</t>
  </si>
  <si>
    <t>https://api.nlsc.gov.tw/idc/ListRoadCross/X/{鄉鎮市區代碼-地政}/{主要道路名稱}</t>
  </si>
  <si>
    <t>2dms_pubapi_v1_ListRoadCross_X</t>
  </si>
  <si>
    <t>COM_016交叉路口-鄉鎮市區路名查詢交叉路口及坐標_澎湖縣</t>
  </si>
  <si>
    <t>API_開放_鄉鎮市區路名查詢交叉路口及坐標_澎湖縣</t>
  </si>
  <si>
    <t>https://api.nlsc.gov.tw/idc/ListRoadCross/X/{town}/{roadName}</t>
  </si>
  <si>
    <t>https://api.nlsc.gov.tw/other/LandUsePointQuery/{X坐標}/{Y坐標}[/坐標類別代碼(4326、3826，預設將使用經緯度)]</t>
  </si>
  <si>
    <t>{pointX}/{pointY}/{epsg}</t>
  </si>
  <si>
    <t>2dms_pubapi_v1_LandUsePointQuery</t>
  </si>
  <si>
    <t>COM_017指定坐標回傳國土利用現況調查成果圖的屬性</t>
  </si>
  <si>
    <t>API_開放_指定坐標回傳國土利用現況調查成果圖的屬性_全國</t>
  </si>
  <si>
    <t>https://api.nlsc.gov.tw/other/LandUsePointQuery/{pointX}/{pointY}/{epsg}</t>
  </si>
  <si>
    <t>https://download03.nlsc.gov.tw/WebApi/PartialBuildingService/Status</t>
  </si>
  <si>
    <t>3dms_pubapi_v1_PBSStatus</t>
  </si>
  <si>
    <t>轉檔服務(三維建物單棟或區域式發布服務API服務狀態)</t>
  </si>
  <si>
    <t>https://download03.nlsc.gov.tw/WebApi/PartialBuildingService/QueryBuilding</t>
  </si>
  <si>
    <t>3dms_pubapi_v1_PBSQueryBuilding</t>
  </si>
  <si>
    <t>轉檔服務(三維建物單棟或區域式發布服務API圖層名稱清單)</t>
  </si>
  <si>
    <t>https://download03.nlsc.gov.tw/WebApi/PartialBuildingService/Transfer_Request/SelectByPolygon/{serviceType}</t>
  </si>
  <si>
    <t>3dms_pubapi_v1_PBSTRSelectByPolygon</t>
  </si>
  <si>
    <t>轉檔服務(多邊形選取建物轉檔)</t>
  </si>
  <si>
    <t>API_開放_指定多邊形三維建物模型轉檔</t>
  </si>
  <si>
    <t>https://download03.nlsc.gov.tw/WebApi/PartialBuildingService/Transfer_Request/SelectByPoint/{serviceType}</t>
  </si>
  <si>
    <t>3dms_pubapi_v1_PBSTRSelectByPoint</t>
  </si>
  <si>
    <t>轉檔服務(指定點位選取建物轉檔)</t>
  </si>
  <si>
    <t>API_開放_指定點位三維建物模型轉檔</t>
  </si>
  <si>
    <t>https://download03.nlsc.gov.tw/WebApi/PartialBuildingService/Transfer_Request/SelectByCircle/{serviceType}</t>
  </si>
  <si>
    <t>3dms_pubapi_v1_PBSTRSelectByCircle</t>
  </si>
  <si>
    <t>轉檔服務(圓形範圍選取建物轉檔)</t>
  </si>
  <si>
    <t>API_開放_指定圓形範圍三維建物模型轉檔</t>
  </si>
  <si>
    <t>https://api.nlsc.gov.tw/other/RoutesQueryByDist/{起點(WGS84)}/{終點(WGS84)}[/車種(汽車 car、步行 foot、汽車避開高速公路 avoid_highways，預設為汽車)/ 檔案格式(預設kmz、json、kml)?barrier=障礙點1,障礙點2,障礙點3(WGS84，可輸入多筆)]</t>
  </si>
  <si>
    <t>{beg}/{des}/{type}/{format}</t>
  </si>
  <si>
    <t>2dms_route_v1_RoutesQueryByDist</t>
  </si>
  <si>
    <t>ROU_001路徑規劃服務–距離最短路線</t>
  </si>
  <si>
    <t>API_路徑規劃_距離最短路線_全國</t>
  </si>
  <si>
    <t>https://api.nlsc.gov.tw/other/RoutesQueryByDist/{beg}/{des}/{type}/{format}</t>
  </si>
  <si>
    <t>提供國土測繪圖資雲路徑規劃API服務</t>
  </si>
  <si>
    <t>route</t>
  </si>
  <si>
    <t>API,路名</t>
  </si>
  <si>
    <t>https://api.nlsc.gov.tw/other/RoutesQueryByTime/{起點(WGS84)}/{終點(WGS84)}[/車種(汽車 car、步行 foot、汽車避開高速公路 avoid_highways，預設為汽車)/ 檔案格式(預設kmz、json、kml)?barrier=障礙點1,障礙點2,障礙點3(WGS84，可輸入多筆)]</t>
  </si>
  <si>
    <t>2dms_route_v1_RoutesQueryByTime</t>
  </si>
  <si>
    <t>ROU_002路徑規劃服務–時間最短路線</t>
  </si>
  <si>
    <t>API_路徑規劃_時間最短路線_全國</t>
  </si>
  <si>
    <t>https://api.nlsc.gov.tw/other/RoutesQueryByTime/{beg}/{des}/{type}/{format}</t>
  </si>
  <si>
    <t>https://api.nlsc.gov.tw/other/RoutesNodes/{查詢點(支援WGS84及TWD97坐標系統)}[/坐標代碼(EPSG:4326或EPSG:3826)/檢索範圍(公尺)]</t>
  </si>
  <si>
    <t>{point}/{crs}/{radius}</t>
  </si>
  <si>
    <t>2dms_route_v1_RoutesNodes</t>
  </si>
  <si>
    <t>ROU_003路徑規劃服務–節點查詢</t>
  </si>
  <si>
    <t>API_路徑規劃_節點查詢_全國</t>
  </si>
  <si>
    <t>https://api.nlsc.gov.tw/other/RoutesNodes/{point}/{crs}/{radius}</t>
  </si>
  <si>
    <t>API,路名,幾何</t>
  </si>
  <si>
    <t>https://wfs.nlsc.gov.tw/WFS/BUILDFRAME</t>
  </si>
  <si>
    <t>2dms_emwfs_v1_BuildFrame</t>
  </si>
  <si>
    <t>臺灣通用電子地圖分棟建物框</t>
  </si>
  <si>
    <t>WFS_分棟建物框</t>
  </si>
  <si>
    <t>提供國土測繪圖資雲台灣通用電子地圖WFS服務</t>
  </si>
  <si>
    <t>emwfs</t>
  </si>
  <si>
    <t>WFS</t>
  </si>
  <si>
    <t>https://wfs.nlsc.gov.tw/WFS/EMAP</t>
  </si>
  <si>
    <t>2dms_emwfs_v1_EMAP</t>
  </si>
  <si>
    <t>WFS_臺灣通用電子地圖</t>
  </si>
  <si>
    <t>https://api.nlsc.gov.tw/idc/TextQueryMap/{搜尋字串}[/回傳數量(預設為10)/輔助條件(縣市代碼 或 參考點WGS84)]</t>
  </si>
  <si>
    <t>{queryString}/{number}/{county}</t>
  </si>
  <si>
    <t>2dms_addrm_v1_TextQueryMap</t>
  </si>
  <si>
    <t>ADR_001模糊檢索(含通用電子地圖地標、門牌等)</t>
  </si>
  <si>
    <t>API_模糊檢索_全域模糊檢索_全國</t>
  </si>
  <si>
    <t>https://api.nlsc.gov.tw/idc/TextQueryMap/{queryString}/{number}/{county}</t>
  </si>
  <si>
    <t>提供國土測繪圖資雲模糊檢索API服務</t>
  </si>
  <si>
    <t>API,門牌,行政區</t>
  </si>
  <si>
    <t>https://api.nlsc.gov.tw/idc/TextQueryAddress/{搜尋字串}[/回傳數量(預設為10)/縣市代碼]</t>
  </si>
  <si>
    <t>{queryString}/{num}/{county}</t>
  </si>
  <si>
    <t>2dms_addrm_v1_TextQueryAddress</t>
  </si>
  <si>
    <t>ADR_002門牌服務–模糊檢索</t>
  </si>
  <si>
    <t>API_模糊檢索_模糊檢索_全國</t>
  </si>
  <si>
    <t>https://api.nlsc.gov.tw/idc/TextQueryAddress/{queryString}/{num}/{county}</t>
  </si>
  <si>
    <t>https://api.nlsc.gov.tw/idc/ListRoad/G/{鄉鎮市區代碼-地政}</t>
  </si>
  <si>
    <t>2dms_addrm_v1_ListRoad_G</t>
  </si>
  <si>
    <t>ADR_003門牌服務–路名清單_宜蘭縣</t>
  </si>
  <si>
    <t>API_模糊檢索_路名清單_宜蘭縣</t>
  </si>
  <si>
    <t>https://api.nlsc.gov.tw/idc/ListRoad/G/{town}</t>
  </si>
  <si>
    <t>API,門牌,路名,行政區</t>
  </si>
  <si>
    <t>https://api.nlsc.gov.tw/idc/ListRoad/U/{鄉鎮市區代碼-地政}</t>
  </si>
  <si>
    <t>2dms_addrm_v1_ListRoad_U</t>
  </si>
  <si>
    <t>ADR_003門牌服務–路名清單_花蓮縣</t>
  </si>
  <si>
    <t>API_模糊檢索_路名清單_花蓮縣</t>
  </si>
  <si>
    <t>https://api.nlsc.gov.tw/idc/ListRoad/U/{town}</t>
  </si>
  <si>
    <t>https://api.nlsc.gov.tw/idc/ListRoad/W/{鄉鎮市區代碼-地政}</t>
  </si>
  <si>
    <t>2dms_addrm_v1_ListRoad_W</t>
  </si>
  <si>
    <t>ADR_003門牌服務–路名清單_金門縣</t>
  </si>
  <si>
    <t>API_模糊檢索_路名清單_金門縣</t>
  </si>
  <si>
    <t>https://api.nlsc.gov.tw/idc/ListRoad/W/{town}</t>
  </si>
  <si>
    <t>https://api.nlsc.gov.tw/idc/ListRoad/M/{鄉鎮市區代碼-地政}</t>
  </si>
  <si>
    <t>2dms_addrm_v1_ListRoad_M</t>
  </si>
  <si>
    <t>ADR_003門牌服務–路名清單_南投縣</t>
  </si>
  <si>
    <t>API_模糊檢索_路名清單_南投縣</t>
  </si>
  <si>
    <t>https://api.nlsc.gov.tw/idc/ListRoad/M/{town}</t>
  </si>
  <si>
    <t>https://api.nlsc.gov.tw/idc/ListRoad/T/{鄉鎮市區代碼-地政}</t>
  </si>
  <si>
    <t>2dms_addrm_v1_ListRoad_T</t>
  </si>
  <si>
    <t>ADR_003門牌服務–路名清單_屏東縣</t>
  </si>
  <si>
    <t>API_模糊檢索_路名清單_屏東縣</t>
  </si>
  <si>
    <t>https://api.nlsc.gov.tw/idc/ListRoad/T/{town}</t>
  </si>
  <si>
    <t>https://api.nlsc.gov.tw/idc/ListRoad/K/{鄉鎮市區代碼-地政}</t>
  </si>
  <si>
    <t>2dms_addrm_v1_ListRoad_K</t>
  </si>
  <si>
    <t>ADR_003門牌服務–路名清單_苗栗縣</t>
  </si>
  <si>
    <t>API_模糊檢索_路名清單_苗栗縣</t>
  </si>
  <si>
    <t>https://api.nlsc.gov.tw/idc/ListRoad/K/{town}</t>
  </si>
  <si>
    <t>https://api.nlsc.gov.tw/idc/ListRoad/H/{鄉鎮市區代碼-地政}</t>
  </si>
  <si>
    <t>2dms_addrm_v1_ListRoad_H</t>
  </si>
  <si>
    <t>ADR_003門牌服務–路名清單_桃園市</t>
  </si>
  <si>
    <t>API_模糊檢索_路名清單_桃園市</t>
  </si>
  <si>
    <t>https://api.nlsc.gov.tw/idc/ListRoad/H/{town}</t>
  </si>
  <si>
    <t>https://api.nlsc.gov.tw/idc/ListRoad/E/{鄉鎮市區代碼-地政}</t>
  </si>
  <si>
    <t>2dms_addrm_v1_ListRoad_E</t>
  </si>
  <si>
    <t>ADR_003門牌服務–路名清單_高雄市</t>
  </si>
  <si>
    <t>API_模糊檢索_路名清單_高雄市</t>
  </si>
  <si>
    <t>https://api.nlsc.gov.tw/idc/ListRoad/E/{town}</t>
  </si>
  <si>
    <t>https://api.nlsc.gov.tw/idc/ListRoad/C/{鄉鎮市區代碼-地政}</t>
  </si>
  <si>
    <t>2dms_addrm_v1_ListRoad_C</t>
  </si>
  <si>
    <t>ADR_003門牌服務–路名清單_基隆市</t>
  </si>
  <si>
    <t>API_模糊檢索_路名清單_基隆市</t>
  </si>
  <si>
    <t>https://api.nlsc.gov.tw/idc/ListRoad/C/{town}</t>
  </si>
  <si>
    <t>https://api.nlsc.gov.tw/idc/ListRoad/Z/{鄉鎮市區代碼-地政}</t>
  </si>
  <si>
    <t>2dms_addrm_v1_ListRoad_Z</t>
  </si>
  <si>
    <t>ADR_003門牌服務–路名清單_連江縣</t>
  </si>
  <si>
    <t>API_模糊檢索_路名清單_連江縣</t>
  </si>
  <si>
    <t>https://api.nlsc.gov.tw/idc/ListRoad/Z/{town}</t>
  </si>
  <si>
    <t>https://api.nlsc.gov.tw/idc/ListRoad/P/{鄉鎮市區代碼-地政}</t>
  </si>
  <si>
    <t>2dms_addrm_v1_ListRoad_P</t>
  </si>
  <si>
    <t>ADR_003門牌服務–路名清單_雲林縣</t>
  </si>
  <si>
    <t>API_模糊檢索_路名清單_雲林縣</t>
  </si>
  <si>
    <t>https://api.nlsc.gov.tw/idc/ListRoad/P/{town}</t>
  </si>
  <si>
    <t>https://api.nlsc.gov.tw/idc/ListRoad/F/{鄉鎮市區代碼-地政}</t>
  </si>
  <si>
    <t>2dms_addrm_v1_ListRoad_F</t>
  </si>
  <si>
    <t>ADR_003門牌服務–路名清單_新北市</t>
  </si>
  <si>
    <t>API_模糊檢索_路名清單_新北市</t>
  </si>
  <si>
    <t>https://api.nlsc.gov.tw/idc/ListRoad/F/{town}</t>
  </si>
  <si>
    <t>https://api.nlsc.gov.tw/idc/ListRoad/O/{鄉鎮市區代碼-地政}</t>
  </si>
  <si>
    <t>2dms_addrm_v1_ListRoad_O</t>
  </si>
  <si>
    <t>ADR_003門牌服務–路名清單_新竹市</t>
  </si>
  <si>
    <t>API_模糊檢索_路名清單_新竹市</t>
  </si>
  <si>
    <t>https://api.nlsc.gov.tw/idc/ListRoad/O/{town}</t>
  </si>
  <si>
    <t>https://api.nlsc.gov.tw/idc/ListRoad/J/{鄉鎮市區代碼-地政}</t>
  </si>
  <si>
    <t>2dms_addrm_v1_ListRoad_J</t>
  </si>
  <si>
    <t>ADR_003門牌服務–路名清單_新竹縣</t>
  </si>
  <si>
    <t>API_模糊檢索_路名清單_新竹縣</t>
  </si>
  <si>
    <t>https://api.nlsc.gov.tw/idc/ListRoad/J/{town}</t>
  </si>
  <si>
    <t>https://api.nlsc.gov.tw/idc/ListRoad/I/{鄉鎮市區代碼-地政}</t>
  </si>
  <si>
    <t>2dms_addrm_v1_ListRoad_I</t>
  </si>
  <si>
    <t>ADR_003門牌服務–路名清單_嘉義市</t>
  </si>
  <si>
    <t>API_模糊檢索_路名清單_嘉義市</t>
  </si>
  <si>
    <t>https://api.nlsc.gov.tw/idc/ListRoad/I/{town}</t>
  </si>
  <si>
    <t>https://api.nlsc.gov.tw/idc/ListRoad/Q/{鄉鎮市區代碼-地政}</t>
  </si>
  <si>
    <t>2dms_addrm_v1_ListRoad_Q</t>
  </si>
  <si>
    <t>ADR_003門牌服務–路名清單_嘉義縣</t>
  </si>
  <si>
    <t>API_模糊檢索_路名清單_嘉義縣</t>
  </si>
  <si>
    <t>https://api.nlsc.gov.tw/idc/ListRoad/Q/{town}</t>
  </si>
  <si>
    <t>https://api.nlsc.gov.tw/idc/ListRoad/N/{鄉鎮市區代碼-地政}</t>
  </si>
  <si>
    <t>2dms_addrm_v1_ListRoad_N</t>
  </si>
  <si>
    <t>ADR_003門牌服務–路名清單_彰化縣</t>
  </si>
  <si>
    <t>API_模糊檢索_路名清單_彰化縣</t>
  </si>
  <si>
    <t>https://api.nlsc.gov.tw/idc/ListRoad/N/{town}</t>
  </si>
  <si>
    <t>https://api.nlsc.gov.tw/idc/ListRoad/B/{鄉鎮市區代碼-地政}</t>
  </si>
  <si>
    <t>2dms_addrm_v1_ListRoad_B</t>
  </si>
  <si>
    <t>ADR_003門牌服務–路名清單_臺中市</t>
  </si>
  <si>
    <t>API_模糊檢索_路名清單_臺中市</t>
  </si>
  <si>
    <t>https://api.nlsc.gov.tw/idc/ListRoad/B/{town}</t>
  </si>
  <si>
    <t>API_模糊檢索_路名清單_臺北市</t>
  </si>
  <si>
    <t>https://api.nlsc.gov.tw/idc/ListRoad/A/{town}</t>
  </si>
  <si>
    <t>https://api.nlsc.gov.tw/idc/ListRoad/V/{鄉鎮市區代碼-地政}</t>
  </si>
  <si>
    <t>2dms_addrm_v1_ListRoad_V</t>
  </si>
  <si>
    <t>ADR_003門牌服務–路名清單_臺東縣</t>
  </si>
  <si>
    <t>API_模糊檢索_路名清單_臺東縣</t>
  </si>
  <si>
    <t>https://api.nlsc.gov.tw/idc/ListRoad/V/{town}</t>
  </si>
  <si>
    <t>https://api.nlsc.gov.tw/idc/ListRoad/D/{鄉鎮市區代碼-地政}</t>
  </si>
  <si>
    <t>2dms_addrm_v1_ListRoad_D</t>
  </si>
  <si>
    <t>ADR_003門牌服務–路名清單_臺南市</t>
  </si>
  <si>
    <t>API_模糊檢索_路名清單_臺南市</t>
  </si>
  <si>
    <t>https://api.nlsc.gov.tw/idc/ListRoad/D/{town}</t>
  </si>
  <si>
    <t>https://api.nlsc.gov.tw/idc/ListRoad/X/{鄉鎮市區代碼-地政}</t>
  </si>
  <si>
    <t>2dms_addrm_v1_ListRoad_X</t>
  </si>
  <si>
    <t>ADR_003門牌服務–路名清單_澎湖縣</t>
  </si>
  <si>
    <t>API_模糊檢索_路名清單_澎湖縣</t>
  </si>
  <si>
    <t>https://api.nlsc.gov.tw/idc/ListRoad/X/{town}</t>
  </si>
  <si>
    <t>https://api.nlsc.gov.tw/idc/ListRoadLaneAlley/G/{鄉鎮市區代碼-地政}/{道路名稱}</t>
  </si>
  <si>
    <t>{town}/{road}</t>
  </si>
  <si>
    <t>2dms_addrm_v1_ListRoadLaneAlley_G</t>
  </si>
  <si>
    <t>ADR_004門牌服務–巷弄清單_宜蘭縣</t>
  </si>
  <si>
    <t>API_模糊檢索_巷弄清單_宜蘭縣</t>
  </si>
  <si>
    <t>https://api.nlsc.gov.tw/idc/ListRoadLaneAlley/G/{town}/{road}</t>
  </si>
  <si>
    <t>API,門牌,路名,巷弄</t>
  </si>
  <si>
    <t>https://api.nlsc.gov.tw/idc/ListRoadLaneAlley/U/{鄉鎮市區代碼-地政}/{道路名稱}</t>
  </si>
  <si>
    <t>2dms_addrm_v1_ListRoadLaneAlley_U</t>
  </si>
  <si>
    <t>ADR_004門牌服務–巷弄清單_花蓮縣</t>
  </si>
  <si>
    <t>API_模糊檢索_巷弄清單_花蓮縣</t>
  </si>
  <si>
    <t>https://api.nlsc.gov.tw/idc/ListRoadLaneAlley/U/{town}/{road}</t>
  </si>
  <si>
    <t>https://api.nlsc.gov.tw/idc/ListRoadLaneAlley/W/{鄉鎮市區代碼-地政}/{道路名稱}</t>
  </si>
  <si>
    <t>2dms_addrm_v1_ListRoadLaneAlley_W</t>
  </si>
  <si>
    <t>ADR_004門牌服務–巷弄清單_金門縣</t>
  </si>
  <si>
    <t>API_模糊檢索_巷弄清單_金門縣</t>
  </si>
  <si>
    <t>https://api.nlsc.gov.tw/idc/ListRoadLaneAlley/W/{town}/{road}</t>
  </si>
  <si>
    <t>https://api.nlsc.gov.tw/idc/ListRoadLaneAlley/M/{鄉鎮市區代碼-地政}/{道路名稱}</t>
  </si>
  <si>
    <t>2dms_addrm_v1_ListRoadLaneAlley_M</t>
  </si>
  <si>
    <t>ADR_004門牌服務–巷弄清單_南投縣</t>
  </si>
  <si>
    <t>API_模糊檢索_巷弄清單_南投縣</t>
  </si>
  <si>
    <t>https://api.nlsc.gov.tw/idc/ListRoadLaneAlley/M/{town}/{road}</t>
  </si>
  <si>
    <t>https://api.nlsc.gov.tw/idc/ListRoadLaneAlley/T/{鄉鎮市區代碼-地政}/{道路名稱}</t>
  </si>
  <si>
    <t>2dms_addrm_v1_ListRoadLaneAlley_T</t>
  </si>
  <si>
    <t>ADR_004門牌服務–巷弄清單_屏東縣</t>
  </si>
  <si>
    <t>API_模糊檢索_巷弄清單_屏東縣</t>
  </si>
  <si>
    <t>https://api.nlsc.gov.tw/idc/ListRoadLaneAlley/T/{town}/{road}</t>
  </si>
  <si>
    <t>https://api.nlsc.gov.tw/idc/ListRoadLaneAlley/K/{鄉鎮市區代碼-地政}/{道路名稱}</t>
  </si>
  <si>
    <t>2dms_addrm_v1_ListRoadLaneAlley_K</t>
  </si>
  <si>
    <t>ADR_004門牌服務–巷弄清單_苗栗縣</t>
  </si>
  <si>
    <t>API_模糊檢索_巷弄清單_苗栗縣</t>
  </si>
  <si>
    <t>https://api.nlsc.gov.tw/idc/ListRoadLaneAlley/K/{town}/{road}</t>
  </si>
  <si>
    <t>https://api.nlsc.gov.tw/idc/ListRoadLaneAlley/H/{鄉鎮市區代碼-地政}/{道路名稱}</t>
  </si>
  <si>
    <t>2dms_addrm_v1_ListRoadLaneAlley_H</t>
  </si>
  <si>
    <t>ADR_004門牌服務–巷弄清單_桃園市</t>
  </si>
  <si>
    <t>API_模糊檢索_巷弄清單_桃園市</t>
  </si>
  <si>
    <t>https://api.nlsc.gov.tw/idc/ListRoadLaneAlley/H/{town}/{road}</t>
  </si>
  <si>
    <t>https://api.nlsc.gov.tw/idc/ListRoadLaneAlley/E/{鄉鎮市區代碼-地政}/{道路名稱}</t>
  </si>
  <si>
    <t>2dms_addrm_v1_ListRoadLaneAlley_E</t>
  </si>
  <si>
    <t>ADR_004門牌服務–巷弄清單_高雄市</t>
  </si>
  <si>
    <t>API_模糊檢索_巷弄清單_高雄市</t>
  </si>
  <si>
    <t>https://api.nlsc.gov.tw/idc/ListRoadLaneAlley/E/{town}/{road}</t>
  </si>
  <si>
    <t>https://api.nlsc.gov.tw/idc/ListRoadLaneAlley/C/{鄉鎮市區代碼-地政}/{道路名稱}</t>
  </si>
  <si>
    <t>2dms_addrm_v1_ListRoadLaneAlley_C</t>
  </si>
  <si>
    <t>ADR_004門牌服務–巷弄清單_基隆市</t>
  </si>
  <si>
    <t>API_模糊檢索_巷弄清單_基隆市</t>
  </si>
  <si>
    <t>https://api.nlsc.gov.tw/idc/ListRoadLaneAlley/C/{town}/{road}</t>
  </si>
  <si>
    <t>https://api.nlsc.gov.tw/idc/ListRoadLaneAlley/Z/{鄉鎮市區代碼-地政}/{道路名稱}</t>
  </si>
  <si>
    <t>2dms_addrm_v1_ListRoadLaneAlley_Z</t>
  </si>
  <si>
    <t>ADR_004門牌服務–巷弄清單_連江縣</t>
  </si>
  <si>
    <t>API_模糊檢索_巷弄清單_連江縣</t>
  </si>
  <si>
    <t>https://api.nlsc.gov.tw/idc/ListRoadLaneAlley/Z/{town}/{road}</t>
  </si>
  <si>
    <t>https://api.nlsc.gov.tw/idc/ListRoadLaneAlley/P/{鄉鎮市區代碼-地政}/{道路名稱}</t>
  </si>
  <si>
    <t>2dms_addrm_v1_ListRoadLaneAlley_P</t>
  </si>
  <si>
    <t>ADR_004門牌服務–巷弄清單_雲林縣</t>
  </si>
  <si>
    <t>API_模糊檢索_巷弄清單_雲林縣</t>
  </si>
  <si>
    <t>https://api.nlsc.gov.tw/idc/ListRoadLaneAlley/P/{town}/{road}</t>
  </si>
  <si>
    <t>https://api.nlsc.gov.tw/idc/ListRoadLaneAlley/F/{鄉鎮市區代碼-地政}/{道路名稱}</t>
  </si>
  <si>
    <t>2dms_addrm_v1_ListRoadLaneAlley_F</t>
  </si>
  <si>
    <t>ADR_004門牌服務–巷弄清單_新北市</t>
  </si>
  <si>
    <t>API_模糊檢索_巷弄清單_新北市</t>
  </si>
  <si>
    <t>https://api.nlsc.gov.tw/idc/ListRoadLaneAlley/F/{town}/{road}</t>
  </si>
  <si>
    <t>https://api.nlsc.gov.tw/idc/ListRoadLaneAlley/O/{鄉鎮市區代碼-地政}/{道路名稱}</t>
  </si>
  <si>
    <t>2dms_addrm_v1_ListRoadLaneAlley_O</t>
  </si>
  <si>
    <t>ADR_004門牌服務–巷弄清單_新竹市</t>
  </si>
  <si>
    <t>API_模糊檢索_巷弄清單_新竹市</t>
  </si>
  <si>
    <t>https://api.nlsc.gov.tw/idc/ListRoadLaneAlley/O/{town}/{road}</t>
  </si>
  <si>
    <t>https://api.nlsc.gov.tw/idc/ListRoadLaneAlley/J/{鄉鎮市區代碼-地政}/{道路名稱}</t>
  </si>
  <si>
    <t>2dms_addrm_v1_ListRoadLaneAlley_J</t>
  </si>
  <si>
    <t>ADR_004門牌服務–巷弄清單_新竹縣</t>
  </si>
  <si>
    <t>API_模糊檢索_巷弄清單_新竹縣</t>
  </si>
  <si>
    <t>https://api.nlsc.gov.tw/idc/ListRoadLaneAlley/J/{town}/{road}</t>
  </si>
  <si>
    <t>https://api.nlsc.gov.tw/idc/ListRoadLaneAlley/I/{鄉鎮市區代碼-地政}/{道路名稱}</t>
  </si>
  <si>
    <t>2dms_addrm_v1_ListRoadLaneAlley_I</t>
  </si>
  <si>
    <t>ADR_004門牌服務–巷弄清單_嘉義市</t>
  </si>
  <si>
    <t>API_模糊檢索_巷弄清單_嘉義市</t>
  </si>
  <si>
    <t>https://api.nlsc.gov.tw/idc/ListRoadLaneAlley/I/{town}/{road}</t>
  </si>
  <si>
    <t>https://api.nlsc.gov.tw/idc/ListRoadLaneAlley/Q/{鄉鎮市區代碼-地政}/{道路名稱}</t>
  </si>
  <si>
    <t>2dms_addrm_v1_ListRoadLaneAlley_Q</t>
  </si>
  <si>
    <t>ADR_004門牌服務–巷弄清單_嘉義縣</t>
  </si>
  <si>
    <t>API_模糊檢索_巷弄清單_嘉義縣</t>
  </si>
  <si>
    <t>https://api.nlsc.gov.tw/idc/ListRoadLaneAlley/Q/{town}/{road}</t>
  </si>
  <si>
    <t>https://api.nlsc.gov.tw/idc/ListRoadLaneAlley/N/{鄉鎮市區代碼-地政}/{道路名稱}</t>
  </si>
  <si>
    <t>2dms_addrm_v1_ListRoadLaneAlley_N</t>
  </si>
  <si>
    <t>ADR_004門牌服務–巷弄清單_彰化縣</t>
  </si>
  <si>
    <t>API_模糊檢索_巷弄清單_彰化縣</t>
  </si>
  <si>
    <t>https://api.nlsc.gov.tw/idc/ListRoadLaneAlley/N/{town}/{road}</t>
  </si>
  <si>
    <t>https://api.nlsc.gov.tw/idc/ListRoadLaneAlley/B/{鄉鎮市區代碼-地政}/{道路名稱}</t>
  </si>
  <si>
    <t>2dms_addrm_v1_ListRoadLaneAlley_B</t>
  </si>
  <si>
    <t>ADR_004門牌服務–巷弄清單_臺中市</t>
  </si>
  <si>
    <t>API_模糊檢索_巷弄清單_臺中市</t>
  </si>
  <si>
    <t>https://api.nlsc.gov.tw/idc/ListRoadLaneAlley/B/{town}/{road}</t>
  </si>
  <si>
    <t>https://api.nlsc.gov.tw/idc/ListRoadLaneAlley/A/{鄉鎮市區代碼-地政}/{道路名稱}</t>
  </si>
  <si>
    <t>2dms_addrm_v1_ListRoadLaneAlley_A</t>
  </si>
  <si>
    <t>ADR_004門牌服務–巷弄清單_臺北市</t>
  </si>
  <si>
    <t>API_模糊檢索_巷弄清單_臺北市</t>
  </si>
  <si>
    <t>https://api.nlsc.gov.tw/idc/ListRoadLaneAlley/A/{town}/{road}</t>
  </si>
  <si>
    <t>https://api.nlsc.gov.tw/idc/ListRoadLaneAlley/V/{鄉鎮市區代碼-地政}/{道路名稱}</t>
  </si>
  <si>
    <t>2dms_addrm_v1_ListRoadLaneAlley_V</t>
  </si>
  <si>
    <t>ADR_004門牌服務–巷弄清單_臺東縣</t>
  </si>
  <si>
    <t>API_模糊檢索_巷弄清單_臺東縣</t>
  </si>
  <si>
    <t>https://api.nlsc.gov.tw/idc/ListRoadLaneAlley/V/{town}/{road}</t>
  </si>
  <si>
    <t>https://api.nlsc.gov.tw/idc/ListRoadLaneAlley/D/{鄉鎮市區代碼-地政}/{道路名稱}</t>
  </si>
  <si>
    <t>2dms_addrm_v1_ListRoadLaneAlley_D</t>
  </si>
  <si>
    <t>ADR_004門牌服務–巷弄清單_臺南市</t>
  </si>
  <si>
    <t>API_模糊檢索_巷弄清單_臺南市</t>
  </si>
  <si>
    <t>https://api.nlsc.gov.tw/idc/ListRoadLaneAlley/D/{town}/{road}</t>
  </si>
  <si>
    <t>https://api.nlsc.gov.tw/idc/ListRoadLaneAlley/X/{鄉鎮市區代碼-地政}/{道路名稱}</t>
  </si>
  <si>
    <t>2dms_addrm_v1_ListRoadLaneAlley_X</t>
  </si>
  <si>
    <t>ADR_004門牌服務–巷弄清單_澎湖縣</t>
  </si>
  <si>
    <t>API_模糊檢索_巷弄清單_澎湖縣</t>
  </si>
  <si>
    <t>https://api.nlsc.gov.tw/idc/ListRoadLaneAlley/X/{town}/{road}</t>
  </si>
  <si>
    <t>https://api.nlsc.gov.tw/idc/PointQueryAddr</t>
  </si>
  <si>
    <t>2dms_addrm_v1_PointQueryAddr</t>
  </si>
  <si>
    <t>ADR_005坐標回傳門牌服務－點坐標</t>
  </si>
  <si>
    <t>API_模糊檢索_點坐標回傳門牌_全國</t>
  </si>
  <si>
    <t>API,門牌,幾何</t>
  </si>
  <si>
    <t>https://api.nlsc.gov.tw/idc/LineQueryAddr</t>
  </si>
  <si>
    <t>2dms_addrm_v1_LineQueryAddr</t>
  </si>
  <si>
    <t>ADR_006坐標回傳門牌服務－線坐標</t>
  </si>
  <si>
    <t>API_模糊檢索_線坐標回傳門牌_全國</t>
  </si>
  <si>
    <t>https://api.nlsc.gov.tw/idc/PolygonQueryAddr</t>
  </si>
  <si>
    <t>2dms_addrm_v1_PolygonQueryAddr</t>
  </si>
  <si>
    <t>ADR_007坐標回傳門牌服務－面坐標</t>
  </si>
  <si>
    <t>API_模糊檢索_面坐標回傳門牌_全國</t>
  </si>
  <si>
    <t>服務圖資更新時間(yyyy-mm-dd-hh-ss)</t>
  </si>
  <si>
    <t>網路服務資訊上架規劃</t>
  </si>
  <si>
    <t>網路服務資訊來源</t>
  </si>
  <si>
    <t>上架流程</t>
  </si>
  <si>
    <t>第1階段</t>
  </si>
  <si>
    <t>OAS文本</t>
  </si>
  <si>
    <t>1.由光特及藏識產製OAS文本(.json)，將OAS文本存放在圖資雲/多維度主機路徑。
2.資拓宏宇自路徑下載OAS文本檢查。(光特及藏識須配合修正)
3.OAS文本檢查通過後，由資拓更改存放路徑上架至訂閱網。</t>
  </si>
  <si>
    <t>excel</t>
  </si>
  <si>
    <t>1.由光特及藏識產製excel (.xlsx)，以email繳交給承辦。
2.由我統一交予資拓宏宇轉進訂閱網DB上架至訂閱網。</t>
  </si>
  <si>
    <t>第2階段</t>
  </si>
  <si>
    <t>1.由光特及藏識產製OAS文本(.json)，將OAS文本存放在圖資雲/多維度主機路徑。
2.具上架功能權限者使用訂閱網後臺上架功能，上架。
3.具審核功能權限者使用訂閱網後臺審核功能，審核。
4.OAS文本檢查通過後，由資拓更改存放路徑上架至訂閱網。</t>
  </si>
  <si>
    <t>詮釋資料API</t>
  </si>
  <si>
    <t>1.訂閱網介接圖資雲及多維度發布的詮釋資料API。
2.排程/手動更新DB。
3.訂閱網前臺資訊更新。</t>
  </si>
  <si>
    <t>*訂閱網後臺規劃有手動更新詮釋資料功能，僅作為API無法正常介接更新時替代上架方式。</t>
  </si>
  <si>
    <t>OAS文tag中文
(內部使用-服務資訊欄位)</t>
  </si>
  <si>
    <t>OAS文本對應tag(請把位置寫出來 例如第幾層的第幾個tag 知道對應哪一個，如果有其他描述方式也可以)</t>
  </si>
  <si>
    <t>類型</t>
  </si>
  <si>
    <t>(舉例)地籍API</t>
  </si>
  <si>
    <t>……請往後延伸，有幾個範例檔就要有幾組
各服務分類都一樣,故不重覆填寫</t>
  </si>
  <si>
    <t>位置</t>
  </si>
  <si>
    <t>備註</t>
  </si>
  <si>
    <t>OAS文本資訊(文本裡面有沒有，有V)</t>
  </si>
  <si>
    <t>Swagger UI顯示內容(文本的內容有沒有顯示在Swagger UI，有V)</t>
  </si>
  <si>
    <t>填寫說明</t>
  </si>
  <si>
    <t xml:space="preserve">paths.{path}.get.operationId </t>
  </si>
  <si>
    <t>{path}表示變數</t>
  </si>
  <si>
    <t>共通性tag</t>
  </si>
  <si>
    <t>文本版本</t>
  </si>
  <si>
    <t>openapi</t>
  </si>
  <si>
    <t>服務版本</t>
  </si>
  <si>
    <t>info.version</t>
  </si>
  <si>
    <t>文本描述</t>
  </si>
  <si>
    <t>info.description</t>
  </si>
  <si>
    <t>服務名稱</t>
  </si>
  <si>
    <t>paths.{path}.get.summary</t>
  </si>
  <si>
    <t>服務描述</t>
  </si>
  <si>
    <t>paths.{path}.get.description</t>
  </si>
  <si>
    <t>服務網址</t>
  </si>
  <si>
    <t>paths.{path}</t>
  </si>
  <si>
    <t>輸入參數</t>
  </si>
  <si>
    <t>paths.{path}.get.parameters[]</t>
  </si>
  <si>
    <t>{path}表示變數,[]表示陣列</t>
  </si>
  <si>
    <t>回應資料格式</t>
  </si>
  <si>
    <t>paths.{path}.get.responses.200.content.{MediaType}</t>
  </si>
  <si>
    <t>{path}、{MediaType}表示變數</t>
  </si>
  <si>
    <t>回應資料Schema</t>
  </si>
  <si>
    <t>paths.{path}.get.responses.200.content.{MediaType}.schema{}</t>
  </si>
  <si>
    <t>{path}、{MediaType}表示變數,{}表示物件</t>
  </si>
  <si>
    <t>例如</t>
  </si>
  <si>
    <t>schema: {</t>
  </si>
  <si>
    <t xml:space="preserve">                  "type": "string",</t>
  </si>
  <si>
    <t xml:space="preserve">                  "format": "binary"</t>
  </si>
  <si>
    <t xml:space="preserve">                }</t>
  </si>
  <si>
    <t>填寫內容為 "type": "string", "format": "binary"</t>
  </si>
  <si>
    <t>服務類別(中文)</t>
  </si>
  <si>
    <t>服務類別(英文)</t>
  </si>
  <si>
    <t>服務標準</t>
  </si>
  <si>
    <t>OGC</t>
  </si>
  <si>
    <t>地籍圖 VT</t>
  </si>
  <si>
    <t>cadvt</t>
  </si>
  <si>
    <t>OAS文本寫法有下拉式選單</t>
  </si>
  <si>
    <t>有下拉式選單的API數量</t>
  </si>
  <si>
    <t>無下拉式選單的API數量</t>
  </si>
  <si>
    <t>總計</t>
  </si>
  <si>
    <t>以3D Tiles為例，無下拉式選單如下圖</t>
  </si>
  <si>
    <t>計數 - 唯一識別碼</t>
  </si>
  <si>
    <t>SwaggerUI有無下拉選單</t>
  </si>
  <si>
    <t>列標籤</t>
  </si>
  <si>
    <t>index用</t>
  </si>
  <si>
    <t>115服務類別(英)</t>
  </si>
  <si>
    <t>代碼</t>
  </si>
  <si>
    <t>domain</t>
  </si>
  <si>
    <t>列舉值需要代碼中文對照</t>
  </si>
  <si>
    <t>服務代碼</t>
  </si>
  <si>
    <t>API代碼</t>
  </si>
  <si>
    <t>介接代號</t>
  </si>
  <si>
    <t>115服務類別</t>
  </si>
  <si>
    <t>服務名稱（中）</t>
  </si>
  <si>
    <t>圖層說明API有無</t>
  </si>
  <si>
    <t>請求方法</t>
  </si>
  <si>
    <t>building</t>
  </si>
  <si>
    <t>3dtiles.nlsc.gov.tw</t>
  </si>
  <si>
    <t>沒有</t>
  </si>
  <si>
    <t>GET</t>
  </si>
  <si>
    <t>road</t>
  </si>
  <si>
    <t>臺灣通用電子地圖道路圖層</t>
  </si>
  <si>
    <t>road2nd</t>
  </si>
  <si>
    <t>PBSService</t>
  </si>
  <si>
    <t>download03.nlsc.gov.tw</t>
  </si>
  <si>
    <t>BAQueryBuildingDataSource</t>
  </si>
  <si>
    <t>POST</t>
  </si>
  <si>
    <t>BAQueryBuilding</t>
  </si>
  <si>
    <t>BAQueryBuildingAttributes</t>
  </si>
  <si>
    <t>BAStatus</t>
  </si>
  <si>
    <t>i3s.nlsc.gov.tw</t>
  </si>
  <si>
    <t>wms.nlsc.gov.tw</t>
  </si>
  <si>
    <t>Village201910</t>
  </si>
  <si>
    <t>wmts.nlsc.gov.tw</t>
  </si>
  <si>
    <t>刪掉?</t>
  </si>
  <si>
    <t>村里界(108年10月)異動前&lt;BR&gt;
臺中市異動前</t>
  </si>
  <si>
    <t>Village</t>
  </si>
  <si>
    <t>　　本網站所提供之村里界圖，係依據內政部民政司所提供之村里界紙本資料，由本中心數化完成之全國村里界圖。&lt;BR&gt;&lt;font color=#0040FF&gt;—使用顏色圖例—&lt;/font&gt;&lt;BR&gt;
　　村里界資料如有疑義或需修正請逕行連絡內政部民政司。&lt;BR&gt;
　　若需村里界向量資料請至 &lt;a href=https://data.gov.tw/datasets/search?qs=%E6%9D%91%E9%87%8C%E7%95%8C target="_blank" rel="noopener"&gt;&lt;font  color=blue&gt;政府資料開放平台&lt;/font&gt;&lt;/a&gt; 下載。</t>
  </si>
  <si>
    <t>UAV111Q01</t>
  </si>
  <si>
    <t>嘉義縣民雄111年</t>
  </si>
  <si>
    <t>UAV111P02</t>
  </si>
  <si>
    <t>雲林縣口湖111年</t>
  </si>
  <si>
    <t>UAV111P01</t>
  </si>
  <si>
    <t>雲林縣臺西111年</t>
  </si>
  <si>
    <t>UAV111K02</t>
  </si>
  <si>
    <t>苗栗縣泰安鄉觀霧111年</t>
  </si>
  <si>
    <t>UAV111K01</t>
  </si>
  <si>
    <t>苗栗縣泰安鄉雪見111年</t>
  </si>
  <si>
    <t>UAV111J03</t>
  </si>
  <si>
    <t>新竹縣竹北市111年第3區</t>
  </si>
  <si>
    <t>UAV111J02</t>
  </si>
  <si>
    <t>新竹縣竹北市111年第2區</t>
  </si>
  <si>
    <t>UAV111J01</t>
  </si>
  <si>
    <t>新竹縣竹北市111年第1區</t>
  </si>
  <si>
    <t>UAV111E01</t>
  </si>
  <si>
    <t>高雄市永安111年</t>
  </si>
  <si>
    <t>UAV111D01</t>
  </si>
  <si>
    <t>臺南市柳營111年</t>
  </si>
  <si>
    <t xml:space="preserve">UAV111A06 </t>
  </si>
  <si>
    <t>https://wmts.nlsc.gov.tw/wmts/UAV111A06 /{Style}/{TileMatrixSet}/{TileMatrix}/{TileRow}/{TileCol}</t>
  </si>
  <si>
    <t>UAV111A05</t>
  </si>
  <si>
    <t>臺北市士林陽明山馬槽111年</t>
  </si>
  <si>
    <t>UAV111A04</t>
  </si>
  <si>
    <t>臺北市士林陽明山大油坑111年</t>
  </si>
  <si>
    <t xml:space="preserve">UAV111A03 </t>
  </si>
  <si>
    <t>https://wmts.nlsc.gov.tw/wmts/UAV111A03 /{Style}/{TileMatrixSet}/{TileMatrix}/{TileRow}/{TileCol}</t>
  </si>
  <si>
    <t>UAV111A02</t>
  </si>
  <si>
    <t>臺北市北投111年</t>
  </si>
  <si>
    <t>UAV110Q02</t>
  </si>
  <si>
    <t>嘉義縣鹿草110年</t>
  </si>
  <si>
    <t>UAV110Q01</t>
  </si>
  <si>
    <t>嘉義縣朴子110年</t>
  </si>
  <si>
    <t xml:space="preserve">UAV110N01 </t>
  </si>
  <si>
    <t>https://wmts.nlsc.gov.tw/wmts/UAV110N01 /{Style}/{TileMatrixSet}/{TileMatrix}/{TileRow}/{TileCol}</t>
  </si>
  <si>
    <t>UAV110E02</t>
  </si>
  <si>
    <t>高雄市大社110年</t>
  </si>
  <si>
    <t xml:space="preserve">UAV110D08 </t>
  </si>
  <si>
    <t>https://wmts.nlsc.gov.tw/wmts/UAV110D08 /{Style}/{TileMatrixSet}/{TileMatrix}/{TileRow}/{TileCol}</t>
  </si>
  <si>
    <t xml:space="preserve">UAV110D07 </t>
  </si>
  <si>
    <t>https://wmts.nlsc.gov.tw/wmts/UAV110D07 /{Style}/{TileMatrixSet}/{TileMatrix}/{TileRow}/{TileCol}</t>
  </si>
  <si>
    <t>UAV110D06</t>
  </si>
  <si>
    <t>臺南市永康110年②</t>
  </si>
  <si>
    <t xml:space="preserve">UAV110D05 </t>
  </si>
  <si>
    <t>https://wmts.nlsc.gov.tw/wmts/UAV110D05 /{Style}/{TileMatrixSet}/{TileMatrix}/{TileRow}/{TileCol}</t>
  </si>
  <si>
    <t>UAV110D04</t>
  </si>
  <si>
    <t>臺南市新營110年</t>
  </si>
  <si>
    <t>UAV110D03</t>
  </si>
  <si>
    <t>臺南市安南110年</t>
  </si>
  <si>
    <t>UAV110D02</t>
  </si>
  <si>
    <t>臺南市南化110年</t>
  </si>
  <si>
    <t>UAV110D01</t>
  </si>
  <si>
    <t>臺南市永康110年</t>
  </si>
  <si>
    <t>UAV110B03</t>
  </si>
  <si>
    <t>臺中市霧峰110年</t>
  </si>
  <si>
    <t>UAV110B02</t>
  </si>
  <si>
    <t>臺中市烏日110年</t>
  </si>
  <si>
    <t>UAV110B01</t>
  </si>
  <si>
    <t>臺中市豐原1109年</t>
  </si>
  <si>
    <t>UAV110A01</t>
  </si>
  <si>
    <t>臺北市士林110年大油坑、馬槽、夢幻湖</t>
  </si>
  <si>
    <t>UAV109U03</t>
  </si>
  <si>
    <t>花蓮縣光復109年</t>
  </si>
  <si>
    <t>UAV109U02</t>
  </si>
  <si>
    <t>花蓮縣卓溪②109年</t>
  </si>
  <si>
    <t>UAV109U01</t>
  </si>
  <si>
    <t>花蓮縣卓溪①109年</t>
  </si>
  <si>
    <t>UAV109T03</t>
  </si>
  <si>
    <t>屏東縣高樹109年</t>
  </si>
  <si>
    <t>UAV109T02</t>
  </si>
  <si>
    <t>屏東縣屏東市109年</t>
  </si>
  <si>
    <t>UAV109T01</t>
  </si>
  <si>
    <t>屏東縣東港109年</t>
  </si>
  <si>
    <t>UAV109Q01</t>
  </si>
  <si>
    <t>嘉義縣義竹109年</t>
  </si>
  <si>
    <t>UAV109P01</t>
  </si>
  <si>
    <t>雲林縣古坑109年</t>
  </si>
  <si>
    <t>UAV109K02</t>
  </si>
  <si>
    <t>苗栗縣苗栗市109年</t>
  </si>
  <si>
    <t>UAV109K01</t>
  </si>
  <si>
    <t>苗栗縣西湖109年</t>
  </si>
  <si>
    <t>UAV109E01</t>
  </si>
  <si>
    <t>高雄市岡山109年</t>
  </si>
  <si>
    <t>UAV109D01</t>
  </si>
  <si>
    <t>臺南市麻豆109年</t>
  </si>
  <si>
    <t>UAV109B01</t>
  </si>
  <si>
    <t>臺中市梧棲109年</t>
  </si>
  <si>
    <t>UAV109A01</t>
  </si>
  <si>
    <t>臺北市士林109年大油坑、馬槽、夢幻湖</t>
  </si>
  <si>
    <t>UAV108Q02</t>
  </si>
  <si>
    <t>嘉義縣布袋鎮108年</t>
  </si>
  <si>
    <t>UAV108Q01</t>
  </si>
  <si>
    <t>UAV108G01</t>
  </si>
  <si>
    <t>宜蘭縣五結鄉108年</t>
  </si>
  <si>
    <t>UAV108E01</t>
  </si>
  <si>
    <t>高雄市大寮區108年</t>
  </si>
  <si>
    <t>UAV108D05</t>
  </si>
  <si>
    <t>臺南市永康區108年</t>
  </si>
  <si>
    <t>UAV108D04</t>
  </si>
  <si>
    <t>臺南市關廟區108年</t>
  </si>
  <si>
    <t>UAV108D03</t>
  </si>
  <si>
    <t>臺南市七股區108年</t>
  </si>
  <si>
    <t>UAV108D02</t>
  </si>
  <si>
    <t>臺南市下營區108年</t>
  </si>
  <si>
    <t>UAV108D01</t>
  </si>
  <si>
    <t>臺南市安南區108年</t>
  </si>
  <si>
    <t>UAV108B01</t>
  </si>
  <si>
    <t>臺中市后里區108年</t>
  </si>
  <si>
    <t>UAV108A03</t>
  </si>
  <si>
    <t>臺北市士林區夢幻湖108年</t>
  </si>
  <si>
    <t>UAV108A02</t>
  </si>
  <si>
    <t>臺北市士林區馬槽108年</t>
  </si>
  <si>
    <t>UAV108A01</t>
  </si>
  <si>
    <t>臺北市士林區大油坑108年</t>
  </si>
  <si>
    <t>UAV107T02</t>
  </si>
  <si>
    <t>屏東縣海豐外環道107年</t>
  </si>
  <si>
    <t>UAV107T01</t>
  </si>
  <si>
    <t>屏東縣屏東交流道107年</t>
  </si>
  <si>
    <t>UAV107O01</t>
  </si>
  <si>
    <t>新竹市107年</t>
  </si>
  <si>
    <t>UAV107K02</t>
  </si>
  <si>
    <t>苗栗縣通霄鎮107年</t>
  </si>
  <si>
    <t>UAV107K01</t>
  </si>
  <si>
    <t>苗栗縣銅鑼鎮107年</t>
  </si>
  <si>
    <t>UAV107J02</t>
  </si>
  <si>
    <t>新竹縣尖石鄉107年</t>
  </si>
  <si>
    <t>UAV107J01</t>
  </si>
  <si>
    <t>新竹縣新豐鄉107年</t>
  </si>
  <si>
    <t>UAV107G01</t>
  </si>
  <si>
    <t>宜蘭縣南澳鄉107年</t>
  </si>
  <si>
    <t>UAV107F01</t>
  </si>
  <si>
    <t>新北市金山區107年</t>
  </si>
  <si>
    <t>UAV107D01</t>
  </si>
  <si>
    <t>彰化縣伸港鄉臺中市龍井區107年</t>
  </si>
  <si>
    <t>UAV107B02</t>
  </si>
  <si>
    <t>臺中市和平區107年</t>
  </si>
  <si>
    <t>UAV107B01</t>
  </si>
  <si>
    <t>臺中市大安區107年</t>
  </si>
  <si>
    <t>UAV107A03</t>
  </si>
  <si>
    <t>臺北市士林區夢幻湖107年</t>
  </si>
  <si>
    <t>UAV107A02</t>
  </si>
  <si>
    <t>臺北市士林區馬槽107年</t>
  </si>
  <si>
    <t>UAV107A01</t>
  </si>
  <si>
    <t>臺北市士林區大油坑107年</t>
  </si>
  <si>
    <t>UAV106U01</t>
  </si>
  <si>
    <t>花蓮縣卓溪鄉106年</t>
  </si>
  <si>
    <t>UAV106P01</t>
  </si>
  <si>
    <t>雲林縣斗六市(湖山水庫)106年</t>
  </si>
  <si>
    <t>UAV106O01</t>
  </si>
  <si>
    <t>新竹市北區(台68線)</t>
  </si>
  <si>
    <t>UAV106N01</t>
  </si>
  <si>
    <t>彰化縣大城鄉(152線)106年</t>
  </si>
  <si>
    <t>UAV106M01</t>
  </si>
  <si>
    <t>南投縣草屯鎮(九九峰)106年</t>
  </si>
  <si>
    <t>UAV106K01</t>
  </si>
  <si>
    <t>苗栗縣苑裡鎮(火炎山)106年</t>
  </si>
  <si>
    <t>UAV106I02</t>
  </si>
  <si>
    <t>嘉義市西區(湖子內區段徵收)</t>
  </si>
  <si>
    <t>UAV106I01</t>
  </si>
  <si>
    <t>嘉義市東區(彌陀路拓寬工程)</t>
  </si>
  <si>
    <t>UAV106H03</t>
  </si>
  <si>
    <t>桃園市觀音區106年</t>
  </si>
  <si>
    <t>UAV106H02</t>
  </si>
  <si>
    <t>桃園市新屋區106年</t>
  </si>
  <si>
    <t>UAV106H01</t>
  </si>
  <si>
    <t>桃園市平鎮區106年</t>
  </si>
  <si>
    <t>UAV106F02</t>
  </si>
  <si>
    <t>新北市樹林區(國3樹林交流道)</t>
  </si>
  <si>
    <t>UAV106F01</t>
  </si>
  <si>
    <t>新北市烏來區106年</t>
  </si>
  <si>
    <t>UAV106D03</t>
  </si>
  <si>
    <t>臺南市七股區(西濱公路) 106年</t>
  </si>
  <si>
    <t>UAV106D02</t>
  </si>
  <si>
    <t>臺南市東區(平實市地重劃)</t>
  </si>
  <si>
    <t>UAV106D01</t>
  </si>
  <si>
    <t>臺南市安南區(台江大道)</t>
  </si>
  <si>
    <t>UAV106A03</t>
  </si>
  <si>
    <t>臺北市士林區馬槽106年</t>
  </si>
  <si>
    <t>UAV106A02</t>
  </si>
  <si>
    <t>臺北市北投(夢幻湖)</t>
  </si>
  <si>
    <t>UAV106A01</t>
  </si>
  <si>
    <t>臺北市士林(大油坑)</t>
  </si>
  <si>
    <t>UAV105U01</t>
  </si>
  <si>
    <t>花蓮縣花蓮市105年</t>
  </si>
  <si>
    <t>UAV105P03</t>
  </si>
  <si>
    <t>雲林縣古坑鄉(國3古坑交流道)105年</t>
  </si>
  <si>
    <t>UAV105P02</t>
  </si>
  <si>
    <t>雲林縣古坑鄉(崁頭厝)105年</t>
  </si>
  <si>
    <t>UAV105P01</t>
  </si>
  <si>
    <t>雲林縣古坑鄉(樟湖)105年</t>
  </si>
  <si>
    <t>UAV105O01</t>
  </si>
  <si>
    <t>新竹市香山區105年</t>
  </si>
  <si>
    <t>UAV105N01</t>
  </si>
  <si>
    <t>彰化縣田中鎮105年</t>
  </si>
  <si>
    <t>UAV105M02</t>
  </si>
  <si>
    <t>南投縣草屯鎮105年</t>
  </si>
  <si>
    <t>UAV105M01</t>
  </si>
  <si>
    <t>南投縣竹山鎮105年</t>
  </si>
  <si>
    <t>UAV105H04</t>
  </si>
  <si>
    <t>桃園市觀音區105年</t>
  </si>
  <si>
    <t>UAV105H03</t>
  </si>
  <si>
    <t>桃園市蘆竹區105年</t>
  </si>
  <si>
    <t>UAV105H02</t>
  </si>
  <si>
    <t>桃園市新屋區105年</t>
  </si>
  <si>
    <t>UAV105H01</t>
  </si>
  <si>
    <t>桃園市平鎮區105年</t>
  </si>
  <si>
    <t>UAV105B15</t>
  </si>
  <si>
    <t>臺中市(第14期)105年</t>
  </si>
  <si>
    <t>UAV105B14</t>
  </si>
  <si>
    <t>臺中市(水湳機場)105年</t>
  </si>
  <si>
    <t>UAV105B13</t>
  </si>
  <si>
    <t>臺中市(太平新光地區)105年</t>
  </si>
  <si>
    <t>UAV105B12</t>
  </si>
  <si>
    <t>臺中市(廍子地區)105年</t>
  </si>
  <si>
    <t>UAV105B11</t>
  </si>
  <si>
    <t>臺中市太平區(坪林森林公園)105年</t>
  </si>
  <si>
    <t>UAV105B10</t>
  </si>
  <si>
    <t>臺中市(捷運北屯機廠)105年</t>
  </si>
  <si>
    <t>UAV105B09</t>
  </si>
  <si>
    <t>臺中市(振興路以南)105年</t>
  </si>
  <si>
    <t>UAV105B08</t>
  </si>
  <si>
    <t>臺中市潭子區105年</t>
  </si>
  <si>
    <t>UAV105B07</t>
  </si>
  <si>
    <t>臺中市霧峰區105年</t>
  </si>
  <si>
    <t>UAV105B06</t>
  </si>
  <si>
    <t>臺中市(第13期)105年</t>
  </si>
  <si>
    <t>UAV105B05</t>
  </si>
  <si>
    <t>臺中市(台中車站)105年</t>
  </si>
  <si>
    <t>UAV105B04</t>
  </si>
  <si>
    <t>臺中市(豐原車站)105年</t>
  </si>
  <si>
    <t>UAV105B03</t>
  </si>
  <si>
    <t>臺中市(潭子車站)105年</t>
  </si>
  <si>
    <t>UAV105B02</t>
  </si>
  <si>
    <t>臺中市(太原車站)105年</t>
  </si>
  <si>
    <t>UAV105B01</t>
  </si>
  <si>
    <t>臺中市(大慶車站)105年</t>
  </si>
  <si>
    <t>UAV105A03</t>
  </si>
  <si>
    <t>臺北市北投(夢幻湖)105年</t>
  </si>
  <si>
    <t>UAV105A02</t>
  </si>
  <si>
    <t>臺北市士林(馬槽)105年</t>
  </si>
  <si>
    <t>UAV105A01</t>
  </si>
  <si>
    <t>臺北市士林(大油坑)105年</t>
  </si>
  <si>
    <t>UAV104T01</t>
  </si>
  <si>
    <t>屏東縣里港鄉(國10里港交流道)104年</t>
  </si>
  <si>
    <t>UAV104P01</t>
  </si>
  <si>
    <t>雲林縣虎尾鎮(雲林高鐵站)</t>
  </si>
  <si>
    <t>UAV104N01</t>
  </si>
  <si>
    <t>彰化縣芳苑鄉(台61線)104年</t>
  </si>
  <si>
    <t>UAV104K02</t>
  </si>
  <si>
    <t>苗栗縣造橋鄉(台13甲線)104年</t>
  </si>
  <si>
    <t>UAV104K01</t>
  </si>
  <si>
    <t>苗栗縣獅潭鄉(汶水橋)</t>
  </si>
  <si>
    <t>UAV104E03</t>
  </si>
  <si>
    <t>高雄市前鎮區(經貿園區65期)</t>
  </si>
  <si>
    <t>UAV104E02</t>
  </si>
  <si>
    <t>高雄市前鎮區(氣爆災點)</t>
  </si>
  <si>
    <t>UAV104E01</t>
  </si>
  <si>
    <t>高雄市仁武區(國1鼎金交流道)</t>
  </si>
  <si>
    <t>UAV104D04</t>
  </si>
  <si>
    <t>臺南市安平區104年</t>
  </si>
  <si>
    <t>UAV104D03</t>
  </si>
  <si>
    <t>臺南市安南區(九份子重劃區)</t>
  </si>
  <si>
    <t>UAV104D02</t>
  </si>
  <si>
    <t>臺南市新市區(新和重劃區)104年UAV</t>
  </si>
  <si>
    <t>UAV103T01</t>
  </si>
  <si>
    <t>屏東縣霧台鄉(台24谷川大橋)</t>
  </si>
  <si>
    <t>UAV103Q01</t>
  </si>
  <si>
    <t>嘉義縣大林鎮(大埔美重劃區)</t>
  </si>
  <si>
    <t>UAV103P01</t>
  </si>
  <si>
    <t>雲林縣麥寮鄉(台61線)103年</t>
  </si>
  <si>
    <t>UAV103N01</t>
  </si>
  <si>
    <t>彰化縣福興鄉(台61線)103年</t>
  </si>
  <si>
    <t>UAV103M04</t>
  </si>
  <si>
    <t>南投縣仁愛鄉(清境農場)103年</t>
  </si>
  <si>
    <t>UAV103M03</t>
  </si>
  <si>
    <t>南投縣南投市(國3南投交流道)</t>
  </si>
  <si>
    <t>UAV103M02</t>
  </si>
  <si>
    <t>南投縣國姓鄉(國6北山交流道)</t>
  </si>
  <si>
    <t>UAV103M01</t>
  </si>
  <si>
    <t>南投縣南投市(航遙測校正場)</t>
  </si>
  <si>
    <t>UAV103K01</t>
  </si>
  <si>
    <t>苗栗縣銅鑼鄉(銅鑼科學園區)</t>
  </si>
  <si>
    <t>UAV103H01</t>
  </si>
  <si>
    <t>桃園市(中路計畫區區段徵收)</t>
  </si>
  <si>
    <t>UAV103D04</t>
  </si>
  <si>
    <t>臺南市學甲區(台84線)103年</t>
  </si>
  <si>
    <t>UAV103D03</t>
  </si>
  <si>
    <t>臺南市麻豆區1</t>
  </si>
  <si>
    <t>UAV103D01</t>
  </si>
  <si>
    <t>臺南市南區(台86線)</t>
  </si>
  <si>
    <t>UAV102V01</t>
  </si>
  <si>
    <t>臺東縣大武鄉</t>
  </si>
  <si>
    <t>UAV102T02</t>
  </si>
  <si>
    <t>屏東縣滿州鄉102年</t>
  </si>
  <si>
    <t>UAV102T01</t>
  </si>
  <si>
    <t>屏東縣里港鄉</t>
  </si>
  <si>
    <t>UAV102Q02</t>
  </si>
  <si>
    <t>嘉義縣番路鄉</t>
  </si>
  <si>
    <t>UAV102Q01</t>
  </si>
  <si>
    <t>嘉義縣阿里山鄉</t>
  </si>
  <si>
    <t>UAV102N01</t>
  </si>
  <si>
    <t>彰化縣伸港鄉</t>
  </si>
  <si>
    <t>UAV102M01</t>
  </si>
  <si>
    <t>南投縣南投市(校正場)102年</t>
  </si>
  <si>
    <t>UAV102H01</t>
  </si>
  <si>
    <t>桃園市龜山區</t>
  </si>
  <si>
    <t>UAV102D03</t>
  </si>
  <si>
    <t>臺南市安南區102年</t>
  </si>
  <si>
    <t>UAV102D02</t>
  </si>
  <si>
    <t>臺南市七股區(台江國家公園)102年</t>
  </si>
  <si>
    <t>UAV102D01</t>
  </si>
  <si>
    <t>臺南市七股區(台61線)</t>
  </si>
  <si>
    <t>UAV101V01</t>
  </si>
  <si>
    <t>臺東縣太麻里鄉</t>
  </si>
  <si>
    <t>UAV101U02</t>
  </si>
  <si>
    <t>花蓮縣壽豐鄉</t>
  </si>
  <si>
    <t>UAV101U01</t>
  </si>
  <si>
    <t>花蓮縣壽豐鄉豐平大橋</t>
  </si>
  <si>
    <t>UAV101T01</t>
  </si>
  <si>
    <t>屏東縣滿州鄉</t>
  </si>
  <si>
    <t>UAV101Q01</t>
  </si>
  <si>
    <t xml:space="preserve">嘉義縣東石鄉
</t>
  </si>
  <si>
    <t>UAV101K02</t>
  </si>
  <si>
    <t>苗栗縣後龍鎮</t>
  </si>
  <si>
    <t>UAV101K01</t>
  </si>
  <si>
    <t>苗栗縣卓蘭鎮</t>
  </si>
  <si>
    <t>UAV101D02</t>
  </si>
  <si>
    <t>臺南市關廟區</t>
  </si>
  <si>
    <t>UAV101D01</t>
  </si>
  <si>
    <t>臺南市安南區</t>
  </si>
  <si>
    <t>TOWN</t>
  </si>
  <si>
    <t>我國各鄉（鎮、市、區）行政區域界線圖資。</t>
  </si>
  <si>
    <t>TOPON1KPHOTO_X08</t>
  </si>
  <si>
    <t>圖資提供單位：內政部國土測繪中心。&lt;br&gt;
影像拍攝時間：113年</t>
  </si>
  <si>
    <t>TOPON1KPHOTO_X07</t>
  </si>
  <si>
    <t>圖資提供單位：內政部國土測繪中心。&lt;br&gt;
影像拍攝時間：113年。</t>
  </si>
  <si>
    <t>TOPON1KPHOTO_X06</t>
  </si>
  <si>
    <t>圖資提供單位：內政部國土測繪中心。&lt;br&gt;
影像拍攝時間：112年。</t>
  </si>
  <si>
    <t>TOPON1KPHOTO_X05</t>
  </si>
  <si>
    <t>TOPON1KPHOTO_X04</t>
  </si>
  <si>
    <t>TOPON1KPHOTO_X03</t>
  </si>
  <si>
    <t>TOPON1KPHOTO_X02</t>
  </si>
  <si>
    <t>TOPON1KPHOTO_X01</t>
  </si>
  <si>
    <t>TOPON1KPHOTO_V02</t>
  </si>
  <si>
    <t>TOPON1KPHOTO_V01</t>
  </si>
  <si>
    <t>TOPON1KPHOTO_U20</t>
  </si>
  <si>
    <t>TOPON1KPHOTO_T30</t>
  </si>
  <si>
    <t>TOPON1KPHOTO_T20</t>
  </si>
  <si>
    <t>TOPON1KPHOTO_T08</t>
  </si>
  <si>
    <t>TOPON1KPHOTO_T03</t>
  </si>
  <si>
    <t>TOPON1KPHOTO_T01</t>
  </si>
  <si>
    <t>TOPON1KPHOTO_Q31</t>
  </si>
  <si>
    <t>TOPON1KPHOTO_Q30</t>
  </si>
  <si>
    <t xml:space="preserve">圖資提供單位：內政部國土測繪中心。&lt;br&gt;
影像拍攝時間：113年。
</t>
  </si>
  <si>
    <t>TOPON1KPHOTO_Q29</t>
  </si>
  <si>
    <t>TOPON1KPHOTO_Q28</t>
  </si>
  <si>
    <t>TOPON1KPHOTO_Q27</t>
  </si>
  <si>
    <t>TOPON1KPHOTO_Q26</t>
  </si>
  <si>
    <t>TOPON1KPHOTO_Q22</t>
  </si>
  <si>
    <t>TOPON1KPHOTO_Q21</t>
  </si>
  <si>
    <t>TOPON1KPHOTO_Q19</t>
  </si>
  <si>
    <t>TOPON1KPHOTO_Q07</t>
  </si>
  <si>
    <t>TOPON1KPHOTO_Q06</t>
  </si>
  <si>
    <t>TOPON1KPHOTO_Q02</t>
  </si>
  <si>
    <t>TOPON1KPHOTO_P25</t>
  </si>
  <si>
    <t>TOPON1KPHOTO_P24</t>
  </si>
  <si>
    <t>TOPON1KPHOTO_P22</t>
  </si>
  <si>
    <t>TOPON1KPHOTO_P13</t>
  </si>
  <si>
    <t>TOPON1KPHOTO_P12</t>
  </si>
  <si>
    <t>TOPON1KPHOTO_P10</t>
  </si>
  <si>
    <t>TOPON1KPHOTO_P01</t>
  </si>
  <si>
    <t>TOPON1KPHOTO_N02</t>
  </si>
  <si>
    <t>TOPON1KPHOTO_N01</t>
  </si>
  <si>
    <t xml:space="preserve">圖資提供單位：內政部國土測繪中心。&lt;br&gt;
影像拍攝時間：112年。
</t>
  </si>
  <si>
    <t>TOPON1KPHOTO_M04</t>
  </si>
  <si>
    <t>TOPON1KPHOTO_M02</t>
  </si>
  <si>
    <t>TOPON1KPHOTO_M01</t>
  </si>
  <si>
    <t>TOPON1KPHOTO_K14</t>
  </si>
  <si>
    <t>TOPON1KPHOTO_K02</t>
  </si>
  <si>
    <t>TOPON1KPHOTO_K01</t>
  </si>
  <si>
    <t>TOPON1KPHOTO_J17</t>
  </si>
  <si>
    <t>TOPON1KPHOTO_J16</t>
  </si>
  <si>
    <t>TOPON1KPHOTO_J13</t>
  </si>
  <si>
    <t>TOPON1KPHOTO_J06</t>
  </si>
  <si>
    <t>TOPON1KPHOTO_J01</t>
  </si>
  <si>
    <t>TOPON1KPHOTO_H31</t>
  </si>
  <si>
    <t>TOPON1KPHOTO_H21</t>
  </si>
  <si>
    <t>TOPON1KPHOTO_H20</t>
  </si>
  <si>
    <t>TOPON1KPHOTO_H19</t>
  </si>
  <si>
    <t>TOPON1KPHOTO_H18</t>
  </si>
  <si>
    <t>TOPON1KPHOTO_G20</t>
  </si>
  <si>
    <t>TOPON1KPHOTO_G19</t>
  </si>
  <si>
    <t>TOPON1KPHOTO_G18</t>
  </si>
  <si>
    <t>TOPON1KPHOTO_G17</t>
  </si>
  <si>
    <t>TOPON1KPHOTO_G16</t>
  </si>
  <si>
    <t>TOPON1KPHOTO_G15</t>
  </si>
  <si>
    <t>TOPON1KPHOTO_G11</t>
  </si>
  <si>
    <t>TOPON1KPHOTO_G09</t>
  </si>
  <si>
    <t>TOPON1KPHOTO_G06</t>
  </si>
  <si>
    <t>TOPON1KPHOTO_G04</t>
  </si>
  <si>
    <t>TOPON1KPHOTO_G01</t>
  </si>
  <si>
    <t>TOPON1KPHOTO_E32</t>
  </si>
  <si>
    <t>TOPON1KPHOTO_E03</t>
  </si>
  <si>
    <t>TOPON1KPHOTO_E02</t>
  </si>
  <si>
    <t>TOPON1KPHOTO_D12</t>
  </si>
  <si>
    <t>TOPON1KPHOTO_D08</t>
  </si>
  <si>
    <t>TOPON1KPHOTO_D05</t>
  </si>
  <si>
    <t>TOPON1KPHOTO_D04</t>
  </si>
  <si>
    <t>TOPON1KPHOTO_D03</t>
  </si>
  <si>
    <t>TOPON1KPHOTO_B25</t>
  </si>
  <si>
    <t>TOPON1KPHOTO_B22</t>
  </si>
  <si>
    <t>TOPON1KPHOTO_B20</t>
  </si>
  <si>
    <t>TOPON1KPHOTO_B15</t>
  </si>
  <si>
    <t>TOPON1KPHOTO_B14</t>
  </si>
  <si>
    <t>TOPON1KPHOTO_B11</t>
  </si>
  <si>
    <t>TOPON1KPHOTO_B04</t>
  </si>
  <si>
    <t>TOPON1K_X08</t>
  </si>
  <si>
    <t>http://wmts.nlsc.gov.tw/wmts/TOPON1K_X08/{Style}/{TileMatrixSet}/{TileMatrix}/{TileRow}/{TileCol}</t>
  </si>
  <si>
    <t>圖資提供單位：內政部國土測繪中心。&lt;br&gt;
圖資測製時間：113~114年。</t>
  </si>
  <si>
    <t>TOPON1K_X07</t>
  </si>
  <si>
    <t>http://wmts.nlsc.gov.tw/wmts/TOPON1K_X07/{Style}/{TileMatrixSet}/{TileMatrix}/{TileRow}/{TileCol}</t>
  </si>
  <si>
    <t>TOPON1K_X06</t>
  </si>
  <si>
    <t>http://wmts.nlsc.gov.tw/wmts/TOPON1K_X06/{Style}/{TileMatrixSet}/{TileMatrix}/{TileRow}/{TileCol}</t>
  </si>
  <si>
    <t>圖資提供單位：內政部國土測繪中心。&lt;br&gt;
圖資測製時間：112~113年。</t>
  </si>
  <si>
    <t>TOPON1K_X05</t>
  </si>
  <si>
    <t>http://wmts.nlsc.gov.tw/wmts/TOPON1K_X05/{Style}/{TileMatrixSet}/{TileMatrix}/{TileRow}/{TileCol}</t>
  </si>
  <si>
    <t>TOPON1K_X04</t>
  </si>
  <si>
    <t>http://wmts.nlsc.gov.tw/wmts/TOPON1K_X04/{Style}/{TileMatrixSet}/{TileMatrix}/{TileRow}/{TileCol}</t>
  </si>
  <si>
    <t>TOPON1K_X03</t>
  </si>
  <si>
    <t>http://wmts.nlsc.gov.tw/wmts/TOPON1K_X03/{Style}/{TileMatrixSet}/{TileMatrix}/{TileRow}/{TileCol}</t>
  </si>
  <si>
    <t>TOPON1K_X02</t>
  </si>
  <si>
    <t>http://wmts.nlsc.gov.tw/wmts/TOPON1K_X02/{Style}/{TileMatrixSet}/{TileMatrix}/{TileRow}/{TileCol}</t>
  </si>
  <si>
    <t>TOPON1K_X01</t>
  </si>
  <si>
    <t>http://wmts.nlsc.gov.tw/wmts/TOPON1K_X01/{Style}/{TileMatrixSet}/{TileMatrix}/{TileRow}/{TileCol}</t>
  </si>
  <si>
    <t>TOPON1K_V02</t>
  </si>
  <si>
    <t>http://wmts.nlsc.gov.tw/wmts/TOPON1K_V02/{Style}/{TileMatrixSet}/{TileMatrix}/{TileRow}/{TileCol}</t>
  </si>
  <si>
    <t>TOPON1K_V01</t>
  </si>
  <si>
    <t>http://wmts.nlsc.gov.tw/wmts/TOPON1K_V01/{Style}/{TileMatrixSet}/{TileMatrix}/{TileRow}/{TileCol}</t>
  </si>
  <si>
    <t>TOPON1K_U20</t>
  </si>
  <si>
    <t>http://wmts.nlsc.gov.tw/wmts/TOPON1K_U20/{Style}/{TileMatrixSet}/{TileMatrix}/{TileRow}/{TileCol}</t>
  </si>
  <si>
    <t>TOPON1K_T30</t>
  </si>
  <si>
    <t>http://wmts.nlsc.gov.tw/wmts/TOPON1K_T30/{Style}/{TileMatrixSet}/{TileMatrix}/{TileRow}/{TileCol}</t>
  </si>
  <si>
    <t>TOPON1K_T20</t>
  </si>
  <si>
    <t>http://wmts.nlsc.gov.tw/wmts/TOPON1K_T20/{Style}/{TileMatrixSet}/{TileMatrix}/{TileRow}/{TileCol}</t>
  </si>
  <si>
    <t>TOPON1K_T08</t>
  </si>
  <si>
    <t>http://wmts.nlsc.gov.tw/wmts/TOPON1K_T08/{Style}/{TileMatrixSet}/{TileMatrix}/{TileRow}/{TileCol}</t>
  </si>
  <si>
    <t>TOPON1K_T03</t>
  </si>
  <si>
    <t>http://wmts.nlsc.gov.tw/wmts/TOPON1K_T03/{Style}/{TileMatrixSet}/{TileMatrix}/{TileRow}/{TileCol}</t>
  </si>
  <si>
    <t>TOPON1K_T01</t>
  </si>
  <si>
    <t>http://wmts.nlsc.gov.tw/wmts/TOPON1K_T01/{Style}/{TileMatrixSet}/{TileMatrix}/{TileRow}/{TileCol}</t>
  </si>
  <si>
    <t>TOPON1K_Q31</t>
  </si>
  <si>
    <t>http://wmts.nlsc.gov.tw/wmts/TOPON1K_Q31/{Style}/{TileMatrixSet}/{TileMatrix}/{TileRow}/{TileCol}</t>
  </si>
  <si>
    <t>TOPON1K_Q30</t>
  </si>
  <si>
    <t>http://wmts.nlsc.gov.tw/wmts/TOPON1K_Q30/{Style}/{TileMatrixSet}/{TileMatrix}/{TileRow}/{TileCol}</t>
  </si>
  <si>
    <t>TOPON1K_Q29</t>
  </si>
  <si>
    <t>http://wmts.nlsc.gov.tw/wmts/TOPON1K_Q29/{Style}/{TileMatrixSet}/{TileMatrix}/{TileRow}/{TileCol}</t>
  </si>
  <si>
    <t>TOPON1K_Q28</t>
  </si>
  <si>
    <t>http://wmts.nlsc.gov.tw/wmts/TOPON1K_Q28/{Style}/{TileMatrixSet}/{TileMatrix}/{TileRow}/{TileCol}</t>
  </si>
  <si>
    <t>TOPON1K_Q27</t>
  </si>
  <si>
    <t>http://wmts.nlsc.gov.tw/wmts/TOPON1K_Q27/{Style}/{TileMatrixSet}/{TileMatrix}/{TileRow}/{TileCol}</t>
  </si>
  <si>
    <t>TOPON1K_Q26</t>
  </si>
  <si>
    <t>http://wmts.nlsc.gov.tw/wmts/TOPON1K_Q26/{Style}/{TileMatrixSet}/{TileMatrix}/{TileRow}/{TileCol}</t>
  </si>
  <si>
    <t>TOPON1K_Q22</t>
  </si>
  <si>
    <t>http://wmts.nlsc.gov.tw/wmts/TOPON1K_Q22/{Style}/{TileMatrixSet}/{TileMatrix}/{TileRow}/{TileCol}</t>
  </si>
  <si>
    <t>TOPON1K_Q21</t>
  </si>
  <si>
    <t>http://wmts.nlsc.gov.tw/wmts/TOPON1K_Q21/{Style}/{TileMatrixSet}/{TileMatrix}/{TileRow}/{TileCol}</t>
  </si>
  <si>
    <t>TOPON1K_Q19</t>
  </si>
  <si>
    <t>http://wmts.nlsc.gov.tw/wmts/TOPON1K_Q19/{Style}/{TileMatrixSet}/{TileMatrix}/{TileRow}/{TileCol}</t>
  </si>
  <si>
    <t>TOPON1K_Q07</t>
  </si>
  <si>
    <t>http://wmts.nlsc.gov.tw/wmts/TOPON1K_Q07/{Style}/{TileMatrixSet}/{TileMatrix}/{TileRow}/{TileCol}</t>
  </si>
  <si>
    <t>TOPON1K_Q06</t>
  </si>
  <si>
    <t>http://wmts.nlsc.gov.tw/wmts/TOPON1K_Q06/{Style}/{TileMatrixSet}/{TileMatrix}/{TileRow}/{TileCol}</t>
  </si>
  <si>
    <t xml:space="preserve">圖資提供單位：內政部國土測繪中心。&lt;br&gt;
圖資測製時間：113~114年。
</t>
  </si>
  <si>
    <t>TOPON1K_Q02</t>
  </si>
  <si>
    <t>http://wmts.nlsc.gov.tw/wmts/TOPON1K_Q02/{Style}/{TileMatrixSet}/{TileMatrix}/{TileRow}/{TileCol}</t>
  </si>
  <si>
    <t>TOPON1K_P25</t>
  </si>
  <si>
    <t>http://wmts.nlsc.gov.tw/wmts/TOPON1K_P25/{Style}/{TileMatrixSet}/{TileMatrix}/{TileRow}/{TileCol}</t>
  </si>
  <si>
    <t>TOPON1K_P24</t>
  </si>
  <si>
    <t>http://wmts.nlsc.gov.tw/wmts/TOPON1K_P24/{Style}/{TileMatrixSet}/{TileMatrix}/{TileRow}/{TileCol}</t>
  </si>
  <si>
    <t>TOPON1K_P22</t>
  </si>
  <si>
    <t>http://wmts.nlsc.gov.tw/wmts/TOPON1K_P22/{Style}/{TileMatrixSet}/{TileMatrix}/{TileRow}/{TileCol}</t>
  </si>
  <si>
    <t xml:space="preserve">圖資提供單位：內政部國土測繪中心。&lt;br&gt;
圖資測製時間：112~113年。
</t>
  </si>
  <si>
    <t>TOPON1K_P13</t>
  </si>
  <si>
    <t>http://wmts.nlsc.gov.tw/wmts/TOPON1K_P13/{Style}/{TileMatrixSet}/{TileMatrix}/{TileRow}/{TileCol}</t>
  </si>
  <si>
    <t>TOPON1K_P12</t>
  </si>
  <si>
    <t>http://wmts.nlsc.gov.tw/wmts/TOPON1K_P12/{Style}/{TileMatrixSet}/{TileMatrix}/{TileRow}/{TileCol}</t>
  </si>
  <si>
    <t>TOPON1K_P10</t>
  </si>
  <si>
    <t>http://wmts.nlsc.gov.tw/wmts/TOPON1K_P10/{Style}/{TileMatrixSet}/{TileMatrix}/{TileRow}/{TileCol}</t>
  </si>
  <si>
    <t>TOPON1K_P01</t>
  </si>
  <si>
    <t>http://wmts.nlsc.gov.tw/wmts/TOPON1K_P01/{Style}/{TileMatrixSet}/{TileMatrix}/{TileRow}/{TileCol}</t>
  </si>
  <si>
    <t>TOPON1K_N02</t>
  </si>
  <si>
    <t>http://wmts.nlsc.gov.tw/wmts/TOPON1K_N02/{Style}/{TileMatrixSet}/{TileMatrix}/{TileRow}/{TileCol}</t>
  </si>
  <si>
    <t>TOPON1K_N01</t>
  </si>
  <si>
    <t>http://wmts.nlsc.gov.tw/wmts/TOPON1K_N01/{Style}/{TileMatrixSet}/{TileMatrix}/{TileRow}/{TileCol}</t>
  </si>
  <si>
    <t>TOPON1K_M04</t>
  </si>
  <si>
    <t>http://wmts.nlsc.gov.tw/wmts/TOPON1K_M04/{Style}/{TileMatrixSet}/{TileMatrix}/{TileRow}/{TileCol}</t>
  </si>
  <si>
    <t>TOPON1K_M02</t>
  </si>
  <si>
    <t>http://wmts.nlsc.gov.tw/wmts/TOPON1K_M02/{Style}/{TileMatrixSet}/{TileMatrix}/{TileRow}/{TileCol}</t>
  </si>
  <si>
    <t>TOPON1K_M01</t>
  </si>
  <si>
    <t>http://wmts.nlsc.gov.tw/wmts/TOPON1K_M01/{Style}/{TileMatrixSet}/{TileMatrix}/{TileRow}/{TileCol}</t>
  </si>
  <si>
    <t>TOPON1K_K14</t>
  </si>
  <si>
    <t>http://wmts.nlsc.gov.tw/wmts/TOPON1K_K14/{Style}/{TileMatrixSet}/{TileMatrix}/{TileRow}/{TileCol}</t>
  </si>
  <si>
    <t>TOPON1K_K02</t>
  </si>
  <si>
    <t>http://wmts.nlsc.gov.tw/wmts/TOPON1K_K02/{Style}/{TileMatrixSet}/{TileMatrix}/{TileRow}/{TileCol}</t>
  </si>
  <si>
    <t>TOPON1K_K01</t>
  </si>
  <si>
    <t>http://wmts.nlsc.gov.tw/wmts/TOPON1K_K01/{Style}/{TileMatrixSet}/{TileMatrix}/{TileRow}/{TileCol}</t>
  </si>
  <si>
    <t>TOPON1K_J17</t>
  </si>
  <si>
    <t>http://wmts.nlsc.gov.tw/wmts/TOPON1K_J17/{Style}/{TileMatrixSet}/{TileMatrix}/{TileRow}/{TileCol}</t>
  </si>
  <si>
    <t>TOPON1K_J16</t>
  </si>
  <si>
    <t>http://wmts.nlsc.gov.tw/wmts/TOPON1K_J16/{Style}/{TileMatrixSet}/{TileMatrix}/{TileRow}/{TileCol}</t>
  </si>
  <si>
    <t>TOPON1K_J13</t>
  </si>
  <si>
    <t>http://wmts.nlsc.gov.tw/wmts/TOPON1K_J13/{Style}/{TileMatrixSet}/{TileMatrix}/{TileRow}/{TileCol}</t>
  </si>
  <si>
    <t>TOPON1K_J06</t>
  </si>
  <si>
    <t>http://wmts.nlsc.gov.tw/wmts/TOPON1K_J06/{Style}/{TileMatrixSet}/{TileMatrix}/{TileRow}/{TileCol}</t>
  </si>
  <si>
    <t>TOPON1K_J01</t>
  </si>
  <si>
    <t>http://wmts.nlsc.gov.tw/wmts/TOPON1K_J01/{Style}/{TileMatrixSet}/{TileMatrix}/{TileRow}/{TileCol}</t>
  </si>
  <si>
    <t>TOPON1K_H31</t>
  </si>
  <si>
    <t>http://wmts.nlsc.gov.tw/wmts/TOPON1K_H31/{Style}/{TileMatrixSet}/{TileMatrix}/{TileRow}/{TileCol}</t>
  </si>
  <si>
    <t>TOPON1K_H21</t>
  </si>
  <si>
    <t>http://wmts.nlsc.gov.tw/wmts/TOPON1K_H21/{Style}/{TileMatrixSet}/{TileMatrix}/{TileRow}/{TileCol}</t>
  </si>
  <si>
    <t>TOPON1K_H20</t>
  </si>
  <si>
    <t>http://wmts.nlsc.gov.tw/wmts/TOPON1K_H20/{Style}/{TileMatrixSet}/{TileMatrix}/{TileRow}/{TileCol}</t>
  </si>
  <si>
    <t>TOPON1K_H19</t>
  </si>
  <si>
    <t>http://wmts.nlsc.gov.tw/wmts/TOPON1K_H19/{Style}/{TileMatrixSet}/{TileMatrix}/{TileRow}/{TileCol}</t>
  </si>
  <si>
    <t>TOPON1K_H18</t>
  </si>
  <si>
    <t>http://wmts.nlsc.gov.tw/wmts/TOPON1K_H18/{Style}/{TileMatrixSet}/{TileMatrix}/{TileRow}/{TileCol}</t>
  </si>
  <si>
    <t>TOPON1K_G20</t>
  </si>
  <si>
    <t>http://wmts.nlsc.gov.tw/wmts/TOPON1K_G20/{Style}/{TileMatrixSet}/{TileMatrix}/{TileRow}/{TileCol}</t>
  </si>
  <si>
    <t>TOPON1K_G19</t>
  </si>
  <si>
    <t>http://wmts.nlsc.gov.tw/wmts/TOPON1K_G19/{Style}/{TileMatrixSet}/{TileMatrix}/{TileRow}/{TileCol}</t>
  </si>
  <si>
    <t>TOPON1K_G18</t>
  </si>
  <si>
    <t>http://wmts.nlsc.gov.tw/wmts/TOPON1K_G18/{Style}/{TileMatrixSet}/{TileMatrix}/{TileRow}/{TileCol}</t>
  </si>
  <si>
    <t>TOPON1K_G17</t>
  </si>
  <si>
    <t>http://wmts.nlsc.gov.tw/wmts/TOPON1K_G17/{Style}/{TileMatrixSet}/{TileMatrix}/{TileRow}/{TileCol}</t>
  </si>
  <si>
    <t>TOPON1K_G16</t>
  </si>
  <si>
    <t>http://wmts.nlsc.gov.tw/wmts/TOPON1K_G16/{Style}/{TileMatrixSet}/{TileMatrix}/{TileRow}/{TileCol}</t>
  </si>
  <si>
    <t>TOPON1K_G15</t>
  </si>
  <si>
    <t>http://wmts.nlsc.gov.tw/wmts/TOPON1K_G15/{Style}/{TileMatrixSet}/{TileMatrix}/{TileRow}/{TileCol}</t>
  </si>
  <si>
    <t>TOPON1K_G11</t>
  </si>
  <si>
    <t>http://wmts.nlsc.gov.tw/wmts/TOPON1K_G11/{Style}/{TileMatrixSet}/{TileMatrix}/{TileRow}/{TileCol}</t>
  </si>
  <si>
    <t>TOPON1K_G09</t>
  </si>
  <si>
    <t>http://wmts.nlsc.gov.tw/wmts/TOPON1K_G09/{Style}/{TileMatrixSet}/{TileMatrix}/{TileRow}/{TileCol}</t>
  </si>
  <si>
    <t>TOPON1K_G06</t>
  </si>
  <si>
    <t>http://wmts.nlsc.gov.tw/wmts/TOPON1K_G06/{Style}/{TileMatrixSet}/{TileMatrix}/{TileRow}/{TileCol}</t>
  </si>
  <si>
    <t>TOPON1K_G04</t>
  </si>
  <si>
    <t>http://wmts.nlsc.gov.tw/wmts/TOPON1K_G04/{Style}/{TileMatrixSet}/{TileMatrix}/{TileRow}/{TileCol}</t>
  </si>
  <si>
    <t>TOPON1K_G01</t>
  </si>
  <si>
    <t>http://wmts.nlsc.gov.tw/wmts/TOPON1K_G01/{Style}/{TileMatrixSet}/{TileMatrix}/{TileRow}/{TileCol}</t>
  </si>
  <si>
    <t>TOPON1K_E32</t>
  </si>
  <si>
    <t>http://wmts.nlsc.gov.tw/wmts/TOPON1K_E32/{Style}/{TileMatrixSet}/{TileMatrix}/{TileRow}/{TileCol}</t>
  </si>
  <si>
    <t>TOPON1K_E03</t>
  </si>
  <si>
    <t>http://wmts.nlsc.gov.tw/wmts/TOPON1K_E03/{Style}/{TileMatrixSet}/{TileMatrix}/{TileRow}/{TileCol}</t>
  </si>
  <si>
    <t>TOPON1K_E02</t>
  </si>
  <si>
    <t>http://wmts.nlsc.gov.tw/wmts/TOPON1K_E02/{Style}/{TileMatrixSet}/{TileMatrix}/{TileRow}/{TileCol}</t>
  </si>
  <si>
    <t>TOPON1K_D12</t>
  </si>
  <si>
    <t>http://wmts.nlsc.gov.tw/wmts/TOPON1K_D12/{Style}/{TileMatrixSet}/{TileMatrix}/{TileRow}/{TileCol}</t>
  </si>
  <si>
    <t>TOPON1K_D08</t>
  </si>
  <si>
    <t>http://wmts.nlsc.gov.tw/wmts/TOPON1K_D08/{Style}/{TileMatrixSet}/{TileMatrix}/{TileRow}/{TileCol}</t>
  </si>
  <si>
    <t>TOPON1K_D05</t>
  </si>
  <si>
    <t>http://wmts.nlsc.gov.tw/wmts/TOPON1K_D05/{Style}/{TileMatrixSet}/{TileMatrix}/{TileRow}/{TileCol}</t>
  </si>
  <si>
    <t>TOPON1K_D04</t>
  </si>
  <si>
    <t>http://wmts.nlsc.gov.tw/wmts/TOPON1K_D04/{Style}/{TileMatrixSet}/{TileMatrix}/{TileRow}/{TileCol}</t>
  </si>
  <si>
    <t>TOPON1K_D03</t>
  </si>
  <si>
    <t>http://wmts.nlsc.gov.tw/wmts/TOPON1K_D03/{Style}/{TileMatrixSet}/{TileMatrix}/{TileRow}/{TileCol}</t>
  </si>
  <si>
    <t>TOPON1K_B25</t>
  </si>
  <si>
    <t>http://wmts.nlsc.gov.tw/wmts/TOPON1K_B25/{Style}/{TileMatrixSet}/{TileMatrix}/{TileRow}/{TileCol}</t>
  </si>
  <si>
    <t>TOPON1K_B22</t>
  </si>
  <si>
    <t>http://wmts.nlsc.gov.tw/wmts/TOPON1K_B22/{Style}/{TileMatrixSet}/{TileMatrix}/{TileRow}/{TileCol}</t>
  </si>
  <si>
    <t>TOPON1K_B20</t>
  </si>
  <si>
    <t>http://wmts.nlsc.gov.tw/wmts/TOPON1K_B20/{Style}/{TileMatrixSet}/{TileMatrix}/{TileRow}/{TileCol}</t>
  </si>
  <si>
    <t>TOPON1K_B15</t>
  </si>
  <si>
    <t>http://wmts.nlsc.gov.tw/wmts/TOPON1K_B15/{Style}/{TileMatrixSet}/{TileMatrix}/{TileRow}/{TileCol}</t>
  </si>
  <si>
    <t>TOPON1K_B14</t>
  </si>
  <si>
    <t>http://wmts.nlsc.gov.tw/wmts/TOPON1K_B14/{Style}/{TileMatrixSet}/{TileMatrix}/{TileRow}/{TileCol}</t>
  </si>
  <si>
    <t>TOPON1K_B11</t>
  </si>
  <si>
    <t>http://wmts.nlsc.gov.tw/wmts/TOPON1K_B11/{Style}/{TileMatrixSet}/{TileMatrix}/{TileRow}/{TileCol}</t>
  </si>
  <si>
    <t>TOPON1K_B04</t>
  </si>
  <si>
    <t>http://wmts.nlsc.gov.tw/wmts/TOPON1K_B04/{Style}/{TileMatrixSet}/{TileMatrix}/{TileRow}/{TileCol}</t>
  </si>
  <si>
    <t>TOPO50K113</t>
  </si>
  <si>
    <t>TOPO50K_113</t>
  </si>
  <si>
    <t>五萬分之一經建版地形圖113年</t>
  </si>
  <si>
    <t>TOPO50K112</t>
  </si>
  <si>
    <t>TOPO50K_112</t>
  </si>
  <si>
    <t>五萬分之一經建版地形圖112年</t>
  </si>
  <si>
    <t>TOPO50K111</t>
  </si>
  <si>
    <t>TOPO50K_111</t>
  </si>
  <si>
    <t>五萬分之一經建版地形圖111年</t>
  </si>
  <si>
    <t>TOPO50K110</t>
  </si>
  <si>
    <t>TOPO50K_110</t>
  </si>
  <si>
    <t>五萬分之一經建版地形圖110年</t>
  </si>
  <si>
    <t>TOPO50K109</t>
  </si>
  <si>
    <t>TOPO50K_109</t>
  </si>
  <si>
    <t>五萬分之一經建版地形圖109年</t>
  </si>
  <si>
    <t>TOPO50K107</t>
  </si>
  <si>
    <t>TOPO50K_107</t>
  </si>
  <si>
    <t>五萬分之一經建版地形圖107年</t>
  </si>
  <si>
    <t>TOPO25K114</t>
  </si>
  <si>
    <t>TOPO25K_114</t>
  </si>
  <si>
    <t>二萬五千分之一經建版地形圖114年</t>
  </si>
  <si>
    <t>TOPO25K113</t>
  </si>
  <si>
    <t>TOPO25K_113</t>
  </si>
  <si>
    <t>二萬五千分之一經建版地形圖113年</t>
  </si>
  <si>
    <t>TOPO25K112</t>
  </si>
  <si>
    <t>TOPO25K_112</t>
  </si>
  <si>
    <t>二萬五千分之一經建版地形圖112年</t>
  </si>
  <si>
    <t>TOPO25K111</t>
  </si>
  <si>
    <t>TOPO25K_111</t>
  </si>
  <si>
    <t>二萬五千分之一經建版地形圖111年</t>
  </si>
  <si>
    <t>TOPO25K110</t>
  </si>
  <si>
    <t>TOPO25K_110</t>
  </si>
  <si>
    <t>二萬五千分之一經建版地形圖110年</t>
  </si>
  <si>
    <t>TOPO25K109</t>
  </si>
  <si>
    <t>TOPO25K_109</t>
  </si>
  <si>
    <t>二萬五千分之一經建版地形圖109年</t>
  </si>
  <si>
    <t>TOPO25K108</t>
  </si>
  <si>
    <t>TOPO25K_108</t>
  </si>
  <si>
    <t>二萬五千分之一經建版地形圖108年</t>
  </si>
  <si>
    <t>TOPO25K107</t>
  </si>
  <si>
    <t>TOPO25K_107</t>
  </si>
  <si>
    <t>二萬五千分之一經建版地形圖107年</t>
  </si>
  <si>
    <t>TOPO10M114</t>
  </si>
  <si>
    <t>TOPO10M_114</t>
  </si>
  <si>
    <t>十萬分之一經建版地形圖114年</t>
  </si>
  <si>
    <t>TOPO10M113</t>
  </si>
  <si>
    <t>TOPO10M_113</t>
  </si>
  <si>
    <t>十萬分之一經建版地形圖113年</t>
  </si>
  <si>
    <t>TOPO10M112</t>
  </si>
  <si>
    <t>TOPO10M_112</t>
  </si>
  <si>
    <t>十萬分之一經建版地形圖112年</t>
  </si>
  <si>
    <t>TOPO10M111</t>
  </si>
  <si>
    <t>TOPO10M_111</t>
  </si>
  <si>
    <t>十萬分之一經建版地形圖111年</t>
  </si>
  <si>
    <t>TOPO10M110</t>
  </si>
  <si>
    <t>TOPO10M_110</t>
  </si>
  <si>
    <t>十萬分之一經建版地形圖110年</t>
  </si>
  <si>
    <t>TOPO10M109</t>
  </si>
  <si>
    <t>TOPO10M_109</t>
  </si>
  <si>
    <t>十萬分之一經建版地形圖109年</t>
  </si>
  <si>
    <t>TOPO10M107</t>
  </si>
  <si>
    <t>TOPO10M_107</t>
  </si>
  <si>
    <t>十萬分之一經建版地形圖107年</t>
  </si>
  <si>
    <t>TOPO10KPHOTO</t>
  </si>
  <si>
    <t>69年至72年 1/10000像片基本圖</t>
  </si>
  <si>
    <t>TOPO05KPHOTO114</t>
  </si>
  <si>
    <t>TOPO05KPHOTO_114</t>
  </si>
  <si>
    <t>1/5000像片基本圖114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t>
  </si>
  <si>
    <t>TOPO05KPHOTO113</t>
  </si>
  <si>
    <t>TOPO05KPHOTO_113</t>
  </si>
  <si>
    <t>1/5000像片基本圖113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t>
  </si>
  <si>
    <t>TOPO05KPHOTO112</t>
  </si>
  <si>
    <t>TOPO05KPHOTO_112</t>
  </si>
  <si>
    <t>1/5000像片基本圖112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t>
  </si>
  <si>
    <t>TOPO05KPHOTO111</t>
  </si>
  <si>
    <t>TOPO05KPHOTO_111</t>
  </si>
  <si>
    <t xml:space="preserve">1/5000像片基本圖111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</si>
  <si>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TOPO05KPHOTO110</t>
  </si>
  <si>
    <t>TOPO05KPHOTO_110</t>
  </si>
  <si>
    <t xml:space="preserve">1/5000像片基本圖110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</si>
  <si>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TOPO05KPHOTO109</t>
  </si>
  <si>
    <t>TOPO05KPHOTO_109</t>
  </si>
  <si>
    <t xml:space="preserve">1/5000像片基本圖109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</si>
  <si>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TOPO05KPHOTO108</t>
  </si>
  <si>
    <t>TOPO05KPHOTO_108</t>
  </si>
  <si>
    <t xml:space="preserve">1/5000像片基本圖108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</si>
  <si>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TOPO05KPHOTO107</t>
  </si>
  <si>
    <t>TOPO05KPHOTO_107</t>
  </si>
  <si>
    <t xml:space="preserve">1/5000像片基本圖107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</si>
  <si>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TOPO05KPHOTO106</t>
  </si>
  <si>
    <t>TOPO05KPHOTO_106</t>
  </si>
  <si>
    <t>1/5000像片基本圖106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t>
  </si>
  <si>
    <t>TOPO05KPHOTO105</t>
  </si>
  <si>
    <t>TOPO05KPHOTO_105</t>
  </si>
  <si>
    <t>1/5000像片基本圖105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 &gt;https://bmap-nlsc.moi.gov.tw&lt;/a&gt;&lt;/font&gt;）「基本地形圖資料庫」－「基本地形圖」瀏覽參閱。</t>
  </si>
  <si>
    <t>TOPO05KPHOTO104</t>
  </si>
  <si>
    <t>TOPO05KPHOTO_104</t>
  </si>
  <si>
    <t xml:space="preserve">1/5000像片基本圖104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</si>
  <si>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TOPO05KPHOTO103</t>
  </si>
  <si>
    <t>TOPO05KPHOTO_103</t>
  </si>
  <si>
    <t xml:space="preserve">1/5000像片基本圖103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</si>
  <si>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TOPO05KPHOTO102</t>
  </si>
  <si>
    <t>TOPO05KPHOTO_102</t>
  </si>
  <si>
    <t xml:space="preserve">1/5000像片基本圖102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</si>
  <si>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TOPO05KPHOTO101</t>
  </si>
  <si>
    <t>TOPO05KPHOTO_101</t>
  </si>
  <si>
    <t xml:space="preserve">1/5000像片基本圖101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</si>
  <si>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TOPO05KPHOTO100</t>
  </si>
  <si>
    <t>TOPO05KPHOTO_100</t>
  </si>
  <si>
    <t xml:space="preserve">1/5000像片基本圖100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</si>
  <si>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TOPO05KPHOTO099</t>
  </si>
  <si>
    <t>TOPO05KPHOTO_099</t>
  </si>
  <si>
    <t xml:space="preserve">1/5000像片基本圖99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</si>
  <si>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TOPO05KPHOTO098</t>
  </si>
  <si>
    <t>TOPO05KPHOTO_098</t>
  </si>
  <si>
    <t xml:space="preserve">1/5000像片基本圖98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</si>
  <si>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TOPO05KPHOTO097</t>
  </si>
  <si>
    <t>TOPO05KPHOTO_097</t>
  </si>
  <si>
    <t xml:space="preserve">1/5000像片基本圖97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</si>
  <si>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TOPO05KPHOTO096</t>
  </si>
  <si>
    <t>TOPO05KPHOTO_096</t>
  </si>
  <si>
    <t xml:space="preserve">1/5000像片基本圖96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</si>
  <si>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TOPO05KPHOTO095</t>
  </si>
  <si>
    <t>TOPO05KPHOTO_095</t>
  </si>
  <si>
    <t xml:space="preserve">1/5000像片基本圖95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</si>
  <si>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TOPO05KPHOTO094</t>
  </si>
  <si>
    <t>TOPO05KPHOTO_094</t>
  </si>
  <si>
    <t xml:space="preserve">1/5000像片基本圖94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</si>
  <si>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TOPO05KPHOTO093</t>
  </si>
  <si>
    <t>TOPO05KPHOTO_093</t>
  </si>
  <si>
    <t xml:space="preserve">1/5000像片基本圖93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</si>
  <si>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TOPO05KPHOTO092</t>
  </si>
  <si>
    <t>TOPO05KPHOTO_092</t>
  </si>
  <si>
    <t xml:space="preserve">1/5000像片基本圖92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</si>
  <si>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TOPO05KPHOTO091</t>
  </si>
  <si>
    <t>TOPO05KPHOTO_091</t>
  </si>
  <si>
    <t xml:space="preserve">1/5000像片基本圖91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</si>
  <si>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TOPO05KPHOTO090</t>
  </si>
  <si>
    <t>TOPO05KPHOTO_090</t>
  </si>
  <si>
    <t xml:space="preserve">1/5000像片基本圖90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</si>
  <si>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TOPO05KPHOTO089</t>
  </si>
  <si>
    <t>TOPO05KPHOTO_089</t>
  </si>
  <si>
    <t xml:space="preserve">1/5000像片基本圖89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</si>
  <si>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TOPO05KPHOTO088</t>
  </si>
  <si>
    <t>TOPO05KPHOTO_088</t>
  </si>
  <si>
    <t xml:space="preserve">1/5000像片基本圖88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</si>
  <si>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TOPO05KPHOTO087</t>
  </si>
  <si>
    <t>TOPO05KPHOTO_087</t>
  </si>
  <si>
    <t xml:space="preserve">1/5000像片基本圖87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</si>
  <si>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TOPO05KPHOTO086</t>
  </si>
  <si>
    <t>TOPO05KPHOTO_086</t>
  </si>
  <si>
    <t xml:space="preserve">1/5000像片基本圖86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</si>
  <si>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TOPO05KPHOTO084</t>
  </si>
  <si>
    <t>TOPO05KPHOTO_084</t>
  </si>
  <si>
    <t xml:space="preserve">1/5000像片基本圖84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</si>
  <si>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TOPO05KPHOTO083</t>
  </si>
  <si>
    <t>TOPO05KPHOTO_083</t>
  </si>
  <si>
    <t xml:space="preserve">1/5000像片基本圖83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</si>
  <si>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TOPO05KPHOTO081</t>
  </si>
  <si>
    <t>TOPO05KPHOTO_081</t>
  </si>
  <si>
    <t>1/5000像片基本圖81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t>
  </si>
  <si>
    <t>TOPO05KPHOTO080</t>
  </si>
  <si>
    <t>TOPO05KPHOTO_080</t>
  </si>
  <si>
    <t>1/5000像片基本圖80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t>
  </si>
  <si>
    <t>TOPO05KPHOTO079</t>
  </si>
  <si>
    <t>TOPO05KPHOTO_079</t>
  </si>
  <si>
    <t>1/5000像片基本圖79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t>
  </si>
  <si>
    <t>TOPO05KPHOTO078</t>
  </si>
  <si>
    <t>TOPO05KPHOTO_078</t>
  </si>
  <si>
    <t>1/5000像片基本圖78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t>
  </si>
  <si>
    <t>TOPO05KPHOTO076</t>
  </si>
  <si>
    <t>TOPO05KPHOTO_076</t>
  </si>
  <si>
    <t>1/5000像片基本圖76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t>
  </si>
  <si>
    <t>TOPO05KPHOTO075</t>
  </si>
  <si>
    <t>TOPO05KPHOTO_075</t>
  </si>
  <si>
    <t xml:space="preserve">1/5000像片基本圖75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</si>
  <si>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TOPO05KPHOTO074</t>
  </si>
  <si>
    <t>TOPO05KPHOTO_074</t>
  </si>
  <si>
    <t xml:space="preserve">1/5000像片基本圖74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</si>
  <si>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TOPO05KPHOTO073</t>
  </si>
  <si>
    <t>TOPO05KPHOTO_073</t>
  </si>
  <si>
    <t xml:space="preserve">1/5000像片基本圖73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</si>
  <si>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TOPO05KPHOTO072</t>
  </si>
  <si>
    <t>TOPO05KPHOTO_072</t>
  </si>
  <si>
    <t xml:space="preserve">1/5000像片基本圖72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</si>
  <si>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TOPO05KPHOTO071</t>
  </si>
  <si>
    <t>TOPO05KPHOTO_071</t>
  </si>
  <si>
    <t xml:space="preserve">1/5000像片基本圖71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</si>
  <si>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TOPO05KPHOTO070</t>
  </si>
  <si>
    <t>TOPO05KPHOTO_070</t>
  </si>
  <si>
    <t xml:space="preserve">1/5000像片基本圖70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</si>
  <si>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TOPO05KPHOTO069</t>
  </si>
  <si>
    <t>TOPO05KPHOTO_069</t>
  </si>
  <si>
    <t xml:space="preserve">1/5000像片基本圖69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</si>
  <si>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TOPO05KPHOTO068</t>
  </si>
  <si>
    <t>TOPO05KPHOTO_068</t>
  </si>
  <si>
    <t xml:space="preserve">1/5000像片基本圖68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</si>
  <si>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TOPO05KPHOTO067</t>
  </si>
  <si>
    <t>TOPO05KPHOTO_067</t>
  </si>
  <si>
    <t xml:space="preserve">1/5000像片基本圖67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</si>
  <si>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TOPO05KPHOTO066</t>
  </si>
  <si>
    <t>TOPO05KPHOTO_066</t>
  </si>
  <si>
    <t xml:space="preserve">1/5000像片基本圖66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</si>
  <si>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TOPO05KPHOTO065</t>
  </si>
  <si>
    <t>TOPO05KPHOTO_065</t>
  </si>
  <si>
    <t xml:space="preserve">1/5000像片基本圖65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target="_blank" rel="noopener"&gt;https://bmap-nlsc.moi.gov.tw&lt;/a&gt;&lt;/font&gt;）「基本地形圖資料庫」－「基本地形圖」瀏覽參閱。
</t>
  </si>
  <si>
    <t>TOPO05K99</t>
  </si>
  <si>
    <t>TOPO05K_99</t>
  </si>
  <si>
    <t>1/5,000基本地形圖99年&lt;br&gt;
僅嘉義縣、高雄市、臺南市、屏東縣、臺東縣、花蓮縣區域</t>
  </si>
  <si>
    <t>TOPO05K98</t>
  </si>
  <si>
    <t>TOPO05K_98</t>
  </si>
  <si>
    <t>1/5,000基本地形圖98年&lt;br&gt;
僅彰化縣、臺中市、雲林縣區域</t>
  </si>
  <si>
    <t>TOPO05K96</t>
  </si>
  <si>
    <t>TOPO05K_96</t>
  </si>
  <si>
    <t>1/5,000基本地形圖96年&lt;br&gt;
僅臺中市區域</t>
  </si>
  <si>
    <t>TOPO05K92</t>
  </si>
  <si>
    <t>TOPO05K_92</t>
  </si>
  <si>
    <t>1/5,000基本地形圖92年&lt;br&gt;
僅嘉義縣、臺南市、高雄市區域</t>
  </si>
  <si>
    <t>TOPO05K91</t>
  </si>
  <si>
    <t>TOPO05K_91</t>
  </si>
  <si>
    <t>1/5,000基本地形圖91年&lt;br&gt;
僅嘉義縣、臺南市區域</t>
  </si>
  <si>
    <t>TOPO05K90</t>
  </si>
  <si>
    <t>TOPO05K_90</t>
  </si>
  <si>
    <t>1/5,000基本地形圖90年&lt;br&gt;
僅嘉義、高雄市、臺南市、屏東縣區域</t>
  </si>
  <si>
    <t>TOPO05K88</t>
  </si>
  <si>
    <t>TOPO05K_88</t>
  </si>
  <si>
    <t>1/5,000基本地形圖88年&lt;br&gt;
僅臺中市、南投縣、花蓮縣區域</t>
  </si>
  <si>
    <t>TOPO05K87</t>
  </si>
  <si>
    <t>TOPO05K_87</t>
  </si>
  <si>
    <t>1/5,000基本地形圖87年&lt;br&gt;
僅雲林縣、嘉義縣、彰化縣、臺中市、南投縣區域</t>
  </si>
  <si>
    <t>TOPO05K86</t>
  </si>
  <si>
    <t>TOPO05K_86</t>
  </si>
  <si>
    <t>1/5,000基本地形圖86年&lt;br&gt;
僅彰化縣、臺中市、南投縣區域</t>
  </si>
  <si>
    <t>TOPO05K84</t>
  </si>
  <si>
    <t>TOPO05K_84</t>
  </si>
  <si>
    <t>1/5,000基本地形圖84年&lt;br&gt;
僅花蓮縣富里鄉區域</t>
  </si>
  <si>
    <t>TOPO05K111</t>
  </si>
  <si>
    <t>TOPO05K_111</t>
  </si>
  <si>
    <t>1/5,000基本地形圖111</t>
  </si>
  <si>
    <t>TOPO05K110</t>
  </si>
  <si>
    <t>TOPO05K_110</t>
  </si>
  <si>
    <t>1/5,000基本地形圖110&lt;br&gt;</t>
  </si>
  <si>
    <t>TOPO05K109</t>
  </si>
  <si>
    <t>TOPO05K_109</t>
  </si>
  <si>
    <t>1/5,000基本地形圖109年&lt;br&gt;
僅臺南市、高雄市、屏東縣區域</t>
  </si>
  <si>
    <t>TOPO05K108</t>
  </si>
  <si>
    <t>TOPO05K_108</t>
  </si>
  <si>
    <t>1/5,000基本地形圖108年&lt;br&gt;
僅彰化縣、雲林縣、嘉義、高雄市、屏東縣區域</t>
  </si>
  <si>
    <t>TOPO05K107</t>
  </si>
  <si>
    <t>TOPO05K_107</t>
  </si>
  <si>
    <t>1/5,000基本地形圖107年&lt;br&gt;
僅花蓮縣、南投縣、臺東縣區域</t>
  </si>
  <si>
    <t>TOPO05K106</t>
  </si>
  <si>
    <t>TOPO05K_106</t>
  </si>
  <si>
    <t>1/5,000基本地形圖106年&lt;br&gt;
僅花蓮縣及宜蘭縣市區域</t>
  </si>
  <si>
    <t>TOPO05K105</t>
  </si>
  <si>
    <t>TOPO05K_105</t>
  </si>
  <si>
    <t>1/5,000基本地形圖105年&lt;br&gt;
僅苗栗以北縣市區域</t>
  </si>
  <si>
    <t>TOPO05K104</t>
  </si>
  <si>
    <t>TOPO05K_104</t>
  </si>
  <si>
    <t>1/5,000基本地形圖104年&lt;br&gt;
僅花蓮縣、臺東縣區域</t>
  </si>
  <si>
    <t>TOPO05K103</t>
  </si>
  <si>
    <t>TOPO05K_103</t>
  </si>
  <si>
    <t>1/5,000基本地形圖103年&lt;br&gt;
僅南投縣、臺中市區域</t>
  </si>
  <si>
    <t>TOPO05K102</t>
  </si>
  <si>
    <t>TOPO05K_102</t>
  </si>
  <si>
    <t>1/5,000基本地形圖102年&lt;br&gt;
僅臺中市、彰化縣、南投縣區域</t>
  </si>
  <si>
    <t>TOPO05K101</t>
  </si>
  <si>
    <t>TOPO05K_101</t>
  </si>
  <si>
    <t>1/5,000基本地形圖101年&lt;br&gt;
僅花蓮縣區域</t>
  </si>
  <si>
    <t>TOPO05K100</t>
  </si>
  <si>
    <t>TOPO05K_100</t>
  </si>
  <si>
    <t>1/5,000基本地形圖100年&lt;br&gt;
僅嘉義、臺南市、高雄市、屏東縣區域</t>
  </si>
  <si>
    <t>TOPO01K_Z01</t>
  </si>
  <si>
    <t>圖資提供單位：連江縣政府。&lt;br&gt;
圖資測製時間：102年。</t>
  </si>
  <si>
    <t>TOPO01K_X08</t>
  </si>
  <si>
    <t>圖資提供單位：澎湖縣政府。&lt;br&gt;
圖資測製時間：104年。</t>
  </si>
  <si>
    <t>TOPO01K_X07</t>
  </si>
  <si>
    <t>圖資提供單位：澎湖縣政府。&lt;br&gt;
圖資測製時間：97-98年。</t>
  </si>
  <si>
    <t>TOPO01K_X06</t>
  </si>
  <si>
    <t>TOPO01K_X05</t>
  </si>
  <si>
    <t>圖資提供單位：澎湖縣政府。&lt;br&gt;
圖資測製時間：95年。</t>
  </si>
  <si>
    <t>TOPO01K_X04</t>
  </si>
  <si>
    <t>圖資提供單位：澎湖縣政府。&lt;br&gt;
圖資測製時間：103年。</t>
  </si>
  <si>
    <t>TOPO01K_X03</t>
  </si>
  <si>
    <t>圖資提供單位：澎湖縣政府。&lt;br&gt;
圖資測製時間：99年。</t>
  </si>
  <si>
    <t>TOPO01K_X02</t>
  </si>
  <si>
    <t>圖資提供單位：澎湖縣政府。&lt;br&gt;
圖資測製時間：96年。</t>
  </si>
  <si>
    <t>TOPO01K_X01</t>
  </si>
  <si>
    <t>TOPO01K_W02</t>
  </si>
  <si>
    <t>圖資提供單位：金門縣政府。&lt;br&gt;
圖資測製時間：112年。</t>
  </si>
  <si>
    <t>TOPO01K_W01</t>
  </si>
  <si>
    <t>圖資提供單位：金門縣政府。&lt;br&gt;
圖資測製時間：106年。</t>
  </si>
  <si>
    <t>TOPO01K_V20</t>
  </si>
  <si>
    <t>圖資提供單位：臺東縣政府。&lt;br&gt;
圖資測製時間：111年。</t>
  </si>
  <si>
    <t>TOPO01K_V19</t>
  </si>
  <si>
    <t>圖資提供單位：臺東縣政府。&lt;br&gt;
圖資測製時間：109年。</t>
  </si>
  <si>
    <t>TOPO01K_V18</t>
  </si>
  <si>
    <t>圖資提供單位：臺東縣政府。&lt;br&gt;
圖資測製時間：98年。</t>
  </si>
  <si>
    <t>TOPO01K_V17</t>
  </si>
  <si>
    <t>TOPO01K_V16</t>
  </si>
  <si>
    <t>圖資提供單位：臺東縣政府。&lt;br&gt;
圖資測製時間：101年。</t>
  </si>
  <si>
    <t>TOPO01K_V15</t>
  </si>
  <si>
    <t>圖資提供單位：臺東縣政府。&lt;br&gt;
圖資測製時間：94年。</t>
  </si>
  <si>
    <t>TOPO01K_V14</t>
  </si>
  <si>
    <t>圖資提供單位：臺東縣政府。&lt;br&gt;
圖資測製時間：100年。</t>
  </si>
  <si>
    <t>TOPO01K_V13</t>
  </si>
  <si>
    <t>TOPO01K_V12</t>
  </si>
  <si>
    <t>圖資提供單位：臺東縣政府。&lt;br&gt;
圖資測製時間：99年。</t>
  </si>
  <si>
    <t>TOPO01K_V11</t>
  </si>
  <si>
    <t>TOPO01K_V10</t>
  </si>
  <si>
    <t>TOPO01K_V09</t>
  </si>
  <si>
    <t>TOPO01K_V08</t>
  </si>
  <si>
    <t>TOPO01K_V07</t>
  </si>
  <si>
    <t>TOPO01K_V06</t>
  </si>
  <si>
    <t>TOPO01K_V05</t>
  </si>
  <si>
    <t>TOPO01K_V04</t>
  </si>
  <si>
    <t>TOPO01K_V03</t>
  </si>
  <si>
    <t>TOPO01K_V02</t>
  </si>
  <si>
    <t>TOPO01K_V01</t>
  </si>
  <si>
    <t>TOPO01K_U26</t>
  </si>
  <si>
    <t>圖資提供單位：花蓮縣政府。&lt;br&gt;
圖資測製時間：109年。</t>
  </si>
  <si>
    <t>TOPO01K_U25</t>
  </si>
  <si>
    <t>TOPO01K_U24</t>
  </si>
  <si>
    <t>TOPO01K_U23</t>
  </si>
  <si>
    <t>TOPO01K_U22</t>
  </si>
  <si>
    <t>TOPO01K_U21</t>
  </si>
  <si>
    <t>TOPO01K_U20</t>
  </si>
  <si>
    <t>圖資提供單位：花蓮縣政府。&lt;br&gt;
圖資測製時間：111年。</t>
  </si>
  <si>
    <t>TOPO01K_U19</t>
  </si>
  <si>
    <t>TOPO01K_U18</t>
  </si>
  <si>
    <t>TOPO01K_U17</t>
  </si>
  <si>
    <t>圖資提供單位：花蓮縣政府。&lt;br&gt;
圖資測製時間：104年。</t>
  </si>
  <si>
    <t>TOPO01K_U16</t>
  </si>
  <si>
    <t>圖資提供單位：花蓮縣政府。&lt;br&gt;
圖資測製時間：106年。</t>
  </si>
  <si>
    <t>TOPO01K_U15</t>
  </si>
  <si>
    <t>TOPO01K_U14</t>
  </si>
  <si>
    <t>圖資提供單位：花蓮縣政府。&lt;br&gt;
圖資測製時間：107年。</t>
  </si>
  <si>
    <t>TOPO01K_U13</t>
  </si>
  <si>
    <t>TOPO01K_U12</t>
  </si>
  <si>
    <t>TOPO01K_U11</t>
  </si>
  <si>
    <t>TOPO01K_U10</t>
  </si>
  <si>
    <t>TOPO01K_U09</t>
  </si>
  <si>
    <t>TOPO01K_U08</t>
  </si>
  <si>
    <t>圖資提供單位：花蓮縣政府。&lt;br&gt;
圖資測製時間：105年。</t>
  </si>
  <si>
    <t>TOPO01K_U07</t>
  </si>
  <si>
    <t>TOPO01K_U06</t>
  </si>
  <si>
    <t>TOPO01K_U05</t>
  </si>
  <si>
    <t>TOPO01K_U04</t>
  </si>
  <si>
    <t>TOPO01K_U03</t>
  </si>
  <si>
    <t>TOPO01K_U02</t>
  </si>
  <si>
    <t>TOPO01K_U01</t>
  </si>
  <si>
    <t>TOPO01K_T32</t>
  </si>
  <si>
    <t>圖資提供單位：屏東縣政府。&lt;br&gt;
圖資測製時間：104年。</t>
  </si>
  <si>
    <t>TOPO01K_T31</t>
  </si>
  <si>
    <t>圖資提供單位：屏東縣政府。&lt;br&gt;
圖資測製時間：100年。</t>
  </si>
  <si>
    <t>TOPO01K_T30</t>
  </si>
  <si>
    <t>TOPO01K_T29</t>
  </si>
  <si>
    <t>圖資提供單位：屏東縣政府。&lt;br&gt;
圖資測製時間：102年。</t>
  </si>
  <si>
    <t>TOPO01K_T28</t>
  </si>
  <si>
    <t>TOPO01K_T27</t>
  </si>
  <si>
    <t>TOPO01K_T26</t>
  </si>
  <si>
    <t>TOPO01K_T25</t>
  </si>
  <si>
    <t>圖資提供單位：屏東縣政府。&lt;br&gt;
圖資測製時間：101年。</t>
  </si>
  <si>
    <t>TOPO01K_T24</t>
  </si>
  <si>
    <t>TOPO01K_T23</t>
  </si>
  <si>
    <t>TOPO01K_T22</t>
  </si>
  <si>
    <t>TOPO01K_T21</t>
  </si>
  <si>
    <t>圖資提供單位：屏東縣政府。&lt;br&gt;
圖資測製時間：98年。</t>
  </si>
  <si>
    <t>TOPO01K_T20</t>
  </si>
  <si>
    <t>TOPO01K_T19</t>
  </si>
  <si>
    <t>圖資提供單位：屏東縣政府。&lt;br&gt;
圖資測製時間：99年。</t>
  </si>
  <si>
    <t>TOPO01K_T18</t>
  </si>
  <si>
    <t>TOPO01K_T17</t>
  </si>
  <si>
    <t>TOPO01K_T16</t>
  </si>
  <si>
    <t>TOPO01K_T15</t>
  </si>
  <si>
    <t>TOPO01K_T14</t>
  </si>
  <si>
    <t>TOPO01K_T13</t>
  </si>
  <si>
    <t>TOPO01K_T12</t>
  </si>
  <si>
    <t>TOPO01K_T11</t>
  </si>
  <si>
    <t>TOPO01K_T10</t>
  </si>
  <si>
    <t>TOPO01K_T09</t>
  </si>
  <si>
    <t>圖資提供單位：屏東縣政府。&lt;br&gt;
圖資測製時間：93-94年。</t>
  </si>
  <si>
    <t>TOPO01K_T08</t>
  </si>
  <si>
    <t>TOPO01K_T07</t>
  </si>
  <si>
    <t>TOPO01K_T06</t>
  </si>
  <si>
    <t>TOPO01K_T05</t>
  </si>
  <si>
    <t>TOPO01K_T04</t>
  </si>
  <si>
    <t>TOPO01K_T03</t>
  </si>
  <si>
    <t>TOPO01K_T02</t>
  </si>
  <si>
    <t>TOPO01K_T01</t>
  </si>
  <si>
    <t>TOPO01K_Q29</t>
  </si>
  <si>
    <t>圖資提供單位：嘉義縣政府。&lt;br&gt;
圖資測製時間：110年。</t>
  </si>
  <si>
    <t>TOPO01K_Q27</t>
  </si>
  <si>
    <t>圖資提供單位：嘉義縣政府。&lt;br&gt;
圖資測製時間：99年。</t>
  </si>
  <si>
    <t>TOPO01K_Q26</t>
  </si>
  <si>
    <t>圖資提供單位：嘉義縣政府。&lt;br&gt;
圖資測製時間：94年。</t>
  </si>
  <si>
    <t>TOPO01K_Q25</t>
  </si>
  <si>
    <t>圖資提供單位：嘉義縣政府。&lt;br&gt;
圖資測製時間：98年。</t>
  </si>
  <si>
    <t>TOPO01K_Q24</t>
  </si>
  <si>
    <t>TOPO01K_Q23</t>
  </si>
  <si>
    <t>TOPO01K_Q22</t>
  </si>
  <si>
    <t>TOPO01K_Q21</t>
  </si>
  <si>
    <t>TOPO01K_Q20</t>
  </si>
  <si>
    <t>圖資提供單位：嘉義縣政府。&lt;br&gt;
圖資測製時間：97年。</t>
  </si>
  <si>
    <t>TOPO01K_Q19</t>
  </si>
  <si>
    <t>TOPO01K_Q18</t>
  </si>
  <si>
    <t>TOPO01K_Q17</t>
  </si>
  <si>
    <t>TOPO01K_Q16</t>
  </si>
  <si>
    <t>TOPO01K_Q15</t>
  </si>
  <si>
    <t>TOPO01K_Q14</t>
  </si>
  <si>
    <t>TOPO01K_Q13</t>
  </si>
  <si>
    <t>圖資提供單位：嘉義縣政府。&lt;br&gt;
圖資測製時間：101年。</t>
  </si>
  <si>
    <t>TOPO01K_Q12</t>
  </si>
  <si>
    <t>TOPO01K_Q11</t>
  </si>
  <si>
    <t>TOPO01K_Q10</t>
  </si>
  <si>
    <t>TOPO01K_Q09</t>
  </si>
  <si>
    <t>TOPO01K_Q08</t>
  </si>
  <si>
    <t>TOPO01K_Q07</t>
  </si>
  <si>
    <t>TOPO01K_Q06</t>
  </si>
  <si>
    <t>TOPO01K_Q05</t>
  </si>
  <si>
    <t>TOPO01K_Q04</t>
  </si>
  <si>
    <t>TOPO01K_Q03</t>
  </si>
  <si>
    <t>TOPO01K_Q02</t>
  </si>
  <si>
    <t>TOPO01K_Q01</t>
  </si>
  <si>
    <t>TOPO01K_P15</t>
  </si>
  <si>
    <t>圖資提供單位：雲林縣政府。&lt;br&gt;
圖資測製時間：97年。</t>
  </si>
  <si>
    <t>TOPO01K_P14</t>
  </si>
  <si>
    <t>TOPO01K_P13</t>
  </si>
  <si>
    <t>TOPO01K_P12</t>
  </si>
  <si>
    <t>TOPO01K_P11</t>
  </si>
  <si>
    <t>TOPO01K_P10</t>
  </si>
  <si>
    <t>圖資提供單位：雲林縣政府。&lt;br&gt;
圖資測製時間：98年。</t>
  </si>
  <si>
    <t>TOPO01K_P09</t>
  </si>
  <si>
    <t>圖資提供單位：雲林縣政府。&lt;br&gt;
圖資測製時間：99年。</t>
  </si>
  <si>
    <t>TOPO01K_P08</t>
  </si>
  <si>
    <t>TOPO01K_P07</t>
  </si>
  <si>
    <t>TOPO01K_P06</t>
  </si>
  <si>
    <t>TOPO01K_P05</t>
  </si>
  <si>
    <t>TOPO01K_P04</t>
  </si>
  <si>
    <t>TOPO01K_P03</t>
  </si>
  <si>
    <t>圖資提供單位：雲林縣政府。&lt;br&gt;
圖資測製時間：100年。</t>
  </si>
  <si>
    <t>TOPO01K_P02</t>
  </si>
  <si>
    <t>TOPO01K_P01</t>
  </si>
  <si>
    <t>TOPO01K_O08</t>
  </si>
  <si>
    <t>圖資提供單位：新竹市政府。&lt;br&gt;
圖資測製時間：111年。</t>
  </si>
  <si>
    <t>TOPO01K_O07</t>
  </si>
  <si>
    <t>圖資提供單位：新竹市政府。&lt;br&gt;
圖資測製時間：108年。</t>
  </si>
  <si>
    <t>TOPO01K_O06</t>
  </si>
  <si>
    <t>圖資提供單位：新竹市政府。&lt;br&gt;
圖資測製時間：112年。</t>
  </si>
  <si>
    <t>TOPO01K_O05</t>
  </si>
  <si>
    <t>圖資提供單位：新竹市政府。&lt;br&gt;
圖資測製時間：109年。</t>
  </si>
  <si>
    <t>TOPO01K_O04</t>
  </si>
  <si>
    <t>圖資提供單位：新竹市政府。&lt;br&gt;
圖資測製時間：113年。</t>
  </si>
  <si>
    <t>TOPO01K_O03</t>
  </si>
  <si>
    <t>圖資提供單位：新竹市政府。&lt;br&gt;
圖資測製時間：110年。</t>
  </si>
  <si>
    <t>TOPO01K_O01</t>
  </si>
  <si>
    <t>圖資提供單位：新竹市政府。&lt;br&gt;
圖資測製時間：104~106年。</t>
  </si>
  <si>
    <t>TOPO01K_N35</t>
  </si>
  <si>
    <t>圖資提供單位：彰化縣政府。&lt;br&gt;
圖資測製時間：97年。</t>
  </si>
  <si>
    <t>TOPO01K_N34</t>
  </si>
  <si>
    <t>圖資提供單位：彰化縣政府。&lt;br&gt;
圖資測製時間：102年。</t>
  </si>
  <si>
    <t>TOPO01K_N33</t>
  </si>
  <si>
    <t>圖資提供單位：彰化縣政府。&lt;br&gt;
圖資測製時間：100年。</t>
  </si>
  <si>
    <t>TOPO01K_N32</t>
  </si>
  <si>
    <t>圖資提供單位：彰化縣政府。&lt;br&gt;
圖資測製時間：98年。</t>
  </si>
  <si>
    <t>TOPO01K_N31</t>
  </si>
  <si>
    <t>TOPO01K_N30</t>
  </si>
  <si>
    <t>TOPO01K_N29</t>
  </si>
  <si>
    <t>TOPO01K_N28</t>
  </si>
  <si>
    <t>TOPO01K_N27</t>
  </si>
  <si>
    <t>TOPO01K_N26</t>
  </si>
  <si>
    <t>TOPO01K_N25</t>
  </si>
  <si>
    <t>TOPO01K_N24</t>
  </si>
  <si>
    <t>TOPO01K_N23</t>
  </si>
  <si>
    <t>TOPO01K_N22</t>
  </si>
  <si>
    <t>TOPO01K_N21</t>
  </si>
  <si>
    <t>TOPO01K_N20</t>
  </si>
  <si>
    <t>TOPO01K_N19</t>
  </si>
  <si>
    <t>TOPO01K_N18</t>
  </si>
  <si>
    <t>圖資提供單位：彰化縣政府。&lt;br&gt;
圖資測製時間：99年。</t>
  </si>
  <si>
    <t>TOPO01K_N17</t>
  </si>
  <si>
    <t>TOPO01K_N16</t>
  </si>
  <si>
    <t>TOPO01K_N15</t>
  </si>
  <si>
    <t>TOPO01K_N14</t>
  </si>
  <si>
    <t>TOPO01K_N13</t>
  </si>
  <si>
    <t>TOPO01K_N12</t>
  </si>
  <si>
    <t>TOPO01K_N11</t>
  </si>
  <si>
    <t>TOPO01K_N10</t>
  </si>
  <si>
    <t>TOPO01K_N09</t>
  </si>
  <si>
    <t>TOPO01K_N08</t>
  </si>
  <si>
    <t>TOPO01K_N07</t>
  </si>
  <si>
    <t>TOPO01K_N06</t>
  </si>
  <si>
    <t>TOPO01K_N05</t>
  </si>
  <si>
    <t>TOPO01K_N04</t>
  </si>
  <si>
    <t>TOPO01K_N03</t>
  </si>
  <si>
    <t>TOPO01K_N02</t>
  </si>
  <si>
    <t>TOPO01K_N01</t>
  </si>
  <si>
    <t>TOPO01K_M22</t>
  </si>
  <si>
    <t>圖資提供單位：南投縣政府。&lt;br&gt;
圖資測製時間：106年。</t>
  </si>
  <si>
    <t>TOPO01K_M21</t>
  </si>
  <si>
    <t>圖資提供單位：南投縣政府。&lt;br&gt;
圖資測製時間：93年。&lt;br&gt;
〈部分圖資係於98年修測〉</t>
  </si>
  <si>
    <t>TOPO01K_M20</t>
  </si>
  <si>
    <t>圖資提供單位：南投縣政府。&lt;br&gt;
圖資測製時間：103年。</t>
  </si>
  <si>
    <t>TOPO01K_M19</t>
  </si>
  <si>
    <t>圖資提供單位：南投縣政府。&lt;br&gt;
圖資測製時間：94年。&lt;br&gt;
〈部分圖資係於98年修測〉</t>
  </si>
  <si>
    <t>TOPO01K_M18</t>
  </si>
  <si>
    <t>圖資提供單位：南投縣政府。&lt;br&gt;
圖資測製時間：95年。&lt;br&gt;
〈部分圖資係於98年修測〉</t>
  </si>
  <si>
    <t>TOPO01K_M17</t>
  </si>
  <si>
    <t>TOPO01K_M16</t>
  </si>
  <si>
    <t>TOPO01K_M15</t>
  </si>
  <si>
    <t>TOPO01K_M14</t>
  </si>
  <si>
    <t>TOPO01K_M13</t>
  </si>
  <si>
    <t>TOPO01K_M12</t>
  </si>
  <si>
    <t>TOPO01K_M11</t>
  </si>
  <si>
    <t>TOPO01K_M10</t>
  </si>
  <si>
    <t>TOPO01K_M09</t>
  </si>
  <si>
    <t>TOPO01K_M08</t>
  </si>
  <si>
    <t>TOPO01K_M07</t>
  </si>
  <si>
    <t>TOPO01K_M06</t>
  </si>
  <si>
    <t>TOPO01K_M05</t>
  </si>
  <si>
    <t>TOPO01K_M04</t>
  </si>
  <si>
    <t>TOPO01K_M03</t>
  </si>
  <si>
    <t>TOPO01K_M02</t>
  </si>
  <si>
    <t>圖資提供單位：南投縣政府。&lt;br&gt;
圖資測製時間：102年。</t>
  </si>
  <si>
    <t>TOPO01K_M01</t>
  </si>
  <si>
    <t>TOPO01K_K18</t>
  </si>
  <si>
    <t>圖資提供單位：苗栗縣政府。&lt;br&gt;
圖資測製時間：92年。</t>
  </si>
  <si>
    <t>TOPO01K_K17</t>
  </si>
  <si>
    <t>圖資提供單位：苗栗縣政府。&lt;br&gt;
圖資測製時間：97年。</t>
  </si>
  <si>
    <t>TOPO01K_K16</t>
  </si>
  <si>
    <t>圖資提供單位：苗栗縣政府。&lt;br&gt;
圖資測製時間：93年。</t>
  </si>
  <si>
    <t>TOPO01K_K15</t>
  </si>
  <si>
    <t>圖資提供單位：苗栗縣政府。&lt;br&gt;
圖資測製時間：98年。</t>
  </si>
  <si>
    <t>TOPO01K_K14</t>
  </si>
  <si>
    <t>圖資提供單位：苗栗縣政府。&lt;br&gt;
圖資測製時間：96年。</t>
  </si>
  <si>
    <t>TOPO01K_K13</t>
  </si>
  <si>
    <t>TOPO01K_K12</t>
  </si>
  <si>
    <t>TOPO01K_K11</t>
  </si>
  <si>
    <t>TOPO01K_K10</t>
  </si>
  <si>
    <t>圖資提供單位：苗栗縣政府。&lt;br&gt;
圖資測製時間：94年。</t>
  </si>
  <si>
    <t>TOPO01K_K09</t>
  </si>
  <si>
    <t>TOPO01K_K08</t>
  </si>
  <si>
    <t>圖資提供單位：苗栗縣政府。&lt;br&gt;
圖資測製時間：95年。</t>
  </si>
  <si>
    <t>TOPO01K_K07</t>
  </si>
  <si>
    <t>TOPO01K_K06</t>
  </si>
  <si>
    <t>TOPO01K_K05</t>
  </si>
  <si>
    <t>TOPO01K_K04</t>
  </si>
  <si>
    <t>TOPO01K_K03</t>
  </si>
  <si>
    <t>圖資提供單位：苗栗縣政府。&lt;br&gt;
圖資測製時間：89年。</t>
  </si>
  <si>
    <t>TOPO01K_K02</t>
  </si>
  <si>
    <t>TOPO01K_K01</t>
  </si>
  <si>
    <t>TOPO01K_J10</t>
  </si>
  <si>
    <t>圖資提供單位：新竹縣政府。&lt;br&gt;
圖資測製時間：94年。</t>
  </si>
  <si>
    <t>TOPO01K_J09</t>
  </si>
  <si>
    <t>圖資提供單位：新竹縣政府。&lt;br&gt;
圖資測製時間：93年。</t>
  </si>
  <si>
    <t>TOPO01K_J08</t>
  </si>
  <si>
    <t>圖資提供單位：新竹縣政府。&lt;br&gt;
圖資測製時間：93~94年。</t>
  </si>
  <si>
    <t>TOPO01K_J07</t>
  </si>
  <si>
    <t>TOPO01K_J06</t>
  </si>
  <si>
    <t>TOPO01K_J05</t>
  </si>
  <si>
    <t>TOPO01K_J04</t>
  </si>
  <si>
    <t>TOPO01K_J03</t>
  </si>
  <si>
    <t>TOPO01K_J02</t>
  </si>
  <si>
    <t>TOPO01K_J01</t>
  </si>
  <si>
    <t>圖資提供單位：新竹縣政府。&lt;br&gt;
圖資測製時間：97年。</t>
  </si>
  <si>
    <t>TOPO01K_H44</t>
  </si>
  <si>
    <t>圖資提供單位：桃園市政府。&lt;br&gt;
圖資測製時間：110年。</t>
  </si>
  <si>
    <t>TOPO01K_H40</t>
  </si>
  <si>
    <t>圖資提供單位：桃園市政府。&lt;br&gt;
圖資測製時間：105年。</t>
  </si>
  <si>
    <t>TOPO01K_H39</t>
  </si>
  <si>
    <t>圖資提供單位：桃園市政府。&lt;br&gt;
圖資測製時間：107年。</t>
  </si>
  <si>
    <t>TOPO01K_H38</t>
  </si>
  <si>
    <t>圖資提供單位：桃園市政府。&lt;br&gt;
圖資測製時間：111年。</t>
  </si>
  <si>
    <t>TOPO01K_H37</t>
  </si>
  <si>
    <t>TOPO01K_H36</t>
  </si>
  <si>
    <t>TOPO01K_H35</t>
  </si>
  <si>
    <t>圖資提供單位：桃園市政府。&lt;br&gt;
圖資測製時間：108年。</t>
  </si>
  <si>
    <t>TOPO01K_H34</t>
  </si>
  <si>
    <t>TOPO01K_H33</t>
  </si>
  <si>
    <t>TOPO01K_H32</t>
  </si>
  <si>
    <t>圖資提供單位：桃園市政府。&lt;br&gt;
影像拍攝時間：111年。</t>
  </si>
  <si>
    <t>TOPO01K_H31</t>
  </si>
  <si>
    <t>圖資提供單位：桃園市政府。&lt;br&gt;
圖資測製時間：98年。</t>
  </si>
  <si>
    <t>TOPO01K_H30</t>
  </si>
  <si>
    <t>圖資提供單位：桃園市政府。&lt;br&gt;
圖資測製時間：97年。</t>
  </si>
  <si>
    <t>TOPO01K_H29</t>
  </si>
  <si>
    <t>TOPO01K_H28</t>
  </si>
  <si>
    <t>圖資提供單位：桃園市政府。&lt;br&gt;
圖資測製時間：100年。</t>
  </si>
  <si>
    <t>TOPO01K_H27</t>
  </si>
  <si>
    <t>圖資提供單位：桃園市政府。&lt;br&gt;
圖資測製時間：100年。&lt;br&gt;
高速公路中壢及內壢交流道附近特定區</t>
  </si>
  <si>
    <t>TOPO01K_H26</t>
  </si>
  <si>
    <t>圖資提供單位：桃園市政府。&lt;br&gt;
圖資測製時間：94年。</t>
  </si>
  <si>
    <t>TOPO01K_H25</t>
  </si>
  <si>
    <t>TOPO01K_H24</t>
  </si>
  <si>
    <t>TOPO01K_H23</t>
  </si>
  <si>
    <t>TOPO01K_H22</t>
  </si>
  <si>
    <t>圖資提供單位：桃園市政府。&lt;br&gt;
圖資測製時間：98年。&lt;br&gt;
含航空城貨運園區暨客運園區、大園南港地區特定區。</t>
  </si>
  <si>
    <t>TOPO01K_H21</t>
  </si>
  <si>
    <t>圖資提供單位：桃園市政府。&lt;br&gt;
圖資測製時間：100年。&lt;br&gt;
縱貫公路桃園內壢間都市計畫</t>
  </si>
  <si>
    <t>TOPO01K_H20</t>
  </si>
  <si>
    <t>圖資提供單位：桃園市政府。&lt;br&gt;
圖資測製時間：102年。</t>
  </si>
  <si>
    <t>TOPO01K_H19</t>
  </si>
  <si>
    <t>TOPO01K_H18</t>
  </si>
  <si>
    <t>TOPO01K_H17</t>
  </si>
  <si>
    <t>TOPO01K_H16</t>
  </si>
  <si>
    <t>圖資提供單位：桃園市政府。&lt;br&gt;
圖資測製時間：103~105年。</t>
  </si>
  <si>
    <t>TOPO01K_H15</t>
  </si>
  <si>
    <t>圖資提供單位：桃園市政府。&lt;br&gt;
圖資測製時間：101年。</t>
  </si>
  <si>
    <t>TOPO01K_H14</t>
  </si>
  <si>
    <t>TOPO01K_H13</t>
  </si>
  <si>
    <t>TOPO01K_H12</t>
  </si>
  <si>
    <t>TOPO01K_H11</t>
  </si>
  <si>
    <t>TOPO01K_H10</t>
  </si>
  <si>
    <t>TOPO01K_H09</t>
  </si>
  <si>
    <t>圖資提供單位：桃園市政府。&lt;br&gt;
圖資測製時間：93年。</t>
  </si>
  <si>
    <t>TOPO01K_H08</t>
  </si>
  <si>
    <t>TOPO01K_H07</t>
  </si>
  <si>
    <t>TOPO01K_H06</t>
  </si>
  <si>
    <t>TOPO01K_H05</t>
  </si>
  <si>
    <t>TOPO01K_H04</t>
  </si>
  <si>
    <t>圖資提供單位：桃園市政府。&lt;br&gt;
圖資測製時間：92年。</t>
  </si>
  <si>
    <t>TOPO01K_H03</t>
  </si>
  <si>
    <t>圖資提供單位：桃園市政府。&lt;br&gt;
圖資測製時間：95年。</t>
  </si>
  <si>
    <t>TOPO01K_H02</t>
  </si>
  <si>
    <t>圖資提供單位：桃園市政府。&lt;br&gt;
圖資測製時間：100年。&lt;br&gt;
包含中壢過嶺地區、楊梅高榮地區、新屋頭洲地區、觀音富源地區都市計畫</t>
  </si>
  <si>
    <t>TOPO01K_H01</t>
  </si>
  <si>
    <t>TOPO01K_G15</t>
  </si>
  <si>
    <t>圖資提供單位：宜蘭縣政府。&lt;br&gt;
圖資測製時間：97年。</t>
  </si>
  <si>
    <t>TOPO01K_G14</t>
  </si>
  <si>
    <t>TOPO01K_G13</t>
  </si>
  <si>
    <t>圖資提供單位：宜蘭縣政府。&lt;br&gt;
圖資測製時間：100年。</t>
  </si>
  <si>
    <t>TOPO01K_G12</t>
  </si>
  <si>
    <t>圖資提供單位：宜蘭縣政府。&lt;br&gt;
圖資測製時間：98年。</t>
  </si>
  <si>
    <t>TOPO01K_G11</t>
  </si>
  <si>
    <t>TOPO01K_G10</t>
  </si>
  <si>
    <t>TOPO01K_G09</t>
  </si>
  <si>
    <t>TOPO01K_G08</t>
  </si>
  <si>
    <t>TOPO01K_G07</t>
  </si>
  <si>
    <t>TOPO01K_G06</t>
  </si>
  <si>
    <t>TOPO01K_G05</t>
  </si>
  <si>
    <t>TOPO01K_G04</t>
  </si>
  <si>
    <t>TOPO01K_G03</t>
  </si>
  <si>
    <t>TOPO01K_G02</t>
  </si>
  <si>
    <t>TOPO01K_G01</t>
  </si>
  <si>
    <t>TOPO01K_F56</t>
  </si>
  <si>
    <t>圖資提供單位：新北市政府。&lt;br&gt;
圖資測製時間：111年修測。</t>
  </si>
  <si>
    <t>TOPO01K_F55</t>
  </si>
  <si>
    <t>圖資提供單位：新北市政府。&lt;br&gt;
圖資測製時間：110年修測。</t>
  </si>
  <si>
    <t>TOPO01K_F54</t>
  </si>
  <si>
    <t>圖資提供單位：新北市政府。&lt;br&gt;
圖資測製時間：112年修測。</t>
  </si>
  <si>
    <t>TOPO01K_F53</t>
  </si>
  <si>
    <t>圖資提供單位：新北市政府。&lt;br&gt;
圖資測製時間：109年修測。</t>
  </si>
  <si>
    <t>TOPO01K_F52</t>
  </si>
  <si>
    <t>TOPO01K_F51</t>
  </si>
  <si>
    <t>TOPO01K_F50</t>
  </si>
  <si>
    <t>TOPO01K_F49</t>
  </si>
  <si>
    <t>TOPO01K_F48</t>
  </si>
  <si>
    <t>TOPO01K_F47</t>
  </si>
  <si>
    <t>圖資提供單位：新北市政府。&lt;br&gt;
圖資測製時間：108年修測。</t>
  </si>
  <si>
    <t>TOPO01K_F46</t>
  </si>
  <si>
    <t>TOPO01K_F45</t>
  </si>
  <si>
    <t>TOPO01K_F44</t>
  </si>
  <si>
    <t>圖資提供單位：新北市政府。&lt;br&gt;
圖資測製時間：107年修測。</t>
  </si>
  <si>
    <t>TOPO01K_F43</t>
  </si>
  <si>
    <t>TOPO01K_F42</t>
  </si>
  <si>
    <t>TOPO01K_F41</t>
  </si>
  <si>
    <t>TOPO01K_F40</t>
  </si>
  <si>
    <t>TOPO01K_F39</t>
  </si>
  <si>
    <t>TOPO01K_F38</t>
  </si>
  <si>
    <t>TOPO01K_F37</t>
  </si>
  <si>
    <t>TOPO01K_F36</t>
  </si>
  <si>
    <t>TOPO01K_F35</t>
  </si>
  <si>
    <t>TOPO01K_F34</t>
  </si>
  <si>
    <t>TOPO01K_F33</t>
  </si>
  <si>
    <t>TOPO01K_F32</t>
  </si>
  <si>
    <t>TOPO01K_F31</t>
  </si>
  <si>
    <t>TOPO01K_F30</t>
  </si>
  <si>
    <t>TOPO01K_F29</t>
  </si>
  <si>
    <t>圖資提供單位：新北市政府。&lt;br&gt;
圖資測製時間：105年修測。</t>
  </si>
  <si>
    <t>TOPO01K_F28</t>
  </si>
  <si>
    <t>圖資提供單位：新北市政府。&lt;br&gt;
圖資測製時間：103年修測。</t>
  </si>
  <si>
    <t>TOPO01K_F27</t>
  </si>
  <si>
    <t>TOPO01K_F26</t>
  </si>
  <si>
    <t>圖資提供單位：新北市政府。&lt;br&gt;
圖資測製時間：100年修測。</t>
  </si>
  <si>
    <t>TOPO01K_F25</t>
  </si>
  <si>
    <t>圖資提供單位：新北市政府。&lt;br&gt;
圖資測製時間：104年修測。</t>
  </si>
  <si>
    <t>TOPO01K_F24</t>
  </si>
  <si>
    <t>TOPO01K_F23</t>
  </si>
  <si>
    <t>TOPO01K_F22</t>
  </si>
  <si>
    <t>TOPO01K_F21</t>
  </si>
  <si>
    <t>TOPO01K_F20</t>
  </si>
  <si>
    <t>TOPO01K_F19</t>
  </si>
  <si>
    <t>TOPO01K_F18</t>
  </si>
  <si>
    <t>TOPO01K_F17</t>
  </si>
  <si>
    <t>TOPO01K_F16</t>
  </si>
  <si>
    <t>圖資提供單位：新北市政府。&lt;br&gt;
圖資測製時間：102年修測。</t>
  </si>
  <si>
    <t>TOPO01K_F15</t>
  </si>
  <si>
    <t>TOPO01K_F14</t>
  </si>
  <si>
    <t>TOPO01K_F13</t>
  </si>
  <si>
    <t>圖資提供單位：新北市政府。&lt;br&gt;
圖資測製時間：101年修測。</t>
  </si>
  <si>
    <t>TOPO01K_F12</t>
  </si>
  <si>
    <t>TOPO01K_F11</t>
  </si>
  <si>
    <t>TOPO01K_F10</t>
  </si>
  <si>
    <t>TOPO01K_F09</t>
  </si>
  <si>
    <t>TOPO01K_F08</t>
  </si>
  <si>
    <t>TOPO01K_F07</t>
  </si>
  <si>
    <t>TOPO01K_F06</t>
  </si>
  <si>
    <t>TOPO01K_F05</t>
  </si>
  <si>
    <t>TOPO01K_F04</t>
  </si>
  <si>
    <t>TOPO01K_F03</t>
  </si>
  <si>
    <t>TOPO01K_F02</t>
  </si>
  <si>
    <t>TOPO01K_F01</t>
  </si>
  <si>
    <t>TOPO01K_E38</t>
  </si>
  <si>
    <t>圖資提供單位：高雄市政府。&lt;br&gt;
圖資測製時間：109年。</t>
  </si>
  <si>
    <t>TOPO01K_E37</t>
  </si>
  <si>
    <t>圖資提供單位：高雄市政府。&lt;br&gt;
圖資測製時間：113年。</t>
  </si>
  <si>
    <t>TOPO01K_E36</t>
  </si>
  <si>
    <t>圖資提供單位：高雄市政府。&lt;br&gt;
圖資測製時間：102年。</t>
  </si>
  <si>
    <t>TOPO01K_E35</t>
  </si>
  <si>
    <t>圖資提供單位：高雄市政府。&lt;br&gt;
圖資測製時間：108年。</t>
  </si>
  <si>
    <t>TOPO01K_E34</t>
  </si>
  <si>
    <t>TOPO01K_E32</t>
  </si>
  <si>
    <t>TOPO01K_E31</t>
  </si>
  <si>
    <t>圖資提供單位：高雄市政府。&lt;br&gt;
圖資測製時間：107年。</t>
  </si>
  <si>
    <t>TOPO01K_E30</t>
  </si>
  <si>
    <t>圖資提供單位：高雄市政府。&lt;br&gt;
圖資測製時間：100年。</t>
  </si>
  <si>
    <t>TOPO01K_E29</t>
  </si>
  <si>
    <t>圖資提供單位：高雄市政府。&lt;br&gt;
圖資測製時間：101年。</t>
  </si>
  <si>
    <t>TOPO01K_E28</t>
  </si>
  <si>
    <t>圖資提供單位：高雄市政府。&lt;br&gt;
圖資測製時間：97年。</t>
  </si>
  <si>
    <t>TOPO01K_E27</t>
  </si>
  <si>
    <t>TOPO01K_E26</t>
  </si>
  <si>
    <t>圖資提供單位：高雄市政府。&lt;br&gt;
圖資測製時間：99年。</t>
  </si>
  <si>
    <t>TOPO01K_E25</t>
  </si>
  <si>
    <t>圖資提供單位：高雄市政府。&lt;br&gt;
圖資測製時間：104年。</t>
  </si>
  <si>
    <t>TOPO01K_E24</t>
  </si>
  <si>
    <t>圖資提供單位：高雄市政府。&lt;br&gt;
圖資測製時間：106年。</t>
  </si>
  <si>
    <t>TOPO01K_E23</t>
  </si>
  <si>
    <t>TOPO01K_E22</t>
  </si>
  <si>
    <t>TOPO01K_E21</t>
  </si>
  <si>
    <t>圖資提供單位：高雄市政府。&lt;br&gt;
圖資測製時間：105年。</t>
  </si>
  <si>
    <t>TOPO01K_E20</t>
  </si>
  <si>
    <t>TOPO01K_E19</t>
  </si>
  <si>
    <t>TOPO01K_E18</t>
  </si>
  <si>
    <t>TOPO01K_E17</t>
  </si>
  <si>
    <t>TOPO01K_E16</t>
  </si>
  <si>
    <t>TOPO01K_E15</t>
  </si>
  <si>
    <t>TOPO01K_E14</t>
  </si>
  <si>
    <t>TOPO01K_E13</t>
  </si>
  <si>
    <t>TOPO01K_E12</t>
  </si>
  <si>
    <t>TOPO01K_E11</t>
  </si>
  <si>
    <t>圖資提供單位：高雄市政府。&lt;br&gt;
圖資測製時間：98年。</t>
  </si>
  <si>
    <t>TOPO01K_E10</t>
  </si>
  <si>
    <t>TOPO01K_E09</t>
  </si>
  <si>
    <t>圖資提供單位：高雄市政府。&lt;br&gt;
圖資測製時間：92年。</t>
  </si>
  <si>
    <t>TOPO01K_E08</t>
  </si>
  <si>
    <t>TOPO01K_E07</t>
  </si>
  <si>
    <t>TOPO01K_E06</t>
  </si>
  <si>
    <t>TOPO01K_E05</t>
  </si>
  <si>
    <t>TOPO01K_E04</t>
  </si>
  <si>
    <t>圖資提供單位：高雄市政府。&lt;br&gt;
圖資測製時間：94年。</t>
  </si>
  <si>
    <t>TOPO01K_E03</t>
  </si>
  <si>
    <t>圖資提供單位：高雄市政府。&lt;br&gt;
圖資測製時間：93年。</t>
  </si>
  <si>
    <t>TOPO01K_E02</t>
  </si>
  <si>
    <t>TOPO01K_E01</t>
  </si>
  <si>
    <t>TOPO01K_DA2</t>
  </si>
  <si>
    <t>圖資提供單位：臺南市政府。&lt;br&gt;
圖資測製時間：102年。&lt;br&gt;
柳營都市計畫及南鯤鯓、關子嶺、南科特定區</t>
  </si>
  <si>
    <t>TOPO01K_DA1</t>
  </si>
  <si>
    <t>圖資提供單位：臺南市政府。&lt;br&gt;
圖資測製時間：101年。&lt;br&gt;
包含後壁、六甲、學甲、將軍、白河、楠西、玉井、大內、山上、安南區西側都市計畫。</t>
  </si>
  <si>
    <t>TOPO01K_DA0</t>
  </si>
  <si>
    <t>圖資提供單位：臺南市政府。&lt;br&gt;
圖資測製時間：100年。&lt;br&gt;
包含下營、官田、佳里、西港、安定、善化、新市、安南區東側都市計畫及高速公路麻豆交流道特定區。</t>
  </si>
  <si>
    <t>TOPO01K_D99</t>
  </si>
  <si>
    <t>圖資提供單位：臺南市政府。&lt;br&gt;
圖資測製時間：99年。&lt;br&gt;
包含關廟、仁德、歸仁、新化區範圍內之都市計畫區及特定區。</t>
  </si>
  <si>
    <t>TOPO01K_D97</t>
  </si>
  <si>
    <t>圖資提供單位：臺南市政府。&lt;br&gt;
圖資測製時間：97年。</t>
  </si>
  <si>
    <t>TOPO01K_D93</t>
  </si>
  <si>
    <t>圖資提供單位：臺南市政府。&lt;br&gt;
圖資測製時間：93年。&lt;br&gt;
新營都市計畫暨高速公路新營交流道特定區。</t>
  </si>
  <si>
    <t>TOPO01K_C02</t>
  </si>
  <si>
    <t>圖資提供單位：基隆市政府。&lt;br&gt;
圖資測製時間：111年。</t>
  </si>
  <si>
    <t>TOPO01K_C01</t>
  </si>
  <si>
    <t>圖資提供單位：基隆市政府。&lt;br&gt;
圖資測製時間：96年。</t>
  </si>
  <si>
    <t>TOPO01K_B32</t>
  </si>
  <si>
    <t>圖資提供單位：臺中市政府。&lt;br&gt;
圖資測製時間：107年修測。</t>
  </si>
  <si>
    <t>TOPO01K_B31</t>
  </si>
  <si>
    <t>TOPO01K_B30</t>
  </si>
  <si>
    <t>圖資提供單位：臺中市政府。&lt;br&gt;
圖資測製時間：100年。</t>
  </si>
  <si>
    <t>TOPO01K_B29</t>
  </si>
  <si>
    <t>TOPO01K_B28</t>
  </si>
  <si>
    <t>TOPO01K_B27</t>
  </si>
  <si>
    <t>圖資提供單位：臺中市政府。&lt;br&gt;
圖資測製時間：98年。</t>
  </si>
  <si>
    <t>TOPO01K_B26</t>
  </si>
  <si>
    <t>TOPO01K_B25</t>
  </si>
  <si>
    <t>TOPO01K_B24</t>
  </si>
  <si>
    <t>圖資提供單位：臺中市政府。&lt;br&gt;
圖資測製時間：97年。</t>
  </si>
  <si>
    <t>TOPO01K_B23</t>
  </si>
  <si>
    <t>圖資提供單位：臺中市政府。&lt;br&gt;
圖資測製時間：96年。</t>
  </si>
  <si>
    <t>TOPO01K_B22</t>
  </si>
  <si>
    <t>TOPO01K_B21</t>
  </si>
  <si>
    <t>TOPO01K_B20</t>
  </si>
  <si>
    <t>TOPO01K_B19</t>
  </si>
  <si>
    <t>TOPO01K_B18</t>
  </si>
  <si>
    <t>TOPO01K_B17</t>
  </si>
  <si>
    <t>圖資提供單位：臺中市政府。&lt;br&gt;
圖資測製時間：95年。</t>
  </si>
  <si>
    <t>TOPO01K_B16</t>
  </si>
  <si>
    <t>TOPO01K_B15</t>
  </si>
  <si>
    <t>圖資提供單位：臺中市政府。&lt;br&gt;
圖資測製時間：94年。</t>
  </si>
  <si>
    <t>TOPO01K_B14</t>
  </si>
  <si>
    <t>TOPO01K_B13</t>
  </si>
  <si>
    <t>TOPO01K_B12</t>
  </si>
  <si>
    <t>圖資提供單位：臺中市政府。&lt;br&gt;
圖資測製時間：93年。</t>
  </si>
  <si>
    <t>TOPO01K_B11</t>
  </si>
  <si>
    <t>TOPO01K_B10</t>
  </si>
  <si>
    <t>TOPO01K_B09</t>
  </si>
  <si>
    <t>圖資提供單位：臺中市政府。&lt;br&gt;
圖資測製時間：92年。</t>
  </si>
  <si>
    <t>TOPO01K_B08</t>
  </si>
  <si>
    <t>圖資提供單位：臺中市政府。&lt;br&gt;
圖資測製時間：91年。</t>
  </si>
  <si>
    <t>TOPO01K_B07</t>
  </si>
  <si>
    <t>TOPO01K_B06</t>
  </si>
  <si>
    <t>TOPO01K_B05</t>
  </si>
  <si>
    <t>TOPO01K_B04</t>
  </si>
  <si>
    <t>TOPO01K_B03</t>
  </si>
  <si>
    <t>TOPO01K_B02</t>
  </si>
  <si>
    <t>TOPO01K_B01</t>
  </si>
  <si>
    <t>圖資提供單位：臺中市政府。&lt;br&gt;
圖資測製時間：90年。</t>
  </si>
  <si>
    <t>SoilLiquefaction2</t>
  </si>
  <si>
    <t>土壤液化潛勢圖資中級，目前僅有&lt;a href=https://soil.taipei/Taipei2019 target="_blank" rel="noopener"&gt;&lt;font color=blue&gt;臺北市&lt;/font&gt;&lt;/a&gt;，&lt;a href=https://www.liquid.net.tw/taichung target="_blank" rel="noopener"&gt;&lt;font color=blue&gt;臺中市&lt;/font&gt;&lt;/a&gt;，&lt;a href=https://www.liquid.net.tw/tainan  target="_blank" rel="noopener"&gt;&lt;font color=blue&gt;臺南市&lt;/font&gt;&lt;/a&gt;，&lt;a href=https://soil.kcg.gov.tw  target="_blank" rel="noopener"&gt;&lt;font color=blue&gt;高雄市&lt;/font&gt;&lt;/a&gt;的開放資料及新北市政府110年7月14日新北工程字第1101303484號函授權(板橋等14行政區)，由本中心進行圖磚產製發布套疊，套疊結果僅供參考，若有疑義請至原始網站查詢。&lt;br&gt;
&lt;font color=#00ff00&gt; ■ &lt;/font&gt;低潛勢範圍&lt;br&gt;
&lt;font color=#ffff00&gt; ■ &lt;/font&gt;中潛勢範圍&lt;br&gt;
&lt;font color=#ff0000&gt; ■ &lt;/font&gt;高潛勢範圍&lt;br&gt;</t>
  </si>
  <si>
    <t>SoilLiquefaction</t>
  </si>
  <si>
    <t>依據&lt;a href=http://www.geologycloud.tw/map/liquefaction/zh-tw  target="_blank" rel="noopener"&gt;&lt;font color=blue&gt;地質雲 - 土壤液化潛勢 公開的 土壤液化潛勢範圍資料&lt;/font&gt;&lt;/a&gt;，其屬於比例尺1:25,000之「初級」精度調查研究成果，由本中心進行圖磚產製發布套疊，套疊結果僅供參考，若有疑義請至&lt;a href=http://www.geologycloud.tw/map/liquefaction/zh-tw  target="_blank" rel="noopener"&gt;&lt;font color=blue&gt;原始網站&lt;/font&gt;&lt;/a&gt;查詢。&lt;br&gt;（圖資版本：110年12月30日）&lt;br&gt;
&lt;font color=#00ff00&gt; ■ &lt;/font&gt;低潛勢範圍&lt;br&gt;
&lt;font color=#ffff00&gt; ■ &lt;/font&gt;中潛勢範圍&lt;br&gt;
&lt;font color=#ff0000&gt; ■ &lt;/font&gt;高潛勢範圍&lt;br&gt;</t>
  </si>
  <si>
    <t>SHELTERS</t>
  </si>
  <si>
    <t>依據政府資料開放平臺 消防署提供之&lt;a href="http://data.gov.tw/node/12849" target="_blank" rel="noopener"&gt;避難收容處所開設情形&lt;/a&gt;&lt;br&gt;
&lt;a href="https://data.gov.tw/dataset/73242" target="_blank" rel="noopener"&gt;避難收容處所點位檔&lt;/a&gt;&lt;br&gt;
資料，並與臺灣通用電子地圖資料交叉比對找出坐標進行圖磚產製發布，位置標示僅為參考。&lt;br&gt;
因避難收容所平常並未有物資，因此本項圖資僅為展示用途。</t>
  </si>
  <si>
    <t>SCHOOL</t>
  </si>
  <si>
    <t>依據臺灣通用電子地圖各級學校範圍資料建立塗色區塊&lt;BR&gt;
&lt;img src=https://maps.nlsc.gov.tw/demo/school.png&gt;</t>
  </si>
  <si>
    <t>ROAD</t>
  </si>
  <si>
    <t>PhotoVA</t>
  </si>
  <si>
    <t>PHOTO_VA</t>
  </si>
  <si>
    <t>臺東縣政府109年10月19日府府地測字第1090223619號函授權本中心套疊使用。&lt;br&gt;
圖資測製時間：109年。</t>
  </si>
  <si>
    <t>PhotoMIX</t>
  </si>
  <si>
    <t>PHOTO_MIX</t>
  </si>
  <si>
    <t>臺灣通用正射影像混合圖層(96年以後的圖資，實際年度請參考影像上的西元年浮水印）混合等高線及通用電子地圖圖資</t>
  </si>
  <si>
    <t>PHOTO3826</t>
  </si>
  <si>
    <t>PHOTO2025</t>
  </si>
  <si>
    <t>係114年臺灣通用電子地圖（圖上紅色框的範圍）更新所產製正射影像，更新範圍影像航拍時間係以前1年（113年）為原則，部分更新區域（鄉區或山區）或未列入114年更新範圍區域影像航拍時間為前2年或前3年甚至更久遠，航拍時間請參考影像符水印標示的西元年。</t>
  </si>
  <si>
    <t>PHOTO2024</t>
  </si>
  <si>
    <t>係113年臺灣通用電子地圖（圖上紅色框的範圍）更新所產製正射影像，更新範圍影像航拍時間係以前1年（112年）為原則，部分更新區域（鄉區或山區）或未列入113年更新範圍區域影像航拍時間為前2年或前3年甚至更久遠，航拍時間請參考影像符水印標示的西元年。</t>
  </si>
  <si>
    <t>PHOTO2023</t>
  </si>
  <si>
    <t>係112年臺灣通用電子地圖（圖上紅色框的範圍）更新所產製正射影像，更新範圍影像航拍時間係以前1年（111年）為原則，部分更新區域（鄉區或山區）或未列入112年更新範圍區域影像航拍時間為前2年或前3年甚至更久遠，航拍時間請參考影像符水印標示的西元年。</t>
  </si>
  <si>
    <t>PHOTO2022</t>
  </si>
  <si>
    <t>係111年臺灣通用電子地圖（圖上紅色框的範圍）更新所產製正射影像，更新範圍影像航拍時間係以前1年（110年）為原則，部分更新區域（鄉區或山區）或未列入111年更新範圍區域影像航拍時間為前2年或前3年甚至更久遠，航拍時間請參考影像符水印標示的西元年。</t>
  </si>
  <si>
    <t>PHOTO2021</t>
  </si>
  <si>
    <t>係110年臺灣通用電子地圖（圖上紅色框的範圍）更新所產製正射影像，更新範圍影像航拍時間係以前1年（109年）為原則，部分更新區域（鄉區或山區）或未列入110年更新範圍區域影像航拍時間為前2年或前3年甚至更久遠，航拍時間請參考影像符水印標示的西元年。</t>
  </si>
  <si>
    <t>PHOTO2020</t>
  </si>
  <si>
    <t>係109年臺灣通用電子地圖（圖上紅色框的範圍）更新所產製正射影像，更新範圍影像航拍時間係以前1年（108年）為原則，部分更新區域（鄉區或山區）或未列入109年更新範圍區域影像航拍時間為前2年或前3年甚至更久遠，航拍時間請參考影像符水印標示的西元年。</t>
  </si>
  <si>
    <t>PHOTO2019</t>
  </si>
  <si>
    <t>係108年臺灣通用電子地圖（圖上紅色框的範圍）更新所產製正射影像，更新範圍影像航拍時間係以前1年（107年）為原則，部分更新區域（鄉區或山區）或未列入108年更新範圍區域影像航拍時間為前2年或前3年甚至更久遠，航拍時間請參考影像符水印標示的西元年。</t>
  </si>
  <si>
    <t>PHOTO2018</t>
  </si>
  <si>
    <t>係107年臺灣通用電子地圖更新（圖上紅色框的範圍）所產製正射影像，更新範圍影像航拍時間係以前1年（106年）為原則，部分更新區域（鄉區或山區）或未列入107年更新範圍區域影像航拍時間為前2年或前3年甚至更久遠，航拍時間請參考影像符水印標示的西元年。</t>
  </si>
  <si>
    <t>PHOTO2017</t>
  </si>
  <si>
    <t>係106年臺灣通用電子地圖（圖上紅色框的範圍）更新所產製正射影像，更新範圍影像航拍時間係以前1年（105年）為原則，部分更新區域（鄉區或山區）或未列入106年更新範圍區域影像航拍時間為前2年或前3年甚至更久遠，航拍時間請參考影像符水印標示的西元年。</t>
  </si>
  <si>
    <t>PHOTO2016</t>
  </si>
  <si>
    <t>係105年臺灣通用電子地圖更新（圖上紅色框的範圍）所產製正射影像，更新範圍影像航拍時間係以前1年（104年）為原則，部分更新區域（鄉區或山區）或未列入105年更新範圍區域影像航拍時間為前2年或前3年甚至更久遠，航拍時間請參考影像符水印標示的西元年。</t>
  </si>
  <si>
    <t>PHOTO2015</t>
  </si>
  <si>
    <t>係104年臺灣通用電子地圖更新（圖上紅色框的範圍）所產製正射影像，更新範圍影像航拍時間係以前1年（103年）為原則，部分更新區域（鄉區或山區）或未列入104年更新範圍區域影像航拍時間為前2年或前3年甚至更久遠，航拍時間請參考影像符水印標示的西元年。</t>
  </si>
  <si>
    <t>PHOTO2014</t>
  </si>
  <si>
    <t>係103年臺灣通用電子地圖更新（圖上紅色框的範圍）所產製正射影像，更新範圍影像航拍時間係以前1年（102年）為原則，部分更新區域（鄉區或山區）或未列入103年更新範圍區域影像航拍時間為前2年或前3年甚至更久遠，航拍時間請參考影像符水印標示的西元年。</t>
  </si>
  <si>
    <t>PHOTO2</t>
  </si>
  <si>
    <t>臺灣通用正射影像最新(實際年度請參考影像上的西元年浮水印)，作為正射影像額外圖層套疊用</t>
  </si>
  <si>
    <t>PHOTO1</t>
  </si>
  <si>
    <t>92~94年正射影像</t>
  </si>
  <si>
    <t>nURBAN2</t>
  </si>
  <si>
    <t>本中心依據地籍圖之原始儲存資料包括土地標示、土地所有權、土地界址、界址坐標資料等，依據內政部頒布非都市土地使用地類別圖例之相關規定，自動產製此圖資，供套疊運用參考。
圖例如下：&lt;BR&gt;
&lt;a href="https://maps.nlsc.gov.tw/demo/20140924.png" target="_blank" rel="noopener"&gt;&lt;img src=https://maps.nlsc.gov.tw/demo/20140924.png alt="非土地使用地類別顏色"  width="106" height="225"&gt;&lt;/a&gt;</t>
  </si>
  <si>
    <t>nURBAN1</t>
  </si>
  <si>
    <t>本中心依據地籍圖之原始儲存資料包括土地標示、土地所有權、土地界址、界址坐標資料等，依據內政部頒布非都市土地使用分區圖例之相關規定，自動產製此圖資，供套疊運用參考。
分區用色如下：&lt;BR&gt;
&lt;a href="https://maps.nlsc.gov.tw/demo/20140925.png" target="_blank" rel="noopener"&gt;&lt;img src=https://maps.nlsc.gov.tw/demo/20140925.png alt="非都市分區顏色"  width="95" height="123"&gt;&lt;/a&gt;</t>
  </si>
  <si>
    <t>MoiSlopepLV72</t>
  </si>
  <si>
    <t>MOI_SLOPEP_LV7_2</t>
  </si>
  <si>
    <t>內政部地政司委託國家高速網路與計算中心(國網中心)應用內政部公布之全臺灣（本島除管制區外）20公尺網格間距的數值高程模型（DEM）資料(2010-2015年份)產製，由本中心代為發布&lt;br&gt;
如需其他服務 請使用 &lt;a href=http://land.colife.org.tw target="_blank" rel="noopener"&gt;&lt;font color=blue&gt;數值地形模型加值應用服務&lt;/font&gt;&lt;/a&gt;&lt;BR&gt;
坡度顏色定義如圖&lt;img src=https://maps.nlsc.gov.tw/demo/坡度分級圖例說明.png&gt;</t>
  </si>
  <si>
    <t>MoiSlopepLV7</t>
  </si>
  <si>
    <t>MOI_SLOPEP_LV7</t>
  </si>
  <si>
    <t>內政部地政司委託國家高速網路與計算中心(國網中心)應用內政部公布之全臺灣20公尺網格間距的數值高程模型（DEM）資料(2003-2005年份)產製，由本中心代為發布&lt;br&gt;
如需其他服務 請使用 &lt;a href=http://land.colife.org.tw target="_blank" rel="noopener"&gt;&lt;font color=blue&gt;數值地形模型加值應用服務&lt;/font&gt;&lt;/a&gt;&lt;BR&gt;
坡度顏色定義如圖&lt;img src=https://maps.nlsc.gov.tw/demo/坡度分級圖例說明.png&gt;</t>
  </si>
  <si>
    <t>MoiSlopepGT302</t>
  </si>
  <si>
    <t>MOI_SLOPEP_GT30_2</t>
  </si>
  <si>
    <t>內政部地政司委託國家高速網路與計算中心(國網中心)應用內政部公布之全臺灣（本島除管制區外）20公尺網格間距的數值高程模型（DEM）資料(2010-2015年份)產製，由本中心代為發布&lt;br&gt;
如需其他服務 請使用 &lt;a href=http://land.colife.org.tw target="_blank" rel="noopener"&gt;&lt;font color=blue&gt;數值地形模型加值應用服務&lt;/font&gt;&lt;/a&gt;
&lt;br&gt;&lt;br&gt;&lt;b&gt;&lt;font color=red&gt;紅色區塊&lt;/font&gt; &lt;/b&gt;為 坡度30%以上(亦即4~7級坡)區域。</t>
  </si>
  <si>
    <t>MoiSlopepGT30</t>
  </si>
  <si>
    <t>MOI_SLOPEP_GT30</t>
  </si>
  <si>
    <t>內政部地政司委託國家高速網路與計算中心(國網中心)應用內政部公布之全臺灣20公尺網格間距的數值高程模型（DEM）資料(2003-2005年份)產製，由本中心代為發布&lt;br&gt;
如需其他服務 請使用 &lt;a href=http://land.colife.org.tw target="_blank" rel="noopener"&gt;&lt;font color=blue&gt;數值地形模型加值應用服務&lt;/font&gt;&lt;/a&gt;
&lt;br&gt;&lt;br&gt;&lt;b&gt;&lt;font color=red&gt;紅色區塊&lt;/font&gt; &lt;/b&gt;為 坡度30%以上(亦即4~7級坡)區域。</t>
  </si>
  <si>
    <t>MoiShadermap</t>
  </si>
  <si>
    <t>MOI_SHADERMAP</t>
  </si>
  <si>
    <t>MoiHillshade</t>
  </si>
  <si>
    <t>MOI_HILLSHADE</t>
  </si>
  <si>
    <t>MoiContour2</t>
  </si>
  <si>
    <t>MOI_CONTOUR_2</t>
  </si>
  <si>
    <t>內政部地政司委託國家高速網路與計算中心(國網中心)應用內政部公布之全臺灣（本島除管制區外）20公尺網格間距的數值高程模型（DEM）資料(2010-2015)產製，由本中心代為發布&lt;br&gt;
如需其他服務 請使用 &lt;a href=http://land.colife.org.tw target="_blank" rel="noopener"&gt;&lt;font color=blue&gt;數值地形模型加值應用服務&lt;/font&gt;&lt;/a&gt;</t>
  </si>
  <si>
    <t>MoiContour</t>
  </si>
  <si>
    <t>MOI_CONTOUR</t>
  </si>
  <si>
    <t>內政部地政司委託國家高速網路與計算中心(國網中心)應用內政部公布之全臺灣20公尺網格間距的數值高程模型（DEM）資料(2003-2005)產製，由本中心代為發布&lt;br&gt;
如需其他服務 請使用 &lt;a href=http://land.colife.org.tw target="_blank" rel="noopener"&gt;&lt;font color=blue&gt;數值地形模型加值應用服務&lt;/font&gt;&lt;/a&gt;</t>
  </si>
  <si>
    <t>MoiAspect</t>
  </si>
  <si>
    <t>MOI_ASPECT</t>
  </si>
  <si>
    <t>內政部地政司委託國家高速網路與計算中心(國網中心)應用內政部公布之全臺灣20公尺網格間距的數值高程模型（DEM）資料產製，由本中心代為發布&lt;br&gt;
如需其他服務 請使用 &lt;a href=http://land.colife.org.tw target="_blank" rel="noopener"&gt;&lt;font color=blue&gt;數值地形模型加值應用服務&lt;/font&gt;&lt;/a&gt;&lt;BR&gt;
坡向方位顏色定義如圖&lt;img src=https://maps.nlsc.gov.tw/demo/坡向圖圖例.gif&gt;</t>
  </si>
  <si>
    <t>MB5000</t>
  </si>
  <si>
    <t>1/5000圖幅框、圖名及圖號。&lt;BR&gt;&lt;font color=#0080FA&gt;—使用顏色圖例—&lt;/font&gt;</t>
  </si>
  <si>
    <t>LUIMAP99</t>
  </si>
  <si>
    <t>國土利用現況調查成果圖99年更新區域&lt;BR&gt;
顏色編碼定義請參考&lt;BR&gt;
&lt;a href="https://maps.nlsc.gov.tw/demo/95RGB色碼表.jpg" target="_blank" rel="noopener"&gt;&lt;font color=blue&gt;95-104年「土地使用分類系統表」色碼表&lt;/font&gt;&lt;/a&gt;&lt;a href="https://maps.nlsc.gov.tw/demo/95RGB色碼表.jpg" target="_blank" rel="noopener"&gt;&lt;img src=https://maps.nlsc.gov.tw/demo/95RGB色碼表.jpg alt="95年色碼表"  width="192" height="192"&gt;&lt;/a&gt;</t>
  </si>
  <si>
    <t>LUIMAP98</t>
  </si>
  <si>
    <t>國土利用現況調查成果圖98年更新區域&lt;BR&gt;
顏色編碼定義請參考&lt;BR&gt;
&lt;a href="https://maps.nlsc.gov.tw/demo/95RGB色碼表.jpg" target="_blank" rel="noopener"&gt;&lt;font color=blue&gt;95-104年「土地使用分類系統表」色碼表&lt;/font&gt;&lt;/a&gt;&lt;a href="https://maps.nlsc.gov.tw/demo/95RGB色碼表.jpg" target="_blank" rel="noopener"&gt;&lt;img src=https://maps.nlsc.gov.tw/demo/95RGB色碼表.jpg alt="95年色碼表"  width="192" height="192"&gt;&lt;/a&gt;</t>
  </si>
  <si>
    <t>LUIMAP95</t>
  </si>
  <si>
    <t>國土利用現況調查成果圖95-97年&lt;BR&gt;
顏色編碼定義請參考&lt;BR&gt;
&lt;&lt;a href="https://maps.nlsc.gov.tw/demo/95RGB色碼表.jpg" target="_blank" rel="noopener"&gt;&lt;font color=blue&gt;95-104年「土地使用分類系統表」色碼表&lt;/font&gt;&lt;/a&gt;&lt;a href="https://maps.nlsc.gov.tw/demo/95RGB色碼表.jpg" target="_blank" rel="noopener"&gt;&lt;img src=https://maps.nlsc.gov.tw/demo/95RGB色碼表.jpg alt="95年色碼表"  width="192" height="192"&gt;&lt;/a&gt;</t>
  </si>
  <si>
    <t>LUIMAP82</t>
  </si>
  <si>
    <t>國土利用現況調查成果圖82年&lt;BR&gt;
顏色編碼定義請參考&lt;BR&gt;
&lt;a href="https://maps.nlsc.gov.tw/demo/95RGB色碼表.jpg" target="_blank" rel="noopener"&gt;&lt;font color=blue&gt;95-104年「土地使用分類系統表」色碼表&lt;/font&gt;&lt;/a&gt;&lt;a href="https://maps.nlsc.gov.tw/demo/95RGB色碼表.jpg" target="_blank" rel="noopener"&gt;&lt;img src=https://maps.nlsc.gov.tw/demo/95RGB色碼表.jpg alt="95年色碼表"  width="192" height="192"&gt;&lt;/a&gt;</t>
  </si>
  <si>
    <t>LUIMAP114</t>
  </si>
  <si>
    <t>國土利用現況調查成果圖114年更新區域&lt;BR&gt;
顏色編碼定義請參考&lt;BR&gt;
&lt;a href="https://maps.nlsc.gov.tw/demo/109年版國土利用色碼表.png" target="_blank" rel="noopener"&gt;&lt;font color=blue&gt;109年「土地利用分類系統表」色碼表&lt;/font&gt;&lt;/a&gt;&lt;a href="https://maps.nlsc.gov.tw/demo/109年版國土利用色碼表.png" target="_blank" rel="noopener"&gt;&lt;img src=https://maps.nlsc.gov.tw/demo/109年版國土利用色碼表.png alt="109年色碼表"  width="192" height="192"&gt;&lt;/a&gt;</t>
  </si>
  <si>
    <t>LUIMAP113</t>
  </si>
  <si>
    <t>國土利用現況調查成果圖113年更新區域&lt;BR&gt;
顏色編碼定義請參考&lt;BR&gt;
&lt;a href="https://maps.nlsc.gov.tw/demo/109年版國土利用色碼表.png" target="_blank" rel="noopener"&gt;&lt;font color=blue&gt;109年「土地利用分類系統表」色碼表&lt;/font&gt;&lt;/a&gt;&lt;a href="https://maps.nlsc.gov.tw/demo/109年版國土利用色碼表.png" target="_blank" rel="noopener"&gt;&lt;img src=https://maps.nlsc.gov.tw/demo/109年版國土利用色碼表.png alt="109年色碼表"  width="192" height="192"&gt;&lt;/a&gt;</t>
  </si>
  <si>
    <t>LUIMAP112</t>
  </si>
  <si>
    <t>國土利用現況調查成果圖112年更新區域&lt;BR&gt;
顏色編碼定義請參考&lt;BR&gt;
&lt;a href="https://maps.nlsc.gov.tw/demo/109年版國土利用色碼表.png" target="_blank" rel="noopener"&gt;&lt;font color=blue&gt;109年「土地利用分類系統表」色碼表&lt;/font&gt;&lt;/a&gt;&lt;a href="https://maps.nlsc.gov.tw/demo/109年版國土利用色碼表.png" target="_blank" rel="noopener"&gt;&lt;img src=https://maps.nlsc.gov.tw/demo/109年版國土利用色碼表.png alt="109年色碼表"  width="192" height="192"&gt;&lt;/a&gt;</t>
  </si>
  <si>
    <t>LUIMAP111</t>
  </si>
  <si>
    <t>國土利用現況調查成果圖111年更新區域&lt;BR&gt;
顏色編碼定義請參考&lt;BR&gt;
&lt;a href="https://maps.nlsc.gov.tw/demo/109年版國土利用色碼表.png" target="_blank" rel="noopener"&gt;&lt;font color=blue&gt;109年「土地利用分類系統表」色碼表&lt;/font&gt;&lt;/a&gt;&lt;a href="https://maps.nlsc.gov.tw/demo/109年版國土利用色碼表.png" target="_blank" rel="noopener"&gt;&lt;img src=https://maps.nlsc.gov.tw/demo/109年版國土利用色碼表.png alt="109年色碼表"  width="192" height="192"&gt;&lt;/a&gt;</t>
  </si>
  <si>
    <t>LUIMAP110</t>
  </si>
  <si>
    <t>國土利用現況調查成果圖110年更新區域&lt;BR&gt;
顏色編碼定義請參考&lt;BR&gt;
&lt;a href="https://maps.nlsc.gov.tw/demo/109年版國土利用色碼表.png" target="_blank" rel="noopener"&gt;&lt;font color=blue&gt;109年「土地利用分類系統表」色碼表&lt;/font&gt;&lt;/a&gt;&lt;a href="https://maps.nlsc.gov.tw/demo/109年版國土利用色碼表.png" target="_blank" rel="noopener"&gt;&lt;img src=https://maps.nlsc.gov.tw/demo/109年版國土利用色碼表.png alt="109年色碼表"  width="192" height="192"&gt;&lt;/a&gt;</t>
  </si>
  <si>
    <t>LUIMAP109</t>
  </si>
  <si>
    <t>國土利用現況調查成果圖109年更新區域&lt;BR&gt;
顏色編碼定義請參考&lt;BR&gt;
&lt;a href="https://maps.nlsc.gov.tw/demo/109年版國土利用色碼表.png" target="_blank" rel="noopener"&gt;&lt;font color=blue&gt;109年「土地利用分類系統表」色碼表&lt;/font&gt;&lt;/a&gt;&lt;a href="https://maps.nlsc.gov.tw/demo/109年版國土利用色碼表.png" target="_blank" rel="noopener"&gt;&lt;img src=https://maps.nlsc.gov.tw/demo/109年版國土利用色碼表.png alt="109年色碼表"  width="192" height="192"&gt;&lt;/a&gt;</t>
  </si>
  <si>
    <t>LUIMAP108</t>
  </si>
  <si>
    <t>國土利用現況調查成果圖108年更新區域&lt;BR&gt;
顏色編碼定義請參考&lt;BR&gt;
&lt;a href="https://maps.nlsc.gov.tw/demo/105RGB色碼表.png" target="_blank" rel="noopener"&gt;&lt;font color=blue&gt;105年「土地利用分類系統表」色碼表&lt;/font&gt;&lt;/a&gt;&lt;a href="https://maps.nlsc.gov.tw/demo/105RGB色碼表.png" target="_blank" rel="noopener"&gt;&lt;img src=https://maps.nlsc.gov.tw/demo/105RGB色碼表.png alt="105年色碼表"  width="192" height="192"&gt;&lt;/a&gt;</t>
  </si>
  <si>
    <t>LUIMAP107</t>
  </si>
  <si>
    <t>國土利用現況調查成果圖107年更新區域&lt;BR&gt;
顏色編碼定義請參考&lt;BR&gt;
&lt;a href="https://maps.nlsc.gov.tw/demo/105RGB色碼表.png" target="_blank" rel="noopener"&gt;&lt;font color=blue&gt;105年「土地利用分類系統表」色碼表&lt;/font&gt;&lt;/a&gt;&lt;a href="https://maps.nlsc.gov.tw/demo/105RGB色碼表.png" target="_blank" rel="noopener"&gt;&lt;img src=https://maps.nlsc.gov.tw/demo/105RGB色碼表.png alt="105年色碼表"  width="192" height="192"&gt;&lt;/a&gt;</t>
  </si>
  <si>
    <t>LUIMAP106</t>
  </si>
  <si>
    <t>國土利用現況調查成果圖106年更新區域&lt;BR&gt;
顏色編碼定義請參考&lt;BR&gt;
&lt;a href="https://maps.nlsc.gov.tw/demo/105RGB色碼表.png" target="_blank" rel="noopener"&gt;&lt;font color=blue&gt;105年「土地利用分類系統表」色碼表&lt;/font&gt;&lt;/a&gt;&lt;a href="https://maps.nlsc.gov.tw/demo/105RGB色碼表.png" target="_blank" rel="noopener"&gt;&lt;img src=https://maps.nlsc.gov.tw/demo/105RGB色碼表.png alt="105年色碼表"  width="192" height="192"&gt; &lt;/a&gt;</t>
  </si>
  <si>
    <t>LUIMAP105</t>
  </si>
  <si>
    <t>國土利用現況調查成果圖105年更新區域&lt;BR&gt;
顏色編碼定義請參考&lt;BR&gt;
&lt;a href="https://maps.nlsc.gov.tw/demo/105RGB色碼表.png" target="_blank" rel="noopener"&gt;&lt;font color=blue&gt;105年「土地利用分類系統表」色碼表&lt;/font&gt;&lt;/a&gt;&lt;a href="https://maps.nlsc.gov.tw/demo/105RGB色碼表.png" target="_blank" rel="noopener"&gt;&lt;img src=https://maps.nlsc.gov.tw/demo/105RGB色碼表.png alt="105年色碼表"  width="192" height="192"&gt; &lt;/a&gt;</t>
  </si>
  <si>
    <t>LUIMAP104</t>
  </si>
  <si>
    <t>國土利用現況調查成果圖104年更新區域&lt;BR&gt;
顏色編碼定義請參考&lt;BR&gt;
&lt;a href="https://maps.nlsc.gov.tw/demo/95RGB色碼表.jpg" target="_blank" rel="noopener"&gt;&lt;font color=blue&gt;95-104年「土地使用分類系統表」色碼表&lt;/font&gt;&lt;/a&gt;&lt;a href="https://maps.nlsc.gov.tw/demo/95RGB色碼表.jpg" target="_blank" rel="noopener"&gt;&lt;img src=https://maps.nlsc.gov.tw/demo/95RGB色碼表.jpg alt="95年色碼表"  width="192" height="192"&gt; &lt;/a&gt;</t>
  </si>
  <si>
    <t>LUIMAP103</t>
  </si>
  <si>
    <t>國土利用現況調查成果圖103年更新區域&lt;BR&gt;
顏色編碼定義請參考&lt;BR&gt;
&lt;a href="https://maps.nlsc.gov.tw/demo/95RGB色碼表.jpg" target="_blank" rel="noopener"&gt;&lt;font color=blue&gt;95-104年「土地使用分類系統表」色碼表&lt;/font&gt;&lt;/a&gt;&lt;a href="https://maps.nlsc.gov.tw/demo/95RGB色碼表.jpg" target="_blank" rel="noopener"&gt;&lt;img src=https://maps.nlsc.gov.tw/demo/95RGB色碼表.jpg alt="95年色碼表"  width="192" height="192"&gt;&lt;/a&gt;</t>
  </si>
  <si>
    <t>LUIMAP102</t>
  </si>
  <si>
    <t>國土利用現況調查成果圖102年更新區域&lt;BR&gt;
顏色編碼定義請參考&lt;BR&gt;
&lt;a href="https://maps.nlsc.gov.tw/demo/95RGB色碼表.jpg" target="_blank" rel="noopener"&gt;&lt;font color=blue&gt;95-104年「土地使用分類系統表」色碼表&lt;/font&gt;&lt;/a&gt;&lt;a href="https://maps.nlsc.gov.tw/demo/95RGB色碼表.jpg" target="_blank" rel="noopener"&gt;&lt;img src=https://maps.nlsc.gov.tw/demo/95RGB色碼表.jpg alt="95年色碼表"  width="192" height="192"&gt;&lt;/a&gt;</t>
  </si>
  <si>
    <t>LUIMAP101</t>
  </si>
  <si>
    <t>國土利用現況調查成果圖101年更新區域&lt;BR&gt;
顏色編碼定義請參考&lt;BR&gt;
&lt;a href="https://maps.nlsc.gov.tw/demo/95RGB色碼表.jpg" target="_blank" rel="noopener"&gt;&lt;font color=blue&gt;95-104年「土地使用分類系統表」色碼表&lt;/font&gt;&lt;/a&gt;&lt;a href="https://maps.nlsc.gov.tw/demo/95RGB色碼表.jpg" target="_blank" rel="noopener"&gt;&lt;img src=https://maps.nlsc.gov.tw/demo/95RGB色碼表.jpg alt="95年色碼表"  width="192" height="192"&gt;&lt;/a&gt;</t>
  </si>
  <si>
    <t>LUIMAP100</t>
  </si>
  <si>
    <t>國土利用現況調查成果圖100年更新區域&lt;BR&gt;
顏色編碼定義請參考&lt;BR&gt;
&lt;a href="https://maps.nlsc.gov.tw/demo/95RGB色碼表.jpg" target="_blank" rel="noopener"&gt;&lt;font color=blue&gt;95-104年「土地使用分類系統表」色碼表&lt;/font&gt;&lt;/a&gt;&lt;a href="https://maps.nlsc.gov.tw/demo/95RGB色碼表.jpg" target="_blank" rel="noopener"&gt;&lt;img src=https://maps.nlsc.gov.tw/demo/95RGB色碼表.jpg alt="95年色碼表"  width="192" height="192"&gt;&lt;/a&gt;</t>
  </si>
  <si>
    <t>LUIMAP09</t>
  </si>
  <si>
    <t>國土利用現況調查-第8類-其他利用土地&lt;BR&gt;114年11月26日更新&lt;BR&gt;
顏色編碼定義請參考&lt;BR&gt;
&lt;a href="https://maps.nlsc.gov.tw/demo/109年版國土利用色碼表.png" target="_blank" rel="noopener"&gt;&lt;font color=blue&gt;109年「土地利用分類系統表」色碼表&lt;/font&gt;&lt;/a&gt;&lt;a href="https://maps.nlsc.gov.tw/demo/109年版國土利用色碼表.png" target="_blank" rel="noopener"&gt;&lt;img src=https://maps.nlsc.gov.tw/demo/109年版國土利用色碼表.png alt="109年色碼表"  width="192" height="192"&gt;&lt;/a&gt;</t>
  </si>
  <si>
    <t>LUIMAP08</t>
  </si>
  <si>
    <t>國土利用現況調查-第8類-礦鹽利用土地&lt;BR&gt;114年11月26日更新&lt;BR&gt;
顏色編碼定義請參考&lt;BR&gt;
&lt;a href="https://maps.nlsc.gov.tw/demo/109年版國土利用色碼表.png" target="_blank" rel="noopener"&gt;&lt;font color=blue&gt;109年「土地利用分類系統表」色碼表&lt;/font&gt;&lt;/a&gt;&lt;a href="https://maps.nlsc.gov.tw/demo/109年版國土利用色碼表.png" target="_blank" rel="noopener"&gt;&lt;img src=https://maps.nlsc.gov.tw/demo/109年版國土利用色碼表.png alt="109年色碼表"  width="192" height="192"&gt;&lt;/a&gt;</t>
  </si>
  <si>
    <t>LUIMAP07</t>
  </si>
  <si>
    <t>國土利用現況調查-第7類-遊憩利用土地&lt;BR&gt;114年11月26日更新&lt;BR&gt;
顏色編碼定義請參考&lt;BR&gt;
&lt;a href="https://maps.nlsc.gov.tw/demo/109年版國土利用色碼表.png" target="_blank" rel="noopener"&gt;&lt;font color=blue&gt;109年「土地利用分類系統表」色碼表&lt;/font&gt;&lt;/a&gt;&lt;a href="https://maps.nlsc.gov.tw/demo/109年版國土利用色碼表.png" target="_blank" rel="noopener"&gt;&lt;img src=https://maps.nlsc.gov.tw/demo/109年版國土利用色碼表.png alt="109年色碼表"  width="192" height="192"&gt;&lt;/a&gt;</t>
  </si>
  <si>
    <t>LUIMAP06</t>
  </si>
  <si>
    <t>國土利用現況調查-第6類-公共利用土地&lt;BR&gt;114年11月26日更新&lt;BR&gt;
顏色編碼定義請參考&lt;BR&gt;
&lt;a href="https://maps.nlsc.gov.tw/demo/109年版國土利用色碼表.png" target="_blank" rel="noopener"&gt;&lt;font color=blue&gt;109年「土地利用分類系統表」色碼表&lt;/font&gt;&lt;/a&gt;&lt;a href="https://maps.nlsc.gov.tw/demo/109年版國土利用色碼表.png" target="_blank" rel="noopener"&gt;&lt;img src=https://maps.nlsc.gov.tw/demo/109年版國土利用色碼表.png alt="109年色碼表"  width="192" height="192"&gt;&lt;/a&gt;</t>
  </si>
  <si>
    <t>LUIMAP05</t>
  </si>
  <si>
    <t>國土利用現況調查-第5類-建築利用土地&lt;BR&gt;114年11月26日更新&lt;BR&gt;
顏色編碼定義請參考&lt;BR&gt;
&lt;a href="https://maps.nlsc.gov.tw/demo/109年版國土利用色碼表.png" target="_blank" rel="noopener"&gt;&lt;font color=blue&gt;109年「土地利用分類系統表」色碼表&lt;/font&gt;&lt;/a&gt;&lt;a href="https://maps.nlsc.gov.tw/demo/109年版國土利用色碼表.png" target="_blank" rel="noopener"&gt;&lt;img src=https://maps.nlsc.gov.tw/demo/109年版國土利用色碼表.png alt="109年色碼表"  width="192" height="192"&gt;&lt;/a&gt;</t>
  </si>
  <si>
    <t>LUIMAP04</t>
  </si>
  <si>
    <t>國土利用現況調查-第4類-水利利用土地&lt;BR&gt;114年11月26日更新&lt;BR&gt;
顏色編碼定義請參考&lt;BR&gt;
&lt;a href="https://maps.nlsc.gov.tw/demo/109年版國土利用色碼表.png" target="_blank" rel="noopener"&gt;&lt;font color=blue&gt;109年「土地利用分類系統表」色碼表&lt;/font&gt;&lt;/a&gt;&lt;a href="https://maps.nlsc.gov.tw/demo/109年版國土利用色碼表.png" target="_blank" rel="noopener"&gt;&lt;img src=https://maps.nlsc.gov.tw/demo/109年版國土利用色碼表.png alt="109年色碼表"  width="192" height="192"&gt;&lt;/a&gt;</t>
  </si>
  <si>
    <t>LUIMAP03</t>
  </si>
  <si>
    <t>國土利用現況調查-第3類-交通利用土地&lt;BR&gt;114年11月26日更新&lt;BR&gt;
顏色編碼定義請參考&lt;BR&gt;
&lt;a href="https://maps.nlsc.gov.tw/demo/109年版國土利用色碼表.png" target="_blank" rel="noopener"&gt;&lt;font color=blue&gt;109年「土地利用分類系統表」色碼表&lt;/font&gt;&lt;/a&gt;&lt;a href="https://maps.nlsc.gov.tw/demo/109年版國土利用色碼表.png" target="_blank" rel="noopener"&gt;&lt;img src=https://maps.nlsc.gov.tw/demo/109年版國土利用色碼表.png alt="109年色碼表"  width="192" height="192"&gt;&lt;/a&gt;</t>
  </si>
  <si>
    <t>LUIMAP02</t>
  </si>
  <si>
    <t>國土利用現況調查-第2類-森林利用土地&lt;BR&gt;114年11月26日更新&lt;BR&gt;
顏色編碼定義請參考&lt;BR&gt;
&lt;a href="https://maps.nlsc.gov.tw/demo/109年版國土利用色碼表.png" target="_blank" rel="noopener"&gt;&lt;font color=blue&gt;109年「土地利用分類系統表」色碼表&lt;/font&gt;&lt;/a&gt;&lt;a href="https://maps.nlsc.gov.tw/demo/109年版國土利用色碼表.png" target="_blank" rel="noopener"&gt;&lt;img src=https://maps.nlsc.gov.tw/demo/109年版國土利用色碼表.png alt="109年色碼表"  width="192" height="192"&gt;&lt;/a&gt;</t>
  </si>
  <si>
    <t>LUIMAP01</t>
  </si>
  <si>
    <t>國土利用現況調查-第1類-農業利用土地&lt;BR&gt;114年11月26日更新&lt;BR&gt;
顏色編碼定義請參考&lt;BR&gt;
&lt;a href="https://maps.nlsc.gov.tw/demo/109年版國土利用色碼表.png" target="_blank" rel="noopener"&gt;&lt;font color=blue&gt;109年「土地利用分類系統表」色碼表&lt;/font&gt;&lt;/a&gt;&lt;a href="https://maps.nlsc.gov.tw/demo/109年版國土利用色碼表.png" target="_blank" rel="noopener"&gt;&lt;img src=https://maps.nlsc.gov.tw/demo/109年版國土利用色碼表.png alt="109年色碼表"  width="192" height="192"&gt;&lt;/a&gt;</t>
  </si>
  <si>
    <t>LUIMAP</t>
  </si>
  <si>
    <t>國土利用現況調查，是將土地利用現況作系統性的分類及統計，其作業方式係運用高解析航遙測影像，配合地籍圖、臺灣通用電子地圖等各式參考圖資及部分外業調查，全面及持續性進行調查土地利用現況變化情形，合理規劃土地利用。因應資源整合，自101年由內政部、行政院農業委員會林務局及水土保持局，劃分權責區域共同維護，內政部負責區域由本中心辦理，持續提供社經建設、國土規劃重要基礎資料。&lt;br&gt;&lt;br&gt;&lt;br&gt;國土利用現況調查分類系統採層級式樹狀結構，共分為3級。95至104年度，為依據內政部95年訂定「土地使用分類系統表」辦理至第3級分類作業，第1級分為9大類，第2級就第1級之劃分再細分41類、第3級則就第2級之架構再分為稻作等103類，均分別給予編碼並闡明第3級分類項目之說明。另為確保國土利用現況調查成果時效性及適用性，行政院將國土利用現況調查更新納入104年9月24日院臺建字第1040050285函核定之「落實智慧國土－國土測繪圖資更新及維運計畫（105－109年）」，自105年度之後提升更新頻率以2年為周期，並依據內政部104年修正並更名之「土地利用分類系統表」，辦理至第2級分類作業，第1級分為9大類，第2級就第1級之劃分再細分57類，由本中心持續辦理國土利用現況調查成果更新維護作業。有關作業詳細說明請參考&lt;a href= https://www.nlsc.gov.tw/cl.aspx?n=13705 target="_blank" rel="noopener"&gt;&lt;font color=blue&gt;國土利用現況調查成果資訊專區&lt;/font&gt;&lt;/a&gt;。&lt;br&gt;&lt;br&gt;&lt;br&gt;【顏色編碼定義如下】&lt;br&gt;&lt;a href="https://maps.nlsc.gov.tw/demo/109年版國土利用色碼表.png" target="_blank" rel="noopener"&gt;&lt;font color=blue&gt;109年「土地利用分類系統表」色碼表→&lt;/font&gt;&lt;/a&gt;&lt;a href="https://maps.nlsc.gov.tw/demo/109年版國土利用色碼表.png" target="_blank" rel="noopener"&gt;&lt;img src=https://maps.nlsc.gov.tw/demo/109年版國土利用色碼表.png alt="109年色碼表"  width="192" height="192"&gt;&lt;/a&gt;&lt;BR&gt;&lt;BR&gt;&lt;a href="https://maps.nlsc.gov.tw/demo/105RGB色碼表.png" target="_blank" rel="noopener"&gt;&lt;font color=blue&gt;105年「土地利用分類系統表」色碼表→&lt;/font&gt;&lt;/a&gt;&lt;a href="https://maps.nlsc.gov.tw/demo/105RGB色碼表.png" target="_blank" rel="noopener"&gt;&lt;img src=https://maps.nlsc.gov.tw/demo/105RGB色碼表.png alt="105年色碼表"  width="192" height="192"&gt;&lt;/a&gt;&lt;br&gt;&lt;br&gt;&lt;a href="https://maps.nlsc.gov.tw/demo/95RGB色碼表.jpg" target="_blank" rel="noopener"&gt;&lt;font color=blue&gt;95-104年「土地使用分類系統表」色碼表→&lt;/font&gt;&lt;/a&gt;&lt;a href="https://maps.nlsc.gov.tw/demo/95RGB色碼表.jpg" target="_blank" rel="noopener"&gt;&lt;img src=https://maps.nlsc.gov.tw/demo/95RGB色碼表.jpg alt="95年色碼表"  width="192" height="192"&gt;&lt;/a&gt;&lt;br&gt;&lt;br&gt;　　本系統展示共通平台可提供選用套疊國土利用現況調查成果圖，並於點選查詢時查得該地的國土利用現況調查成果資料。&lt;BR&gt;&lt;BR&gt;114年11月26日更新</t>
  </si>
  <si>
    <t>LANDSECT2</t>
  </si>
  <si>
    <t>　　本網站所提供之地段外圍圖(段籍圖)，係本中心每年辦理土地段籍資料總檢核作業加值處理地籍圖資料完成之全國各地段屬性資料及地段外圍圖形資料，可供了解各地段辦理地籍測量之背景資訊、形狀及相對位置。
&lt;BR&gt;資料日期：115年1月 &lt;BR&gt;&lt;font color=#0000FF&gt;—段界使用顏色圖例—&lt;/font&gt;&lt;BR&gt;
段名則依分類用不同顏色，定義如下：&lt;BR&gt;
&lt;font color=#0000FF&gt;藍色&lt;/font&gt;—地籍圖重測&lt;/font&gt;&lt;BR&gt;
&lt;font color=red&gt;紅色&lt;/font&gt;—日據時代地籍圖&lt;/font&gt;&lt;BR&gt;
&lt;font color=magenta&gt;洋紅色&lt;/font&gt;—修正測量&lt;BR&gt;
&lt;font color=green&gt;深綠色&lt;/font&gt;—市地重劃&lt;/font&gt;&lt;BR&gt;
&lt;font color=lime&gt;淺綠色&lt;/font&gt;—農地重劃、農村社區重劃&lt;/font&gt;&lt;BR&gt;
&lt;font color=#b2b200&gt;黃色&lt;/font&gt;—國有林班地，解除林班地，國有原野地，原住民保留地&lt;/font&gt;&lt;BR&gt;
&lt;font color=cyan&gt;青色&lt;/font&gt;—工業區整理，區段徵收&lt;BR&gt;
&lt;font color=gray&gt;灰色&lt;/font&gt;—其他（含河川浮覆地、海岸土地測量、海埔新生地）&lt;/font&gt;&lt;BR&gt;</t>
  </si>
  <si>
    <t>LANDSECT</t>
  </si>
  <si>
    <t>　　本網站所提供之地段外圍圖(段籍圖)，係本中心每年辦理土地段籍資料總檢核作業加值處理地籍圖資料完成之全國各地段屬性資料及地段外圍圖形資料，可供了解各地段辦理地籍測量之背景資訊、形狀及相對位置。&lt;BR&gt;資料日期：115年1月 &lt;BR&gt;&lt;font color=#0000FF&gt;—段界使用顏色文字圖例—&lt;/font&gt;</t>
  </si>
  <si>
    <t>LandOpendata</t>
  </si>
  <si>
    <t>LAND_OPENDATA</t>
  </si>
  <si>
    <t>內政部從105年9月已定期發佈「公有土地資料」開放資料(Open Data)，優先開放內政部之國有土地資料，後續將逐步清理開放其他公有土地資料。&lt;br&gt;
&lt;font color="red"&gt;本圖資是依內政部114年8月28日公布公有土地開放資料產製，數量總計約343萬餘筆；資料內容包含土地標示部、土地所有權部、管理者等資訊。&lt;br&gt;&lt;/font&gt;相關資料請參考&lt;a href="https://data.gov.tw/dataset/98062"  target="_blank" rel="noopener"&gt;&lt;font color=blue&gt;內政資料開放平台 公有土地位置資料&lt;/font&gt; &lt;/a&gt;；&lt;a href="https://data.gov.tw/dataset/34315"  target="_blank" rel="noopener"&gt;&lt;font color=blue&gt;公有土地屬性資料&lt;/font&gt; &lt;/a&gt;。&lt;br&gt;
&lt;br&gt;&lt;font color="blue"&gt;本圖資僅揭露土地管理機關「已同意公開」之公有土地，並未涵蓋所有公有土地。&lt;br&gt;（備註：土地管理機關可由「地籍存摺」系統設定是否公開土地資訊）&lt;/font&gt;&lt;br&gt;
&lt;br&gt;&lt;font color="blue"&gt;（依&lt;a href="https://statis.moi.gov.tw/micst/webMain.aspx?sys=100&amp;funid=defjsp" style="color:blue;"&gt;內政部113年統計資料&lt;/a&gt;，全臺公有（含公私共有）土地總數約427萬餘筆。）&lt;/font&gt;</t>
  </si>
  <si>
    <t>LandOffice</t>
  </si>
  <si>
    <t>臺灣地區地政事務所轄區&lt;BR&gt;
圖資日期:110年4月</t>
  </si>
  <si>
    <t>GeoSensitive2</t>
  </si>
  <si>
    <t xml:space="preserve">依據經濟部地質調查及礦業管理中心公開的&lt;a href=https://www.gsmma.gov.tw/nss/p/H001d2 target="_blank" rel="noopener"&gt;&lt;font color=blue&gt;地質敏感區(Geologically sensitive area)資料(111年12月26日)&lt;/font&gt;&lt;/a&gt;，經本中心產製圖磚發布，此圖層僅有山崩與地滑地質敏感區(地質遺跡、活動斷層、地下水補注 3種地質敏感區於另一圖層供套疊)，僅供參考。&lt;br&gt;
如辦理土地使用變更或開發等相關程序，需提出地籍是否位於「地質敏感區」時，請至&lt;a href=https://gsa.gsmma.gov.tw/gwh/gsb97-1/sys_2014b_pg/index.cfm target="_blank" rel="noopener"&gt;&lt;font color=blue&gt;地質敏感區查詢系統&lt;/font&gt;&lt;/a&gt;辦理。&lt;br&gt;
&lt;font color=#00FF00&gt;—地質遺跡 顏色圖例—&lt;/font&gt;&lt;br&gt;
&lt;font color=#FF0000&gt;—活動斷層 顏色圖例—&lt;/font&gt;&lt;br&gt;
&lt;font color=#0000FF&gt;—地下水補注 顏色圖例—&lt;/font&gt;&lt;br&gt;
&lt;font color=#660033&gt;—山崩與地滑 顏色圖例—&lt;/font&gt;
</t>
  </si>
  <si>
    <t>GeoSensitive</t>
  </si>
  <si>
    <t xml:space="preserve">依據經濟部地質調查及礦業管理中心公開的&lt;a href=https://www.gsmma.gov.tw/nss/p/H001d2 target="_blank" rel="noopener"&gt;&lt;font color=blue&gt;地質敏感區(Geologically sensitive area)資料(111年12月26日)&lt;/font&gt;&lt;/a&gt;，經本中心產製圖磚發布，此圖層有地質遺跡、活動斷層、地下水補注 3種地質敏感區(山崩與地滑地質敏感區於另一圖層供套疊)，僅供參考。&lt;br&gt;
如辦理土地使用變更或開發等相關程序，需提出地籍是否位於「地質敏感區」時，請至&lt;a href=https://gsa.gsmma.gov.tw/gwh/gsb97-1/sys_2014b_pg/index.cfm target="_blank" rel="noopener"&gt;&lt;font color=blue&gt;地質敏感區查詢系統&lt;/font&gt;&lt;/a&gt;辦理。&lt;br&gt;
&lt;font color=#00FF00&gt;—地質遺跡 顏色圖例—&lt;/font&gt;&lt;br&gt;
&lt;font color=#FF0000&gt;—活動斷層 顏色圖例—&lt;/font&gt;&lt;br&gt;
&lt;font color=#0000FF&gt;—地下水補注 顏色圖例—&lt;/font&gt;&lt;br&gt;
&lt;font color=#660033&gt;—山崩與地滑 顏色圖例—&lt;/font&gt;
</t>
  </si>
  <si>
    <t>fireplug</t>
  </si>
  <si>
    <t>依據&lt;a href="https://data.gov.tw/dataset/44642" target="_blank" rel="noopener" style="color:blue;"&gt; 台灣自來水股份有限公司&lt;/a&gt;及&lt;a href="https://data.gov.tw/dataset/61587" target="_blank" rel="noopener" style="color:blue;"&gt; 臺北自來水事業處&lt;/a&gt; 於政府資料開放平臺的消防栓開放資料產製</t>
  </si>
  <si>
    <t>EMAPX99</t>
  </si>
  <si>
    <t>EMAP98</t>
  </si>
  <si>
    <t>EMAP97</t>
  </si>
  <si>
    <t>EMAP96</t>
  </si>
  <si>
    <t>臺灣通用電子地圖(高DPI文字)</t>
  </si>
  <si>
    <t>EMAP9</t>
  </si>
  <si>
    <t>EMAP8</t>
  </si>
  <si>
    <t>Taiwan Electronic Map&lt;br&gt;臺灣通用電子地圖英文版</t>
  </si>
  <si>
    <t>EMAP7</t>
  </si>
  <si>
    <t>通用版電子地圖(英文，透明，額外圖層)</t>
  </si>
  <si>
    <t>EMAP6Opendata</t>
  </si>
  <si>
    <t>EMAP6_OPENDATA</t>
  </si>
  <si>
    <t>EMAP6</t>
  </si>
  <si>
    <t>臺灣通用電子地圖不含等高線版</t>
  </si>
  <si>
    <t>EMAP5Opendata</t>
  </si>
  <si>
    <t>EMAP5_OPENDATA</t>
  </si>
  <si>
    <t>EMAP5</t>
  </si>
  <si>
    <t>臺灣通用電子地圖(套疊等高線)版：於初始比例尺至比例尺等級L15(1:18,056)之地形起伏分層設色及等高線資料係採用數值地形模型資料；至比例尺等級L16(1:9,028)至19(1:1128)之等高線及獨立標高點資料係使用五千分之一基本地形圖(105至110年測製)內高程資料所萃取轉製，因部分作業區測製年代相距較大，致相鄰作業區銜接處存有高程資料不一致的現象。為求圖面美觀，針對歷年成果接邊處，採程式自動接合並輔以人工檢核編修方式進行合理順接處理，此外，因部分地區測製年代久遠，圖上所載高程資料可能與現況差異較大。綜上，本系統圖臺上的等高線及標高點資訊僅供參考，請小心謹慎使用。基本地形圖測製年代範圍圖請參考&lt;a href="https://bmap-nlsc.moi.gov.tw/" target="_blank" rel="noopener"&gt;&lt;font color=blue&gt;基本地形圖資料庫分組入口網站&lt;/font&gt;&lt;/a&gt;&lt;br&gt;</t>
  </si>
  <si>
    <t>EMAP3826</t>
  </si>
  <si>
    <t>EMAP3825</t>
  </si>
  <si>
    <t>EMAP2</t>
  </si>
  <si>
    <t>臺灣通用電子地圖向量透明圖層</t>
  </si>
  <si>
    <t>EMAP16</t>
  </si>
  <si>
    <t>臺灣通用電子地圖(不含等高線及門牌)</t>
  </si>
  <si>
    <t>EMAP15</t>
  </si>
  <si>
    <t xml:space="preserve">臺灣通用電子地圖(無門牌號標註) :
臺灣通用電子地圖(套疊等高線)版：於初始比例尺至比例尺等級L15(1:18,056)之地形起伏分層設色及等高線資料係採用數值地形模型資料；至比例尺等級L16(1:9,028)至19(1:1128)之等高線及獨立標高點資料係使用五千分之一基本地形圖(105至110年測製)內高程資料所萃取轉製，因部分作業區測製年代相距較大，致相鄰作業區銜接處存有高程資料不一致的現象。為求圖面美觀，針對歷年成果接邊處，採程式自動接合並輔以人工檢核編修方式進行合理順接處理，此外，因部分地區測製年代久遠，圖上所載高程資料可能與現況差異較大。綜上，本系統圖臺上的等高線及標高點資訊僅供參考，請小心謹慎使用。基本地形圖測製年代範圍圖請參考&lt;a href="https://bmap-nlsc.moi.gov.tw/" target="_blank" rel="noopener"&gt;&lt;font color=blue&gt;基本地形圖資料庫分組入口網站&lt;/font&gt;&lt;/a&gt;&lt;br&gt;
</t>
  </si>
  <si>
    <t>EMAP12</t>
  </si>
  <si>
    <t>臺灣通用電子地圖向量透明圖層(無門牌)</t>
  </si>
  <si>
    <t>EMAP01</t>
  </si>
  <si>
    <t>臺灣通用電子地圖 灰階版</t>
  </si>
  <si>
    <t>EMAP</t>
  </si>
  <si>
    <t>Taiwan Electronic Map&lt;br&gt;臺灣通用電子地圖英文圖台專用 TW_ZH  Version</t>
  </si>
  <si>
    <t>DDEM05</t>
  </si>
  <si>
    <t xml:space="preserve">空載光達數值地形變異分析圖，係前後兩期空載光達數值地形之高程差異分析結果，即將後期「內政部105至111年光達DEM成果」減去前期「地調所99至104年光達成果」，各年度辦理範圍如下圖（點圖可放大）。&lt;br&gt;
&lt;/a&gt;&lt;a href="https://maps.nlsc.gov.tw/demo/DEM各年度辦理範圍.jpg" target="_blank" rel="noopener"&gt;&lt;img src=https://maps.nlsc.gov.tw/demo/DEM各年度辦理範圍.jpg alt="空載光達數值地形成果各年度辦理範圍"  width="305" height="221"&gt;&lt;/a&gt;&lt;br&gt;&lt;br&gt;
本圖資將兩期地形差異小於0.5米之範圍排除後，利用分層設色圖結合陰影方式呈現，以不同顏色表示不同高度差異值。（圖例如下圖）&lt;br&gt;
&lt;/a&gt;&lt;a href="https://maps.nlsc.gov.tw/demo/地形變異圖例.png" target="_blank" rel="noopener"&gt;&lt;img src=https://maps.nlsc.gov.tw/demo/地形變異圖例.png alt="空載光達數值地形變異分析圖圖例"  width="200" height="297"&gt;&lt;/a&gt;&lt;br&gt;&lt;br&gt;
【使用注意事項】&lt;br&gt;&lt;br&gt;
&lt;font color=red&gt;本項地形變異分析圖，僅量化呈現前後兩期光達地形之高程差異，當原始資料受地貌(如植被、建物等)遮蔽，影響地形表現之細緻度時，其差異量可能非實際地形變異，地形變異差異僅供參考，實際差異位置應以實地測量成果為準。&lt;/font&gt;&lt;/a&gt;
</t>
  </si>
  <si>
    <t>ConvenienceStore</t>
  </si>
  <si>
    <t>臺灣通用電子地圖內便利商店(超商)</t>
  </si>
  <si>
    <t>CITY</t>
  </si>
  <si>
    <t>我國各直轄市及縣（市）行政區域界線圖資。</t>
  </si>
  <si>
    <t>BUILDX</t>
  </si>
  <si>
    <t>本項圖資為「全國三維建物模型精進作業」之附屬成果，主要利用地籍圖資、搭配正射影像及門牌等資料，將臺灣通用電子地圖「區塊建物框」進行分棟處理，作為產製全臺三維建物模型之基礎圖資使用。
&lt;br&gt;&lt;br&gt;● &lt;font color=#ff7f00&gt;橘色虛線&lt;/font&gt; 為 &lt;font blod&gt;分棟建物範圍線&lt;/font&gt;
&lt;br&gt;&lt;br&gt;
本項成果之「分棟建物範圍線」僅係參考上述相關圖資繪製而得，並未經實地勘查或測量之作業程序，部分區域分棟建物範圍線與實地有差異，故&lt;font color=red&gt;本項成果僅供參考，不具任何證明效力&lt;/font&gt;。
&lt;br&gt;&lt;br&gt;
本項圖資包含：
&lt;br&gt;&lt;br&gt;(1) 111年版臺灣通用電子地圖加值分棟建物成果，資料範圍：&lt;font color=blue&gt;臺南市及高雄市（部分地區）&lt;/font&gt;。
&lt;br&gt;&lt;br&gt;(2) 112年版臺灣通用電子地圖加值分棟建物成果，資料範圍：&lt;font color=blue&gt;南投縣、彰化縣、雲林縣及嘉義縣&lt;/font&gt;。
&lt;br&gt;&lt;br&gt;(3) 113年版臺灣通用電子地圖加值分棟建物成果，資料範圍：&lt;font color=blue&gt;臺北市、新北市、宜蘭縣、桃園市、新竹縣、苗栗縣、屏東縣、花蓮縣及臺東縣&lt;/font&gt;。</t>
  </si>
  <si>
    <t>B50000</t>
  </si>
  <si>
    <t>五萬分之一經建版地形圖&lt;BR&gt;
110年3月</t>
  </si>
  <si>
    <t>B5000</t>
  </si>
  <si>
    <t>　　1/5,000基本地形圖內容為國土基本狀態之描述，內容包括地貌、地物、地形（高程），為國土資訊系統之核心及廣泛共用之基本底圖，亦為國土規劃、國土保育、防救災、經濟建設等所需基礎資料。臺灣地區五千分之一基本地形圖測製自65年起實施，71年完成，為確保五千分之一基本地形圖圖資與實地現況相符，分別於72至76年、78至83年辦理修測。五千分之一基本地形圖測製作業初期採用類比航空測量方法，為因應航測及資訊科技進步，84年試辦以數值航測法測製，並自86年起全面採數值法測圖，於95年完成臺灣地區數值五千分之一基本地形圖修測，96年度以後仍持續辦理五千分之一基本地形圖修測工作，目前修測工作辦理情形可至NGIS基本地形圖分組網站（&lt;a href="https://bmap-nlsc.moi.gov.tw/" target="_blank" rel="noopener"&gt;https://bmap-nlsc.moi.gov.tw/&lt;/a&gt;）「基本地形圖資料庫」－「基本地形圖」瀏覽參閱。
107年5月</t>
  </si>
  <si>
    <t>B25000</t>
  </si>
  <si>
    <t>二萬五千分之一經建版地形圖&lt;BR&gt;
112年2月</t>
  </si>
  <si>
    <t>B100000</t>
  </si>
  <si>
    <t>十萬分之一經建版地形圖&lt;BR&gt;
110年3月</t>
  </si>
  <si>
    <t>Asrs2025ortho</t>
  </si>
  <si>
    <t>Asrs_2025_ortho</t>
  </si>
  <si>
    <t>馬太鞍溪事件災前航照影像。&lt;br&gt;
&lt;br&gt;
拍攝機關：林業及自然保育署航測及遙測分署。&lt;br&gt;
拍攝時間：2024~2025年。</t>
  </si>
  <si>
    <t>Asrs202511168</t>
  </si>
  <si>
    <t>Asrs_20251116_8</t>
  </si>
  <si>
    <t>馬太鞍溪事件災後航照影像。&lt;br&gt;
&lt;br&gt;
拍攝機關：林業及自然保育署航測及遙測分署。&lt;br&gt;
拍攝時間：2025年11月16日。</t>
  </si>
  <si>
    <t>Asrs202511167</t>
  </si>
  <si>
    <t>Asrs_20251116_7</t>
  </si>
  <si>
    <t>Asrs202511166</t>
  </si>
  <si>
    <t>Asrs_20251116_6</t>
  </si>
  <si>
    <t>Asrs202511165</t>
  </si>
  <si>
    <t>Asrs_20251116_5</t>
  </si>
  <si>
    <t>Asrs202511164</t>
  </si>
  <si>
    <t>Asrs_20251116_4</t>
  </si>
  <si>
    <t>Asrs202511163</t>
  </si>
  <si>
    <t>Asrs_20251116_3</t>
  </si>
  <si>
    <t>Asrs202511162</t>
  </si>
  <si>
    <t>Asrs_20251116_2</t>
  </si>
  <si>
    <t>Asrs202511161</t>
  </si>
  <si>
    <t>Asrs_20251116_1</t>
  </si>
  <si>
    <t>Asrs202510139</t>
  </si>
  <si>
    <t>Asrs_20251013_9</t>
  </si>
  <si>
    <t>馬太鞍溪事件災後航照影像。&lt;br&gt;
&lt;br&gt;
拍攝機關：林業及自然保育署航測及遙測分署。&lt;br&gt;
拍攝時間：2025年10月13日。</t>
  </si>
  <si>
    <t>Asrs202510138</t>
  </si>
  <si>
    <t>Asrs_20251013_8</t>
  </si>
  <si>
    <t>Asrs202510137</t>
  </si>
  <si>
    <t>Asrs_20251013_7</t>
  </si>
  <si>
    <t>Asrs202510136</t>
  </si>
  <si>
    <t>Asrs_20251013_6</t>
  </si>
  <si>
    <t>Asrs202510135</t>
  </si>
  <si>
    <t>Asrs_20251013_5</t>
  </si>
  <si>
    <t>Asrs202510134</t>
  </si>
  <si>
    <t>Asrs_20251013_4</t>
  </si>
  <si>
    <t>Asrs202510133</t>
  </si>
  <si>
    <t>Asrs_20251013_3</t>
  </si>
  <si>
    <t>Asrs202510132</t>
  </si>
  <si>
    <t>Asrs_20251013_2</t>
  </si>
  <si>
    <t>Asrs202510131</t>
  </si>
  <si>
    <t>Asrs_20251013_1</t>
  </si>
  <si>
    <t>Asrs202510073</t>
  </si>
  <si>
    <t>Asrs_20251007_3</t>
  </si>
  <si>
    <t>馬太鞍溪事件災後航照影像。&lt;br&gt;
&lt;br&gt;
拍攝機關：林業及自然保育署航測及遙測分署。&lt;br&gt;
拍攝時間：2025年10月07日。</t>
  </si>
  <si>
    <t>Asrs202510072</t>
  </si>
  <si>
    <t>Asrs_20251007_2</t>
  </si>
  <si>
    <t>Asrs202510071</t>
  </si>
  <si>
    <t>Asrs_20251007_1</t>
  </si>
  <si>
    <t>Asrs202510063</t>
  </si>
  <si>
    <t>Asrs_20251006_3</t>
  </si>
  <si>
    <t>馬太鞍溪事件災後航照影像。&lt;br&gt;
&lt;br&gt;
拍攝機關：林業及自然保育署航測及遙測分署。&lt;br&gt;
拍攝時間：2025年10月06日。</t>
  </si>
  <si>
    <t>Asrs202510062</t>
  </si>
  <si>
    <t>Asrs_20251006_2</t>
  </si>
  <si>
    <t>Asrs202510061</t>
  </si>
  <si>
    <t>Asrs_20251006_1</t>
  </si>
  <si>
    <t>Asrs202510053</t>
  </si>
  <si>
    <t>Asrs_20251005_3</t>
  </si>
  <si>
    <t>馬太鞍溪事件災後航照影像。&lt;br&gt;
&lt;br&gt;
拍攝機關：林業及自然保育署航測及遙測分署。&lt;br&gt;
拍攝時間：2025年10月05日。</t>
  </si>
  <si>
    <t>Asrs202510052</t>
  </si>
  <si>
    <t>Asrs_20251005_2</t>
  </si>
  <si>
    <t>Asrs202510051</t>
  </si>
  <si>
    <t>Asrs_20251005_1</t>
  </si>
  <si>
    <t>Asrs202510043</t>
  </si>
  <si>
    <t>Asrs_20251004_3</t>
  </si>
  <si>
    <t>馬太鞍溪事件災後航照影像。&lt;br&gt;
&lt;br&gt;
拍攝機關：林業及自然保育署航測及遙測分署。&lt;br&gt;
拍攝時間：2025年10月04日。</t>
  </si>
  <si>
    <t>Asrs202510042</t>
  </si>
  <si>
    <t>Asrs_20251004_2</t>
  </si>
  <si>
    <t>Asrs202510041</t>
  </si>
  <si>
    <t>Asrs_20251004_1</t>
  </si>
  <si>
    <t>Asrs202510037</t>
  </si>
  <si>
    <t>Asrs_20251003_7</t>
  </si>
  <si>
    <t>馬太鞍溪事件災後航照影像。&lt;br&gt;
&lt;br&gt;
拍攝機關：林業及自然保育署航測及遙測分署。&lt;br&gt;
拍攝時間：2025年10月03日。</t>
  </si>
  <si>
    <t>Asrs202510036</t>
  </si>
  <si>
    <t>Asrs_20251003_6</t>
  </si>
  <si>
    <t>Asrs202510035</t>
  </si>
  <si>
    <t>Asrs_20251003_5</t>
  </si>
  <si>
    <t>Asrs202510034</t>
  </si>
  <si>
    <t>Asrs_20251003_4</t>
  </si>
  <si>
    <t>Asrs202510033</t>
  </si>
  <si>
    <t>Asrs_20251003_3</t>
  </si>
  <si>
    <t>Asrs202510032</t>
  </si>
  <si>
    <t>Asrs_20251003_2</t>
  </si>
  <si>
    <t>Asrs202510031</t>
  </si>
  <si>
    <t>Asrs_20251003_1</t>
  </si>
  <si>
    <t>Asrs202510023</t>
  </si>
  <si>
    <t>Asrs_20251002_3</t>
  </si>
  <si>
    <t>馬太鞍溪事件災後航照影像。&lt;br&gt;
&lt;br&gt;
拍攝機關：林業及自然保育署航測及遙測分署。&lt;br&gt;
拍攝時間：2025年10月02日。</t>
  </si>
  <si>
    <t>Asrs202510022</t>
  </si>
  <si>
    <t>Asrs_20251002_2</t>
  </si>
  <si>
    <t>Asrs202510021</t>
  </si>
  <si>
    <t>Asrs_20251002_1</t>
  </si>
  <si>
    <t>Asrs202510011</t>
  </si>
  <si>
    <t>Asrs_20251001_1</t>
  </si>
  <si>
    <t>馬太鞍溪事件災後航照影像。&lt;br&gt;
&lt;br&gt;
拍攝機關：林業及自然保育署航測及遙測分署。&lt;br&gt;
拍攝時間：2025年10月01日。</t>
  </si>
  <si>
    <t>Asrs202509302</t>
  </si>
  <si>
    <t>Asrs_20250930_2</t>
  </si>
  <si>
    <t>馬太鞍溪事件災後航照影像。&lt;br&gt;
&lt;br&gt;
拍攝機關：林業及自然保育署航測及遙測分署。&lt;br&gt;
拍攝時間：2025年09月30日。</t>
  </si>
  <si>
    <t>Asrs202509301</t>
  </si>
  <si>
    <t>Asrs_20250930_1</t>
  </si>
  <si>
    <t>Asrs202509292</t>
  </si>
  <si>
    <t>Asrs_20250929_2</t>
  </si>
  <si>
    <t>馬太鞍溪事件災後航照影像。&lt;br&gt;
&lt;br&gt;
拍攝機關：林業及自然保育署航測及遙測分署。&lt;br&gt;
拍攝時間：2025年09月29日。</t>
  </si>
  <si>
    <t>Asrs202509291</t>
  </si>
  <si>
    <t>Asrs_20250929_1</t>
  </si>
  <si>
    <t>Asrs202509282</t>
  </si>
  <si>
    <t>Asrs_20250928_2</t>
  </si>
  <si>
    <t>馬太鞍溪事件災後航照影像。&lt;br&gt;
&lt;br&gt;
拍攝機關：林業及自然保育署航測及遙測分署。&lt;br&gt;
拍攝時間：2025年09月28日。</t>
  </si>
  <si>
    <t>Asrs202509281</t>
  </si>
  <si>
    <t>Asrs_20250928_1</t>
  </si>
  <si>
    <t>Asrs202509273</t>
  </si>
  <si>
    <t>Asrs_20250927_3</t>
  </si>
  <si>
    <t>馬太鞍溪事件災後航照影像。&lt;br&gt;
&lt;br&gt;
拍攝機關：林業及自然保育署航測及遙測分署。&lt;br&gt;
拍攝時間：2025年09月27日。</t>
  </si>
  <si>
    <t>Asrs202509272</t>
  </si>
  <si>
    <t>Asrs_20250927_2</t>
  </si>
  <si>
    <t>Asrs202509271</t>
  </si>
  <si>
    <t>Asrs_20250927_1</t>
  </si>
  <si>
    <t>Asrs202509253</t>
  </si>
  <si>
    <t>Asrs_20250925_3</t>
  </si>
  <si>
    <t>馬太鞍溪事件災後航照影像。&lt;br&gt;
&lt;br&gt;
拍攝機關：林業及自然保育署航測及遙測分署。&lt;br&gt;
拍攝時間：2025年09月25日。</t>
  </si>
  <si>
    <t>Asrs202509252</t>
  </si>
  <si>
    <t>Asrs_20250925_2</t>
  </si>
  <si>
    <t>Asrs202509251</t>
  </si>
  <si>
    <t>Asrs_20250925_1</t>
  </si>
  <si>
    <t>AED</t>
  </si>
  <si>
    <t>依據政府資料開放平臺&lt;a href="https://data.gov.tw/dataset/12063" target="_blank" rel="noopener"&gt;衛生福利部醫事司-公共場所AED位置資訊(109年9月)&lt;/a&gt;開放資料產製</t>
  </si>
  <si>
    <t>wfs.nlsc.gov.tw</t>
  </si>
  <si>
    <t>https://wfs.nlsc.gov.tw/WFS/TOPON1K/TOPON1K_B04</t>
  </si>
  <si>
    <t>https://wfs.nlsc.gov.tw/WFS/TOPON1K/TOPON1K_B11</t>
  </si>
  <si>
    <t>https://wfs.nlsc.gov.tw/WFS/TOPON1K/TOPON1K_B14</t>
  </si>
  <si>
    <t>https://wfs.nlsc.gov.tw/WFS/TOPON1K/TOPON1K_B15</t>
  </si>
  <si>
    <t>https://wfs.nlsc.gov.tw/WFS/TOPON1K/TOPON1K_B20</t>
  </si>
  <si>
    <t>https://wfs.nlsc.gov.tw/WFS/TOPON1K/TOPON1K_B22</t>
  </si>
  <si>
    <t>https://wfs.nlsc.gov.tw/WFS/TOPON1K/TOPON1K_B25</t>
  </si>
  <si>
    <t>https://wfs.nlsc.gov.tw/WFS/TOPON1K/TOPON1K_D03</t>
  </si>
  <si>
    <t>https://wfs.nlsc.gov.tw/WFS/TOPON1K/TOPON1K_D04</t>
  </si>
  <si>
    <t>https://wfs.nlsc.gov.tw/WFS/TOPON1K/TOPON1K_D05</t>
  </si>
  <si>
    <t>https://wfs.nlsc.gov.tw/WFS/TOPON1K/TOPON1K_D08</t>
  </si>
  <si>
    <t>https://wfs.nlsc.gov.tw/WFS/TOPON1K/TOPON1K_D12</t>
  </si>
  <si>
    <t>https://wfs.nlsc.gov.tw/WFS/TOPON1K/TOPON1K_E02</t>
  </si>
  <si>
    <t>https://wfs.nlsc.gov.tw/WFS/TOPON1K/TOPON1K_E03</t>
  </si>
  <si>
    <t>https://wfs.nlsc.gov.tw/WFS/TOPON1K/TOPON1K_E32</t>
  </si>
  <si>
    <t>https://wfs.nlsc.gov.tw/WFS/TOPON1K/TOPON1K_G01</t>
  </si>
  <si>
    <t>https://wfs.nlsc.gov.tw/WFS/TOPON1K/TOPON1K_G04</t>
  </si>
  <si>
    <t>https://wfs.nlsc.gov.tw/WFS/TOPON1K/TOPON1K_G06</t>
  </si>
  <si>
    <t>https://wfs.nlsc.gov.tw/WFS/TOPON1K/TOPON1K_G09</t>
  </si>
  <si>
    <t>https://wfs.nlsc.gov.tw/WFS/TOPON1K/TOPON1K_G11</t>
  </si>
  <si>
    <t>https://wfs.nlsc.gov.tw/WFS/TOPON1K/TOPON1K_G15</t>
  </si>
  <si>
    <t>https://wfs.nlsc.gov.tw/WFS/TOPON1K/TOPON1K_G16</t>
  </si>
  <si>
    <t>https://wfs.nlsc.gov.tw/WFS/TOPON1K/TOPON1K_G17</t>
  </si>
  <si>
    <t>https://wfs.nlsc.gov.tw/WFS/TOPON1K/TOPON1K_G18</t>
  </si>
  <si>
    <t>https://wfs.nlsc.gov.tw/WFS/TOPON1K/TOPON1K_G19</t>
  </si>
  <si>
    <t>https://wfs.nlsc.gov.tw/WFS/TOPON1K/TOPON1K_G20</t>
  </si>
  <si>
    <t>https://wfs.nlsc.gov.tw/WFS/TOPON1K/TOPON1K_H18</t>
  </si>
  <si>
    <t>https://wfs.nlsc.gov.tw/WFS/TOPON1K/TOPON1K_H19</t>
  </si>
  <si>
    <t>https://wfs.nlsc.gov.tw/WFS/TOPON1K/TOPON1K_H20</t>
  </si>
  <si>
    <t>https://wfs.nlsc.gov.tw/WFS/TOPON1K/TOPON1K_H21</t>
  </si>
  <si>
    <t>https://wfs.nlsc.gov.tw/WFS/TOPON1K/TOPON1K_H31</t>
  </si>
  <si>
    <t>https://wfs.nlsc.gov.tw/WFS/TOPON1K/TOPON1K_J01</t>
  </si>
  <si>
    <t>https://wfs.nlsc.gov.tw/WFS/TOPON1K/TOPON1K_J06</t>
  </si>
  <si>
    <t>https://wfs.nlsc.gov.tw/WFS/TOPON1K/TOPON1K_J13</t>
  </si>
  <si>
    <t>https://wfs.nlsc.gov.tw/WFS/TOPON1K/TOPON1K_J16</t>
  </si>
  <si>
    <t>https://wfs.nlsc.gov.tw/WFS/TOPON1K/TOPON1K_J17</t>
  </si>
  <si>
    <t>https://wfs.nlsc.gov.tw/WFS/TOPON1K/TOPON1K_K01</t>
  </si>
  <si>
    <t>https://wfs.nlsc.gov.tw/WFS/TOPON1K/TOPON1K_K02</t>
  </si>
  <si>
    <t>https://wfs.nlsc.gov.tw/WFS/TOPON1K/TOPON1K_K14</t>
  </si>
  <si>
    <t>https://wfs.nlsc.gov.tw/WFS/TOPON1K/TOPON1K_M01</t>
  </si>
  <si>
    <t>https://wfs.nlsc.gov.tw/WFS/TOPON1K/TOPON1K_M02</t>
  </si>
  <si>
    <t>https://wfs.nlsc.gov.tw/WFS/TOPON1K/TOPON1K_M04</t>
  </si>
  <si>
    <t>https://wfs.nlsc.gov.tw/WFS/TOPON1K/TOPON1K_N01</t>
  </si>
  <si>
    <t>https://wfs.nlsc.gov.tw/WFS/TOPON1K/TOPON1K_N02</t>
  </si>
  <si>
    <t>https://wfs.nlsc.gov.tw/WFS/TOPON1K/TOPON1K_P01</t>
  </si>
  <si>
    <t>https://wfs.nlsc.gov.tw/WFS/TOPON1K/TOPON1K_P10</t>
  </si>
  <si>
    <t>https://wfs.nlsc.gov.tw/WFS/TOPON1K/TOPON1K_P12</t>
  </si>
  <si>
    <t>https://wfs.nlsc.gov.tw/WFS/TOPON1K/TOPON1K_P13</t>
  </si>
  <si>
    <t>https://wfs.nlsc.gov.tw/WFS/TOPON1K/TOPON1K_P22</t>
  </si>
  <si>
    <t>https://wfs.nlsc.gov.tw/WFS/TOPON1K/TOPON1K_P24</t>
  </si>
  <si>
    <t>https://wfs.nlsc.gov.tw/WFS/TOPON1K/TOPON1K_P25</t>
  </si>
  <si>
    <t>https://wfs.nlsc.gov.tw/WFS/TOPON1K/TOPON1K_Q02</t>
  </si>
  <si>
    <t>https://wfs.nlsc.gov.tw/WFS/TOPON1K/TOPON1K_Q06</t>
  </si>
  <si>
    <t>https://wfs.nlsc.gov.tw/WFS/TOPON1K/TOPON1K_Q07</t>
  </si>
  <si>
    <t>https://wfs.nlsc.gov.tw/WFS/TOPON1K/TOPON1K_Q19</t>
  </si>
  <si>
    <t>https://wfs.nlsc.gov.tw/WFS/TOPON1K/TOPON1K_Q21</t>
  </si>
  <si>
    <t>https://wfs.nlsc.gov.tw/WFS/TOPON1K/TOPON1K_Q22</t>
  </si>
  <si>
    <t>https://wfs.nlsc.gov.tw/WFS/TOPON1K/TOPON1K_Q26</t>
  </si>
  <si>
    <t>https://wfs.nlsc.gov.tw/WFS/TOPON1K/TOPON1K_Q27</t>
  </si>
  <si>
    <t>https://wfs.nlsc.gov.tw/WFS/TOPON1K/TOPON1K_Q28</t>
  </si>
  <si>
    <t>https://wfs.nlsc.gov.tw/WFS/TOPON1K/TOPON1K_Q29</t>
  </si>
  <si>
    <t>https://wfs.nlsc.gov.tw/WFS/TOPON1K/TOPON1K_Q30</t>
  </si>
  <si>
    <t>https://wfs.nlsc.gov.tw/WFS/TOPON1K/TOPON1K_Q31</t>
  </si>
  <si>
    <t>https://wfs.nlsc.gov.tw/WFS/TOPON1K/TOPON1K_T01</t>
  </si>
  <si>
    <t>https://wfs.nlsc.gov.tw/WFS/TOPON1K/TOPON1K_T03</t>
  </si>
  <si>
    <t>https://wfs.nlsc.gov.tw/WFS/TOPON1K/TOPON1K_T08</t>
  </si>
  <si>
    <t>https://wfs.nlsc.gov.tw/WFS/TOPON1K/TOPON1K_T20</t>
  </si>
  <si>
    <t>https://wfs.nlsc.gov.tw/WFS/TOPON1K/TOPON1K_T30</t>
  </si>
  <si>
    <t>https://wfs.nlsc.gov.tw/WFS/TOPON1K/TOPON1K_U20</t>
  </si>
  <si>
    <t>https://wfs.nlsc.gov.tw/WFS/TOPON1K/TOPON1K_V01</t>
  </si>
  <si>
    <t>https://wfs.nlsc.gov.tw/WFS/TOPON1K/TOPON1K_V02</t>
  </si>
  <si>
    <t>https://wfs.nlsc.gov.tw/WFS/TOPON1K/TOPON1K_X01</t>
  </si>
  <si>
    <t>https://wfs.nlsc.gov.tw/WFS/TOPON1K/TOPON1K_X02</t>
  </si>
  <si>
    <t>https://wfs.nlsc.gov.tw/WFS/TOPON1K/TOPON1K_X03</t>
  </si>
  <si>
    <t>https://wfs.nlsc.gov.tw/WFS/TOPON1K/TOPON1K_X04</t>
  </si>
  <si>
    <t>https://wfs.nlsc.gov.tw/WFS/TOPON1K/TOPON1K_X05</t>
  </si>
  <si>
    <t>https://wfs.nlsc.gov.tw/WFS/TOPON1K/TOPON1K_X06</t>
  </si>
  <si>
    <t>https://wfs.nlsc.gov.tw/WFS/TOPON1K/TOPON1K_X07</t>
  </si>
  <si>
    <t>https://wfs.nlsc.gov.tw/WFS/TOPON1K/TOPON1K_X08</t>
  </si>
  <si>
    <t>LanSect</t>
  </si>
  <si>
    <t>https://wfs.nlsc.gov.tw/WFS/LANDSECT(請光特調整路徑)</t>
  </si>
  <si>
    <t>CadasMapQuery</t>
  </si>
  <si>
    <t>api.nlsc.gov.tw</t>
  </si>
  <si>
    <t>CadasMapPointQuery</t>
  </si>
  <si>
    <t>CadasMerge</t>
  </si>
  <si>
    <t>https://wfs.nlsc.gov.tw/WFS/CADASMERGE(請光特調整路徑)</t>
  </si>
  <si>
    <t>DMAPS</t>
  </si>
  <si>
    <t>landmaps.nlsc.gov.tw</t>
  </si>
  <si>
    <t>&lt;font color=red&gt;【地籍圖套疊結果僅供參考】&lt;/font&gt;&lt;br&gt;
　　現有地籍圖以地段為管理單位，分為圖解法及數值法測量成果兩大類，圖解地籍圖的坐標系統有地籍坐標系統、TWD67坐標系統等，其製圖比例尺有1/500、1/600、1/1000、1/1200、1/3000等且係分圖幅製圖，因此圖幅四邊具有圖廓線。數值法測量成果的坐標系統則有TWD67、TWD97、TWD97[2010]等。本系統 地籍圖 為保留地政事務所原始地籍圖，圖解區以原圖解分幅地段地籍圖原樣提供服務。&lt;br&gt; 　　因地籍圖之測製機關、測繪規範、測製精度及比例尺不同，分別依各地段、各圖幅坐標轉換處理，因此各地段間、各圖幅間存在有接邊問題，且地籍圖與其他圖資套疊結果會有差異，同時本中心地籍圖資料與地政事務所資料存在時間差，因此各種圖資套疊之結果，僅提供空間相對位置參考使用。&lt;font color=red&gt;查詢之地籍資料如涉及土地實際權利界址，應以各地政事務所鑑界為準。&lt;/font&gt;&lt;br&gt;● 地籍圖更新頻率以每月更新為原則。&lt;br&gt;● &lt;font color=#FF00FF&gt;粉紅色線段&lt;/font&gt; 為 &lt;font blod&gt;地籍線&lt;/font&gt;</t>
  </si>
  <si>
    <t>https://landmaps.nlsc.gov.tw/S_Maps/wmts/DMAPS</t>
  </si>
  <si>
    <t>CadasMapPosition_G</t>
  </si>
  <si>
    <t>CadasMapPosition_U</t>
  </si>
  <si>
    <t>CadasMapPosition_W</t>
  </si>
  <si>
    <t>CadasMapPosition_M</t>
  </si>
  <si>
    <t>CadasMapPosition_T</t>
  </si>
  <si>
    <t>CadasMapPosition_K</t>
  </si>
  <si>
    <t>CadasMapPosition_H</t>
  </si>
  <si>
    <t>CadasMapPosition_E</t>
  </si>
  <si>
    <t>CadasMapPosition_C</t>
  </si>
  <si>
    <t>CadasMapPosition_Z</t>
  </si>
  <si>
    <t>CadasMapPosition_P</t>
  </si>
  <si>
    <t>CadasMapPosition_F</t>
  </si>
  <si>
    <t>CadasMapPosition_O</t>
  </si>
  <si>
    <t>CadasMapPosition_J</t>
  </si>
  <si>
    <t>CadasMapPosition_I</t>
  </si>
  <si>
    <t>CadasMapPosition_Q</t>
  </si>
  <si>
    <t>CadasMapPosition_N</t>
  </si>
  <si>
    <t>CadasMapPosition_B</t>
  </si>
  <si>
    <t>CadasMapPosition_A</t>
  </si>
  <si>
    <t>CadasMapPosition_V</t>
  </si>
  <si>
    <t>CadasMapPosition_D</t>
  </si>
  <si>
    <t>CadasMapPosition_X</t>
  </si>
  <si>
    <t>CadasMapImage_G</t>
  </si>
  <si>
    <t>CadasMapImage_U</t>
  </si>
  <si>
    <t>CadasMapImage_W</t>
  </si>
  <si>
    <t>CadasMapImage_M</t>
  </si>
  <si>
    <t>CadasMapImage_T</t>
  </si>
  <si>
    <t>CadasMapImage_K</t>
  </si>
  <si>
    <t>CadasMapImage_H</t>
  </si>
  <si>
    <t>CadasMapImage_E</t>
  </si>
  <si>
    <t>CadasMapImage_C</t>
  </si>
  <si>
    <t>CadasMapImage_Z</t>
  </si>
  <si>
    <t>CadasMapImage_P</t>
  </si>
  <si>
    <t>CadasMapImage_F</t>
  </si>
  <si>
    <t>CadasMapImage_O</t>
  </si>
  <si>
    <t>CadasMapImage_J</t>
  </si>
  <si>
    <t>CadasMapImage_I</t>
  </si>
  <si>
    <t>CadasMapImage_Q</t>
  </si>
  <si>
    <t>CadasMapImage_N</t>
  </si>
  <si>
    <t>CadasMapImage_B</t>
  </si>
  <si>
    <t>CadasMapImage_A</t>
  </si>
  <si>
    <t>CadasMapImage_V</t>
  </si>
  <si>
    <t>CadasMapImage_D</t>
  </si>
  <si>
    <t>CadasMapImage_X</t>
  </si>
  <si>
    <t>GetLandNO</t>
  </si>
  <si>
    <t>GetLandPositionLongitudeLatitude_G</t>
  </si>
  <si>
    <t>GetLandPositionLongitudeLatitude_U</t>
  </si>
  <si>
    <t>GetLandPositionLongitudeLatitude_W</t>
  </si>
  <si>
    <t>GetLandPositionLongitudeLatitude_M</t>
  </si>
  <si>
    <t>GetLandPositionLongitudeLatitude_T</t>
  </si>
  <si>
    <t>GetLandPositionLongitudeLatitude_K</t>
  </si>
  <si>
    <t>GetLandPositionLongitudeLatitude_H</t>
  </si>
  <si>
    <t>GetLandPositionLongitudeLatitude_E</t>
  </si>
  <si>
    <t>GetLandPositionLongitudeLatitude_C</t>
  </si>
  <si>
    <t>GetLandPositionLongitudeLatitude_Z</t>
  </si>
  <si>
    <t>GetLandPositionLongitudeLatitude_P</t>
  </si>
  <si>
    <t>GetLandPositionLongitudeLatitude_F</t>
  </si>
  <si>
    <t>GetLandPositionLongitudeLatitude_O</t>
  </si>
  <si>
    <t>GetLandPositionLongitudeLatitude_J</t>
  </si>
  <si>
    <t>GetLandPositionLongitudeLatitude_I</t>
  </si>
  <si>
    <t>GetLandPositionLongitudeLatitude_Q</t>
  </si>
  <si>
    <t>GetLandPositionLongitudeLatitude_N</t>
  </si>
  <si>
    <t>GetLandPositionLongitudeLatitude_B</t>
  </si>
  <si>
    <t>GetLandPositionLongitudeLatitude_A</t>
  </si>
  <si>
    <t>GetLandPositionLongitudeLatitude_V</t>
  </si>
  <si>
    <t>GetLandPositionLongitudeLatitude_D</t>
  </si>
  <si>
    <t>GetLandPositionLongitudeLatitude_X</t>
  </si>
  <si>
    <t>QryTileMapIndex1</t>
  </si>
  <si>
    <t>https://api.nlsc.gov.tw/S_Maps/qryTileMapIndex?type=2&amp;flag=1&amp;city=B&amp;x=120.634413&amp;y=24.153282</t>
  </si>
  <si>
    <t>QryTileMapIndex2</t>
  </si>
  <si>
    <t>https://api.nlsc.gov.tw/S_Maps/qryTileMapIndex?type=2&amp;flag=2&amp;office=BC&amp;sect=2013&amp;landno=03420000</t>
  </si>
  <si>
    <t>CadasAttrQuery_G</t>
  </si>
  <si>
    <t>CadasAttrQuery_U</t>
  </si>
  <si>
    <t>CadasAttrQuery_W</t>
  </si>
  <si>
    <t>CadasAttrQuery_M</t>
  </si>
  <si>
    <t>CadasAttrQuery_T</t>
  </si>
  <si>
    <t>CadasAttrQuery_K</t>
  </si>
  <si>
    <t>CadasAttrQuery_H</t>
  </si>
  <si>
    <t>CadasAttrQuery_E</t>
  </si>
  <si>
    <t>CadasAttrQuery_C</t>
  </si>
  <si>
    <t>CadasAttrQuery_Z</t>
  </si>
  <si>
    <t>CadasAttrQuery_P</t>
  </si>
  <si>
    <t>CadasAttrQuery_F</t>
  </si>
  <si>
    <t>CadasAttrQuery_O</t>
  </si>
  <si>
    <t>CadasAttrQuery_J</t>
  </si>
  <si>
    <t>CadasAttrQuery_I</t>
  </si>
  <si>
    <t>CadasAttrQuery_Q</t>
  </si>
  <si>
    <t>CadasAttrQuery_N</t>
  </si>
  <si>
    <t>CadasAttrQuery_B</t>
  </si>
  <si>
    <t>CadasAttrQuery_A</t>
  </si>
  <si>
    <t>CadasAttrQuery_V</t>
  </si>
  <si>
    <t>CadasAttrQuery_D</t>
  </si>
  <si>
    <t>CadasAttrQuery_X</t>
  </si>
  <si>
    <t>GetLandSecInfoNlsc_G</t>
  </si>
  <si>
    <t>GetLandSecInfoNlsc_U</t>
  </si>
  <si>
    <t>GetLandSecInfoNlsc_W</t>
  </si>
  <si>
    <t>GetLandSecInfoNlsc_M</t>
  </si>
  <si>
    <t>GetLandSecInfoNlsc_T</t>
  </si>
  <si>
    <t>GetLandSecInfoNlsc_K</t>
  </si>
  <si>
    <t>GetLandSecInfoNlsc_H</t>
  </si>
  <si>
    <t>GetLandSecInfoNlsc_E</t>
  </si>
  <si>
    <t>GetLandSecInfoNlsc_C</t>
  </si>
  <si>
    <t>GetLandSecInfoNlsc_Z</t>
  </si>
  <si>
    <t>GetLandSecInfoNlsc_P</t>
  </si>
  <si>
    <t>GetLandSecInfoNlsc_F</t>
  </si>
  <si>
    <t>GetLandSecInfoNlsc_O</t>
  </si>
  <si>
    <t>GetLandSecInfoNlsc_J</t>
  </si>
  <si>
    <t>GetLandSecInfoNlsc_I</t>
  </si>
  <si>
    <t>GetLandSecInfoNlsc_Q</t>
  </si>
  <si>
    <t>GetLandSecInfoNlsc_N</t>
  </si>
  <si>
    <t>GetLandSecInfoNlsc_B</t>
  </si>
  <si>
    <t>GetLandSecInfoNlsc_A</t>
  </si>
  <si>
    <t>GetLandSecInfoNlsc_V</t>
  </si>
  <si>
    <t>GetLandSecInfoNlsc_D</t>
  </si>
  <si>
    <t>GetLandSecInfoNlsc_X</t>
  </si>
  <si>
    <t>AddressQueryLand</t>
  </si>
  <si>
    <t>CadasLandNoQuery</t>
  </si>
  <si>
    <t>CadasLandInfo_G</t>
  </si>
  <si>
    <t>CadasLandInfo_U</t>
  </si>
  <si>
    <t>CadasLandInfo_W</t>
  </si>
  <si>
    <t>CadasLandInfo_M</t>
  </si>
  <si>
    <t>CadasLandInfo_T</t>
  </si>
  <si>
    <t>CadasLandInfo_K</t>
  </si>
  <si>
    <t>CadasLandInfo_H</t>
  </si>
  <si>
    <t>CadasLandInfo_E</t>
  </si>
  <si>
    <t>CadasLandInfo_C</t>
  </si>
  <si>
    <t>CadasLandInfo_Z</t>
  </si>
  <si>
    <t>CadasLandInfo_P</t>
  </si>
  <si>
    <t>CadasLandInfo_F</t>
  </si>
  <si>
    <t>CadasLandInfo_O</t>
  </si>
  <si>
    <t>CadasLandInfo_J</t>
  </si>
  <si>
    <t>CadasLandInfo_I</t>
  </si>
  <si>
    <t>CadasLandInfo_Q</t>
  </si>
  <si>
    <t>CadasLandInfo_N</t>
  </si>
  <si>
    <t>CadasLandInfo_B</t>
  </si>
  <si>
    <t>CadasLandInfo_A</t>
  </si>
  <si>
    <t>CadasLandInfo_V</t>
  </si>
  <si>
    <t>CadasLandInfo_D</t>
  </si>
  <si>
    <t>CadasLandInfo_X</t>
  </si>
  <si>
    <t>LuiMap</t>
  </si>
  <si>
    <t>https://wfs.nlsc.gov.tw/WFS/LUIMAP(請光特調整路徑)</t>
  </si>
  <si>
    <t>LandUseCompare</t>
  </si>
  <si>
    <t>LandUsePointYears</t>
  </si>
  <si>
    <t>TownVillagePointQuery</t>
  </si>
  <si>
    <t>TownVillagePointQuery1</t>
  </si>
  <si>
    <t>ListCounty</t>
  </si>
  <si>
    <t>ListTown_G</t>
  </si>
  <si>
    <t>ListTown_U</t>
  </si>
  <si>
    <t>ListTown_W</t>
  </si>
  <si>
    <t>ListTown_M</t>
  </si>
  <si>
    <t>ListTown_T</t>
  </si>
  <si>
    <t>ListTown_K</t>
  </si>
  <si>
    <t>ListTown_H</t>
  </si>
  <si>
    <t>ListTown_E</t>
  </si>
  <si>
    <t>ListTown_C</t>
  </si>
  <si>
    <t>ListTown_Z</t>
  </si>
  <si>
    <t>ListTown_P</t>
  </si>
  <si>
    <t>ListTown_F</t>
  </si>
  <si>
    <t>ListTown_O</t>
  </si>
  <si>
    <t>ListTown_J</t>
  </si>
  <si>
    <t>ListTown_I</t>
  </si>
  <si>
    <t>ListTown_Q</t>
  </si>
  <si>
    <t>ListTown_N</t>
  </si>
  <si>
    <t>ListTown_B</t>
  </si>
  <si>
    <t>ListTown_A</t>
  </si>
  <si>
    <t>ListTown_V</t>
  </si>
  <si>
    <t>ListTown_D</t>
  </si>
  <si>
    <t>ListTown_X</t>
  </si>
  <si>
    <t>ListTown1_G</t>
  </si>
  <si>
    <t>ListTown1_U</t>
  </si>
  <si>
    <t>ListTown1_W</t>
  </si>
  <si>
    <t>ListTown1_M</t>
  </si>
  <si>
    <t>ListTown1_T</t>
  </si>
  <si>
    <t>ListTown1_K</t>
  </si>
  <si>
    <t>ListTown1_H</t>
  </si>
  <si>
    <t>ListTown1_E</t>
  </si>
  <si>
    <t>ListTown1_C</t>
  </si>
  <si>
    <t>ListTown1_Z</t>
  </si>
  <si>
    <t>ListTown1_P</t>
  </si>
  <si>
    <t>ListTown1_F</t>
  </si>
  <si>
    <t>ListTown1_O</t>
  </si>
  <si>
    <t>ListTown1_J</t>
  </si>
  <si>
    <t>ListTown1_I</t>
  </si>
  <si>
    <t>ListTown1_Q</t>
  </si>
  <si>
    <t>ListTown1_N</t>
  </si>
  <si>
    <t>ListTown1_B</t>
  </si>
  <si>
    <t>ListTown1_A</t>
  </si>
  <si>
    <t>ListTown1_V</t>
  </si>
  <si>
    <t>ListTown1_D</t>
  </si>
  <si>
    <t>ListTown1_X</t>
  </si>
  <si>
    <t>ListLandSection_G</t>
  </si>
  <si>
    <t>ListLandSection_U</t>
  </si>
  <si>
    <t>ListLandSection_W</t>
  </si>
  <si>
    <t>ListLandSection_M</t>
  </si>
  <si>
    <t>ListLandSection_T</t>
  </si>
  <si>
    <t>ListLandSection_K</t>
  </si>
  <si>
    <t>ListLandSection_H</t>
  </si>
  <si>
    <t>ListLandSection_E</t>
  </si>
  <si>
    <t>ListLandSection_C</t>
  </si>
  <si>
    <t>ListLandSection_Z</t>
  </si>
  <si>
    <t>ListLandSection_P</t>
  </si>
  <si>
    <t>ListLandSection_F</t>
  </si>
  <si>
    <t>ListLandSection_O</t>
  </si>
  <si>
    <t>ListLandSection_J</t>
  </si>
  <si>
    <t>ListLandSection_I</t>
  </si>
  <si>
    <t>ListLandSection_Q</t>
  </si>
  <si>
    <t>ListLandSection_N</t>
  </si>
  <si>
    <t>ListLandSection_B</t>
  </si>
  <si>
    <t>ListLandSection_A</t>
  </si>
  <si>
    <t>ListLandSection_V</t>
  </si>
  <si>
    <t>ListLandSection_D</t>
  </si>
  <si>
    <t>ListLandSection_X</t>
  </si>
  <si>
    <t>ListVillage_G</t>
  </si>
  <si>
    <t>ListVillage_U</t>
  </si>
  <si>
    <t>ListVillage_W</t>
  </si>
  <si>
    <t>ListVillage_M</t>
  </si>
  <si>
    <t>ListVillage_T</t>
  </si>
  <si>
    <t>ListVillage_K</t>
  </si>
  <si>
    <t>ListVillage_H</t>
  </si>
  <si>
    <t>ListVillage_E</t>
  </si>
  <si>
    <t>ListVillage_C</t>
  </si>
  <si>
    <t>ListVillage_Z</t>
  </si>
  <si>
    <t>ListVillage_P</t>
  </si>
  <si>
    <t>ListVillage_F</t>
  </si>
  <si>
    <t>ListVillage_O</t>
  </si>
  <si>
    <t>ListVillage_J</t>
  </si>
  <si>
    <t>ListVillage_I</t>
  </si>
  <si>
    <t>ListVillage_Q</t>
  </si>
  <si>
    <t>ListVillage_N</t>
  </si>
  <si>
    <t>ListVillage_B</t>
  </si>
  <si>
    <t>ListVillage_A</t>
  </si>
  <si>
    <t>ListVillage_V</t>
  </si>
  <si>
    <t>ListVillage_D</t>
  </si>
  <si>
    <t>ListVillage_X</t>
  </si>
  <si>
    <t>GetMapVillage</t>
  </si>
  <si>
    <t>MarkBufferAnlysEdu</t>
  </si>
  <si>
    <t>MarkBufferAnlysMed</t>
  </si>
  <si>
    <t>MarkBufferAnlysBus</t>
  </si>
  <si>
    <t>MarkBufferAnlysDis</t>
  </si>
  <si>
    <t>ListRoadM_G</t>
  </si>
  <si>
    <t>ListRoadM_U</t>
  </si>
  <si>
    <t>ListRoadM_W</t>
  </si>
  <si>
    <t>ListRoadM_M</t>
  </si>
  <si>
    <t>ListRoadM_T</t>
  </si>
  <si>
    <t>ListRoadM_K</t>
  </si>
  <si>
    <t>ListRoadM_H</t>
  </si>
  <si>
    <t>ListRoadM_E</t>
  </si>
  <si>
    <t>ListRoadM_C</t>
  </si>
  <si>
    <t>ListRoadM_Z</t>
  </si>
  <si>
    <t>ListRoadM_P</t>
  </si>
  <si>
    <t>ListRoadM_F</t>
  </si>
  <si>
    <t>ListRoadM_O</t>
  </si>
  <si>
    <t>ListRoadM_J</t>
  </si>
  <si>
    <t>ListRoadM_I</t>
  </si>
  <si>
    <t>ListRoadM_Q</t>
  </si>
  <si>
    <t>ListRoadM_N</t>
  </si>
  <si>
    <t>ListRoadM_B</t>
  </si>
  <si>
    <t>ListRoadM_A</t>
  </si>
  <si>
    <t>ListRoadM_V</t>
  </si>
  <si>
    <t>ListRoadM_D</t>
  </si>
  <si>
    <t>ListRoadM_X</t>
  </si>
  <si>
    <t>TextQueryRoad_G</t>
  </si>
  <si>
    <t>TextQueryRoad_U</t>
  </si>
  <si>
    <t>TextQueryRoad_W</t>
  </si>
  <si>
    <t>TextQueryRoad_M</t>
  </si>
  <si>
    <t>TextQueryRoad_T</t>
  </si>
  <si>
    <t>TextQueryRoad_K</t>
  </si>
  <si>
    <t>TextQueryRoad_H</t>
  </si>
  <si>
    <t>TextQueryRoad_E</t>
  </si>
  <si>
    <t>TextQueryRoad_C</t>
  </si>
  <si>
    <t>TextQueryRoad_Z</t>
  </si>
  <si>
    <t>TextQueryRoad_P</t>
  </si>
  <si>
    <t>TextQueryRoad_F</t>
  </si>
  <si>
    <t>TextQueryRoad_O</t>
  </si>
  <si>
    <t>TextQueryRoad_J</t>
  </si>
  <si>
    <t>TextQueryRoad_I</t>
  </si>
  <si>
    <t>TextQueryRoad_Q</t>
  </si>
  <si>
    <t>TextQueryRoad_N</t>
  </si>
  <si>
    <t>TextQueryRoad_B</t>
  </si>
  <si>
    <t>TextQueryRoad_A</t>
  </si>
  <si>
    <t>TextQueryRoad_V</t>
  </si>
  <si>
    <t>TextQueryRoad_D</t>
  </si>
  <si>
    <t>TextQueryRoad_X</t>
  </si>
  <si>
    <t>ListRoadCross_G</t>
  </si>
  <si>
    <t>ListRoadCross_U</t>
  </si>
  <si>
    <t>ListRoadCross_W</t>
  </si>
  <si>
    <t>ListRoadCross_M</t>
  </si>
  <si>
    <t>ListRoadCross_T</t>
  </si>
  <si>
    <t>ListRoadCross_K</t>
  </si>
  <si>
    <t>ListRoadCross_H</t>
  </si>
  <si>
    <t>ListRoadCross_E</t>
  </si>
  <si>
    <t>ListRoadCross_C</t>
  </si>
  <si>
    <t>ListRoadCross_Z</t>
  </si>
  <si>
    <t>ListRoadCross_P</t>
  </si>
  <si>
    <t>ListRoadCross_F</t>
  </si>
  <si>
    <t>ListRoadCross_O</t>
  </si>
  <si>
    <t>ListRoadCross_J</t>
  </si>
  <si>
    <t>ListRoadCross_I</t>
  </si>
  <si>
    <t>ListRoadCross_Q</t>
  </si>
  <si>
    <t>ListRoadCross_N</t>
  </si>
  <si>
    <t>ListRoadCross_B</t>
  </si>
  <si>
    <t>ListRoadCross_A</t>
  </si>
  <si>
    <t>ListRoadCross_V</t>
  </si>
  <si>
    <t>ListRoadCross_D</t>
  </si>
  <si>
    <t>ListRoadCross_X</t>
  </si>
  <si>
    <t>LandUsePointQuery</t>
  </si>
  <si>
    <t>PBSStatus</t>
  </si>
  <si>
    <t>PBSQueryBuilding</t>
  </si>
  <si>
    <t>PBSTRSelectByPolygon</t>
  </si>
  <si>
    <t>PBSTRSelectByPoint</t>
  </si>
  <si>
    <t>PBSTRSelectByCircle</t>
  </si>
  <si>
    <t>RoutesQueryByDist</t>
  </si>
  <si>
    <t>RoutesQueryByTime</t>
  </si>
  <si>
    <t>RoutesNodes</t>
  </si>
  <si>
    <t>BuildFrame</t>
  </si>
  <si>
    <t>https://wfs.nlsc.gov.tw/WFS/BUILDFRAME(請光特調整路徑)</t>
  </si>
  <si>
    <t>WFS:BUILDFRAME</t>
  </si>
  <si>
    <t>TextQueryMap</t>
  </si>
  <si>
    <t>TextQueryAddress</t>
  </si>
  <si>
    <t>ListRoad_G</t>
  </si>
  <si>
    <t>ListRoad_U</t>
  </si>
  <si>
    <t>ListRoad_W</t>
  </si>
  <si>
    <t>ListRoad_M</t>
  </si>
  <si>
    <t>ListRoad_T</t>
  </si>
  <si>
    <t>ListRoad_K</t>
  </si>
  <si>
    <t>ListRoad_H</t>
  </si>
  <si>
    <t>ListRoad_E</t>
  </si>
  <si>
    <t>ListRoad_C</t>
  </si>
  <si>
    <t>ListRoad_Z</t>
  </si>
  <si>
    <t>ListRoad_P</t>
  </si>
  <si>
    <t>ListRoad_F</t>
  </si>
  <si>
    <t>ListRoad_O</t>
  </si>
  <si>
    <t>ListRoad_J</t>
  </si>
  <si>
    <t>ListRoad_I</t>
  </si>
  <si>
    <t>ListRoad_Q</t>
  </si>
  <si>
    <t>ListRoad_N</t>
  </si>
  <si>
    <t>ListRoad_B</t>
  </si>
  <si>
    <t>ListRoad_A</t>
  </si>
  <si>
    <t>ListRoad_V</t>
  </si>
  <si>
    <t>ListRoad_D</t>
  </si>
  <si>
    <t>ListRoad_X</t>
  </si>
  <si>
    <t>ListRoadLaneAlley_G</t>
  </si>
  <si>
    <t>ListRoadLaneAlley_U</t>
  </si>
  <si>
    <t>ListRoadLaneAlley_W</t>
  </si>
  <si>
    <t>ListRoadLaneAlley_M</t>
  </si>
  <si>
    <t>ListRoadLaneAlley_T</t>
  </si>
  <si>
    <t>ListRoadLaneAlley_K</t>
  </si>
  <si>
    <t>ListRoadLaneAlley_H</t>
  </si>
  <si>
    <t>ListRoadLaneAlley_E</t>
  </si>
  <si>
    <t>ListRoadLaneAlley_C</t>
  </si>
  <si>
    <t>ListRoadLaneAlley_Z</t>
  </si>
  <si>
    <t>ListRoadLaneAlley_P</t>
  </si>
  <si>
    <t>ListRoadLaneAlley_F</t>
  </si>
  <si>
    <t>ListRoadLaneAlley_O</t>
  </si>
  <si>
    <t>ListRoadLaneAlley_J</t>
  </si>
  <si>
    <t>ListRoadLaneAlley_I</t>
  </si>
  <si>
    <t>ListRoadLaneAlley_Q</t>
  </si>
  <si>
    <t>ListRoadLaneAlley_N</t>
  </si>
  <si>
    <t>ListRoadLaneAlley_B</t>
  </si>
  <si>
    <t>ListRoadLaneAlley_A</t>
  </si>
  <si>
    <t>ListRoadLaneAlley_V</t>
  </si>
  <si>
    <t>ListRoadLaneAlley_D</t>
  </si>
  <si>
    <t>ListRoadLaneAlley_X</t>
  </si>
  <si>
    <t>PointQueryAddr</t>
  </si>
  <si>
    <t>LineQueryAddr</t>
  </si>
  <si>
    <t>PolygonQueryAddr</t>
  </si>
  <si>
    <t>排序</t>
  </si>
  <si>
    <t>服務資訊欄位名稱</t>
  </si>
  <si>
    <t>底圖服務類別
適用項目</t>
  </si>
  <si>
    <t>加值服務類別&amp;主題圖資類別適用項目</t>
  </si>
  <si>
    <t>正式運作
資料來源</t>
  </si>
  <si>
    <t>115年第1次上架
(提供檔案EXCEL及OAS文本)</t>
  </si>
  <si>
    <t>顯示資料來源註記</t>
  </si>
  <si>
    <t xml:space="preserve">顯示位置
TGS首頁/空間資訊服務/網路資訊服務 </t>
  </si>
  <si>
    <t xml:space="preserve">顯示位置
TGS首頁/空間資訊服務/服務使用說明/Swagger </t>
  </si>
  <si>
    <t xml:space="preserve">說明 </t>
  </si>
  <si>
    <t>資料型態</t>
  </si>
  <si>
    <t>長度限制</t>
  </si>
  <si>
    <t>必填</t>
  </si>
  <si>
    <t>讀取後臺資料-OAS文本(outbound)-審核後就不異動</t>
  </si>
  <si>
    <t>字串</t>
  </si>
  <si>
    <t>100字元</t>
  </si>
  <si>
    <t>v[主版本號].[次版本號]，如v1.0），v小寫，英數字一律半形。</t>
  </si>
  <si>
    <t>10字元</t>
  </si>
  <si>
    <t>來源端提供網址為自有網址(轉址前,inbound)，服務資訊網址為加TGS網域網址(轉址後，outbound)</t>
  </si>
  <si>
    <t>2000字元</t>
  </si>
  <si>
    <t>陣列</t>
  </si>
  <si>
    <t>不設限</t>
  </si>
  <si>
    <t>物件/陣列</t>
  </si>
  <si>
    <t>指 OpenAPI 規範版本（如 3.1.1），一律半形。</t>
  </si>
  <si>
    <t>OAS文本異動日期</t>
  </si>
  <si>
    <t>讀取後臺資料-OAS文本(outbound)-系統自動產生，依據審核日期填值，不異動</t>
  </si>
  <si>
    <t>中心給OAS文本時間（由資拓從DB設）</t>
  </si>
  <si>
    <t>於後台更新OAS文本時,系統會記錄。</t>
  </si>
  <si>
    <t>日期時間 (timestamp)</t>
  </si>
  <si>
    <t>年-月-日 時:分:秒:微秒</t>
  </si>
  <si>
    <t>OAS文本描述（中）</t>
  </si>
  <si>
    <t>TGS後臺可加工</t>
  </si>
  <si>
    <t>服務描述（中）</t>
  </si>
  <si>
    <t>API內涵蓋多圖層時須說明涵蓋內容(如WMS、WFS、I3S及3D Tiles)。</t>
  </si>
  <si>
    <t>200字元</t>
  </si>
  <si>
    <t>坐標系統</t>
  </si>
  <si>
    <t>選填</t>
  </si>
  <si>
    <t>讀取後臺資料-API資訊自動載入-每周自動更新</t>
  </si>
  <si>
    <t>手動修正及即時API更新</t>
  </si>
  <si>
    <t>EPSG代碼，一律半形。</t>
  </si>
  <si>
    <t>20字元</t>
  </si>
  <si>
    <t>特定地圖服務才有，如國土利用現況調查、都市計畫使用分區。</t>
  </si>
  <si>
    <t>OGC 標準，以布林值表示。True=OGC標準；False=非OGC標準</t>
  </si>
  <si>
    <t>布林值</t>
  </si>
  <si>
    <t>服務分類</t>
  </si>
  <si>
    <t>來源填寫時,需依訂閱網提供之列舉值填寫</t>
  </si>
  <si>
    <t>讀取來源端API路徑-系統自動產生</t>
  </si>
  <si>
    <t>系統判斷詮釋資料API網址給值，系統代碼，服務雲用2dms，多維度平台用3dms</t>
  </si>
  <si>
    <t>50字元</t>
  </si>
  <si>
    <t>提供機關</t>
  </si>
  <si>
    <t>發布服務的機關中文全銜。</t>
  </si>
  <si>
    <t>服務資料更新頻率</t>
  </si>
  <si>
    <t>1=每月、2=不定時</t>
  </si>
  <si>
    <t>整數 (smallint)</t>
  </si>
  <si>
    <t>2 Bytes</t>
  </si>
  <si>
    <t>服務圖資更新日期</t>
  </si>
  <si>
    <t>x-updateTime，後續上架更新使用。來源提供到秒，平臺記錄到秒，搜尋維度可客製到日。</t>
  </si>
  <si>
    <t>OAS文本資訊位置</t>
  </si>
  <si>
    <t>讀取後臺資料-來源OAS文本URL</t>
  </si>
  <si>
    <t>系統自動替換成訂閱網OAS文本</t>
  </si>
  <si>
    <t>存放該 OAS 檔案的URL，一律半形。</t>
  </si>
  <si>
    <t>服務關鍵字</t>
  </si>
  <si>
    <t>多組關鍵字依分號隔開</t>
  </si>
  <si>
    <t>1000字元</t>
  </si>
  <si>
    <t>下圖為顯示位置
TGS首頁/空間資訊服務/網路資訊服務呈現方式</t>
  </si>
  <si>
    <t>10.11.21TGS搜尋標的</t>
  </si>
  <si>
    <t>下圖為顯示位置
TGS首頁/空間資訊服務/服務使用說明/Swagger呈現方式</t>
  </si>
  <si>
    <t>檔案路徑</t>
  </si>
  <si>
    <t>N:\23220嘉頴\服務說明資訊(含OAS文本)\資拓給的資料</t>
  </si>
  <si>
    <t>OAS欄位說明.pptx</t>
  </si>
  <si>
    <t>OAS欄位說明手冊_東霖調整.docx</t>
  </si>
  <si>
    <t>服務資訊欄位_0508-1.xlsx</t>
  </si>
  <si>
    <t>OAS範例檔</t>
  </si>
  <si>
    <t>API是否區分縣市.pptx</t>
  </si>
  <si>
    <t>API_地籍圖_指定坐標查詢_全國</t>
    <phoneticPr fontId="13" type="noConversion"/>
  </si>
  <si>
    <t>API_地籍圖_指定地號查詢_全國</t>
    <phoneticPr fontId="13" type="noConversion"/>
  </si>
  <si>
    <t>addrm</t>
    <phoneticPr fontId="1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</si>
</sst>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4" x14ac:knownFonts="1">
    <font>
      <sz val="12"/>
      <color theme="1"/>
      <name val="新細明體"/>
      <family val="2"/>
      <charset val="136"/>
    </font>
    <font>
      <b/>
      <sz val="12"/>
      <color theme="1"/>
      <name val="新細明體"/>
      <family val="2"/>
      <charset val="136"/>
    </font>
    <font>
      <sz val="14"/>
      <color theme="1"/>
      <name val="微軟正黑體"/>
      <family val="2"/>
      <charset val="136"/>
    </font>
    <font>
      <sz val="12"/>
      <color theme="1"/>
      <name val="微軟正黑體"/>
      <family val="2"/>
      <charset val="136"/>
    </font>
    <font>
      <b/>
      <sz val="12"/>
      <name val="微軟正黑體"/>
      <family val="2"/>
      <charset val="136"/>
    </font>
    <font>
      <sz val="12"/>
      <name val="微軟正黑體"/>
      <family val="2"/>
      <charset val="136"/>
    </font>
    <font>
      <sz val="12"/>
      <color rgb="FFFF0000"/>
      <name val="微軟正黑體"/>
      <family val="2"/>
      <charset val="136"/>
    </font>
    <font>
      <b/>
      <sz val="12"/>
      <color rgb="FFFF0000"/>
      <name val="微軟正黑體"/>
      <family val="2"/>
      <charset val="136"/>
    </font>
    <font>
      <sz val="12"/>
      <color theme="1"/>
      <name val="微軟正黑體"/>
      <family val="2"/>
      <charset val="1"/>
    </font>
    <font>
      <b/>
      <sz val="12"/>
      <color theme="1"/>
      <name val="微軟正黑體"/>
      <family val="2"/>
      <charset val="136"/>
    </font>
    <font>
      <sz val="12"/>
      <color theme="0" tint="-0.34998626667073579"/>
      <name val="微軟正黑體"/>
      <family val="2"/>
      <charset val="136"/>
    </font>
    <font>
      <sz val="12"/>
      <color rgb="FF00B050"/>
      <name val="微軟正黑體"/>
      <family val="2"/>
      <charset val="136"/>
    </font>
    <font>
      <sz val="12"/>
      <color theme="1"/>
      <name val="新細明體"/>
      <family val="2"/>
      <charset val="136"/>
    </font>
    <font>
      <sz val="9"/>
      <name val="新細明體"/>
      <family val="2"/>
      <charset val="136"/>
    </font>
  </fonts>
  <fills count="9">
    <fill>
      <patternFill patternType="none"/>
    </fill>
    <fill>
      <patternFill patternType="gray125"/>
    </fill>
    <fill>
      <patternFill patternType="solid">
        <fgColor theme="4" tint="0.79989013336588644"/>
        <bgColor rgb="FFD9F2D0"/>
      </patternFill>
    </fill>
    <fill>
      <patternFill patternType="solid">
        <fgColor rgb="FFFFFF00"/>
        <bgColor rgb="FFFFFF00"/>
      </patternFill>
    </fill>
    <fill>
      <patternFill patternType="solid">
        <fgColor theme="9" tint="0.79989013336588644"/>
        <bgColor rgb="FFE8E8E8"/>
      </patternFill>
    </fill>
    <fill>
      <patternFill patternType="solid">
        <fgColor theme="0" tint="-4.9989318521683403E-2"/>
        <bgColor rgb="FFE8E8E8"/>
      </patternFill>
    </fill>
    <fill>
      <patternFill patternType="solid">
        <fgColor theme="5" tint="0.79989013336588644"/>
        <bgColor rgb="FFE8E8E8"/>
      </patternFill>
    </fill>
    <fill>
      <patternFill patternType="solid">
        <fgColor theme="0"/>
        <bgColor rgb="FFF2F2F2"/>
      </patternFill>
    </fill>
    <fill>
      <patternFill patternType="solid">
        <fgColor theme="2"/>
        <bgColor rgb="FFF2F2F2"/>
      </patternFill>
    </fill>
  </fills>
  <borders count="4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diagonalDown="1">
      <left style="thin">
        <color auto="1"/>
      </left>
      <right style="thin">
        <color auto="1"/>
      </right>
      <top style="thin">
        <color auto="1"/>
      </top>
      <bottom style="thin">
        <color auto="1"/>
      </bottom>
      <diagonal style="thin">
        <color auto="1"/>
      </diagonal>
    </border>
    <border>
      <left/>
      <right/>
      <top style="thin">
        <color theme="4" tint="0.39988402966399123"/>
      </top>
      <bottom style="thin">
        <color theme="4" tint="0.39988402966399123"/>
      </bottom>
      <diagonal/>
    </border>
    <border diagonalDown="1">
      <left/>
      <right/>
      <top style="thin">
        <color auto="1"/>
      </top>
      <bottom style="thin">
        <color theme="4" tint="0.39988402966399123"/>
      </bottom>
      <diagonal style="thin">
        <color auto="1"/>
      </diagonal>
    </border>
    <border diagonalDown="1">
      <left/>
      <right/>
      <top style="thin">
        <color theme="4" tint="0.39988402966399123"/>
      </top>
      <bottom style="thin">
        <color theme="4" tint="0.39988402966399123"/>
      </bottom>
      <diagonal style="thin">
        <color auto="1"/>
      </diagonal>
    </border>
    <border>
      <left/>
      <right style="thin">
        <color theme="4" tint="0.39988402966399123"/>
      </right>
      <top style="thin">
        <color theme="4" tint="0.39988402966399123"/>
      </top>
      <bottom style="thin">
        <color theme="4" tint="0.39988402966399123"/>
      </bottom>
      <diagonal/>
    </border>
    <border diagonalDown="1">
      <left/>
      <right/>
      <top style="thin">
        <color auto="1"/>
      </top>
      <bottom/>
      <diagonal style="thin">
        <color auto="1"/>
      </diagonal>
    </border>
    <border diagonalDown="1">
      <left/>
      <right/>
      <top/>
      <bottom/>
      <diagonal style="thin">
        <color auto="1"/>
      </diagonal>
    </border>
    <border>
      <left/>
      <right/>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right style="medium">
        <color auto="1"/>
      </right>
      <top/>
      <bottom style="medium">
        <color auto="1"/>
      </bottom>
      <diagonal/>
    </border>
    <border>
      <left/>
      <right/>
      <top style="medium">
        <color auto="1"/>
      </top>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bottom/>
      <diagonal/>
    </border>
    <border>
      <left style="thin">
        <color auto="1"/>
      </left>
      <right style="medium">
        <color auto="1"/>
      </right>
      <top/>
      <bottom/>
      <diagonal/>
    </border>
    <border>
      <left style="thin">
        <color auto="1"/>
      </left>
      <right style="medium">
        <color auto="1"/>
      </right>
      <top/>
      <bottom style="thin">
        <color auto="1"/>
      </bottom>
      <diagonal/>
    </border>
    <border>
      <left style="medium">
        <color auto="1"/>
      </left>
      <right style="thin">
        <color auto="1"/>
      </right>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diagonal/>
    </border>
    <border>
      <left style="thin">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thin">
        <color auto="1"/>
      </right>
      <top/>
      <bottom style="thin">
        <color auto="1"/>
      </bottom>
      <diagonal/>
    </border>
    <border>
      <left style="thin">
        <color auto="1"/>
      </left>
      <right/>
      <top/>
      <bottom style="thin">
        <color auto="1"/>
      </bottom>
      <diagonal/>
    </border>
    <border>
      <left/>
      <right/>
      <top/>
      <bottom style="thin">
        <color auto="1"/>
      </bottom>
      <diagonal/>
    </border>
    <border>
      <left/>
      <right style="medium">
        <color auto="1"/>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style="thin">
        <color auto="1"/>
      </right>
      <top/>
      <bottom/>
      <diagonal/>
    </border>
    <border>
      <left/>
      <right style="thin">
        <color auto="1"/>
      </right>
      <top/>
      <bottom/>
      <diagonal/>
    </border>
    <border>
      <left style="thin">
        <color auto="1"/>
      </left>
      <right style="thin">
        <color auto="1"/>
      </right>
      <top/>
      <bottom style="thin">
        <color auto="1"/>
      </bottom>
      <diagonal/>
    </border>
    <border>
      <left/>
      <right style="thin">
        <color auto="1"/>
      </right>
      <top/>
      <bottom style="thin">
        <color auto="1"/>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style="medium">
        <color auto="1"/>
      </right>
      <top/>
      <bottom style="medium">
        <color auto="1"/>
      </bottom>
      <diagonal/>
    </border>
    <border>
      <left/>
      <right style="thin">
        <color auto="1"/>
      </right>
      <top style="thin">
        <color auto="1"/>
      </top>
      <bottom style="thin">
        <color auto="1"/>
      </bottom>
      <diagonal/>
    </border>
    <border>
      <left/>
      <right/>
      <top style="thin">
        <color auto="1"/>
      </top>
      <bottom style="thin">
        <color auto="1"/>
      </bottom>
      <diagonal/>
    </border>
  </borders>
  <cellStyleXfs count="7">
    <xf numFmtId="0" fontId="0" fillId="0" borderId="0">
      <alignment vertical="center"/>
    </xf>
    <xf numFmtId="0" fontId="1" fillId="0" borderId="0">
      <alignment horizontal="left" vertical="center"/>
    </xf>
    <xf numFmtId="0" fontId="12" fillId="0" borderId="0">
      <alignment vertical="center"/>
    </xf>
    <xf numFmtId="0" fontId="12" fillId="0" borderId="0">
      <alignment vertical="center"/>
    </xf>
    <xf numFmtId="0" fontId="1" fillId="0" borderId="0">
      <alignment vertical="center"/>
    </xf>
    <xf numFmtId="0" fontId="12" fillId="0" borderId="0">
      <alignment vertical="center"/>
    </xf>
    <xf numFmtId="0" fontId="12" fillId="0" borderId="0">
      <alignment horizontal="left" vertical="center"/>
    </xf>
  </cellStyleXfs>
  <cellXfs count="108">
    <xf numFmtId="0" fontId="0" fillId="0" borderId="0" xfId="0">
      <alignment vertical="center"/>
    </xf>
    <xf numFmtId="0" fontId="0" fillId="0" borderId="0" xfId="0" applyAlignment="1">
      <alignment horizontal="left" vertical="center"/>
    </xf>
    <xf numFmtId="0" fontId="2" fillId="0" borderId="1" xfId="0" applyFont="1" applyBorder="1">
      <alignment vertical="center"/>
    </xf>
    <xf numFmtId="0" fontId="0" fillId="0" borderId="1" xfId="0" applyBorder="1">
      <alignment vertical="center"/>
    </xf>
    <xf numFmtId="0" fontId="2" fillId="0" borderId="1" xfId="0" applyFont="1" applyBorder="1" applyAlignment="1">
      <alignment horizontal="left" vertical="center"/>
    </xf>
    <xf numFmtId="0" fontId="2" fillId="2" borderId="1" xfId="0" applyFont="1" applyFill="1" applyBorder="1" applyAlignment="1">
      <alignment horizontal="left" vertical="center" wrapText="1"/>
    </xf>
    <xf numFmtId="0" fontId="2" fillId="3" borderId="1" xfId="0" applyFont="1" applyFill="1" applyBorder="1" applyAlignment="1">
      <alignment horizontal="left" vertical="center" wrapText="1"/>
    </xf>
    <xf numFmtId="0" fontId="2" fillId="0" borderId="0" xfId="0" applyFont="1" applyAlignment="1">
      <alignment horizontal="left" vertical="center"/>
    </xf>
    <xf numFmtId="0" fontId="3" fillId="0" borderId="1" xfId="0" applyFont="1" applyBorder="1" applyAlignment="1">
      <alignment vertical="center" wrapText="1"/>
    </xf>
    <xf numFmtId="0" fontId="4" fillId="4" borderId="2" xfId="0" applyFont="1" applyFill="1" applyBorder="1" applyAlignment="1">
      <alignment vertical="center" wrapText="1"/>
    </xf>
    <xf numFmtId="0" fontId="0" fillId="0" borderId="3" xfId="0" applyBorder="1">
      <alignment vertical="center"/>
    </xf>
    <xf numFmtId="0" fontId="5" fillId="0" borderId="4" xfId="0" applyFont="1" applyBorder="1">
      <alignment vertical="center"/>
    </xf>
    <xf numFmtId="0" fontId="3" fillId="2" borderId="4" xfId="0" applyFont="1" applyFill="1" applyBorder="1">
      <alignment vertical="center"/>
    </xf>
    <xf numFmtId="0" fontId="6" fillId="0" borderId="4" xfId="0" applyFont="1" applyBorder="1">
      <alignment vertical="center"/>
    </xf>
    <xf numFmtId="0" fontId="4" fillId="5" borderId="2" xfId="0" applyFont="1" applyFill="1" applyBorder="1" applyAlignment="1">
      <alignment vertical="center" wrapText="1"/>
    </xf>
    <xf numFmtId="0" fontId="3" fillId="0" borderId="4" xfId="0" applyFont="1" applyBorder="1">
      <alignment vertical="center"/>
    </xf>
    <xf numFmtId="0" fontId="4" fillId="5" borderId="2" xfId="0" applyFont="1" applyFill="1" applyBorder="1" applyAlignment="1">
      <alignment horizontal="left" vertical="center" wrapText="1"/>
    </xf>
    <xf numFmtId="0" fontId="3" fillId="0" borderId="4" xfId="0" applyFont="1" applyBorder="1" applyAlignment="1">
      <alignment horizontal="left" vertical="center"/>
    </xf>
    <xf numFmtId="0" fontId="0" fillId="0" borderId="1" xfId="0" applyBorder="1" applyAlignment="1">
      <alignment horizontal="right" vertical="center" wrapText="1"/>
    </xf>
    <xf numFmtId="0" fontId="3" fillId="0" borderId="5" xfId="0" applyFont="1" applyBorder="1">
      <alignment vertical="center"/>
    </xf>
    <xf numFmtId="0" fontId="3" fillId="0" borderId="6" xfId="0" applyFont="1" applyBorder="1">
      <alignment vertical="center"/>
    </xf>
    <xf numFmtId="0" fontId="0" fillId="0" borderId="1" xfId="0" applyBorder="1" applyAlignment="1">
      <alignment horizontal="right" vertical="center"/>
    </xf>
    <xf numFmtId="0" fontId="7" fillId="0" borderId="1" xfId="0" applyFont="1" applyBorder="1" applyAlignment="1">
      <alignment vertical="center" wrapText="1"/>
    </xf>
    <xf numFmtId="0" fontId="6" fillId="0" borderId="4" xfId="0" applyFont="1" applyBorder="1" applyAlignment="1">
      <alignment vertical="center" wrapText="1"/>
    </xf>
    <xf numFmtId="0" fontId="4" fillId="6" borderId="2" xfId="0" applyFont="1" applyFill="1" applyBorder="1" applyAlignment="1">
      <alignment vertical="center" wrapText="1"/>
    </xf>
    <xf numFmtId="0" fontId="4" fillId="6" borderId="4" xfId="0" applyFont="1" applyFill="1" applyBorder="1" applyAlignment="1">
      <alignment vertical="center" wrapText="1"/>
    </xf>
    <xf numFmtId="0" fontId="3" fillId="0" borderId="7" xfId="0" applyFont="1" applyBorder="1">
      <alignment vertical="center"/>
    </xf>
    <xf numFmtId="0" fontId="0" fillId="0" borderId="0" xfId="0" applyAlignment="1">
      <alignment vertical="center" wrapText="1"/>
    </xf>
    <xf numFmtId="0" fontId="0" fillId="0" borderId="0" xfId="0" applyAlignment="1">
      <alignment horizontal="center" vertical="center" wrapText="1"/>
    </xf>
    <xf numFmtId="0" fontId="3" fillId="0" borderId="0" xfId="0" applyFont="1" applyAlignment="1">
      <alignment vertical="center" wrapText="1"/>
    </xf>
    <xf numFmtId="0" fontId="2" fillId="0" borderId="0" xfId="0" applyFont="1" applyAlignment="1">
      <alignment vertical="center" wrapText="1"/>
    </xf>
    <xf numFmtId="0" fontId="5" fillId="4" borderId="1" xfId="0" applyFont="1" applyFill="1" applyBorder="1" applyAlignment="1">
      <alignment vertical="center" wrapText="1"/>
    </xf>
    <xf numFmtId="0" fontId="5" fillId="5" borderId="1" xfId="0" applyFont="1" applyFill="1" applyBorder="1" applyAlignment="1">
      <alignment vertical="center" wrapText="1"/>
    </xf>
    <xf numFmtId="0" fontId="5" fillId="5" borderId="1" xfId="0" applyFont="1" applyFill="1" applyBorder="1" applyAlignment="1">
      <alignment horizontal="left" vertical="center" wrapText="1"/>
    </xf>
    <xf numFmtId="0" fontId="5" fillId="6" borderId="1" xfId="0" applyFont="1" applyFill="1" applyBorder="1" applyAlignment="1">
      <alignment vertical="center" wrapText="1"/>
    </xf>
    <xf numFmtId="0" fontId="5" fillId="0" borderId="0" xfId="0" applyFont="1" applyAlignment="1">
      <alignment horizontal="center" vertical="center" wrapText="1"/>
    </xf>
    <xf numFmtId="0" fontId="5" fillId="0" borderId="0" xfId="0" applyFont="1" applyAlignment="1">
      <alignment vertical="center" wrapText="1"/>
    </xf>
    <xf numFmtId="0" fontId="5" fillId="0" borderId="8" xfId="0" applyFont="1" applyBorder="1" applyAlignment="1">
      <alignment vertical="center" wrapText="1"/>
    </xf>
    <xf numFmtId="0" fontId="5" fillId="0" borderId="9" xfId="0" applyFont="1" applyBorder="1" applyAlignment="1">
      <alignment vertical="center" wrapText="1"/>
    </xf>
    <xf numFmtId="0" fontId="8" fillId="0" borderId="0" xfId="0" applyFont="1" applyAlignment="1">
      <alignment vertical="center" wrapText="1"/>
    </xf>
    <xf numFmtId="0" fontId="4" fillId="4" borderId="1" xfId="0" applyFont="1" applyFill="1" applyBorder="1" applyAlignment="1">
      <alignment vertical="center" wrapText="1"/>
    </xf>
    <xf numFmtId="0" fontId="4" fillId="5" borderId="1" xfId="0" applyFont="1" applyFill="1" applyBorder="1" applyAlignment="1">
      <alignment vertical="center" wrapText="1"/>
    </xf>
    <xf numFmtId="0" fontId="4" fillId="5" borderId="1" xfId="0" applyFont="1" applyFill="1" applyBorder="1" applyAlignment="1">
      <alignment horizontal="left" vertical="center" wrapText="1"/>
    </xf>
    <xf numFmtId="0" fontId="4" fillId="6" borderId="1" xfId="0" applyFont="1" applyFill="1" applyBorder="1" applyAlignment="1">
      <alignment vertical="center" wrapText="1"/>
    </xf>
    <xf numFmtId="0" fontId="3" fillId="0" borderId="11" xfId="0" applyFont="1" applyBorder="1" applyAlignment="1">
      <alignment vertical="center" wrapText="1"/>
    </xf>
    <xf numFmtId="0" fontId="3" fillId="0" borderId="12" xfId="0" applyFont="1" applyBorder="1" applyAlignment="1">
      <alignment vertical="center" wrapText="1"/>
    </xf>
    <xf numFmtId="0" fontId="3" fillId="0" borderId="13" xfId="0" applyFont="1" applyBorder="1" applyAlignment="1">
      <alignment vertical="center" wrapText="1"/>
    </xf>
    <xf numFmtId="0" fontId="0" fillId="0" borderId="15" xfId="0" applyBorder="1">
      <alignment vertical="center"/>
    </xf>
    <xf numFmtId="0" fontId="0" fillId="0" borderId="16" xfId="0" applyBorder="1">
      <alignment vertical="center"/>
    </xf>
    <xf numFmtId="0" fontId="0" fillId="0" borderId="17" xfId="0" applyBorder="1" applyAlignment="1">
      <alignment horizontal="left" vertical="center"/>
    </xf>
    <xf numFmtId="0" fontId="0" fillId="0" borderId="18" xfId="0" applyBorder="1">
      <alignment vertical="center"/>
    </xf>
    <xf numFmtId="0" fontId="0" fillId="0" borderId="19" xfId="0" applyBorder="1" applyAlignment="1">
      <alignment horizontal="left" vertical="center"/>
    </xf>
    <xf numFmtId="0" fontId="0" fillId="0" borderId="20" xfId="0" applyBorder="1">
      <alignment vertical="center"/>
    </xf>
    <xf numFmtId="0" fontId="0" fillId="0" borderId="21" xfId="0" applyBorder="1">
      <alignment vertical="center"/>
    </xf>
    <xf numFmtId="0" fontId="1" fillId="0" borderId="22" xfId="0" applyFont="1" applyBorder="1" applyAlignment="1">
      <alignment horizontal="left" vertical="center"/>
    </xf>
    <xf numFmtId="0" fontId="1" fillId="0" borderId="23" xfId="0" applyFont="1" applyBorder="1">
      <alignment vertical="center"/>
    </xf>
    <xf numFmtId="0" fontId="3" fillId="0" borderId="0" xfId="0" applyFont="1">
      <alignment vertical="center"/>
    </xf>
    <xf numFmtId="0" fontId="3" fillId="0" borderId="0" xfId="0" applyFont="1" applyAlignment="1">
      <alignment horizontal="left" vertical="center"/>
    </xf>
    <xf numFmtId="0" fontId="2" fillId="0" borderId="1" xfId="0" applyFont="1" applyBorder="1" applyAlignment="1">
      <alignment horizontal="center" vertical="center" wrapText="1"/>
    </xf>
    <xf numFmtId="0" fontId="2" fillId="0" borderId="1" xfId="0" applyFont="1" applyBorder="1" applyAlignment="1">
      <alignment vertical="center" wrapText="1"/>
    </xf>
    <xf numFmtId="0" fontId="3" fillId="0" borderId="1" xfId="0" applyFont="1" applyBorder="1">
      <alignment vertical="center"/>
    </xf>
    <xf numFmtId="0" fontId="3" fillId="0" borderId="1" xfId="0" applyFont="1" applyBorder="1" applyAlignment="1">
      <alignment horizontal="left" vertical="center"/>
    </xf>
    <xf numFmtId="0" fontId="3" fillId="0" borderId="1" xfId="0" applyFont="1" applyBorder="1" applyAlignment="1">
      <alignment horizontal="center" vertical="center"/>
    </xf>
    <xf numFmtId="0" fontId="3" fillId="6" borderId="1" xfId="0" applyFont="1" applyFill="1" applyBorder="1">
      <alignment vertical="center"/>
    </xf>
    <xf numFmtId="0" fontId="2" fillId="0" borderId="0" xfId="0" applyFont="1">
      <alignment vertical="center"/>
    </xf>
    <xf numFmtId="0" fontId="2" fillId="6" borderId="0" xfId="0" applyFont="1" applyFill="1" applyAlignment="1">
      <alignment horizontal="left" vertical="center"/>
    </xf>
    <xf numFmtId="0" fontId="3" fillId="6" borderId="0" xfId="0" applyFont="1" applyFill="1" applyAlignment="1">
      <alignment horizontal="left" vertical="center"/>
    </xf>
    <xf numFmtId="0" fontId="3" fillId="8" borderId="1" xfId="0" applyFont="1" applyFill="1" applyBorder="1">
      <alignment vertical="center"/>
    </xf>
    <xf numFmtId="0" fontId="3" fillId="7" borderId="1" xfId="0" applyFont="1" applyFill="1" applyBorder="1">
      <alignment vertical="center"/>
    </xf>
    <xf numFmtId="0" fontId="0" fillId="0" borderId="24" xfId="0" applyBorder="1">
      <alignment vertical="center"/>
    </xf>
    <xf numFmtId="0" fontId="0" fillId="0" borderId="25" xfId="0" applyBorder="1">
      <alignment vertical="center"/>
    </xf>
    <xf numFmtId="0" fontId="0" fillId="0" borderId="26" xfId="0" applyBorder="1">
      <alignment vertical="center"/>
    </xf>
    <xf numFmtId="0" fontId="0" fillId="0" borderId="27" xfId="0" applyBorder="1">
      <alignment vertical="center"/>
    </xf>
    <xf numFmtId="0" fontId="0" fillId="0" borderId="28" xfId="0" applyBorder="1">
      <alignment vertical="center"/>
    </xf>
    <xf numFmtId="0" fontId="0" fillId="0" borderId="29" xfId="0" applyBorder="1" applyAlignment="1">
      <alignment horizontal="left" vertical="center"/>
    </xf>
    <xf numFmtId="0" fontId="0" fillId="0" borderId="30" xfId="0" applyBorder="1" applyAlignment="1">
      <alignment horizontal="left" vertical="center"/>
    </xf>
    <xf numFmtId="0" fontId="1" fillId="0" borderId="31" xfId="0" applyFont="1" applyBorder="1" applyAlignment="1">
      <alignment horizontal="left" vertical="center"/>
    </xf>
    <xf numFmtId="0" fontId="0" fillId="0" borderId="17" xfId="0" applyBorder="1" applyAlignment="1">
      <alignment horizontal="left" vertical="center" indent="1"/>
    </xf>
    <xf numFmtId="0" fontId="0" fillId="0" borderId="32" xfId="0" applyBorder="1">
      <alignment vertical="center"/>
    </xf>
    <xf numFmtId="0" fontId="0" fillId="0" borderId="33" xfId="0" applyBorder="1">
      <alignment vertical="center"/>
    </xf>
    <xf numFmtId="0" fontId="1" fillId="0" borderId="18" xfId="0" applyFont="1" applyBorder="1">
      <alignment vertical="center"/>
    </xf>
    <xf numFmtId="0" fontId="0" fillId="0" borderId="19" xfId="0" applyBorder="1" applyAlignment="1">
      <alignment horizontal="left" vertical="center" indent="1"/>
    </xf>
    <xf numFmtId="0" fontId="0" fillId="0" borderId="34" xfId="0" applyBorder="1">
      <alignment vertical="center"/>
    </xf>
    <xf numFmtId="0" fontId="0" fillId="0" borderId="35" xfId="0" applyBorder="1">
      <alignment vertical="center"/>
    </xf>
    <xf numFmtId="0" fontId="1" fillId="0" borderId="20" xfId="0" applyFont="1" applyBorder="1">
      <alignment vertical="center"/>
    </xf>
    <xf numFmtId="0" fontId="0" fillId="0" borderId="36" xfId="0" applyBorder="1">
      <alignment vertical="center"/>
    </xf>
    <xf numFmtId="0" fontId="0" fillId="0" borderId="37" xfId="0" applyBorder="1">
      <alignment vertical="center"/>
    </xf>
    <xf numFmtId="0" fontId="1" fillId="0" borderId="21" xfId="0" applyFont="1" applyBorder="1">
      <alignment vertical="center"/>
    </xf>
    <xf numFmtId="0" fontId="0" fillId="0" borderId="38" xfId="0" applyBorder="1">
      <alignment vertical="center"/>
    </xf>
    <xf numFmtId="0" fontId="0" fillId="0" borderId="30" xfId="0" applyBorder="1">
      <alignment vertical="center"/>
    </xf>
    <xf numFmtId="0" fontId="1" fillId="0" borderId="39" xfId="0" applyFont="1" applyBorder="1">
      <alignment vertical="center"/>
    </xf>
    <xf numFmtId="0" fontId="1" fillId="0" borderId="40" xfId="0" applyFont="1" applyBorder="1">
      <alignment vertical="center"/>
    </xf>
    <xf numFmtId="0" fontId="11" fillId="0" borderId="0" xfId="0" applyFont="1" applyAlignment="1">
      <alignment vertical="center" wrapText="1"/>
    </xf>
    <xf numFmtId="0" fontId="11" fillId="0" borderId="0" xfId="0" applyFont="1">
      <alignment vertical="center"/>
    </xf>
    <xf numFmtId="0" fontId="6" fillId="0" borderId="0" xfId="0" applyFont="1" applyAlignment="1">
      <alignment vertical="center" wrapText="1"/>
    </xf>
    <xf numFmtId="0" fontId="9" fillId="0" borderId="0" xfId="0" applyFont="1">
      <alignment vertical="center"/>
    </xf>
    <xf numFmtId="0" fontId="9" fillId="0" borderId="10" xfId="0" applyFont="1" applyBorder="1" applyAlignment="1">
      <alignment horizontal="center" vertical="center"/>
    </xf>
    <xf numFmtId="0" fontId="0" fillId="0" borderId="10" xfId="0" applyBorder="1" applyAlignment="1"/>
    <xf numFmtId="0" fontId="3" fillId="0" borderId="11" xfId="0" applyFont="1" applyBorder="1" applyAlignment="1">
      <alignment vertical="center" wrapText="1"/>
    </xf>
    <xf numFmtId="0" fontId="0" fillId="0" borderId="41" xfId="0" applyBorder="1" applyAlignment="1"/>
    <xf numFmtId="0" fontId="6" fillId="0" borderId="14" xfId="0" applyFont="1" applyBorder="1" applyAlignment="1">
      <alignment horizontal="left" vertical="center" wrapText="1"/>
    </xf>
    <xf numFmtId="0" fontId="0" fillId="0" borderId="14" xfId="0" applyBorder="1" applyAlignment="1"/>
    <xf numFmtId="0" fontId="2" fillId="0" borderId="1" xfId="0" applyFont="1" applyBorder="1" applyAlignment="1">
      <alignment horizontal="center" vertical="center" wrapText="1"/>
    </xf>
    <xf numFmtId="0" fontId="0" fillId="0" borderId="42" xfId="0" applyBorder="1" applyAlignment="1"/>
    <xf numFmtId="0" fontId="2" fillId="7" borderId="1" xfId="0" applyFont="1" applyFill="1" applyBorder="1" applyAlignment="1">
      <alignment horizontal="center" vertical="center" wrapText="1"/>
    </xf>
    <xf numFmtId="0" fontId="0" fillId="0" borderId="36" xfId="0" applyBorder="1" applyAlignment="1"/>
    <xf numFmtId="0" fontId="10" fillId="0" borderId="1" xfId="0" applyFont="1" applyBorder="1" applyAlignment="1">
      <alignment horizontal="center" vertical="center"/>
    </xf>
    <xf numFmtId="0" fontId="0" fillId="0" borderId="43" xfId="0" applyBorder="1" applyAlignment="1"/>
  </cellXfs>
  <cellStyles count="7">
    <cellStyle name="一般" xfId="0" builtinId="0"/>
    <cellStyle name="樞紐分析表的值" xfId="3" xr:uid="{00000000-0005-0000-0000-000008000000}"/>
    <cellStyle name="樞紐分析表結果" xfId="4" xr:uid="{00000000-0005-0000-0000-000009000000}"/>
    <cellStyle name="樞紐分析表標題" xfId="1" xr:uid="{00000000-0005-0000-0000-000006000000}"/>
    <cellStyle name="樞紐分析表邊角" xfId="5" xr:uid="{00000000-0005-0000-0000-00000A000000}"/>
    <cellStyle name="樞紐分析表類別" xfId="6" xr:uid="{00000000-0005-0000-0000-00000B000000}"/>
    <cellStyle name="樞紐分析表欄位" xfId="2" xr:uid="{00000000-0005-0000-0000-000007000000}"/>
  </cellStyles>
  <dxfs count="4">
    <dxf>
      <font>
        <color rgb="FF9C0006"/>
      </font>
      <fill>
        <patternFill>
          <bgColor rgb="FFFFC7CE"/>
        </patternFill>
      </fill>
    </dxf>
    <dxf>
      <numFmt numFmtId="0" formatCode="General"/>
    </dxf>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40226CF1-2557-4E93-A665-3761AE1C359C}">
      <tableStyleElement type="wholeTable" dxfId="3"/>
      <tableStyleElement type="headerRow" dxfId="2"/>
    </tableStyle>
  </tableStyle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2F2F2"/>
      <rgbColor rgb="FFE8E8E8"/>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D9F2D0"/>
      <rgbColor rgb="FFFBE3D6"/>
      <rgbColor rgb="FF99CCFF"/>
      <rgbColor rgb="FFFF99CC"/>
      <rgbColor rgb="FFCC99FF"/>
      <rgbColor rgb="FFFFC7CE"/>
      <rgbColor rgb="FF3366FF"/>
      <rgbColor rgb="FF46B1E1"/>
      <rgbColor rgb="FF99CC00"/>
      <rgbColor rgb="FFFFC000"/>
      <rgbColor rgb="FFFF9900"/>
      <rgbColor rgb="FFFF6600"/>
      <rgbColor rgb="FF666699"/>
      <rgbColor rgb="FFA6A6A6"/>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sara\Downloads\&#36039;&#25299;&#32102;&#30340;&#36039;&#26009;\20260714\20260714\&#26381;&#21209;&#36039;&#35338;&#27396;&#20301;_0707_&#32102;&#36039;&#25299;&#30340;_20260714&#36039;&#25299;&#22238;&#3520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欄位及範例_0715"/>
      <sheetName val="工作表2"/>
      <sheetName val="API清冊0707"/>
      <sheetName val="子系統填寫_空白"/>
      <sheetName val="服務類別"/>
      <sheetName val="參考0_網路服務資訊上架規劃"/>
      <sheetName val="參考1_回傳schem資訊及相關內容"/>
      <sheetName val="參考2_服務標準對照"/>
      <sheetName val="參考3_Swagger Editor驗證說明"/>
      <sheetName val="服務資訊欄位_0609版"/>
      <sheetName val="資拓給的檔案參考"/>
    </sheetNames>
    <sheetDataSet>
      <sheetData sheetId="0"/>
      <sheetData sheetId="1"/>
      <sheetData sheetId="2"/>
      <sheetData sheetId="3"/>
      <sheetData sheetId="4"/>
      <sheetData sheetId="5"/>
      <sheetData sheetId="6"/>
      <sheetData sheetId="7">
        <row r="2">
          <cell r="A2" t="str">
            <v>WMTS</v>
          </cell>
          <cell r="B2" t="str">
            <v>wmts</v>
          </cell>
          <cell r="C2" t="str">
            <v>OGC</v>
          </cell>
        </row>
        <row r="4">
          <cell r="A4" t="str">
            <v>I3S</v>
          </cell>
          <cell r="B4" t="str">
            <v>i3s</v>
          </cell>
          <cell r="C4" t="str">
            <v>OGC</v>
          </cell>
        </row>
      </sheetData>
      <sheetData sheetId="8"/>
      <sheetData sheetId="9"/>
      <sheetData sheetId="10"/>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3" recordCount="1442" xr:uid="{00000000-000A-0000-FFFF-FFFF01000000}">
  <cacheSource type="worksheet">
    <worksheetSource ref="A2:AE1432" sheet="子系統填寫_空白"/>
  </cacheSource>
  <cacheFields count="31">
    <cacheField name="URL" numFmtId="0">
      <sharedItems count="1442">
        <s v="https://3dtiles.nlsc.gov.tw/building/tiles3d/{建物服務代碼}/tileset.json"/>
        <s v="https://3dtiles.nlsc.gov.tw/road/tiles3d/{道路服務代碼}/tileset.json"/>
        <s v="https://3dtiles.nlsc.gov.tw/road2nd/tiles3d/{道路服務代碼}/tileset.json"/>
        <s v="https://api.nlsc.gov.tw/dmaps/CadasAttrQuery/A/{地段代碼}/{地號(8碼或簡式)}"/>
        <s v="https://api.nlsc.gov.tw/dmaps/CadasAttrQuery/B/{地段代碼}/{地號(8碼或簡式)}"/>
        <s v="https://api.nlsc.gov.tw/dmaps/CadasAttrQuery/C/{地段代碼}/{地號(8碼或簡式)}"/>
        <s v="https://api.nlsc.gov.tw/dmaps/CadasAttrQuery/D/{地段代碼}/{地號(8碼或簡式)}"/>
        <s v="https://api.nlsc.gov.tw/dmaps/CadasAttrQuery/E/{地段代碼}/{地號(8碼或簡式)}"/>
        <s v="https://api.nlsc.gov.tw/dmaps/CadasAttrQuery/F/{地段代碼}/{地號(8碼或簡式)}"/>
        <s v="https://api.nlsc.gov.tw/dmaps/CadasAttrQuery/G/{地段代碼}/{地號(8碼或簡式)}"/>
        <s v="https://api.nlsc.gov.tw/dmaps/CadasAttrQuery/H/{地段代碼}/{地號(8碼或簡式)}"/>
        <s v="https://api.nlsc.gov.tw/dmaps/CadasAttrQuery/I/{地段代碼}/{地號(8碼或簡式)}"/>
        <s v="https://api.nlsc.gov.tw/dmaps/CadasAttrQuery/J/{地段代碼}/{地號(8碼或簡式)}"/>
        <s v="https://api.nlsc.gov.tw/dmaps/CadasAttrQuery/K/{地段代碼}/{地號(8碼或簡式)}"/>
        <s v="https://api.nlsc.gov.tw/dmaps/CadasAttrQuery/M/{地段代碼}/{地號(8碼或簡式)}"/>
        <s v="https://api.nlsc.gov.tw/dmaps/CadasAttrQuery/N/{地段代碼}/{地號(8碼或簡式)}"/>
        <s v="https://api.nlsc.gov.tw/dmaps/CadasAttrQuery/O/{地段代碼}/{地號(8碼或簡式)}"/>
        <s v="https://api.nlsc.gov.tw/dmaps/CadasAttrQuery/P/{地段代碼}/{地號(8碼或簡式)}"/>
        <s v="https://api.nlsc.gov.tw/dmaps/CadasAttrQuery/Q/{地段代碼}/{地號(8碼或簡式)}"/>
        <s v="https://api.nlsc.gov.tw/dmaps/CadasAttrQuery/T/{地段代碼}/{地號(8碼或簡式)}"/>
        <s v="https://api.nlsc.gov.tw/dmaps/CadasAttrQuery/U/{地段代碼}/{地號(8碼或簡式)}"/>
        <s v="https://api.nlsc.gov.tw/dmaps/CadasAttrQuery/V/{地段代碼}/{地號(8碼或簡式)}"/>
        <s v="https://api.nlsc.gov.tw/dmaps/CadasAttrQuery/W/{地段代碼}/{地號(8碼或簡式)}"/>
        <s v="https://api.nlsc.gov.tw/dmaps/CadasAttrQuery/X/{地段代碼}/{地號(8碼或簡式)}"/>
        <s v="https://api.nlsc.gov.tw/dmaps/CadasAttrQuery/Z/{地段代碼}/{地號(8碼或簡式)}"/>
        <s v="https://api.nlsc.gov.tw/dmaps/CadasLandInfo/A/{段代碼}/{地號(8碼或簡式)}"/>
        <s v="https://api.nlsc.gov.tw/dmaps/CadasLandInfo/B/{段代碼}/{地號(8碼或簡式)}"/>
        <s v="https://api.nlsc.gov.tw/dmaps/CadasLandInfo/C/{段代碼}/{地號(8碼或簡式)}"/>
        <s v="https://api.nlsc.gov.tw/dmaps/CadasLandInfo/D/{段代碼}/{地號(8碼或簡式)}"/>
        <s v="https://api.nlsc.gov.tw/dmaps/CadasLandInfo/E/{段代碼}/{地號(8碼或簡式)}"/>
        <s v="https://api.nlsc.gov.tw/dmaps/CadasLandInfo/F/{段代碼}/{地號(8碼或簡式)}"/>
        <s v="https://api.nlsc.gov.tw/dmaps/CadasLandInfo/G/{段代碼}/{地號(8碼或簡式)}"/>
        <s v="https://api.nlsc.gov.tw/dmaps/CadasLandInfo/H/{段代碼}/{地號(8碼或簡式)}"/>
        <s v="https://api.nlsc.gov.tw/dmaps/CadasLandInfo/I/{段代碼}/{地號(8碼或簡式)}"/>
        <s v="https://api.nlsc.gov.tw/dmaps/CadasLandInfo/J/{段代碼}/{地號(8碼或簡式)}"/>
        <s v="https://api.nlsc.gov.tw/dmaps/CadasLandInfo/K/{段代碼}/{地號(8碼或簡式)}"/>
        <s v="https://api.nlsc.gov.tw/dmaps/CadasLandInfo/M/{段代碼}/{地號(8碼或簡式)}"/>
        <s v="https://api.nlsc.gov.tw/dmaps/CadasLandInfo/N/{段代碼}/{地號(8碼或簡式)}"/>
        <s v="https://api.nlsc.gov.tw/dmaps/CadasLandInfo/O/{段代碼}/{地號(8碼或簡式)}"/>
        <s v="https://api.nlsc.gov.tw/dmaps/CadasLandInfo/P/{段代碼}/{地號(8碼或簡式)}"/>
        <s v="https://api.nlsc.gov.tw/dmaps/CadasLandInfo/Q/{段代碼}/{地號(8碼或簡式)}"/>
        <s v="https://api.nlsc.gov.tw/dmaps/CadasLandInfo/T/{段代碼}/{地號(8碼或簡式)}"/>
        <s v="https://api.nlsc.gov.tw/dmaps/CadasLandInfo/U/{段代碼}/{地號(8碼或簡式)}"/>
        <s v="https://api.nlsc.gov.tw/dmaps/CadasLandInfo/V/{段代碼}/{地號(8碼或簡式)}"/>
        <s v="https://api.nlsc.gov.tw/dmaps/CadasLandInfo/W/{段代碼}/{地號(8碼或簡式)}"/>
        <s v="https://api.nlsc.gov.tw/dmaps/CadasLandInfo/X/{段代碼}/{地號(8碼或簡式)}"/>
        <s v="https://api.nlsc.gov.tw/dmaps/CadasLandInfo/Z/{段代碼}/{地號(8碼或簡式)}"/>
        <s v="https://api.nlsc.gov.tw/dmaps/CadasLandNoQuery/{多邊形坐標(x1,y1,x2,y2,x3,y3...)}[/坐標類別代碼(4326為預設、3825、3826)/判定方式(預設未填為相交，填WithIn為內含)]"/>
        <s v="https://api.nlsc.gov.tw/dmaps/CadasMapImage/A/{地段代碼}/{地號(8碼)}"/>
        <s v="https://api.nlsc.gov.tw/dmaps/CadasMapImage/B/{地段代碼}/{地號(8碼)}"/>
        <s v="https://api.nlsc.gov.tw/dmaps/CadasMapImage/C/{地段代碼}/{地號(8碼)}"/>
        <s v="https://api.nlsc.gov.tw/dmaps/CadasMapImage/D/{地段代碼}/{地號(8碼)}"/>
        <s v="https://api.nlsc.gov.tw/dmaps/CadasMapImage/E/{地段代碼}/{地號(8碼)}"/>
        <s v="https://api.nlsc.gov.tw/dmaps/CadasMapImage/F/{地段代碼}/{地號(8碼)}"/>
        <s v="https://api.nlsc.gov.tw/dmaps/CadasMapImage/G/{地段代碼}/{地號(8碼)}"/>
        <s v="https://api.nlsc.gov.tw/dmaps/CadasMapImage/H/{地段代碼}/{地號(8碼)}"/>
        <s v="https://api.nlsc.gov.tw/dmaps/CadasMapImage/I/{地段代碼}/{地號(8碼)}"/>
        <s v="https://api.nlsc.gov.tw/dmaps/CadasMapImage/J/{地段代碼}/{地號(8碼)}"/>
        <s v="https://api.nlsc.gov.tw/dmaps/CadasMapImage/K/{地段代碼}/{地號(8碼)}"/>
        <s v="https://api.nlsc.gov.tw/dmaps/CadasMapImage/M/{地段代碼}/{地號(8碼)}"/>
        <s v="https://api.nlsc.gov.tw/dmaps/CadasMapImage/N/{地段代碼}/{地號(8碼)}"/>
        <s v="https://api.nlsc.gov.tw/dmaps/CadasMapImage/O/{地段代碼}/{地號(8碼)}"/>
        <s v="https://api.nlsc.gov.tw/dmaps/CadasMapImage/P/{地段代碼}/{地號(8碼)}"/>
        <s v="https://api.nlsc.gov.tw/dmaps/CadasMapImage/Q/{地段代碼}/{地號(8碼)}"/>
        <s v="https://api.nlsc.gov.tw/dmaps/CadasMapImage/T/{地段代碼}/{地號(8碼)}"/>
        <s v="https://api.nlsc.gov.tw/dmaps/CadasMapImage/U/{地段代碼}/{地號(8碼)}"/>
        <s v="https://api.nlsc.gov.tw/dmaps/CadasMapImage/V/{地段代碼}/{地號(8碼)}"/>
        <s v="https://api.nlsc.gov.tw/dmaps/CadasMapImage/W/{地段代碼}/{地號(8碼)}"/>
        <s v="https://api.nlsc.gov.tw/dmaps/CadasMapImage/X/{地段代碼}/{地號(8碼)}"/>
        <s v="https://api.nlsc.gov.tw/dmaps/CadasMapImage/Z/{地段代碼}/{地號(8碼)}"/>
        <s v="https://api.nlsc.gov.tw/dmaps/CadasMapPointQuery/{X坐標}/{Y坐標}[/坐標類別代碼(4326、3826，預設將使用經緯度)/檔案格式(GML,KML,SHP)]"/>
        <s v="https://api.nlsc.gov.tw/dmaps/CadasMapPosition/A/{地段代碼}/{地號(8碼)}[/坐標類別代碼(4326、3826，預設將使用經緯度)]"/>
        <s v="https://api.nlsc.gov.tw/dmaps/CadasMapPosition/B/{地段代碼}/{地號(8碼)}[/坐標類別代碼(4326、3826，預設將使用經緯度)]"/>
        <s v="https://api.nlsc.gov.tw/dmaps/CadasMapPosition/C/{地段代碼}/{地號(8碼)}[/坐標類別代碼(4326、3826，預設將使用經緯度)]"/>
        <s v="https://api.nlsc.gov.tw/dmaps/CadasMapPosition/D/{地段代碼}/{地號(8碼)}[/坐標類別代碼(4326、3826，預設將使用經緯度)]"/>
        <s v="https://api.nlsc.gov.tw/dmaps/CadasMapPosition/E/{地段代碼}/{地號(8碼)}[/坐標類別代碼(4326、3826，預設將使用經緯度)]"/>
        <s v="https://api.nlsc.gov.tw/dmaps/CadasMapPosition/F/{地段代碼}/{地號(8碼)}[/坐標類別代碼(4326、3826，預設將使用經緯度)]"/>
        <s v="https://api.nlsc.gov.tw/dmaps/CadasMapPosition/G/{地段代碼}/{地號(8碼)}[/坐標類別代碼(4326、3826，預設將使用經緯度)]"/>
        <s v="https://api.nlsc.gov.tw/dmaps/CadasMapPosition/H/{地段代碼}/{地號(8碼)}[/坐標類別代碼(4326、3826，預設將使用經緯度)]"/>
        <s v="https://api.nlsc.gov.tw/dmaps/CadasMapPosition/I/{地段代碼}/{地號(8碼)}[/坐標類別代碼(4326、3826，預設將使用經緯度)]"/>
        <s v="https://api.nlsc.gov.tw/dmaps/CadasMapPosition/J/{地段代碼}/{地號(8碼)}[/坐標類別代碼(4326、3826，預設將使用經緯度)]"/>
        <s v="https://api.nlsc.gov.tw/dmaps/CadasMapPosition/K/{地段代碼}/{地號(8碼)}[/坐標類別代碼(4326、3826，預設將使用經緯度)]"/>
        <s v="https://api.nlsc.gov.tw/dmaps/CadasMapPosition/M/{地段代碼}/{地號(8碼)}[/坐標類別代碼(4326、3826，預設將使用經緯度)]"/>
        <s v="https://api.nlsc.gov.tw/dmaps/CadasMapPosition/N/{地段代碼}/{地號(8碼)}[/坐標類別代碼(4326、3826，預設將使用經緯度)]"/>
        <s v="https://api.nlsc.gov.tw/dmaps/CadasMapPosition/O/{地段代碼}/{地號(8碼)}[/坐標類別代碼(4326、3826，預設將使用經緯度)]"/>
        <s v="https://api.nlsc.gov.tw/dmaps/CadasMapPosition/P/{地段代碼}/{地號(8碼)}[/坐標類別代碼(4326、3826，預設將使用經緯度)]"/>
        <s v="https://api.nlsc.gov.tw/dmaps/CadasMapPosition/Q/{地段代碼}/{地號(8碼)}[/坐標類別代碼(4326、3826，預設將使用經緯度)]"/>
        <s v="https://api.nlsc.gov.tw/dmaps/CadasMapPosition/T/{地段代碼}/{地號(8碼)}[/坐標類別代碼(4326、3826，預設將使用經緯度)]"/>
        <s v="https://api.nlsc.gov.tw/dmaps/CadasMapPosition/U/{地段代碼}/{地號(8碼)}[/坐標類別代碼(4326、3826，預設將使用經緯度)]"/>
        <s v="https://api.nlsc.gov.tw/dmaps/CadasMapPosition/V/{地段代碼}/{地號(8碼)}[/坐標類別代碼(4326、3826，預設將使用經緯度)]"/>
        <s v="https://api.nlsc.gov.tw/dmaps/CadasMapPosition/W/{地段代碼}/{地號(8碼)}[/坐標類別代碼(4326、3826，預設將使用經緯度)]"/>
        <s v="https://api.nlsc.gov.tw/dmaps/CadasMapPosition/X/{地段代碼}/{地號(8碼)}[/坐標類別代碼(4326、3826，預設將使用經緯度)]"/>
        <s v="https://api.nlsc.gov.tw/dmaps/CadasMapPosition/Z/{地段代碼}/{地號(8碼)}[/坐標類別代碼(4326、3826，預設將使用經緯度)]"/>
        <s v="https://api.nlsc.gov.tw/dmaps/CadasMapQuery/{縣市代碼}/{地段代碼}[/地號(8碼)/檔案格式(gml, kml, shp)/坐標類別代碼(4326、3826，預設將使用經緯度)]"/>
        <s v="https://api.nlsc.gov.tw/idc/AddressQueryLand/{搜尋字串}[/回傳數量(預設為1)]"/>
        <s v="https://api.nlsc.gov.tw/idc/LineQueryAddr"/>
        <s v="https://api.nlsc.gov.tw/idc/ListRoad/A/{鄉鎮市區代碼-地政}"/>
        <s v="https://api.nlsc.gov.tw/idc/ListRoad/B/{鄉鎮市區代碼-地政}"/>
        <s v="https://api.nlsc.gov.tw/idc/ListRoad/C/{鄉鎮市區代碼-地政}"/>
        <s v="https://api.nlsc.gov.tw/idc/ListRoad/D/{鄉鎮市區代碼-地政}"/>
        <s v="https://api.nlsc.gov.tw/idc/ListRoad/E/{鄉鎮市區代碼-地政}"/>
        <s v="https://api.nlsc.gov.tw/idc/ListRoad/F/{鄉鎮市區代碼-地政}"/>
        <s v="https://api.nlsc.gov.tw/idc/ListRoad/G/{鄉鎮市區代碼-地政}"/>
        <s v="https://api.nlsc.gov.tw/idc/ListRoad/H/{鄉鎮市區代碼-地政}"/>
        <s v="https://api.nlsc.gov.tw/idc/ListRoad/I/{鄉鎮市區代碼-地政}"/>
        <s v="https://api.nlsc.gov.tw/idc/ListRoad/J/{鄉鎮市區代碼-地政}"/>
        <s v="https://api.nlsc.gov.tw/idc/ListRoad/K/{鄉鎮市區代碼-地政}"/>
        <s v="https://api.nlsc.gov.tw/idc/ListRoad/M/{鄉鎮市區代碼-地政}"/>
        <s v="https://api.nlsc.gov.tw/idc/ListRoad/N/{鄉鎮市區代碼-地政}"/>
        <s v="https://api.nlsc.gov.tw/idc/ListRoad/O/{鄉鎮市區代碼-地政}"/>
        <s v="https://api.nlsc.gov.tw/idc/ListRoad/P/{鄉鎮市區代碼-地政}"/>
        <s v="https://api.nlsc.gov.tw/idc/ListRoad/Q/{鄉鎮市區代碼-地政}"/>
        <s v="https://api.nlsc.gov.tw/idc/ListRoad/T/{鄉鎮市區代碼-地政}"/>
        <s v="https://api.nlsc.gov.tw/idc/ListRoad/U/{鄉鎮市區代碼-地政}"/>
        <s v="https://api.nlsc.gov.tw/idc/ListRoad/V/{鄉鎮市區代碼-地政}"/>
        <s v="https://api.nlsc.gov.tw/idc/ListRoad/W/{鄉鎮市區代碼-地政}"/>
        <s v="https://api.nlsc.gov.tw/idc/ListRoad/X/{鄉鎮市區代碼-地政}"/>
        <s v="https://api.nlsc.gov.tw/idc/ListRoad/Z/{鄉鎮市區代碼-地政}"/>
        <s v="https://api.nlsc.gov.tw/idc/ListRoadCross/A/{鄉鎮市區代碼-地政}/{主要道路名稱}"/>
        <s v="https://api.nlsc.gov.tw/idc/ListRoadCross/B/{鄉鎮市區代碼-地政}/{主要道路名稱}"/>
        <s v="https://api.nlsc.gov.tw/idc/ListRoadCross/C/{鄉鎮市區代碼-地政}/{主要道路名稱}"/>
        <s v="https://api.nlsc.gov.tw/idc/ListRoadCross/D/{鄉鎮市區代碼-地政}/{主要道路名稱}"/>
        <s v="https://api.nlsc.gov.tw/idc/ListRoadCross/E/{鄉鎮市區代碼-地政}/{主要道路名稱}"/>
        <s v="https://api.nlsc.gov.tw/idc/ListRoadCross/F/{鄉鎮市區代碼-地政}/{主要道路名稱}"/>
        <s v="https://api.nlsc.gov.tw/idc/ListRoadCross/G/{鄉鎮市區代碼-地政}/{主要道路名稱}"/>
        <s v="https://api.nlsc.gov.tw/idc/ListRoadCross/H/{鄉鎮市區代碼-地政}/{主要道路名稱}"/>
        <s v="https://api.nlsc.gov.tw/idc/ListRoadCross/I/{鄉鎮市區代碼-地政}/{主要道路名稱}"/>
        <s v="https://api.nlsc.gov.tw/idc/ListRoadCross/J/{鄉鎮市區代碼-地政}/{主要道路名稱}"/>
        <s v="https://api.nlsc.gov.tw/idc/ListRoadCross/K/{鄉鎮市區代碼-地政}/{主要道路名稱}"/>
        <s v="https://api.nlsc.gov.tw/idc/ListRoadCross/M/{鄉鎮市區代碼-地政}/{主要道路名稱}"/>
        <s v="https://api.nlsc.gov.tw/idc/ListRoadCross/N/{鄉鎮市區代碼-地政}/{主要道路名稱}"/>
        <s v="https://api.nlsc.gov.tw/idc/ListRoadCross/O/{鄉鎮市區代碼-地政}/{主要道路名稱}"/>
        <s v="https://api.nlsc.gov.tw/idc/ListRoadCross/P/{鄉鎮市區代碼-地政}/{主要道路名稱}"/>
        <s v="https://api.nlsc.gov.tw/idc/ListRoadCross/Q/{鄉鎮市區代碼-地政}/{主要道路名稱}"/>
        <s v="https://api.nlsc.gov.tw/idc/ListRoadCross/T/{鄉鎮市區代碼-地政}/{主要道路名稱}"/>
        <s v="https://api.nlsc.gov.tw/idc/ListRoadCross/U/{鄉鎮市區代碼-地政}/{主要道路名稱}"/>
        <s v="https://api.nlsc.gov.tw/idc/ListRoadCross/V/{鄉鎮市區代碼-地政}/{主要道路名稱}"/>
        <s v="https://api.nlsc.gov.tw/idc/ListRoadCross/W/{鄉鎮市區代碼-地政}/{主要道路名稱}"/>
        <s v="https://api.nlsc.gov.tw/idc/ListRoadCross/X/{鄉鎮市區代碼-地政}/{主要道路名稱}"/>
        <s v="https://api.nlsc.gov.tw/idc/ListRoadCross/Z/{鄉鎮市區代碼-地政}/{主要道路名稱}"/>
        <s v="https://api.nlsc.gov.tw/idc/ListRoadLaneAlley/A/{鄉鎮市區代碼-地政}/{道路名稱}"/>
        <s v="https://api.nlsc.gov.tw/idc/ListRoadLaneAlley/B/{鄉鎮市區代碼-地政}/{道路名稱}"/>
        <s v="https://api.nlsc.gov.tw/idc/ListRoadLaneAlley/C/{鄉鎮市區代碼-地政}/{道路名稱}"/>
        <s v="https://api.nlsc.gov.tw/idc/ListRoadLaneAlley/D/{鄉鎮市區代碼-地政}/{道路名稱}"/>
        <s v="https://api.nlsc.gov.tw/idc/ListRoadLaneAlley/E/{鄉鎮市區代碼-地政}/{道路名稱}"/>
        <s v="https://api.nlsc.gov.tw/idc/ListRoadLaneAlley/F/{鄉鎮市區代碼-地政}/{道路名稱}"/>
        <s v="https://api.nlsc.gov.tw/idc/ListRoadLaneAlley/G/{鄉鎮市區代碼-地政}/{道路名稱}"/>
        <s v="https://api.nlsc.gov.tw/idc/ListRoadLaneAlley/H/{鄉鎮市區代碼-地政}/{道路名稱}"/>
        <s v="https://api.nlsc.gov.tw/idc/ListRoadLaneAlley/I/{鄉鎮市區代碼-地政}/{道路名稱}"/>
        <s v="https://api.nlsc.gov.tw/idc/ListRoadLaneAlley/J/{鄉鎮市區代碼-地政}/{道路名稱}"/>
        <s v="https://api.nlsc.gov.tw/idc/ListRoadLaneAlley/K/{鄉鎮市區代碼-地政}/{道路名稱}"/>
        <s v="https://api.nlsc.gov.tw/idc/ListRoadLaneAlley/M/{鄉鎮市區代碼-地政}/{道路名稱}"/>
        <s v="https://api.nlsc.gov.tw/idc/ListRoadLaneAlley/N/{鄉鎮市區代碼-地政}/{道路名稱}"/>
        <s v="https://api.nlsc.gov.tw/idc/ListRoadLaneAlley/O/{鄉鎮市區代碼-地政}/{道路名稱}"/>
        <s v="https://api.nlsc.gov.tw/idc/ListRoadLaneAlley/P/{鄉鎮市區代碼-地政}/{道路名稱}"/>
        <s v="https://api.nlsc.gov.tw/idc/ListRoadLaneAlley/Q/{鄉鎮市區代碼-地政}/{道路名稱}"/>
        <s v="https://api.nlsc.gov.tw/idc/ListRoadLaneAlley/T/{鄉鎮市區代碼-地政}/{道路名稱}"/>
        <s v="https://api.nlsc.gov.tw/idc/ListRoadLaneAlley/U/{鄉鎮市區代碼-地政}/{道路名稱}"/>
        <s v="https://api.nlsc.gov.tw/idc/ListRoadLaneAlley/V/{鄉鎮市區代碼-地政}/{道路名稱}"/>
        <s v="https://api.nlsc.gov.tw/idc/ListRoadLaneAlley/W/{鄉鎮市區代碼-地政}/{道路名稱}"/>
        <s v="https://api.nlsc.gov.tw/idc/ListRoadLaneAlley/X/{鄉鎮市區代碼-地政}/{道路名稱}"/>
        <s v="https://api.nlsc.gov.tw/idc/ListRoadLaneAlley/Z/{鄉鎮市區代碼-地政}/{道路名稱}"/>
        <s v="https://api.nlsc.gov.tw/idc/ListRoadM/A/{鄉鎮市區代碼-地政}"/>
        <s v="https://api.nlsc.gov.tw/idc/ListRoadM/B/{鄉鎮市區代碼-地政}"/>
        <s v="https://api.nlsc.gov.tw/idc/ListRoadM/C/{鄉鎮市區代碼-地政}"/>
        <s v="https://api.nlsc.gov.tw/idc/ListRoadM/D/{鄉鎮市區代碼-地政}"/>
        <s v="https://api.nlsc.gov.tw/idc/ListRoadM/E/{鄉鎮市區代碼-地政}"/>
        <s v="https://api.nlsc.gov.tw/idc/ListRoadM/F/{鄉鎮市區代碼-地政}"/>
        <s v="https://api.nlsc.gov.tw/idc/ListRoadM/G/{鄉鎮市區代碼-地政}"/>
        <s v="https://api.nlsc.gov.tw/idc/ListRoadM/H/{鄉鎮市區代碼-地政}"/>
        <s v="https://api.nlsc.gov.tw/idc/ListRoadM/I/{鄉鎮市區代碼-地政}"/>
        <s v="https://api.nlsc.gov.tw/idc/ListRoadM/J/{鄉鎮市區代碼-地政}"/>
        <s v="https://api.nlsc.gov.tw/idc/ListRoadM/K/{鄉鎮市區代碼-地政}"/>
        <s v="https://api.nlsc.gov.tw/idc/ListRoadM/M/{鄉鎮市區代碼-地政}"/>
        <s v="https://api.nlsc.gov.tw/idc/ListRoadM/N/{鄉鎮市區代碼-地政}"/>
        <s v="https://api.nlsc.gov.tw/idc/ListRoadM/O/{鄉鎮市區代碼-地政}"/>
        <s v="https://api.nlsc.gov.tw/idc/ListRoadM/P/{鄉鎮市區代碼-地政}"/>
        <s v="https://api.nlsc.gov.tw/idc/ListRoadM/Q/{鄉鎮市區代碼-地政}"/>
        <s v="https://api.nlsc.gov.tw/idc/ListRoadM/T/{鄉鎮市區代碼-地政}"/>
        <s v="https://api.nlsc.gov.tw/idc/ListRoadM/U/{鄉鎮市區代碼-地政}"/>
        <s v="https://api.nlsc.gov.tw/idc/ListRoadM/V/{鄉鎮市區代碼-地政}"/>
        <s v="https://api.nlsc.gov.tw/idc/ListRoadM/W/{鄉鎮市區代碼-地政}"/>
        <s v="https://api.nlsc.gov.tw/idc/ListRoadM/X/{鄉鎮市區代碼-地政}"/>
        <s v="https://api.nlsc.gov.tw/idc/ListRoadM/Z/{鄉鎮市區代碼-地政}"/>
        <s v="https://api.nlsc.gov.tw/idc/PointQueryAddr"/>
        <s v="https://api.nlsc.gov.tw/idc/PolygonQueryAddr"/>
        <s v="https://api.nlsc.gov.tw/idc/TextQueryAddress/{搜尋字串}[/回傳數量(預設為10)/縣市代碼]"/>
        <s v="https://api.nlsc.gov.tw/idc/TextQueryMap/{搜尋字串}[/回傳數量(預設為10)/輔助條件(縣市代碼 或 參考點WGS84)]"/>
        <s v="https://api.nlsc.gov.tw/idc/TextQueryRoad/A/{道路關鍵字}"/>
        <s v="https://api.nlsc.gov.tw/idc/TextQueryRoad/B/{道路關鍵字}"/>
        <s v="https://api.nlsc.gov.tw/idc/TextQueryRoad/C/{道路關鍵字}"/>
        <s v="https://api.nlsc.gov.tw/idc/TextQueryRoad/D/{道路關鍵字}"/>
        <s v="https://api.nlsc.gov.tw/idc/TextQueryRoad/E/{道路關鍵字}"/>
        <s v="https://api.nlsc.gov.tw/idc/TextQueryRoad/F/{道路關鍵字}"/>
        <s v="https://api.nlsc.gov.tw/idc/TextQueryRoad/G/{道路關鍵字}"/>
        <s v="https://api.nlsc.gov.tw/idc/TextQueryRoad/H/{道路關鍵字}"/>
        <s v="https://api.nlsc.gov.tw/idc/TextQueryRoad/I/{道路關鍵字}"/>
        <s v="https://api.nlsc.gov.tw/idc/TextQueryRoad/J/{道路關鍵字}"/>
        <s v="https://api.nlsc.gov.tw/idc/TextQueryRoad/K/{道路關鍵字}"/>
        <s v="https://api.nlsc.gov.tw/idc/TextQueryRoad/M/{道路關鍵字}"/>
        <s v="https://api.nlsc.gov.tw/idc/TextQueryRoad/N/{道路關鍵字}"/>
        <s v="https://api.nlsc.gov.tw/idc/TextQueryRoad/O/{道路關鍵字}"/>
        <s v="https://api.nlsc.gov.tw/idc/TextQueryRoad/P/{道路關鍵字}"/>
        <s v="https://api.nlsc.gov.tw/idc/TextQueryRoad/Q/{道路關鍵字}"/>
        <s v="https://api.nlsc.gov.tw/idc/TextQueryRoad/T/{道路關鍵字}"/>
        <s v="https://api.nlsc.gov.tw/idc/TextQueryRoad/U/{道路關鍵字}"/>
        <s v="https://api.nlsc.gov.tw/idc/TextQueryRoad/V/{道路關鍵字}"/>
        <s v="https://api.nlsc.gov.tw/idc/TextQueryRoad/W/{道路關鍵字}"/>
        <s v="https://api.nlsc.gov.tw/idc/TextQueryRoad/X/{道路關鍵字}"/>
        <s v="https://api.nlsc.gov.tw/idc/TextQueryRoad/Z/{道路關鍵字}"/>
        <s v="https://api.nlsc.gov.tw/other/GetLandSecInfoNlsc/A/{地段代碼}/[段延伸碼]"/>
        <s v="https://api.nlsc.gov.tw/other/GetLandSecInfoNlsc/B/{地段代碼}/[段延伸碼]"/>
        <s v="https://api.nlsc.gov.tw/other/GetLandSecInfoNlsc/C/{地段代碼}/[段延伸碼]"/>
        <s v="https://api.nlsc.gov.tw/other/GetLandSecInfoNlsc/D/{地段代碼}/[段延伸碼]"/>
        <s v="https://api.nlsc.gov.tw/other/GetLandSecInfoNlsc/E/{地段代碼}/[段延伸碼]"/>
        <s v="https://api.nlsc.gov.tw/other/GetLandSecInfoNlsc/F/{地段代碼}/[段延伸碼]"/>
        <s v="https://api.nlsc.gov.tw/other/GetLandSecInfoNlsc/G/{地段代碼}/[段延伸碼]"/>
        <s v="https://api.nlsc.gov.tw/other/GetLandSecInfoNlsc/H/{地段代碼}/[段延伸碼]"/>
        <s v="https://api.nlsc.gov.tw/other/GetLandSecInfoNlsc/I/{地段代碼}/[段延伸碼]"/>
        <s v="https://api.nlsc.gov.tw/other/GetLandSecInfoNlsc/J/{地段代碼}/[段延伸碼]"/>
        <s v="https://api.nlsc.gov.tw/other/GetLandSecInfoNlsc/K/{地段代碼}/[段延伸碼]"/>
        <s v="https://api.nlsc.gov.tw/other/GetLandSecInfoNlsc/M/{地段代碼}/[段延伸碼]"/>
        <s v="https://api.nlsc.gov.tw/other/GetLandSecInfoNlsc/N/{地段代碼}/[段延伸碼]"/>
        <s v="https://api.nlsc.gov.tw/other/GetLandSecInfoNlsc/O/{地段代碼}/[段延伸碼]"/>
        <s v="https://api.nlsc.gov.tw/other/GetLandSecInfoNlsc/P/{地段代碼}/[段延伸碼]"/>
        <s v="https://api.nlsc.gov.tw/other/GetLandSecInfoNlsc/Q/{地段代碼}/[段延伸碼]"/>
        <s v="https://api.nlsc.gov.tw/other/GetLandSecInfoNlsc/T/{地段代碼}/[段延伸碼]"/>
        <s v="https://api.nlsc.gov.tw/other/GetLandSecInfoNlsc/U/{地段代碼}/[段延伸碼]"/>
        <s v="https://api.nlsc.gov.tw/other/GetLandSecInfoNlsc/V/{地段代碼}/[段延伸碼]"/>
        <s v="https://api.nlsc.gov.tw/other/GetLandSecInfoNlsc/W/{地段代碼}/[段延伸碼]"/>
        <s v="https://api.nlsc.gov.tw/other/GetLandSecInfoNlsc/X/{地段代碼}/[段延伸碼]"/>
        <s v="https://api.nlsc.gov.tw/other/GetLandSecInfoNlsc/Z/{地段代碼}/[段延伸碼]"/>
        <s v="https://api.nlsc.gov.tw/other/GetMapVillage/{縣市代碼（可填空值或NULL）}/{鄉鎮市區代碼（可填空值或NULL）}/{村里代碼（戶役政資訊系統資料代碼）}[/坐標類別代碼(4326、3826，預設使用經緯度4326)]"/>
        <s v="https://api.nlsc.gov.tw/other/LandUseCompare/{新年度}/{舊年度}/{範圍參數(鄉鎮市區代碼 或 範圍矩框的WGS84坐標)}"/>
        <s v="https://api.nlsc.gov.tw/other/LandUsePointQuery/{X坐標}/{Y坐標}[/坐標類別代碼(4326、3826，預設將使用經緯度)]"/>
        <s v="https://api.nlsc.gov.tw/other/LandUsePointYears/{指定民國年(0為歷年)}/{X坐標}/{Y坐標}[/坐標類別代碼(4326、3826，預設將使用經緯度)]"/>
        <s v="https://api.nlsc.gov.tw/other/ListCounty"/>
        <s v="https://api.nlsc.gov.tw/other/ListLandSection/A/{鄉鎮市區代碼-地政}"/>
        <s v="https://api.nlsc.gov.tw/other/ListLandSection/B/{鄉鎮市區代碼-地政}"/>
        <s v="https://api.nlsc.gov.tw/other/ListLandSection/C/{鄉鎮市區代碼-地政}"/>
        <s v="https://api.nlsc.gov.tw/other/ListLandSection/D/{鄉鎮市區代碼-地政}"/>
        <s v="https://api.nlsc.gov.tw/other/ListLandSection/E/{鄉鎮市區代碼-地政}"/>
        <s v="https://api.nlsc.gov.tw/other/ListLandSection/F/{鄉鎮市區代碼-地政}"/>
        <s v="https://api.nlsc.gov.tw/other/ListLandSection/G/{鄉鎮市區代碼-地政}"/>
        <s v="https://api.nlsc.gov.tw/other/ListLandSection/H/{鄉鎮市區代碼-地政}"/>
        <s v="https://api.nlsc.gov.tw/other/ListLandSection/I/{鄉鎮市區代碼-地政}"/>
        <s v="https://api.nlsc.gov.tw/other/ListLandSection/J/{鄉鎮市區代碼-地政}"/>
        <s v="https://api.nlsc.gov.tw/other/ListLandSection/K/{鄉鎮市區代碼-地政}"/>
        <s v="https://api.nlsc.gov.tw/other/ListLandSection/M/{鄉鎮市區代碼-地政}"/>
        <s v="https://api.nlsc.gov.tw/other/ListLandSection/N/{鄉鎮市區代碼-地政}"/>
        <s v="https://api.nlsc.gov.tw/other/ListLandSection/O/{鄉鎮市區代碼-地政}"/>
        <s v="https://api.nlsc.gov.tw/other/ListLandSection/P/{鄉鎮市區代碼-地政}"/>
        <s v="https://api.nlsc.gov.tw/other/ListLandSection/Q/{鄉鎮市區代碼-地政}"/>
        <s v="https://api.nlsc.gov.tw/other/ListLandSection/T/{鄉鎮市區代碼-地政}"/>
        <s v="https://api.nlsc.gov.tw/other/ListLandSection/U/{鄉鎮市區代碼-地政}"/>
        <s v="https://api.nlsc.gov.tw/other/ListLandSection/V/{鄉鎮市區代碼-地政}"/>
        <s v="https://api.nlsc.gov.tw/other/ListLandSection/W/{鄉鎮市區代碼-地政}"/>
        <s v="https://api.nlsc.gov.tw/other/ListLandSection/X/{鄉鎮市區代碼-地政}"/>
        <s v="https://api.nlsc.gov.tw/other/ListLandSection/Z/{鄉鎮市區代碼-地政}"/>
        <s v="https://api.nlsc.gov.tw/other/ListTown/A"/>
        <s v="https://api.nlsc.gov.tw/other/ListTown/B"/>
        <s v="https://api.nlsc.gov.tw/other/ListTown/C"/>
        <s v="https://api.nlsc.gov.tw/other/ListTown/D"/>
        <s v="https://api.nlsc.gov.tw/other/ListTown/E"/>
        <s v="https://api.nlsc.gov.tw/other/ListTown/F"/>
        <s v="https://api.nlsc.gov.tw/other/ListTown/G"/>
        <s v="https://api.nlsc.gov.tw/other/ListTown/H"/>
        <s v="https://api.nlsc.gov.tw/other/ListTown/I"/>
        <s v="https://api.nlsc.gov.tw/other/ListTown/J"/>
        <s v="https://api.nlsc.gov.tw/other/ListTown/K"/>
        <s v="https://api.nlsc.gov.tw/other/ListTown/M"/>
        <s v="https://api.nlsc.gov.tw/other/ListTown/N"/>
        <s v="https://api.nlsc.gov.tw/other/ListTown/O"/>
        <s v="https://api.nlsc.gov.tw/other/ListTown/P"/>
        <s v="https://api.nlsc.gov.tw/other/ListTown/Q"/>
        <s v="https://api.nlsc.gov.tw/other/ListTown/T"/>
        <s v="https://api.nlsc.gov.tw/other/ListTown/U"/>
        <s v="https://api.nlsc.gov.tw/other/ListTown/V"/>
        <s v="https://api.nlsc.gov.tw/other/ListTown/W"/>
        <s v="https://api.nlsc.gov.tw/other/ListTown/X"/>
        <s v="https://api.nlsc.gov.tw/other/ListTown/Z"/>
        <s v="https://api.nlsc.gov.tw/other/ListTown1/A"/>
        <s v="https://api.nlsc.gov.tw/other/ListTown1/B"/>
        <s v="https://api.nlsc.gov.tw/other/ListTown1/C"/>
        <s v="https://api.nlsc.gov.tw/other/ListTown1/D"/>
        <s v="https://api.nlsc.gov.tw/other/ListTown1/E"/>
        <s v="https://api.nlsc.gov.tw/other/ListTown1/F"/>
        <s v="https://api.nlsc.gov.tw/other/ListTown1/G"/>
        <s v="https://api.nlsc.gov.tw/other/ListTown1/H"/>
        <s v="https://api.nlsc.gov.tw/other/ListTown1/I"/>
        <s v="https://api.nlsc.gov.tw/other/ListTown1/J"/>
        <s v="https://api.nlsc.gov.tw/other/ListTown1/K"/>
        <s v="https://api.nlsc.gov.tw/other/ListTown1/M"/>
        <s v="https://api.nlsc.gov.tw/other/ListTown1/N"/>
        <s v="https://api.nlsc.gov.tw/other/ListTown1/O"/>
        <s v="https://api.nlsc.gov.tw/other/ListTown1/P"/>
        <s v="https://api.nlsc.gov.tw/other/ListTown1/Q"/>
        <s v="https://api.nlsc.gov.tw/other/ListTown1/T"/>
        <s v="https://api.nlsc.gov.tw/other/ListTown1/U"/>
        <s v="https://api.nlsc.gov.tw/other/ListTown1/V"/>
        <s v="https://api.nlsc.gov.tw/other/ListTown1/W"/>
        <s v="https://api.nlsc.gov.tw/other/ListTown1/X"/>
        <s v="https://api.nlsc.gov.tw/other/ListTown1/Z"/>
        <s v="https://api.nlsc.gov.tw/other/ListVillage/A/{鄉鎮市區代碼-地政}"/>
        <s v="https://api.nlsc.gov.tw/other/ListVillage/B/{鄉鎮市區代碼-地政}"/>
        <s v="https://api.nlsc.gov.tw/other/ListVillage/C/{鄉鎮市區代碼-地政}"/>
        <s v="https://api.nlsc.gov.tw/other/ListVillage/D/{鄉鎮市區代碼-地政}"/>
        <s v="https://api.nlsc.gov.tw/other/ListVillage/E/{鄉鎮市區代碼-地政}"/>
        <s v="https://api.nlsc.gov.tw/other/ListVillage/F/{鄉鎮市區代碼-地政}"/>
        <s v="https://api.nlsc.gov.tw/other/ListVillage/G/{鄉鎮市區代碼-地政}"/>
        <s v="https://api.nlsc.gov.tw/other/ListVillage/H/{鄉鎮市區代碼-地政}"/>
        <s v="https://api.nlsc.gov.tw/other/ListVillage/I/{鄉鎮市區代碼-地政}"/>
        <s v="https://api.nlsc.gov.tw/other/ListVillage/J/{鄉鎮市區代碼-地政}"/>
        <s v="https://api.nlsc.gov.tw/other/ListVillage/K/{鄉鎮市區代碼-地政}"/>
        <s v="https://api.nlsc.gov.tw/other/ListVillage/M/{鄉鎮市區代碼-地政}"/>
        <s v="https://api.nlsc.gov.tw/other/ListVillage/N/{鄉鎮市區代碼-地政}"/>
        <s v="https://api.nlsc.gov.tw/other/ListVillage/O/{鄉鎮市區代碼-地政}"/>
        <s v="https://api.nlsc.gov.tw/other/ListVillage/P/{鄉鎮市區代碼-地政}"/>
        <s v="https://api.nlsc.gov.tw/other/ListVillage/Q/{鄉鎮市區代碼-地政}"/>
        <s v="https://api.nlsc.gov.tw/other/ListVillage/T/{鄉鎮市區代碼-地政}"/>
        <s v="https://api.nlsc.gov.tw/other/ListVillage/U/{鄉鎮市區代碼-地政}"/>
        <s v="https://api.nlsc.gov.tw/other/ListVillage/V/{鄉鎮市區代碼-地政}"/>
        <s v="https://api.nlsc.gov.tw/other/ListVillage/W/{鄉鎮市區代碼-地政}"/>
        <s v="https://api.nlsc.gov.tw/other/ListVillage/X/{鄉鎮市區代碼-地政}"/>
        <s v="https://api.nlsc.gov.tw/other/ListVillage/Z/{鄉鎮市區代碼-地政}"/>
        <s v="https://api.nlsc.gov.tw/other/MarkBufferAnlys/bus/{經度}/{緯度}/{半徑範圍(公尺)}"/>
        <s v="https://api.nlsc.gov.tw/other/MarkBufferAnlys/dis/{經度}/{緯度}/{半徑範圍(公尺)}"/>
        <s v="https://api.nlsc.gov.tw/other/MarkBufferAnlys/edu/{經度}/{緯度}/{半徑範圍(公尺)}"/>
        <s v="https://api.nlsc.gov.tw/other/MarkBufferAnlys/med/{經度}/{緯度}/{半徑範圍(公尺)}"/>
        <s v="https://api.nlsc.gov.tw/other/RoutesNodes/{查詢點(支援WGS84及TWD97坐標系統)}[/坐標代碼(EPSG:4326或EPSG:3826)/檢索範圍(公尺)]"/>
        <s v="https://api.nlsc.gov.tw/other/RoutesQueryByDist/{起點(WGS84)}/{終點(WGS84)}[/車種(汽車 car、步行 foot、汽車避開高速公路 avoid_highways，預設為汽車)/ 檔案格式(預設kmz、json、kml)?barrier=障礙點1,障礙點2,障礙點3(WGS84，可輸入多筆)]"/>
        <s v="https://api.nlsc.gov.tw/other/RoutesQueryByTime/{起點(WGS84)}/{終點(WGS84)}[/車種(汽車 car、步行 foot、汽車避開高速公路 avoid_highways，預設為汽車)/ 檔案格式(預設kmz、json、kml)?barrier=障礙點1,障礙點2,障礙點3(WGS84，可輸入多筆)]"/>
        <s v="https://api.nlsc.gov.tw/other/TownVillagePointQuery/{X坐標}/{Y坐標}[/坐標類別代碼(4326、3826，預設使用經緯度4326)]"/>
        <s v="https://api.nlsc.gov.tw/other/TownVillagePointQuery1/{X坐標}/{Y坐標}[/坐標類別代碼(4326、3826，預設使用經緯度4326)]"/>
        <s v="https://api.nlsc.gov.tw/S_Maps_WebService/qryLand/GetLandNO/{經度}/{緯度}"/>
        <s v="https://api.nlsc.gov.tw/S_Maps_WebService/qryLand/GetLandPositionLongitudeLatitude/A/{地段代碼}/{地號(8碼)}"/>
        <s v="https://api.nlsc.gov.tw/S_Maps_WebService/qryLand/GetLandPositionLongitudeLatitude/B/{地段代碼}/{地號(8碼)}"/>
        <s v="https://api.nlsc.gov.tw/S_Maps_WebService/qryLand/GetLandPositionLongitudeLatitude/C/{地段代碼}/{地號(8碼)}"/>
        <s v="https://api.nlsc.gov.tw/S_Maps_WebService/qryLand/GetLandPositionLongitudeLatitude/D/{地段代碼}/{地號(8碼)}"/>
        <s v="https://api.nlsc.gov.tw/S_Maps_WebService/qryLand/GetLandPositionLongitudeLatitude/E/{地段代碼}/{地號(8碼)}"/>
        <s v="https://api.nlsc.gov.tw/S_Maps_WebService/qryLand/GetLandPositionLongitudeLatitude/F/{地段代碼}/{地號(8碼)}"/>
        <s v="https://api.nlsc.gov.tw/S_Maps_WebService/qryLand/GetLandPositionLongitudeLatitude/G/{地段代碼}/{地號(8碼)}"/>
        <s v="https://api.nlsc.gov.tw/S_Maps_WebService/qryLand/GetLandPositionLongitudeLatitude/H/{地段代碼}/{地號(8碼)}"/>
        <s v="https://api.nlsc.gov.tw/S_Maps_WebService/qryLand/GetLandPositionLongitudeLatitude/I/{地段代碼}/{地號(8碼)}"/>
        <s v="https://api.nlsc.gov.tw/S_Maps_WebService/qryLand/GetLandPositionLongitudeLatitude/J/{地段代碼}/{地號(8碼)}"/>
        <s v="https://api.nlsc.gov.tw/S_Maps_WebService/qryLand/GetLandPositionLongitudeLatitude/K/{地段代碼}/{地號(8碼)}"/>
        <s v="https://api.nlsc.gov.tw/S_Maps_WebService/qryLand/GetLandPositionLongitudeLatitude/M/{地段代碼}/{地號(8碼)}"/>
        <s v="https://api.nlsc.gov.tw/S_Maps_WebService/qryLand/GetLandPositionLongitudeLatitude/N/{地段代碼}/{地號(8碼)}"/>
        <s v="https://api.nlsc.gov.tw/S_Maps_WebService/qryLand/GetLandPositionLongitudeLatitude/O/{地段代碼}/{地號(8碼)}"/>
        <s v="https://api.nlsc.gov.tw/S_Maps_WebService/qryLand/GetLandPositionLongitudeLatitude/P/{地段代碼}/{地號(8碼)}"/>
        <s v="https://api.nlsc.gov.tw/S_Maps_WebService/qryLand/GetLandPositionLongitudeLatitude/Q/{地段代碼}/{地號(8碼)}"/>
        <s v="https://api.nlsc.gov.tw/S_Maps_WebService/qryLand/GetLandPositionLongitudeLatitude/T/{地段代碼}/{地號(8碼)}"/>
        <s v="https://api.nlsc.gov.tw/S_Maps_WebService/qryLand/GetLandPositionLongitudeLatitude/U/{地段代碼}/{地號(8碼)}"/>
        <s v="https://api.nlsc.gov.tw/S_Maps_WebService/qryLand/GetLandPositionLongitudeLatitude/V/{地段代碼}/{地號(8碼)}"/>
        <s v="https://api.nlsc.gov.tw/S_Maps_WebService/qryLand/GetLandPositionLongitudeLatitude/W/{地段代碼}/{地號(8碼)}"/>
        <s v="https://api.nlsc.gov.tw/S_Maps_WebService/qryLand/GetLandPositionLongitudeLatitude/X/{地段代碼}/{地號(8碼)}"/>
        <s v="https://api.nlsc.gov.tw/S_Maps_WebService/qryLand/GetLandPositionLongitudeLatitude/Z/{地段代碼}/{地號(8碼)}"/>
        <s v="https://api.nlsc.gov.tw/S_Maps/qryTileMapIndex?type=2&amp;flag=2"/>
        <s v="https://api.nlsc.gov.twS_Maps/qryTileMapIndex?type=2&amp;flag=1"/>
        <s v="https://download03.nlsc.gov.tw/WebApi/BuildingAttributes/QueryBuilding"/>
        <s v="https://download03.nlsc.gov.tw/WebApi/BuildingAttributes/QueryBuildingAttributes/{Type}"/>
        <s v="https://download03.nlsc.gov.tw/WebApi/BuildingAttributes/QueryBuildingDataSource"/>
        <s v="https://download03.nlsc.gov.tw/WebApi/BuildingAttributes/Status"/>
        <s v="https://download03.nlsc.gov.tw/WebApi/PartialBuildingService/3DT_Service/{參數1}/tileset.json"/>
        <s v="https://download03.nlsc.gov.tw/WebApi/PartialBuildingService/I3S_Service/i3s/rest/services/{參數1}/SceneServer/layers/0"/>
        <s v="https://download03.nlsc.gov.tw/WebApi/PartialBuildingService/QueryBuilding"/>
        <s v="https://download03.nlsc.gov.tw/WebApi/PartialBuildingService/Status"/>
        <s v="https://download03.nlsc.gov.tw/WebApi/PartialBuildingService/Transfer_Request/SelectByCircle/{serviceType}"/>
        <s v="https://download03.nlsc.gov.tw/WebApi/PartialBuildingService/Transfer_Request/SelectByPoint/{serviceType}"/>
        <s v="https://download03.nlsc.gov.tw/WebApi/PartialBuildingService/Transfer_Request/SelectByPolygon/{serviceType}"/>
        <s v="https://i3s.nlsc.gov.tw/building/i3s/SceneServer/layers/{建物服務代碼}"/>
        <s v="https://i3s.nlsc.gov.tw/road/i3s/SceneServer/layers/{道路服務代碼}"/>
        <s v="https://i3s.nlsc.gov.tw/road2nd/i3s/SceneServer/layers/{道路服務代碼}"/>
        <s v="https://landmaps.nlsc.gov.tw/S_Maps/wms"/>
        <s v="https://landmaps.nlsc.gov.tw/S_Maps/wmts/DMAPS/{Style}/{TileMatrixSet}/{TileMatrix}/{TileRow}/{TileCol}"/>
        <s v="https://wfs.nlsc.gov.tw/WFS/BUILDFRAME"/>
        <s v="https://wfs.nlsc.gov.tw/WFS/CADAS_MERGE"/>
        <s v="https://wfs.nlsc.gov.tw/WFS/EMAP"/>
        <s v="https://wfs.nlsc.gov.tw/WFS/LANDSECT"/>
        <s v="https://wfs.nlsc.gov.tw/WFS/LUIMAP"/>
        <s v="https://wfs.nlsc.gov.tw/WFS/TOPON1K/TOPON1K_112_B04"/>
        <s v="https://wfs.nlsc.gov.tw/WFS/TOPON1K/TOPON1K_112_B11"/>
        <s v="https://wfs.nlsc.gov.tw/WFS/TOPON1K/TOPON1K_112_B14"/>
        <s v="https://wfs.nlsc.gov.tw/WFS/TOPON1K/TOPON1K_112_B15"/>
        <s v="https://wfs.nlsc.gov.tw/WFS/TOPON1K/TOPON1K_112_B22"/>
        <s v="https://wfs.nlsc.gov.tw/WFS/TOPON1K/TOPON1K_112_D03"/>
        <s v="https://wfs.nlsc.gov.tw/WFS/TOPON1K/TOPON1K_112_D04"/>
        <s v="https://wfs.nlsc.gov.tw/WFS/TOPON1K/TOPON1K_112_D05"/>
        <s v="https://wfs.nlsc.gov.tw/WFS/TOPON1K/TOPON1K_112_D12"/>
        <s v="https://wfs.nlsc.gov.tw/WFS/TOPON1K/TOPON1K_112_E03"/>
        <s v="https://wfs.nlsc.gov.tw/WFS/TOPON1K/TOPON1K_112_G04"/>
        <s v="https://wfs.nlsc.gov.tw/WFS/TOPON1K/TOPON1K_112_G06"/>
        <s v="https://wfs.nlsc.gov.tw/WFS/TOPON1K/TOPON1K_112_G09"/>
        <s v="https://wfs.nlsc.gov.tw/WFS/TOPON1K/TOPON1K_112_G11"/>
        <s v="https://wfs.nlsc.gov.tw/WFS/TOPON1K/TOPON1K_112_G15"/>
        <s v="https://wfs.nlsc.gov.tw/WFS/TOPON1K/TOPON1K_112_G16"/>
        <s v="https://wfs.nlsc.gov.tw/WFS/TOPON1K/TOPON1K_112_G17"/>
        <s v="https://wfs.nlsc.gov.tw/WFS/TOPON1K/TOPON1K_112_G18"/>
        <s v="https://wfs.nlsc.gov.tw/WFS/TOPON1K/TOPON1K_112_G19"/>
        <s v="https://wfs.nlsc.gov.tw/WFS/TOPON1K/TOPON1K_112_G20"/>
        <s v="https://wfs.nlsc.gov.tw/WFS/TOPON1K/TOPON1K_112_H31"/>
        <s v="https://wfs.nlsc.gov.tw/WFS/TOPON1K/TOPON1K_112_J01"/>
        <s v="https://wfs.nlsc.gov.tw/WFS/TOPON1K/TOPON1K_112_J13"/>
        <s v="https://wfs.nlsc.gov.tw/WFS/TOPON1K/TOPON1K_112_J17"/>
        <s v="https://wfs.nlsc.gov.tw/WFS/TOPON1K/TOPON1K_112_K01"/>
        <s v="https://wfs.nlsc.gov.tw/WFS/TOPON1K/TOPON1K_112_K02"/>
        <s v="https://wfs.nlsc.gov.tw/WFS/TOPON1K/TOPON1K_112_K14"/>
        <s v="https://wfs.nlsc.gov.tw/WFS/TOPON1K/TOPON1K_112_M01"/>
        <s v="https://wfs.nlsc.gov.tw/WFS/TOPON1K/TOPON1K_112_M02"/>
        <s v="https://wfs.nlsc.gov.tw/WFS/TOPON1K/TOPON1K_112_M04"/>
        <s v="https://wfs.nlsc.gov.tw/WFS/TOPON1K/TOPON1K_112_N01"/>
        <s v="https://wfs.nlsc.gov.tw/WFS/TOPON1K/TOPON1K_112_N02"/>
        <s v="https://wfs.nlsc.gov.tw/WFS/TOPON1K/TOPON1K_112_P12"/>
        <s v="https://wfs.nlsc.gov.tw/WFS/TOPON1K/TOPON1K_112_P13"/>
        <s v="https://wfs.nlsc.gov.tw/WFS/TOPON1K/TOPON1K_112_P22"/>
        <s v="https://wfs.nlsc.gov.tw/WFS/TOPON1K/TOPON1K_112_P24"/>
        <s v="https://wfs.nlsc.gov.tw/WFS/TOPON1K/TOPON1K_112_Q02"/>
        <s v="https://wfs.nlsc.gov.tw/WFS/TOPON1K/TOPON1K_112_Q19"/>
        <s v="https://wfs.nlsc.gov.tw/WFS/TOPON1K/TOPON1K_112_Q21"/>
        <s v="https://wfs.nlsc.gov.tw/WFS/TOPON1K/TOPON1K_112_Q22"/>
        <s v="https://wfs.nlsc.gov.tw/WFS/TOPON1K/TOPON1K_112_Q26"/>
        <s v="https://wfs.nlsc.gov.tw/WFS/TOPON1K/TOPON1K_112_Q27"/>
        <s v="https://wfs.nlsc.gov.tw/WFS/TOPON1K/TOPON1K_112_Q28"/>
        <s v="https://wfs.nlsc.gov.tw/WFS/TOPON1K/TOPON1K_112_T01"/>
        <s v="https://wfs.nlsc.gov.tw/WFS/TOPON1K/TOPON1K_112_V01"/>
        <s v="https://wfs.nlsc.gov.tw/WFS/TOPON1K/TOPON1K_112_X01"/>
        <s v="https://wfs.nlsc.gov.tw/WFS/TOPON1K/TOPON1K_112_X02"/>
        <s v="https://wfs.nlsc.gov.tw/WFS/TOPON1K/TOPON1K_112_X03"/>
        <s v="https://wfs.nlsc.gov.tw/WFS/TOPON1K/TOPON1K_112_X04"/>
        <s v="https://wfs.nlsc.gov.tw/WFS/TOPON1K/TOPON1K_112_X05"/>
        <s v="https://wfs.nlsc.gov.tw/WFS/TOPON1K/TOPON1K_112_X06"/>
        <s v="https://wfs.nlsc.gov.tw/WFS/TOPON1K/TOPON1K_113_B20"/>
        <s v="https://wfs.nlsc.gov.tw/WFS/TOPON1K/TOPON1K_113_B25"/>
        <s v="https://wfs.nlsc.gov.tw/WFS/TOPON1K/TOPON1K_113_D08"/>
        <s v="https://wfs.nlsc.gov.tw/WFS/TOPON1K/TOPON1K_113_E02"/>
        <s v="https://wfs.nlsc.gov.tw/WFS/TOPON1K/TOPON1K_113_E32"/>
        <s v="https://wfs.nlsc.gov.tw/WFS/TOPON1K/TOPON1K_113_G01"/>
        <s v="https://wfs.nlsc.gov.tw/WFS/TOPON1K/TOPON1K_113_H18"/>
        <s v="https://wfs.nlsc.gov.tw/WFS/TOPON1K/TOPON1K_113_H19"/>
        <s v="https://wfs.nlsc.gov.tw/WFS/TOPON1K/TOPON1K_113_H20"/>
        <s v="https://wfs.nlsc.gov.tw/WFS/TOPON1K/TOPON1K_113_H21"/>
        <s v="https://wfs.nlsc.gov.tw/WFS/TOPON1K/TOPON1K_113_J06"/>
        <s v="https://wfs.nlsc.gov.tw/WFS/TOPON1K/TOPON1K_113_J16"/>
        <s v="https://wfs.nlsc.gov.tw/WFS/TOPON1K/TOPON1K_113_P01"/>
        <s v="https://wfs.nlsc.gov.tw/WFS/TOPON1K/TOPON1K_113_P10"/>
        <s v="https://wfs.nlsc.gov.tw/WFS/TOPON1K/TOPON1K_113_P25"/>
        <s v="https://wfs.nlsc.gov.tw/WFS/TOPON1K/TOPON1K_113_Q06"/>
        <s v="https://wfs.nlsc.gov.tw/WFS/TOPON1K/TOPON1K_113_Q07"/>
        <s v="https://wfs.nlsc.gov.tw/WFS/TOPON1K/TOPON1K_113_Q29"/>
        <s v="https://wfs.nlsc.gov.tw/WFS/TOPON1K/TOPON1K_113_Q30"/>
        <s v="https://wfs.nlsc.gov.tw/WFS/TOPON1K/TOPON1K_113_Q31"/>
        <s v="https://wfs.nlsc.gov.tw/WFS/TOPON1K/TOPON1K_113_T03"/>
        <s v="https://wfs.nlsc.gov.tw/WFS/TOPON1K/TOPON1K_113_T08"/>
        <s v="https://wfs.nlsc.gov.tw/WFS/TOPON1K/TOPON1K_113_T20"/>
        <s v="https://wfs.nlsc.gov.tw/WFS/TOPON1K/TOPON1K_113_T30"/>
        <s v="https://wfs.nlsc.gov.tw/WFS/TOPON1K/TOPON1K_113_U20"/>
        <s v="https://wfs.nlsc.gov.tw/WFS/TOPON1K/TOPON1K_113_V02"/>
        <s v="https://wfs.nlsc.gov.tw/WFS/TOPON1K/TOPON1K_113_X07"/>
        <s v="https://wfs.nlsc.gov.tw/WFS/TOPON1K/TOPON1K_113_X08"/>
        <s v="https://wms.nlsc.gov.tw/wms"/>
        <s v="https://wmts.nlsc.gov.tw/97/wmts/EMAP3825/{Style}/{TileMatrixSet}/{TileMatrix}/{TileRow}/{TileCol}"/>
        <s v="https://wmts.nlsc.gov.tw/97/wmts/EMAP3826/{Style}/{TileMatrixSet}/{TileMatrix}/{TileRow}/{TileCol}"/>
        <s v="https://wmts.nlsc.gov.tw/97/wmts/PHOTO3826/{Style}/{TileMatrixSet}/{TileMatrix}/{TileRow}/{TileCol}"/>
        <s v="https://wmts.nlsc.gov.tw/wmts/AED/{Style}/{TileMatrixSet}/{TileMatrix}/{TileRow}/{TileCol}"/>
        <s v="https://wmts.nlsc.gov.tw/wmts/Asrs_2025_ortho/{Style}/{TileMatrixSet}/{TileMatrix}/{TileRow}/{TileCol}"/>
        <s v="https://wmts.nlsc.gov.tw/wmts/Asrs_20250925_1/{Style}/{TileMatrixSet}/{TileMatrix}/{TileRow}/{TileCol}"/>
        <s v="https://wmts.nlsc.gov.tw/wmts/Asrs_20250925_2/{Style}/{TileMatrixSet}/{TileMatrix}/{TileRow}/{TileCol}"/>
        <s v="https://wmts.nlsc.gov.tw/wmts/Asrs_20250925_3/{Style}/{TileMatrixSet}/{TileMatrix}/{TileRow}/{TileCol}"/>
        <s v="https://wmts.nlsc.gov.tw/wmts/Asrs_20250927_1/{Style}/{TileMatrixSet}/{TileMatrix}/{TileRow}/{TileCol}"/>
        <s v="https://wmts.nlsc.gov.tw/wmts/Asrs_20250927_2/{Style}/{TileMatrixSet}/{TileMatrix}/{TileRow}/{TileCol}"/>
        <s v="https://wmts.nlsc.gov.tw/wmts/Asrs_20250927_3/{Style}/{TileMatrixSet}/{TileMatrix}/{TileRow}/{TileCol}"/>
        <s v="https://wmts.nlsc.gov.tw/wmts/Asrs_20250928_1/{Style}/{TileMatrixSet}/{TileMatrix}/{TileRow}/{TileCol}"/>
        <s v="https://wmts.nlsc.gov.tw/wmts/Asrs_20250928_2/{Style}/{TileMatrixSet}/{TileMatrix}/{TileRow}/{TileCol}"/>
        <s v="https://wmts.nlsc.gov.tw/wmts/Asrs_20250929_1/{Style}/{TileMatrixSet}/{TileMatrix}/{TileRow}/{TileCol}"/>
        <s v="https://wmts.nlsc.gov.tw/wmts/Asrs_20250929_2/{Style}/{TileMatrixSet}/{TileMatrix}/{TileRow}/{TileCol}"/>
        <s v="https://wmts.nlsc.gov.tw/wmts/Asrs_20250930_1/{Style}/{TileMatrixSet}/{TileMatrix}/{TileRow}/{TileCol}"/>
        <s v="https://wmts.nlsc.gov.tw/wmts/Asrs_20250930_2/{Style}/{TileMatrixSet}/{TileMatrix}/{TileRow}/{TileCol}"/>
        <s v="https://wmts.nlsc.gov.tw/wmts/Asrs_20251001_1/{Style}/{TileMatrixSet}/{TileMatrix}/{TileRow}/{TileCol}"/>
        <s v="https://wmts.nlsc.gov.tw/wmts/Asrs_20251002_1/{Style}/{TileMatrixSet}/{TileMatrix}/{TileRow}/{TileCol}"/>
        <s v="https://wmts.nlsc.gov.tw/wmts/Asrs_20251002_2/{Style}/{TileMatrixSet}/{TileMatrix}/{TileRow}/{TileCol}"/>
        <s v="https://wmts.nlsc.gov.tw/wmts/Asrs_20251002_3/{Style}/{TileMatrixSet}/{TileMatrix}/{TileRow}/{TileCol}"/>
        <s v="https://wmts.nlsc.gov.tw/wmts/Asrs_20251003_1/{Style}/{TileMatrixSet}/{TileMatrix}/{TileRow}/{TileCol}"/>
        <s v="https://wmts.nlsc.gov.tw/wmts/Asrs_20251003_2/{Style}/{TileMatrixSet}/{TileMatrix}/{TileRow}/{TileCol}"/>
        <s v="https://wmts.nlsc.gov.tw/wmts/Asrs_20251003_3/{Style}/{TileMatrixSet}/{TileMatrix}/{TileRow}/{TileCol}"/>
        <s v="https://wmts.nlsc.gov.tw/wmts/Asrs_20251003_4/{Style}/{TileMatrixSet}/{TileMatrix}/{TileRow}/{TileCol}"/>
        <s v="https://wmts.nlsc.gov.tw/wmts/Asrs_20251003_5/{Style}/{TileMatrixSet}/{TileMatrix}/{TileRow}/{TileCol}"/>
        <s v="https://wmts.nlsc.gov.tw/wmts/Asrs_20251003_6/{Style}/{TileMatrixSet}/{TileMatrix}/{TileRow}/{TileCol}"/>
        <s v="https://wmts.nlsc.gov.tw/wmts/Asrs_20251003_7/{Style}/{TileMatrixSet}/{TileMatrix}/{TileRow}/{TileCol}"/>
        <s v="https://wmts.nlsc.gov.tw/wmts/Asrs_20251004_1/{Style}/{TileMatrixSet}/{TileMatrix}/{TileRow}/{TileCol}"/>
        <s v="https://wmts.nlsc.gov.tw/wmts/Asrs_20251004_2/{Style}/{TileMatrixSet}/{TileMatrix}/{TileRow}/{TileCol}"/>
        <s v="https://wmts.nlsc.gov.tw/wmts/Asrs_20251004_3/{Style}/{TileMatrixSet}/{TileMatrix}/{TileRow}/{TileCol}"/>
        <s v="https://wmts.nlsc.gov.tw/wmts/Asrs_20251005_1/{Style}/{TileMatrixSet}/{TileMatrix}/{TileRow}/{TileCol}"/>
        <s v="https://wmts.nlsc.gov.tw/wmts/Asrs_20251005_2/{Style}/{TileMatrixSet}/{TileMatrix}/{TileRow}/{TileCol}"/>
        <s v="https://wmts.nlsc.gov.tw/wmts/Asrs_20251005_3/{Style}/{TileMatrixSet}/{TileMatrix}/{TileRow}/{TileCol}"/>
        <s v="https://wmts.nlsc.gov.tw/wmts/Asrs_20251006_1/{Style}/{TileMatrixSet}/{TileMatrix}/{TileRow}/{TileCol}"/>
        <s v="https://wmts.nlsc.gov.tw/wmts/Asrs_20251006_2/{Style}/{TileMatrixSet}/{TileMatrix}/{TileRow}/{TileCol}"/>
        <s v="https://wmts.nlsc.gov.tw/wmts/Asrs_20251006_3/{Style}/{TileMatrixSet}/{TileMatrix}/{TileRow}/{TileCol}"/>
        <s v="https://wmts.nlsc.gov.tw/wmts/Asrs_20251007_1/{Style}/{TileMatrixSet}/{TileMatrix}/{TileRow}/{TileCol}"/>
        <s v="https://wmts.nlsc.gov.tw/wmts/Asrs_20251007_2/{Style}/{TileMatrixSet}/{TileMatrix}/{TileRow}/{TileCol}"/>
        <s v="https://wmts.nlsc.gov.tw/wmts/Asrs_20251007_3/{Style}/{TileMatrixSet}/{TileMatrix}/{TileRow}/{TileCol}"/>
        <s v="https://wmts.nlsc.gov.tw/wmts/Asrs_20251013_1/{Style}/{TileMatrixSet}/{TileMatrix}/{TileRow}/{TileCol}"/>
        <s v="https://wmts.nlsc.gov.tw/wmts/Asrs_20251013_2/{Style}/{TileMatrixSet}/{TileMatrix}/{TileRow}/{TileCol}"/>
        <s v="https://wmts.nlsc.gov.tw/wmts/Asrs_20251013_3/{Style}/{TileMatrixSet}/{TileMatrix}/{TileRow}/{TileCol}"/>
        <s v="https://wmts.nlsc.gov.tw/wmts/Asrs_20251013_4/{Style}/{TileMatrixSet}/{TileMatrix}/{TileRow}/{TileCol}"/>
        <s v="https://wmts.nlsc.gov.tw/wmts/Asrs_20251013_5/{Style}/{TileMatrixSet}/{TileMatrix}/{TileRow}/{TileCol}"/>
        <s v="https://wmts.nlsc.gov.tw/wmts/Asrs_20251013_6/{Style}/{TileMatrixSet}/{TileMatrix}/{TileRow}/{TileCol}"/>
        <s v="https://wmts.nlsc.gov.tw/wmts/Asrs_20251013_7/{Style}/{TileMatrixSet}/{TileMatrix}/{TileRow}/{TileCol}"/>
        <s v="https://wmts.nlsc.gov.tw/wmts/Asrs_20251013_8/{Style}/{TileMatrixSet}/{TileMatrix}/{TileRow}/{TileCol}"/>
        <s v="https://wmts.nlsc.gov.tw/wmts/Asrs_20251013_9/{Style}/{TileMatrixSet}/{TileMatrix}/{TileRow}/{TileCol}"/>
        <s v="https://wmts.nlsc.gov.tw/wmts/Asrs_20251116_1/{Style}/{TileMatrixSet}/{TileMatrix}/{TileRow}/{TileCol}"/>
        <s v="https://wmts.nlsc.gov.tw/wmts/Asrs_20251116_2/{Style}/{TileMatrixSet}/{TileMatrix}/{TileRow}/{TileCol}"/>
        <s v="https://wmts.nlsc.gov.tw/wmts/Asrs_20251116_3/{Style}/{TileMatrixSet}/{TileMatrix}/{TileRow}/{TileCol}"/>
        <s v="https://wmts.nlsc.gov.tw/wmts/Asrs_20251116_4/{Style}/{TileMatrixSet}/{TileMatrix}/{TileRow}/{TileCol}"/>
        <s v="https://wmts.nlsc.gov.tw/wmts/Asrs_20251116_5/{Style}/{TileMatrixSet}/{TileMatrix}/{TileRow}/{TileCol}"/>
        <s v="https://wmts.nlsc.gov.tw/wmts/Asrs_20251116_6/{Style}/{TileMatrixSet}/{TileMatrix}/{TileRow}/{TileCol}"/>
        <s v="https://wmts.nlsc.gov.tw/wmts/Asrs_20251116_7/{Style}/{TileMatrixSet}/{TileMatrix}/{TileRow}/{TileCol}"/>
        <s v="https://wmts.nlsc.gov.tw/wmts/Asrs_20251116_8/{Style}/{TileMatrixSet}/{TileMatrix}/{TileRow}/{TileCol}"/>
        <s v="https://wmts.nlsc.gov.tw/wmts/B100000/{Style}/{TileMatrixSet}/{TileMatrix}/{TileRow}/{TileCol}"/>
        <s v="https://wmts.nlsc.gov.tw/wmts/B25000/{Style}/{TileMatrixSet}/{TileMatrix}/{TileRow}/{TileCol}"/>
        <s v="https://wmts.nlsc.gov.tw/wmts/B5000/{Style}/{TileMatrixSet}/{TileMatrix}/{TileRow}/{TileCol}"/>
        <s v="https://wmts.nlsc.gov.tw/wmts/B50000/{Style}/{TileMatrixSet}/{TileMatrix}/{TileRow}/{TileCol}"/>
        <s v="https://wmts.nlsc.gov.tw/wmts/BUILDX/{Style}/{TileMatrixSet}/{TileMatrix}/{TileRow}/{TileCol}"/>
        <s v="https://wmts.nlsc.gov.tw/wmts/CITY/{Style}/{TileMatrixSet}/{TileMatrix}/{TileRow}/{TileCol}"/>
        <s v="https://wmts.nlsc.gov.tw/wmts/ConvenienceStore/{Style}/{TileMatrixSet}/{TileMatrix}/{TileRow}/{TileCol}"/>
        <s v="https://wmts.nlsc.gov.tw/wmts/DDEM05/{Style}/{TileMatrixSet}/{TileMatrix}/{TileRow}/{TileCol}"/>
        <s v="https://wmts.nlsc.gov.tw/wmts/EMAP/{Style}/{TileMatrixSet}/{TileMatrix}/{TileRow}/{TileCol}"/>
        <s v="https://wmts.nlsc.gov.tw/wmts/EMAP01/{Style}/{TileMatrixSet}/{TileMatrix}/{TileRow}/{TileCol}"/>
        <s v="https://wmts.nlsc.gov.tw/wmts/EMAP12/{Style}/{TileMatrixSet}/{TileMatrix}/{TileRow}/{TileCol}"/>
        <s v="https://wmts.nlsc.gov.tw/wmts/EMAP15/{Style}/{TileMatrixSet}/{TileMatrix}/{TileRow}/{TileCol}"/>
        <s v="https://wmts.nlsc.gov.tw/wmts/EMAP16/{Style}/{TileMatrixSet}/{TileMatrix}/{TileRow}/{TileCol}"/>
        <s v="https://wmts.nlsc.gov.tw/wmts/EMAP2/{Style}/{TileMatrixSet}/{TileMatrix}/{TileRow}/{TileCol}"/>
        <s v="https://wmts.nlsc.gov.tw/wmts/EMAP5_OPENDATA/{Style}/{TileMatrixSet}/{TileMatrix}/{TileRow}/{TileCol}"/>
        <s v="https://wmts.nlsc.gov.tw/wmts/EMAP5/{Style}/{TileMatrixSet}/{TileMatrix}/{TileRow}/{TileCol}"/>
        <s v="https://wmts.nlsc.gov.tw/wmts/EMAP6_OPENDATA/{Style}/{TileMatrixSet}/{TileMatrix}/{TileRow}/{TileCol}"/>
        <s v="https://wmts.nlsc.gov.tw/wmts/EMAP6/{Style}/{TileMatrixSet}/{TileMatrix}/{TileRow}/{TileCol}"/>
        <s v="https://wmts.nlsc.gov.tw/wmts/EMAP7/{Style}/{TileMatrixSet}/{TileMatrix}/{TileRow}/{TileCol}"/>
        <s v="https://wmts.nlsc.gov.tw/wmts/EMAP8/{Style}/{TileMatrixSet}/{TileMatrix}/{TileRow}/{TileCol}"/>
        <s v="https://wmts.nlsc.gov.tw/wmts/EMAP9/{Style}/{TileMatrixSet}/{TileMatrix}/{TileRow}/{TileCol}"/>
        <s v="https://wmts.nlsc.gov.tw/wmts/EMAP96/{Style}/{TileMatrixSet}/{TileMatrix}/{TileRow}/{TileCol}"/>
        <s v="https://wmts.nlsc.gov.tw/wmts/EMAP97/{Style}/{TileMatrixSet}/{TileMatrix}/{TileRow}/{TileCol}"/>
        <s v="https://wmts.nlsc.gov.tw/wmts/EMAP98/{Style}/{TileMatrixSet}/{TileMatrix}/{TileRow}/{TileCol}"/>
        <s v="https://wmts.nlsc.gov.tw/wmts/EMAPX99/{Style}/{TileMatrixSet}/{TileMatrix}/{TileRow}/{TileCol}"/>
        <s v="https://wmts.nlsc.gov.tw/wmts/fireplug/{Style}/{TileMatrixSet}/{TileMatrix}/{TileRow}/{TileCol}"/>
        <s v="https://wmts.nlsc.gov.tw/wmts/GeoSensitive/{Style}/{TileMatrixSet}/{TileMatrix}/{TileRow}/{TileCol}"/>
        <s v="https://wmts.nlsc.gov.tw/wmts/GeoSensitive2/{Style}/{TileMatrixSet}/{TileMatrix}/{TileRow}/{TileCol}"/>
        <s v="https://wmts.nlsc.gov.tw/wmts/LAND_OPENDATA/{Style}/{TileMatrixSet}/{TileMatrix}/{TileRow}/{TileCol}"/>
        <s v="https://wmts.nlsc.gov.tw/wmts/LandOffice/{Style}/{TileMatrixSet}/{TileMatrix}/{TileRow}/{TileCol}"/>
        <s v="https://wmts.nlsc.gov.tw/wmts/LANDSECT/{Style}/{TileMatrixSet}/{TileMatrix}/{TileRow}/{TileCol}"/>
        <s v="https://wmts.nlsc.gov.tw/wmts/LANDSECT2/{Style}/{TileMatrixSet}/{TileMatrix}/{TileRow}/{TileCol}"/>
        <s v="https://wmts.nlsc.gov.tw/wmts/LUIMAP/{Style}/{TileMatrixSet}/{TileMatrix}/{TileRow}/{TileCol}"/>
        <s v="https://wmts.nlsc.gov.tw/wmts/LUIMAP01/{Style}/{TileMatrixSet}/{TileMatrix}/{TileRow}/{TileCol}"/>
        <s v="https://wmts.nlsc.gov.tw/wmts/LUIMAP02/{Style}/{TileMatrixSet}/{TileMatrix}/{TileRow}/{TileCol}"/>
        <s v="https://wmts.nlsc.gov.tw/wmts/LUIMAP03/{Style}/{TileMatrixSet}/{TileMatrix}/{TileRow}/{TileCol}"/>
        <s v="https://wmts.nlsc.gov.tw/wmts/LUIMAP04/{Style}/{TileMatrixSet}/{TileMatrix}/{TileRow}/{TileCol}"/>
        <s v="https://wmts.nlsc.gov.tw/wmts/LUIMAP05/{Style}/{TileMatrixSet}/{TileMatrix}/{TileRow}/{TileCol}"/>
        <s v="https://wmts.nlsc.gov.tw/wmts/LUIMAP06/{Style}/{TileMatrixSet}/{TileMatrix}/{TileRow}/{TileCol}"/>
        <s v="https://wmts.nlsc.gov.tw/wmts/LUIMAP07/{Style}/{TileMatrixSet}/{TileMatrix}/{TileRow}/{TileCol}"/>
        <s v="https://wmts.nlsc.gov.tw/wmts/LUIMAP08/{Style}/{TileMatrixSet}/{TileMatrix}/{TileRow}/{TileCol}"/>
        <s v="https://wmts.nlsc.gov.tw/wmts/LUIMAP09/{Style}/{TileMatrixSet}/{TileMatrix}/{TileRow}/{TileCol}"/>
        <s v="https://wmts.nlsc.gov.tw/wmts/LUIMAP100/{Style}/{TileMatrixSet}/{TileMatrix}/{TileRow}/{TileCol}"/>
        <s v="https://wmts.nlsc.gov.tw/wmts/LUIMAP101/{Style}/{TileMatrixSet}/{TileMatrix}/{TileRow}/{TileCol}"/>
        <s v="https://wmts.nlsc.gov.tw/wmts/LUIMAP102/{Style}/{TileMatrixSet}/{TileMatrix}/{TileRow}/{TileCol}"/>
        <s v="https://wmts.nlsc.gov.tw/wmts/LUIMAP103/{Style}/{TileMatrixSet}/{TileMatrix}/{TileRow}/{TileCol}"/>
        <s v="https://wmts.nlsc.gov.tw/wmts/LUIMAP104/{Style}/{TileMatrixSet}/{TileMatrix}/{TileRow}/{TileCol}"/>
        <s v="https://wmts.nlsc.gov.tw/wmts/LUIMAP105/{Style}/{TileMatrixSet}/{TileMatrix}/{TileRow}/{TileCol}"/>
        <s v="https://wmts.nlsc.gov.tw/wmts/LUIMAP106/{Style}/{TileMatrixSet}/{TileMatrix}/{TileRow}/{TileCol}"/>
        <s v="https://wmts.nlsc.gov.tw/wmts/LUIMAP107/{Style}/{TileMatrixSet}/{TileMatrix}/{TileRow}/{TileCol}"/>
        <s v="https://wmts.nlsc.gov.tw/wmts/LUIMAP108/{Style}/{TileMatrixSet}/{TileMatrix}/{TileRow}/{TileCol}"/>
        <s v="https://wmts.nlsc.gov.tw/wmts/LUIMAP109/{Style}/{TileMatrixSet}/{TileMatrix}/{TileRow}/{TileCol}"/>
        <s v="https://wmts.nlsc.gov.tw/wmts/LUIMAP110/{Style}/{TileMatrixSet}/{TileMatrix}/{TileRow}/{TileCol}"/>
        <s v="https://wmts.nlsc.gov.tw/wmts/LUIMAP111/{Style}/{TileMatrixSet}/{TileMatrix}/{TileRow}/{TileCol}"/>
        <s v="https://wmts.nlsc.gov.tw/wmts/LUIMAP112/{Style}/{TileMatrixSet}/{TileMatrix}/{TileRow}/{TileCol}"/>
        <s v="https://wmts.nlsc.gov.tw/wmts/LUIMAP113/{Style}/{TileMatrixSet}/{TileMatrix}/{TileRow}/{TileCol}"/>
        <s v="https://wmts.nlsc.gov.tw/wmts/LUIMAP114/{Style}/{TileMatrixSet}/{TileMatrix}/{TileRow}/{TileCol}"/>
        <s v="https://wmts.nlsc.gov.tw/wmts/LUIMAP82/{Style}/{TileMatrixSet}/{TileMatrix}/{TileRow}/{TileCol}"/>
        <s v="https://wmts.nlsc.gov.tw/wmts/LUIMAP95/{Style}/{TileMatrixSet}/{TileMatrix}/{TileRow}/{TileCol}"/>
        <s v="https://wmts.nlsc.gov.tw/wmts/LUIMAP98/{Style}/{TileMatrixSet}/{TileMatrix}/{TileRow}/{TileCol}"/>
        <s v="https://wmts.nlsc.gov.tw/wmts/LUIMAP99/{Style}/{TileMatrixSet}/{TileMatrix}/{TileRow}/{TileCol}"/>
        <s v="https://wmts.nlsc.gov.tw/wmts/MB5000/{Style}/{TileMatrixSet}/{TileMatrix}/{TileRow}/{TileCol}"/>
        <s v="https://wmts.nlsc.gov.tw/wmts/MOI_ASPECT/{Style}/{TileMatrixSet}/{TileMatrix}/{TileRow}/{TileCol}"/>
        <s v="https://wmts.nlsc.gov.tw/wmts/MOI_CONTOUR_2/{Style}/{TileMatrixSet}/{TileMatrix}/{TileRow}/{TileCol}"/>
        <s v="https://wmts.nlsc.gov.tw/wmts/MOI_CONTOUR/{Style}/{TileMatrixSet}/{TileMatrix}/{TileRow}/{TileCol}"/>
        <s v="https://wmts.nlsc.gov.tw/wmts/MOI_HILLSHADE/{Style}/{TileMatrixSet}/{TileMatrix}/{TileRow}/{TileCol}"/>
        <s v="https://wmts.nlsc.gov.tw/wmts/MOI_SHADERMAP/{Style}/{TileMatrixSet}/{TileMatrix}/{TileRow}/{TileCol}"/>
        <s v="https://wmts.nlsc.gov.tw/wmts/MOI_SLOPEP_GT30_2/{Style}/{TileMatrixSet}/{TileMatrix}/{TileRow}/{TileCol}"/>
        <s v="https://wmts.nlsc.gov.tw/wmts/MOI_SLOPEP_GT30/{Style}/{TileMatrixSet}/{TileMatrix}/{TileRow}/{TileCol}"/>
        <s v="https://wmts.nlsc.gov.tw/wmts/MOI_SLOPEP_LV7_2/{Style}/{TileMatrixSet}/{TileMatrix}/{TileRow}/{TileCol}"/>
        <s v="https://wmts.nlsc.gov.tw/wmts/MOI_SLOPEP_LV7/{Style}/{TileMatrixSet}/{TileMatrix}/{TileRow}/{TileCol}"/>
        <s v="https://wmts.nlsc.gov.tw/wmts/nURBAN1/{Style}/{TileMatrixSet}/{TileMatrix}/{TileRow}/{TileCol}"/>
        <s v="https://wmts.nlsc.gov.tw/wmts/nURBAN2/{Style}/{TileMatrixSet}/{TileMatrix}/{TileRow}/{TileCol}"/>
        <s v="https://wmts.nlsc.gov.tw/wmts/PHOTO_MIX/{Style}/{TileMatrixSet}/{TileMatrix}/{TileRow}/{TileCol}"/>
        <s v="https://wmts.nlsc.gov.tw/wmts/PHOTO_VA/{Style}/{TileMatrixSet}/{TileMatrix}/{TileRow}/{TileCol}"/>
        <s v="https://wmts.nlsc.gov.tw/wmts/PHOTO1/{Style}/{TileMatrixSet}/{TileMatrix}/{TileRow}/{TileCol}"/>
        <s v="https://wmts.nlsc.gov.tw/wmts/PHOTO2/{Style}/{TileMatrixSet}/{TileMatrix}/{TileRow}/{TileCol}"/>
        <s v="https://wmts.nlsc.gov.tw/wmts/PHOTO2014/{Style}/{TileMatrixSet}/{TileMatrix}/{TileRow}/{TileCol}"/>
        <s v="https://wmts.nlsc.gov.tw/wmts/PHOTO2015/{Style}/{TileMatrixSet}/{TileMatrix}/{TileRow}/{TileCol}"/>
        <s v="https://wmts.nlsc.gov.tw/wmts/PHOTO2016/{Style}/{TileMatrixSet}/{TileMatrix}/{TileRow}/{TileCol}"/>
        <s v="https://wmts.nlsc.gov.tw/wmts/PHOTO2017/{Style}/{TileMatrixSet}/{TileMatrix}/{TileRow}/{TileCol}"/>
        <s v="https://wmts.nlsc.gov.tw/wmts/PHOTO2018/{Style}/{TileMatrixSet}/{TileMatrix}/{TileRow}/{TileCol}"/>
        <s v="https://wmts.nlsc.gov.tw/wmts/PHOTO2019/{Style}/{TileMatrixSet}/{TileMatrix}/{TileRow}/{TileCol}"/>
        <s v="https://wmts.nlsc.gov.tw/wmts/PHOTO2020/{Style}/{TileMatrixSet}/{TileMatrix}/{TileRow}/{TileCol}"/>
        <s v="https://wmts.nlsc.gov.tw/wmts/PHOTO2021/{Style}/{TileMatrixSet}/{TileMatrix}/{TileRow}/{TileCol}"/>
        <s v="https://wmts.nlsc.gov.tw/wmts/PHOTO2022/{Style}/{TileMatrixSet}/{TileMatrix}/{TileRow}/{TileCol}"/>
        <s v="https://wmts.nlsc.gov.tw/wmts/PHOTO2023/{Style}/{TileMatrixSet}/{TileMatrix}/{TileRow}/{TileCol}"/>
        <s v="https://wmts.nlsc.gov.tw/wmts/PHOTO2024/{Style}/{TileMatrixSet}/{TileMatrix}/{TileRow}/{TileCol}"/>
        <s v="https://wmts.nlsc.gov.tw/wmts/PHOTO2025/{Style}/{TileMatrixSet}/{TileMatrix}/{TileRow}/{TileCol}"/>
        <s v="https://wmts.nlsc.gov.tw/wmts/ROAD/{Style}/{TileMatrixSet}/{TileMatrix}/{TileRow}/{TileCol}"/>
        <s v="https://wmts.nlsc.gov.tw/wmts/SCHOOL/{Style}/{TileMatrixSet}/{TileMatrix}/{TileRow}/{TileCol}"/>
        <s v="https://wmts.nlsc.gov.tw/wmts/SHELTERS/{Style}/{TileMatrixSet}/{TileMatrix}/{TileRow}/{TileCol}"/>
        <s v="https://wmts.nlsc.gov.tw/wmts/SoilLiquefaction/{Style}/{TileMatrixSet}/{TileMatrix}/{TileRow}/{TileCol}"/>
        <s v="https://wmts.nlsc.gov.tw/wmts/SoilLiquefaction2/{Style}/{TileMatrixSet}/{TileMatrix}/{TileRow}/{TileCol}"/>
        <s v="https://wmts.nlsc.gov.tw/wmts/TOPO01K_B01/{Style}/{TileMatrixSet}/{TileMatrix}/{TileRow}/{TileCol}"/>
        <s v="https://wmts.nlsc.gov.tw/wmts/TOPO01K_B02/{Style}/{TileMatrixSet}/{TileMatrix}/{TileRow}/{TileCol}"/>
        <s v="https://wmts.nlsc.gov.tw/wmts/TOPO01K_B03/{Style}/{TileMatrixSet}/{TileMatrix}/{TileRow}/{TileCol}"/>
        <s v="https://wmts.nlsc.gov.tw/wmts/TOPO01K_B04/{Style}/{TileMatrixSet}/{TileMatrix}/{TileRow}/{TileCol}"/>
        <s v="https://wmts.nlsc.gov.tw/wmts/TOPO01K_B05/{Style}/{TileMatrixSet}/{TileMatrix}/{TileRow}/{TileCol}"/>
        <s v="https://wmts.nlsc.gov.tw/wmts/TOPO01K_B06/{Style}/{TileMatrixSet}/{TileMatrix}/{TileRow}/{TileCol}"/>
        <s v="https://wmts.nlsc.gov.tw/wmts/TOPO01K_B07/{Style}/{TileMatrixSet}/{TileMatrix}/{TileRow}/{TileCol}"/>
        <s v="https://wmts.nlsc.gov.tw/wmts/TOPO01K_B08/{Style}/{TileMatrixSet}/{TileMatrix}/{TileRow}/{TileCol}"/>
        <s v="https://wmts.nlsc.gov.tw/wmts/TOPO01K_B09/{Style}/{TileMatrixSet}/{TileMatrix}/{TileRow}/{TileCol}"/>
        <s v="https://wmts.nlsc.gov.tw/wmts/TOPO01K_B10/{Style}/{TileMatrixSet}/{TileMatrix}/{TileRow}/{TileCol}"/>
        <s v="https://wmts.nlsc.gov.tw/wmts/TOPO01K_B11/{Style}/{TileMatrixSet}/{TileMatrix}/{TileRow}/{TileCol}"/>
        <s v="https://wmts.nlsc.gov.tw/wmts/TOPO01K_B12/{Style}/{TileMatrixSet}/{TileMatrix}/{TileRow}/{TileCol}"/>
        <s v="https://wmts.nlsc.gov.tw/wmts/TOPO01K_B13/{Style}/{TileMatrixSet}/{TileMatrix}/{TileRow}/{TileCol}"/>
        <s v="https://wmts.nlsc.gov.tw/wmts/TOPO01K_B14/{Style}/{TileMatrixSet}/{TileMatrix}/{TileRow}/{TileCol}"/>
        <s v="https://wmts.nlsc.gov.tw/wmts/TOPO01K_B15/{Style}/{TileMatrixSet}/{TileMatrix}/{TileRow}/{TileCol}"/>
        <s v="https://wmts.nlsc.gov.tw/wmts/TOPO01K_B16/{Style}/{TileMatrixSet}/{TileMatrix}/{TileRow}/{TileCol}"/>
        <s v="https://wmts.nlsc.gov.tw/wmts/TOPO01K_B17/{Style}/{TileMatrixSet}/{TileMatrix}/{TileRow}/{TileCol}"/>
        <s v="https://wmts.nlsc.gov.tw/wmts/TOPO01K_B18/{Style}/{TileMatrixSet}/{TileMatrix}/{TileRow}/{TileCol}"/>
        <s v="https://wmts.nlsc.gov.tw/wmts/TOPO01K_B19/{Style}/{TileMatrixSet}/{TileMatrix}/{TileRow}/{TileCol}"/>
        <s v="https://wmts.nlsc.gov.tw/wmts/TOPO01K_B20/{Style}/{TileMatrixSet}/{TileMatrix}/{TileRow}/{TileCol}"/>
        <s v="https://wmts.nlsc.gov.tw/wmts/TOPO01K_B21/{Style}/{TileMatrixSet}/{TileMatrix}/{TileRow}/{TileCol}"/>
        <s v="https://wmts.nlsc.gov.tw/wmts/TOPO01K_B22/{Style}/{TileMatrixSet}/{TileMatrix}/{TileRow}/{TileCol}"/>
        <s v="https://wmts.nlsc.gov.tw/wmts/TOPO01K_B23/{Style}/{TileMatrixSet}/{TileMatrix}/{TileRow}/{TileCol}"/>
        <s v="https://wmts.nlsc.gov.tw/wmts/TOPO01K_B24/{Style}/{TileMatrixSet}/{TileMatrix}/{TileRow}/{TileCol}"/>
        <s v="https://wmts.nlsc.gov.tw/wmts/TOPO01K_B25/{Style}/{TileMatrixSet}/{TileMatrix}/{TileRow}/{TileCol}"/>
        <s v="https://wmts.nlsc.gov.tw/wmts/TOPO01K_B26/{Style}/{TileMatrixSet}/{TileMatrix}/{TileRow}/{TileCol}"/>
        <s v="https://wmts.nlsc.gov.tw/wmts/TOPO01K_B27/{Style}/{TileMatrixSet}/{TileMatrix}/{TileRow}/{TileCol}"/>
        <s v="https://wmts.nlsc.gov.tw/wmts/TOPO01K_B28/{Style}/{TileMatrixSet}/{TileMatrix}/{TileRow}/{TileCol}"/>
        <s v="https://wmts.nlsc.gov.tw/wmts/TOPO01K_B29/{Style}/{TileMatrixSet}/{TileMatrix}/{TileRow}/{TileCol}"/>
        <s v="https://wmts.nlsc.gov.tw/wmts/TOPO01K_B30/{Style}/{TileMatrixSet}/{TileMatrix}/{TileRow}/{TileCol}"/>
        <s v="https://wmts.nlsc.gov.tw/wmts/TOPO01K_B31/{Style}/{TileMatrixSet}/{TileMatrix}/{TileRow}/{TileCol}"/>
        <s v="https://wmts.nlsc.gov.tw/wmts/TOPO01K_B32/{Style}/{TileMatrixSet}/{TileMatrix}/{TileRow}/{TileCol}"/>
        <s v="https://wmts.nlsc.gov.tw/wmts/TOPO01K_C01/{Style}/{TileMatrixSet}/{TileMatrix}/{TileRow}/{TileCol}"/>
        <s v="https://wmts.nlsc.gov.tw/wmts/TOPO01K_C02/{Style}/{TileMatrixSet}/{TileMatrix}/{TileRow}/{TileCol}"/>
        <s v="https://wmts.nlsc.gov.tw/wmts/TOPO01K_D93/{Style}/{TileMatrixSet}/{TileMatrix}/{TileRow}/{TileCol}"/>
        <s v="https://wmts.nlsc.gov.tw/wmts/TOPO01K_D97/{Style}/{TileMatrixSet}/{TileMatrix}/{TileRow}/{TileCol}"/>
        <s v="https://wmts.nlsc.gov.tw/wmts/TOPO01K_D99/{Style}/{TileMatrixSet}/{TileMatrix}/{TileRow}/{TileCol}"/>
        <s v="https://wmts.nlsc.gov.tw/wmts/TOPO01K_DA0/{Style}/{TileMatrixSet}/{TileMatrix}/{TileRow}/{TileCol}"/>
        <s v="https://wmts.nlsc.gov.tw/wmts/TOPO01K_DA1/{Style}/{TileMatrixSet}/{TileMatrix}/{TileRow}/{TileCol}"/>
        <s v="https://wmts.nlsc.gov.tw/wmts/TOPO01K_DA2/{Style}/{TileMatrixSet}/{TileMatrix}/{TileRow}/{TileCol}"/>
        <s v="https://wmts.nlsc.gov.tw/wmts/TOPO01K_E01/{Style}/{TileMatrixSet}/{TileMatrix}/{TileRow}/{TileCol}"/>
        <s v="https://wmts.nlsc.gov.tw/wmts/TOPO01K_E02/{Style}/{TileMatrixSet}/{TileMatrix}/{TileRow}/{TileCol}"/>
        <s v="https://wmts.nlsc.gov.tw/wmts/TOPO01K_E03/{Style}/{TileMatrixSet}/{TileMatrix}/{TileRow}/{TileCol}"/>
        <s v="https://wmts.nlsc.gov.tw/wmts/TOPO01K_E04/{Style}/{TileMatrixSet}/{TileMatrix}/{TileRow}/{TileCol}"/>
        <s v="https://wmts.nlsc.gov.tw/wmts/TOPO01K_E05/{Style}/{TileMatrixSet}/{TileMatrix}/{TileRow}/{TileCol}"/>
        <s v="https://wmts.nlsc.gov.tw/wmts/TOPO01K_E06/{Style}/{TileMatrixSet}/{TileMatrix}/{TileRow}/{TileCol}"/>
        <s v="https://wmts.nlsc.gov.tw/wmts/TOPO01K_E07/{Style}/{TileMatrixSet}/{TileMatrix}/{TileRow}/{TileCol}"/>
        <s v="https://wmts.nlsc.gov.tw/wmts/TOPO01K_E08/{Style}/{TileMatrixSet}/{TileMatrix}/{TileRow}/{TileCol}"/>
        <s v="https://wmts.nlsc.gov.tw/wmts/TOPO01K_E09/{Style}/{TileMatrixSet}/{TileMatrix}/{TileRow}/{TileCol}"/>
        <s v="https://wmts.nlsc.gov.tw/wmts/TOPO01K_E10/{Style}/{TileMatrixSet}/{TileMatrix}/{TileRow}/{TileCol}"/>
        <s v="https://wmts.nlsc.gov.tw/wmts/TOPO01K_E11/{Style}/{TileMatrixSet}/{TileMatrix}/{TileRow}/{TileCol}"/>
        <s v="https://wmts.nlsc.gov.tw/wmts/TOPO01K_E12/{Style}/{TileMatrixSet}/{TileMatrix}/{TileRow}/{TileCol}"/>
        <s v="https://wmts.nlsc.gov.tw/wmts/TOPO01K_E13/{Style}/{TileMatrixSet}/{TileMatrix}/{TileRow}/{TileCol}"/>
        <s v="https://wmts.nlsc.gov.tw/wmts/TOPO01K_E14/{Style}/{TileMatrixSet}/{TileMatrix}/{TileRow}/{TileCol}"/>
        <s v="https://wmts.nlsc.gov.tw/wmts/TOPO01K_E15/{Style}/{TileMatrixSet}/{TileMatrix}/{TileRow}/{TileCol}"/>
        <s v="https://wmts.nlsc.gov.tw/wmts/TOPO01K_E16/{Style}/{TileMatrixSet}/{TileMatrix}/{TileRow}/{TileCol}"/>
        <s v="https://wmts.nlsc.gov.tw/wmts/TOPO01K_E17/{Style}/{TileMatrixSet}/{TileMatrix}/{TileRow}/{TileCol}"/>
        <s v="https://wmts.nlsc.gov.tw/wmts/TOPO01K_E18/{Style}/{TileMatrixSet}/{TileMatrix}/{TileRow}/{TileCol}"/>
        <s v="https://wmts.nlsc.gov.tw/wmts/TOPO01K_E19/{Style}/{TileMatrixSet}/{TileMatrix}/{TileRow}/{TileCol}"/>
        <s v="https://wmts.nlsc.gov.tw/wmts/TOPO01K_E20/{Style}/{TileMatrixSet}/{TileMatrix}/{TileRow}/{TileCol}"/>
        <s v="https://wmts.nlsc.gov.tw/wmts/TOPO01K_E21/{Style}/{TileMatrixSet}/{TileMatrix}/{TileRow}/{TileCol}"/>
        <s v="https://wmts.nlsc.gov.tw/wmts/TOPO01K_E22/{Style}/{TileMatrixSet}/{TileMatrix}/{TileRow}/{TileCol}"/>
        <s v="https://wmts.nlsc.gov.tw/wmts/TOPO01K_E23/{Style}/{TileMatrixSet}/{TileMatrix}/{TileRow}/{TileCol}"/>
        <s v="https://wmts.nlsc.gov.tw/wmts/TOPO01K_E24/{Style}/{TileMatrixSet}/{TileMatrix}/{TileRow}/{TileCol}"/>
        <s v="https://wmts.nlsc.gov.tw/wmts/TOPO01K_E25/{Style}/{TileMatrixSet}/{TileMatrix}/{TileRow}/{TileCol}"/>
        <s v="https://wmts.nlsc.gov.tw/wmts/TOPO01K_E26/{Style}/{TileMatrixSet}/{TileMatrix}/{TileRow}/{TileCol}"/>
        <s v="https://wmts.nlsc.gov.tw/wmts/TOPO01K_E27/{Style}/{TileMatrixSet}/{TileMatrix}/{TileRow}/{TileCol}"/>
        <s v="https://wmts.nlsc.gov.tw/wmts/TOPO01K_E28/{Style}/{TileMatrixSet}/{TileMatrix}/{TileRow}/{TileCol}"/>
        <s v="https://wmts.nlsc.gov.tw/wmts/TOPO01K_E29/{Style}/{TileMatrixSet}/{TileMatrix}/{TileRow}/{TileCol}"/>
        <s v="https://wmts.nlsc.gov.tw/wmts/TOPO01K_E30/{Style}/{TileMatrixSet}/{TileMatrix}/{TileRow}/{TileCol}"/>
        <s v="https://wmts.nlsc.gov.tw/wmts/TOPO01K_E31/{Style}/{TileMatrixSet}/{TileMatrix}/{TileRow}/{TileCol}"/>
        <s v="https://wmts.nlsc.gov.tw/wmts/TOPO01K_E32/{Style}/{TileMatrixSet}/{TileMatrix}/{TileRow}/{TileCol}"/>
        <s v="https://wmts.nlsc.gov.tw/wmts/TOPO01K_E34/{Style}/{TileMatrixSet}/{TileMatrix}/{TileRow}/{TileCol}"/>
        <s v="https://wmts.nlsc.gov.tw/wmts/TOPO01K_E35/{Style}/{TileMatrixSet}/{TileMatrix}/{TileRow}/{TileCol}"/>
        <s v="https://wmts.nlsc.gov.tw/wmts/TOPO01K_E36/{Style}/{TileMatrixSet}/{TileMatrix}/{TileRow}/{TileCol}"/>
        <s v="https://wmts.nlsc.gov.tw/wmts/TOPO01K_E37/{Style}/{TileMatrixSet}/{TileMatrix}/{TileRow}/{TileCol}"/>
        <s v="https://wmts.nlsc.gov.tw/wmts/TOPO01K_E38/{Style}/{TileMatrixSet}/{TileMatrix}/{TileRow}/{TileCol}"/>
        <s v="https://wmts.nlsc.gov.tw/wmts/TOPO01K_F01/{Style}/{TileMatrixSet}/{TileMatrix}/{TileRow}/{TileCol}"/>
        <s v="https://wmts.nlsc.gov.tw/wmts/TOPO01K_F02/{Style}/{TileMatrixSet}/{TileMatrix}/{TileRow}/{TileCol}"/>
        <s v="https://wmts.nlsc.gov.tw/wmts/TOPO01K_F03/{Style}/{TileMatrixSet}/{TileMatrix}/{TileRow}/{TileCol}"/>
        <s v="https://wmts.nlsc.gov.tw/wmts/TOPO01K_F04/{Style}/{TileMatrixSet}/{TileMatrix}/{TileRow}/{TileCol}"/>
        <s v="https://wmts.nlsc.gov.tw/wmts/TOPO01K_F05/{Style}/{TileMatrixSet}/{TileMatrix}/{TileRow}/{TileCol}"/>
        <s v="https://wmts.nlsc.gov.tw/wmts/TOPO01K_F06/{Style}/{TileMatrixSet}/{TileMatrix}/{TileRow}/{TileCol}"/>
        <s v="https://wmts.nlsc.gov.tw/wmts/TOPO01K_F07/{Style}/{TileMatrixSet}/{TileMatrix}/{TileRow}/{TileCol}"/>
        <s v="https://wmts.nlsc.gov.tw/wmts/TOPO01K_F08/{Style}/{TileMatrixSet}/{TileMatrix}/{TileRow}/{TileCol}"/>
        <s v="https://wmts.nlsc.gov.tw/wmts/TOPO01K_F09/{Style}/{TileMatrixSet}/{TileMatrix}/{TileRow}/{TileCol}"/>
        <s v="https://wmts.nlsc.gov.tw/wmts/TOPO01K_F10/{Style}/{TileMatrixSet}/{TileMatrix}/{TileRow}/{TileCol}"/>
        <s v="https://wmts.nlsc.gov.tw/wmts/TOPO01K_F11/{Style}/{TileMatrixSet}/{TileMatrix}/{TileRow}/{TileCol}"/>
        <s v="https://wmts.nlsc.gov.tw/wmts/TOPO01K_F12/{Style}/{TileMatrixSet}/{TileMatrix}/{TileRow}/{TileCol}"/>
        <s v="https://wmts.nlsc.gov.tw/wmts/TOPO01K_F13/{Style}/{TileMatrixSet}/{TileMatrix}/{TileRow}/{TileCol}"/>
        <s v="https://wmts.nlsc.gov.tw/wmts/TOPO01K_F14/{Style}/{TileMatrixSet}/{TileMatrix}/{TileRow}/{TileCol}"/>
        <s v="https://wmts.nlsc.gov.tw/wmts/TOPO01K_F15/{Style}/{TileMatrixSet}/{TileMatrix}/{TileRow}/{TileCol}"/>
        <s v="https://wmts.nlsc.gov.tw/wmts/TOPO01K_F16/{Style}/{TileMatrixSet}/{TileMatrix}/{TileRow}/{TileCol}"/>
        <s v="https://wmts.nlsc.gov.tw/wmts/TOPO01K_F17/{Style}/{TileMatrixSet}/{TileMatrix}/{TileRow}/{TileCol}"/>
        <s v="https://wmts.nlsc.gov.tw/wmts/TOPO01K_F18/{Style}/{TileMatrixSet}/{TileMatrix}/{TileRow}/{TileCol}"/>
        <s v="https://wmts.nlsc.gov.tw/wmts/TOPO01K_F19/{Style}/{TileMatrixSet}/{TileMatrix}/{TileRow}/{TileCol}"/>
        <s v="https://wmts.nlsc.gov.tw/wmts/TOPO01K_F20/{Style}/{TileMatrixSet}/{TileMatrix}/{TileRow}/{TileCol}"/>
        <s v="https://wmts.nlsc.gov.tw/wmts/TOPO01K_F21/{Style}/{TileMatrixSet}/{TileMatrix}/{TileRow}/{TileCol}"/>
        <s v="https://wmts.nlsc.gov.tw/wmts/TOPO01K_F22/{Style}/{TileMatrixSet}/{TileMatrix}/{TileRow}/{TileCol}"/>
        <s v="https://wmts.nlsc.gov.tw/wmts/TOPO01K_F23/{Style}/{TileMatrixSet}/{TileMatrix}/{TileRow}/{TileCol}"/>
        <s v="https://wmts.nlsc.gov.tw/wmts/TOPO01K_F24/{Style}/{TileMatrixSet}/{TileMatrix}/{TileRow}/{TileCol}"/>
        <s v="https://wmts.nlsc.gov.tw/wmts/TOPO01K_F25/{Style}/{TileMatrixSet}/{TileMatrix}/{TileRow}/{TileCol}"/>
        <s v="https://wmts.nlsc.gov.tw/wmts/TOPO01K_F26/{Style}/{TileMatrixSet}/{TileMatrix}/{TileRow}/{TileCol}"/>
        <s v="https://wmts.nlsc.gov.tw/wmts/TOPO01K_F27/{Style}/{TileMatrixSet}/{TileMatrix}/{TileRow}/{TileCol}"/>
        <s v="https://wmts.nlsc.gov.tw/wmts/TOPO01K_F28/{Style}/{TileMatrixSet}/{TileMatrix}/{TileRow}/{TileCol}"/>
        <s v="https://wmts.nlsc.gov.tw/wmts/TOPO01K_F29/{Style}/{TileMatrixSet}/{TileMatrix}/{TileRow}/{TileCol}"/>
        <s v="https://wmts.nlsc.gov.tw/wmts/TOPO01K_F30/{Style}/{TileMatrixSet}/{TileMatrix}/{TileRow}/{TileCol}"/>
        <s v="https://wmts.nlsc.gov.tw/wmts/TOPO01K_F31/{Style}/{TileMatrixSet}/{TileMatrix}/{TileRow}/{TileCol}"/>
        <s v="https://wmts.nlsc.gov.tw/wmts/TOPO01K_F32/{Style}/{TileMatrixSet}/{TileMatrix}/{TileRow}/{TileCol}"/>
        <s v="https://wmts.nlsc.gov.tw/wmts/TOPO01K_F33/{Style}/{TileMatrixSet}/{TileMatrix}/{TileRow}/{TileCol}"/>
        <s v="https://wmts.nlsc.gov.tw/wmts/TOPO01K_F34/{Style}/{TileMatrixSet}/{TileMatrix}/{TileRow}/{TileCol}"/>
        <s v="https://wmts.nlsc.gov.tw/wmts/TOPO01K_F35/{Style}/{TileMatrixSet}/{TileMatrix}/{TileRow}/{TileCol}"/>
        <s v="https://wmts.nlsc.gov.tw/wmts/TOPO01K_F36/{Style}/{TileMatrixSet}/{TileMatrix}/{TileRow}/{TileCol}"/>
        <s v="https://wmts.nlsc.gov.tw/wmts/TOPO01K_F37/{Style}/{TileMatrixSet}/{TileMatrix}/{TileRow}/{TileCol}"/>
        <s v="https://wmts.nlsc.gov.tw/wmts/TOPO01K_F38/{Style}/{TileMatrixSet}/{TileMatrix}/{TileRow}/{TileCol}"/>
        <s v="https://wmts.nlsc.gov.tw/wmts/TOPO01K_F39/{Style}/{TileMatrixSet}/{TileMatrix}/{TileRow}/{TileCol}"/>
        <s v="https://wmts.nlsc.gov.tw/wmts/TOPO01K_F40/{Style}/{TileMatrixSet}/{TileMatrix}/{TileRow}/{TileCol}"/>
        <s v="https://wmts.nlsc.gov.tw/wmts/TOPO01K_F41/{Style}/{TileMatrixSet}/{TileMatrix}/{TileRow}/{TileCol}"/>
        <s v="https://wmts.nlsc.gov.tw/wmts/TOPO01K_F42/{Style}/{TileMatrixSet}/{TileMatrix}/{TileRow}/{TileCol}"/>
        <s v="https://wmts.nlsc.gov.tw/wmts/TOPO01K_F43/{Style}/{TileMatrixSet}/{TileMatrix}/{TileRow}/{TileCol}"/>
        <s v="https://wmts.nlsc.gov.tw/wmts/TOPO01K_F44/{Style}/{TileMatrixSet}/{TileMatrix}/{TileRow}/{TileCol}"/>
        <s v="https://wmts.nlsc.gov.tw/wmts/TOPO01K_F45/{Style}/{TileMatrixSet}/{TileMatrix}/{TileRow}/{TileCol}"/>
        <s v="https://wmts.nlsc.gov.tw/wmts/TOPO01K_F46/{Style}/{TileMatrixSet}/{TileMatrix}/{TileRow}/{TileCol}"/>
        <s v="https://wmts.nlsc.gov.tw/wmts/TOPO01K_F47/{Style}/{TileMatrixSet}/{TileMatrix}/{TileRow}/{TileCol}"/>
        <s v="https://wmts.nlsc.gov.tw/wmts/TOPO01K_F48/{Style}/{TileMatrixSet}/{TileMatrix}/{TileRow}/{TileCol}"/>
        <s v="https://wmts.nlsc.gov.tw/wmts/TOPO01K_F49/{Style}/{TileMatrixSet}/{TileMatrix}/{TileRow}/{TileCol}"/>
        <s v="https://wmts.nlsc.gov.tw/wmts/TOPO01K_F50/{Style}/{TileMatrixSet}/{TileMatrix}/{TileRow}/{TileCol}"/>
        <s v="https://wmts.nlsc.gov.tw/wmts/TOPO01K_F51/{Style}/{TileMatrixSet}/{TileMatrix}/{TileRow}/{TileCol}"/>
        <s v="https://wmts.nlsc.gov.tw/wmts/TOPO01K_F52/{Style}/{TileMatrixSet}/{TileMatrix}/{TileRow}/{TileCol}"/>
        <s v="https://wmts.nlsc.gov.tw/wmts/TOPO01K_F53/{Style}/{TileMatrixSet}/{TileMatrix}/{TileRow}/{TileCol}"/>
        <s v="https://wmts.nlsc.gov.tw/wmts/TOPO01K_F54/{Style}/{TileMatrixSet}/{TileMatrix}/{TileRow}/{TileCol}"/>
        <s v="https://wmts.nlsc.gov.tw/wmts/TOPO01K_F55/{Style}/{TileMatrixSet}/{TileMatrix}/{TileRow}/{TileCol}"/>
        <s v="https://wmts.nlsc.gov.tw/wmts/TOPO01K_F56/{Style}/{TileMatrixSet}/{TileMatrix}/{TileRow}/{TileCol}"/>
        <s v="https://wmts.nlsc.gov.tw/wmts/TOPO01K_G01/{Style}/{TileMatrixSet}/{TileMatrix}/{TileRow}/{TileCol}"/>
        <s v="https://wmts.nlsc.gov.tw/wmts/TOPO01K_G02/{Style}/{TileMatrixSet}/{TileMatrix}/{TileRow}/{TileCol}"/>
        <s v="https://wmts.nlsc.gov.tw/wmts/TOPO01K_G03/{Style}/{TileMatrixSet}/{TileMatrix}/{TileRow}/{TileCol}"/>
        <s v="https://wmts.nlsc.gov.tw/wmts/TOPO01K_G04/{Style}/{TileMatrixSet}/{TileMatrix}/{TileRow}/{TileCol}"/>
        <s v="https://wmts.nlsc.gov.tw/wmts/TOPO01K_G05/{Style}/{TileMatrixSet}/{TileMatrix}/{TileRow}/{TileCol}"/>
        <s v="https://wmts.nlsc.gov.tw/wmts/TOPO01K_G06/{Style}/{TileMatrixSet}/{TileMatrix}/{TileRow}/{TileCol}"/>
        <s v="https://wmts.nlsc.gov.tw/wmts/TOPO01K_G07/{Style}/{TileMatrixSet}/{TileMatrix}/{TileRow}/{TileCol}"/>
        <s v="https://wmts.nlsc.gov.tw/wmts/TOPO01K_G08/{Style}/{TileMatrixSet}/{TileMatrix}/{TileRow}/{TileCol}"/>
        <s v="https://wmts.nlsc.gov.tw/wmts/TOPO01K_G09/{Style}/{TileMatrixSet}/{TileMatrix}/{TileRow}/{TileCol}"/>
        <s v="https://wmts.nlsc.gov.tw/wmts/TOPO01K_G10/{Style}/{TileMatrixSet}/{TileMatrix}/{TileRow}/{TileCol}"/>
        <s v="https://wmts.nlsc.gov.tw/wmts/TOPO01K_G11/{Style}/{TileMatrixSet}/{TileMatrix}/{TileRow}/{TileCol}"/>
        <s v="https://wmts.nlsc.gov.tw/wmts/TOPO01K_G12/{Style}/{TileMatrixSet}/{TileMatrix}/{TileRow}/{TileCol}"/>
        <s v="https://wmts.nlsc.gov.tw/wmts/TOPO01K_G13/{Style}/{TileMatrixSet}/{TileMatrix}/{TileRow}/{TileCol}"/>
        <s v="https://wmts.nlsc.gov.tw/wmts/TOPO01K_G14/{Style}/{TileMatrixSet}/{TileMatrix}/{TileRow}/{TileCol}"/>
        <s v="https://wmts.nlsc.gov.tw/wmts/TOPO01K_G15/{Style}/{TileMatrixSet}/{TileMatrix}/{TileRow}/{TileCol}"/>
        <s v="https://wmts.nlsc.gov.tw/wmts/TOPO01K_H01/{Style}/{TileMatrixSet}/{TileMatrix}/{TileRow}/{TileCol}"/>
        <s v="https://wmts.nlsc.gov.tw/wmts/TOPO01K_H02/{Style}/{TileMatrixSet}/{TileMatrix}/{TileRow}/{TileCol}"/>
        <s v="https://wmts.nlsc.gov.tw/wmts/TOPO01K_H03/{Style}/{TileMatrixSet}/{TileMatrix}/{TileRow}/{TileCol}"/>
        <s v="https://wmts.nlsc.gov.tw/wmts/TOPO01K_H04/{Style}/{TileMatrixSet}/{TileMatrix}/{TileRow}/{TileCol}"/>
        <s v="https://wmts.nlsc.gov.tw/wmts/TOPO01K_H05/{Style}/{TileMatrixSet}/{TileMatrix}/{TileRow}/{TileCol}"/>
        <s v="https://wmts.nlsc.gov.tw/wmts/TOPO01K_H06/{Style}/{TileMatrixSet}/{TileMatrix}/{TileRow}/{TileCol}"/>
        <s v="https://wmts.nlsc.gov.tw/wmts/TOPO01K_H07/{Style}/{TileMatrixSet}/{TileMatrix}/{TileRow}/{TileCol}"/>
        <s v="https://wmts.nlsc.gov.tw/wmts/TOPO01K_H08/{Style}/{TileMatrixSet}/{TileMatrix}/{TileRow}/{TileCol}"/>
        <s v="https://wmts.nlsc.gov.tw/wmts/TOPO01K_H09/{Style}/{TileMatrixSet}/{TileMatrix}/{TileRow}/{TileCol}"/>
        <s v="https://wmts.nlsc.gov.tw/wmts/TOPO01K_H10/{Style}/{TileMatrixSet}/{TileMatrix}/{TileRow}/{TileCol}"/>
        <s v="https://wmts.nlsc.gov.tw/wmts/TOPO01K_H11/{Style}/{TileMatrixSet}/{TileMatrix}/{TileRow}/{TileCol}"/>
        <s v="https://wmts.nlsc.gov.tw/wmts/TOPO01K_H12/{Style}/{TileMatrixSet}/{TileMatrix}/{TileRow}/{TileCol}"/>
        <s v="https://wmts.nlsc.gov.tw/wmts/TOPO01K_H13/{Style}/{TileMatrixSet}/{TileMatrix}/{TileRow}/{TileCol}"/>
        <s v="https://wmts.nlsc.gov.tw/wmts/TOPO01K_H14/{Style}/{TileMatrixSet}/{TileMatrix}/{TileRow}/{TileCol}"/>
        <s v="https://wmts.nlsc.gov.tw/wmts/TOPO01K_H15/{Style}/{TileMatrixSet}/{TileMatrix}/{TileRow}/{TileCol}"/>
        <s v="https://wmts.nlsc.gov.tw/wmts/TOPO01K_H16/{Style}/{TileMatrixSet}/{TileMatrix}/{TileRow}/{TileCol}"/>
        <s v="https://wmts.nlsc.gov.tw/wmts/TOPO01K_H17/{Style}/{TileMatrixSet}/{TileMatrix}/{TileRow}/{TileCol}"/>
        <s v="https://wmts.nlsc.gov.tw/wmts/TOPO01K_H18/{Style}/{TileMatrixSet}/{TileMatrix}/{TileRow}/{TileCol}"/>
        <s v="https://wmts.nlsc.gov.tw/wmts/TOPO01K_H19/{Style}/{TileMatrixSet}/{TileMatrix}/{TileRow}/{TileCol}"/>
        <s v="https://wmts.nlsc.gov.tw/wmts/TOPO01K_H20/{Style}/{TileMatrixSet}/{TileMatrix}/{TileRow}/{TileCol}"/>
        <s v="https://wmts.nlsc.gov.tw/wmts/TOPO01K_H21/{Style}/{TileMatrixSet}/{TileMatrix}/{TileRow}/{TileCol}"/>
        <s v="https://wmts.nlsc.gov.tw/wmts/TOPO01K_H22/{Style}/{TileMatrixSet}/{TileMatrix}/{TileRow}/{TileCol}"/>
        <s v="https://wmts.nlsc.gov.tw/wmts/TOPO01K_H23/{Style}/{TileMatrixSet}/{TileMatrix}/{TileRow}/{TileCol}"/>
        <s v="https://wmts.nlsc.gov.tw/wmts/TOPO01K_H24/{Style}/{TileMatrixSet}/{TileMatrix}/{TileRow}/{TileCol}"/>
        <s v="https://wmts.nlsc.gov.tw/wmts/TOPO01K_H25/{Style}/{TileMatrixSet}/{TileMatrix}/{TileRow}/{TileCol}"/>
        <s v="https://wmts.nlsc.gov.tw/wmts/TOPO01K_H26/{Style}/{TileMatrixSet}/{TileMatrix}/{TileRow}/{TileCol}"/>
        <s v="https://wmts.nlsc.gov.tw/wmts/TOPO01K_H27/{Style}/{TileMatrixSet}/{TileMatrix}/{TileRow}/{TileCol}"/>
        <s v="https://wmts.nlsc.gov.tw/wmts/TOPO01K_H28/{Style}/{TileMatrixSet}/{TileMatrix}/{TileRow}/{TileCol}"/>
        <s v="https://wmts.nlsc.gov.tw/wmts/TOPO01K_H29/{Style}/{TileMatrixSet}/{TileMatrix}/{TileRow}/{TileCol}"/>
        <s v="https://wmts.nlsc.gov.tw/wmts/TOPO01K_H30/{Style}/{TileMatrixSet}/{TileMatrix}/{TileRow}/{TileCol}"/>
        <s v="https://wmts.nlsc.gov.tw/wmts/TOPO01K_H31/{Style}/{TileMatrixSet}/{TileMatrix}/{TileRow}/{TileCol}"/>
        <s v="https://wmts.nlsc.gov.tw/wmts/TOPO01K_H32/{Style}/{TileMatrixSet}/{TileMatrix}/{TileRow}/{TileCol}"/>
        <s v="https://wmts.nlsc.gov.tw/wmts/TOPO01K_H33/{Style}/{TileMatrixSet}/{TileMatrix}/{TileRow}/{TileCol}"/>
        <s v="https://wmts.nlsc.gov.tw/wmts/TOPO01K_H34/{Style}/{TileMatrixSet}/{TileMatrix}/{TileRow}/{TileCol}"/>
        <s v="https://wmts.nlsc.gov.tw/wmts/TOPO01K_H35/{Style}/{TileMatrixSet}/{TileMatrix}/{TileRow}/{TileCol}"/>
        <s v="https://wmts.nlsc.gov.tw/wmts/TOPO01K_H36/{Style}/{TileMatrixSet}/{TileMatrix}/{TileRow}/{TileCol}"/>
        <s v="https://wmts.nlsc.gov.tw/wmts/TOPO01K_H37/{Style}/{TileMatrixSet}/{TileMatrix}/{TileRow}/{TileCol}"/>
        <s v="https://wmts.nlsc.gov.tw/wmts/TOPO01K_H38/{Style}/{TileMatrixSet}/{TileMatrix}/{TileRow}/{TileCol}"/>
        <s v="https://wmts.nlsc.gov.tw/wmts/TOPO01K_H39/{Style}/{TileMatrixSet}/{TileMatrix}/{TileRow}/{TileCol}"/>
        <s v="https://wmts.nlsc.gov.tw/wmts/TOPO01K_H40/{Style}/{TileMatrixSet}/{TileMatrix}/{TileRow}/{TileCol}"/>
        <s v="https://wmts.nlsc.gov.tw/wmts/TOPO01K_H44/{Style}/{TileMatrixSet}/{TileMatrix}/{TileRow}/{TileCol}"/>
        <s v="https://wmts.nlsc.gov.tw/wmts/TOPO01K_J01/{Style}/{TileMatrixSet}/{TileMatrix}/{TileRow}/{TileCol}"/>
        <s v="https://wmts.nlsc.gov.tw/wmts/TOPO01K_J02/{Style}/{TileMatrixSet}/{TileMatrix}/{TileRow}/{TileCol}"/>
        <s v="https://wmts.nlsc.gov.tw/wmts/TOPO01K_J03/{Style}/{TileMatrixSet}/{TileMatrix}/{TileRow}/{TileCol}"/>
        <s v="https://wmts.nlsc.gov.tw/wmts/TOPO01K_J04/{Style}/{TileMatrixSet}/{TileMatrix}/{TileRow}/{TileCol}"/>
        <s v="https://wmts.nlsc.gov.tw/wmts/TOPO01K_J05/{Style}/{TileMatrixSet}/{TileMatrix}/{TileRow}/{TileCol}"/>
        <s v="https://wmts.nlsc.gov.tw/wmts/TOPO01K_J06/{Style}/{TileMatrixSet}/{TileMatrix}/{TileRow}/{TileCol}"/>
        <s v="https://wmts.nlsc.gov.tw/wmts/TOPO01K_J07/{Style}/{TileMatrixSet}/{TileMatrix}/{TileRow}/{TileCol}"/>
        <s v="https://wmts.nlsc.gov.tw/wmts/TOPO01K_J08/{Style}/{TileMatrixSet}/{TileMatrix}/{TileRow}/{TileCol}"/>
        <s v="https://wmts.nlsc.gov.tw/wmts/TOPO01K_J09/{Style}/{TileMatrixSet}/{TileMatrix}/{TileRow}/{TileCol}"/>
        <s v="https://wmts.nlsc.gov.tw/wmts/TOPO01K_J10/{Style}/{TileMatrixSet}/{TileMatrix}/{TileRow}/{TileCol}"/>
        <s v="https://wmts.nlsc.gov.tw/wmts/TOPO01K_K01/{Style}/{TileMatrixSet}/{TileMatrix}/{TileRow}/{TileCol}"/>
        <s v="https://wmts.nlsc.gov.tw/wmts/TOPO01K_K02/{Style}/{TileMatrixSet}/{TileMatrix}/{TileRow}/{TileCol}"/>
        <s v="https://wmts.nlsc.gov.tw/wmts/TOPO01K_K03/{Style}/{TileMatrixSet}/{TileMatrix}/{TileRow}/{TileCol}"/>
        <s v="https://wmts.nlsc.gov.tw/wmts/TOPO01K_K04/{Style}/{TileMatrixSet}/{TileMatrix}/{TileRow}/{TileCol}"/>
        <s v="https://wmts.nlsc.gov.tw/wmts/TOPO01K_K05/{Style}/{TileMatrixSet}/{TileMatrix}/{TileRow}/{TileCol}"/>
        <s v="https://wmts.nlsc.gov.tw/wmts/TOPO01K_K06/{Style}/{TileMatrixSet}/{TileMatrix}/{TileRow}/{TileCol}"/>
        <s v="https://wmts.nlsc.gov.tw/wmts/TOPO01K_K07/{Style}/{TileMatrixSet}/{TileMatrix}/{TileRow}/{TileCol}"/>
        <s v="https://wmts.nlsc.gov.tw/wmts/TOPO01K_K08/{Style}/{TileMatrixSet}/{TileMatrix}/{TileRow}/{TileCol}"/>
        <s v="https://wmts.nlsc.gov.tw/wmts/TOPO01K_K09/{Style}/{TileMatrixSet}/{TileMatrix}/{TileRow}/{TileCol}"/>
        <s v="https://wmts.nlsc.gov.tw/wmts/TOPO01K_K10/{Style}/{TileMatrixSet}/{TileMatrix}/{TileRow}/{TileCol}"/>
        <s v="https://wmts.nlsc.gov.tw/wmts/TOPO01K_K11/{Style}/{TileMatrixSet}/{TileMatrix}/{TileRow}/{TileCol}"/>
        <s v="https://wmts.nlsc.gov.tw/wmts/TOPO01K_K12/{Style}/{TileMatrixSet}/{TileMatrix}/{TileRow}/{TileCol}"/>
        <s v="https://wmts.nlsc.gov.tw/wmts/TOPO01K_K13/{Style}/{TileMatrixSet}/{TileMatrix}/{TileRow}/{TileCol}"/>
        <s v="https://wmts.nlsc.gov.tw/wmts/TOPO01K_K14/{Style}/{TileMatrixSet}/{TileMatrix}/{TileRow}/{TileCol}"/>
        <s v="https://wmts.nlsc.gov.tw/wmts/TOPO01K_K15/{Style}/{TileMatrixSet}/{TileMatrix}/{TileRow}/{TileCol}"/>
        <s v="https://wmts.nlsc.gov.tw/wmts/TOPO01K_K16/{Style}/{TileMatrixSet}/{TileMatrix}/{TileRow}/{TileCol}"/>
        <s v="https://wmts.nlsc.gov.tw/wmts/TOPO01K_K17/{Style}/{TileMatrixSet}/{TileMatrix}/{TileRow}/{TileCol}"/>
        <s v="https://wmts.nlsc.gov.tw/wmts/TOPO01K_K18/{Style}/{TileMatrixSet}/{TileMatrix}/{TileRow}/{TileCol}"/>
        <s v="https://wmts.nlsc.gov.tw/wmts/TOPO01K_M01/{Style}/{TileMatrixSet}/{TileMatrix}/{TileRow}/{TileCol}"/>
        <s v="https://wmts.nlsc.gov.tw/wmts/TOPO01K_M02/{Style}/{TileMatrixSet}/{TileMatrix}/{TileRow}/{TileCol}"/>
        <s v="https://wmts.nlsc.gov.tw/wmts/TOPO01K_M03/{Style}/{TileMatrixSet}/{TileMatrix}/{TileRow}/{TileCol}"/>
        <s v="https://wmts.nlsc.gov.tw/wmts/TOPO01K_M04/{Style}/{TileMatrixSet}/{TileMatrix}/{TileRow}/{TileCol}"/>
        <s v="https://wmts.nlsc.gov.tw/wmts/TOPO01K_M05/{Style}/{TileMatrixSet}/{TileMatrix}/{TileRow}/{TileCol}"/>
        <s v="https://wmts.nlsc.gov.tw/wmts/TOPO01K_M06/{Style}/{TileMatrixSet}/{TileMatrix}/{TileRow}/{TileCol}"/>
        <s v="https://wmts.nlsc.gov.tw/wmts/TOPO01K_M07/{Style}/{TileMatrixSet}/{TileMatrix}/{TileRow}/{TileCol}"/>
        <s v="https://wmts.nlsc.gov.tw/wmts/TOPO01K_M08/{Style}/{TileMatrixSet}/{TileMatrix}/{TileRow}/{TileCol}"/>
        <s v="https://wmts.nlsc.gov.tw/wmts/TOPO01K_M09/{Style}/{TileMatrixSet}/{TileMatrix}/{TileRow}/{TileCol}"/>
        <s v="https://wmts.nlsc.gov.tw/wmts/TOPO01K_M10/{Style}/{TileMatrixSet}/{TileMatrix}/{TileRow}/{TileCol}"/>
        <s v="https://wmts.nlsc.gov.tw/wmts/TOPO01K_M11/{Style}/{TileMatrixSet}/{TileMatrix}/{TileRow}/{TileCol}"/>
        <s v="https://wmts.nlsc.gov.tw/wmts/TOPO01K_M12/{Style}/{TileMatrixSet}/{TileMatrix}/{TileRow}/{TileCol}"/>
        <s v="https://wmts.nlsc.gov.tw/wmts/TOPO01K_M13/{Style}/{TileMatrixSet}/{TileMatrix}/{TileRow}/{TileCol}"/>
        <s v="https://wmts.nlsc.gov.tw/wmts/TOPO01K_M14/{Style}/{TileMatrixSet}/{TileMatrix}/{TileRow}/{TileCol}"/>
        <s v="https://wmts.nlsc.gov.tw/wmts/TOPO01K_M15/{Style}/{TileMatrixSet}/{TileMatrix}/{TileRow}/{TileCol}"/>
        <s v="https://wmts.nlsc.gov.tw/wmts/TOPO01K_M16/{Style}/{TileMatrixSet}/{TileMatrix}/{TileRow}/{TileCol}"/>
        <s v="https://wmts.nlsc.gov.tw/wmts/TOPO01K_M17/{Style}/{TileMatrixSet}/{TileMatrix}/{TileRow}/{TileCol}"/>
        <s v="https://wmts.nlsc.gov.tw/wmts/TOPO01K_M18/{Style}/{TileMatrixSet}/{TileMatrix}/{TileRow}/{TileCol}"/>
        <s v="https://wmts.nlsc.gov.tw/wmts/TOPO01K_M19/{Style}/{TileMatrixSet}/{TileMatrix}/{TileRow}/{TileCol}"/>
        <s v="https://wmts.nlsc.gov.tw/wmts/TOPO01K_M20/{Style}/{TileMatrixSet}/{TileMatrix}/{TileRow}/{TileCol}"/>
        <s v="https://wmts.nlsc.gov.tw/wmts/TOPO01K_M21/{Style}/{TileMatrixSet}/{TileMatrix}/{TileRow}/{TileCol}"/>
        <s v="https://wmts.nlsc.gov.tw/wmts/TOPO01K_M22/{Style}/{TileMatrixSet}/{TileMatrix}/{TileRow}/{TileCol}"/>
        <s v="https://wmts.nlsc.gov.tw/wmts/TOPO01K_N01/{Style}/{TileMatrixSet}/{TileMatrix}/{TileRow}/{TileCol}"/>
        <s v="https://wmts.nlsc.gov.tw/wmts/TOPO01K_N02/{Style}/{TileMatrixSet}/{TileMatrix}/{TileRow}/{TileCol}"/>
        <s v="https://wmts.nlsc.gov.tw/wmts/TOPO01K_N03/{Style}/{TileMatrixSet}/{TileMatrix}/{TileRow}/{TileCol}"/>
        <s v="https://wmts.nlsc.gov.tw/wmts/TOPO01K_N04/{Style}/{TileMatrixSet}/{TileMatrix}/{TileRow}/{TileCol}"/>
        <s v="https://wmts.nlsc.gov.tw/wmts/TOPO01K_N05/{Style}/{TileMatrixSet}/{TileMatrix}/{TileRow}/{TileCol}"/>
        <s v="https://wmts.nlsc.gov.tw/wmts/TOPO01K_N06/{Style}/{TileMatrixSet}/{TileMatrix}/{TileRow}/{TileCol}"/>
        <s v="https://wmts.nlsc.gov.tw/wmts/TOPO01K_N07/{Style}/{TileMatrixSet}/{TileMatrix}/{TileRow}/{TileCol}"/>
        <s v="https://wmts.nlsc.gov.tw/wmts/TOPO01K_N08/{Style}/{TileMatrixSet}/{TileMatrix}/{TileRow}/{TileCol}"/>
        <s v="https://wmts.nlsc.gov.tw/wmts/TOPO01K_N09/{Style}/{TileMatrixSet}/{TileMatrix}/{TileRow}/{TileCol}"/>
        <s v="https://wmts.nlsc.gov.tw/wmts/TOPO01K_N10/{Style}/{TileMatrixSet}/{TileMatrix}/{TileRow}/{TileCol}"/>
        <s v="https://wmts.nlsc.gov.tw/wmts/TOPO01K_N11/{Style}/{TileMatrixSet}/{TileMatrix}/{TileRow}/{TileCol}"/>
        <s v="https://wmts.nlsc.gov.tw/wmts/TOPO01K_N12/{Style}/{TileMatrixSet}/{TileMatrix}/{TileRow}/{TileCol}"/>
        <s v="https://wmts.nlsc.gov.tw/wmts/TOPO01K_N13/{Style}/{TileMatrixSet}/{TileMatrix}/{TileRow}/{TileCol}"/>
        <s v="https://wmts.nlsc.gov.tw/wmts/TOPO01K_N14/{Style}/{TileMatrixSet}/{TileMatrix}/{TileRow}/{TileCol}"/>
        <s v="https://wmts.nlsc.gov.tw/wmts/TOPO01K_N15/{Style}/{TileMatrixSet}/{TileMatrix}/{TileRow}/{TileCol}"/>
        <s v="https://wmts.nlsc.gov.tw/wmts/TOPO01K_N16/{Style}/{TileMatrixSet}/{TileMatrix}/{TileRow}/{TileCol}"/>
        <s v="https://wmts.nlsc.gov.tw/wmts/TOPO01K_N17/{Style}/{TileMatrixSet}/{TileMatrix}/{TileRow}/{TileCol}"/>
        <s v="https://wmts.nlsc.gov.tw/wmts/TOPO01K_N18/{Style}/{TileMatrixSet}/{TileMatrix}/{TileRow}/{TileCol}"/>
        <s v="https://wmts.nlsc.gov.tw/wmts/TOPO01K_N19/{Style}/{TileMatrixSet}/{TileMatrix}/{TileRow}/{TileCol}"/>
        <s v="https://wmts.nlsc.gov.tw/wmts/TOPO01K_N20/{Style}/{TileMatrixSet}/{TileMatrix}/{TileRow}/{TileCol}"/>
        <s v="https://wmts.nlsc.gov.tw/wmts/TOPO01K_N21/{Style}/{TileMatrixSet}/{TileMatrix}/{TileRow}/{TileCol}"/>
        <s v="https://wmts.nlsc.gov.tw/wmts/TOPO01K_N22/{Style}/{TileMatrixSet}/{TileMatrix}/{TileRow}/{TileCol}"/>
        <s v="https://wmts.nlsc.gov.tw/wmts/TOPO01K_N23/{Style}/{TileMatrixSet}/{TileMatrix}/{TileRow}/{TileCol}"/>
        <s v="https://wmts.nlsc.gov.tw/wmts/TOPO01K_N24/{Style}/{TileMatrixSet}/{TileMatrix}/{TileRow}/{TileCol}"/>
        <s v="https://wmts.nlsc.gov.tw/wmts/TOPO01K_N25/{Style}/{TileMatrixSet}/{TileMatrix}/{TileRow}/{TileCol}"/>
        <s v="https://wmts.nlsc.gov.tw/wmts/TOPO01K_N26/{Style}/{TileMatrixSet}/{TileMatrix}/{TileRow}/{TileCol}"/>
        <s v="https://wmts.nlsc.gov.tw/wmts/TOPO01K_N27/{Style}/{TileMatrixSet}/{TileMatrix}/{TileRow}/{TileCol}"/>
        <s v="https://wmts.nlsc.gov.tw/wmts/TOPO01K_N28/{Style}/{TileMatrixSet}/{TileMatrix}/{TileRow}/{TileCol}"/>
        <s v="https://wmts.nlsc.gov.tw/wmts/TOPO01K_N29/{Style}/{TileMatrixSet}/{TileMatrix}/{TileRow}/{TileCol}"/>
        <s v="https://wmts.nlsc.gov.tw/wmts/TOPO01K_N30/{Style}/{TileMatrixSet}/{TileMatrix}/{TileRow}/{TileCol}"/>
        <s v="https://wmts.nlsc.gov.tw/wmts/TOPO01K_N31/{Style}/{TileMatrixSet}/{TileMatrix}/{TileRow}/{TileCol}"/>
        <s v="https://wmts.nlsc.gov.tw/wmts/TOPO01K_N32/{Style}/{TileMatrixSet}/{TileMatrix}/{TileRow}/{TileCol}"/>
        <s v="https://wmts.nlsc.gov.tw/wmts/TOPO01K_N33/{Style}/{TileMatrixSet}/{TileMatrix}/{TileRow}/{TileCol}"/>
        <s v="https://wmts.nlsc.gov.tw/wmts/TOPO01K_N34/{Style}/{TileMatrixSet}/{TileMatrix}/{TileRow}/{TileCol}"/>
        <s v="https://wmts.nlsc.gov.tw/wmts/TOPO01K_N35/{Style}/{TileMatrixSet}/{TileMatrix}/{TileRow}/{TileCol}"/>
        <s v="https://wmts.nlsc.gov.tw/wmts/TOPO01K_O01/{Style}/{TileMatrixSet}/{TileMatrix}/{TileRow}/{TileCol}"/>
        <s v="https://wmts.nlsc.gov.tw/wmts/TOPO01K_O03/{Style}/{TileMatrixSet}/{TileMatrix}/{TileRow}/{TileCol}"/>
        <s v="https://wmts.nlsc.gov.tw/wmts/TOPO01K_O04/{Style}/{TileMatrixSet}/{TileMatrix}/{TileRow}/{TileCol}"/>
        <s v="https://wmts.nlsc.gov.tw/wmts/TOPO01K_O05/{Style}/{TileMatrixSet}/{TileMatrix}/{TileRow}/{TileCol}"/>
        <s v="https://wmts.nlsc.gov.tw/wmts/TOPO01K_O06/{Style}/{TileMatrixSet}/{TileMatrix}/{TileRow}/{TileCol}"/>
        <s v="https://wmts.nlsc.gov.tw/wmts/TOPO01K_O07/{Style}/{TileMatrixSet}/{TileMatrix}/{TileRow}/{TileCol}"/>
        <s v="https://wmts.nlsc.gov.tw/wmts/TOPO01K_O08/{Style}/{TileMatrixSet}/{TileMatrix}/{TileRow}/{TileCol}"/>
        <s v="https://wmts.nlsc.gov.tw/wmts/TOPO01K_P01/{Style}/{TileMatrixSet}/{TileMatrix}/{TileRow}/{TileCol}"/>
        <s v="https://wmts.nlsc.gov.tw/wmts/TOPO01K_P02/{Style}/{TileMatrixSet}/{TileMatrix}/{TileRow}/{TileCol}"/>
        <s v="https://wmts.nlsc.gov.tw/wmts/TOPO01K_P03/{Style}/{TileMatrixSet}/{TileMatrix}/{TileRow}/{TileCol}"/>
        <s v="https://wmts.nlsc.gov.tw/wmts/TOPO01K_P04/{Style}/{TileMatrixSet}/{TileMatrix}/{TileRow}/{TileCol}"/>
        <s v="https://wmts.nlsc.gov.tw/wmts/TOPO01K_P05/{Style}/{TileMatrixSet}/{TileMatrix}/{TileRow}/{TileCol}"/>
        <s v="https://wmts.nlsc.gov.tw/wmts/TOPO01K_P06/{Style}/{TileMatrixSet}/{TileMatrix}/{TileRow}/{TileCol}"/>
        <s v="https://wmts.nlsc.gov.tw/wmts/TOPO01K_P07/{Style}/{TileMatrixSet}/{TileMatrix}/{TileRow}/{TileCol}"/>
        <s v="https://wmts.nlsc.gov.tw/wmts/TOPO01K_P08/{Style}/{TileMatrixSet}/{TileMatrix}/{TileRow}/{TileCol}"/>
        <s v="https://wmts.nlsc.gov.tw/wmts/TOPO01K_P09/{Style}/{TileMatrixSet}/{TileMatrix}/{TileRow}/{TileCol}"/>
        <s v="https://wmts.nlsc.gov.tw/wmts/TOPO01K_P10/{Style}/{TileMatrixSet}/{TileMatrix}/{TileRow}/{TileCol}"/>
        <s v="https://wmts.nlsc.gov.tw/wmts/TOPO01K_P11/{Style}/{TileMatrixSet}/{TileMatrix}/{TileRow}/{TileCol}"/>
        <s v="https://wmts.nlsc.gov.tw/wmts/TOPO01K_P12/{Style}/{TileMatrixSet}/{TileMatrix}/{TileRow}/{TileCol}"/>
        <s v="https://wmts.nlsc.gov.tw/wmts/TOPO01K_P13/{Style}/{TileMatrixSet}/{TileMatrix}/{TileRow}/{TileCol}"/>
        <s v="https://wmts.nlsc.gov.tw/wmts/TOPO01K_P14/{Style}/{TileMatrixSet}/{TileMatrix}/{TileRow}/{TileCol}"/>
        <s v="https://wmts.nlsc.gov.tw/wmts/TOPO01K_P15/{Style}/{TileMatrixSet}/{TileMatrix}/{TileRow}/{TileCol}"/>
        <s v="https://wmts.nlsc.gov.tw/wmts/TOPO01K_Q01/{Style}/{TileMatrixSet}/{TileMatrix}/{TileRow}/{TileCol}"/>
        <s v="https://wmts.nlsc.gov.tw/wmts/TOPO01K_Q02/{Style}/{TileMatrixSet}/{TileMatrix}/{TileRow}/{TileCol}"/>
        <s v="https://wmts.nlsc.gov.tw/wmts/TOPO01K_Q03/{Style}/{TileMatrixSet}/{TileMatrix}/{TileRow}/{TileCol}"/>
        <s v="https://wmts.nlsc.gov.tw/wmts/TOPO01K_Q04/{Style}/{TileMatrixSet}/{TileMatrix}/{TileRow}/{TileCol}"/>
        <s v="https://wmts.nlsc.gov.tw/wmts/TOPO01K_Q05/{Style}/{TileMatrixSet}/{TileMatrix}/{TileRow}/{TileCol}"/>
        <s v="https://wmts.nlsc.gov.tw/wmts/TOPO01K_Q06/{Style}/{TileMatrixSet}/{TileMatrix}/{TileRow}/{TileCol}"/>
        <s v="https://wmts.nlsc.gov.tw/wmts/TOPO01K_Q07/{Style}/{TileMatrixSet}/{TileMatrix}/{TileRow}/{TileCol}"/>
        <s v="https://wmts.nlsc.gov.tw/wmts/TOPO01K_Q08/{Style}/{TileMatrixSet}/{TileMatrix}/{TileRow}/{TileCol}"/>
        <s v="https://wmts.nlsc.gov.tw/wmts/TOPO01K_Q09/{Style}/{TileMatrixSet}/{TileMatrix}/{TileRow}/{TileCol}"/>
        <s v="https://wmts.nlsc.gov.tw/wmts/TOPO01K_Q10/{Style}/{TileMatrixSet}/{TileMatrix}/{TileRow}/{TileCol}"/>
        <s v="https://wmts.nlsc.gov.tw/wmts/TOPO01K_Q11/{Style}/{TileMatrixSet}/{TileMatrix}/{TileRow}/{TileCol}"/>
        <s v="https://wmts.nlsc.gov.tw/wmts/TOPO01K_Q12/{Style}/{TileMatrixSet}/{TileMatrix}/{TileRow}/{TileCol}"/>
        <s v="https://wmts.nlsc.gov.tw/wmts/TOPO01K_Q13/{Style}/{TileMatrixSet}/{TileMatrix}/{TileRow}/{TileCol}"/>
        <s v="https://wmts.nlsc.gov.tw/wmts/TOPO01K_Q14/{Style}/{TileMatrixSet}/{TileMatrix}/{TileRow}/{TileCol}"/>
        <s v="https://wmts.nlsc.gov.tw/wmts/TOPO01K_Q15/{Style}/{TileMatrixSet}/{TileMatrix}/{TileRow}/{TileCol}"/>
        <s v="https://wmts.nlsc.gov.tw/wmts/TOPO01K_Q16/{Style}/{TileMatrixSet}/{TileMatrix}/{TileRow}/{TileCol}"/>
        <s v="https://wmts.nlsc.gov.tw/wmts/TOPO01K_Q17/{Style}/{TileMatrixSet}/{TileMatrix}/{TileRow}/{TileCol}"/>
        <s v="https://wmts.nlsc.gov.tw/wmts/TOPO01K_Q18/{Style}/{TileMatrixSet}/{TileMatrix}/{TileRow}/{TileCol}"/>
        <s v="https://wmts.nlsc.gov.tw/wmts/TOPO01K_Q19/{Style}/{TileMatrixSet}/{TileMatrix}/{TileRow}/{TileCol}"/>
        <s v="https://wmts.nlsc.gov.tw/wmts/TOPO01K_Q20/{Style}/{TileMatrixSet}/{TileMatrix}/{TileRow}/{TileCol}"/>
        <s v="https://wmts.nlsc.gov.tw/wmts/TOPO01K_Q21/{Style}/{TileMatrixSet}/{TileMatrix}/{TileRow}/{TileCol}"/>
        <s v="https://wmts.nlsc.gov.tw/wmts/TOPO01K_Q22/{Style}/{TileMatrixSet}/{TileMatrix}/{TileRow}/{TileCol}"/>
        <s v="https://wmts.nlsc.gov.tw/wmts/TOPO01K_Q23/{Style}/{TileMatrixSet}/{TileMatrix}/{TileRow}/{TileCol}"/>
        <s v="https://wmts.nlsc.gov.tw/wmts/TOPO01K_Q24/{Style}/{TileMatrixSet}/{TileMatrix}/{TileRow}/{TileCol}"/>
        <s v="https://wmts.nlsc.gov.tw/wmts/TOPO01K_Q25/{Style}/{TileMatrixSet}/{TileMatrix}/{TileRow}/{TileCol}"/>
        <s v="https://wmts.nlsc.gov.tw/wmts/TOPO01K_Q26/{Style}/{TileMatrixSet}/{TileMatrix}/{TileRow}/{TileCol}"/>
        <s v="https://wmts.nlsc.gov.tw/wmts/TOPO01K_Q27/{Style}/{TileMatrixSet}/{TileMatrix}/{TileRow}/{TileCol}"/>
        <s v="https://wmts.nlsc.gov.tw/wmts/TOPO01K_Q29/{Style}/{TileMatrixSet}/{TileMatrix}/{TileRow}/{TileCol}"/>
        <s v="https://wmts.nlsc.gov.tw/wmts/TOPO01K_T01/{Style}/{TileMatrixSet}/{TileMatrix}/{TileRow}/{TileCol}"/>
        <s v="https://wmts.nlsc.gov.tw/wmts/TOPO01K_T02/{Style}/{TileMatrixSet}/{TileMatrix}/{TileRow}/{TileCol}"/>
        <s v="https://wmts.nlsc.gov.tw/wmts/TOPO01K_T03/{Style}/{TileMatrixSet}/{TileMatrix}/{TileRow}/{TileCol}"/>
        <s v="https://wmts.nlsc.gov.tw/wmts/TOPO01K_T04/{Style}/{TileMatrixSet}/{TileMatrix}/{TileRow}/{TileCol}"/>
        <s v="https://wmts.nlsc.gov.tw/wmts/TOPO01K_T05/{Style}/{TileMatrixSet}/{TileMatrix}/{TileRow}/{TileCol}"/>
        <s v="https://wmts.nlsc.gov.tw/wmts/TOPO01K_T06/{Style}/{TileMatrixSet}/{TileMatrix}/{TileRow}/{TileCol}"/>
        <s v="https://wmts.nlsc.gov.tw/wmts/TOPO01K_T07/{Style}/{TileMatrixSet}/{TileMatrix}/{TileRow}/{TileCol}"/>
        <s v="https://wmts.nlsc.gov.tw/wmts/TOPO01K_T08/{Style}/{TileMatrixSet}/{TileMatrix}/{TileRow}/{TileCol}"/>
        <s v="https://wmts.nlsc.gov.tw/wmts/TOPO01K_T09/{Style}/{TileMatrixSet}/{TileMatrix}/{TileRow}/{TileCol}"/>
        <s v="https://wmts.nlsc.gov.tw/wmts/TOPO01K_T10/{Style}/{TileMatrixSet}/{TileMatrix}/{TileRow}/{TileCol}"/>
        <s v="https://wmts.nlsc.gov.tw/wmts/TOPO01K_T11/{Style}/{TileMatrixSet}/{TileMatrix}/{TileRow}/{TileCol}"/>
        <s v="https://wmts.nlsc.gov.tw/wmts/TOPO01K_T12/{Style}/{TileMatrixSet}/{TileMatrix}/{TileRow}/{TileCol}"/>
        <s v="https://wmts.nlsc.gov.tw/wmts/TOPO01K_T13/{Style}/{TileMatrixSet}/{TileMatrix}/{TileRow}/{TileCol}"/>
        <s v="https://wmts.nlsc.gov.tw/wmts/TOPO01K_T14/{Style}/{TileMatrixSet}/{TileMatrix}/{TileRow}/{TileCol}"/>
        <s v="https://wmts.nlsc.gov.tw/wmts/TOPO01K_T15/{Style}/{TileMatrixSet}/{TileMatrix}/{TileRow}/{TileCol}"/>
        <s v="https://wmts.nlsc.gov.tw/wmts/TOPO01K_T16/{Style}/{TileMatrixSet}/{TileMatrix}/{TileRow}/{TileCol}"/>
        <s v="https://wmts.nlsc.gov.tw/wmts/TOPO01K_T17/{Style}/{TileMatrixSet}/{TileMatrix}/{TileRow}/{TileCol}"/>
        <s v="https://wmts.nlsc.gov.tw/wmts/TOPO01K_T18/{Style}/{TileMatrixSet}/{TileMatrix}/{TileRow}/{TileCol}"/>
        <s v="https://wmts.nlsc.gov.tw/wmts/TOPO01K_T19/{Style}/{TileMatrixSet}/{TileMatrix}/{TileRow}/{TileCol}"/>
        <s v="https://wmts.nlsc.gov.tw/wmts/TOPO01K_T20/{Style}/{TileMatrixSet}/{TileMatrix}/{TileRow}/{TileCol}"/>
        <s v="https://wmts.nlsc.gov.tw/wmts/TOPO01K_T21/{Style}/{TileMatrixSet}/{TileMatrix}/{TileRow}/{TileCol}"/>
        <s v="https://wmts.nlsc.gov.tw/wmts/TOPO01K_T22/{Style}/{TileMatrixSet}/{TileMatrix}/{TileRow}/{TileCol}"/>
        <s v="https://wmts.nlsc.gov.tw/wmts/TOPO01K_T23/{Style}/{TileMatrixSet}/{TileMatrix}/{TileRow}/{TileCol}"/>
        <s v="https://wmts.nlsc.gov.tw/wmts/TOPO01K_T24/{Style}/{TileMatrixSet}/{TileMatrix}/{TileRow}/{TileCol}"/>
        <s v="https://wmts.nlsc.gov.tw/wmts/TOPO01K_T25/{Style}/{TileMatrixSet}/{TileMatrix}/{TileRow}/{TileCol}"/>
        <s v="https://wmts.nlsc.gov.tw/wmts/TOPO01K_T26/{Style}/{TileMatrixSet}/{TileMatrix}/{TileRow}/{TileCol}"/>
        <s v="https://wmts.nlsc.gov.tw/wmts/TOPO01K_T27/{Style}/{TileMatrixSet}/{TileMatrix}/{TileRow}/{TileCol}"/>
        <s v="https://wmts.nlsc.gov.tw/wmts/TOPO01K_T28/{Style}/{TileMatrixSet}/{TileMatrix}/{TileRow}/{TileCol}"/>
        <s v="https://wmts.nlsc.gov.tw/wmts/TOPO01K_T29/{Style}/{TileMatrixSet}/{TileMatrix}/{TileRow}/{TileCol}"/>
        <s v="https://wmts.nlsc.gov.tw/wmts/TOPO01K_T30/{Style}/{TileMatrixSet}/{TileMatrix}/{TileRow}/{TileCol}"/>
        <s v="https://wmts.nlsc.gov.tw/wmts/TOPO01K_T31/{Style}/{TileMatrixSet}/{TileMatrix}/{TileRow}/{TileCol}"/>
        <s v="https://wmts.nlsc.gov.tw/wmts/TOPO01K_T32/{Style}/{TileMatrixSet}/{TileMatrix}/{TileRow}/{TileCol}"/>
        <s v="https://wmts.nlsc.gov.tw/wmts/TOPO01K_U01/{Style}/{TileMatrixSet}/{TileMatrix}/{TileRow}/{TileCol}"/>
        <s v="https://wmts.nlsc.gov.tw/wmts/TOPO01K_U02/{Style}/{TileMatrixSet}/{TileMatrix}/{TileRow}/{TileCol}"/>
        <s v="https://wmts.nlsc.gov.tw/wmts/TOPO01K_U03/{Style}/{TileMatrixSet}/{TileMatrix}/{TileRow}/{TileCol}"/>
        <s v="https://wmts.nlsc.gov.tw/wmts/TOPO01K_U04/{Style}/{TileMatrixSet}/{TileMatrix}/{TileRow}/{TileCol}"/>
        <s v="https://wmts.nlsc.gov.tw/wmts/TOPO01K_U05/{Style}/{TileMatrixSet}/{TileMatrix}/{TileRow}/{TileCol}"/>
        <s v="https://wmts.nlsc.gov.tw/wmts/TOPO01K_U06/{Style}/{TileMatrixSet}/{TileMatrix}/{TileRow}/{TileCol}"/>
        <s v="https://wmts.nlsc.gov.tw/wmts/TOPO01K_U07/{Style}/{TileMatrixSet}/{TileMatrix}/{TileRow}/{TileCol}"/>
        <s v="https://wmts.nlsc.gov.tw/wmts/TOPO01K_U08/{Style}/{TileMatrixSet}/{TileMatrix}/{TileRow}/{TileCol}"/>
        <s v="https://wmts.nlsc.gov.tw/wmts/TOPO01K_U09/{Style}/{TileMatrixSet}/{TileMatrix}/{TileRow}/{TileCol}"/>
        <s v="https://wmts.nlsc.gov.tw/wmts/TOPO01K_U10/{Style}/{TileMatrixSet}/{TileMatrix}/{TileRow}/{TileCol}"/>
        <s v="https://wmts.nlsc.gov.tw/wmts/TOPO01K_U11/{Style}/{TileMatrixSet}/{TileMatrix}/{TileRow}/{TileCol}"/>
        <s v="https://wmts.nlsc.gov.tw/wmts/TOPO01K_U12/{Style}/{TileMatrixSet}/{TileMatrix}/{TileRow}/{TileCol}"/>
        <s v="https://wmts.nlsc.gov.tw/wmts/TOPO01K_U13/{Style}/{TileMatrixSet}/{TileMatrix}/{TileRow}/{TileCol}"/>
        <s v="https://wmts.nlsc.gov.tw/wmts/TOPO01K_U14/{Style}/{TileMatrixSet}/{TileMatrix}/{TileRow}/{TileCol}"/>
        <s v="https://wmts.nlsc.gov.tw/wmts/TOPO01K_U15/{Style}/{TileMatrixSet}/{TileMatrix}/{TileRow}/{TileCol}"/>
        <s v="https://wmts.nlsc.gov.tw/wmts/TOPO01K_U16/{Style}/{TileMatrixSet}/{TileMatrix}/{TileRow}/{TileCol}"/>
        <s v="https://wmts.nlsc.gov.tw/wmts/TOPO01K_U17/{Style}/{TileMatrixSet}/{TileMatrix}/{TileRow}/{TileCol}"/>
        <s v="https://wmts.nlsc.gov.tw/wmts/TOPO01K_U18/{Style}/{TileMatrixSet}/{TileMatrix}/{TileRow}/{TileCol}"/>
        <s v="https://wmts.nlsc.gov.tw/wmts/TOPO01K_U19/{Style}/{TileMatrixSet}/{TileMatrix}/{TileRow}/{TileCol}"/>
        <s v="https://wmts.nlsc.gov.tw/wmts/TOPO01K_U20/{Style}/{TileMatrixSet}/{TileMatrix}/{TileRow}/{TileCol}"/>
        <s v="https://wmts.nlsc.gov.tw/wmts/TOPO01K_U21/{Style}/{TileMatrixSet}/{TileMatrix}/{TileRow}/{TileCol}"/>
        <s v="https://wmts.nlsc.gov.tw/wmts/TOPO01K_U22/{Style}/{TileMatrixSet}/{TileMatrix}/{TileRow}/{TileCol}"/>
        <s v="https://wmts.nlsc.gov.tw/wmts/TOPO01K_U23/{Style}/{TileMatrixSet}/{TileMatrix}/{TileRow}/{TileCol}"/>
        <s v="https://wmts.nlsc.gov.tw/wmts/TOPO01K_U24/{Style}/{TileMatrixSet}/{TileMatrix}/{TileRow}/{TileCol}"/>
        <s v="https://wmts.nlsc.gov.tw/wmts/TOPO01K_U25/{Style}/{TileMatrixSet}/{TileMatrix}/{TileRow}/{TileCol}"/>
        <s v="https://wmts.nlsc.gov.tw/wmts/TOPO01K_U26/{Style}/{TileMatrixSet}/{TileMatrix}/{TileRow}/{TileCol}"/>
        <s v="https://wmts.nlsc.gov.tw/wmts/TOPO01K_V01/{Style}/{TileMatrixSet}/{TileMatrix}/{TileRow}/{TileCol}"/>
        <s v="https://wmts.nlsc.gov.tw/wmts/TOPO01K_V02/{Style}/{TileMatrixSet}/{TileMatrix}/{TileRow}/{TileCol}"/>
        <s v="https://wmts.nlsc.gov.tw/wmts/TOPO01K_V03/{Style}/{TileMatrixSet}/{TileMatrix}/{TileRow}/{TileCol}"/>
        <s v="https://wmts.nlsc.gov.tw/wmts/TOPO01K_V04/{Style}/{TileMatrixSet}/{TileMatrix}/{TileRow}/{TileCol}"/>
        <s v="https://wmts.nlsc.gov.tw/wmts/TOPO01K_V05/{Style}/{TileMatrixSet}/{TileMatrix}/{TileRow}/{TileCol}"/>
        <s v="https://wmts.nlsc.gov.tw/wmts/TOPO01K_V06/{Style}/{TileMatrixSet}/{TileMatrix}/{TileRow}/{TileCol}"/>
        <s v="https://wmts.nlsc.gov.tw/wmts/TOPO01K_V07/{Style}/{TileMatrixSet}/{TileMatrix}/{TileRow}/{TileCol}"/>
        <s v="https://wmts.nlsc.gov.tw/wmts/TOPO01K_V08/{Style}/{TileMatrixSet}/{TileMatrix}/{TileRow}/{TileCol}"/>
        <s v="https://wmts.nlsc.gov.tw/wmts/TOPO01K_V09/{Style}/{TileMatrixSet}/{TileMatrix}/{TileRow}/{TileCol}"/>
        <s v="https://wmts.nlsc.gov.tw/wmts/TOPO01K_V10/{Style}/{TileMatrixSet}/{TileMatrix}/{TileRow}/{TileCol}"/>
        <s v="https://wmts.nlsc.gov.tw/wmts/TOPO01K_V11/{Style}/{TileMatrixSet}/{TileMatrix}/{TileRow}/{TileCol}"/>
        <s v="https://wmts.nlsc.gov.tw/wmts/TOPO01K_V12/{Style}/{TileMatrixSet}/{TileMatrix}/{TileRow}/{TileCol}"/>
        <s v="https://wmts.nlsc.gov.tw/wmts/TOPO01K_V13/{Style}/{TileMatrixSet}/{TileMatrix}/{TileRow}/{TileCol}"/>
        <s v="https://wmts.nlsc.gov.tw/wmts/TOPO01K_V14/{Style}/{TileMatrixSet}/{TileMatrix}/{TileRow}/{TileCol}"/>
        <s v="https://wmts.nlsc.gov.tw/wmts/TOPO01K_V15/{Style}/{TileMatrixSet}/{TileMatrix}/{TileRow}/{TileCol}"/>
        <s v="https://wmts.nlsc.gov.tw/wmts/TOPO01K_V16/{Style}/{TileMatrixSet}/{TileMatrix}/{TileRow}/{TileCol}"/>
        <s v="https://wmts.nlsc.gov.tw/wmts/TOPO01K_V17/{Style}/{TileMatrixSet}/{TileMatrix}/{TileRow}/{TileCol}"/>
        <s v="https://wmts.nlsc.gov.tw/wmts/TOPO01K_V18/{Style}/{TileMatrixSet}/{TileMatrix}/{TileRow}/{TileCol}"/>
        <s v="https://wmts.nlsc.gov.tw/wmts/TOPO01K_V19/{Style}/{TileMatrixSet}/{TileMatrix}/{TileRow}/{TileCol}"/>
        <s v="https://wmts.nlsc.gov.tw/wmts/TOPO01K_V20/{Style}/{TileMatrixSet}/{TileMatrix}/{TileRow}/{TileCol}"/>
        <s v="https://wmts.nlsc.gov.tw/wmts/TOPO01K_W01/{Style}/{TileMatrixSet}/{TileMatrix}/{TileRow}/{TileCol}"/>
        <s v="https://wmts.nlsc.gov.tw/wmts/TOPO01K_W02/{Style}/{TileMatrixSet}/{TileMatrix}/{TileRow}/{TileCol}"/>
        <s v="https://wmts.nlsc.gov.tw/wmts/TOPO01K_X01/{Style}/{TileMatrixSet}/{TileMatrix}/{TileRow}/{TileCol}"/>
        <s v="https://wmts.nlsc.gov.tw/wmts/TOPO01K_X02/{Style}/{TileMatrixSet}/{TileMatrix}/{TileRow}/{TileCol}"/>
        <s v="https://wmts.nlsc.gov.tw/wmts/TOPO01K_X03/{Style}/{TileMatrixSet}/{TileMatrix}/{TileRow}/{TileCol}"/>
        <s v="https://wmts.nlsc.gov.tw/wmts/TOPO01K_X04/{Style}/{TileMatrixSet}/{TileMatrix}/{TileRow}/{TileCol}"/>
        <s v="https://wmts.nlsc.gov.tw/wmts/TOPO01K_X05/{Style}/{TileMatrixSet}/{TileMatrix}/{TileRow}/{TileCol}"/>
        <s v="https://wmts.nlsc.gov.tw/wmts/TOPO01K_X06/{Style}/{TileMatrixSet}/{TileMatrix}/{TileRow}/{TileCol}"/>
        <s v="https://wmts.nlsc.gov.tw/wmts/TOPO01K_X07/{Style}/{TileMatrixSet}/{TileMatrix}/{TileRow}/{TileCol}"/>
        <s v="https://wmts.nlsc.gov.tw/wmts/TOPO01K_X08/{Style}/{TileMatrixSet}/{TileMatrix}/{TileRow}/{TileCol}"/>
        <s v="https://wmts.nlsc.gov.tw/wmts/TOPO01K_Z01/{Style}/{TileMatrixSet}/{TileMatrix}/{TileRow}/{TileCol}"/>
        <s v="https://wmts.nlsc.gov.tw/wmts/TOPO05K_100/{Style}/{TileMatrixSet}/{TileMatrix}/{TileRow}/{TileCol}"/>
        <s v="https://wmts.nlsc.gov.tw/wmts/TOPO05K_101/{Style}/{TileMatrixSet}/{TileMatrix}/{TileRow}/{TileCol}"/>
        <s v="https://wmts.nlsc.gov.tw/wmts/TOPO05K_102/{Style}/{TileMatrixSet}/{TileMatrix}/{TileRow}/{TileCol}"/>
        <s v="https://wmts.nlsc.gov.tw/wmts/TOPO05K_103/{Style}/{TileMatrixSet}/{TileMatrix}/{TileRow}/{TileCol}"/>
        <s v="https://wmts.nlsc.gov.tw/wmts/TOPO05K_104/{Style}/{TileMatrixSet}/{TileMatrix}/{TileRow}/{TileCol}"/>
        <s v="https://wmts.nlsc.gov.tw/wmts/TOPO05K_105/{Style}/{TileMatrixSet}/{TileMatrix}/{TileRow}/{TileCol}"/>
        <s v="https://wmts.nlsc.gov.tw/wmts/TOPO05K_106/{Style}/{TileMatrixSet}/{TileMatrix}/{TileRow}/{TileCol}"/>
        <s v="https://wmts.nlsc.gov.tw/wmts/TOPO05K_107/{Style}/{TileMatrixSet}/{TileMatrix}/{TileRow}/{TileCol}"/>
        <s v="https://wmts.nlsc.gov.tw/wmts/TOPO05K_108/{Style}/{TileMatrixSet}/{TileMatrix}/{TileRow}/{TileCol}"/>
        <s v="https://wmts.nlsc.gov.tw/wmts/TOPO05K_109/{Style}/{TileMatrixSet}/{TileMatrix}/{TileRow}/{TileCol}"/>
        <s v="https://wmts.nlsc.gov.tw/wmts/TOPO05K_110/{Style}/{TileMatrixSet}/{TileMatrix}/{TileRow}/{TileCol}"/>
        <s v="https://wmts.nlsc.gov.tw/wmts/TOPO05K_111/{Style}/{TileMatrixSet}/{TileMatrix}/{TileRow}/{TileCol}"/>
        <s v="https://wmts.nlsc.gov.tw/wmts/TOPO05K_84/{Style}/{TileMatrixSet}/{TileMatrix}/{TileRow}/{TileCol}"/>
        <s v="https://wmts.nlsc.gov.tw/wmts/TOPO05K_86/{Style}/{TileMatrixSet}/{TileMatrix}/{TileRow}/{TileCol}"/>
        <s v="https://wmts.nlsc.gov.tw/wmts/TOPO05K_87/{Style}/{TileMatrixSet}/{TileMatrix}/{TileRow}/{TileCol}"/>
        <s v="https://wmts.nlsc.gov.tw/wmts/TOPO05K_88/{Style}/{TileMatrixSet}/{TileMatrix}/{TileRow}/{TileCol}"/>
        <s v="https://wmts.nlsc.gov.tw/wmts/TOPO05K_90/{Style}/{TileMatrixSet}/{TileMatrix}/{TileRow}/{TileCol}"/>
        <s v="https://wmts.nlsc.gov.tw/wmts/TOPO05K_91/{Style}/{TileMatrixSet}/{TileMatrix}/{TileRow}/{TileCol}"/>
        <s v="https://wmts.nlsc.gov.tw/wmts/TOPO05K_92/{Style}/{TileMatrixSet}/{TileMatrix}/{TileRow}/{TileCol}"/>
        <s v="https://wmts.nlsc.gov.tw/wmts/TOPO05K_96/{Style}/{TileMatrixSet}/{TileMatrix}/{TileRow}/{TileCol}"/>
        <s v="https://wmts.nlsc.gov.tw/wmts/TOPO05K_98/{Style}/{TileMatrixSet}/{TileMatrix}/{TileRow}/{TileCol}"/>
        <s v="https://wmts.nlsc.gov.tw/wmts/TOPO05K_99/{Style}/{TileMatrixSet}/{TileMatrix}/{TileRow}/{TileCol}"/>
        <s v="https://wmts.nlsc.gov.tw/wmts/TOPO05KPHOTO_065/{Style}/{TileMatrixSet}/{TileMatrix}/{TileRow}/{TileCol}"/>
        <s v="https://wmts.nlsc.gov.tw/wmts/TOPO05KPHOTO_066/{Style}/{TileMatrixSet}/{TileMatrix}/{TileRow}/{TileCol}"/>
        <s v="https://wmts.nlsc.gov.tw/wmts/TOPO05KPHOTO_067/{Style}/{TileMatrixSet}/{TileMatrix}/{TileRow}/{TileCol}"/>
        <s v="https://wmts.nlsc.gov.tw/wmts/TOPO05KPHOTO_068/{Style}/{TileMatrixSet}/{TileMatrix}/{TileRow}/{TileCol}"/>
        <s v="https://wmts.nlsc.gov.tw/wmts/TOPO05KPHOTO_069/{Style}/{TileMatrixSet}/{TileMatrix}/{TileRow}/{TileCol}"/>
        <s v="https://wmts.nlsc.gov.tw/wmts/TOPO05KPHOTO_070/{Style}/{TileMatrixSet}/{TileMatrix}/{TileRow}/{TileCol}"/>
        <s v="https://wmts.nlsc.gov.tw/wmts/TOPO05KPHOTO_071/{Style}/{TileMatrixSet}/{TileMatrix}/{TileRow}/{TileCol}"/>
        <s v="https://wmts.nlsc.gov.tw/wmts/TOPO05KPHOTO_072/{Style}/{TileMatrixSet}/{TileMatrix}/{TileRow}/{TileCol}"/>
        <s v="https://wmts.nlsc.gov.tw/wmts/TOPO05KPHOTO_073/{Style}/{TileMatrixSet}/{TileMatrix}/{TileRow}/{TileCol}"/>
        <s v="https://wmts.nlsc.gov.tw/wmts/TOPO05KPHOTO_074/{Style}/{TileMatrixSet}/{TileMatrix}/{TileRow}/{TileCol}"/>
        <s v="https://wmts.nlsc.gov.tw/wmts/TOPO05KPHOTO_075/{Style}/{TileMatrixSet}/{TileMatrix}/{TileRow}/{TileCol}"/>
        <s v="https://wmts.nlsc.gov.tw/wmts/TOPO05KPHOTO_076/{Style}/{TileMatrixSet}/{TileMatrix}/{TileRow}/{TileCol}"/>
        <s v="https://wmts.nlsc.gov.tw/wmts/TOPO05KPHOTO_078/{Style}/{TileMatrixSet}/{TileMatrix}/{TileRow}/{TileCol}"/>
        <s v="https://wmts.nlsc.gov.tw/wmts/TOPO05KPHOTO_079/{Style}/{TileMatrixSet}/{TileMatrix}/{TileRow}/{TileCol}"/>
        <s v="https://wmts.nlsc.gov.tw/wmts/TOPO05KPHOTO_080/{Style}/{TileMatrixSet}/{TileMatrix}/{TileRow}/{TileCol}"/>
        <s v="https://wmts.nlsc.gov.tw/wmts/TOPO05KPHOTO_081/{Style}/{TileMatrixSet}/{TileMatrix}/{TileRow}/{TileCol}"/>
        <s v="https://wmts.nlsc.gov.tw/wmts/TOPO05KPHOTO_083/{Style}/{TileMatrixSet}/{TileMatrix}/{TileRow}/{TileCol}"/>
        <s v="https://wmts.nlsc.gov.tw/wmts/TOPO05KPHOTO_084/{Style}/{TileMatrixSet}/{TileMatrix}/{TileRow}/{TileCol}"/>
        <s v="https://wmts.nlsc.gov.tw/wmts/TOPO05KPHOTO_086/{Style}/{TileMatrixSet}/{TileMatrix}/{TileRow}/{TileCol}"/>
        <s v="https://wmts.nlsc.gov.tw/wmts/TOPO05KPHOTO_087/{Style}/{TileMatrixSet}/{TileMatrix}/{TileRow}/{TileCol}"/>
        <s v="https://wmts.nlsc.gov.tw/wmts/TOPO05KPHOTO_088/{Style}/{TileMatrixSet}/{TileMatrix}/{TileRow}/{TileCol}"/>
        <s v="https://wmts.nlsc.gov.tw/wmts/TOPO05KPHOTO_089/{Style}/{TileMatrixSet}/{TileMatrix}/{TileRow}/{TileCol}"/>
        <s v="https://wmts.nlsc.gov.tw/wmts/TOPO05KPHOTO_090/{Style}/{TileMatrixSet}/{TileMatrix}/{TileRow}/{TileCol}"/>
        <s v="https://wmts.nlsc.gov.tw/wmts/TOPO05KPHOTO_091/{Style}/{TileMatrixSet}/{TileMatrix}/{TileRow}/{TileCol}"/>
        <s v="https://wmts.nlsc.gov.tw/wmts/TOPO05KPHOTO_092/{Style}/{TileMatrixSet}/{TileMatrix}/{TileRow}/{TileCol}"/>
        <s v="https://wmts.nlsc.gov.tw/wmts/TOPO05KPHOTO_093/{Style}/{TileMatrixSet}/{TileMatrix}/{TileRow}/{TileCol}"/>
        <s v="https://wmts.nlsc.gov.tw/wmts/TOPO05KPHOTO_094/{Style}/{TileMatrixSet}/{TileMatrix}/{TileRow}/{TileCol}"/>
        <s v="https://wmts.nlsc.gov.tw/wmts/TOPO05KPHOTO_095/{Style}/{TileMatrixSet}/{TileMatrix}/{TileRow}/{TileCol}"/>
        <s v="https://wmts.nlsc.gov.tw/wmts/TOPO05KPHOTO_096/{Style}/{TileMatrixSet}/{TileMatrix}/{TileRow}/{TileCol}"/>
        <s v="https://wmts.nlsc.gov.tw/wmts/TOPO05KPHOTO_097/{Style}/{TileMatrixSet}/{TileMatrix}/{TileRow}/{TileCol}"/>
        <s v="https://wmts.nlsc.gov.tw/wmts/TOPO05KPHOTO_098/{Style}/{TileMatrixSet}/{TileMatrix}/{TileRow}/{TileCol}"/>
        <s v="https://wmts.nlsc.gov.tw/wmts/TOPO05KPHOTO_099/{Style}/{TileMatrixSet}/{TileMatrix}/{TileRow}/{TileCol}"/>
        <s v="https://wmts.nlsc.gov.tw/wmts/TOPO05KPHOTO_100/{Style}/{TileMatrixSet}/{TileMatrix}/{TileRow}/{TileCol}"/>
        <s v="https://wmts.nlsc.gov.tw/wmts/TOPO05KPHOTO_101/{Style}/{TileMatrixSet}/{TileMatrix}/{TileRow}/{TileCol}"/>
        <s v="https://wmts.nlsc.gov.tw/wmts/TOPO05KPHOTO_102/{Style}/{TileMatrixSet}/{TileMatrix}/{TileRow}/{TileCol}"/>
        <s v="https://wmts.nlsc.gov.tw/wmts/TOPO05KPHOTO_103/{Style}/{TileMatrixSet}/{TileMatrix}/{TileRow}/{TileCol}"/>
        <s v="https://wmts.nlsc.gov.tw/wmts/TOPO05KPHOTO_104/{Style}/{TileMatrixSet}/{TileMatrix}/{TileRow}/{TileCol}"/>
        <s v="https://wmts.nlsc.gov.tw/wmts/TOPO05KPHOTO_105/{Style}/{TileMatrixSet}/{TileMatrix}/{TileRow}/{TileCol}"/>
        <s v="https://wmts.nlsc.gov.tw/wmts/TOPO05KPHOTO_106/{Style}/{TileMatrixSet}/{TileMatrix}/{TileRow}/{TileCol}"/>
        <s v="https://wmts.nlsc.gov.tw/wmts/TOPO05KPHOTO_107/{Style}/{TileMatrixSet}/{TileMatrix}/{TileRow}/{TileCol}"/>
        <s v="https://wmts.nlsc.gov.tw/wmts/TOPO05KPHOTO_108/{Style}/{TileMatrixSet}/{TileMatrix}/{TileRow}/{TileCol}"/>
        <s v="https://wmts.nlsc.gov.tw/wmts/TOPO05KPHOTO_109/{Style}/{TileMatrixSet}/{TileMatrix}/{TileRow}/{TileCol}"/>
        <s v="https://wmts.nlsc.gov.tw/wmts/TOPO05KPHOTO_110/{Style}/{TileMatrixSet}/{TileMatrix}/{TileRow}/{TileCol}"/>
        <s v="https://wmts.nlsc.gov.tw/wmts/TOPO05KPHOTO_111/{Style}/{TileMatrixSet}/{TileMatrix}/{TileRow}/{TileCol}"/>
        <s v="https://wmts.nlsc.gov.tw/wmts/TOPO05KPHOTO_112/{Style}/{TileMatrixSet}/{TileMatrix}/{TileRow}/{TileCol}"/>
        <s v="https://wmts.nlsc.gov.tw/wmts/TOPO05KPHOTO_113/{Style}/{TileMatrixSet}/{TileMatrix}/{TileRow}/{TileCol}"/>
        <s v="https://wmts.nlsc.gov.tw/wmts/TOPO05KPHOTO_114/{Style}/{TileMatrixSet}/{TileMatrix}/{TileRow}/{TileCol}"/>
        <s v="https://wmts.nlsc.gov.tw/wmts/TOPO10KPHOTO/{Style}/{TileMatrixSet}/{TileMatrix}/{TileRow}/{TileCol}"/>
        <s v="https://wmts.nlsc.gov.tw/wmts/TOPO10M_107/{Style}/{TileMatrixSet}/{TileMatrix}/{TileRow}/{TileCol}"/>
        <s v="https://wmts.nlsc.gov.tw/wmts/TOPO10M_109/{Style}/{TileMatrixSet}/{TileMatrix}/{TileRow}/{TileCol}"/>
        <s v="https://wmts.nlsc.gov.tw/wmts/TOPO10M_110/{Style}/{TileMatrixSet}/{TileMatrix}/{TileRow}/{TileCol}"/>
        <s v="https://wmts.nlsc.gov.tw/wmts/TOPO10M_111/{Style}/{TileMatrixSet}/{TileMatrix}/{TileRow}/{TileCol}"/>
        <s v="https://wmts.nlsc.gov.tw/wmts/TOPO10M_112/{Style}/{TileMatrixSet}/{TileMatrix}/{TileRow}/{TileCol}"/>
        <s v="https://wmts.nlsc.gov.tw/wmts/TOPO10M_113/{Style}/{TileMatrixSet}/{TileMatrix}/{TileRow}/{TileCol}"/>
        <s v="https://wmts.nlsc.gov.tw/wmts/TOPO10M_114/{Style}/{TileMatrixSet}/{TileMatrix}/{TileRow}/{TileCol}"/>
        <s v="https://wmts.nlsc.gov.tw/wmts/TOPO25K_107/{Style}/{TileMatrixSet}/{TileMatrix}/{TileRow}/{TileCol}"/>
        <s v="https://wmts.nlsc.gov.tw/wmts/TOPO25K_108/{Style}/{TileMatrixSet}/{TileMatrix}/{TileRow}/{TileCol}"/>
        <s v="https://wmts.nlsc.gov.tw/wmts/TOPO25K_109/{Style}/{TileMatrixSet}/{TileMatrix}/{TileRow}/{TileCol}"/>
        <s v="https://wmts.nlsc.gov.tw/wmts/TOPO25K_110/{Style}/{TileMatrixSet}/{TileMatrix}/{TileRow}/{TileCol}"/>
        <s v="https://wmts.nlsc.gov.tw/wmts/TOPO25K_111/{Style}/{TileMatrixSet}/{TileMatrix}/{TileRow}/{TileCol}"/>
        <s v="https://wmts.nlsc.gov.tw/wmts/TOPO25K_112/{Style}/{TileMatrixSet}/{TileMatrix}/{TileRow}/{TileCol}"/>
        <s v="https://wmts.nlsc.gov.tw/wmts/TOPO25K_113/{Style}/{TileMatrixSet}/{TileMatrix}/{TileRow}/{TileCol}"/>
        <s v="https://wmts.nlsc.gov.tw/wmts/TOPO25K_114/{Style}/{TileMatrixSet}/{TileMatrix}/{TileRow}/{TileCol}"/>
        <s v="https://wmts.nlsc.gov.tw/wmts/TOPO50K_107/{Style}/{TileMatrixSet}/{TileMatrix}/{TileRow}/{TileCol}"/>
        <s v="https://wmts.nlsc.gov.tw/wmts/TOPO50K_109/{Style}/{TileMatrixSet}/{TileMatrix}/{TileRow}/{TileCol}"/>
        <s v="https://wmts.nlsc.gov.tw/wmts/TOPO50K_110/{Style}/{TileMatrixSet}/{TileMatrix}/{TileRow}/{TileCol}"/>
        <s v="https://wmts.nlsc.gov.tw/wmts/TOPO50K_111/{Style}/{TileMatrixSet}/{TileMatrix}/{TileRow}/{TileCol}"/>
        <s v="https://wmts.nlsc.gov.tw/wmts/TOPO50K_112/{Style}/{TileMatrixSet}/{TileMatrix}/{TileRow}/{TileCol}"/>
        <s v="https://wmts.nlsc.gov.tw/wmts/TOPO50K_113/{Style}/{TileMatrixSet}/{TileMatrix}/{TileRow}/{TileCol}"/>
        <s v="https://wmts.nlsc.gov.tw/wmts/TOPON1K_B04/{Style}/{TileMatrixSet}/{TileMatrix}/{TileRow}/{TileCol}"/>
        <s v="https://wmts.nlsc.gov.tw/wmts/TOPON1K_B11/{Style}/{TileMatrixSet}/{TileMatrix}/{TileRow}/{TileCol}"/>
        <s v="https://wmts.nlsc.gov.tw/wmts/TOPON1K_B14/{Style}/{TileMatrixSet}/{TileMatrix}/{TileRow}/{TileCol}"/>
        <s v="https://wmts.nlsc.gov.tw/wmts/TOPON1K_B15/{Style}/{TileMatrixSet}/{TileMatrix}/{TileRow}/{TileCol}"/>
        <s v="https://wmts.nlsc.gov.tw/wmts/TOPON1K_B20/{Style}/{TileMatrixSet}/{TileMatrix}/{TileRow}/{TileCol}"/>
        <s v="https://wmts.nlsc.gov.tw/wmts/TOPON1K_B22/{Style}/{TileMatrixSet}/{TileMatrix}/{TileRow}/{TileCol}"/>
        <s v="https://wmts.nlsc.gov.tw/wmts/TOPON1K_B25/{Style}/{TileMatrixSet}/{TileMatrix}/{TileRow}/{TileCol}"/>
        <s v="https://wmts.nlsc.gov.tw/wmts/TOPON1K_D03/{Style}/{TileMatrixSet}/{TileMatrix}/{TileRow}/{TileCol}"/>
        <s v="https://wmts.nlsc.gov.tw/wmts/TOPON1K_D04/{Style}/{TileMatrixSet}/{TileMatrix}/{TileRow}/{TileCol}"/>
        <s v="https://wmts.nlsc.gov.tw/wmts/TOPON1K_D05/{Style}/{TileMatrixSet}/{TileMatrix}/{TileRow}/{TileCol}"/>
        <s v="https://wmts.nlsc.gov.tw/wmts/TOPON1K_D08/{Style}/{TileMatrixSet}/{TileMatrix}/{TileRow}/{TileCol}"/>
        <s v="https://wmts.nlsc.gov.tw/wmts/TOPON1K_D12/{Style}/{TileMatrixSet}/{TileMatrix}/{TileRow}/{TileCol}"/>
        <s v="https://wmts.nlsc.gov.tw/wmts/TOPON1K_E02/{Style}/{TileMatrixSet}/{TileMatrix}/{TileRow}/{TileCol}"/>
        <s v="https://wmts.nlsc.gov.tw/wmts/TOPON1K_E03/{Style}/{TileMatrixSet}/{TileMatrix}/{TileRow}/{TileCol}"/>
        <s v="https://wmts.nlsc.gov.tw/wmts/TOPON1K_E32/{Style}/{TileMatrixSet}/{TileMatrix}/{TileRow}/{TileCol}"/>
        <s v="https://wmts.nlsc.gov.tw/wmts/TOPON1K_G01/{Style}/{TileMatrixSet}/{TileMatrix}/{TileRow}/{TileCol}"/>
        <s v="https://wmts.nlsc.gov.tw/wmts/TOPON1K_G04/{Style}/{TileMatrixSet}/{TileMatrix}/{TileRow}/{TileCol}"/>
        <s v="https://wmts.nlsc.gov.tw/wmts/TOPON1K_G06/{Style}/{TileMatrixSet}/{TileMatrix}/{TileRow}/{TileCol}"/>
        <s v="https://wmts.nlsc.gov.tw/wmts/TOPON1K_G09/{Style}/{TileMatrixSet}/{TileMatrix}/{TileRow}/{TileCol}"/>
        <s v="https://wmts.nlsc.gov.tw/wmts/TOPON1K_G11/{Style}/{TileMatrixSet}/{TileMatrix}/{TileRow}/{TileCol}"/>
        <s v="https://wmts.nlsc.gov.tw/wmts/TOPON1K_G15/{Style}/{TileMatrixSet}/{TileMatrix}/{TileRow}/{TileCol}"/>
        <s v="https://wmts.nlsc.gov.tw/wmts/TOPON1K_G16/{Style}/{TileMatrixSet}/{TileMatrix}/{TileRow}/{TileCol}"/>
        <s v="https://wmts.nlsc.gov.tw/wmts/TOPON1K_G17/{Style}/{TileMatrixSet}/{TileMatrix}/{TileRow}/{TileCol}"/>
        <s v="https://wmts.nlsc.gov.tw/wmts/TOPON1K_G18/{Style}/{TileMatrixSet}/{TileMatrix}/{TileRow}/{TileCol}"/>
        <s v="https://wmts.nlsc.gov.tw/wmts/TOPON1K_G19/{Style}/{TileMatrixSet}/{TileMatrix}/{TileRow}/{TileCol}"/>
        <s v="https://wmts.nlsc.gov.tw/wmts/TOPON1K_G20/{Style}/{TileMatrixSet}/{TileMatrix}/{TileRow}/{TileCol}"/>
        <s v="https://wmts.nlsc.gov.tw/wmts/TOPON1K_H18/{Style}/{TileMatrixSet}/{TileMatrix}/{TileRow}/{TileCol}"/>
        <s v="https://wmts.nlsc.gov.tw/wmts/TOPON1K_H19/{Style}/{TileMatrixSet}/{TileMatrix}/{TileRow}/{TileCol}"/>
        <s v="https://wmts.nlsc.gov.tw/wmts/TOPON1K_H20/{Style}/{TileMatrixSet}/{TileMatrix}/{TileRow}/{TileCol}"/>
        <s v="https://wmts.nlsc.gov.tw/wmts/TOPON1K_H21/{Style}/{TileMatrixSet}/{TileMatrix}/{TileRow}/{TileCol}"/>
        <s v="https://wmts.nlsc.gov.tw/wmts/TOPON1K_H31/{Style}/{TileMatrixSet}/{TileMatrix}/{TileRow}/{TileCol}"/>
        <s v="https://wmts.nlsc.gov.tw/wmts/TOPON1K_J01/{Style}/{TileMatrixSet}/{TileMatrix}/{TileRow}/{TileCol}"/>
        <s v="https://wmts.nlsc.gov.tw/wmts/TOPON1K_J06/{Style}/{TileMatrixSet}/{TileMatrix}/{TileRow}/{TileCol}"/>
        <s v="https://wmts.nlsc.gov.tw/wmts/TOPON1K_J13/{Style}/{TileMatrixSet}/{TileMatrix}/{TileRow}/{TileCol}"/>
        <s v="https://wmts.nlsc.gov.tw/wmts/TOPON1K_J16/{Style}/{TileMatrixSet}/{TileMatrix}/{TileRow}/{TileCol}"/>
        <s v="https://wmts.nlsc.gov.tw/wmts/TOPON1K_J17/{Style}/{TileMatrixSet}/{TileMatrix}/{TileRow}/{TileCol}"/>
        <s v="https://wmts.nlsc.gov.tw/wmts/TOPON1K_K01/{Style}/{TileMatrixSet}/{TileMatrix}/{TileRow}/{TileCol}"/>
        <s v="https://wmts.nlsc.gov.tw/wmts/TOPON1K_K02/{Style}/{TileMatrixSet}/{TileMatrix}/{TileRow}/{TileCol}"/>
        <s v="https://wmts.nlsc.gov.tw/wmts/TOPON1K_K14/{Style}/{TileMatrixSet}/{TileMatrix}/{TileRow}/{TileCol}"/>
        <s v="https://wmts.nlsc.gov.tw/wmts/TOPON1K_M01/{Style}/{TileMatrixSet}/{TileMatrix}/{TileRow}/{TileCol}"/>
        <s v="https://wmts.nlsc.gov.tw/wmts/TOPON1K_M02/{Style}/{TileMatrixSet}/{TileMatrix}/{TileRow}/{TileCol}"/>
        <s v="https://wmts.nlsc.gov.tw/wmts/TOPON1K_M04/{Style}/{TileMatrixSet}/{TileMatrix}/{TileRow}/{TileCol}"/>
        <s v="https://wmts.nlsc.gov.tw/wmts/TOPON1K_N01/{Style}/{TileMatrixSet}/{TileMatrix}/{TileRow}/{TileCol}"/>
        <s v="https://wmts.nlsc.gov.tw/wmts/TOPON1K_N02/{Style}/{TileMatrixSet}/{TileMatrix}/{TileRow}/{TileCol}"/>
        <s v="https://wmts.nlsc.gov.tw/wmts/TOPON1K_P01/{Style}/{TileMatrixSet}/{TileMatrix}/{TileRow}/{TileCol}"/>
        <s v="https://wmts.nlsc.gov.tw/wmts/TOPON1K_P10/{Style}/{TileMatrixSet}/{TileMatrix}/{TileRow}/{TileCol}"/>
        <s v="https://wmts.nlsc.gov.tw/wmts/TOPON1K_P12/{Style}/{TileMatrixSet}/{TileMatrix}/{TileRow}/{TileCol}"/>
        <s v="https://wmts.nlsc.gov.tw/wmts/TOPON1K_P13/{Style}/{TileMatrixSet}/{TileMatrix}/{TileRow}/{TileCol}"/>
        <s v="https://wmts.nlsc.gov.tw/wmts/TOPON1K_P22/{Style}/{TileMatrixSet}/{TileMatrix}/{TileRow}/{TileCol}"/>
        <s v="https://wmts.nlsc.gov.tw/wmts/TOPON1K_P24/{Style}/{TileMatrixSet}/{TileMatrix}/{TileRow}/{TileCol}"/>
        <s v="https://wmts.nlsc.gov.tw/wmts/TOPON1K_P25/{Style}/{TileMatrixSet}/{TileMatrix}/{TileRow}/{TileCol}"/>
        <s v="https://wmts.nlsc.gov.tw/wmts/TOPON1K_Q02/{Style}/{TileMatrixSet}/{TileMatrix}/{TileRow}/{TileCol}"/>
        <s v="https://wmts.nlsc.gov.tw/wmts/TOPON1K_Q06/{Style}/{TileMatrixSet}/{TileMatrix}/{TileRow}/{TileCol}"/>
        <s v="https://wmts.nlsc.gov.tw/wmts/TOPON1K_Q07/{Style}/{TileMatrixSet}/{TileMatrix}/{TileRow}/{TileCol}"/>
        <s v="https://wmts.nlsc.gov.tw/wmts/TOPON1K_Q19/{Style}/{TileMatrixSet}/{TileMatrix}/{TileRow}/{TileCol}"/>
        <s v="https://wmts.nlsc.gov.tw/wmts/TOPON1K_Q21/{Style}/{TileMatrixSet}/{TileMatrix}/{TileRow}/{TileCol}"/>
        <s v="https://wmts.nlsc.gov.tw/wmts/TOPON1K_Q22/{Style}/{TileMatrixSet}/{TileMatrix}/{TileRow}/{TileCol}"/>
        <s v="https://wmts.nlsc.gov.tw/wmts/TOPON1K_Q26/{Style}/{TileMatrixSet}/{TileMatrix}/{TileRow}/{TileCol}"/>
        <s v="https://wmts.nlsc.gov.tw/wmts/TOPON1K_Q27/{Style}/{TileMatrixSet}/{TileMatrix}/{TileRow}/{TileCol}"/>
        <s v="https://wmts.nlsc.gov.tw/wmts/TOPON1K_Q28/{Style}/{TileMatrixSet}/{TileMatrix}/{TileRow}/{TileCol}"/>
        <s v="https://wmts.nlsc.gov.tw/wmts/TOPON1K_Q29/{Style}/{TileMatrixSet}/{TileMatrix}/{TileRow}/{TileCol}"/>
        <s v="https://wmts.nlsc.gov.tw/wmts/TOPON1K_Q30/{Style}/{TileMatrixSet}/{TileMatrix}/{TileRow}/{TileCol}"/>
        <s v="https://wmts.nlsc.gov.tw/wmts/TOPON1K_Q31/{Style}/{TileMatrixSet}/{TileMatrix}/{TileRow}/{TileCol}"/>
        <s v="https://wmts.nlsc.gov.tw/wmts/TOPON1K_T01/{Style}/{TileMatrixSet}/{TileMatrix}/{TileRow}/{TileCol}"/>
        <s v="https://wmts.nlsc.gov.tw/wmts/TOPON1K_T03/{Style}/{TileMatrixSet}/{TileMatrix}/{TileRow}/{TileCol}"/>
        <s v="https://wmts.nlsc.gov.tw/wmts/TOPON1K_T08/{Style}/{TileMatrixSet}/{TileMatrix}/{TileRow}/{TileCol}"/>
        <s v="https://wmts.nlsc.gov.tw/wmts/TOPON1K_T20/{Style}/{TileMatrixSet}/{TileMatrix}/{TileRow}/{TileCol}"/>
        <s v="https://wmts.nlsc.gov.tw/wmts/TOPON1K_T30/{Style}/{TileMatrixSet}/{TileMatrix}/{TileRow}/{TileCol}"/>
        <s v="https://wmts.nlsc.gov.tw/wmts/TOPON1K_U20/{Style}/{TileMatrixSet}/{TileMatrix}/{TileRow}/{TileCol}"/>
        <s v="https://wmts.nlsc.gov.tw/wmts/TOPON1K_V01/{Style}/{TileMatrixSet}/{TileMatrix}/{TileRow}/{TileCol}"/>
        <s v="https://wmts.nlsc.gov.tw/wmts/TOPON1K_V02/{Style}/{TileMatrixSet}/{TileMatrix}/{TileRow}/{TileCol}"/>
        <s v="https://wmts.nlsc.gov.tw/wmts/TOPON1K_X01/{Style}/{TileMatrixSet}/{TileMatrix}/{TileRow}/{TileCol}"/>
        <s v="https://wmts.nlsc.gov.tw/wmts/TOPON1K_X02/{Style}/{TileMatrixSet}/{TileMatrix}/{TileRow}/{TileCol}"/>
        <s v="https://wmts.nlsc.gov.tw/wmts/TOPON1K_X03/{Style}/{TileMatrixSet}/{TileMatrix}/{TileRow}/{TileCol}"/>
        <s v="https://wmts.nlsc.gov.tw/wmts/TOPON1K_X04/{Style}/{TileMatrixSet}/{TileMatrix}/{TileRow}/{TileCol}"/>
        <s v="https://wmts.nlsc.gov.tw/wmts/TOPON1K_X05/{Style}/{TileMatrixSet}/{TileMatrix}/{TileRow}/{TileCol}"/>
        <s v="https://wmts.nlsc.gov.tw/wmts/TOPON1K_X06/{Style}/{TileMatrixSet}/{TileMatrix}/{TileRow}/{TileCol}"/>
        <s v="https://wmts.nlsc.gov.tw/wmts/TOPON1K_X07/{Style}/{TileMatrixSet}/{TileMatrix}/{TileRow}/{TileCol}"/>
        <s v="https://wmts.nlsc.gov.tw/wmts/TOPON1K_X08/{Style}/{TileMatrixSet}/{TileMatrix}/{TileRow}/{TileCol}"/>
        <s v="https://wmts.nlsc.gov.tw/wmts/TOPON1KPHOTO_B04/{Style}/{TileMatrixSet}/{TileMatrix}/{TileRow}/{TileCol}"/>
        <s v="https://wmts.nlsc.gov.tw/wmts/TOPON1KPHOTO_B11/{Style}/{TileMatrixSet}/{TileMatrix}/{TileRow}/{TileCol}"/>
        <s v="https://wmts.nlsc.gov.tw/wmts/TOPON1KPHOTO_B14/{Style}/{TileMatrixSet}/{TileMatrix}/{TileRow}/{TileCol}"/>
        <s v="https://wmts.nlsc.gov.tw/wmts/TOPON1KPHOTO_B15/{Style}/{TileMatrixSet}/{TileMatrix}/{TileRow}/{TileCol}"/>
        <s v="https://wmts.nlsc.gov.tw/wmts/TOPON1KPHOTO_B20/{Style}/{TileMatrixSet}/{TileMatrix}/{TileRow}/{TileCol}"/>
        <s v="https://wmts.nlsc.gov.tw/wmts/TOPON1KPHOTO_B22/{Style}/{TileMatrixSet}/{TileMatrix}/{TileRow}/{TileCol}"/>
        <s v="https://wmts.nlsc.gov.tw/wmts/TOPON1KPHOTO_B25/{Style}/{TileMatrixSet}/{TileMatrix}/{TileRow}/{TileCol}"/>
        <s v="https://wmts.nlsc.gov.tw/wmts/TOPON1KPHOTO_D03/{Style}/{TileMatrixSet}/{TileMatrix}/{TileRow}/{TileCol}"/>
        <s v="https://wmts.nlsc.gov.tw/wmts/TOPON1KPHOTO_D04/{Style}/{TileMatrixSet}/{TileMatrix}/{TileRow}/{TileCol}"/>
        <s v="https://wmts.nlsc.gov.tw/wmts/TOPON1KPHOTO_D05/{Style}/{TileMatrixSet}/{TileMatrix}/{TileRow}/{TileCol}"/>
        <s v="https://wmts.nlsc.gov.tw/wmts/TOPON1KPHOTO_D08/{Style}/{TileMatrixSet}/{TileMatrix}/{TileRow}/{TileCol}"/>
        <s v="https://wmts.nlsc.gov.tw/wmts/TOPON1KPHOTO_D12/{Style}/{TileMatrixSet}/{TileMatrix}/{TileRow}/{TileCol}"/>
        <s v="https://wmts.nlsc.gov.tw/wmts/TOPON1KPHOTO_E02/{Style}/{TileMatrixSet}/{TileMatrix}/{TileRow}/{TileCol}"/>
        <s v="https://wmts.nlsc.gov.tw/wmts/TOPON1KPHOTO_E03/{Style}/{TileMatrixSet}/{TileMatrix}/{TileRow}/{TileCol}"/>
        <s v="https://wmts.nlsc.gov.tw/wmts/TOPON1KPHOTO_E32/{Style}/{TileMatrixSet}/{TileMatrix}/{TileRow}/{TileCol}"/>
        <s v="https://wmts.nlsc.gov.tw/wmts/TOPON1KPHOTO_G01/{Style}/{TileMatrixSet}/{TileMatrix}/{TileRow}/{TileCol}"/>
        <s v="https://wmts.nlsc.gov.tw/wmts/TOPON1KPHOTO_G04/{Style}/{TileMatrixSet}/{TileMatrix}/{TileRow}/{TileCol}"/>
        <s v="https://wmts.nlsc.gov.tw/wmts/TOPON1KPHOTO_G06/{Style}/{TileMatrixSet}/{TileMatrix}/{TileRow}/{TileCol}"/>
        <s v="https://wmts.nlsc.gov.tw/wmts/TOPON1KPHOTO_G09/{Style}/{TileMatrixSet}/{TileMatrix}/{TileRow}/{TileCol}"/>
        <s v="https://wmts.nlsc.gov.tw/wmts/TOPON1KPHOTO_G11/{Style}/{TileMatrixSet}/{TileMatrix}/{TileRow}/{TileCol}"/>
        <s v="https://wmts.nlsc.gov.tw/wmts/TOPON1KPHOTO_G15/{Style}/{TileMatrixSet}/{TileMatrix}/{TileRow}/{TileCol}"/>
        <s v="https://wmts.nlsc.gov.tw/wmts/TOPON1KPHOTO_G16/{Style}/{TileMatrixSet}/{TileMatrix}/{TileRow}/{TileCol}"/>
        <s v="https://wmts.nlsc.gov.tw/wmts/TOPON1KPHOTO_G17/{Style}/{TileMatrixSet}/{TileMatrix}/{TileRow}/{TileCol}"/>
        <s v="https://wmts.nlsc.gov.tw/wmts/TOPON1KPHOTO_G18/{Style}/{TileMatrixSet}/{TileMatrix}/{TileRow}/{TileCol}"/>
        <s v="https://wmts.nlsc.gov.tw/wmts/TOPON1KPHOTO_G19/{Style}/{TileMatrixSet}/{TileMatrix}/{TileRow}/{TileCol}"/>
        <s v="https://wmts.nlsc.gov.tw/wmts/TOPON1KPHOTO_G20/{Style}/{TileMatrixSet}/{TileMatrix}/{TileRow}/{TileCol}"/>
        <s v="https://wmts.nlsc.gov.tw/wmts/TOPON1KPHOTO_H18/{Style}/{TileMatrixSet}/{TileMatrix}/{TileRow}/{TileCol}"/>
        <s v="https://wmts.nlsc.gov.tw/wmts/TOPON1KPHOTO_H19/{Style}/{TileMatrixSet}/{TileMatrix}/{TileRow}/{TileCol}"/>
        <s v="https://wmts.nlsc.gov.tw/wmts/TOPON1KPHOTO_H20/{Style}/{TileMatrixSet}/{TileMatrix}/{TileRow}/{TileCol}"/>
        <s v="https://wmts.nlsc.gov.tw/wmts/TOPON1KPHOTO_H21/{Style}/{TileMatrixSet}/{TileMatrix}/{TileRow}/{TileCol}"/>
        <s v="https://wmts.nlsc.gov.tw/wmts/TOPON1KPHOTO_H31/{Style}/{TileMatrixSet}/{TileMatrix}/{TileRow}/{TileCol}"/>
        <s v="https://wmts.nlsc.gov.tw/wmts/TOPON1KPHOTO_J01/{Style}/{TileMatrixSet}/{TileMatrix}/{TileRow}/{TileCol}"/>
        <s v="https://wmts.nlsc.gov.tw/wmts/TOPON1KPHOTO_J06/{Style}/{TileMatrixSet}/{TileMatrix}/{TileRow}/{TileCol}"/>
        <s v="https://wmts.nlsc.gov.tw/wmts/TOPON1KPHOTO_J13/{Style}/{TileMatrixSet}/{TileMatrix}/{TileRow}/{TileCol}"/>
        <s v="https://wmts.nlsc.gov.tw/wmts/TOPON1KPHOTO_J16/{Style}/{TileMatrixSet}/{TileMatrix}/{TileRow}/{TileCol}"/>
        <s v="https://wmts.nlsc.gov.tw/wmts/TOPON1KPHOTO_J17/{Style}/{TileMatrixSet}/{TileMatrix}/{TileRow}/{TileCol}"/>
        <s v="https://wmts.nlsc.gov.tw/wmts/TOPON1KPHOTO_K01/{Style}/{TileMatrixSet}/{TileMatrix}/{TileRow}/{TileCol}"/>
        <s v="https://wmts.nlsc.gov.tw/wmts/TOPON1KPHOTO_K02/{Style}/{TileMatrixSet}/{TileMatrix}/{TileRow}/{TileCol}"/>
        <s v="https://wmts.nlsc.gov.tw/wmts/TOPON1KPHOTO_K14/{Style}/{TileMatrixSet}/{TileMatrix}/{TileRow}/{TileCol}"/>
        <s v="https://wmts.nlsc.gov.tw/wmts/TOPON1KPHOTO_M01/{Style}/{TileMatrixSet}/{TileMatrix}/{TileRow}/{TileCol}"/>
        <s v="https://wmts.nlsc.gov.tw/wmts/TOPON1KPHOTO_M02/{Style}/{TileMatrixSet}/{TileMatrix}/{TileRow}/{TileCol}"/>
        <s v="https://wmts.nlsc.gov.tw/wmts/TOPON1KPHOTO_M04/{Style}/{TileMatrixSet}/{TileMatrix}/{TileRow}/{TileCol}"/>
        <s v="https://wmts.nlsc.gov.tw/wmts/TOPON1KPHOTO_N01/{Style}/{TileMatrixSet}/{TileMatrix}/{TileRow}/{TileCol}"/>
        <s v="https://wmts.nlsc.gov.tw/wmts/TOPON1KPHOTO_N02/{Style}/{TileMatrixSet}/{TileMatrix}/{TileRow}/{TileCol}"/>
        <s v="https://wmts.nlsc.gov.tw/wmts/TOPON1KPHOTO_P01/{Style}/{TileMatrixSet}/{TileMatrix}/{TileRow}/{TileCol}"/>
        <s v="https://wmts.nlsc.gov.tw/wmts/TOPON1KPHOTO_P10/{Style}/{TileMatrixSet}/{TileMatrix}/{TileRow}/{TileCol}"/>
        <s v="https://wmts.nlsc.gov.tw/wmts/TOPON1KPHOTO_P12/{Style}/{TileMatrixSet}/{TileMatrix}/{TileRow}/{TileCol}"/>
        <s v="https://wmts.nlsc.gov.tw/wmts/TOPON1KPHOTO_P13/{Style}/{TileMatrixSet}/{TileMatrix}/{TileRow}/{TileCol}"/>
        <s v="https://wmts.nlsc.gov.tw/wmts/TOPON1KPHOTO_P22/{Style}/{TileMatrixSet}/{TileMatrix}/{TileRow}/{TileCol}"/>
        <s v="https://wmts.nlsc.gov.tw/wmts/TOPON1KPHOTO_P24/{Style}/{TileMatrixSet}/{TileMatrix}/{TileRow}/{TileCol}"/>
        <s v="https://wmts.nlsc.gov.tw/wmts/TOPON1KPHOTO_P25/{Style}/{TileMatrixSet}/{TileMatrix}/{TileRow}/{TileCol}"/>
        <s v="https://wmts.nlsc.gov.tw/wmts/TOPON1KPHOTO_Q02/{Style}/{TileMatrixSet}/{TileMatrix}/{TileRow}/{TileCol}"/>
        <s v="https://wmts.nlsc.gov.tw/wmts/TOPON1KPHOTO_Q06/{Style}/{TileMatrixSet}/{TileMatrix}/{TileRow}/{TileCol}"/>
        <s v="https://wmts.nlsc.gov.tw/wmts/TOPON1KPHOTO_Q07/{Style}/{TileMatrixSet}/{TileMatrix}/{TileRow}/{TileCol}"/>
        <s v="https://wmts.nlsc.gov.tw/wmts/TOPON1KPHOTO_Q19/{Style}/{TileMatrixSet}/{TileMatrix}/{TileRow}/{TileCol}"/>
        <s v="https://wmts.nlsc.gov.tw/wmts/TOPON1KPHOTO_Q21/{Style}/{TileMatrixSet}/{TileMatrix}/{TileRow}/{TileCol}"/>
        <s v="https://wmts.nlsc.gov.tw/wmts/TOPON1KPHOTO_Q22/{Style}/{TileMatrixSet}/{TileMatrix}/{TileRow}/{TileCol}"/>
        <s v="https://wmts.nlsc.gov.tw/wmts/TOPON1KPHOTO_Q26/{Style}/{TileMatrixSet}/{TileMatrix}/{TileRow}/{TileCol}"/>
        <s v="https://wmts.nlsc.gov.tw/wmts/TOPON1KPHOTO_Q27/{Style}/{TileMatrixSet}/{TileMatrix}/{TileRow}/{TileCol}"/>
        <s v="https://wmts.nlsc.gov.tw/wmts/TOPON1KPHOTO_Q28/{Style}/{TileMatrixSet}/{TileMatrix}/{TileRow}/{TileCol}"/>
        <s v="https://wmts.nlsc.gov.tw/wmts/TOPON1KPHOTO_Q29/{Style}/{TileMatrixSet}/{TileMatrix}/{TileRow}/{TileCol}"/>
        <s v="https://wmts.nlsc.gov.tw/wmts/TOPON1KPHOTO_Q30/{Style}/{TileMatrixSet}/{TileMatrix}/{TileRow}/{TileCol}"/>
        <s v="https://wmts.nlsc.gov.tw/wmts/TOPON1KPHOTO_Q31/{Style}/{TileMatrixSet}/{TileMatrix}/{TileRow}/{TileCol}"/>
        <s v="https://wmts.nlsc.gov.tw/wmts/TOPON1KPHOTO_T01/{Style}/{TileMatrixSet}/{TileMatrix}/{TileRow}/{TileCol}"/>
        <s v="https://wmts.nlsc.gov.tw/wmts/TOPON1KPHOTO_T03/{Style}/{TileMatrixSet}/{TileMatrix}/{TileRow}/{TileCol}"/>
        <s v="https://wmts.nlsc.gov.tw/wmts/TOPON1KPHOTO_T08/{Style}/{TileMatrixSet}/{TileMatrix}/{TileRow}/{TileCol}"/>
        <s v="https://wmts.nlsc.gov.tw/wmts/TOPON1KPHOTO_T20/{Style}/{TileMatrixSet}/{TileMatrix}/{TileRow}/{TileCol}"/>
        <s v="https://wmts.nlsc.gov.tw/wmts/TOPON1KPHOTO_T30/{Style}/{TileMatrixSet}/{TileMatrix}/{TileRow}/{TileCol}"/>
        <s v="https://wmts.nlsc.gov.tw/wmts/TOPON1KPHOTO_U20/{Style}/{TileMatrixSet}/{TileMatrix}/{TileRow}/{TileCol}"/>
        <s v="https://wmts.nlsc.gov.tw/wmts/TOPON1KPHOTO_V01/{Style}/{TileMatrixSet}/{TileMatrix}/{TileRow}/{TileCol}"/>
        <s v="https://wmts.nlsc.gov.tw/wmts/TOPON1KPHOTO_V02/{Style}/{TileMatrixSet}/{TileMatrix}/{TileRow}/{TileCol}"/>
        <s v="https://wmts.nlsc.gov.tw/wmts/TOPON1KPHOTO_X01/{Style}/{TileMatrixSet}/{TileMatrix}/{TileRow}/{TileCol}"/>
        <s v="https://wmts.nlsc.gov.tw/wmts/TOPON1KPHOTO_X02/{Style}/{TileMatrixSet}/{TileMatrix}/{TileRow}/{TileCol}"/>
        <s v="https://wmts.nlsc.gov.tw/wmts/TOPON1KPHOTO_X03/{Style}/{TileMatrixSet}/{TileMatrix}/{TileRow}/{TileCol}"/>
        <s v="https://wmts.nlsc.gov.tw/wmts/TOPON1KPHOTO_X04/{Style}/{TileMatrixSet}/{TileMatrix}/{TileRow}/{TileCol}"/>
        <s v="https://wmts.nlsc.gov.tw/wmts/TOPON1KPHOTO_X05/{Style}/{TileMatrixSet}/{TileMatrix}/{TileRow}/{TileCol}"/>
        <s v="https://wmts.nlsc.gov.tw/wmts/TOPON1KPHOTO_X06/{Style}/{TileMatrixSet}/{TileMatrix}/{TileRow}/{TileCol}"/>
        <s v="https://wmts.nlsc.gov.tw/wmts/TOPON1KPHOTO_X07/{Style}/{TileMatrixSet}/{TileMatrix}/{TileRow}/{TileCol}"/>
        <s v="https://wmts.nlsc.gov.tw/wmts/TOPON1KPHOTO_X08/{Style}/{TileMatrixSet}/{TileMatrix}/{TileRow}/{TileCol}"/>
        <s v="https://wmts.nlsc.gov.tw/wmts/TOWN/{Style}/{TileMatrixSet}/{TileMatrix}/{TileRow}/{TileCol}"/>
        <s v="https://wmts.nlsc.gov.tw/wmts/UAV101D01/{Style}/{TileMatrixSet}/{TileMatrix}/{TileRow}/{TileCol}"/>
        <s v="https://wmts.nlsc.gov.tw/wmts/UAV101D02/{Style}/{TileMatrixSet}/{TileMatrix}/{TileRow}/{TileCol}"/>
        <s v="https://wmts.nlsc.gov.tw/wmts/UAV101K01/{Style}/{TileMatrixSet}/{TileMatrix}/{TileRow}/{TileCol}"/>
        <s v="https://wmts.nlsc.gov.tw/wmts/UAV101K02/{Style}/{TileMatrixSet}/{TileMatrix}/{TileRow}/{TileCol}"/>
        <s v="https://wmts.nlsc.gov.tw/wmts/UAV101Q01/{Style}/{TileMatrixSet}/{TileMatrix}/{TileRow}/{TileCol}"/>
        <s v="https://wmts.nlsc.gov.tw/wmts/UAV101T01/{Style}/{TileMatrixSet}/{TileMatrix}/{TileRow}/{TileCol}"/>
        <s v="https://wmts.nlsc.gov.tw/wmts/UAV101U01/{Style}/{TileMatrixSet}/{TileMatrix}/{TileRow}/{TileCol}"/>
        <s v="https://wmts.nlsc.gov.tw/wmts/UAV101U02/{Style}/{TileMatrixSet}/{TileMatrix}/{TileRow}/{TileCol}"/>
        <s v="https://wmts.nlsc.gov.tw/wmts/UAV101V01/{Style}/{TileMatrixSet}/{TileMatrix}/{TileRow}/{TileCol}"/>
        <s v="https://wmts.nlsc.gov.tw/wmts/UAV102D01/{Style}/{TileMatrixSet}/{TileMatrix}/{TileRow}/{TileCol}"/>
        <s v="https://wmts.nlsc.gov.tw/wmts/UAV102D02/{Style}/{TileMatrixSet}/{TileMatrix}/{TileRow}/{TileCol}"/>
        <s v="https://wmts.nlsc.gov.tw/wmts/UAV102D03/{Style}/{TileMatrixSet}/{TileMatrix}/{TileRow}/{TileCol}"/>
        <s v="https://wmts.nlsc.gov.tw/wmts/UAV102H01/{Style}/{TileMatrixSet}/{TileMatrix}/{TileRow}/{TileCol}"/>
        <s v="https://wmts.nlsc.gov.tw/wmts/UAV102M01/{Style}/{TileMatrixSet}/{TileMatrix}/{TileRow}/{TileCol}"/>
        <s v="https://wmts.nlsc.gov.tw/wmts/UAV102N01/{Style}/{TileMatrixSet}/{TileMatrix}/{TileRow}/{TileCol}"/>
        <s v="https://wmts.nlsc.gov.tw/wmts/UAV102Q01/{Style}/{TileMatrixSet}/{TileMatrix}/{TileRow}/{TileCol}"/>
        <s v="https://wmts.nlsc.gov.tw/wmts/UAV102Q02/{Style}/{TileMatrixSet}/{TileMatrix}/{TileRow}/{TileCol}"/>
        <s v="https://wmts.nlsc.gov.tw/wmts/UAV102T01/{Style}/{TileMatrixSet}/{TileMatrix}/{TileRow}/{TileCol}"/>
        <s v="https://wmts.nlsc.gov.tw/wmts/UAV102T02/{Style}/{TileMatrixSet}/{TileMatrix}/{TileRow}/{TileCol}"/>
        <s v="https://wmts.nlsc.gov.tw/wmts/UAV102V01/{Style}/{TileMatrixSet}/{TileMatrix}/{TileRow}/{TileCol}"/>
        <s v="https://wmts.nlsc.gov.tw/wmts/UAV103D01/{Style}/{TileMatrixSet}/{TileMatrix}/{TileRow}/{TileCol}"/>
        <s v="https://wmts.nlsc.gov.tw/wmts/UAV103D03/{Style}/{TileMatrixSet}/{TileMatrix}/{TileRow}/{TileCol}"/>
        <s v="https://wmts.nlsc.gov.tw/wmts/UAV103D04/{Style}/{TileMatrixSet}/{TileMatrix}/{TileRow}/{TileCol}"/>
        <s v="https://wmts.nlsc.gov.tw/wmts/UAV103H01/{Style}/{TileMatrixSet}/{TileMatrix}/{TileRow}/{TileCol}"/>
        <s v="https://wmts.nlsc.gov.tw/wmts/UAV103K01/{Style}/{TileMatrixSet}/{TileMatrix}/{TileRow}/{TileCol}"/>
        <s v="https://wmts.nlsc.gov.tw/wmts/UAV103M01/{Style}/{TileMatrixSet}/{TileMatrix}/{TileRow}/{TileCol}"/>
        <s v="https://wmts.nlsc.gov.tw/wmts/UAV103M02/{Style}/{TileMatrixSet}/{TileMatrix}/{TileRow}/{TileCol}"/>
        <s v="https://wmts.nlsc.gov.tw/wmts/UAV103M03/{Style}/{TileMatrixSet}/{TileMatrix}/{TileRow}/{TileCol}"/>
        <s v="https://wmts.nlsc.gov.tw/wmts/UAV103M04/{Style}/{TileMatrixSet}/{TileMatrix}/{TileRow}/{TileCol}"/>
        <s v="https://wmts.nlsc.gov.tw/wmts/UAV103N01/{Style}/{TileMatrixSet}/{TileMatrix}/{TileRow}/{TileCol}"/>
        <s v="https://wmts.nlsc.gov.tw/wmts/UAV103P01/{Style}/{TileMatrixSet}/{TileMatrix}/{TileRow}/{TileCol}"/>
        <s v="https://wmts.nlsc.gov.tw/wmts/UAV103Q01/{Style}/{TileMatrixSet}/{TileMatrix}/{TileRow}/{TileCol}"/>
        <s v="https://wmts.nlsc.gov.tw/wmts/UAV103T01/{Style}/{TileMatrixSet}/{TileMatrix}/{TileRow}/{TileCol}"/>
        <s v="https://wmts.nlsc.gov.tw/wmts/UAV104D02/{Style}/{TileMatrixSet}/{TileMatrix}/{TileRow}/{TileCol}"/>
        <s v="https://wmts.nlsc.gov.tw/wmts/UAV104D03/{Style}/{TileMatrixSet}/{TileMatrix}/{TileRow}/{TileCol}"/>
        <s v="https://wmts.nlsc.gov.tw/wmts/UAV104D04/{Style}/{TileMatrixSet}/{TileMatrix}/{TileRow}/{TileCol}"/>
        <s v="https://wmts.nlsc.gov.tw/wmts/UAV104E01/{Style}/{TileMatrixSet}/{TileMatrix}/{TileRow}/{TileCol}"/>
        <s v="https://wmts.nlsc.gov.tw/wmts/UAV104E02/{Style}/{TileMatrixSet}/{TileMatrix}/{TileRow}/{TileCol}"/>
        <s v="https://wmts.nlsc.gov.tw/wmts/UAV104E03/{Style}/{TileMatrixSet}/{TileMatrix}/{TileRow}/{TileCol}"/>
        <s v="https://wmts.nlsc.gov.tw/wmts/UAV104K01/{Style}/{TileMatrixSet}/{TileMatrix}/{TileRow}/{TileCol}"/>
        <s v="https://wmts.nlsc.gov.tw/wmts/UAV104K02/{Style}/{TileMatrixSet}/{TileMatrix}/{TileRow}/{TileCol}"/>
        <s v="https://wmts.nlsc.gov.tw/wmts/UAV104N01/{Style}/{TileMatrixSet}/{TileMatrix}/{TileRow}/{TileCol}"/>
        <s v="https://wmts.nlsc.gov.tw/wmts/UAV104P01/{Style}/{TileMatrixSet}/{TileMatrix}/{TileRow}/{TileCol}"/>
        <s v="https://wmts.nlsc.gov.tw/wmts/UAV104T01/{Style}/{TileMatrixSet}/{TileMatrix}/{TileRow}/{TileCol}"/>
        <s v="https://wmts.nlsc.gov.tw/wmts/UAV105A01/{Style}/{TileMatrixSet}/{TileMatrix}/{TileRow}/{TileCol}"/>
        <s v="https://wmts.nlsc.gov.tw/wmts/UAV105A02/{Style}/{TileMatrixSet}/{TileMatrix}/{TileRow}/{TileCol}"/>
        <s v="https://wmts.nlsc.gov.tw/wmts/UAV105A03/{Style}/{TileMatrixSet}/{TileMatrix}/{TileRow}/{TileCol}"/>
        <s v="https://wmts.nlsc.gov.tw/wmts/UAV105B01/{Style}/{TileMatrixSet}/{TileMatrix}/{TileRow}/{TileCol}"/>
        <s v="https://wmts.nlsc.gov.tw/wmts/UAV105B02/{Style}/{TileMatrixSet}/{TileMatrix}/{TileRow}/{TileCol}"/>
        <s v="https://wmts.nlsc.gov.tw/wmts/UAV105B03/{Style}/{TileMatrixSet}/{TileMatrix}/{TileRow}/{TileCol}"/>
        <s v="https://wmts.nlsc.gov.tw/wmts/UAV105B04/{Style}/{TileMatrixSet}/{TileMatrix}/{TileRow}/{TileCol}"/>
        <s v="https://wmts.nlsc.gov.tw/wmts/UAV105B05/{Style}/{TileMatrixSet}/{TileMatrix}/{TileRow}/{TileCol}"/>
        <s v="https://wmts.nlsc.gov.tw/wmts/UAV105B06/{Style}/{TileMatrixSet}/{TileMatrix}/{TileRow}/{TileCol}"/>
        <s v="https://wmts.nlsc.gov.tw/wmts/UAV105B07/{Style}/{TileMatrixSet}/{TileMatrix}/{TileRow}/{TileCol}"/>
        <s v="https://wmts.nlsc.gov.tw/wmts/UAV105B08/{Style}/{TileMatrixSet}/{TileMatrix}/{TileRow}/{TileCol}"/>
        <s v="https://wmts.nlsc.gov.tw/wmts/UAV105B09/{Style}/{TileMatrixSet}/{TileMatrix}/{TileRow}/{TileCol}"/>
        <s v="https://wmts.nlsc.gov.tw/wmts/UAV105B10/{Style}/{TileMatrixSet}/{TileMatrix}/{TileRow}/{TileCol}"/>
        <s v="https://wmts.nlsc.gov.tw/wmts/UAV105B11/{Style}/{TileMatrixSet}/{TileMatrix}/{TileRow}/{TileCol}"/>
        <s v="https://wmts.nlsc.gov.tw/wmts/UAV105B12/{Style}/{TileMatrixSet}/{TileMatrix}/{TileRow}/{TileCol}"/>
        <s v="https://wmts.nlsc.gov.tw/wmts/UAV105B13/{Style}/{TileMatrixSet}/{TileMatrix}/{TileRow}/{TileCol}"/>
        <s v="https://wmts.nlsc.gov.tw/wmts/UAV105B14/{Style}/{TileMatrixSet}/{TileMatrix}/{TileRow}/{TileCol}"/>
        <s v="https://wmts.nlsc.gov.tw/wmts/UAV105B15/{Style}/{TileMatrixSet}/{TileMatrix}/{TileRow}/{TileCol}"/>
        <s v="https://wmts.nlsc.gov.tw/wmts/UAV105H01/{Style}/{TileMatrixSet}/{TileMatrix}/{TileRow}/{TileCol}"/>
        <s v="https://wmts.nlsc.gov.tw/wmts/UAV105H02/{Style}/{TileMatrixSet}/{TileMatrix}/{TileRow}/{TileCol}"/>
        <s v="https://wmts.nlsc.gov.tw/wmts/UAV105H03/{Style}/{TileMatrixSet}/{TileMatrix}/{TileRow}/{TileCol}"/>
        <s v="https://wmts.nlsc.gov.tw/wmts/UAV105H04/{Style}/{TileMatrixSet}/{TileMatrix}/{TileRow}/{TileCol}"/>
        <s v="https://wmts.nlsc.gov.tw/wmts/UAV105M01/{Style}/{TileMatrixSet}/{TileMatrix}/{TileRow}/{TileCol}"/>
        <s v="https://wmts.nlsc.gov.tw/wmts/UAV105M02/{Style}/{TileMatrixSet}/{TileMatrix}/{TileRow}/{TileCol}"/>
        <s v="https://wmts.nlsc.gov.tw/wmts/UAV105N01/{Style}/{TileMatrixSet}/{TileMatrix}/{TileRow}/{TileCol}"/>
        <s v="https://wmts.nlsc.gov.tw/wmts/UAV105O01/{Style}/{TileMatrixSet}/{TileMatrix}/{TileRow}/{TileCol}"/>
        <s v="https://wmts.nlsc.gov.tw/wmts/UAV105P01/{Style}/{TileMatrixSet}/{TileMatrix}/{TileRow}/{TileCol}"/>
        <s v="https://wmts.nlsc.gov.tw/wmts/UAV105P02/{Style}/{TileMatrixSet}/{TileMatrix}/{TileRow}/{TileCol}"/>
        <s v="https://wmts.nlsc.gov.tw/wmts/UAV105P03/{Style}/{TileMatrixSet}/{TileMatrix}/{TileRow}/{TileCol}"/>
        <s v="https://wmts.nlsc.gov.tw/wmts/UAV105U01/{Style}/{TileMatrixSet}/{TileMatrix}/{TileRow}/{TileCol}"/>
        <s v="https://wmts.nlsc.gov.tw/wmts/UAV106A01/{Style}/{TileMatrixSet}/{TileMatrix}/{TileRow}/{TileCol}"/>
        <s v="https://wmts.nlsc.gov.tw/wmts/UAV106A02/{Style}/{TileMatrixSet}/{TileMatrix}/{TileRow}/{TileCol}"/>
        <s v="https://wmts.nlsc.gov.tw/wmts/UAV106A03/{Style}/{TileMatrixSet}/{TileMatrix}/{TileRow}/{TileCol}"/>
        <s v="https://wmts.nlsc.gov.tw/wmts/UAV106D01/{Style}/{TileMatrixSet}/{TileMatrix}/{TileRow}/{TileCol}"/>
        <s v="https://wmts.nlsc.gov.tw/wmts/UAV106D02/{Style}/{TileMatrixSet}/{TileMatrix}/{TileRow}/{TileCol}"/>
        <s v="https://wmts.nlsc.gov.tw/wmts/UAV106D03/{Style}/{TileMatrixSet}/{TileMatrix}/{TileRow}/{TileCol}"/>
        <s v="https://wmts.nlsc.gov.tw/wmts/UAV106F01/{Style}/{TileMatrixSet}/{TileMatrix}/{TileRow}/{TileCol}"/>
        <s v="https://wmts.nlsc.gov.tw/wmts/UAV106F02/{Style}/{TileMatrixSet}/{TileMatrix}/{TileRow}/{TileCol}"/>
        <s v="https://wmts.nlsc.gov.tw/wmts/UAV106H01/{Style}/{TileMatrixSet}/{TileMatrix}/{TileRow}/{TileCol}"/>
        <s v="https://wmts.nlsc.gov.tw/wmts/UAV106H02/{Style}/{TileMatrixSet}/{TileMatrix}/{TileRow}/{TileCol}"/>
        <s v="https://wmts.nlsc.gov.tw/wmts/UAV106H03/{Style}/{TileMatrixSet}/{TileMatrix}/{TileRow}/{TileCol}"/>
        <s v="https://wmts.nlsc.gov.tw/wmts/UAV106I01/{Style}/{TileMatrixSet}/{TileMatrix}/{TileRow}/{TileCol}"/>
        <s v="https://wmts.nlsc.gov.tw/wmts/UAV106I02/{Style}/{TileMatrixSet}/{TileMatrix}/{TileRow}/{TileCol}"/>
        <s v="https://wmts.nlsc.gov.tw/wmts/UAV106K01/{Style}/{TileMatrixSet}/{TileMatrix}/{TileRow}/{TileCol}"/>
        <s v="https://wmts.nlsc.gov.tw/wmts/UAV106M01/{Style}/{TileMatrixSet}/{TileMatrix}/{TileRow}/{TileCol}"/>
        <s v="https://wmts.nlsc.gov.tw/wmts/UAV106N01/{Style}/{TileMatrixSet}/{TileMatrix}/{TileRow}/{TileCol}"/>
        <s v="https://wmts.nlsc.gov.tw/wmts/UAV106O01/{Style}/{TileMatrixSet}/{TileMatrix}/{TileRow}/{TileCol}"/>
        <s v="https://wmts.nlsc.gov.tw/wmts/UAV106P01/{Style}/{TileMatrixSet}/{TileMatrix}/{TileRow}/{TileCol}"/>
        <s v="https://wmts.nlsc.gov.tw/wmts/UAV106U01/{Style}/{TileMatrixSet}/{TileMatrix}/{TileRow}/{TileCol}"/>
        <s v="https://wmts.nlsc.gov.tw/wmts/UAV107A01/{Style}/{TileMatrixSet}/{TileMatrix}/{TileRow}/{TileCol}"/>
        <s v="https://wmts.nlsc.gov.tw/wmts/UAV107A02/{Style}/{TileMatrixSet}/{TileMatrix}/{TileRow}/{TileCol}"/>
        <s v="https://wmts.nlsc.gov.tw/wmts/UAV107A03/{Style}/{TileMatrixSet}/{TileMatrix}/{TileRow}/{TileCol}"/>
        <s v="https://wmts.nlsc.gov.tw/wmts/UAV107B01/{Style}/{TileMatrixSet}/{TileMatrix}/{TileRow}/{TileCol}"/>
        <s v="https://wmts.nlsc.gov.tw/wmts/UAV107B02/{Style}/{TileMatrixSet}/{TileMatrix}/{TileRow}/{TileCol}"/>
        <s v="https://wmts.nlsc.gov.tw/wmts/UAV107D01/{Style}/{TileMatrixSet}/{TileMatrix}/{TileRow}/{TileCol}"/>
        <s v="https://wmts.nlsc.gov.tw/wmts/UAV107F01/{Style}/{TileMatrixSet}/{TileMatrix}/{TileRow}/{TileCol}"/>
        <s v="https://wmts.nlsc.gov.tw/wmts/UAV107G01/{Style}/{TileMatrixSet}/{TileMatrix}/{TileRow}/{TileCol}"/>
        <s v="https://wmts.nlsc.gov.tw/wmts/UAV107J01/{Style}/{TileMatrixSet}/{TileMatrix}/{TileRow}/{TileCol}"/>
        <s v="https://wmts.nlsc.gov.tw/wmts/UAV107J02/{Style}/{TileMatrixSet}/{TileMatrix}/{TileRow}/{TileCol}"/>
        <s v="https://wmts.nlsc.gov.tw/wmts/UAV107K01/{Style}/{TileMatrixSet}/{TileMatrix}/{TileRow}/{TileCol}"/>
        <s v="https://wmts.nlsc.gov.tw/wmts/UAV107K02/{Style}/{TileMatrixSet}/{TileMatrix}/{TileRow}/{TileCol}"/>
        <s v="https://wmts.nlsc.gov.tw/wmts/UAV107O01/{Style}/{TileMatrixSet}/{TileMatrix}/{TileRow}/{TileCol}"/>
        <s v="https://wmts.nlsc.gov.tw/wmts/UAV107T01/{Style}/{TileMatrixSet}/{TileMatrix}/{TileRow}/{TileCol}"/>
        <s v="https://wmts.nlsc.gov.tw/wmts/UAV107T02/{Style}/{TileMatrixSet}/{TileMatrix}/{TileRow}/{TileCol}"/>
        <s v="https://wmts.nlsc.gov.tw/wmts/UAV108A01/{Style}/{TileMatrixSet}/{TileMatrix}/{TileRow}/{TileCol}"/>
        <s v="https://wmts.nlsc.gov.tw/wmts/UAV108A02/{Style}/{TileMatrixSet}/{TileMatrix}/{TileRow}/{TileCol}"/>
        <s v="https://wmts.nlsc.gov.tw/wmts/UAV108A03/{Style}/{TileMatrixSet}/{TileMatrix}/{TileRow}/{TileCol}"/>
        <s v="https://wmts.nlsc.gov.tw/wmts/UAV108B01/{Style}/{TileMatrixSet}/{TileMatrix}/{TileRow}/{TileCol}"/>
        <s v="https://wmts.nlsc.gov.tw/wmts/UAV108D01/{Style}/{TileMatrixSet}/{TileMatrix}/{TileRow}/{TileCol}"/>
        <s v="https://wmts.nlsc.gov.tw/wmts/UAV108D02/{Style}/{TileMatrixSet}/{TileMatrix}/{TileRow}/{TileCol}"/>
        <s v="https://wmts.nlsc.gov.tw/wmts/UAV108D03/{Style}/{TileMatrixSet}/{TileMatrix}/{TileRow}/{TileCol}"/>
        <s v="https://wmts.nlsc.gov.tw/wmts/UAV108D04/{Style}/{TileMatrixSet}/{TileMatrix}/{TileRow}/{TileCol}"/>
        <s v="https://wmts.nlsc.gov.tw/wmts/UAV108D05/{Style}/{TileMatrixSet}/{TileMatrix}/{TileRow}/{TileCol}"/>
        <s v="https://wmts.nlsc.gov.tw/wmts/UAV108E01/{Style}/{TileMatrixSet}/{TileMatrix}/{TileRow}/{TileCol}"/>
        <s v="https://wmts.nlsc.gov.tw/wmts/UAV108G01/{Style}/{TileMatrixSet}/{TileMatrix}/{TileRow}/{TileCol}"/>
        <s v="https://wmts.nlsc.gov.tw/wmts/UAV108Q01/{Style}/{TileMatrixSet}/{TileMatrix}/{TileRow}/{TileCol}"/>
        <s v="https://wmts.nlsc.gov.tw/wmts/UAV108Q02/{Style}/{TileMatrixSet}/{TileMatrix}/{TileRow}/{TileCol}"/>
        <s v="https://wmts.nlsc.gov.tw/wmts/UAV109A01/{Style}/{TileMatrixSet}/{TileMatrix}/{TileRow}/{TileCol}"/>
        <s v="https://wmts.nlsc.gov.tw/wmts/UAV109B01/{Style}/{TileMatrixSet}/{TileMatrix}/{TileRow}/{TileCol}"/>
        <s v="https://wmts.nlsc.gov.tw/wmts/UAV109D01/{Style}/{TileMatrixSet}/{TileMatrix}/{TileRow}/{TileCol}"/>
        <s v="https://wmts.nlsc.gov.tw/wmts/UAV109E01/{Style}/{TileMatrixSet}/{TileMatrix}/{TileRow}/{TileCol}"/>
        <s v="https://wmts.nlsc.gov.tw/wmts/UAV109K01/{Style}/{TileMatrixSet}/{TileMatrix}/{TileRow}/{TileCol}"/>
        <s v="https://wmts.nlsc.gov.tw/wmts/UAV109K02/{Style}/{TileMatrixSet}/{TileMatrix}/{TileRow}/{TileCol}"/>
        <s v="https://wmts.nlsc.gov.tw/wmts/UAV109P01/{Style}/{TileMatrixSet}/{TileMatrix}/{TileRow}/{TileCol}"/>
        <s v="https://wmts.nlsc.gov.tw/wmts/UAV109Q01/{Style}/{TileMatrixSet}/{TileMatrix}/{TileRow}/{TileCol}"/>
        <s v="https://wmts.nlsc.gov.tw/wmts/UAV109T01/{Style}/{TileMatrixSet}/{TileMatrix}/{TileRow}/{TileCol}"/>
        <s v="https://wmts.nlsc.gov.tw/wmts/UAV109T02/{Style}/{TileMatrixSet}/{TileMatrix}/{TileRow}/{TileCol}"/>
        <s v="https://wmts.nlsc.gov.tw/wmts/UAV109T03/{Style}/{TileMatrixSet}/{TileMatrix}/{TileRow}/{TileCol}"/>
        <s v="https://wmts.nlsc.gov.tw/wmts/UAV109U01/{Style}/{TileMatrixSet}/{TileMatrix}/{TileRow}/{TileCol}"/>
        <s v="https://wmts.nlsc.gov.tw/wmts/UAV109U02/{Style}/{TileMatrixSet}/{TileMatrix}/{TileRow}/{TileCol}"/>
        <s v="https://wmts.nlsc.gov.tw/wmts/UAV109U03/{Style}/{TileMatrixSet}/{TileMatrix}/{TileRow}/{TileCol}"/>
        <s v="https://wmts.nlsc.gov.tw/wmts/UAV110A01/{Style}/{TileMatrixSet}/{TileMatrix}/{TileRow}/{TileCol}"/>
        <s v="https://wmts.nlsc.gov.tw/wmts/UAV110B01/{Style}/{TileMatrixSet}/{TileMatrix}/{TileRow}/{TileCol}"/>
        <s v="https://wmts.nlsc.gov.tw/wmts/UAV110B02/{Style}/{TileMatrixSet}/{TileMatrix}/{TileRow}/{TileCol}"/>
        <s v="https://wmts.nlsc.gov.tw/wmts/UAV110B03/{Style}/{TileMatrixSet}/{TileMatrix}/{TileRow}/{TileCol}"/>
        <s v="https://wmts.nlsc.gov.tw/wmts/UAV110D01/{Style}/{TileMatrixSet}/{TileMatrix}/{TileRow}/{TileCol}"/>
        <s v="https://wmts.nlsc.gov.tw/wmts/UAV110D02/{Style}/{TileMatrixSet}/{TileMatrix}/{TileRow}/{TileCol}"/>
        <s v="https://wmts.nlsc.gov.tw/wmts/UAV110D03/{Style}/{TileMatrixSet}/{TileMatrix}/{TileRow}/{TileCol}"/>
        <s v="https://wmts.nlsc.gov.tw/wmts/UAV110D04/{Style}/{TileMatrixSet}/{TileMatrix}/{TileRow}/{TileCol}"/>
        <s v="https://wmts.nlsc.gov.tw/wmts/UAV110D05/{Style}/{TileMatrixSet}/{TileMatrix}/{TileRow}/{TileCol}"/>
        <s v="https://wmts.nlsc.gov.tw/wmts/UAV110D06/{Style}/{TileMatrixSet}/{TileMatrix}/{TileRow}/{TileCol}"/>
        <s v="https://wmts.nlsc.gov.tw/wmts/UAV110D07/{Style}/{TileMatrixSet}/{TileMatrix}/{TileRow}/{TileCol}"/>
        <s v="https://wmts.nlsc.gov.tw/wmts/UAV110D08/{Style}/{TileMatrixSet}/{TileMatrix}/{TileRow}/{TileCol}"/>
        <s v="https://wmts.nlsc.gov.tw/wmts/UAV110E02/{Style}/{TileMatrixSet}/{TileMatrix}/{TileRow}/{TileCol}"/>
        <s v="https://wmts.nlsc.gov.tw/wmts/UAV110N01/{Style}/{TileMatrixSet}/{TileMatrix}/{TileRow}/{TileCol}"/>
        <s v="https://wmts.nlsc.gov.tw/wmts/UAV110Q01/{Style}/{TileMatrixSet}/{TileMatrix}/{TileRow}/{TileCol}"/>
        <s v="https://wmts.nlsc.gov.tw/wmts/UAV110Q02/{Style}/{TileMatrixSet}/{TileMatrix}/{TileRow}/{TileCol}"/>
        <s v="https://wmts.nlsc.gov.tw/wmts/UAV111A02/{Style}/{TileMatrixSet}/{TileMatrix}/{TileRow}/{TileCol}"/>
        <s v="https://wmts.nlsc.gov.tw/wmts/UAV111A03/{Style}/{TileMatrixSet}/{TileMatrix}/{TileRow}/{TileCol}"/>
        <s v="https://wmts.nlsc.gov.tw/wmts/UAV111A04/{Style}/{TileMatrixSet}/{TileMatrix}/{TileRow}/{TileCol}"/>
        <s v="https://wmts.nlsc.gov.tw/wmts/UAV111A05/{Style}/{TileMatrixSet}/{TileMatrix}/{TileRow}/{TileCol}"/>
        <s v="https://wmts.nlsc.gov.tw/wmts/UAV111A06/{Style}/{TileMatrixSet}/{TileMatrix}/{TileRow}/{TileCol}"/>
        <s v="https://wmts.nlsc.gov.tw/wmts/UAV111D01/{Style}/{TileMatrixSet}/{TileMatrix}/{TileRow}/{TileCol}"/>
        <s v="https://wmts.nlsc.gov.tw/wmts/UAV111E01/{Style}/{TileMatrixSet}/{TileMatrix}/{TileRow}/{TileCol}"/>
        <s v="https://wmts.nlsc.gov.tw/wmts/UAV111J01/{Style}/{TileMatrixSet}/{TileMatrix}/{TileRow}/{TileCol}"/>
        <s v="https://wmts.nlsc.gov.tw/wmts/UAV111J02/{Style}/{TileMatrixSet}/{TileMatrix}/{TileRow}/{TileCol}"/>
        <s v="https://wmts.nlsc.gov.tw/wmts/UAV111J03/{Style}/{TileMatrixSet}/{TileMatrix}/{TileRow}/{TileCol}"/>
        <s v="https://wmts.nlsc.gov.tw/wmts/UAV111K01/{Style}/{TileMatrixSet}/{TileMatrix}/{TileRow}/{TileCol}"/>
        <s v="https://wmts.nlsc.gov.tw/wmts/UAV111K02/{Style}/{TileMatrixSet}/{TileMatrix}/{TileRow}/{TileCol}"/>
        <s v="https://wmts.nlsc.gov.tw/wmts/UAV111P01/{Style}/{TileMatrixSet}/{TileMatrix}/{TileRow}/{TileCol}"/>
        <s v="https://wmts.nlsc.gov.tw/wmts/UAV111P02/{Style}/{TileMatrixSet}/{TileMatrix}/{TileRow}/{TileCol}"/>
        <s v="https://wmts.nlsc.gov.tw/wmts/UAV111Q01/{Style}/{TileMatrixSet}/{TileMatrix}/{TileRow}/{TileCol}"/>
        <s v="https://wmts.nlsc.gov.tw/wmts/Village/{Style}/{TileMatrixSet}/{TileMatrix}/{TileRow}/{TileCol}"/>
        <s v="https://wmts.nlsc.gov.tw/wmts/Village201910/{Style}/{TileMatrixSet}/{TileMatrix}/{TileRow}/{TileCol}"/>
      </sharedItems>
    </cacheField>
    <cacheField name="URL需把{}換成英文的V" numFmtId="0">
      <sharedItems containsBlank="1" count="2">
        <s v="V"/>
        <m/>
      </sharedItems>
    </cacheField>
    <cacheField name="URL參數英文名稱" numFmtId="0">
      <sharedItems containsBlank="1" count="26">
        <s v="{3dbuildcode}"/>
        <s v="{3droadcode-orig}"/>
        <s v="{3droadcode-terfit}"/>
        <s v="{經度}/{緯度}"/>
        <s v="{area}/{epsg}/{within}"/>
        <s v="{beg}/{des}/{type}/{format}"/>
        <s v="{county}/{sect}/{landno}/{type}/{epsg}"/>
        <s v="{cty}/{town}/{village}/{epsg}"/>
        <s v="{point}/{crs}/{radius}"/>
        <s v="{pointX}/{pointY}/{epsg}"/>
        <s v="{pointX}/{pointY}/{epsg}/{returnType}&quot;"/>
        <s v="{queryString}"/>
        <s v="{queryString}/{num}"/>
        <s v="{queryString}/{num}/{county}"/>
        <s v="{queryString}/{number}/{county}"/>
        <s v="{sect}/{ext}"/>
        <s v="{sect}/{landno}"/>
        <s v="{sect}/{landno}/{epsg}"/>
        <s v="{town}"/>
        <s v="{town}/{road}"/>
        <s v="{town}/{roadName}"/>
        <s v="{x}/{y}/{epsg}"/>
        <s v="{x}/{y}/{radius}"/>
        <s v="{year}/{x}/{y}/{epsg}"/>
        <s v="{year1}/{year2}/{towncode}"/>
        <m/>
      </sharedItems>
    </cacheField>
    <cacheField name="唯一識別碼" numFmtId="0">
      <sharedItems count="1442">
        <s v="2dms_addrm_v1_LineQueryAddr"/>
        <s v="2dms_addrm_v1_ListRoad_A"/>
        <s v="2dms_addrm_v1_ListRoad_B"/>
        <s v="2dms_addrm_v1_ListRoad_C"/>
        <s v="2dms_addrm_v1_ListRoad_D"/>
        <s v="2dms_addrm_v1_ListRoad_E"/>
        <s v="2dms_addrm_v1_ListRoad_F"/>
        <s v="2dms_addrm_v1_ListRoad_G"/>
        <s v="2dms_addrm_v1_ListRoad_H"/>
        <s v="2dms_addrm_v1_ListRoad_I"/>
        <s v="2dms_addrm_v1_ListRoad_J"/>
        <s v="2dms_addrm_v1_ListRoad_K"/>
        <s v="2dms_addrm_v1_ListRoad_M"/>
        <s v="2dms_addrm_v1_ListRoad_N"/>
        <s v="2dms_addrm_v1_ListRoad_O"/>
        <s v="2dms_addrm_v1_ListRoad_P"/>
        <s v="2dms_addrm_v1_ListRoad_Q"/>
        <s v="2dms_addrm_v1_ListRoad_T"/>
        <s v="2dms_addrm_v1_ListRoad_U"/>
        <s v="2dms_addrm_v1_ListRoad_V"/>
        <s v="2dms_addrm_v1_ListRoad_W"/>
        <s v="2dms_addrm_v1_ListRoad_X"/>
        <s v="2dms_addrm_v1_ListRoad_Z"/>
        <s v="2dms_addrm_v1_ListRoadLaneAlley_A"/>
        <s v="2dms_addrm_v1_ListRoadLaneAlley_B"/>
        <s v="2dms_addrm_v1_ListRoadLaneAlley_C"/>
        <s v="2dms_addrm_v1_ListRoadLaneAlley_D"/>
        <s v="2dms_addrm_v1_ListRoadLaneAlley_E"/>
        <s v="2dms_addrm_v1_ListRoadLaneAlley_F"/>
        <s v="2dms_addrm_v1_ListRoadLaneAlley_G"/>
        <s v="2dms_addrm_v1_ListRoadLaneAlley_H"/>
        <s v="2dms_addrm_v1_ListRoadLaneAlley_I"/>
        <s v="2dms_addrm_v1_ListRoadLaneAlley_J"/>
        <s v="2dms_addrm_v1_ListRoadLaneAlley_K"/>
        <s v="2dms_addrm_v1_ListRoadLaneAlley_M"/>
        <s v="2dms_addrm_v1_ListRoadLaneAlley_N"/>
        <s v="2dms_addrm_v1_ListRoadLaneAlley_O"/>
        <s v="2dms_addrm_v1_ListRoadLaneAlley_P"/>
        <s v="2dms_addrm_v1_ListRoadLaneAlley_Q"/>
        <s v="2dms_addrm_v1_ListRoadLaneAlley_T"/>
        <s v="2dms_addrm_v1_ListRoadLaneAlley_U"/>
        <s v="2dms_addrm_v1_ListRoadLaneAlley_V"/>
        <s v="2dms_addrm_v1_ListRoadLaneAlley_W"/>
        <s v="2dms_addrm_v1_ListRoadLaneAlley_X"/>
        <s v="2dms_addrm_v1_ListRoadLaneAlley_Z"/>
        <s v="2dms_addrm_v1_PointQueryAddr"/>
        <s v="2dms_addrm_v1_PolygonQueryAddr"/>
        <s v="2dms_addrm_v1_TextQueryAddress"/>
        <s v="2dms_addrm_v1_TextQueryMap"/>
        <s v="2dms_cadapi_v1_CadasMapPointQuery"/>
        <s v="2dms_cadapi_v1_CadasMapQuery"/>
        <s v="2dms_cadatt_v1_AddressQueryLand"/>
        <s v="2dms_cadatt_v1_CadasAttrQuery_A"/>
        <s v="2dms_cadatt_v1_CadasAttrQuery_B"/>
        <s v="2dms_cadatt_v1_CadasAttrQuery_C"/>
        <s v="2dms_cadatt_v1_CadasAttrQuery_D"/>
        <s v="2dms_cadatt_v1_CadasAttrQuery_E"/>
        <s v="2dms_cadatt_v1_CadasAttrQuery_F"/>
        <s v="2dms_cadatt_v1_CadasAttrQuery_G"/>
        <s v="2dms_cadatt_v1_CadasAttrQuery_H"/>
        <s v="2dms_cadatt_v1_CadasAttrQuery_I"/>
        <s v="2dms_cadatt_v1_CadasAttrQuery_J"/>
        <s v="2dms_cadatt_v1_CadasAttrQuery_K"/>
        <s v="2dms_cadatt_v1_CadasAttrQuery_M"/>
        <s v="2dms_cadatt_v1_CadasAttrQuery_N"/>
        <s v="2dms_cadatt_v1_CadasAttrQuery_O"/>
        <s v="2dms_cadatt_v1_CadasAttrQuery_P"/>
        <s v="2dms_cadatt_v1_CadasAttrQuery_Q"/>
        <s v="2dms_cadatt_v1_CadasAttrQuery_T"/>
        <s v="2dms_cadatt_v1_CadasAttrQuery_U"/>
        <s v="2dms_cadatt_v1_CadasAttrQuery_V"/>
        <s v="2dms_cadatt_v1_CadasAttrQuery_W"/>
        <s v="2dms_cadatt_v1_CadasAttrQuery_X"/>
        <s v="2dms_cadatt_v1_CadasAttrQuery_Z"/>
        <s v="2dms_cadatt_v1_CadasLandInfo_A"/>
        <s v="2dms_cadatt_v1_CadasLandInfo_B"/>
        <s v="2dms_cadatt_v1_CadasLandInfo_C"/>
        <s v="2dms_cadatt_v1_CadasLandInfo_D"/>
        <s v="2dms_cadatt_v1_CadasLandInfo_E"/>
        <s v="2dms_cadatt_v1_CadasLandInfo_F"/>
        <s v="2dms_cadatt_v1_CadasLandInfo_G"/>
        <s v="2dms_cadatt_v1_CadasLandInfo_H"/>
        <s v="2dms_cadatt_v1_CadasLandInfo_I"/>
        <s v="2dms_cadatt_v1_CadasLandInfo_J"/>
        <s v="2dms_cadatt_v1_CadasLandInfo_K"/>
        <s v="2dms_cadatt_v1_CadasLandInfo_M"/>
        <s v="2dms_cadatt_v1_CadasLandInfo_N"/>
        <s v="2dms_cadatt_v1_CadasLandInfo_O"/>
        <s v="2dms_cadatt_v1_CadasLandInfo_P"/>
        <s v="2dms_cadatt_v1_CadasLandInfo_Q"/>
        <s v="2dms_cadatt_v1_CadasLandInfo_T"/>
        <s v="2dms_cadatt_v1_CadasLandInfo_U"/>
        <s v="2dms_cadatt_v1_CadasLandInfo_V"/>
        <s v="2dms_cadatt_v1_CadasLandInfo_W"/>
        <s v="2dms_cadatt_v1_CadasLandInfo_X"/>
        <s v="2dms_cadatt_v1_CadasLandInfo_Z"/>
        <s v="2dms_cadatt_v1_CadasLandNoQuery"/>
        <s v="2dms_cadatt_v1_CadasMapImage_A"/>
        <s v="2dms_cadatt_v1_CadasMapImage_B"/>
        <s v="2dms_cadatt_v1_CadasMapImage_C"/>
        <s v="2dms_cadatt_v1_CadasMapImage_D"/>
        <s v="2dms_cadatt_v1_CadasMapImage_E"/>
        <s v="2dms_cadatt_v1_CadasMapImage_F"/>
        <s v="2dms_cadatt_v1_CadasMapImage_G"/>
        <s v="2dms_cadatt_v1_CadasMapImage_H"/>
        <s v="2dms_cadatt_v1_CadasMapImage_I"/>
        <s v="2dms_cadatt_v1_CadasMapImage_J"/>
        <s v="2dms_cadatt_v1_CadasMapImage_K"/>
        <s v="2dms_cadatt_v1_CadasMapImage_M"/>
        <s v="2dms_cadatt_v1_CadasMapImage_N"/>
        <s v="2dms_cadatt_v1_CadasMapImage_O"/>
        <s v="2dms_cadatt_v1_CadasMapImage_P"/>
        <s v="2dms_cadatt_v1_CadasMapImage_Q"/>
        <s v="2dms_cadatt_v1_CadasMapImage_T"/>
        <s v="2dms_cadatt_v1_CadasMapImage_U"/>
        <s v="2dms_cadatt_v1_CadasMapImage_V"/>
        <s v="2dms_cadatt_v1_CadasMapImage_W"/>
        <s v="2dms_cadatt_v1_CadasMapImage_X"/>
        <s v="2dms_cadatt_v1_CadasMapImage_Z"/>
        <s v="2dms_cadatt_v1_CadasMapPosition_A"/>
        <s v="2dms_cadatt_v1_CadasMapPosition_B"/>
        <s v="2dms_cadatt_v1_CadasMapPosition_C"/>
        <s v="2dms_cadatt_v1_CadasMapPosition_D"/>
        <s v="2dms_cadatt_v1_CadasMapPosition_E"/>
        <s v="2dms_cadatt_v1_CadasMapPosition_F"/>
        <s v="2dms_cadatt_v1_CadasMapPosition_G"/>
        <s v="2dms_cadatt_v1_CadasMapPosition_H"/>
        <s v="2dms_cadatt_v1_CadasMapPosition_I"/>
        <s v="2dms_cadatt_v1_CadasMapPosition_J"/>
        <s v="2dms_cadatt_v1_CadasMapPosition_K"/>
        <s v="2dms_cadatt_v1_CadasMapPosition_M"/>
        <s v="2dms_cadatt_v1_CadasMapPosition_N"/>
        <s v="2dms_cadatt_v1_CadasMapPosition_O"/>
        <s v="2dms_cadatt_v1_CadasMapPosition_P"/>
        <s v="2dms_cadatt_v1_CadasMapPosition_Q"/>
        <s v="2dms_cadatt_v1_CadasMapPosition_T"/>
        <s v="2dms_cadatt_v1_CadasMapPosition_U"/>
        <s v="2dms_cadatt_v1_CadasMapPosition_V"/>
        <s v="2dms_cadatt_v1_CadasMapPosition_W"/>
        <s v="2dms_cadatt_v1_CadasMapPosition_X"/>
        <s v="2dms_cadatt_v1_CadasMapPosition_Z"/>
        <s v="2dms_cadatt_v1_GetLandNO"/>
        <s v="2dms_cadatt_v1_GetLandPositionLongitudeLatitude_A"/>
        <s v="2dms_cadatt_v1_GetLandPositionLongitudeLatitude_B"/>
        <s v="2dms_cadatt_v1_GetLandPositionLongitudeLatitude_C"/>
        <s v="2dms_cadatt_v1_GetLandPositionLongitudeLatitude_D"/>
        <s v="2dms_cadatt_v1_GetLandPositionLongitudeLatitude_E"/>
        <s v="2dms_cadatt_v1_GetLandPositionLongitudeLatitude_F"/>
        <s v="2dms_cadatt_v1_GetLandPositionLongitudeLatitude_G"/>
        <s v="2dms_cadatt_v1_GetLandPositionLongitudeLatitude_H"/>
        <s v="2dms_cadatt_v1_GetLandPositionLongitudeLatitude_I"/>
        <s v="2dms_cadatt_v1_GetLandPositionLongitudeLatitude_J"/>
        <s v="2dms_cadatt_v1_GetLandPositionLongitudeLatitude_K"/>
        <s v="2dms_cadatt_v1_GetLandPositionLongitudeLatitude_M"/>
        <s v="2dms_cadatt_v1_GetLandPositionLongitudeLatitude_N"/>
        <s v="2dms_cadatt_v1_GetLandPositionLongitudeLatitude_O"/>
        <s v="2dms_cadatt_v1_GetLandPositionLongitudeLatitude_P"/>
        <s v="2dms_cadatt_v1_GetLandPositionLongitudeLatitude_Q"/>
        <s v="2dms_cadatt_v1_GetLandPositionLongitudeLatitude_T"/>
        <s v="2dms_cadatt_v1_GetLandPositionLongitudeLatitude_U"/>
        <s v="2dms_cadatt_v1_GetLandPositionLongitudeLatitude_V"/>
        <s v="2dms_cadatt_v1_GetLandPositionLongitudeLatitude_W"/>
        <s v="2dms_cadatt_v1_GetLandPositionLongitudeLatitude_X"/>
        <s v="2dms_cadatt_v1_GetLandPositionLongitudeLatitude_Z"/>
        <s v="2dms_cadatt_v1_GetLandSecInfoNlsc_A"/>
        <s v="2dms_cadatt_v1_GetLandSecInfoNlsc_B"/>
        <s v="2dms_cadatt_v1_GetLandSecInfoNlsc_C"/>
        <s v="2dms_cadatt_v1_GetLandSecInfoNlsc_D"/>
        <s v="2dms_cadatt_v1_GetLandSecInfoNlsc_E"/>
        <s v="2dms_cadatt_v1_GetLandSecInfoNlsc_F"/>
        <s v="2dms_cadatt_v1_GetLandSecInfoNlsc_G"/>
        <s v="2dms_cadatt_v1_GetLandSecInfoNlsc_H"/>
        <s v="2dms_cadatt_v1_GetLandSecInfoNlsc_I"/>
        <s v="2dms_cadatt_v1_GetLandSecInfoNlsc_J"/>
        <s v="2dms_cadatt_v1_GetLandSecInfoNlsc_K"/>
        <s v="2dms_cadatt_v1_GetLandSecInfoNlsc_M"/>
        <s v="2dms_cadatt_v1_GetLandSecInfoNlsc_N"/>
        <s v="2dms_cadatt_v1_GetLandSecInfoNlsc_O"/>
        <s v="2dms_cadatt_v1_GetLandSecInfoNlsc_P"/>
        <s v="2dms_cadatt_v1_GetLandSecInfoNlsc_Q"/>
        <s v="2dms_cadatt_v1_GetLandSecInfoNlsc_T"/>
        <s v="2dms_cadatt_v1_GetLandSecInfoNlsc_U"/>
        <s v="2dms_cadatt_v1_GetLandSecInfoNlsc_V"/>
        <s v="2dms_cadatt_v1_GetLandSecInfoNlsc_W"/>
        <s v="2dms_cadatt_v1_GetLandSecInfoNlsc_X"/>
        <s v="2dms_cadatt_v1_GetLandSecInfoNlsc_Z"/>
        <s v="2dms_cadatt_v1_QryTileMapIndex1"/>
        <s v="2dms_cadatt_v1_QryTileMapIndex2"/>
        <s v="2dms_cadwfs_v1_CadasMerge"/>
        <s v="2dms_cadwms_v1_DMAPS"/>
        <s v="2dms_cadwmt_v1_DMAPS"/>
        <s v="2dms_emwfs_v1_BuildFrame"/>
        <s v="2dms_emwfs_v1_EMAP"/>
        <s v="2dms_luseat_v1_LandUseCompare"/>
        <s v="2dms_luseat_v1_LandUsePointYears"/>
        <s v="2dms_luwfs_v1_LuiMap"/>
        <s v="2dms_pubapi_v1_GetMapVillage"/>
        <s v="2dms_pubapi_v1_LandUsePointQuery"/>
        <s v="2dms_pubapi_v1_ListCounty"/>
        <s v="2dms_pubapi_v1_ListLandSection_A"/>
        <s v="2dms_pubapi_v1_ListLandSection_B"/>
        <s v="2dms_pubapi_v1_ListLandSection_C"/>
        <s v="2dms_pubapi_v1_ListLandSection_D"/>
        <s v="2dms_pubapi_v1_ListLandSection_E"/>
        <s v="2dms_pubapi_v1_ListLandSection_F"/>
        <s v="2dms_pubapi_v1_ListLandSection_G"/>
        <s v="2dms_pubapi_v1_ListLandSection_H"/>
        <s v="2dms_pubapi_v1_ListLandSection_I"/>
        <s v="2dms_pubapi_v1_ListLandSection_J"/>
        <s v="2dms_pubapi_v1_ListLandSection_K"/>
        <s v="2dms_pubapi_v1_ListLandSection_M"/>
        <s v="2dms_pubapi_v1_ListLandSection_N"/>
        <s v="2dms_pubapi_v1_ListLandSection_O"/>
        <s v="2dms_pubapi_v1_ListLandSection_P"/>
        <s v="2dms_pubapi_v1_ListLandSection_Q"/>
        <s v="2dms_pubapi_v1_ListLandSection_T"/>
        <s v="2dms_pubapi_v1_ListLandSection_U"/>
        <s v="2dms_pubapi_v1_ListLandSection_V"/>
        <s v="2dms_pubapi_v1_ListLandSection_W"/>
        <s v="2dms_pubapi_v1_ListLandSection_X"/>
        <s v="2dms_pubapi_v1_ListLandSection_Z"/>
        <s v="2dms_pubapi_v1_ListRoadCross_A"/>
        <s v="2dms_pubapi_v1_ListRoadCross_B"/>
        <s v="2dms_pubapi_v1_ListRoadCross_C"/>
        <s v="2dms_pubapi_v1_ListRoadCross_D"/>
        <s v="2dms_pubapi_v1_ListRoadCross_E"/>
        <s v="2dms_pubapi_v1_ListRoadCross_F"/>
        <s v="2dms_pubapi_v1_ListRoadCross_G"/>
        <s v="2dms_pubapi_v1_ListRoadCross_H"/>
        <s v="2dms_pubapi_v1_ListRoadCross_I"/>
        <s v="2dms_pubapi_v1_ListRoadCross_J"/>
        <s v="2dms_pubapi_v1_ListRoadCross_K"/>
        <s v="2dms_pubapi_v1_ListRoadCross_M"/>
        <s v="2dms_pubapi_v1_ListRoadCross_N"/>
        <s v="2dms_pubapi_v1_ListRoadCross_O"/>
        <s v="2dms_pubapi_v1_ListRoadCross_P"/>
        <s v="2dms_pubapi_v1_ListRoadCross_Q"/>
        <s v="2dms_pubapi_v1_ListRoadCross_T"/>
        <s v="2dms_pubapi_v1_ListRoadCross_U"/>
        <s v="2dms_pubapi_v1_ListRoadCross_V"/>
        <s v="2dms_pubapi_v1_ListRoadCross_W"/>
        <s v="2dms_pubapi_v1_ListRoadCross_X"/>
        <s v="2dms_pubapi_v1_ListRoadCross_Z"/>
        <s v="2dms_pubapi_v1_ListRoadM_A"/>
        <s v="2dms_pubapi_v1_ListRoadM_B"/>
        <s v="2dms_pubapi_v1_ListRoadM_C"/>
        <s v="2dms_pubapi_v1_ListRoadM_D"/>
        <s v="2dms_pubapi_v1_ListRoadM_E"/>
        <s v="2dms_pubapi_v1_ListRoadM_F"/>
        <s v="2dms_pubapi_v1_ListRoadM_G"/>
        <s v="2dms_pubapi_v1_ListRoadM_H"/>
        <s v="2dms_pubapi_v1_ListRoadM_I"/>
        <s v="2dms_pubapi_v1_ListRoadM_J"/>
        <s v="2dms_pubapi_v1_ListRoadM_K"/>
        <s v="2dms_pubapi_v1_ListRoadM_M"/>
        <s v="2dms_pubapi_v1_ListRoadM_N"/>
        <s v="2dms_pubapi_v1_ListRoadM_O"/>
        <s v="2dms_pubapi_v1_ListRoadM_P"/>
        <s v="2dms_pubapi_v1_ListRoadM_Q"/>
        <s v="2dms_pubapi_v1_ListRoadM_T"/>
        <s v="2dms_pubapi_v1_ListRoadM_U"/>
        <s v="2dms_pubapi_v1_ListRoadM_V"/>
        <s v="2dms_pubapi_v1_ListRoadM_W"/>
        <s v="2dms_pubapi_v1_ListRoadM_X"/>
        <s v="2dms_pubapi_v1_ListRoadM_Z"/>
        <s v="2dms_pubapi_v1_ListTown_A"/>
        <s v="2dms_pubapi_v1_ListTown_B"/>
        <s v="2dms_pubapi_v1_ListTown_C"/>
        <s v="2dms_pubapi_v1_ListTown_D"/>
        <s v="2dms_pubapi_v1_ListTown_E"/>
        <s v="2dms_pubapi_v1_ListTown_F"/>
        <s v="2dms_pubapi_v1_ListTown_G"/>
        <s v="2dms_pubapi_v1_ListTown_H"/>
        <s v="2dms_pubapi_v1_ListTown_I"/>
        <s v="2dms_pubapi_v1_ListTown_J"/>
        <s v="2dms_pubapi_v1_ListTown_K"/>
        <s v="2dms_pubapi_v1_ListTown_M"/>
        <s v="2dms_pubapi_v1_ListTown_N"/>
        <s v="2dms_pubapi_v1_ListTown_O"/>
        <s v="2dms_pubapi_v1_ListTown_P"/>
        <s v="2dms_pubapi_v1_ListTown_Q"/>
        <s v="2dms_pubapi_v1_ListTown_T"/>
        <s v="2dms_pubapi_v1_ListTown_U"/>
        <s v="2dms_pubapi_v1_ListTown_V"/>
        <s v="2dms_pubapi_v1_ListTown_W"/>
        <s v="2dms_pubapi_v1_ListTown_X"/>
        <s v="2dms_pubapi_v1_ListTown_Z"/>
        <s v="2dms_pubapi_v1_ListTown1_A"/>
        <s v="2dms_pubapi_v1_ListTown1_B"/>
        <s v="2dms_pubapi_v1_ListTown1_C"/>
        <s v="2dms_pubapi_v1_ListTown1_D"/>
        <s v="2dms_pubapi_v1_ListTown1_E"/>
        <s v="2dms_pubapi_v1_ListTown1_F"/>
        <s v="2dms_pubapi_v1_ListTown1_G"/>
        <s v="2dms_pubapi_v1_ListTown1_H"/>
        <s v="2dms_pubapi_v1_ListTown1_I"/>
        <s v="2dms_pubapi_v1_ListTown1_J"/>
        <s v="2dms_pubapi_v1_ListTown1_K"/>
        <s v="2dms_pubapi_v1_ListTown1_M"/>
        <s v="2dms_pubapi_v1_ListTown1_N"/>
        <s v="2dms_pubapi_v1_ListTown1_O"/>
        <s v="2dms_pubapi_v1_ListTown1_P"/>
        <s v="2dms_pubapi_v1_ListTown1_Q"/>
        <s v="2dms_pubapi_v1_ListTown1_T"/>
        <s v="2dms_pubapi_v1_ListTown1_U"/>
        <s v="2dms_pubapi_v1_ListTown1_V"/>
        <s v="2dms_pubapi_v1_ListTown1_W"/>
        <s v="2dms_pubapi_v1_ListTown1_X"/>
        <s v="2dms_pubapi_v1_ListTown1_Z"/>
        <s v="2dms_pubapi_v1_ListVillage_A"/>
        <s v="2dms_pubapi_v1_ListVillage_B"/>
        <s v="2dms_pubapi_v1_ListVillage_C"/>
        <s v="2dms_pubapi_v1_ListVillage_D"/>
        <s v="2dms_pubapi_v1_ListVillage_E"/>
        <s v="2dms_pubapi_v1_ListVillage_F"/>
        <s v="2dms_pubapi_v1_ListVillage_G"/>
        <s v="2dms_pubapi_v1_ListVillage_H"/>
        <s v="2dms_pubapi_v1_ListVillage_I"/>
        <s v="2dms_pubapi_v1_ListVillage_J"/>
        <s v="2dms_pubapi_v1_ListVillage_K"/>
        <s v="2dms_pubapi_v1_ListVillage_M"/>
        <s v="2dms_pubapi_v1_ListVillage_N"/>
        <s v="2dms_pubapi_v1_ListVillage_O"/>
        <s v="2dms_pubapi_v1_ListVillage_P"/>
        <s v="2dms_pubapi_v1_ListVillage_Q"/>
        <s v="2dms_pubapi_v1_ListVillage_T"/>
        <s v="2dms_pubapi_v1_ListVillage_U"/>
        <s v="2dms_pubapi_v1_ListVillage_V"/>
        <s v="2dms_pubapi_v1_ListVillage_W"/>
        <s v="2dms_pubapi_v1_ListVillage_X"/>
        <s v="2dms_pubapi_v1_ListVillage_Z"/>
        <s v="2dms_pubapi_v1_MarkBufferAnlysBus"/>
        <s v="2dms_pubapi_v1_MarkBufferAnlysDis"/>
        <s v="2dms_pubapi_v1_MarkBufferAnlysEdu"/>
        <s v="2dms_pubapi_v1_MarkBufferAnlysMed"/>
        <s v="2dms_pubapi_v1_TextQueryRoad_A"/>
        <s v="2dms_pubapi_v1_TextQueryRoad_B"/>
        <s v="2dms_pubapi_v1_TextQueryRoad_C"/>
        <s v="2dms_pubapi_v1_TextQueryRoad_D"/>
        <s v="2dms_pubapi_v1_TextQueryRoad_E"/>
        <s v="2dms_pubapi_v1_TextQueryRoad_F"/>
        <s v="2dms_pubapi_v1_TextQueryRoad_G"/>
        <s v="2dms_pubapi_v1_TextQueryRoad_H"/>
        <s v="2dms_pubapi_v1_TextQueryRoad_I"/>
        <s v="2dms_pubapi_v1_TextQueryRoad_J"/>
        <s v="2dms_pubapi_v1_TextQueryRoad_K"/>
        <s v="2dms_pubapi_v1_TextQueryRoad_M"/>
        <s v="2dms_pubapi_v1_TextQueryRoad_N"/>
        <s v="2dms_pubapi_v1_TextQueryRoad_O"/>
        <s v="2dms_pubapi_v1_TextQueryRoad_P"/>
        <s v="2dms_pubapi_v1_TextQueryRoad_Q"/>
        <s v="2dms_pubapi_v1_TextQueryRoad_T"/>
        <s v="2dms_pubapi_v1_TextQueryRoad_U"/>
        <s v="2dms_pubapi_v1_TextQueryRoad_V"/>
        <s v="2dms_pubapi_v1_TextQueryRoad_W"/>
        <s v="2dms_pubapi_v1_TextQueryRoad_X"/>
        <s v="2dms_pubapi_v1_TextQueryRoad_Z"/>
        <s v="2dms_pubapi_v1_TownVillagePointQuery"/>
        <s v="2dms_pubapi_v1_TownVillagePointQuery1"/>
        <s v="2dms_route_v1_RoutesNodes"/>
        <s v="2dms_route_v1_RoutesQueryByDist"/>
        <s v="2dms_route_v1_RoutesQueryByTime"/>
        <s v="2dms_secwfs_v1_LanSect"/>
        <s v="2dms_t1kwfs_v1_TOPON1K_B04"/>
        <s v="2dms_t1kwfs_v1_TOPON1K_B11"/>
        <s v="2dms_t1kwfs_v1_TOPON1K_B14"/>
        <s v="2dms_t1kwfs_v1_TOPON1K_B15"/>
        <s v="2dms_t1kwfs_v1_TOPON1K_B20"/>
        <s v="2dms_t1kwfs_v1_TOPON1K_B22"/>
        <s v="2dms_t1kwfs_v1_TOPON1K_B25"/>
        <s v="2dms_t1kwfs_v1_TOPON1K_D03"/>
        <s v="2dms_t1kwfs_v1_TOPON1K_D04"/>
        <s v="2dms_t1kwfs_v1_TOPON1K_D05"/>
        <s v="2dms_t1kwfs_v1_TOPON1K_D08"/>
        <s v="2dms_t1kwfs_v1_TOPON1K_D12"/>
        <s v="2dms_t1kwfs_v1_TOPON1K_E02"/>
        <s v="2dms_t1kwfs_v1_TOPON1K_E03"/>
        <s v="2dms_t1kwfs_v1_TOPON1K_E32"/>
        <s v="2dms_t1kwfs_v1_TOPON1K_G01"/>
        <s v="2dms_t1kwfs_v1_TOPON1K_G04"/>
        <s v="2dms_t1kwfs_v1_TOPON1K_G06"/>
        <s v="2dms_t1kwfs_v1_TOPON1K_G09"/>
        <s v="2dms_t1kwfs_v1_TOPON1K_G11"/>
        <s v="2dms_t1kwfs_v1_TOPON1K_G15"/>
        <s v="2dms_t1kwfs_v1_TOPON1K_G16"/>
        <s v="2dms_t1kwfs_v1_TOPON1K_G17"/>
        <s v="2dms_t1kwfs_v1_TOPON1K_G18"/>
        <s v="2dms_t1kwfs_v1_TOPON1K_G19"/>
        <s v="2dms_t1kwfs_v1_TOPON1K_G20"/>
        <s v="2dms_t1kwfs_v1_TOPON1K_H18"/>
        <s v="2dms_t1kwfs_v1_TOPON1K_H19"/>
        <s v="2dms_t1kwfs_v1_TOPON1K_H20"/>
        <s v="2dms_t1kwfs_v1_TOPON1K_H21"/>
        <s v="2dms_t1kwfs_v1_TOPON1K_H31"/>
        <s v="2dms_t1kwfs_v1_TOPON1K_J01"/>
        <s v="2dms_t1kwfs_v1_TOPON1K_J06"/>
        <s v="2dms_t1kwfs_v1_TOPON1K_J13"/>
        <s v="2dms_t1kwfs_v1_TOPON1K_J16"/>
        <s v="2dms_t1kwfs_v1_TOPON1K_J17"/>
        <s v="2dms_t1kwfs_v1_TOPON1K_K01"/>
        <s v="2dms_t1kwfs_v1_TOPON1K_K02"/>
        <s v="2dms_t1kwfs_v1_TOPON1K_K14"/>
        <s v="2dms_t1kwfs_v1_TOPON1K_M01"/>
        <s v="2dms_t1kwfs_v1_TOPON1K_M02"/>
        <s v="2dms_t1kwfs_v1_TOPON1K_M04"/>
        <s v="2dms_t1kwfs_v1_TOPON1K_N01"/>
        <s v="2dms_t1kwfs_v1_TOPON1K_N02"/>
        <s v="2dms_t1kwfs_v1_TOPON1K_P01"/>
        <s v="2dms_t1kwfs_v1_TOPON1K_P10"/>
        <s v="2dms_t1kwfs_v1_TOPON1K_P12"/>
        <s v="2dms_t1kwfs_v1_TOPON1K_P13"/>
        <s v="2dms_t1kwfs_v1_TOPON1K_P22"/>
        <s v="2dms_t1kwfs_v1_TOPON1K_P24"/>
        <s v="2dms_t1kwfs_v1_TOPON1K_P25"/>
        <s v="2dms_t1kwfs_v1_TOPON1K_Q02"/>
        <s v="2dms_t1kwfs_v1_TOPON1K_Q06"/>
        <s v="2dms_t1kwfs_v1_TOPON1K_Q07"/>
        <s v="2dms_t1kwfs_v1_TOPON1K_Q19"/>
        <s v="2dms_t1kwfs_v1_TOPON1K_Q21"/>
        <s v="2dms_t1kwfs_v1_TOPON1K_Q22"/>
        <s v="2dms_t1kwfs_v1_TOPON1K_Q26"/>
        <s v="2dms_t1kwfs_v1_TOPON1K_Q27"/>
        <s v="2dms_t1kwfs_v1_TOPON1K_Q28"/>
        <s v="2dms_t1kwfs_v1_TOPON1K_Q29"/>
        <s v="2dms_t1kwfs_v1_TOPON1K_Q30"/>
        <s v="2dms_t1kwfs_v1_TOPON1K_Q31"/>
        <s v="2dms_t1kwfs_v1_TOPON1K_T01"/>
        <s v="2dms_t1kwfs_v1_TOPON1K_T03"/>
        <s v="2dms_t1kwfs_v1_TOPON1K_T08"/>
        <s v="2dms_t1kwfs_v1_TOPON1K_T20"/>
        <s v="2dms_t1kwfs_v1_TOPON1K_T30"/>
        <s v="2dms_t1kwfs_v1_TOPON1K_U20"/>
        <s v="2dms_t1kwfs_v1_TOPON1K_V01"/>
        <s v="2dms_t1kwfs_v1_TOPON1K_V02"/>
        <s v="2dms_t1kwfs_v1_TOPON1K_X01"/>
        <s v="2dms_t1kwfs_v1_TOPON1K_X02"/>
        <s v="2dms_t1kwfs_v1_TOPON1K_X03"/>
        <s v="2dms_t1kwfs_v1_TOPON1K_X04"/>
        <s v="2dms_t1kwfs_v1_TOPON1K_X05"/>
        <s v="2dms_t1kwfs_v1_TOPON1K_X06"/>
        <s v="2dms_t1kwfs_v1_TOPON1K_X07"/>
        <s v="2dms_t1kwfs_v1_TOPON1K_X08"/>
        <s v="2dms_wms_v1_WMS"/>
        <s v="2dms_wmts_v1_AED"/>
        <s v="2dms_wmts_v1_Asrs202509251"/>
        <s v="2dms_wmts_v1_Asrs202509252"/>
        <s v="2dms_wmts_v1_Asrs202509253"/>
        <s v="2dms_wmts_v1_Asrs202509271"/>
        <s v="2dms_wmts_v1_Asrs202509272"/>
        <s v="2dms_wmts_v1_Asrs202509273"/>
        <s v="2dms_wmts_v1_Asrs202509281"/>
        <s v="2dms_wmts_v1_Asrs202509282"/>
        <s v="2dms_wmts_v1_Asrs202509291"/>
        <s v="2dms_wmts_v1_Asrs202509292"/>
        <s v="2dms_wmts_v1_Asrs202509301"/>
        <s v="2dms_wmts_v1_Asrs202509302"/>
        <s v="2dms_wmts_v1_Asrs202510011"/>
        <s v="2dms_wmts_v1_Asrs202510021"/>
        <s v="2dms_wmts_v1_Asrs202510022"/>
        <s v="2dms_wmts_v1_Asrs202510023"/>
        <s v="2dms_wmts_v1_Asrs202510031"/>
        <s v="2dms_wmts_v1_Asrs202510032"/>
        <s v="2dms_wmts_v1_Asrs202510033"/>
        <s v="2dms_wmts_v1_Asrs202510034"/>
        <s v="2dms_wmts_v1_Asrs202510035"/>
        <s v="2dms_wmts_v1_Asrs202510036"/>
        <s v="2dms_wmts_v1_Asrs202510037"/>
        <s v="2dms_wmts_v1_Asrs202510041"/>
        <s v="2dms_wmts_v1_Asrs202510042"/>
        <s v="2dms_wmts_v1_Asrs202510043"/>
        <s v="2dms_wmts_v1_Asrs202510051"/>
        <s v="2dms_wmts_v1_Asrs202510052"/>
        <s v="2dms_wmts_v1_Asrs202510053"/>
        <s v="2dms_wmts_v1_Asrs202510061"/>
        <s v="2dms_wmts_v1_Asrs202510062"/>
        <s v="2dms_wmts_v1_Asrs202510063"/>
        <s v="2dms_wmts_v1_Asrs202510071"/>
        <s v="2dms_wmts_v1_Asrs202510072"/>
        <s v="2dms_wmts_v1_Asrs202510073"/>
        <s v="2dms_wmts_v1_Asrs202510131"/>
        <s v="2dms_wmts_v1_Asrs202510132"/>
        <s v="2dms_wmts_v1_Asrs202510133"/>
        <s v="2dms_wmts_v1_Asrs202510134"/>
        <s v="2dms_wmts_v1_Asrs202510135"/>
        <s v="2dms_wmts_v1_Asrs202510136"/>
        <s v="2dms_wmts_v1_Asrs202510137"/>
        <s v="2dms_wmts_v1_Asrs202510138"/>
        <s v="2dms_wmts_v1_Asrs202510139"/>
        <s v="2dms_wmts_v1_Asrs202511161"/>
        <s v="2dms_wmts_v1_Asrs202511162"/>
        <s v="2dms_wmts_v1_Asrs202511163"/>
        <s v="2dms_wmts_v1_Asrs202511164"/>
        <s v="2dms_wmts_v1_Asrs202511165"/>
        <s v="2dms_wmts_v1_Asrs202511166"/>
        <s v="2dms_wmts_v1_Asrs202511167"/>
        <s v="2dms_wmts_v1_Asrs202511168"/>
        <s v="2dms_wmts_v1_Asrs2025ortho"/>
        <s v="2dms_wmts_v1_B100000"/>
        <s v="2dms_wmts_v1_B25000"/>
        <s v="2dms_wmts_v1_B5000"/>
        <s v="2dms_wmts_v1_B50000"/>
        <s v="2dms_wmts_v1_BUILDX"/>
        <s v="2dms_wmts_v1_CITY"/>
        <s v="2dms_wmts_v1_ConvenienceStore"/>
        <s v="2dms_wmts_v1_DDEM05"/>
        <s v="2dms_wmts_v1_EMAP"/>
        <s v="2dms_wmts_v1_EMAP01"/>
        <s v="2dms_wmts_v1_EMAP12"/>
        <s v="2dms_wmts_v1_EMAP15"/>
        <s v="2dms_wmts_v1_EMAP16"/>
        <s v="2dms_wmts_v1_EMAP2"/>
        <s v="2dms_wmts_v1_EMAP3825"/>
        <s v="2dms_wmts_v1_EMAP3826"/>
        <s v="2dms_wmts_v1_EMAP5"/>
        <s v="2dms_wmts_v1_EMAP5Opendata"/>
        <s v="2dms_wmts_v1_EMAP6"/>
        <s v="2dms_wmts_v1_EMAP6Opendata"/>
        <s v="2dms_wmts_v1_EMAP7"/>
        <s v="2dms_wmts_v1_EMAP8"/>
        <s v="2dms_wmts_v1_EMAP9"/>
        <s v="2dms_wmts_v1_EMAP96"/>
        <s v="2dms_wmts_v1_EMAP97"/>
        <s v="2dms_wmts_v1_EMAP98"/>
        <s v="2dms_wmts_v1_EMAPX99"/>
        <s v="2dms_wmts_v1_fireplug"/>
        <s v="2dms_wmts_v1_GeoSensitive"/>
        <s v="2dms_wmts_v1_GeoSensitive2"/>
        <s v="2dms_wmts_v1_LandOffice"/>
        <s v="2dms_wmts_v1_LandOpendata"/>
        <s v="2dms_wmts_v1_LANDSECT"/>
        <s v="2dms_wmts_v1_LANDSECT2"/>
        <s v="2dms_wmts_v1_LUIMAP"/>
        <s v="2dms_wmts_v1_LUIMAP01"/>
        <s v="2dms_wmts_v1_LUIMAP02"/>
        <s v="2dms_wmts_v1_LUIMAP03"/>
        <s v="2dms_wmts_v1_LUIMAP04"/>
        <s v="2dms_wmts_v1_LUIMAP05"/>
        <s v="2dms_wmts_v1_LUIMAP06"/>
        <s v="2dms_wmts_v1_LUIMAP07"/>
        <s v="2dms_wmts_v1_LUIMAP08"/>
        <s v="2dms_wmts_v1_LUIMAP09"/>
        <s v="2dms_wmts_v1_LUIMAP100"/>
        <s v="2dms_wmts_v1_LUIMAP101"/>
        <s v="2dms_wmts_v1_LUIMAP102"/>
        <s v="2dms_wmts_v1_LUIMAP103"/>
        <s v="2dms_wmts_v1_LUIMAP104"/>
        <s v="2dms_wmts_v1_LUIMAP105"/>
        <s v="2dms_wmts_v1_LUIMAP106"/>
        <s v="2dms_wmts_v1_LUIMAP107"/>
        <s v="2dms_wmts_v1_LUIMAP108"/>
        <s v="2dms_wmts_v1_LUIMAP109"/>
        <s v="2dms_wmts_v1_LUIMAP110"/>
        <s v="2dms_wmts_v1_LUIMAP111"/>
        <s v="2dms_wmts_v1_LUIMAP112"/>
        <s v="2dms_wmts_v1_LUIMAP113"/>
        <s v="2dms_wmts_v1_LUIMAP114"/>
        <s v="2dms_wmts_v1_LUIMAP82"/>
        <s v="2dms_wmts_v1_LUIMAP95"/>
        <s v="2dms_wmts_v1_LUIMAP98"/>
        <s v="2dms_wmts_v1_LUIMAP99"/>
        <s v="2dms_wmts_v1_MB5000"/>
        <s v="2dms_wmts_v1_MoiAspect"/>
        <s v="2dms_wmts_v1_MoiContour"/>
        <s v="2dms_wmts_v1_MoiContour2"/>
        <s v="2dms_wmts_v1_MoiHillshade"/>
        <s v="2dms_wmts_v1_MoiShadermap"/>
        <s v="2dms_wmts_v1_MoiSlopepGT30"/>
        <s v="2dms_wmts_v1_MoiSlopepGT302"/>
        <s v="2dms_wmts_v1_MoiSlopepLV7"/>
        <s v="2dms_wmts_v1_MoiSlopepLV72"/>
        <s v="2dms_wmts_v1_nURBAN1"/>
        <s v="2dms_wmts_v1_nURBAN2"/>
        <s v="2dms_wmts_v1_PHOTO1"/>
        <s v="2dms_wmts_v1_PHOTO2"/>
        <s v="2dms_wmts_v1_PHOTO2014"/>
        <s v="2dms_wmts_v1_PHOTO2015"/>
        <s v="2dms_wmts_v1_PHOTO2016"/>
        <s v="2dms_wmts_v1_PHOTO2017"/>
        <s v="2dms_wmts_v1_PHOTO2018"/>
        <s v="2dms_wmts_v1_PHOTO2019"/>
        <s v="2dms_wmts_v1_PHOTO2020"/>
        <s v="2dms_wmts_v1_PHOTO2021"/>
        <s v="2dms_wmts_v1_PHOTO2022"/>
        <s v="2dms_wmts_v1_PHOTO2023"/>
        <s v="2dms_wmts_v1_PHOTO2024"/>
        <s v="2dms_wmts_v1_PHOTO2025"/>
        <s v="2dms_wmts_v1_PHOTO3826"/>
        <s v="2dms_wmts_v1_PhotoMIX"/>
        <s v="2dms_wmts_v1_PhotoVA"/>
        <s v="2dms_wmts_v1_ROAD"/>
        <s v="2dms_wmts_v1_SCHOOL"/>
        <s v="2dms_wmts_v1_SHELTERS"/>
        <s v="2dms_wmts_v1_SoilLiquefaction"/>
        <s v="2dms_wmts_v1_SoilLiquefaction2"/>
        <s v="2dms_wmts_v1_TOPO01K_B01"/>
        <s v="2dms_wmts_v1_TOPO01K_B02"/>
        <s v="2dms_wmts_v1_TOPO01K_B03"/>
        <s v="2dms_wmts_v1_TOPO01K_B04"/>
        <s v="2dms_wmts_v1_TOPO01K_B05"/>
        <s v="2dms_wmts_v1_TOPO01K_B06"/>
        <s v="2dms_wmts_v1_TOPO01K_B07"/>
        <s v="2dms_wmts_v1_TOPO01K_B08"/>
        <s v="2dms_wmts_v1_TOPO01K_B09"/>
        <s v="2dms_wmts_v1_TOPO01K_B10"/>
        <s v="2dms_wmts_v1_TOPO01K_B11"/>
        <s v="2dms_wmts_v1_TOPO01K_B12"/>
        <s v="2dms_wmts_v1_TOPO01K_B13"/>
        <s v="2dms_wmts_v1_TOPO01K_B14"/>
        <s v="2dms_wmts_v1_TOPO01K_B15"/>
        <s v="2dms_wmts_v1_TOPO01K_B16"/>
        <s v="2dms_wmts_v1_TOPO01K_B17"/>
        <s v="2dms_wmts_v1_TOPO01K_B18"/>
        <s v="2dms_wmts_v1_TOPO01K_B19"/>
        <s v="2dms_wmts_v1_TOPO01K_B20"/>
        <s v="2dms_wmts_v1_TOPO01K_B21"/>
        <s v="2dms_wmts_v1_TOPO01K_B22"/>
        <s v="2dms_wmts_v1_TOPO01K_B23"/>
        <s v="2dms_wmts_v1_TOPO01K_B24"/>
        <s v="2dms_wmts_v1_TOPO01K_B25"/>
        <s v="2dms_wmts_v1_TOPO01K_B26"/>
        <s v="2dms_wmts_v1_TOPO01K_B27"/>
        <s v="2dms_wmts_v1_TOPO01K_B28"/>
        <s v="2dms_wmts_v1_TOPO01K_B29"/>
        <s v="2dms_wmts_v1_TOPO01K_B30"/>
        <s v="2dms_wmts_v1_TOPO01K_B31"/>
        <s v="2dms_wmts_v1_TOPO01K_B32"/>
        <s v="2dms_wmts_v1_TOPO01K_C01"/>
        <s v="2dms_wmts_v1_TOPO01K_C02"/>
        <s v="2dms_wmts_v1_TOPO01K_D93"/>
        <s v="2dms_wmts_v1_TOPO01K_D97"/>
        <s v="2dms_wmts_v1_TOPO01K_D99"/>
        <s v="2dms_wmts_v1_TOPO01K_DA0"/>
        <s v="2dms_wmts_v1_TOPO01K_DA1"/>
        <s v="2dms_wmts_v1_TOPO01K_DA2"/>
        <s v="2dms_wmts_v1_TOPO01K_E01"/>
        <s v="2dms_wmts_v1_TOPO01K_E02"/>
        <s v="2dms_wmts_v1_TOPO01K_E03"/>
        <s v="2dms_wmts_v1_TOPO01K_E04"/>
        <s v="2dms_wmts_v1_TOPO01K_E05"/>
        <s v="2dms_wmts_v1_TOPO01K_E06"/>
        <s v="2dms_wmts_v1_TOPO01K_E07"/>
        <s v="2dms_wmts_v1_TOPO01K_E08"/>
        <s v="2dms_wmts_v1_TOPO01K_E09"/>
        <s v="2dms_wmts_v1_TOPO01K_E10"/>
        <s v="2dms_wmts_v1_TOPO01K_E11"/>
        <s v="2dms_wmts_v1_TOPO01K_E12"/>
        <s v="2dms_wmts_v1_TOPO01K_E13"/>
        <s v="2dms_wmts_v1_TOPO01K_E14"/>
        <s v="2dms_wmts_v1_TOPO01K_E15"/>
        <s v="2dms_wmts_v1_TOPO01K_E16"/>
        <s v="2dms_wmts_v1_TOPO01K_E17"/>
        <s v="2dms_wmts_v1_TOPO01K_E18"/>
        <s v="2dms_wmts_v1_TOPO01K_E19"/>
        <s v="2dms_wmts_v1_TOPO01K_E20"/>
        <s v="2dms_wmts_v1_TOPO01K_E21"/>
        <s v="2dms_wmts_v1_TOPO01K_E22"/>
        <s v="2dms_wmts_v1_TOPO01K_E23"/>
        <s v="2dms_wmts_v1_TOPO01K_E24"/>
        <s v="2dms_wmts_v1_TOPO01K_E25"/>
        <s v="2dms_wmts_v1_TOPO01K_E26"/>
        <s v="2dms_wmts_v1_TOPO01K_E27"/>
        <s v="2dms_wmts_v1_TOPO01K_E28"/>
        <s v="2dms_wmts_v1_TOPO01K_E29"/>
        <s v="2dms_wmts_v1_TOPO01K_E30"/>
        <s v="2dms_wmts_v1_TOPO01K_E31"/>
        <s v="2dms_wmts_v1_TOPO01K_E32"/>
        <s v="2dms_wmts_v1_TOPO01K_E34"/>
        <s v="2dms_wmts_v1_TOPO01K_E35"/>
        <s v="2dms_wmts_v1_TOPO01K_E36"/>
        <s v="2dms_wmts_v1_TOPO01K_E37"/>
        <s v="2dms_wmts_v1_TOPO01K_E38"/>
        <s v="2dms_wmts_v1_TOPO01K_F01"/>
        <s v="2dms_wmts_v1_TOPO01K_F02"/>
        <s v="2dms_wmts_v1_TOPO01K_F03"/>
        <s v="2dms_wmts_v1_TOPO01K_F04"/>
        <s v="2dms_wmts_v1_TOPO01K_F05"/>
        <s v="2dms_wmts_v1_TOPO01K_F06"/>
        <s v="2dms_wmts_v1_TOPO01K_F07"/>
        <s v="2dms_wmts_v1_TOPO01K_F08"/>
        <s v="2dms_wmts_v1_TOPO01K_F09"/>
        <s v="2dms_wmts_v1_TOPO01K_F10"/>
        <s v="2dms_wmts_v1_TOPO01K_F11"/>
        <s v="2dms_wmts_v1_TOPO01K_F12"/>
        <s v="2dms_wmts_v1_TOPO01K_F13"/>
        <s v="2dms_wmts_v1_TOPO01K_F14"/>
        <s v="2dms_wmts_v1_TOPO01K_F15"/>
        <s v="2dms_wmts_v1_TOPO01K_F16"/>
        <s v="2dms_wmts_v1_TOPO01K_F17"/>
        <s v="2dms_wmts_v1_TOPO01K_F18"/>
        <s v="2dms_wmts_v1_TOPO01K_F19"/>
        <s v="2dms_wmts_v1_TOPO01K_F20"/>
        <s v="2dms_wmts_v1_TOPO01K_F21"/>
        <s v="2dms_wmts_v1_TOPO01K_F22"/>
        <s v="2dms_wmts_v1_TOPO01K_F23"/>
        <s v="2dms_wmts_v1_TOPO01K_F24"/>
        <s v="2dms_wmts_v1_TOPO01K_F25"/>
        <s v="2dms_wmts_v1_TOPO01K_F26"/>
        <s v="2dms_wmts_v1_TOPO01K_F27"/>
        <s v="2dms_wmts_v1_TOPO01K_F28"/>
        <s v="2dms_wmts_v1_TOPO01K_F29"/>
        <s v="2dms_wmts_v1_TOPO01K_F30"/>
        <s v="2dms_wmts_v1_TOPO01K_F31"/>
        <s v="2dms_wmts_v1_TOPO01K_F32"/>
        <s v="2dms_wmts_v1_TOPO01K_F33"/>
        <s v="2dms_wmts_v1_TOPO01K_F34"/>
        <s v="2dms_wmts_v1_TOPO01K_F35"/>
        <s v="2dms_wmts_v1_TOPO01K_F36"/>
        <s v="2dms_wmts_v1_TOPO01K_F37"/>
        <s v="2dms_wmts_v1_TOPO01K_F38"/>
        <s v="2dms_wmts_v1_TOPO01K_F39"/>
        <s v="2dms_wmts_v1_TOPO01K_F40"/>
        <s v="2dms_wmts_v1_TOPO01K_F41"/>
        <s v="2dms_wmts_v1_TOPO01K_F42"/>
        <s v="2dms_wmts_v1_TOPO01K_F43"/>
        <s v="2dms_wmts_v1_TOPO01K_F44"/>
        <s v="2dms_wmts_v1_TOPO01K_F45"/>
        <s v="2dms_wmts_v1_TOPO01K_F46"/>
        <s v="2dms_wmts_v1_TOPO01K_F47"/>
        <s v="2dms_wmts_v1_TOPO01K_F48"/>
        <s v="2dms_wmts_v1_TOPO01K_F49"/>
        <s v="2dms_wmts_v1_TOPO01K_F50"/>
        <s v="2dms_wmts_v1_TOPO01K_F51"/>
        <s v="2dms_wmts_v1_TOPO01K_F52"/>
        <s v="2dms_wmts_v1_TOPO01K_F53"/>
        <s v="2dms_wmts_v1_TOPO01K_F54"/>
        <s v="2dms_wmts_v1_TOPO01K_F55"/>
        <s v="2dms_wmts_v1_TOPO01K_F56"/>
        <s v="2dms_wmts_v1_TOPO01K_G01"/>
        <s v="2dms_wmts_v1_TOPO01K_G02"/>
        <s v="2dms_wmts_v1_TOPO01K_G03"/>
        <s v="2dms_wmts_v1_TOPO01K_G04"/>
        <s v="2dms_wmts_v1_TOPO01K_G05"/>
        <s v="2dms_wmts_v1_TOPO01K_G06"/>
        <s v="2dms_wmts_v1_TOPO01K_G07"/>
        <s v="2dms_wmts_v1_TOPO01K_G08"/>
        <s v="2dms_wmts_v1_TOPO01K_G09"/>
        <s v="2dms_wmts_v1_TOPO01K_G10"/>
        <s v="2dms_wmts_v1_TOPO01K_G11"/>
        <s v="2dms_wmts_v1_TOPO01K_G12"/>
        <s v="2dms_wmts_v1_TOPO01K_G13"/>
        <s v="2dms_wmts_v1_TOPO01K_G14"/>
        <s v="2dms_wmts_v1_TOPO01K_G15"/>
        <s v="2dms_wmts_v1_TOPO01K_H01"/>
        <s v="2dms_wmts_v1_TOPO01K_H02"/>
        <s v="2dms_wmts_v1_TOPO01K_H03"/>
        <s v="2dms_wmts_v1_TOPO01K_H04"/>
        <s v="2dms_wmts_v1_TOPO01K_H05"/>
        <s v="2dms_wmts_v1_TOPO01K_H06"/>
        <s v="2dms_wmts_v1_TOPO01K_H07"/>
        <s v="2dms_wmts_v1_TOPO01K_H08"/>
        <s v="2dms_wmts_v1_TOPO01K_H09"/>
        <s v="2dms_wmts_v1_TOPO01K_H10"/>
        <s v="2dms_wmts_v1_TOPO01K_H11"/>
        <s v="2dms_wmts_v1_TOPO01K_H12"/>
        <s v="2dms_wmts_v1_TOPO01K_H13"/>
        <s v="2dms_wmts_v1_TOPO01K_H14"/>
        <s v="2dms_wmts_v1_TOPO01K_H15"/>
        <s v="2dms_wmts_v1_TOPO01K_H16"/>
        <s v="2dms_wmts_v1_TOPO01K_H17"/>
        <s v="2dms_wmts_v1_TOPO01K_H18"/>
        <s v="2dms_wmts_v1_TOPO01K_H19"/>
        <s v="2dms_wmts_v1_TOPO01K_H20"/>
        <s v="2dms_wmts_v1_TOPO01K_H21"/>
        <s v="2dms_wmts_v1_TOPO01K_H22"/>
        <s v="2dms_wmts_v1_TOPO01K_H23"/>
        <s v="2dms_wmts_v1_TOPO01K_H24"/>
        <s v="2dms_wmts_v1_TOPO01K_H25"/>
        <s v="2dms_wmts_v1_TOPO01K_H26"/>
        <s v="2dms_wmts_v1_TOPO01K_H27"/>
        <s v="2dms_wmts_v1_TOPO01K_H28"/>
        <s v="2dms_wmts_v1_TOPO01K_H29"/>
        <s v="2dms_wmts_v1_TOPO01K_H30"/>
        <s v="2dms_wmts_v1_TOPO01K_H31"/>
        <s v="2dms_wmts_v1_TOPO01K_H32"/>
        <s v="2dms_wmts_v1_TOPO01K_H33"/>
        <s v="2dms_wmts_v1_TOPO01K_H34"/>
        <s v="2dms_wmts_v1_TOPO01K_H35"/>
        <s v="2dms_wmts_v1_TOPO01K_H36"/>
        <s v="2dms_wmts_v1_TOPO01K_H37"/>
        <s v="2dms_wmts_v1_TOPO01K_H38"/>
        <s v="2dms_wmts_v1_TOPO01K_H39"/>
        <s v="2dms_wmts_v1_TOPO01K_H40"/>
        <s v="2dms_wmts_v1_TOPO01K_H44"/>
        <s v="2dms_wmts_v1_TOPO01K_J01"/>
        <s v="2dms_wmts_v1_TOPO01K_J02"/>
        <s v="2dms_wmts_v1_TOPO01K_J03"/>
        <s v="2dms_wmts_v1_TOPO01K_J04"/>
        <s v="2dms_wmts_v1_TOPO01K_J05"/>
        <s v="2dms_wmts_v1_TOPO01K_J06"/>
        <s v="2dms_wmts_v1_TOPO01K_J07"/>
        <s v="2dms_wmts_v1_TOPO01K_J08"/>
        <s v="2dms_wmts_v1_TOPO01K_J09"/>
        <s v="2dms_wmts_v1_TOPO01K_J10"/>
        <s v="2dms_wmts_v1_TOPO01K_K01"/>
        <s v="2dms_wmts_v1_TOPO01K_K02"/>
        <s v="2dms_wmts_v1_TOPO01K_K03"/>
        <s v="2dms_wmts_v1_TOPO01K_K04"/>
        <s v="2dms_wmts_v1_TOPO01K_K05"/>
        <s v="2dms_wmts_v1_TOPO01K_K06"/>
        <s v="2dms_wmts_v1_TOPO01K_K07"/>
        <s v="2dms_wmts_v1_TOPO01K_K08"/>
        <s v="2dms_wmts_v1_TOPO01K_K09"/>
        <s v="2dms_wmts_v1_TOPO01K_K10"/>
        <s v="2dms_wmts_v1_TOPO01K_K11"/>
        <s v="2dms_wmts_v1_TOPO01K_K12"/>
        <s v="2dms_wmts_v1_TOPO01K_K13"/>
        <s v="2dms_wmts_v1_TOPO01K_K14"/>
        <s v="2dms_wmts_v1_TOPO01K_K15"/>
        <s v="2dms_wmts_v1_TOPO01K_K16"/>
        <s v="2dms_wmts_v1_TOPO01K_K17"/>
        <s v="2dms_wmts_v1_TOPO01K_K18"/>
        <s v="2dms_wmts_v1_TOPO01K_M01"/>
        <s v="2dms_wmts_v1_TOPO01K_M02"/>
        <s v="2dms_wmts_v1_TOPO01K_M03"/>
        <s v="2dms_wmts_v1_TOPO01K_M04"/>
        <s v="2dms_wmts_v1_TOPO01K_M05"/>
        <s v="2dms_wmts_v1_TOPO01K_M06"/>
        <s v="2dms_wmts_v1_TOPO01K_M07"/>
        <s v="2dms_wmts_v1_TOPO01K_M08"/>
        <s v="2dms_wmts_v1_TOPO01K_M09"/>
        <s v="2dms_wmts_v1_TOPO01K_M10"/>
        <s v="2dms_wmts_v1_TOPO01K_M11"/>
        <s v="2dms_wmts_v1_TOPO01K_M12"/>
        <s v="2dms_wmts_v1_TOPO01K_M13"/>
        <s v="2dms_wmts_v1_TOPO01K_M14"/>
        <s v="2dms_wmts_v1_TOPO01K_M15"/>
        <s v="2dms_wmts_v1_TOPO01K_M16"/>
        <s v="2dms_wmts_v1_TOPO01K_M17"/>
        <s v="2dms_wmts_v1_TOPO01K_M18"/>
        <s v="2dms_wmts_v1_TOPO01K_M19"/>
        <s v="2dms_wmts_v1_TOPO01K_M20"/>
        <s v="2dms_wmts_v1_TOPO01K_M21"/>
        <s v="2dms_wmts_v1_TOPO01K_M22"/>
        <s v="2dms_wmts_v1_TOPO01K_N01"/>
        <s v="2dms_wmts_v1_TOPO01K_N02"/>
        <s v="2dms_wmts_v1_TOPO01K_N03"/>
        <s v="2dms_wmts_v1_TOPO01K_N04"/>
        <s v="2dms_wmts_v1_TOPO01K_N05"/>
        <s v="2dms_wmts_v1_TOPO01K_N06"/>
        <s v="2dms_wmts_v1_TOPO01K_N07"/>
        <s v="2dms_wmts_v1_TOPO01K_N08"/>
        <s v="2dms_wmts_v1_TOPO01K_N09"/>
        <s v="2dms_wmts_v1_TOPO01K_N10"/>
        <s v="2dms_wmts_v1_TOPO01K_N11"/>
        <s v="2dms_wmts_v1_TOPO01K_N12"/>
        <s v="2dms_wmts_v1_TOPO01K_N13"/>
        <s v="2dms_wmts_v1_TOPO01K_N14"/>
        <s v="2dms_wmts_v1_TOPO01K_N15"/>
        <s v="2dms_wmts_v1_TOPO01K_N16"/>
        <s v="2dms_wmts_v1_TOPO01K_N17"/>
        <s v="2dms_wmts_v1_TOPO01K_N18"/>
        <s v="2dms_wmts_v1_TOPO01K_N19"/>
        <s v="2dms_wmts_v1_TOPO01K_N20"/>
        <s v="2dms_wmts_v1_TOPO01K_N21"/>
        <s v="2dms_wmts_v1_TOPO01K_N22"/>
        <s v="2dms_wmts_v1_TOPO01K_N23"/>
        <s v="2dms_wmts_v1_TOPO01K_N24"/>
        <s v="2dms_wmts_v1_TOPO01K_N25"/>
        <s v="2dms_wmts_v1_TOPO01K_N26"/>
        <s v="2dms_wmts_v1_TOPO01K_N27"/>
        <s v="2dms_wmts_v1_TOPO01K_N28"/>
        <s v="2dms_wmts_v1_TOPO01K_N29"/>
        <s v="2dms_wmts_v1_TOPO01K_N30"/>
        <s v="2dms_wmts_v1_TOPO01K_N31"/>
        <s v="2dms_wmts_v1_TOPO01K_N32"/>
        <s v="2dms_wmts_v1_TOPO01K_N33"/>
        <s v="2dms_wmts_v1_TOPO01K_N34"/>
        <s v="2dms_wmts_v1_TOPO01K_N35"/>
        <s v="2dms_wmts_v1_TOPO01K_O01"/>
        <s v="2dms_wmts_v1_TOPO01K_O03"/>
        <s v="2dms_wmts_v1_TOPO01K_O04"/>
        <s v="2dms_wmts_v1_TOPO01K_O05"/>
        <s v="2dms_wmts_v1_TOPO01K_O06"/>
        <s v="2dms_wmts_v1_TOPO01K_O07"/>
        <s v="2dms_wmts_v1_TOPO01K_O08"/>
        <s v="2dms_wmts_v1_TOPO01K_P01"/>
        <s v="2dms_wmts_v1_TOPO01K_P02"/>
        <s v="2dms_wmts_v1_TOPO01K_P03"/>
        <s v="2dms_wmts_v1_TOPO01K_P04"/>
        <s v="2dms_wmts_v1_TOPO01K_P05"/>
        <s v="2dms_wmts_v1_TOPO01K_P06"/>
        <s v="2dms_wmts_v1_TOPO01K_P07"/>
        <s v="2dms_wmts_v1_TOPO01K_P08"/>
        <s v="2dms_wmts_v1_TOPO01K_P09"/>
        <s v="2dms_wmts_v1_TOPO01K_P10"/>
        <s v="2dms_wmts_v1_TOPO01K_P11"/>
        <s v="2dms_wmts_v1_TOPO01K_P12"/>
        <s v="2dms_wmts_v1_TOPO01K_P13"/>
        <s v="2dms_wmts_v1_TOPO01K_P14"/>
        <s v="2dms_wmts_v1_TOPO01K_P15"/>
        <s v="2dms_wmts_v1_TOPO01K_Q01"/>
        <s v="2dms_wmts_v1_TOPO01K_Q02"/>
        <s v="2dms_wmts_v1_TOPO01K_Q03"/>
        <s v="2dms_wmts_v1_TOPO01K_Q04"/>
        <s v="2dms_wmts_v1_TOPO01K_Q05"/>
        <s v="2dms_wmts_v1_TOPO01K_Q06"/>
        <s v="2dms_wmts_v1_TOPO01K_Q07"/>
        <s v="2dms_wmts_v1_TOPO01K_Q08"/>
        <s v="2dms_wmts_v1_TOPO01K_Q09"/>
        <s v="2dms_wmts_v1_TOPO01K_Q10"/>
        <s v="2dms_wmts_v1_TOPO01K_Q11"/>
        <s v="2dms_wmts_v1_TOPO01K_Q12"/>
        <s v="2dms_wmts_v1_TOPO01K_Q13"/>
        <s v="2dms_wmts_v1_TOPO01K_Q14"/>
        <s v="2dms_wmts_v1_TOPO01K_Q15"/>
        <s v="2dms_wmts_v1_TOPO01K_Q16"/>
        <s v="2dms_wmts_v1_TOPO01K_Q17"/>
        <s v="2dms_wmts_v1_TOPO01K_Q18"/>
        <s v="2dms_wmts_v1_TOPO01K_Q19"/>
        <s v="2dms_wmts_v1_TOPO01K_Q20"/>
        <s v="2dms_wmts_v1_TOPO01K_Q21"/>
        <s v="2dms_wmts_v1_TOPO01K_Q22"/>
        <s v="2dms_wmts_v1_TOPO01K_Q23"/>
        <s v="2dms_wmts_v1_TOPO01K_Q24"/>
        <s v="2dms_wmts_v1_TOPO01K_Q25"/>
        <s v="2dms_wmts_v1_TOPO01K_Q26"/>
        <s v="2dms_wmts_v1_TOPO01K_Q27"/>
        <s v="2dms_wmts_v1_TOPO01K_Q29"/>
        <s v="2dms_wmts_v1_TOPO01K_T01"/>
        <s v="2dms_wmts_v1_TOPO01K_T02"/>
        <s v="2dms_wmts_v1_TOPO01K_T03"/>
        <s v="2dms_wmts_v1_TOPO01K_T04"/>
        <s v="2dms_wmts_v1_TOPO01K_T05"/>
        <s v="2dms_wmts_v1_TOPO01K_T06"/>
        <s v="2dms_wmts_v1_TOPO01K_T07"/>
        <s v="2dms_wmts_v1_TOPO01K_T08"/>
        <s v="2dms_wmts_v1_TOPO01K_T09"/>
        <s v="2dms_wmts_v1_TOPO01K_T10"/>
        <s v="2dms_wmts_v1_TOPO01K_T11"/>
        <s v="2dms_wmts_v1_TOPO01K_T12"/>
        <s v="2dms_wmts_v1_TOPO01K_T13"/>
        <s v="2dms_wmts_v1_TOPO01K_T14"/>
        <s v="2dms_wmts_v1_TOPO01K_T15"/>
        <s v="2dms_wmts_v1_TOPO01K_T16"/>
        <s v="2dms_wmts_v1_TOPO01K_T17"/>
        <s v="2dms_wmts_v1_TOPO01K_T18"/>
        <s v="2dms_wmts_v1_TOPO01K_T19"/>
        <s v="2dms_wmts_v1_TOPO01K_T20"/>
        <s v="2dms_wmts_v1_TOPO01K_T21"/>
        <s v="2dms_wmts_v1_TOPO01K_T22"/>
        <s v="2dms_wmts_v1_TOPO01K_T23"/>
        <s v="2dms_wmts_v1_TOPO01K_T24"/>
        <s v="2dms_wmts_v1_TOPO01K_T25"/>
        <s v="2dms_wmts_v1_TOPO01K_T26"/>
        <s v="2dms_wmts_v1_TOPO01K_T27"/>
        <s v="2dms_wmts_v1_TOPO01K_T28"/>
        <s v="2dms_wmts_v1_TOPO01K_T29"/>
        <s v="2dms_wmts_v1_TOPO01K_T30"/>
        <s v="2dms_wmts_v1_TOPO01K_T31"/>
        <s v="2dms_wmts_v1_TOPO01K_T32"/>
        <s v="2dms_wmts_v1_TOPO01K_U01"/>
        <s v="2dms_wmts_v1_TOPO01K_U02"/>
        <s v="2dms_wmts_v1_TOPO01K_U03"/>
        <s v="2dms_wmts_v1_TOPO01K_U04"/>
        <s v="2dms_wmts_v1_TOPO01K_U05"/>
        <s v="2dms_wmts_v1_TOPO01K_U06"/>
        <s v="2dms_wmts_v1_TOPO01K_U07"/>
        <s v="2dms_wmts_v1_TOPO01K_U08"/>
        <s v="2dms_wmts_v1_TOPO01K_U09"/>
        <s v="2dms_wmts_v1_TOPO01K_U10"/>
        <s v="2dms_wmts_v1_TOPO01K_U11"/>
        <s v="2dms_wmts_v1_TOPO01K_U12"/>
        <s v="2dms_wmts_v1_TOPO01K_U13"/>
        <s v="2dms_wmts_v1_TOPO01K_U14"/>
        <s v="2dms_wmts_v1_TOPO01K_U15"/>
        <s v="2dms_wmts_v1_TOPO01K_U16"/>
        <s v="2dms_wmts_v1_TOPO01K_U17"/>
        <s v="2dms_wmts_v1_TOPO01K_U18"/>
        <s v="2dms_wmts_v1_TOPO01K_U19"/>
        <s v="2dms_wmts_v1_TOPO01K_U20"/>
        <s v="2dms_wmts_v1_TOPO01K_U21"/>
        <s v="2dms_wmts_v1_TOPO01K_U22"/>
        <s v="2dms_wmts_v1_TOPO01K_U23"/>
        <s v="2dms_wmts_v1_TOPO01K_U24"/>
        <s v="2dms_wmts_v1_TOPO01K_U25"/>
        <s v="2dms_wmts_v1_TOPO01K_U26"/>
        <s v="2dms_wmts_v1_TOPO01K_V01"/>
        <s v="2dms_wmts_v1_TOPO01K_V02"/>
        <s v="2dms_wmts_v1_TOPO01K_V03"/>
        <s v="2dms_wmts_v1_TOPO01K_V04"/>
        <s v="2dms_wmts_v1_TOPO01K_V05"/>
        <s v="2dms_wmts_v1_TOPO01K_V06"/>
        <s v="2dms_wmts_v1_TOPO01K_V07"/>
        <s v="2dms_wmts_v1_TOPO01K_V08"/>
        <s v="2dms_wmts_v1_TOPO01K_V09"/>
        <s v="2dms_wmts_v1_TOPO01K_V10"/>
        <s v="2dms_wmts_v1_TOPO01K_V11"/>
        <s v="2dms_wmts_v1_TOPO01K_V12"/>
        <s v="2dms_wmts_v1_TOPO01K_V13"/>
        <s v="2dms_wmts_v1_TOPO01K_V14"/>
        <s v="2dms_wmts_v1_TOPO01K_V15"/>
        <s v="2dms_wmts_v1_TOPO01K_V16"/>
        <s v="2dms_wmts_v1_TOPO01K_V17"/>
        <s v="2dms_wmts_v1_TOPO01K_V18"/>
        <s v="2dms_wmts_v1_TOPO01K_V19"/>
        <s v="2dms_wmts_v1_TOPO01K_V20"/>
        <s v="2dms_wmts_v1_TOPO01K_W01"/>
        <s v="2dms_wmts_v1_TOPO01K_W02"/>
        <s v="2dms_wmts_v1_TOPO01K_X01"/>
        <s v="2dms_wmts_v1_TOPO01K_X02"/>
        <s v="2dms_wmts_v1_TOPO01K_X03"/>
        <s v="2dms_wmts_v1_TOPO01K_X04"/>
        <s v="2dms_wmts_v1_TOPO01K_X05"/>
        <s v="2dms_wmts_v1_TOPO01K_X06"/>
        <s v="2dms_wmts_v1_TOPO01K_X07"/>
        <s v="2dms_wmts_v1_TOPO01K_X08"/>
        <s v="2dms_wmts_v1_TOPO01K_Z01"/>
        <s v="2dms_wmts_v1_TOPO05K100"/>
        <s v="2dms_wmts_v1_TOPO05K101"/>
        <s v="2dms_wmts_v1_TOPO05K102"/>
        <s v="2dms_wmts_v1_TOPO05K103"/>
        <s v="2dms_wmts_v1_TOPO05K104"/>
        <s v="2dms_wmts_v1_TOPO05K105"/>
        <s v="2dms_wmts_v1_TOPO05K106"/>
        <s v="2dms_wmts_v1_TOPO05K107"/>
        <s v="2dms_wmts_v1_TOPO05K108"/>
        <s v="2dms_wmts_v1_TOPO05K109"/>
        <s v="2dms_wmts_v1_TOPO05K110"/>
        <s v="2dms_wmts_v1_TOPO05K111"/>
        <s v="2dms_wmts_v1_TOPO05K84"/>
        <s v="2dms_wmts_v1_TOPO05K86"/>
        <s v="2dms_wmts_v1_TOPO05K87"/>
        <s v="2dms_wmts_v1_TOPO05K88"/>
        <s v="2dms_wmts_v1_TOPO05K90"/>
        <s v="2dms_wmts_v1_TOPO05K91"/>
        <s v="2dms_wmts_v1_TOPO05K92"/>
        <s v="2dms_wmts_v1_TOPO05K96"/>
        <s v="2dms_wmts_v1_TOPO05K98"/>
        <s v="2dms_wmts_v1_TOPO05K99"/>
        <s v="2dms_wmts_v1_TOPO05KPHOTO065"/>
        <s v="2dms_wmts_v1_TOPO05KPHOTO066"/>
        <s v="2dms_wmts_v1_TOPO05KPHOTO067"/>
        <s v="2dms_wmts_v1_TOPO05KPHOTO068"/>
        <s v="2dms_wmts_v1_TOPO05KPHOTO069"/>
        <s v="2dms_wmts_v1_TOPO05KPHOTO070"/>
        <s v="2dms_wmts_v1_TOPO05KPHOTO071"/>
        <s v="2dms_wmts_v1_TOPO05KPHOTO072"/>
        <s v="2dms_wmts_v1_TOPO05KPHOTO073"/>
        <s v="2dms_wmts_v1_TOPO05KPHOTO074"/>
        <s v="2dms_wmts_v1_TOPO05KPHOTO075"/>
        <s v="2dms_wmts_v1_TOPO05KPHOTO076"/>
        <s v="2dms_wmts_v1_TOPO05KPHOTO078"/>
        <s v="2dms_wmts_v1_TOPO05KPHOTO079"/>
        <s v="2dms_wmts_v1_TOPO05KPHOTO080"/>
        <s v="2dms_wmts_v1_TOPO05KPHOTO081"/>
        <s v="2dms_wmts_v1_TOPO05KPHOTO083"/>
        <s v="2dms_wmts_v1_TOPO05KPHOTO084"/>
        <s v="2dms_wmts_v1_TOPO05KPHOTO086"/>
        <s v="2dms_wmts_v1_TOPO05KPHOTO087"/>
        <s v="2dms_wmts_v1_TOPO05KPHOTO088"/>
        <s v="2dms_wmts_v1_TOPO05KPHOTO089"/>
        <s v="2dms_wmts_v1_TOPO05KPHOTO090"/>
        <s v="2dms_wmts_v1_TOPO05KPHOTO091"/>
        <s v="2dms_wmts_v1_TOPO05KPHOTO092"/>
        <s v="2dms_wmts_v1_TOPO05KPHOTO093"/>
        <s v="2dms_wmts_v1_TOPO05KPHOTO094"/>
        <s v="2dms_wmts_v1_TOPO05KPHOTO095"/>
        <s v="2dms_wmts_v1_TOPO05KPHOTO096"/>
        <s v="2dms_wmts_v1_TOPO05KPHOTO097"/>
        <s v="2dms_wmts_v1_TOPO05KPHOTO098"/>
        <s v="2dms_wmts_v1_TOPO05KPHOTO099"/>
        <s v="2dms_wmts_v1_TOPO05KPHOTO100"/>
        <s v="2dms_wmts_v1_TOPO05KPHOTO101"/>
        <s v="2dms_wmts_v1_TOPO05KPHOTO102"/>
        <s v="2dms_wmts_v1_TOPO05KPHOTO103"/>
        <s v="2dms_wmts_v1_TOPO05KPHOTO104"/>
        <s v="2dms_wmts_v1_TOPO05KPHOTO105"/>
        <s v="2dms_wmts_v1_TOPO05KPHOTO106"/>
        <s v="2dms_wmts_v1_TOPO05KPHOTO107"/>
        <s v="2dms_wmts_v1_TOPO05KPHOTO108"/>
        <s v="2dms_wmts_v1_TOPO05KPHOTO109"/>
        <s v="2dms_wmts_v1_TOPO05KPHOTO110"/>
        <s v="2dms_wmts_v1_TOPO05KPHOTO111"/>
        <s v="2dms_wmts_v1_TOPO05KPHOTO112"/>
        <s v="2dms_wmts_v1_TOPO05KPHOTO113"/>
        <s v="2dms_wmts_v1_TOPO05KPHOTO114"/>
        <s v="2dms_wmts_v1_TOPO10KPHOTO"/>
        <s v="2dms_wmts_v1_TOPO10M107"/>
        <s v="2dms_wmts_v1_TOPO10M109"/>
        <s v="2dms_wmts_v1_TOPO10M110"/>
        <s v="2dms_wmts_v1_TOPO10M111"/>
        <s v="2dms_wmts_v1_TOPO10M112"/>
        <s v="2dms_wmts_v1_TOPO10M113"/>
        <s v="2dms_wmts_v1_TOPO10M114"/>
        <s v="2dms_wmts_v1_TOPO25K107"/>
        <s v="2dms_wmts_v1_TOPO25K108"/>
        <s v="2dms_wmts_v1_TOPO25K109"/>
        <s v="2dms_wmts_v1_TOPO25K110"/>
        <s v="2dms_wmts_v1_TOPO25K111"/>
        <s v="2dms_wmts_v1_TOPO25K112"/>
        <s v="2dms_wmts_v1_TOPO25K113"/>
        <s v="2dms_wmts_v1_TOPO25K114"/>
        <s v="2dms_wmts_v1_TOPO50K107"/>
        <s v="2dms_wmts_v1_TOPO50K109"/>
        <s v="2dms_wmts_v1_TOPO50K110"/>
        <s v="2dms_wmts_v1_TOPO50K111"/>
        <s v="2dms_wmts_v1_TOPO50K112"/>
        <s v="2dms_wmts_v1_TOPO50K113"/>
        <s v="2dms_wmts_v1_TOPON1K_B04"/>
        <s v="2dms_wmts_v1_TOPON1K_B11"/>
        <s v="2dms_wmts_v1_TOPON1K_B14"/>
        <s v="2dms_wmts_v1_TOPON1K_B15"/>
        <s v="2dms_wmts_v1_TOPON1K_B20"/>
        <s v="2dms_wmts_v1_TOPON1K_B22"/>
        <s v="2dms_wmts_v1_TOPON1K_B25"/>
        <s v="2dms_wmts_v1_TOPON1K_D03"/>
        <s v="2dms_wmts_v1_TOPON1K_D04"/>
        <s v="2dms_wmts_v1_TOPON1K_D05"/>
        <s v="2dms_wmts_v1_TOPON1K_D08"/>
        <s v="2dms_wmts_v1_TOPON1K_D12"/>
        <s v="2dms_wmts_v1_TOPON1K_E02"/>
        <s v="2dms_wmts_v1_TOPON1K_E03"/>
        <s v="2dms_wmts_v1_TOPON1K_E32"/>
        <s v="2dms_wmts_v1_TOPON1K_G01"/>
        <s v="2dms_wmts_v1_TOPON1K_G04"/>
        <s v="2dms_wmts_v1_TOPON1K_G06"/>
        <s v="2dms_wmts_v1_TOPON1K_G09"/>
        <s v="2dms_wmts_v1_TOPON1K_G11"/>
        <s v="2dms_wmts_v1_TOPON1K_G15"/>
        <s v="2dms_wmts_v1_TOPON1K_G16"/>
        <s v="2dms_wmts_v1_TOPON1K_G17"/>
        <s v="2dms_wmts_v1_TOPON1K_G18"/>
        <s v="2dms_wmts_v1_TOPON1K_G19"/>
        <s v="2dms_wmts_v1_TOPON1K_G20"/>
        <s v="2dms_wmts_v1_TOPON1K_H18"/>
        <s v="2dms_wmts_v1_TOPON1K_H19"/>
        <s v="2dms_wmts_v1_TOPON1K_H20"/>
        <s v="2dms_wmts_v1_TOPON1K_H21"/>
        <s v="2dms_wmts_v1_TOPON1K_H31"/>
        <s v="2dms_wmts_v1_TOPON1K_J01"/>
        <s v="2dms_wmts_v1_TOPON1K_J06"/>
        <s v="2dms_wmts_v1_TOPON1K_J13"/>
        <s v="2dms_wmts_v1_TOPON1K_J16"/>
        <s v="2dms_wmts_v1_TOPON1K_J17"/>
        <s v="2dms_wmts_v1_TOPON1K_K01"/>
        <s v="2dms_wmts_v1_TOPON1K_K02"/>
        <s v="2dms_wmts_v1_TOPON1K_K14"/>
        <s v="2dms_wmts_v1_TOPON1K_M01"/>
        <s v="2dms_wmts_v1_TOPON1K_M02"/>
        <s v="2dms_wmts_v1_TOPON1K_M04"/>
        <s v="2dms_wmts_v1_TOPON1K_N01"/>
        <s v="2dms_wmts_v1_TOPON1K_N02"/>
        <s v="2dms_wmts_v1_TOPON1K_P01"/>
        <s v="2dms_wmts_v1_TOPON1K_P10"/>
        <s v="2dms_wmts_v1_TOPON1K_P12"/>
        <s v="2dms_wmts_v1_TOPON1K_P13"/>
        <s v="2dms_wmts_v1_TOPON1K_P22"/>
        <s v="2dms_wmts_v1_TOPON1K_P24"/>
        <s v="2dms_wmts_v1_TOPON1K_P25"/>
        <s v="2dms_wmts_v1_TOPON1K_Q02"/>
        <s v="2dms_wmts_v1_TOPON1K_Q06"/>
        <s v="2dms_wmts_v1_TOPON1K_Q07"/>
        <s v="2dms_wmts_v1_TOPON1K_Q19"/>
        <s v="2dms_wmts_v1_TOPON1K_Q21"/>
        <s v="2dms_wmts_v1_TOPON1K_Q22"/>
        <s v="2dms_wmts_v1_TOPON1K_Q26"/>
        <s v="2dms_wmts_v1_TOPON1K_Q27"/>
        <s v="2dms_wmts_v1_TOPON1K_Q28"/>
        <s v="2dms_wmts_v1_TOPON1K_Q29"/>
        <s v="2dms_wmts_v1_TOPON1K_Q30"/>
        <s v="2dms_wmts_v1_TOPON1K_Q31"/>
        <s v="2dms_wmts_v1_TOPON1K_T01"/>
        <s v="2dms_wmts_v1_TOPON1K_T03"/>
        <s v="2dms_wmts_v1_TOPON1K_T08"/>
        <s v="2dms_wmts_v1_TOPON1K_T20"/>
        <s v="2dms_wmts_v1_TOPON1K_T30"/>
        <s v="2dms_wmts_v1_TOPON1K_U20"/>
        <s v="2dms_wmts_v1_TOPON1K_V01"/>
        <s v="2dms_wmts_v1_TOPON1K_V02"/>
        <s v="2dms_wmts_v1_TOPON1K_X01"/>
        <s v="2dms_wmts_v1_TOPON1K_X02"/>
        <s v="2dms_wmts_v1_TOPON1K_X03"/>
        <s v="2dms_wmts_v1_TOPON1K_X04"/>
        <s v="2dms_wmts_v1_TOPON1K_X05"/>
        <s v="2dms_wmts_v1_TOPON1K_X06"/>
        <s v="2dms_wmts_v1_TOPON1K_X07"/>
        <s v="2dms_wmts_v1_TOPON1K_X08"/>
        <s v="2dms_wmts_v1_TOPON1KPHOTO_B04"/>
        <s v="2dms_wmts_v1_TOPON1KPHOTO_B11"/>
        <s v="2dms_wmts_v1_TOPON1KPHOTO_B14"/>
        <s v="2dms_wmts_v1_TOPON1KPHOTO_B15"/>
        <s v="2dms_wmts_v1_TOPON1KPHOTO_B20"/>
        <s v="2dms_wmts_v1_TOPON1KPHOTO_B22"/>
        <s v="2dms_wmts_v1_TOPON1KPHOTO_B25"/>
        <s v="2dms_wmts_v1_TOPON1KPHOTO_D03"/>
        <s v="2dms_wmts_v1_TOPON1KPHOTO_D04"/>
        <s v="2dms_wmts_v1_TOPON1KPHOTO_D05"/>
        <s v="2dms_wmts_v1_TOPON1KPHOTO_D08"/>
        <s v="2dms_wmts_v1_TOPON1KPHOTO_D12"/>
        <s v="2dms_wmts_v1_TOPON1KPHOTO_E02"/>
        <s v="2dms_wmts_v1_TOPON1KPHOTO_E03"/>
        <s v="2dms_wmts_v1_TOPON1KPHOTO_E32"/>
        <s v="2dms_wmts_v1_TOPON1KPHOTO_G01"/>
        <s v="2dms_wmts_v1_TOPON1KPHOTO_G04"/>
        <s v="2dms_wmts_v1_TOPON1KPHOTO_G06"/>
        <s v="2dms_wmts_v1_TOPON1KPHOTO_G09"/>
        <s v="2dms_wmts_v1_TOPON1KPHOTO_G11"/>
        <s v="2dms_wmts_v1_TOPON1KPHOTO_G15"/>
        <s v="2dms_wmts_v1_TOPON1KPHOTO_G16"/>
        <s v="2dms_wmts_v1_TOPON1KPHOTO_G17"/>
        <s v="2dms_wmts_v1_TOPON1KPHOTO_G18"/>
        <s v="2dms_wmts_v1_TOPON1KPHOTO_G19"/>
        <s v="2dms_wmts_v1_TOPON1KPHOTO_G20"/>
        <s v="2dms_wmts_v1_TOPON1KPHOTO_H18"/>
        <s v="2dms_wmts_v1_TOPON1KPHOTO_H19"/>
        <s v="2dms_wmts_v1_TOPON1KPHOTO_H20"/>
        <s v="2dms_wmts_v1_TOPON1KPHOTO_H21"/>
        <s v="2dms_wmts_v1_TOPON1KPHOTO_H31"/>
        <s v="2dms_wmts_v1_TOPON1KPHOTO_J01"/>
        <s v="2dms_wmts_v1_TOPON1KPHOTO_J06"/>
        <s v="2dms_wmts_v1_TOPON1KPHOTO_J13"/>
        <s v="2dms_wmts_v1_TOPON1KPHOTO_J16"/>
        <s v="2dms_wmts_v1_TOPON1KPHOTO_J17"/>
        <s v="2dms_wmts_v1_TOPON1KPHOTO_K01"/>
        <s v="2dms_wmts_v1_TOPON1KPHOTO_K02"/>
        <s v="2dms_wmts_v1_TOPON1KPHOTO_K14"/>
        <s v="2dms_wmts_v1_TOPON1KPHOTO_M01"/>
        <s v="2dms_wmts_v1_TOPON1KPHOTO_M02"/>
        <s v="2dms_wmts_v1_TOPON1KPHOTO_M04"/>
        <s v="2dms_wmts_v1_TOPON1KPHOTO_N01"/>
        <s v="2dms_wmts_v1_TOPON1KPHOTO_N02"/>
        <s v="2dms_wmts_v1_TOPON1KPHOTO_P01"/>
        <s v="2dms_wmts_v1_TOPON1KPHOTO_P10"/>
        <s v="2dms_wmts_v1_TOPON1KPHOTO_P12"/>
        <s v="2dms_wmts_v1_TOPON1KPHOTO_P13"/>
        <s v="2dms_wmts_v1_TOPON1KPHOTO_P22"/>
        <s v="2dms_wmts_v1_TOPON1KPHOTO_P24"/>
        <s v="2dms_wmts_v1_TOPON1KPHOTO_P25"/>
        <s v="2dms_wmts_v1_TOPON1KPHOTO_Q02"/>
        <s v="2dms_wmts_v1_TOPON1KPHOTO_Q06"/>
        <s v="2dms_wmts_v1_TOPON1KPHOTO_Q07"/>
        <s v="2dms_wmts_v1_TOPON1KPHOTO_Q19"/>
        <s v="2dms_wmts_v1_TOPON1KPHOTO_Q21"/>
        <s v="2dms_wmts_v1_TOPON1KPHOTO_Q22"/>
        <s v="2dms_wmts_v1_TOPON1KPHOTO_Q26"/>
        <s v="2dms_wmts_v1_TOPON1KPHOTO_Q27"/>
        <s v="2dms_wmts_v1_TOPON1KPHOTO_Q28"/>
        <s v="2dms_wmts_v1_TOPON1KPHOTO_Q29"/>
        <s v="2dms_wmts_v1_TOPON1KPHOTO_Q30"/>
        <s v="2dms_wmts_v1_TOPON1KPHOTO_Q31"/>
        <s v="2dms_wmts_v1_TOPON1KPHOTO_T01"/>
        <s v="2dms_wmts_v1_TOPON1KPHOTO_T03"/>
        <s v="2dms_wmts_v1_TOPON1KPHOTO_T08"/>
        <s v="2dms_wmts_v1_TOPON1KPHOTO_T20"/>
        <s v="2dms_wmts_v1_TOPON1KPHOTO_T30"/>
        <s v="2dms_wmts_v1_TOPON1KPHOTO_U20"/>
        <s v="2dms_wmts_v1_TOPON1KPHOTO_V01"/>
        <s v="2dms_wmts_v1_TOPON1KPHOTO_V02"/>
        <s v="2dms_wmts_v1_TOPON1KPHOTO_X01"/>
        <s v="2dms_wmts_v1_TOPON1KPHOTO_X02"/>
        <s v="2dms_wmts_v1_TOPON1KPHOTO_X03"/>
        <s v="2dms_wmts_v1_TOPON1KPHOTO_X04"/>
        <s v="2dms_wmts_v1_TOPON1KPHOTO_X05"/>
        <s v="2dms_wmts_v1_TOPON1KPHOTO_X06"/>
        <s v="2dms_wmts_v1_TOPON1KPHOTO_X07"/>
        <s v="2dms_wmts_v1_TOPON1KPHOTO_X08"/>
        <s v="2dms_wmts_v1_TOWN"/>
        <s v="2dms_wmts_v1_UAV101D01"/>
        <s v="2dms_wmts_v1_UAV101D02"/>
        <s v="2dms_wmts_v1_UAV101K01"/>
        <s v="2dms_wmts_v1_UAV101K02"/>
        <s v="2dms_wmts_v1_UAV101Q01"/>
        <s v="2dms_wmts_v1_UAV101T01"/>
        <s v="2dms_wmts_v1_UAV101U01"/>
        <s v="2dms_wmts_v1_UAV101U02"/>
        <s v="2dms_wmts_v1_UAV101V01"/>
        <s v="2dms_wmts_v1_UAV102D01"/>
        <s v="2dms_wmts_v1_UAV102D02"/>
        <s v="2dms_wmts_v1_UAV102D03"/>
        <s v="2dms_wmts_v1_UAV102H01"/>
        <s v="2dms_wmts_v1_UAV102M01"/>
        <s v="2dms_wmts_v1_UAV102N01"/>
        <s v="2dms_wmts_v1_UAV102Q01"/>
        <s v="2dms_wmts_v1_UAV102Q02"/>
        <s v="2dms_wmts_v1_UAV102T01"/>
        <s v="2dms_wmts_v1_UAV102T02"/>
        <s v="2dms_wmts_v1_UAV102V01"/>
        <s v="2dms_wmts_v1_UAV103D01"/>
        <s v="2dms_wmts_v1_UAV103D03"/>
        <s v="2dms_wmts_v1_UAV103D04"/>
        <s v="2dms_wmts_v1_UAV103H01"/>
        <s v="2dms_wmts_v1_UAV103K01"/>
        <s v="2dms_wmts_v1_UAV103M01"/>
        <s v="2dms_wmts_v1_UAV103M02"/>
        <s v="2dms_wmts_v1_UAV103M03"/>
        <s v="2dms_wmts_v1_UAV103M04"/>
        <s v="2dms_wmts_v1_UAV103N01"/>
        <s v="2dms_wmts_v1_UAV103P01"/>
        <s v="2dms_wmts_v1_UAV103Q01"/>
        <s v="2dms_wmts_v1_UAV103T01"/>
        <s v="2dms_wmts_v1_UAV104D02"/>
        <s v="2dms_wmts_v1_UAV104D03"/>
        <s v="2dms_wmts_v1_UAV104D04"/>
        <s v="2dms_wmts_v1_UAV104E01"/>
        <s v="2dms_wmts_v1_UAV104E02"/>
        <s v="2dms_wmts_v1_UAV104E03"/>
        <s v="2dms_wmts_v1_UAV104K01"/>
        <s v="2dms_wmts_v1_UAV104K02"/>
        <s v="2dms_wmts_v1_UAV104N01"/>
        <s v="2dms_wmts_v1_UAV104P01"/>
        <s v="2dms_wmts_v1_UAV104T01"/>
        <s v="2dms_wmts_v1_UAV105A01"/>
        <s v="2dms_wmts_v1_UAV105A02"/>
        <s v="2dms_wmts_v1_UAV105A03"/>
        <s v="2dms_wmts_v1_UAV105B01"/>
        <s v="2dms_wmts_v1_UAV105B02"/>
        <s v="2dms_wmts_v1_UAV105B03"/>
        <s v="2dms_wmts_v1_UAV105B04"/>
        <s v="2dms_wmts_v1_UAV105B05"/>
        <s v="2dms_wmts_v1_UAV105B06"/>
        <s v="2dms_wmts_v1_UAV105B07"/>
        <s v="2dms_wmts_v1_UAV105B08"/>
        <s v="2dms_wmts_v1_UAV105B09"/>
        <s v="2dms_wmts_v1_UAV105B10"/>
        <s v="2dms_wmts_v1_UAV105B11"/>
        <s v="2dms_wmts_v1_UAV105B12"/>
        <s v="2dms_wmts_v1_UAV105B13"/>
        <s v="2dms_wmts_v1_UAV105B14"/>
        <s v="2dms_wmts_v1_UAV105B15"/>
        <s v="2dms_wmts_v1_UAV105H01"/>
        <s v="2dms_wmts_v1_UAV105H02"/>
        <s v="2dms_wmts_v1_UAV105H03"/>
        <s v="2dms_wmts_v1_UAV105H04"/>
        <s v="2dms_wmts_v1_UAV105M01"/>
        <s v="2dms_wmts_v1_UAV105M02"/>
        <s v="2dms_wmts_v1_UAV105N01"/>
        <s v="2dms_wmts_v1_UAV105O01"/>
        <s v="2dms_wmts_v1_UAV105P01"/>
        <s v="2dms_wmts_v1_UAV105P02"/>
        <s v="2dms_wmts_v1_UAV105P03"/>
        <s v="2dms_wmts_v1_UAV105U01"/>
        <s v="2dms_wmts_v1_UAV106A01"/>
        <s v="2dms_wmts_v1_UAV106A02"/>
        <s v="2dms_wmts_v1_UAV106A03"/>
        <s v="2dms_wmts_v1_UAV106D01"/>
        <s v="2dms_wmts_v1_UAV106D02"/>
        <s v="2dms_wmts_v1_UAV106D03"/>
        <s v="2dms_wmts_v1_UAV106F01"/>
        <s v="2dms_wmts_v1_UAV106F02"/>
        <s v="2dms_wmts_v1_UAV106H01"/>
        <s v="2dms_wmts_v1_UAV106H02"/>
        <s v="2dms_wmts_v1_UAV106H03"/>
        <s v="2dms_wmts_v1_UAV106I01"/>
        <s v="2dms_wmts_v1_UAV106I02"/>
        <s v="2dms_wmts_v1_UAV106K01"/>
        <s v="2dms_wmts_v1_UAV106M01"/>
        <s v="2dms_wmts_v1_UAV106N01"/>
        <s v="2dms_wmts_v1_UAV106O01"/>
        <s v="2dms_wmts_v1_UAV106P01"/>
        <s v="2dms_wmts_v1_UAV106U01"/>
        <s v="2dms_wmts_v1_UAV107A01"/>
        <s v="2dms_wmts_v1_UAV107A02"/>
        <s v="2dms_wmts_v1_UAV107A03"/>
        <s v="2dms_wmts_v1_UAV107B01"/>
        <s v="2dms_wmts_v1_UAV107B02"/>
        <s v="2dms_wmts_v1_UAV107D01"/>
        <s v="2dms_wmts_v1_UAV107F01"/>
        <s v="2dms_wmts_v1_UAV107G01"/>
        <s v="2dms_wmts_v1_UAV107J01"/>
        <s v="2dms_wmts_v1_UAV107J02"/>
        <s v="2dms_wmts_v1_UAV107K01"/>
        <s v="2dms_wmts_v1_UAV107K02"/>
        <s v="2dms_wmts_v1_UAV107O01"/>
        <s v="2dms_wmts_v1_UAV107T01"/>
        <s v="2dms_wmts_v1_UAV107T02"/>
        <s v="2dms_wmts_v1_UAV108A01"/>
        <s v="2dms_wmts_v1_UAV108A02"/>
        <s v="2dms_wmts_v1_UAV108A03"/>
        <s v="2dms_wmts_v1_UAV108B01"/>
        <s v="2dms_wmts_v1_UAV108D01"/>
        <s v="2dms_wmts_v1_UAV108D02"/>
        <s v="2dms_wmts_v1_UAV108D03"/>
        <s v="2dms_wmts_v1_UAV108D04"/>
        <s v="2dms_wmts_v1_UAV108D05"/>
        <s v="2dms_wmts_v1_UAV108E01"/>
        <s v="2dms_wmts_v1_UAV108G01"/>
        <s v="2dms_wmts_v1_UAV108Q01"/>
        <s v="2dms_wmts_v1_UAV108Q02"/>
        <s v="2dms_wmts_v1_UAV109A01"/>
        <s v="2dms_wmts_v1_UAV109B01"/>
        <s v="2dms_wmts_v1_UAV109D01"/>
        <s v="2dms_wmts_v1_UAV109E01"/>
        <s v="2dms_wmts_v1_UAV109K01"/>
        <s v="2dms_wmts_v1_UAV109K02"/>
        <s v="2dms_wmts_v1_UAV109P01"/>
        <s v="2dms_wmts_v1_UAV109Q01"/>
        <s v="2dms_wmts_v1_UAV109T01"/>
        <s v="2dms_wmts_v1_UAV109T02"/>
        <s v="2dms_wmts_v1_UAV109T03"/>
        <s v="2dms_wmts_v1_UAV109U01"/>
        <s v="2dms_wmts_v1_UAV109U02"/>
        <s v="2dms_wmts_v1_UAV109U03"/>
        <s v="2dms_wmts_v1_UAV110A01"/>
        <s v="2dms_wmts_v1_UAV110B01"/>
        <s v="2dms_wmts_v1_UAV110B02"/>
        <s v="2dms_wmts_v1_UAV110B03"/>
        <s v="2dms_wmts_v1_UAV110D01"/>
        <s v="2dms_wmts_v1_UAV110D02"/>
        <s v="2dms_wmts_v1_UAV110D03"/>
        <s v="2dms_wmts_v1_UAV110D04"/>
        <s v="2dms_wmts_v1_UAV110D05 "/>
        <s v="2dms_wmts_v1_UAV110D06"/>
        <s v="2dms_wmts_v1_UAV110D07 "/>
        <s v="2dms_wmts_v1_UAV110D08 "/>
        <s v="2dms_wmts_v1_UAV110E02"/>
        <s v="2dms_wmts_v1_UAV110N01 "/>
        <s v="2dms_wmts_v1_UAV110Q01"/>
        <s v="2dms_wmts_v1_UAV110Q02"/>
        <s v="2dms_wmts_v1_UAV111A02"/>
        <s v="2dms_wmts_v1_UAV111A03 "/>
        <s v="2dms_wmts_v1_UAV111A04"/>
        <s v="2dms_wmts_v1_UAV111A05"/>
        <s v="2dms_wmts_v1_UAV111A06 "/>
        <s v="2dms_wmts_v1_UAV111D01"/>
        <s v="2dms_wmts_v1_UAV111E01"/>
        <s v="2dms_wmts_v1_UAV111J01"/>
        <s v="2dms_wmts_v1_UAV111J02"/>
        <s v="2dms_wmts_v1_UAV111J03"/>
        <s v="2dms_wmts_v1_UAV111K01"/>
        <s v="2dms_wmts_v1_UAV111K02"/>
        <s v="2dms_wmts_v1_UAV111P01"/>
        <s v="2dms_wmts_v1_UAV111P02"/>
        <s v="2dms_wmts_v1_UAV111Q01"/>
        <s v="2dms_wmts_v1_Village"/>
        <s v="2dms_wmts_v1_Village201910"/>
        <s v="3dms_3dtile_v1_building"/>
        <s v="3dms_3dtile_v1_PBSService"/>
        <s v="3dms_3dtile_v1_road"/>
        <s v="3dms_3dtile_v1_road2nd"/>
        <s v="3dms_bldg3d_v1_BAQueryBuilding"/>
        <s v="3dms_bldg3d_v1_BAQueryBuildingAttributes"/>
        <s v="3dms_bldg3d_v1_BAQueryBuildingDataSource"/>
        <s v="3dms_bldg3d_v1_BAStatus"/>
        <s v="3dms_i3s_v1_building"/>
        <s v="3dms_i3s_v1_PBSService"/>
        <s v="3dms_i3s_v1_road"/>
        <s v="3dms_i3s_v1_road2nd"/>
        <s v="3dms_pubapi_v1_PBSQueryBuilding"/>
        <s v="3dms_pubapi_v1_PBSStatus"/>
        <s v="3dms_pubapi_v1_PBSTRSelectByCircle"/>
        <s v="3dms_pubapi_v1_PBSTRSelectByPoint"/>
        <s v="3dms_pubapi_v1_PBSTRSelectByPolygon"/>
      </sharedItems>
    </cacheField>
    <cacheField name="服務名稱(中)" numFmtId="0">
      <sharedItems count="1358">
        <s v="1/100000 地形圖"/>
        <s v="1/100000地形圖107"/>
        <s v="1/100000地形圖109"/>
        <s v="1/100000地形圖110"/>
        <s v="1/100000地形圖111"/>
        <s v="1/100000地形圖112"/>
        <s v="1/100000地形圖113"/>
        <s v="1/100000地形圖114"/>
        <s v="1/10000像片基本圖"/>
        <s v="1/25000 地形圖"/>
        <s v="1/25000地形圖107"/>
        <s v="1/25000地形圖108"/>
        <s v="1/25000地形圖109"/>
        <s v="1/25000地形圖110"/>
        <s v="1/25000地形圖111"/>
        <s v="1/25000地形圖112"/>
        <s v="1/25000地形圖113"/>
        <s v="1/25000地形圖114"/>
        <s v="1/50000 地形圖"/>
        <s v="1/50000地形圖107"/>
        <s v="1/50000地形圖109"/>
        <s v="1/50000地形圖110"/>
        <s v="1/50000地形圖111"/>
        <s v="1/50000地形圖112"/>
        <s v="1/50000地形圖113"/>
        <s v="1/5000基本地形圖"/>
        <s v="1/5000基本地形圖_100年"/>
        <s v="1/5000基本地形圖_101年"/>
        <s v="1/5000基本地形圖_102年"/>
        <s v="1/5000基本地形圖_103年"/>
        <s v="1/5000基本地形圖_104年"/>
        <s v="1/5000基本地形圖_105年"/>
        <s v="1/5000基本地形圖_106年"/>
        <s v="1/5000基本地形圖_107年"/>
        <s v="1/5000基本地形圖_108年"/>
        <s v="1/5000基本地形圖_109年"/>
        <s v="1/5000基本地形圖_110年"/>
        <s v="1/5000基本地形圖_111年"/>
        <s v="1/5000基本地形圖_84年"/>
        <s v="1/5000基本地形圖_86年"/>
        <s v="1/5000基本地形圖_87年"/>
        <s v="1/5000基本地形圖_88年"/>
        <s v="1/5000基本地形圖_90年"/>
        <s v="1/5000基本地形圖_91年"/>
        <s v="1/5000基本地形圖_92年"/>
        <s v="1/5000基本地形圖_96年"/>
        <s v="1/5000基本地形圖_98年"/>
        <s v="1/5000基本地形圖_99年"/>
        <s v="1/5000像片基本圖100"/>
        <s v="1/5000像片基本圖101"/>
        <s v="1/5000像片基本圖102"/>
        <s v="1/5000像片基本圖103"/>
        <s v="1/5000像片基本圖104"/>
        <s v="1/5000像片基本圖105"/>
        <s v="1/5000像片基本圖106"/>
        <s v="1/5000像片基本圖107"/>
        <s v="1/5000像片基本圖108"/>
        <s v="1/5000像片基本圖109"/>
        <s v="1/5000像片基本圖110"/>
        <s v="1/5000像片基本圖111"/>
        <s v="1/5000像片基本圖112年"/>
        <s v="1/5000像片基本圖113年"/>
        <s v="1/5000像片基本圖114年"/>
        <s v="1/5000像片基本圖65"/>
        <s v="1/5000像片基本圖66"/>
        <s v="1/5000像片基本圖67"/>
        <s v="1/5000像片基本圖68"/>
        <s v="1/5000像片基本圖69"/>
        <s v="1/5000像片基本圖70"/>
        <s v="1/5000像片基本圖71"/>
        <s v="1/5000像片基本圖72"/>
        <s v="1/5000像片基本圖73"/>
        <s v="1/5000像片基本圖74"/>
        <s v="1/5000像片基本圖75"/>
        <s v="1/5000像片基本圖76"/>
        <s v="1/5000像片基本圖78"/>
        <s v="1/5000像片基本圖79"/>
        <s v="1/5000像片基本圖80"/>
        <s v="1/5000像片基本圖81"/>
        <s v="1/5000像片基本圖83"/>
        <s v="1/5000像片基本圖84"/>
        <s v="1/5000像片基本圖86"/>
        <s v="1/5000像片基本圖87"/>
        <s v="1/5000像片基本圖88"/>
        <s v="1/5000像片基本圖89"/>
        <s v="1/5000像片基本圖90"/>
        <s v="1/5000像片基本圖91"/>
        <s v="1/5000像片基本圖92"/>
        <s v="1/5000像片基本圖93"/>
        <s v="1/5000像片基本圖94"/>
        <s v="1/5000像片基本圖95"/>
        <s v="1/5000像片基本圖96"/>
        <s v="1/5000像片基本圖97"/>
        <s v="1/5000像片基本圖98"/>
        <s v="1/5000像片基本圖99"/>
        <s v="1/5000圖幅框"/>
        <s v="103年正射影像圖"/>
        <s v="104年正射影像圖"/>
        <s v="105年正射影像圖"/>
        <s v="106年正射影像圖"/>
        <s v="107年正射影像圖"/>
        <s v="108年正射影像圖"/>
        <s v="109年正射影像圖"/>
        <s v="110年正射影像圖"/>
        <s v="111年正射影像圖"/>
        <s v="112年正射影像圖"/>
        <s v="113年正射影像圖"/>
        <s v="114年正射影像圖"/>
        <s v="三維建物單棟或區域式服務發布3DTiles"/>
        <s v="三維建物單棟或區域式服務發布I3S"/>
        <s v="土壤液化潛勢_中級"/>
        <s v="土壤液化潛勢_初級"/>
        <s v="公有土地地籍圖"/>
        <s v="化縣八卦山脈_八卦山地區_98年"/>
        <s v="正射影像(混合)"/>
        <s v="正射影像圖(92-94)"/>
        <s v="正射影像圖(通用)"/>
        <s v="正射影像圖(通用)_3826"/>
        <s v="各級學校範圍圖"/>
        <s v="地政事務所轄區圖"/>
        <s v="地段外圍圖"/>
        <s v="地段外圍圖(段籍圖)"/>
        <s v="地段外圍圖(段籍圖)(類別)"/>
        <s v="地質敏感區"/>
        <s v="地質敏感區(山崩與地滑)"/>
        <s v="地籍圖"/>
        <s v="地籍圖磚"/>
        <s v="村里界"/>
        <s v="村里界(108年10月)"/>
        <s v="坡向圖"/>
        <s v="坡度圖-30%坡(2003-2005)"/>
        <s v="坡度圖-30%坡(2010-2015)"/>
        <s v="坡度圖-7級(2003-2005)"/>
        <s v="坡度圖-7級(2010-2015)"/>
        <s v="宜蘭縣三星都市計畫"/>
        <s v="宜蘭縣大湖風景特定區"/>
        <s v="宜蘭縣大湖風景特定區計畫_正射影像(112年)"/>
        <s v="宜蘭縣大湖風景特定區計畫(112年)"/>
        <s v="宜蘭縣五峰旗及礁溪都市計畫"/>
        <s v="宜蘭縣五峰旗風景特定區計畫_正射影像(112年)"/>
        <s v="宜蘭縣五峰旗風景特定區計畫(112年)"/>
        <s v="宜蘭縣五結_學進地區都市計畫"/>
        <s v="宜蘭縣五結鄉108年UAS(UAV)"/>
        <s v="宜蘭縣冬山_順安地區都市計畫"/>
        <s v="宜蘭縣冬山(順安地區)都市計畫_正射影像(112年)"/>
        <s v="宜蘭縣冬山(順安地區)都市計畫(112年)"/>
        <s v="宜蘭縣冬山及蘇澳_含新馬_都市計畫"/>
        <s v="宜蘭縣壯圍都市計畫"/>
        <s v="宜蘭縣宜蘭市都市計畫"/>
        <s v="宜蘭縣宜蘭市都市計畫_正射影像(113年)"/>
        <s v="宜蘭縣宜蘭市都市計畫(113年)"/>
        <s v="宜蘭縣東北角暨宜蘭海岸國家風景區"/>
        <s v="宜蘭縣南澳南強都市計畫"/>
        <s v="宜蘭縣南澳南強都市計畫_正射影像(112年)"/>
        <s v="宜蘭縣南澳南強都市計畫(112年)"/>
        <s v="宜蘭縣南澳鄉107年UAS(UAV)"/>
        <s v="宜蘭縣政中心地區都市計畫_正射影像(112年)"/>
        <s v="宜蘭縣政中心地區都市計畫(112年)"/>
        <s v="宜蘭縣員山都市計畫"/>
        <s v="宜蘭縣員山都市計畫_正射影像(112年)"/>
        <s v="宜蘭縣員山都市計畫(112年)"/>
        <s v="宜蘭縣梅花湖風景特定區"/>
        <s v="宜蘭縣梅花湖風景特定區計畫_正射影像(112年)"/>
        <s v="宜蘭縣梅花湖風景特定區計畫(112年)"/>
        <s v="宜蘭縣頭城都市計畫"/>
        <s v="宜蘭縣龍潭湖風景特定區計畫_正射影像(112年)"/>
        <s v="宜蘭縣龍潭湖風景特定區計畫(112年)"/>
        <s v="宜蘭縣龍潭湖特定區及四城地區"/>
        <s v="宜蘭縣礁溪都市計畫_正射影像(112年)"/>
        <s v="宜蘭縣礁溪都市計畫(112年)"/>
        <s v="宜蘭縣羅東都市計畫"/>
        <s v="宜蘭縣蘇澳(新馬地區)都市計畫_正射影像(112年)"/>
        <s v="宜蘭縣蘇澳(新馬地區)都市計畫(112年)"/>
        <s v="空載光達數值地形變異分析圖(0.5M門檻)"/>
        <s v="花蓮縣大花蓮都市計畫_111年"/>
        <s v="花蓮縣玉里都市計畫_106年"/>
        <s v="花蓮縣玉里都市計畫_111年"/>
        <s v="花蓮縣石梯秀姑巒風景特定區_107年"/>
        <s v="花蓮縣光復109年UAS(UAV)"/>
        <s v="花蓮縣光復都市計畫_104年"/>
        <s v="花蓮縣光復都市計畫_109年"/>
        <s v="花蓮縣光復鄉_正射影像(113年)"/>
        <s v="花蓮縣光復鄉(113年)"/>
        <s v="花蓮縣吉安(鄉公所)都市計畫_104年"/>
        <s v="花蓮縣吉安(鄉公所)都市計畫_109年"/>
        <s v="花蓮縣吉安都市計畫_104年"/>
        <s v="花蓮縣吉安都市計畫_109年"/>
        <s v="花蓮縣秀林(和平地區)都市計畫_107年"/>
        <s v="花蓮縣秀林(崇德地區)都市計畫_107年"/>
        <s v="花蓮縣卓溪①109年UAS(UAV)"/>
        <s v="花蓮縣卓溪②109年UAS(UAV)"/>
        <s v="花蓮縣卓溪鄉106年UAS(UAV)"/>
        <s v="花蓮縣東華大學城特定區_105年"/>
        <s v="花蓮縣花蓮市105年UAS(UAV)"/>
        <s v="花蓮縣花蓮吉安新城都市計畫_109年"/>
        <s v="花蓮縣花蓮都市計畫_104年"/>
        <s v="花蓮縣花蓮都市計畫_109年"/>
        <s v="花蓮縣富里都市計畫_106年"/>
        <s v="花蓮縣新城(北埔地區)都市計畫_109年"/>
        <s v="花蓮縣新城北埔都市計畫_104年"/>
        <s v="花蓮縣新城秀林都市計畫_107年"/>
        <s v="花蓮縣瑞穗都市計畫_106年"/>
        <s v="花蓮縣壽豐都市計畫_106年"/>
        <s v="花蓮縣壽豐鄉101年UAS(UAV)"/>
        <s v="花蓮縣壽豐鄉豐平大橋101年UAS(UAV)"/>
        <s v="花蓮縣鳳林都市計畫_104年"/>
        <s v="花蓮縣鳳林都市計畫_109年"/>
        <s v="花蓮縣磯崎風景特定區_107年"/>
        <s v="花蓮縣鯉魚潭風景特定區_106年"/>
        <s v="金門縣_112年"/>
        <s v="金門縣都市計畫"/>
        <s v="非都市土地使用分區圖"/>
        <s v="非都市土地使用地類別圖"/>
        <s v="便利商店(超商)"/>
        <s v="南投縣八卦山脈"/>
        <s v="南投縣中寮都市計畫"/>
        <s v="南投縣中興新村"/>
        <s v="南投縣中興新村(含南內轆地區)都市計畫_正射影像(112年)"/>
        <s v="南投縣中興新村(含南內轆地區)都市計畫(112年)"/>
        <s v="南投縣仁愛鄉(清境農場)103年UAS(UAV)"/>
        <s v="南投縣日月潭特定區"/>
        <s v="南投縣水里都市計畫"/>
        <s v="南投縣名間都市計畫"/>
        <s v="南投縣竹山都市計畫_竹山"/>
        <s v="南投縣竹山都市計畫_延平"/>
        <s v="南投縣竹山鎮105年UAS(UAV)"/>
        <s v="南投縣東埔風景區"/>
        <s v="南投縣南投(含南崗地區)都市計畫_正射影像(112年)"/>
        <s v="南投縣南投(含南崗地區)都市計畫(112年)"/>
        <s v="南投縣南投市(航遙測校正場)102年UAS(UAV)"/>
        <s v="南投縣南投市(航遙測校正場)103年UAS(UAV)"/>
        <s v="南投縣南投市(國3南投交流道)103年UAS(UAV)"/>
        <s v="南投縣南投都市計畫_南投"/>
        <s v="南投縣南投都市計畫_南崗"/>
        <s v="南投縣埔里都市計畫"/>
        <s v="南投縣草屯都市計畫"/>
        <s v="南投縣草屯都市計畫_正射影像(112年)"/>
        <s v="南投縣草屯都市計畫(112年)"/>
        <s v="南投縣草屯鎮(九九峰)106年UAS(UAV)"/>
        <s v="南投縣草屯鎮105年UAS(UAV)"/>
        <s v="南投縣國姓都市計畫"/>
        <s v="南投縣國姓鄉(國6北山交流道)103年UAS(UAV)"/>
        <s v="南投縣魚池都市計畫"/>
        <s v="南投縣鹿谷都市計畫"/>
        <s v="南投縣集集都市計畫"/>
        <s v="南投縣溪頭森林遊樂區"/>
        <s v="南投縣翠峰風景區"/>
        <s v="南投縣鳳凰谷風景區"/>
        <s v="南投縣廬山風景區"/>
        <s v="南投縣霧社都市計畫"/>
        <s v="屏東交流道107年UAS(UAV)"/>
        <s v="屏東東港109年UAS(UAV)"/>
        <s v="屏東海豐外環道107年UAS(UAV)"/>
        <s v="屏東縣九如都市計畫(100年)"/>
        <s v="屏東縣大鵬灣風景特定區(102年)"/>
        <s v="屏東縣小琉球風景特定區(102年)"/>
        <s v="屏東縣內埔都市計畫(100年)"/>
        <s v="屏東縣內埔龍泉都市計畫(100年)"/>
        <s v="屏東縣內埔豐田都市計畫(100年)"/>
        <s v="屏東縣竹田都市計畫(101年)"/>
        <s v="屏東縣車城都市計畫(101年)"/>
        <s v="屏東縣里港都市計畫_正射影像(113年)"/>
        <s v="屏東縣里港都市計畫(100年)"/>
        <s v="屏東縣里港都市計畫(113年)"/>
        <s v="屏東縣里港鄉(國10里港交流道)104年UAS(UAV)"/>
        <s v="屏東縣里港鄉102年UAS(UAV)"/>
        <s v="屏東縣佳冬都市計畫(100年)"/>
        <s v="屏東縣東港都市計畫_正射影像(113年)"/>
        <s v="屏東縣東港都市計畫(113年)"/>
        <s v="屏東縣東港都市計畫(99年)"/>
        <s v="屏東縣枋寮水底寮都市計畫(100年)"/>
        <s v="屏東縣枋寮都市計畫(100年)"/>
        <s v="屏東縣林邊都市計畫(100年)"/>
        <s v="屏東縣林邊都市計畫(99年)"/>
        <s v="屏東縣長治都市計畫(100年)"/>
        <s v="屏東縣南州都市計畫(101年)"/>
        <s v="屏東縣屏東109年UAS(UAV)"/>
        <s v="屏東縣屏東都市計畫_正射影像(112年)"/>
        <s v="屏東縣屏東都市計畫(112年)"/>
        <s v="屏東縣屏東都市計畫(93-94年)"/>
        <s v="屏東縣恆春都市計畫(100年)"/>
        <s v="屏東縣崁頂都市計畫(101年)"/>
        <s v="屏東縣高樹109年UAS(UAV)"/>
        <s v="屏東縣高樹都市計畫(100年)"/>
        <s v="屏東縣新埤都市計畫(100年)"/>
        <s v="屏東縣新園(烏龍地區)都市計畫_正射影像(113年)"/>
        <s v="屏東縣新園(烏龍地區)都市計畫(113年)"/>
        <s v="屏東縣新園烏龍都市計畫(100年)"/>
        <s v="屏東縣新園都市計畫(100年)"/>
        <s v="屏東縣萬丹都市計畫(100年)"/>
        <s v="屏東縣萬巒都市計畫(101年)"/>
        <s v="屏東縣滿州都市計畫(101年)"/>
        <s v="屏東縣滿州鄉101年UAS(UAV)"/>
        <s v="屏東縣滿州鄉102年UAS(UAV)"/>
        <s v="屏東縣潮州都市計畫(98年)"/>
        <s v="屏東縣霧台鄉(台24谷川大橋)103年UAS(UAV)"/>
        <s v="屏東縣麟洛都市計畫(100年)"/>
        <s v="屏東縣鹽埔都市計畫(100年)"/>
        <s v="屏東縣鹽埔漁港特定區(102年)"/>
        <s v="屏東縣鹽埔漁港特定區計畫_正射影像(113年)"/>
        <s v="屏東縣鹽埔漁港特定區計畫(113年)"/>
        <s v="建物模型"/>
        <s v="建物屬性查詢(查詢建物資料來源清單)"/>
        <s v="建物屬性查詢(查詢建物圖層名稱清單)"/>
        <s v="建物屬性查詢(查詢建物屬性)"/>
        <s v="建物屬性查詢(查詢建物屬性API服務狀態)"/>
        <s v="苗栗縣三義都市計畫"/>
        <s v="苗栗縣大湖都市計畫"/>
        <s v="苗栗縣公館都市計畫"/>
        <s v="苗栗縣竹南頭份都市計畫"/>
        <s v="苗栗縣西湖109年UAS(UAV)"/>
        <s v="苗栗縣卓蘭都市計畫"/>
        <s v="苗栗縣卓蘭鎮101年UAS(UAV)"/>
        <s v="苗栗縣明德水庫特定區"/>
        <s v="苗栗縣南庄都市計畫"/>
        <s v="苗栗縣後龍外埔漁港"/>
        <s v="苗栗縣後龍都市計畫"/>
        <s v="苗栗縣後龍鎮101年UAS(UAV)"/>
        <s v="苗栗縣苑裡都市計畫"/>
        <s v="苗栗縣苑裡鎮(火炎山)106年UAS(UAV)"/>
        <s v="苗栗縣苗栗109年UAS(UAV)"/>
        <s v="苗栗縣苗栗高鐵車站"/>
        <s v="苗栗縣苗栗都市計畫"/>
        <s v="苗栗縣苗栗都市計畫_正射影像(112年)"/>
        <s v="苗栗縣苗栗都市計畫(112年)"/>
        <s v="苗栗縣泰安鄉雪見111年UAS(UAV)"/>
        <s v="苗栗縣泰安鄉觀霧111年UAS(UAV)"/>
        <s v="苗栗縣高速公路苗栗交流道附近特定區計畫_正射影像(112年)"/>
        <s v="苗栗縣高速公路苗栗交流道附近特定區計畫(112年)"/>
        <s v="苗栗縣通霄都市計畫"/>
        <s v="苗栗縣通霄鎮107年UAS(UAV)"/>
        <s v="苗栗縣造橋都市計畫"/>
        <s v="苗栗縣造橋鄉(台13甲線)104年UAS(UAV)"/>
        <s v="苗栗縣新竹科學園區"/>
        <s v="苗栗縣獅潭鄉(汶水橋)104年UAS(UAV)"/>
        <s v="苗栗縣銅鑼都市計畫"/>
        <s v="苗栗縣銅鑼鄉(銅鑼科學園區)103年UAS(UAV)"/>
        <s v="苗栗縣銅鑼鎮107年UAS(UAV)"/>
        <s v="苗栗縣頭份交流道"/>
        <s v="苗栗縣頭屋都市計畫"/>
        <s v="苗栗縣頭屋都市計畫_正射影像(112年)"/>
        <s v="苗栗縣頭屋都市計畫(112年)"/>
        <s v="桃園市(中路計畫區段徵收)103年UAS(UAV)"/>
        <s v="桃園市八德(八德地區)都市計畫_111年"/>
        <s v="桃園市八德(大湳地區)都市計畫_111年"/>
        <s v="桃園市八德大湳都市計畫_92年"/>
        <s v="桃園市大園(菓林)都市計畫_107年"/>
        <s v="桃園市大園果林都市計畫_98年"/>
        <s v="桃園市大園都市計畫_108年"/>
        <s v="桃園市大園都市計畫_98年"/>
        <s v="桃園市大溪(埔頂地區)都市計畫_111年"/>
        <s v="桃園市大溪埔頂都市計畫_102年"/>
        <s v="桃園市大溪都市計畫_93年"/>
        <s v="桃園市小烏來風景特定區_100年"/>
        <s v="桃園市中壢(龍岡地區)都市計畫_111年"/>
        <s v="桃園市中壢及內壢交流道特定區_100年"/>
        <s v="桃園市中壢平鎮都市計畫_100年"/>
        <s v="桃園市中壢平鎮都市計畫_111年"/>
        <s v="桃園市中壢過嶺地區等都市計畫_100年"/>
        <s v="桃園市中壢龍岡都市計畫_95年"/>
        <s v="桃園市巴陵達觀山風景特定區_100年"/>
        <s v="桃園市平鎮(山子頂地區)都市計畫_正射影像(112年)"/>
        <s v="桃園市平鎮(山子頂地區)都市計畫(112年)"/>
        <s v="桃園市平鎮山子頂都市計畫_96年"/>
        <s v="桃園市平鎮區105年UAS(UAV)"/>
        <s v="桃園市平鎮區106年UAS(UAV)"/>
        <s v="桃園市石門水庫水源特定區_100年"/>
        <s v="桃園市石門都市計畫_102年"/>
        <s v="桃園市林口特定區_101年"/>
        <s v="桃園市南崁地區都市計畫_107年"/>
        <s v="桃園市南崁都市計畫_94年"/>
        <s v="桃園市桃園市都市計畫_103_105年"/>
        <s v="桃園市航空城_大園南港特定區_98年"/>
        <s v="桃園市高鐵桃園車站特定區_98年"/>
        <s v="桃園市高鐵特定區都市計畫_105年"/>
        <s v="桃園市復興都市計畫_94年"/>
        <s v="桃園市新屋區105年UAS(UAV)"/>
        <s v="桃園市新屋區106年UAS(UAV)"/>
        <s v="桃園市新屋都市計畫_100年"/>
        <s v="桃園市新屋都市計畫_正射影像(113年)"/>
        <s v="桃園市新屋都市計畫(113年)"/>
        <s v="桃園市楊梅都市計畫_102年"/>
        <s v="桃園市楊梅富岡豐野都市計畫_100年"/>
        <s v="桃園市龍壽迴龍都市計畫_98年"/>
        <s v="桃園市龍潭都市計畫_97年"/>
        <s v="桃園市龍潭都市計畫_正射影像(113年)"/>
        <s v="桃園市龍潭都市計畫(113年)"/>
        <s v="桃園市龜山區102年UAS(UAV)"/>
        <s v="桃園市龜山都市計畫_98年"/>
        <s v="桃園市縱貫公路內壢間都市計畫_100年"/>
        <s v="桃園市蘆竹大竹都市計畫_98年"/>
        <s v="桃園市蘆竹區105年UAS(UAV)"/>
        <s v="桃園市觀音(新坡地區)都市計畫_正射影像(113年)"/>
        <s v="桃園市觀音(新坡地區)都市計畫(113年)"/>
        <s v="桃園市觀音草漯都市計畫_100年"/>
        <s v="桃園市觀音區105年UAS(UAV)"/>
        <s v="桃園市觀音區106年UAS(UAV)"/>
        <s v="桃園市觀音都市計畫_94年"/>
        <s v="桃園市觀音都市計畫_正射影像(113年)"/>
        <s v="桃園市觀音都市計畫(113年)"/>
        <s v="桃園市觀音新坡都市計畫_94年"/>
        <s v="桃園航空城特定區_110年"/>
        <s v="消防栓"/>
        <s v="馬太鞍溪事件_2024_2025_災前航照圖"/>
        <s v="馬太鞍溪事件_20250925_航照圖1"/>
        <s v="馬太鞍溪事件_20250925_航照圖2"/>
        <s v="馬太鞍溪事件_20250925_航照圖3"/>
        <s v="馬太鞍溪事件_20250927_航照圖1"/>
        <s v="馬太鞍溪事件_20250927_航照圖2"/>
        <s v="馬太鞍溪事件_20250927_航照圖3"/>
        <s v="馬太鞍溪事件_20250928_航照圖1"/>
        <s v="馬太鞍溪事件_20250928_航照圖2"/>
        <s v="馬太鞍溪事件_20250929_航照圖1"/>
        <s v="馬太鞍溪事件_20250929_航照圖2"/>
        <s v="馬太鞍溪事件_20250930_航照圖1"/>
        <s v="馬太鞍溪事件_20250930_航照圖2"/>
        <s v="馬太鞍溪事件_20251001_航照圖1"/>
        <s v="馬太鞍溪事件_20251002_航照圖1"/>
        <s v="馬太鞍溪事件_20251002_航照圖2"/>
        <s v="馬太鞍溪事件_20251002_航照圖3"/>
        <s v="馬太鞍溪事件_20251003_航照圖1"/>
        <s v="馬太鞍溪事件_20251003_航照圖2"/>
        <s v="馬太鞍溪事件_20251003_航照圖3"/>
        <s v="馬太鞍溪事件_20251003_航照圖4"/>
        <s v="馬太鞍溪事件_20251003_航照圖5"/>
        <s v="馬太鞍溪事件_20251003_航照圖6"/>
        <s v="馬太鞍溪事件_20251003_航照圖7"/>
        <s v="馬太鞍溪事件_20251004_航照圖1"/>
        <s v="馬太鞍溪事件_20251004_航照圖2"/>
        <s v="馬太鞍溪事件_20251004_航照圖3"/>
        <s v="馬太鞍溪事件_20251005_航照圖1"/>
        <s v="馬太鞍溪事件_20251005_航照圖2"/>
        <s v="馬太鞍溪事件_20251005_航照圖3"/>
        <s v="馬太鞍溪事件_20251006_航照圖1"/>
        <s v="馬太鞍溪事件_20251006_航照圖2"/>
        <s v="馬太鞍溪事件_20251006_航照圖3"/>
        <s v="馬太鞍溪事件_20251007_航照圖1"/>
        <s v="馬太鞍溪事件_20251007_航照圖2"/>
        <s v="馬太鞍溪事件_20251007_航照圖3"/>
        <s v="馬太鞍溪事件_20251013_航照圖1"/>
        <s v="馬太鞍溪事件_20251013_航照圖2"/>
        <s v="馬太鞍溪事件_20251013_航照圖3"/>
        <s v="馬太鞍溪事件_20251013_航照圖4"/>
        <s v="馬太鞍溪事件_20251013_航照圖5"/>
        <s v="馬太鞍溪事件_20251013_航照圖6"/>
        <s v="馬太鞍溪事件_20251013_航照圖7"/>
        <s v="馬太鞍溪事件_20251013_航照圖8"/>
        <s v="馬太鞍溪事件_20251013_航照圖9"/>
        <s v="馬太鞍溪事件_20251116_航照圖1"/>
        <s v="馬太鞍溪事件_20251116_航照圖2"/>
        <s v="馬太鞍溪事件_20251116_航照圖3"/>
        <s v="馬太鞍溪事件_20251116_航照圖4"/>
        <s v="馬太鞍溪事件_20251116_航照圖5"/>
        <s v="馬太鞍溪事件_20251116_航照圖6"/>
        <s v="馬太鞍溪事件_20251116_航照圖7"/>
        <s v="馬太鞍溪事件_20251116_航照圖8"/>
        <s v="高雄市(三民.苓雅.前金.新興.前鎮.鹽埕)都市計畫_正射影像(113年)"/>
        <s v="高雄市(三民.苓雅.前金.新興.前鎮.鹽埕)都市計畫(113年)"/>
        <s v="高雄市大坪頂以東地區88以北_93年"/>
        <s v="高雄市大坪頂以東地區88以北_94年"/>
        <s v="高雄市大坪頂以東地區88以南_97年"/>
        <s v="高雄市大坪頂特定區_99年"/>
        <s v="高雄市大社110年UAS(UAV)"/>
        <s v="高雄市大社都市計畫_105年"/>
        <s v="高雄市大寮區108年UAS(UAV)"/>
        <s v="高雄市大寮都市計畫_105年"/>
        <s v="高雄市大樹九曲堂都市計畫_106年"/>
        <s v="高雄市大樹都市計畫_92年"/>
        <s v="高雄市大樹都市計畫區_107年"/>
        <s v="高雄市仁武區(國1鼎金交流道)104年UAS(UAV)"/>
        <s v="高雄市仁武都市計畫_100年"/>
        <s v="高雄市六龜彩蝶谷風景特定區_99年"/>
        <s v="高雄市月世界風景特定區_99年"/>
        <s v="高雄市左營鼓山地區_113年"/>
        <s v="高雄市永安111年UAS(UAV)"/>
        <s v="高雄市甲仙都市計畫_99年"/>
        <s v="高雄市岡山109年UAS(UAV)"/>
        <s v="高雄市岡山交流道特定區_99年"/>
        <s v="高雄市岡山都市計畫_98年"/>
        <s v="高雄市岡山都市計畫_正射影像(112年)"/>
        <s v="高雄市岡山都市計畫(112年)"/>
        <s v="高雄市阿蓮都市計畫_104年"/>
        <s v="高雄市前鎮區(氣爆災點)104年UAS(UAV)"/>
        <s v="高雄市前鎮區(經貿園區65期)104年UAS(UAV)"/>
        <s v="高雄市美濃中正湖風景特定區_101年"/>
        <s v="高雄市美濃都市計畫_105年"/>
        <s v="高雄市茄萣都市計畫及興達港漁業特定區_101年"/>
        <s v="高雄市梓官都市計畫_101年"/>
        <s v="高雄市梓官都市計畫_109年"/>
        <s v="高雄市蚵仔寮近海漁業特定區_101年"/>
        <s v="高雄市都市計畫_102年"/>
        <s v="高雄市鳥松(仁美地區)都市計畫區_108年"/>
        <s v="高雄市鳥松仁美地區都市計畫_101年"/>
        <s v="高雄市湖內含大湖都市計畫_101年"/>
        <s v="高雄市新市鎮特定區_102年"/>
        <s v="高雄市新市鎮特定區_97年"/>
        <s v="高雄市楠梓交流道特定區鳳山厝_106年"/>
        <s v="高雄市楠梓區_113年"/>
        <s v="高雄市路竹都市計畫_106年"/>
        <s v="高雄市旗山都市計畫_99年"/>
        <s v="高雄市鳳山主要計畫_正射影像(113年)"/>
        <s v="高雄市鳳山主要計畫(113年)"/>
        <s v="高雄市鳳山都市計畫_100年"/>
        <s v="高雄市燕巢都市計畫_104年"/>
        <s v="高雄市興達港漁業特定區_109年"/>
        <s v="高雄市彌陀都市計畫_101年"/>
        <s v="國土利用現況調查-1類農業"/>
        <s v="國土利用現況調查-2類森林"/>
        <s v="國土利用現況調查-3類交通"/>
        <s v="國土利用現況調查-4類水利"/>
        <s v="國土利用現況調查-5類建築"/>
        <s v="國土利用現況調查-6類公共"/>
        <s v="國土利用現況調查-7類遊憩"/>
        <s v="國土利用現況調查-8類礦鹽"/>
        <s v="國土利用現況調查-9類其他"/>
        <s v="國土利用現況調查098年更新區"/>
        <s v="國土利用現況調查099年更新區"/>
        <s v="國土利用現況調查100年更新區"/>
        <s v="國土利用現況調查101年更新區"/>
        <s v="國土利用現況調查102年更新區"/>
        <s v="國土利用現況調查103年更新區"/>
        <s v="國土利用現況調查104年更新區"/>
        <s v="國土利用現況調查105年更新區"/>
        <s v="國土利用現況調查106年更新區"/>
        <s v="國土利用現況調查107年更新區"/>
        <s v="國土利用現況調查108年更新區"/>
        <s v="國土利用現況調查109年更新區"/>
        <s v="國土利用現況調查110年更新區"/>
        <s v="國土利用現況調查111年更新區"/>
        <s v="國土利用現況調查112年更新區"/>
        <s v="國土利用現況調查113年更新區"/>
        <s v="國土利用現況調查114年更新區"/>
        <s v="國土利用現況調查成果圖"/>
        <s v="國土利用調查成果圖"/>
        <s v="國土利用調查成果圖82年"/>
        <s v="國土利用調查成果圖95-97年"/>
        <s v="基隆市_111年"/>
        <s v="基隆市都市計畫"/>
        <s v="連江縣都市計畫"/>
        <s v="陰影圖"/>
        <s v="渲染圖"/>
        <s v="等高線圖(2003-2005)"/>
        <s v="等高線圖(2010-2015)"/>
        <s v="鄉鎮區界"/>
        <s v="雲林古坑109年UAS(UAV)"/>
        <s v="雲林縣二崙都市計畫_正射影像(112年)"/>
        <s v="雲林縣二崙都市計畫(112年)"/>
        <s v="雲林縣二崙都市計畫(99年)"/>
        <s v="雲林縣口湖111年UAS(UAV)"/>
        <s v="雲林縣大埤都市計畫(97年)"/>
        <s v="雲林縣元長都市計畫(100年)"/>
        <s v="雲林縣斗六(含大潭地區)都市計畫_正射影像(113年)"/>
        <s v="雲林縣斗六(含大潭地區)都市計畫(113年)"/>
        <s v="雲林縣斗六市(湖山水庫)106年UAS(UAV)"/>
        <s v="雲林縣斗六都市計畫(99年)"/>
        <s v="雲林縣斗六嘉東地區特定區計畫_正射影像(112年)"/>
        <s v="雲林縣斗六嘉東地區特定區計畫(112年)"/>
        <s v="雲林縣斗六嘉東特定區(97年)"/>
        <s v="雲林縣斗南交流道特定區(98年)"/>
        <s v="雲林縣古坑都市計畫(100年)"/>
        <s v="雲林縣古坑鄉(崁頭厝)105年UAS(UAV)"/>
        <s v="雲林縣古坑鄉(國3古坑交流道)105年UAS(UAV)"/>
        <s v="雲林縣古坑鄉(樟湖)105年UAS(UAV)"/>
        <s v="雲林縣台西都市計畫(97年)"/>
        <s v="雲林縣四湖都市計畫(97年)"/>
        <s v="雲林縣東勢都市計畫(97年)"/>
        <s v="雲林縣林內都市計畫(97年)"/>
        <s v="雲林縣虎尾鎮(雲林高鐵站)104年UAS(UAV)"/>
        <s v="雲林縣草嶺都市計畫(97年)"/>
        <s v="雲林縣高速鐵路雲林車站特定區計畫_正射影像(113年)"/>
        <s v="雲林縣高速鐵路雲林車站特定區計畫(113年)"/>
        <s v="雲林縣崙背都市計畫_正射影像(112年)"/>
        <s v="雲林縣崙背都市計畫(112年)"/>
        <s v="雲林縣崙背都市計畫(97年)"/>
        <s v="雲林縣麥寮鄉(台61線)103年UAS(UAV)"/>
        <s v="雲林縣莿桐都市計畫_正射影像(113年)"/>
        <s v="雲林縣莿桐都市計畫(113年)"/>
        <s v="雲林縣箔子寮漁港特定區(97年)"/>
        <s v="雲林縣箔子寮漁港特定區計畫_正射影像(112年)"/>
        <s v="雲林縣箔子寮漁港特定區計畫(112年)"/>
        <s v="雲林縣臺西111年UAS(UAV)"/>
        <s v="雲林縣褒忠都市計畫(97年)"/>
        <s v="新北市八里區(107年修測)"/>
        <s v="新北市八里都市計畫_101年"/>
        <s v="新北市三芝區(109年修測)"/>
        <s v="新北市三芝都市計畫_104年"/>
        <s v="新北市三重區(110年修測)"/>
        <s v="新北市三重都市計畫_103年"/>
        <s v="新北市三峽區(111年修測)"/>
        <s v="新北市三峽都市計畫_105年"/>
        <s v="新北市土城區(109年修測)"/>
        <s v="新北市土城都市計畫_103年"/>
        <s v="新北市中和區(112年修測)"/>
        <s v="新北市中和都市計畫_104年"/>
        <s v="新北市五股區(107年修測)"/>
        <s v="新北市五股都市計畫_101年"/>
        <s v="新北市平溪區(110年修測)"/>
        <s v="新北市平溪都市計畫_103年"/>
        <s v="新北市永和區(112年修測)"/>
        <s v="新北市永和都市計畫_104年"/>
        <s v="新北市石門區(110年修測)"/>
        <s v="新北市石門都市計畫_104年"/>
        <s v="新北市石碇區(110年修測)"/>
        <s v="新北市石碇都市計畫_104年"/>
        <s v="新北市汐止區(108年修測)"/>
        <s v="新北市汐止都市計畫_102年"/>
        <s v="新北市坪林區(110年修測)"/>
        <s v="新北市坪林都市計畫_104年"/>
        <s v="新北市板橋區(109年修測)"/>
        <s v="新北市板橋都市計畫_103年"/>
        <s v="新北市林口區(107年修測)"/>
        <s v="新北市林口都市計畫_101年"/>
        <s v="新北市金山區(109年修測)"/>
        <s v="新北市金山區107年UAS(UAV)"/>
        <s v="新北市金山都市計畫_103年"/>
        <s v="新北市泰山都市計畫_105年"/>
        <s v="新北市烏來區(112年修測)"/>
        <s v="新北市烏來區106年UAS(UAV)"/>
        <s v="新北市烏來都市計畫_104年"/>
        <s v="新北市貢寮區(108年修測)"/>
        <s v="新北市貢寮區(112年修測)"/>
        <s v="新北市貢寮都市計畫_100年"/>
        <s v="新北市淡水區(110年修測)"/>
        <s v="新北市淡水都市計畫_105年"/>
        <s v="新北市深坑區(110年修測)"/>
        <s v="新北市深坑都市計畫_104年"/>
        <s v="新北市新店區(111年修測)"/>
        <s v="新北市新店都市計畫_104年"/>
        <s v="新北市新莊都市計畫_105年"/>
        <s v="新北市瑞芳區(111年修測)"/>
        <s v="新北市瑞芳都市計畫_105年"/>
        <s v="新北市萬里區(109年修測)"/>
        <s v="新北市萬里都市計畫_103年"/>
        <s v="新北市樹林區(國3樹林交流道)106年UAS(UAV)"/>
        <s v="新北市樹林都市計畫_105年"/>
        <s v="新北市雙溪區(112年修測)"/>
        <s v="新北市雙溪都市計畫_103年"/>
        <s v="新北市蘆洲區(110年修測)"/>
        <s v="新北市蘆洲都市計畫_104年"/>
        <s v="新北市鶯歌區(111年修測)"/>
        <s v="新北市鶯歌都市計畫_105年"/>
        <s v="新竹市107年UAS(UAV)"/>
        <s v="新竹市北區_110年"/>
        <s v="新竹市北區_113年"/>
        <s v="新竹市北區(台68線)106年UAS(UAV)"/>
        <s v="新竹市東區_109年"/>
        <s v="新竹市東區_112年"/>
        <s v="新竹市香山區_108年"/>
        <s v="新竹市香山區_111年"/>
        <s v="新竹市香山區105年UAS(UAV)"/>
        <s v="新竹市都市計畫"/>
        <s v="新竹科學工業園區特定區計畫(竹東部分)_正射影像(112年)"/>
        <s v="新竹科學工業園區特定區計畫(竹東部分)(112年)"/>
        <s v="新竹科學工業園區特定區計畫(寶山部分)_正射影像(112年)"/>
        <s v="新竹科學工業園區特定區計畫(寶山部分)(112年)"/>
        <s v="新竹縣北埔都市計畫"/>
        <s v="新竹縣尖石鄉107年UAS(UAV)"/>
        <s v="新竹縣竹北(含斗崙地區)都市計畫_正射影像(113年)"/>
        <s v="新竹縣竹北(含斗崙地區)都市計畫(113年)"/>
        <s v="新竹縣竹北①111年UAS(UAV)"/>
        <s v="新竹縣竹北②111年UAS(UAV)"/>
        <s v="新竹縣竹北③111年UAS(UAV)"/>
        <s v="新竹縣竹北都市計畫"/>
        <s v="新竹縣竹東都市計畫"/>
        <s v="新竹縣芎林都市計畫"/>
        <s v="新竹縣高速鐵路新竹車站特定區計畫_正射影像(113年)"/>
        <s v="新竹縣高速鐵路新竹車站特定區計畫(113年)"/>
        <s v="新竹縣湖口都市計畫"/>
        <s v="新竹縣新埔都市計畫"/>
        <s v="新竹縣新豐山崎仔都市計畫"/>
        <s v="新竹縣新豐鄉107年UAS(UAV)"/>
        <s v="新竹縣新豐新庄子都市計畫"/>
        <s v="新竹縣關西都市計畫"/>
        <s v="新竹縣寶山都市計畫"/>
        <s v="新竹縣寶山都市計畫_正射影像(112年)"/>
        <s v="新竹縣寶山都市計畫(112年)"/>
        <s v="道路_地形貼合版"/>
        <s v="道路_原始成果版"/>
        <s v="道路路網"/>
        <s v="嘉義市西區(湖子內區段徵收)106年UAS(UAV)"/>
        <s v="嘉義市東區(彌陀路拓寬工程)106年UAS(UAV)"/>
        <s v="嘉義縣大林都市計畫_97年"/>
        <s v="嘉義縣大林都市計畫_正射影像(112年)"/>
        <s v="嘉義縣大林都市計畫(112年)"/>
        <s v="嘉義縣大林鎮(大埔美重劃區)103年UAS(UAV)"/>
        <s v="嘉義縣大埔都市計畫_101年"/>
        <s v="嘉義縣中正大學特定區_97年"/>
        <s v="嘉義縣中埔和睦地區都市計畫_99年"/>
        <s v="嘉義縣中埔都市計畫_99年"/>
        <s v="嘉義縣中崙風景特定區_99年"/>
        <s v="嘉義縣仁義潭風景特定區_99年"/>
        <s v="嘉義縣仁義潭風景特定區計畫(嘉義縣部分)_正射影像(112年)"/>
        <s v="嘉義縣仁義潭風景特定區計畫(嘉義縣部分)(112年)"/>
        <s v="嘉義縣六腳蒜頭都市計畫_98年"/>
        <s v="嘉義縣太保都市計畫_94年"/>
        <s v="嘉義縣太保都市計畫_正射影像(112年)"/>
        <s v="嘉義縣太保都市計畫(112年)"/>
        <s v="嘉義縣水上北回都市計畫_98年"/>
        <s v="嘉義縣水上都市計畫_98年"/>
        <s v="嘉義縣布袋都市計畫_98年"/>
        <s v="嘉義縣布袋鎮①108年UAS(UAV)"/>
        <s v="嘉義縣布袋鎮②108年UAS(UAV)"/>
        <s v="嘉義縣民雄(頭橋地區)都市計畫_正射影像(113年)"/>
        <s v="嘉義縣民雄(頭橋地區)都市計畫(113年)"/>
        <s v="嘉義縣民雄111年UAS(UAV)"/>
        <s v="嘉義縣民雄都市計畫_97年"/>
        <s v="嘉義縣民雄都市計畫_正射影像(113年)"/>
        <s v="嘉義縣民雄都市計畫(113年)"/>
        <s v="嘉義縣民雄頭橋地區都市計畫_97年"/>
        <s v="嘉義縣朴子110年UAS(UAV)"/>
        <s v="嘉義縣朴子都市計畫_94年"/>
        <s v="嘉義縣竹崎都市計畫_99年"/>
        <s v="嘉義縣竹崎鄉_正射影像(113年)"/>
        <s v="嘉義縣竹崎鄉(113年)"/>
        <s v="嘉義縣吳鳳廟特定區_99年"/>
        <s v="嘉義縣吳鳳廟特定區計畫_正射影像(112年)"/>
        <s v="嘉義縣吳鳳廟特定區計畫(112年)"/>
        <s v="嘉義縣東石鄉101年UAS(UAV)"/>
        <s v="嘉義縣治都市計畫_正射影像(112年)"/>
        <s v="嘉義縣治都市計畫(112年)"/>
        <s v="嘉義縣阿里山風景區_110年"/>
        <s v="嘉義縣阿里山鄉_正射影像(113年)"/>
        <s v="嘉義縣阿里山鄉(113年)"/>
        <s v="嘉義縣阿里山鄉102年UAS(UAV)"/>
        <s v="嘉義縣阿里山達邦地區都市計畫_99年"/>
        <s v="嘉義縣高速公路嘉義交流道特定區_98年"/>
        <s v="嘉義縣高速鐵路嘉義車站特定區_94年"/>
        <s v="嘉義縣高速鐵路嘉義車站特定區計畫_正射影像(112年)"/>
        <s v="嘉義縣高速鐵路嘉義車站特定區計畫(112年)"/>
        <s v="嘉義縣國立中正大學特定區主要計畫_正射影像(112年)"/>
        <s v="嘉義縣國立中正大學特定區主要計畫(112年)"/>
        <s v="嘉義縣梅山都市計畫_97年"/>
        <s v="嘉義縣鹿草110年UAS(UAV)"/>
        <s v="嘉義縣鹿草都市計畫_99年"/>
        <s v="嘉義縣曾文水庫特定區_101年"/>
        <s v="嘉義縣番路鄉_正射影像(113年)"/>
        <s v="嘉義縣番路鄉(113年)"/>
        <s v="嘉義縣番路鄉102年UAS(UAV)"/>
        <s v="嘉義縣新港都市計畫_97年"/>
        <s v="嘉義縣溪口都市計畫_97年"/>
        <s v="嘉義縣義竹109年UAS(UAV)"/>
        <s v="嘉義縣義竹都市計畫_98年"/>
        <s v="嘉義縣縣治所在地都市計畫_94年"/>
        <s v="圖資服務雲 WMS服務"/>
        <s v="彰化縣二水都市計畫_97年"/>
        <s v="彰化縣二林都市計畫_97年"/>
        <s v="彰化縣八卦山脈_文山橫山地區_98年"/>
        <s v="彰化縣八卦山脈_各區道路_98年"/>
        <s v="彰化縣八卦山脈_百果山地區_98年"/>
        <s v="彰化縣八卦山脈_東源地區_98年"/>
        <s v="彰化縣八卦山脈_松柏嶺地區_98年"/>
        <s v="彰化縣大村都市計畫_97年"/>
        <s v="彰化縣大城都市計畫_98年"/>
        <s v="彰化縣大城鄉(152線)106年UAS(UAV)"/>
        <s v="彰化縣北斗都市計畫_97年"/>
        <s v="彰化縣永靖都市計畫_98年"/>
        <s v="彰化縣田中都市計畫_100年"/>
        <s v="彰化縣田中鎮105年UAS(UAV)"/>
        <s v="彰化縣田尾都市計畫_102年"/>
        <s v="彰化縣田尾園藝特定區_102年"/>
        <s v="彰化縣竹塘都市計畫_98年"/>
        <s v="彰化縣伸港都市計畫_97年"/>
        <s v="彰化縣伸港鄉102年UAS(UAV)"/>
        <s v="彰化縣秀水都市計畫_98年"/>
        <s v="彰化縣和美都市計畫_102年"/>
        <s v="彰化縣社頭都市計畫_97年"/>
        <s v="彰化縣芬園都市計畫_98年"/>
        <s v="彰化縣花壇都市計畫_98年"/>
        <s v="彰化縣芳苑110年UAS(UAV)"/>
        <s v="彰化縣芳苑都市計畫_98年"/>
        <s v="彰化縣芳苑鄉(台61線)104年UAS(UAV)"/>
        <s v="彰化縣員林都市計畫_99年"/>
        <s v="彰化縣埔心都市計畫_100年"/>
        <s v="彰化縣埔鹽都市計畫_97年"/>
        <s v="彰化縣高速公路員林交流道_98年"/>
        <s v="彰化縣高速公路彰化交流道_100年"/>
        <s v="彰化縣高速公路彰化交流道附近特定區計畫_正射影像(112年)"/>
        <s v="彰化縣高速公路彰化交流道附近特定區計畫(112年)"/>
        <s v="彰化縣高速鐵路彰化車站_102年"/>
        <s v="彰化縣埤頭都市計畫_100年"/>
        <s v="彰化縣鹿港福興都市計畫_97年"/>
        <s v="彰化縣溪州都市計畫_97年"/>
        <s v="彰化縣溪湖都市計畫_102年"/>
        <s v="彰化縣彰化市都市計畫_99年"/>
        <s v="彰化縣彰化都市計畫_正射影像(112年)"/>
        <s v="彰化縣彰化都市計畫(112年)"/>
        <s v="彰化縣福興鄉(台61線)103年UAS(UAV)"/>
        <s v="彰化縣線西都市計畫_97年"/>
        <s v="臺中市(大慶車站)105年UAS(UAV)"/>
        <s v="臺中市(太平新光地區)105年UAS(UAV)"/>
        <s v="臺中市(太原車站)105年UAS(UAV)"/>
        <s v="臺中市(水湳機場)105年UAS(UAV)"/>
        <s v="臺中市(台中車站)105年UAS(UAV)"/>
        <s v="臺中市(振興路以南)105年UAS(UAV)"/>
        <s v="臺中市(捷運北屯機廠)105年UAS(UAV)"/>
        <s v="臺中市(第13期)105年UAS(UAV)"/>
        <s v="臺中市(第14期)105年UAS(UAV)"/>
        <s v="臺中市(廍子地區)105年UAS(UAV)"/>
        <s v="臺中市(潭子車站)105年UAS(UAV)"/>
        <s v="臺中市(豐原車站)105年UAS(UAV)"/>
        <s v="臺中市大甲(日南)都市計畫(100年)"/>
        <s v="臺中市大甲都市計畫(98年)"/>
        <s v="臺中市大安區107年UAS(UAV)"/>
        <s v="臺中市大安都市計畫(100年)"/>
        <s v="臺中市大肚都市計畫_正射影像(112年)"/>
        <s v="臺中市大肚都市計畫(112年)"/>
        <s v="臺中市大肚都市計畫(98年)"/>
        <s v="臺中市大里(草湖)都市計畫(91年)"/>
        <s v="臺中市大里都市計畫(96年)"/>
        <s v="臺中市大雅都市計畫(97年)"/>
        <s v="臺中市中部科學工業園區(93年)"/>
        <s v="臺中市中部科學工業園區台中基地附近特定區計畫_正射影像(113年)"/>
        <s v="臺中市中部科學工業園區台中基地附近特定區計畫(113年)"/>
        <s v="臺中市太平(新光)都市計畫(90年)"/>
        <s v="臺中市太平區(坪林森林公園)105年UAS(UAV)"/>
        <s v="臺中市太平都市計畫(90年)"/>
        <s v="臺中市日南都市計畫(100年)"/>
        <s v="臺中市王田交流道特定區(95年)"/>
        <s v="臺中市外埔都市計畫(100年)"/>
        <s v="臺中市石岡水壩都市計畫(91年)"/>
        <s v="臺中市后里區108年UAS(UAV)"/>
        <s v="臺中市后里都市計畫(98年)"/>
        <s v="臺中市谷關都市計畫(96年)"/>
        <s v="臺中市和平區107年UAS(UAV)"/>
        <s v="臺中市東勢都市計畫_正射影像(112年)"/>
        <s v="臺中市東勢都市計畫(112年)"/>
        <s v="臺中市東勢都市計畫(91年)"/>
        <s v="臺中市烏日110年UAS(UAV) "/>
        <s v="臺中市烏日都市計畫_正射影像(112年)"/>
        <s v="臺中市烏日都市計畫(112年)"/>
        <s v="臺中市烏日都市計畫(91年)"/>
        <s v="臺中市高速公路王田交流道附近特定區計畫_正射影像(112年)"/>
        <s v="臺中市高速公路王田交流道附近特定區計畫(112年)"/>
        <s v="臺中市梧棲109年UAS(UAV)"/>
        <s v="臺中市梨山(松茂)都市計畫(96年)"/>
        <s v="臺中市梨山(新佳陽)都市計畫(96年)"/>
        <s v="臺中市梨山(環山)都市計畫(96年)"/>
        <s v="臺中市梨山都市計畫(96年)"/>
        <s v="臺中市都市計畫(107年修測)"/>
        <s v="臺中市新社都市計畫_正射影像(112年)"/>
        <s v="臺中市新社都市計畫(112年)"/>
        <s v="臺中市新社都市計畫(91年)"/>
        <s v="臺中市臺中港特定區(95年)"/>
        <s v="臺中市潭子區105年UAS(UAV)"/>
        <s v="臺中市潭子都市計畫(94年)"/>
        <s v="臺中市龍井區及彰化縣伸港鄉107年UAS(UAV)"/>
        <s v="臺中市豐原110年UAS(UAV)"/>
        <s v="臺中市豐原交流道特定區(94年)"/>
        <s v="臺中市豐原都市計畫(94年)"/>
        <s v="臺中市豐潭雅神都市計畫_正射影像(113年)"/>
        <s v="臺中市豐潭雅神都市計畫(113年)"/>
        <s v="臺中市霧峰110年UAS(UAV) "/>
        <s v="臺中市霧峰區105年UAS(UAV)"/>
        <s v="臺中市霧峰都市計畫(92年)"/>
        <s v="臺中市鐵砧山風景特定區(93年)"/>
        <s v="臺中市鐵砧山都市計畫(93年)"/>
        <s v="臺北市士林(大油坑)105年UAS(UAV)"/>
        <s v="臺北市士林(大油坑)106年UAS(UAV)"/>
        <s v="臺北市士林(馬槽)105年UAS(UAV)"/>
        <s v="臺北市士林109年UAS(UAV)"/>
        <s v="臺北市士林110年UAS(UAV)"/>
        <s v="臺北市士林區大油坑107年UAS(UAV)"/>
        <s v="臺北市士林區大油坑108年UAS(UAV)"/>
        <s v="臺北市士林區馬槽106年UAS(UAV)"/>
        <s v="臺北市士林區馬槽107年UAS(UAV)"/>
        <s v="臺北市士林區馬槽108年UAS(UAV)"/>
        <s v="臺北市士林區夢幻湖107年UAS(UAV)"/>
        <s v="臺北市士林區夢幻湖108年UAS(UAV)"/>
        <s v="臺北市士林陽明山大油坑111年UAS(UAV)"/>
        <s v="臺北市士林陽明山馬槽111年UAS(UAV)"/>
        <s v="臺北市士林陽明山夢幻湖111年UAS(UAV)"/>
        <s v="臺北市北投(夢幻湖)105年UAS(UAV)"/>
        <s v="臺北市北投(夢幻湖)106年UAS(UAV)"/>
        <s v="臺北市北投111年UAS(UAV)"/>
        <s v="臺北市萬華111年UAS(UAV)"/>
        <s v="臺東市都市計畫(100年)"/>
        <s v="臺東縣八仙洞風景特定區(101年)"/>
        <s v="臺東縣三仙台風景特定區(101年)"/>
        <s v="臺東縣大武都市計畫(99年)"/>
        <s v="臺東縣大武鄉102年UAS(UAV)"/>
        <s v="臺東縣小野柳風景特定區(94年)"/>
        <s v="臺東縣太麻里都市計畫(98年)"/>
        <s v="臺東縣太麻里鄉101年UAS(UAV)"/>
        <s v="臺東縣成功都市計畫(98年)"/>
        <s v="臺東縣池上都市計畫(99年)"/>
        <s v="臺東縣卑南南王都市計畫(99年)"/>
        <s v="臺東縣東河都市計畫(100年)"/>
        <s v="臺東縣知本溫泉風景特定區(100年)"/>
        <s v="臺東縣知本鐵路車站地區(94年)"/>
        <s v="臺東縣長濱都市計畫(101年)"/>
        <s v="臺東縣紅葉溫泉風景特定區(99年)"/>
        <s v="臺東縣鹿野都市計畫(98年)"/>
        <s v="臺東縣綠島_111年"/>
        <s v="臺東縣綠島風景特定區(101年)"/>
        <s v="臺東縣臺東市都市計畫_正射影像(112年)"/>
        <s v="臺東縣臺東市都市計畫(112年)"/>
        <s v="臺東縣臺東鐵路新站附近地區都市計畫_正射影像(113年)"/>
        <s v="臺東縣臺東鐵路新站附近地區都市計畫(113年)"/>
        <s v="臺東縣關山都市計畫(98年)"/>
        <s v="臺東縣蘭嶼(109年)"/>
        <s v="臺東鐵路新站附近地區(94年)"/>
        <s v="臺南市七股區(台61線)102年UAS(UAV)"/>
        <s v="臺南市七股區(台江國家公園)102年UAS(UAV)"/>
        <s v="臺南市七股區(西濱公路)106年UAS(UAV)"/>
        <s v="臺南市七股區108年UAS(UAV)"/>
        <s v="臺南市下營區108年UAS(UAV)"/>
        <s v="臺南市永康110年②UAS(UAV) "/>
        <s v="臺南市永康110年UAS(UAV)"/>
        <s v="臺南市永康區108年UAS(UAV)"/>
        <s v="臺南市永康區都市計畫97年"/>
        <s v="臺南市安平區104年UAS(UAV)"/>
        <s v="臺南市安南110年UAS(UAV)"/>
        <s v="臺南市安南區(九份子重劃區)104年UAS(UAV)"/>
        <s v="臺南市安南區(台江大道)106年UAS(UAV)"/>
        <s v="臺南市安南區101年UAS(UAV)"/>
        <s v="臺南市安南區102年UAS(UAV)"/>
        <s v="臺南市安南區108年UAS(UAV)"/>
        <s v="臺南市西港110年UAS(UAV)"/>
        <s v="臺南市佳里都市計畫_正射影像(113年)"/>
        <s v="臺南市佳里都市計畫(113年)"/>
        <s v="臺南市東區(平實市地重劃)106年UAS(UAV)"/>
        <s v="臺南市南化110年UAS(UAV)"/>
        <s v="臺南市南區(台86線)103年UAS(UAV)"/>
        <s v="臺南市柳營111年UAS(UAV)"/>
        <s v="臺南市柳營都市計畫_正射影像(112年)"/>
        <s v="臺南市柳營都市計畫(112年)"/>
        <s v="臺南市高速公路新營交流道附近特定區計畫_正射影像(112年)"/>
        <s v="臺南市高速公路新營交流道附近特定區計畫(112年)"/>
        <s v="臺南市都市計畫100年"/>
        <s v="臺南市都市計畫101年"/>
        <s v="臺南市都市計畫102年"/>
        <s v="臺南市都市計畫93年"/>
        <s v="臺南市都市計畫99年"/>
        <s v="臺南市麻豆109年UAS(UAV)"/>
        <s v="臺南市麻豆區103年UAS(UAV)"/>
        <s v="臺南市新市區(新和重劃區)104年UAS(UAV)"/>
        <s v="臺南市新營110年UAS(UAV)"/>
        <s v="臺南市新營都市計畫_正射影像(112年)"/>
        <s v="臺南市新營都市計畫(112年)"/>
        <s v="臺南市學甲區(台84線)103年UAS(UAV)"/>
        <s v="臺南市歸仁110年①UAS(UAV) "/>
        <s v="臺南市歸仁110年②UAS(UAV) "/>
        <s v="臺南市關廟區101年UAS(UAV)"/>
        <s v="臺南市關廟區108年UAS(UAV)"/>
        <s v="臺南市鹽水都市計畫_正射影像(112年)"/>
        <s v="臺南市鹽水都市計畫(112年)"/>
        <s v="臺灣通用電子地圖"/>
        <s v="臺灣通用電子地圖 WFS"/>
        <s v="臺灣通用電子地圖_3825"/>
        <s v="臺灣通用電子地圖_3826"/>
        <s v="臺灣通用電子地圖(不含等高線)OpenData, 最大比例尺一萬八千分之一"/>
        <s v="臺灣通用電子地圖(灰階)"/>
        <s v="臺灣通用電子地圖(套疊等高線)OpenData, 最大比例尺一萬八千分之一"/>
        <s v="臺灣通用電子地圖(高DPI字)"/>
        <s v="臺灣通用電子地圖(無文字)"/>
        <s v="臺灣通用電子地圖(無等高線)"/>
        <s v="臺灣通用電子地圖(無等高線及門牌)"/>
        <s v="臺灣通用電子地圖(無鐵公路)"/>
        <s v="臺灣通用電子地圖(等高線+門牌)"/>
        <s v="臺灣通用電子地圖(等高線無門牌)"/>
        <s v="臺灣通用電子地圖(新)"/>
        <s v="臺灣通用電子地圖分棟建物框"/>
        <s v="臺灣通用電子地圖加值分棟建物框"/>
        <s v="臺灣通用電子地圖透明"/>
        <s v="臺灣通用電子地圖透明(無門牌)"/>
        <s v="澎湖南方四島國家公園_104年"/>
        <s v="澎湖縣二崁都市計畫_104年"/>
        <s v="澎湖縣二崁傳統聚落特定區計畫_正射影像(112年)"/>
        <s v="澎湖縣二崁傳統聚落特定區計畫(112年)"/>
        <s v="澎湖縣白沙通梁地區都市計畫_正射影像(112年)"/>
        <s v="澎湖縣白沙通梁地區都市計畫(112年)"/>
        <s v="澎湖縣白沙鄉都市計畫_99年"/>
        <s v="澎湖縣西嶼西台古蹟特定區計畫_正射影像(112年)"/>
        <s v="澎湖縣西嶼西台古蹟特定區計畫(112年)"/>
        <s v="澎湖縣西嶼西台都市計畫_95年"/>
        <s v="澎湖縣林投風景特定區計畫_正射影像(112年)"/>
        <s v="澎湖縣林投風景特定區計畫(112年)"/>
        <s v="澎湖縣林投都市計畫_96年"/>
        <s v="澎湖縣花宅聚落_103年"/>
        <s v="澎湖縣馬公市_正射影像(113年)"/>
        <s v="澎湖縣馬公市(113年)"/>
        <s v="澎湖縣馬公都市計畫_97-98年"/>
        <s v="澎湖縣馬公都市計畫_正射影像(112年)"/>
        <s v="澎湖縣馬公都市計畫(112年)"/>
        <s v="澎湖縣湖西鄉_正射影像(113年)"/>
        <s v="澎湖縣湖西鄉(113年)"/>
        <s v="澎湖縣鎖港地區都市計畫_正射影像(112年)"/>
        <s v="澎湖縣鎖港地區都市計畫(112年)"/>
        <s v="澎湖縣鎖港都市計畫_104年"/>
        <s v="墾丁國家公園_104年"/>
        <s v="縣市界"/>
        <s v="避難收容所"/>
        <s v="轉檔服務(三維建物單棟或區域式發布服務API服務狀態)"/>
        <s v="轉檔服務(三維建物單棟或區域式發布服務API圖層名稱清單)"/>
        <s v="轉檔服務(多邊形選取建物轉檔)"/>
        <s v="轉檔服務(指定點位選取建物轉檔)"/>
        <s v="轉檔服務(圓形範圍選取建物轉檔)"/>
        <s v="蘭嶼鄉正射影像109年"/>
        <s v="ADR_001模糊檢索(含通用電子地圖地標、門牌等)"/>
        <s v="ADR_002門牌服務–模糊檢索"/>
        <s v="ADR_003門牌服務–路名清單_宜蘭縣"/>
        <s v="ADR_003門牌服務–路名清單_花蓮縣"/>
        <s v="ADR_003門牌服務–路名清單_金門縣"/>
        <s v="ADR_003門牌服務–路名清單_南投縣"/>
        <s v="ADR_003門牌服務–路名清單_屏東縣"/>
        <s v="ADR_003門牌服務–路名清單_苗栗縣"/>
        <s v="ADR_003門牌服務–路名清單_桃園市"/>
        <s v="ADR_003門牌服務–路名清單_高雄市"/>
        <s v="ADR_003門牌服務–路名清單_基隆市"/>
        <s v="ADR_003門牌服務–路名清單_連江縣"/>
        <s v="ADR_003門牌服務–路名清單_雲林縣"/>
        <s v="ADR_003門牌服務–路名清單_新北市"/>
        <s v="ADR_003門牌服務–路名清單_新竹市"/>
        <s v="ADR_003門牌服務–路名清單_新竹縣"/>
        <s v="ADR_003門牌服務–路名清單_嘉義市"/>
        <s v="ADR_003門牌服務–路名清單_嘉義縣"/>
        <s v="ADR_003門牌服務–路名清單_彰化縣"/>
        <s v="ADR_003門牌服務–路名清單_臺中市"/>
        <s v="ADR_003門牌服務–路名清單_臺北市"/>
        <s v="ADR_003門牌服務–路名清單_臺東縣"/>
        <s v="ADR_003門牌服務–路名清單_臺南市"/>
        <s v="ADR_003門牌服務–路名清單_澎湖縣"/>
        <s v="ADR_004門牌服務–巷弄清單_宜蘭縣"/>
        <s v="ADR_004門牌服務–巷弄清單_花蓮縣"/>
        <s v="ADR_004門牌服務–巷弄清單_金門縣"/>
        <s v="ADR_004門牌服務–巷弄清單_南投縣"/>
        <s v="ADR_004門牌服務–巷弄清單_屏東縣"/>
        <s v="ADR_004門牌服務–巷弄清單_苗栗縣"/>
        <s v="ADR_004門牌服務–巷弄清單_桃園市"/>
        <s v="ADR_004門牌服務–巷弄清單_高雄市"/>
        <s v="ADR_004門牌服務–巷弄清單_基隆市"/>
        <s v="ADR_004門牌服務–巷弄清單_連江縣"/>
        <s v="ADR_004門牌服務–巷弄清單_雲林縣"/>
        <s v="ADR_004門牌服務–巷弄清單_新北市"/>
        <s v="ADR_004門牌服務–巷弄清單_新竹市"/>
        <s v="ADR_004門牌服務–巷弄清單_新竹縣"/>
        <s v="ADR_004門牌服務–巷弄清單_嘉義市"/>
        <s v="ADR_004門牌服務–巷弄清單_嘉義縣"/>
        <s v="ADR_004門牌服務–巷弄清單_彰化縣"/>
        <s v="ADR_004門牌服務–巷弄清單_臺中市"/>
        <s v="ADR_004門牌服務–巷弄清單_臺北市"/>
        <s v="ADR_004門牌服務–巷弄清單_臺東縣"/>
        <s v="ADR_004門牌服務–巷弄清單_臺南市"/>
        <s v="ADR_004門牌服務–巷弄清單_澎湖縣"/>
        <s v="ADR_005坐標回傳門牌服務－點坐標"/>
        <s v="ADR_006坐標回傳門牌服務－線坐標"/>
        <s v="ADR_007坐標回傳門牌服務－面坐標"/>
        <s v="AED位置"/>
        <s v="CAD_001指定地號查詢位置_宜蘭縣"/>
        <s v="CAD_001指定地號查詢位置_花蓮縣"/>
        <s v="CAD_001指定地號查詢位置_金門縣"/>
        <s v="CAD_001指定地號查詢位置_南投縣"/>
        <s v="CAD_001指定地號查詢位置_屏東縣"/>
        <s v="CAD_001指定地號查詢位置_苗栗縣"/>
        <s v="CAD_001指定地號查詢位置_桃園市"/>
        <s v="CAD_001指定地號查詢位置_高雄市"/>
        <s v="CAD_001指定地號查詢位置_基隆市"/>
        <s v="CAD_001指定地號查詢位置_連江縣"/>
        <s v="CAD_001指定地號查詢位置_雲林縣"/>
        <s v="CAD_001指定地號查詢位置_新北市"/>
        <s v="CAD_001指定地號查詢位置_新竹市"/>
        <s v="CAD_001指定地號查詢位置_新竹縣"/>
        <s v="CAD_001指定地號查詢位置_嘉義市"/>
        <s v="CAD_001指定地號查詢位置_嘉義縣"/>
        <s v="CAD_001指定地號查詢位置_彰化縣"/>
        <s v="CAD_001指定地號查詢位置_臺中市"/>
        <s v="CAD_001指定地號查詢位置_臺北市"/>
        <s v="CAD_001指定地號查詢位置_臺東縣"/>
        <s v="CAD_001指定地號查詢位置_臺南市"/>
        <s v="CAD_001指定地號查詢位置_澎湖縣"/>
        <s v="CAD_002指定地號查詢著色圖_宜蘭縣"/>
        <s v="CAD_002指定地號查詢著色圖_花蓮縣"/>
        <s v="CAD_002指定地號查詢著色圖_金門縣"/>
        <s v="CAD_002指定地號查詢著色圖_南投縣"/>
        <s v="CAD_002指定地號查詢著色圖_屏東縣"/>
        <s v="CAD_002指定地號查詢著色圖_苗栗縣"/>
        <s v="CAD_002指定地號查詢著色圖_桃園市"/>
        <s v="CAD_002指定地號查詢著色圖_高雄市"/>
        <s v="CAD_002指定地號查詢著色圖_基隆市"/>
        <s v="CAD_002指定地號查詢著色圖_連江縣"/>
        <s v="CAD_002指定地號查詢著色圖_雲林縣"/>
        <s v="CAD_002指定地號查詢著色圖_新北市"/>
        <s v="CAD_002指定地號查詢著色圖_新竹市"/>
        <s v="CAD_002指定地號查詢著色圖_新竹縣"/>
        <s v="CAD_002指定地號查詢著色圖_嘉義市"/>
        <s v="CAD_002指定地號查詢著色圖_嘉義縣"/>
        <s v="CAD_002指定地號查詢著色圖_彰化縣"/>
        <s v="CAD_002指定地號查詢著色圖_臺中市"/>
        <s v="CAD_002指定地號查詢著色圖_臺北市"/>
        <s v="CAD_002指定地號查詢著色圖_臺東縣"/>
        <s v="CAD_002指定地號查詢著色圖_臺南市"/>
        <s v="CAD_002指定地號查詢著色圖_澎湖縣"/>
        <s v="CAD_003單點坐標查詢地段號"/>
        <s v="CAD_004地段號查詢坐標_宜蘭縣"/>
        <s v="CAD_004地段號查詢坐標_花蓮縣"/>
        <s v="CAD_004地段號查詢坐標_金門縣"/>
        <s v="CAD_004地段號查詢坐標_南投縣"/>
        <s v="CAD_004地段號查詢坐標_屏東縣"/>
        <s v="CAD_004地段號查詢坐標_苗栗縣"/>
        <s v="CAD_004地段號查詢坐標_桃園市"/>
        <s v="CAD_004地段號查詢坐標_高雄市"/>
        <s v="CAD_004地段號查詢坐標_基隆市"/>
        <s v="CAD_004地段號查詢坐標_連江縣"/>
        <s v="CAD_004地段號查詢坐標_雲林縣"/>
        <s v="CAD_004地段號查詢坐標_新北市"/>
        <s v="CAD_004地段號查詢坐標_新竹市"/>
        <s v="CAD_004地段號查詢坐標_新竹縣"/>
        <s v="CAD_004地段號查詢坐標_嘉義市"/>
        <s v="CAD_004地段號查詢坐標_嘉義縣"/>
        <s v="CAD_004地段號查詢坐標_彰化縣"/>
        <s v="CAD_004地段號查詢坐標_臺中市"/>
        <s v="CAD_004地段號查詢坐標_臺北市"/>
        <s v="CAD_004地段號查詢坐標_臺東縣"/>
        <s v="CAD_004地段號查詢坐標_臺南市"/>
        <s v="CAD_004地段號查詢坐標_澎湖縣"/>
        <s v="CAD_005坐標查地段號"/>
        <s v="CAD_006地段號宗地定位"/>
        <s v="CAD_007指定地號查詢土地標示資料_宜蘭縣"/>
        <s v="CAD_007指定地號查詢土地標示資料_花蓮縣"/>
        <s v="CAD_007指定地號查詢土地標示資料_金門縣"/>
        <s v="CAD_007指定地號查詢土地標示資料_南投縣"/>
        <s v="CAD_007指定地號查詢土地標示資料_屏東縣"/>
        <s v="CAD_007指定地號查詢土地標示資料_苗栗縣"/>
        <s v="CAD_007指定地號查詢土地標示資料_桃園市"/>
        <s v="CAD_007指定地號查詢土地標示資料_高雄市"/>
        <s v="CAD_007指定地號查詢土地標示資料_基隆市"/>
        <s v="CAD_007指定地號查詢土地標示資料_連江縣"/>
        <s v="CAD_007指定地號查詢土地標示資料_雲林縣"/>
        <s v="CAD_007指定地號查詢土地標示資料_新北市"/>
        <s v="CAD_007指定地號查詢土地標示資料_新竹市"/>
        <s v="CAD_007指定地號查詢土地標示資料_新竹縣"/>
        <s v="CAD_007指定地號查詢土地標示資料_嘉義市"/>
        <s v="CAD_007指定地號查詢土地標示資料_嘉義縣"/>
        <s v="CAD_007指定地號查詢土地標示資料_彰化縣"/>
        <s v="CAD_007指定地號查詢土地標示資料_臺中市"/>
        <s v="CAD_007指定地號查詢土地標示資料_臺北市"/>
        <s v="CAD_007指定地號查詢土地標示資料_臺東縣"/>
        <s v="CAD_007指定地號查詢土地標示資料_臺南市"/>
        <s v="CAD_007指定地號查詢土地標示資料_澎湖縣"/>
        <s v="CAD_008地段代碼回傳測繪段籍屬性_宜蘭縣"/>
        <s v="CAD_008地段代碼回傳測繪段籍屬性_花蓮縣"/>
        <s v="CAD_008地段代碼回傳測繪段籍屬性_金門縣"/>
        <s v="CAD_008地段代碼回傳測繪段籍屬性_南投縣"/>
        <s v="CAD_008地段代碼回傳測繪段籍屬性_屏東縣"/>
        <s v="CAD_008地段代碼回傳測繪段籍屬性_苗栗縣"/>
        <s v="CAD_008地段代碼回傳測繪段籍屬性_桃園市"/>
        <s v="CAD_008地段代碼回傳測繪段籍屬性_高雄市"/>
        <s v="CAD_008地段代碼回傳測繪段籍屬性_基隆市"/>
        <s v="CAD_008地段代碼回傳測繪段籍屬性_連江縣"/>
        <s v="CAD_008地段代碼回傳測繪段籍屬性_雲林縣"/>
        <s v="CAD_008地段代碼回傳測繪段籍屬性_新北市"/>
        <s v="CAD_008地段代碼回傳測繪段籍屬性_新竹市"/>
        <s v="CAD_008地段代碼回傳測繪段籍屬性_新竹縣"/>
        <s v="CAD_008地段代碼回傳測繪段籍屬性_嘉義市"/>
        <s v="CAD_008地段代碼回傳測繪段籍屬性_嘉義縣"/>
        <s v="CAD_008地段代碼回傳測繪段籍屬性_彰化縣"/>
        <s v="CAD_008地段代碼回傳測繪段籍屬性_臺中市"/>
        <s v="CAD_008地段代碼回傳測繪段籍屬性_臺北市"/>
        <s v="CAD_008地段代碼回傳測繪段籍屬性_臺東縣"/>
        <s v="CAD_008地段代碼回傳測繪段籍屬性_臺南市"/>
        <s v="CAD_008地段代碼回傳測繪段籍屬性_澎湖縣"/>
        <s v="CAD_009指定門牌查詢地號"/>
        <s v="CAD_010指定範圍查詢地號清單"/>
        <s v="CAD_011指定地號查詢建號列表與土地權利人類別_宜蘭縣"/>
        <s v="CAD_011指定地號查詢建號列表與土地權利人類別_花蓮縣"/>
        <s v="CAD_011指定地號查詢建號列表與土地權利人類別_金門縣"/>
        <s v="CAD_011指定地號查詢建號列表與土地權利人類別_南投縣"/>
        <s v="CAD_011指定地號查詢建號列表與土地權利人類別_屏東縣"/>
        <s v="CAD_011指定地號查詢建號列表與土地權利人類別_苗栗縣"/>
        <s v="CAD_011指定地號查詢建號列表與土地權利人類別_桃園市"/>
        <s v="CAD_011指定地號查詢建號列表與土地權利人類別_高雄市"/>
        <s v="CAD_011指定地號查詢建號列表與土地權利人類別_基隆市"/>
        <s v="CAD_011指定地號查詢建號列表與土地權利人類別_連江縣"/>
        <s v="CAD_011指定地號查詢建號列表與土地權利人類別_雲林縣"/>
        <s v="CAD_011指定地號查詢建號列表與土地權利人類別_新北市"/>
        <s v="CAD_011指定地號查詢建號列表與土地權利人類別_新竹市"/>
        <s v="CAD_011指定地號查詢建號列表與土地權利人類別_新竹縣"/>
        <s v="CAD_011指定地號查詢建號列表與土地權利人類別_嘉義市"/>
        <s v="CAD_011指定地號查詢建號列表與土地權利人類別_嘉義縣"/>
        <s v="CAD_011指定地號查詢建號列表與土地權利人類別_彰化縣"/>
        <s v="CAD_011指定地號查詢建號列表與土地權利人類別_臺中市"/>
        <s v="CAD_011指定地號查詢建號列表與土地權利人類別_臺北市"/>
        <s v="CAD_011指定地號查詢建號列表與土地權利人類別_臺東縣"/>
        <s v="CAD_011指定地號查詢建號列表與土地權利人類別_臺南市"/>
        <s v="CAD_011指定地號查詢建號列表與土地權利人類別_澎湖縣"/>
        <s v="COM_001單點坐標回傳行政區(地政)"/>
        <s v="COM_002單點坐標回傳行政區(戶政)"/>
        <s v="COM_003代碼服務－縣市清單"/>
        <s v="COM_004代碼服務－鄉鎮市區清單(地政)_宜蘭縣"/>
        <s v="COM_004代碼服務－鄉鎮市區清單(地政)_花蓮縣"/>
        <s v="COM_004代碼服務－鄉鎮市區清單(地政)_金門縣"/>
        <s v="COM_004代碼服務－鄉鎮市區清單(地政)_南投縣"/>
        <s v="COM_004代碼服務－鄉鎮市區清單(地政)_屏東縣"/>
        <s v="COM_004代碼服務－鄉鎮市區清單(地政)_苗栗縣"/>
        <s v="COM_004代碼服務－鄉鎮市區清單(地政)_桃園市"/>
        <s v="COM_004代碼服務－鄉鎮市區清單(地政)_高雄市"/>
        <s v="COM_004代碼服務－鄉鎮市區清單(地政)_基隆市"/>
        <s v="COM_004代碼服務－鄉鎮市區清單(地政)_連江縣"/>
        <s v="COM_004代碼服務－鄉鎮市區清單(地政)_雲林縣"/>
        <s v="COM_004代碼服務－鄉鎮市區清單(地政)_新北市"/>
        <s v="COM_004代碼服務－鄉鎮市區清單(地政)_新竹市"/>
        <s v="COM_004代碼服務－鄉鎮市區清單(地政)_新竹縣"/>
        <s v="COM_004代碼服務－鄉鎮市區清單(地政)_嘉義市"/>
        <s v="COM_004代碼服務－鄉鎮市區清單(地政)_嘉義縣"/>
        <s v="COM_004代碼服務－鄉鎮市區清單(地政)_彰化縣"/>
        <s v="COM_004代碼服務－鄉鎮市區清單(地政)_臺中市"/>
        <s v="COM_004代碼服務－鄉鎮市區清單(地政)_臺北市"/>
        <s v="COM_004代碼服務－鄉鎮市區清單(地政)_臺東縣"/>
        <s v="COM_004代碼服務－鄉鎮市區清單(地政)_臺南市"/>
        <s v="COM_004代碼服務－鄉鎮市區清單(地政)_澎湖縣"/>
        <s v="COM_005代碼服務－鄉鎮市區清單(戶政)_宜蘭縣"/>
        <s v="COM_005代碼服務－鄉鎮市區清單(戶政)_花蓮縣"/>
        <s v="COM_005代碼服務－鄉鎮市區清單(戶政)_金門縣"/>
        <s v="COM_005代碼服務－鄉鎮市區清單(戶政)_南投縣"/>
        <s v="COM_005代碼服務－鄉鎮市區清單(戶政)_屏東縣"/>
        <s v="COM_005代碼服務－鄉鎮市區清單(戶政)_苗栗縣"/>
        <s v="COM_005代碼服務－鄉鎮市區清單(戶政)_桃園市"/>
        <s v="COM_005代碼服務－鄉鎮市區清單(戶政)_高雄市"/>
        <s v="COM_005代碼服務－鄉鎮市區清單(戶政)_基隆市"/>
        <s v="COM_005代碼服務－鄉鎮市區清單(戶政)_連江縣"/>
        <s v="COM_005代碼服務－鄉鎮市區清單(戶政)_雲林縣"/>
        <s v="COM_005代碼服務－鄉鎮市區清單(戶政)_新北市"/>
        <s v="COM_005代碼服務－鄉鎮市區清單(戶政)_新竹市"/>
        <s v="COM_005代碼服務－鄉鎮市區清單(戶政)_新竹縣"/>
        <s v="COM_005代碼服務－鄉鎮市區清單(戶政)_嘉義市"/>
        <s v="COM_005代碼服務－鄉鎮市區清單(戶政)_嘉義縣"/>
        <s v="COM_005代碼服務－鄉鎮市區清單(戶政)_彰化縣"/>
        <s v="COM_005代碼服務－鄉鎮市區清單(戶政)_臺中市"/>
        <s v="COM_005代碼服務－鄉鎮市區清單(戶政)_臺北市"/>
        <s v="COM_005代碼服務－鄉鎮市區清單(戶政)_臺東縣"/>
        <s v="COM_005代碼服務－鄉鎮市區清單(戶政)_臺南市"/>
        <s v="COM_005代碼服務－鄉鎮市區清單(戶政)_澎湖縣"/>
        <s v="COM_006代碼服務－地段清單_宜蘭縣"/>
        <s v="COM_006代碼服務－地段清單_花蓮縣"/>
        <s v="COM_006代碼服務－地段清單_金門縣"/>
        <s v="COM_006代碼服務－地段清單_南投縣"/>
        <s v="COM_006代碼服務－地段清單_屏東縣"/>
        <s v="COM_006代碼服務－地段清單_苗栗縣"/>
        <s v="COM_006代碼服務－地段清單_桃園市"/>
        <s v="COM_006代碼服務－地段清單_高雄市"/>
        <s v="COM_006代碼服務－地段清單_基隆市"/>
        <s v="COM_006代碼服務－地段清單_連江縣"/>
        <s v="COM_006代碼服務－地段清單_雲林縣"/>
        <s v="COM_006代碼服務－地段清單_新北市"/>
        <s v="COM_006代碼服務－地段清單_新竹市"/>
        <s v="COM_006代碼服務－地段清單_新竹縣"/>
        <s v="COM_006代碼服務－地段清單_嘉義市"/>
        <s v="COM_006代碼服務－地段清單_嘉義縣"/>
        <s v="COM_006代碼服務－地段清單_彰化縣"/>
        <s v="COM_006代碼服務－地段清單_臺中市"/>
        <s v="COM_006代碼服務－地段清單_臺北市"/>
        <s v="COM_006代碼服務－地段清單_臺東縣"/>
        <s v="COM_006代碼服務－地段清單_臺南市"/>
        <s v="COM_006代碼服務－地段清單_澎湖縣"/>
        <s v="COM_007代碼服務－村里清單_宜蘭縣"/>
        <s v="COM_007代碼服務－村里清單_花蓮縣"/>
        <s v="COM_007代碼服務－村里清單_金門縣"/>
        <s v="COM_007代碼服務－村里清單_南投縣"/>
        <s v="COM_007代碼服務－村里清單_屏東縣"/>
        <s v="COM_007代碼服務－村里清單_苗栗縣"/>
        <s v="COM_007代碼服務－村里清單_桃園市"/>
        <s v="COM_007代碼服務－村里清單_高雄市"/>
        <s v="COM_007代碼服務－村里清單_基隆市"/>
        <s v="COM_007代碼服務－村里清單_連江縣"/>
        <s v="COM_007代碼服務－村里清單_雲林縣"/>
        <s v="COM_007代碼服務－村里清單_新北市"/>
        <s v="COM_007代碼服務－村里清單_新竹市"/>
        <s v="COM_007代碼服務－村里清單_新竹縣"/>
        <s v="COM_007代碼服務－村里清單_嘉義市"/>
        <s v="COM_007代碼服務－村里清單_嘉義縣"/>
        <s v="COM_007代碼服務－村里清單_彰化縣"/>
        <s v="COM_007代碼服務－村里清單_臺中市"/>
        <s v="COM_007代碼服務－村里清單_臺北市"/>
        <s v="COM_007代碼服務－村里清單_臺東縣"/>
        <s v="COM_007代碼服務－村里清單_臺南市"/>
        <s v="COM_007代碼服務－村里清單_澎湖縣"/>
        <s v="COM_008代碼服務－村里圖形(戶政)"/>
        <s v="COM_009查詢文教設施"/>
        <s v="COM_010查詢醫療設施"/>
        <s v="COM_011查詢工商設施"/>
        <s v="COM_012查詢鄰避設施"/>
        <s v="COM_014交叉路口-鄉鎮市區查詢道路列表_宜蘭縣"/>
        <s v="COM_014交叉路口-鄉鎮市區查詢道路列表_花蓮縣"/>
        <s v="COM_014交叉路口-鄉鎮市區查詢道路列表_金門縣"/>
        <s v="COM_014交叉路口-鄉鎮市區查詢道路列表_南投縣"/>
        <s v="COM_014交叉路口-鄉鎮市區查詢道路列表_屏東縣"/>
        <s v="COM_014交叉路口-鄉鎮市區查詢道路列表_苗栗縣"/>
        <s v="COM_014交叉路口-鄉鎮市區查詢道路列表_桃園市"/>
        <s v="COM_014交叉路口-鄉鎮市區查詢道路列表_高雄市"/>
        <s v="COM_014交叉路口-鄉鎮市區查詢道路列表_基隆市"/>
        <s v="COM_014交叉路口-鄉鎮市區查詢道路列表_連江縣"/>
        <s v="COM_014交叉路口-鄉鎮市區查詢道路列表_雲林縣"/>
        <s v="COM_014交叉路口-鄉鎮市區查詢道路列表_新北市"/>
        <s v="COM_014交叉路口-鄉鎮市區查詢道路列表_新竹市"/>
        <s v="COM_014交叉路口-鄉鎮市區查詢道路列表_新竹縣"/>
        <s v="COM_014交叉路口-鄉鎮市區查詢道路列表_嘉義市"/>
        <s v="COM_014交叉路口-鄉鎮市區查詢道路列表_嘉義縣"/>
        <s v="COM_014交叉路口-鄉鎮市區查詢道路列表_彰化縣"/>
        <s v="COM_014交叉路口-鄉鎮市區查詢道路列表_臺中市"/>
        <s v="COM_014交叉路口-鄉鎮市區查詢道路列表_臺北市"/>
        <s v="COM_014交叉路口-鄉鎮市區查詢道路列表_臺東縣"/>
        <s v="COM_014交叉路口-鄉鎮市區查詢道路列表_臺南市"/>
        <s v="COM_014交叉路口-鄉鎮市區查詢道路列表_澎湖縣"/>
        <s v="COM_015 交叉路口-縣市道路關鍵字查詢主要道路-宜蘭縣"/>
        <s v="COM_015 交叉路口-縣市道路關鍵字查詢主要道路-花蓮縣"/>
        <s v="COM_015 交叉路口-縣市道路關鍵字查詢主要道路-金門縣"/>
        <s v="COM_015 交叉路口-縣市道路關鍵字查詢主要道路-南投縣"/>
        <s v="COM_015 交叉路口-縣市道路關鍵字查詢主要道路-屏東縣"/>
        <s v="COM_015 交叉路口-縣市道路關鍵字查詢主要道路-苗栗縣"/>
        <s v="COM_015 交叉路口-縣市道路關鍵字查詢主要道路-桃園市"/>
        <s v="COM_015 交叉路口-縣市道路關鍵字查詢主要道路-高雄市"/>
        <s v="COM_015 交叉路口-縣市道路關鍵字查詢主要道路-基隆市"/>
        <s v="COM_015 交叉路口-縣市道路關鍵字查詢主要道路-連江縣"/>
        <s v="COM_015 交叉路口-縣市道路關鍵字查詢主要道路-雲林縣"/>
        <s v="COM_015 交叉路口-縣市道路關鍵字查詢主要道路-新北市"/>
        <s v="COM_015 交叉路口-縣市道路關鍵字查詢主要道路-新竹市"/>
        <s v="COM_015 交叉路口-縣市道路關鍵字查詢主要道路-新竹縣"/>
        <s v="COM_015 交叉路口-縣市道路關鍵字查詢主要道路-嘉義市"/>
        <s v="COM_015 交叉路口-縣市道路關鍵字查詢主要道路-嘉義縣"/>
        <s v="COM_015 交叉路口-縣市道路關鍵字查詢主要道路-彰化縣"/>
        <s v="COM_015 交叉路口-縣市道路關鍵字查詢主要道路-臺中市"/>
        <s v="COM_015 交叉路口-縣市道路關鍵字查詢主要道路-臺北市"/>
        <s v="COM_015 交叉路口-縣市道路關鍵字查詢主要道路-臺東縣"/>
        <s v="COM_015 交叉路口-縣市道路關鍵字查詢主要道路-臺南市"/>
        <s v="COM_015 交叉路口-縣市道路關鍵字查詢主要道路-澎湖縣"/>
        <s v="COM_016交叉路口-鄉鎮市區路名查詢交叉路口及坐標_宜蘭縣"/>
        <s v="COM_016交叉路口-鄉鎮市區路名查詢交叉路口及坐標_花蓮縣"/>
        <s v="COM_016交叉路口-鄉鎮市區路名查詢交叉路口及坐標_金門縣"/>
        <s v="COM_016交叉路口-鄉鎮市區路名查詢交叉路口及坐標_南投縣"/>
        <s v="COM_016交叉路口-鄉鎮市區路名查詢交叉路口及坐標_屏東縣"/>
        <s v="COM_016交叉路口-鄉鎮市區路名查詢交叉路口及坐標_苗栗縣"/>
        <s v="COM_016交叉路口-鄉鎮市區路名查詢交叉路口及坐標_桃園市"/>
        <s v="COM_016交叉路口-鄉鎮市區路名查詢交叉路口及坐標_高雄市"/>
        <s v="COM_016交叉路口-鄉鎮市區路名查詢交叉路口及坐標_基隆市"/>
        <s v="COM_016交叉路口-鄉鎮市區路名查詢交叉路口及坐標_連江縣"/>
        <s v="COM_016交叉路口-鄉鎮市區路名查詢交叉路口及坐標_雲林縣"/>
        <s v="COM_016交叉路口-鄉鎮市區路名查詢交叉路口及坐標_新北市"/>
        <s v="COM_016交叉路口-鄉鎮市區路名查詢交叉路口及坐標_新竹市"/>
        <s v="COM_016交叉路口-鄉鎮市區路名查詢交叉路口及坐標_新竹縣"/>
        <s v="COM_016交叉路口-鄉鎮市區路名查詢交叉路口及坐標_嘉義市"/>
        <s v="COM_016交叉路口-鄉鎮市區路名查詢交叉路口及坐標_嘉義縣"/>
        <s v="COM_016交叉路口-鄉鎮市區路名查詢交叉路口及坐標_彰化縣"/>
        <s v="COM_016交叉路口-鄉鎮市區路名查詢交叉路口及坐標_臺中市"/>
        <s v="COM_016交叉路口-鄉鎮市區路名查詢交叉路口及坐標_臺北市"/>
        <s v="COM_016交叉路口-鄉鎮市區路名查詢交叉路口及坐標_臺東縣"/>
        <s v="COM_016交叉路口-鄉鎮市區路名查詢交叉路口及坐標_臺南市"/>
        <s v="COM_016交叉路口-鄉鎮市區路名查詢交叉路口及坐標_澎湖縣"/>
        <s v="COM_017指定坐標回傳國土利用現況調查成果圖的屬性"/>
        <s v="LUI_001指定國土利用現況調查成果圖比較"/>
        <s v="LUI_002歷年(或指定年分)國土利用現況調查成果圖屬性"/>
        <s v="MAP_001指定地號查詢「地籍圖」"/>
        <s v="MAP_002指定座標查詢「地籍圖」"/>
        <s v="ROU_001路徑規劃服務–距離最短路線"/>
        <s v="ROU_002路徑規劃服務–時間最短路線"/>
        <s v="ROU_003路徑規劃服務–節點查詢"/>
        <s v="Taiwan e-Map(new)"/>
        <s v="TaiwanE-Map(EN)"/>
        <s v="TaiwanE-Map(Transparent)"/>
      </sharedItems>
    </cacheField>
    <cacheField name="服務名稱(中)_正規化" numFmtId="0">
      <sharedItems count="1434">
        <s v="??"/>
        <s v="3D Tiles_三維建物服務_指定範圍呼叫"/>
        <s v="3D Tiles_三維建物模型_融合版及分棟版"/>
        <s v="3D Tiles_三維道路模型_地形貼合版"/>
        <s v="3D Tiles_三維道路模型_原始成果版"/>
        <s v="土壤液化潛勢_中級WMTS服務"/>
        <s v="土壤液化潛勢_初級WMTS服務"/>
        <s v="正射影像(套疊交通路網)WMTS服務"/>
        <s v="坡向圖(20公尺DEM產製)"/>
        <s v="坡度圖-30%坡(2003-2005年20公尺DEM成果產製)"/>
        <s v="坡度圖-7級(2003-2005年20公尺DEM成果產製)"/>
        <s v="坡度圖-7級(2010-2015年20公尺DEM成果產製)"/>
        <s v="待確認(查無資料)WMTS服務"/>
        <s v="陰影圖(20公尺DEM產製)"/>
        <s v="渲染圖(20公尺DEM產製)"/>
        <s v="等高線圖(2003-2005年20公尺DEM產製)"/>
        <s v="等高線圖(2010-2015年20公尺DEM產製)"/>
        <s v="臺灣通用電子地圖_各級學校範圍圖WMTS服務"/>
        <s v="臺灣通用電子地圖_道路圖層(無文字)WMTS服務"/>
        <s v="蘭嶼鄉正射影像(109年)WMTS服務"/>
        <s v="API_地籍圖_指定地號查詢_全國"/>
        <s v="API_地籍圖_指定坐標查詢_全國"/>
        <s v="API_地籍屬性_地段代碼回傳測繪段籍屬性_宜蘭縣"/>
        <s v="API_地籍屬性_地段代碼回傳測繪段籍屬性_花蓮縣"/>
        <s v="API_地籍屬性_地段代碼回傳測繪段籍屬性_金門縣"/>
        <s v="API_地籍屬性_地段代碼回傳測繪段籍屬性_南投縣"/>
        <s v="API_地籍屬性_地段代碼回傳測繪段籍屬性_屏東縣"/>
        <s v="API_地籍屬性_地段代碼回傳測繪段籍屬性_苗栗縣"/>
        <s v="API_地籍屬性_地段代碼回傳測繪段籍屬性_桃園市"/>
        <s v="API_地籍屬性_地段代碼回傳測繪段籍屬性_高雄市"/>
        <s v="API_地籍屬性_地段代碼回傳測繪段籍屬性_基隆市"/>
        <s v="API_地籍屬性_地段代碼回傳測繪段籍屬性_連江縣"/>
        <s v="API_地籍屬性_地段代碼回傳測繪段籍屬性_雲林縣"/>
        <s v="API_地籍屬性_地段代碼回傳測繪段籍屬性_新北市"/>
        <s v="API_地籍屬性_地段代碼回傳測繪段籍屬性_新竹市"/>
        <s v="API_地籍屬性_地段代碼回傳測繪段籍屬性_新竹縣"/>
        <s v="API_地籍屬性_地段代碼回傳測繪段籍屬性_嘉義市"/>
        <s v="API_地籍屬性_地段代碼回傳測繪段籍屬性_嘉義縣"/>
        <s v="API_地籍屬性_地段代碼回傳測繪段籍屬性_彰化縣"/>
        <s v="API_地籍屬性_地段代碼回傳測繪段籍屬性_臺中市"/>
        <s v="API_地籍屬性_地段代碼回傳測繪段籍屬性_臺北市"/>
        <s v="API_地籍屬性_地段代碼回傳測繪段籍屬性_臺東縣"/>
        <s v="API_地籍屬性_地段代碼回傳測繪段籍屬性_臺南市"/>
        <s v="API_地籍屬性_地段代碼回傳測繪段籍屬性_澎湖縣"/>
        <s v="API_地籍屬性_地段號宗地定位_全國"/>
        <s v="API_地籍屬性_地段號查詢坐標_宜蘭縣"/>
        <s v="API_地籍屬性_地段號查詢坐標_花蓮縣"/>
        <s v="API_地籍屬性_地段號查詢坐標_金門縣"/>
        <s v="API_地籍屬性_地段號查詢坐標_南投縣"/>
        <s v="API_地籍屬性_地段號查詢坐標_屏東縣"/>
        <s v="API_地籍屬性_地段號查詢坐標_苗栗縣"/>
        <s v="API_地籍屬性_地段號查詢坐標_桃園市"/>
        <s v="API_地籍屬性_地段號查詢坐標_高雄市"/>
        <s v="API_地籍屬性_地段號查詢坐標_基隆市"/>
        <s v="API_地籍屬性_地段號查詢坐標_連江縣"/>
        <s v="API_地籍屬性_地段號查詢坐標_雲林縣"/>
        <s v="API_地籍屬性_地段號查詢坐標_新北市"/>
        <s v="API_地籍屬性_地段號查詢坐標_新竹市"/>
        <s v="API_地籍屬性_地段號查詢坐標_新竹縣"/>
        <s v="API_地籍屬性_地段號查詢坐標_嘉義市"/>
        <s v="API_地籍屬性_地段號查詢坐標_嘉義縣"/>
        <s v="API_地籍屬性_地段號查詢坐標_彰化縣"/>
        <s v="API_地籍屬性_地段號查詢坐標_臺中市"/>
        <s v="API_地籍屬性_地段號查詢坐標_臺北市"/>
        <s v="API_地籍屬性_地段號查詢坐標_臺東縣"/>
        <s v="API_地籍屬性_地段號查詢坐標_臺南市"/>
        <s v="API_地籍屬性_地段號查詢坐標_澎湖縣"/>
        <s v="API_地籍屬性_坐標查地段號_全國"/>
        <s v="API_地籍屬性_指定地號查詢位置_宜蘭縣"/>
        <s v="API_地籍屬性_指定地號查詢位置_花蓮縣"/>
        <s v="API_地籍屬性_指定地號查詢位置_金門縣"/>
        <s v="API_地籍屬性_指定地號查詢位置_南投縣"/>
        <s v="API_地籍屬性_指定地號查詢位置_屏東縣"/>
        <s v="API_地籍屬性_指定地號查詢位置_苗栗縣"/>
        <s v="API_地籍屬性_指定地號查詢位置_桃園市"/>
        <s v="API_地籍屬性_指定地號查詢位置_高雄市"/>
        <s v="API_地籍屬性_指定地號查詢位置_基隆市"/>
        <s v="API_地籍屬性_指定地號查詢位置_連江縣"/>
        <s v="API_地籍屬性_指定地號查詢位置_雲林縣"/>
        <s v="API_地籍屬性_指定地號查詢位置_新北市"/>
        <s v="API_地籍屬性_指定地號查詢位置_新竹市"/>
        <s v="API_地籍屬性_指定地號查詢位置_新竹縣"/>
        <s v="API_地籍屬性_指定地號查詢位置_嘉義市"/>
        <s v="API_地籍屬性_指定地號查詢位置_嘉義縣"/>
        <s v="API_地籍屬性_指定地號查詢位置_彰化縣"/>
        <s v="API_地籍屬性_指定地號查詢位置_臺中市"/>
        <s v="API_地籍屬性_指定地號查詢位置_臺北市"/>
        <s v="API_地籍屬性_指定地號查詢位置_臺東縣"/>
        <s v="API_地籍屬性_指定地號查詢位置_臺南市"/>
        <s v="API_地籍屬性_指定地號查詢位置_澎湖縣"/>
        <s v="API_地籍屬性_指定地號查詢建號列表與土地權利人類別_宜蘭縣"/>
        <s v="API_地籍屬性_指定地號查詢建號列表與土地權利人類別_花蓮縣"/>
        <s v="API_地籍屬性_指定地號查詢建號列表與土地權利人類別_金門縣"/>
        <s v="API_地籍屬性_指定地號查詢建號列表與土地權利人類別_南投縣"/>
        <s v="API_地籍屬性_指定地號查詢建號列表與土地權利人類別_屏東縣"/>
        <s v="API_地籍屬性_指定地號查詢建號列表與土地權利人類別_苗栗縣"/>
        <s v="API_地籍屬性_指定地號查詢建號列表與土地權利人類別_桃園市"/>
        <s v="API_地籍屬性_指定地號查詢建號列表與土地權利人類別_高雄市"/>
        <s v="API_地籍屬性_指定地號查詢建號列表與土地權利人類別_基隆市"/>
        <s v="API_地籍屬性_指定地號查詢建號列表與土地權利人類別_連江縣"/>
        <s v="API_地籍屬性_指定地號查詢建號列表與土地權利人類別_雲林縣"/>
        <s v="API_地籍屬性_指定地號查詢建號列表與土地權利人類別_新北市"/>
        <s v="API_地籍屬性_指定地號查詢建號列表與土地權利人類別_新竹市"/>
        <s v="API_地籍屬性_指定地號查詢建號列表與土地權利人類別_新竹縣"/>
        <s v="API_地籍屬性_指定地號查詢建號列表與土地權利人類別_嘉義市"/>
        <s v="API_地籍屬性_指定地號查詢建號列表與土地權利人類別_嘉義縣"/>
        <s v="API_地籍屬性_指定地號查詢建號列表與土地權利人類別_彰化縣"/>
        <s v="API_地籍屬性_指定地號查詢建號列表與土地權利人類別_臺中市"/>
        <s v="API_地籍屬性_指定地號查詢建號列表與土地權利人類別_臺北市"/>
        <s v="API_地籍屬性_指定地號查詢建號列表與土地權利人類別_臺東縣"/>
        <s v="API_地籍屬性_指定地號查詢建號列表與土地權利人類別_臺南市"/>
        <s v="API_地籍屬性_指定地號查詢建號列表與土地權利人類別_澎湖縣"/>
        <s v="API_地籍屬性_指定地號查詢著色圖_宜蘭縣"/>
        <s v="API_地籍屬性_指定地號查詢著色圖_花蓮縣"/>
        <s v="API_地籍屬性_指定地號查詢著色圖_金門縣"/>
        <s v="API_地籍屬性_指定地號查詢著色圖_南投縣"/>
        <s v="API_地籍屬性_指定地號查詢著色圖_屏東縣"/>
        <s v="API_地籍屬性_指定地號查詢著色圖_苗栗縣"/>
        <s v="API_地籍屬性_指定地號查詢著色圖_桃園市"/>
        <s v="API_地籍屬性_指定地號查詢著色圖_高雄市"/>
        <s v="API_地籍屬性_指定地號查詢著色圖_基隆市"/>
        <s v="API_地籍屬性_指定地號查詢著色圖_連江縣"/>
        <s v="API_地籍屬性_指定地號查詢著色圖_雲林縣"/>
        <s v="API_地籍屬性_指定地號查詢著色圖_新北市"/>
        <s v="API_地籍屬性_指定地號查詢著色圖_新竹市"/>
        <s v="API_地籍屬性_指定地號查詢著色圖_新竹縣"/>
        <s v="API_地籍屬性_指定地號查詢著色圖_嘉義市"/>
        <s v="API_地籍屬性_指定地號查詢著色圖_嘉義縣"/>
        <s v="API_地籍屬性_指定地號查詢著色圖_彰化縣"/>
        <s v="API_地籍屬性_指定地號查詢著色圖_臺中市"/>
        <s v="API_地籍屬性_指定地號查詢著色圖_臺北市"/>
        <s v="API_地籍屬性_指定地號查詢著色圖_臺東縣"/>
        <s v="API_地籍屬性_指定地號查詢著色圖_臺南市"/>
        <s v="API_地籍屬性_指定地號查詢著色圖_澎湖縣"/>
        <s v="API_地籍屬性_指定地號查詢標示資料_宜蘭縣"/>
        <s v="API_地籍屬性_指定地號查詢標示資料_花蓮縣"/>
        <s v="API_地籍屬性_指定地號查詢標示資料_金門縣"/>
        <s v="API_地籍屬性_指定地號查詢標示資料_南投縣"/>
        <s v="API_地籍屬性_指定地號查詢標示資料_屏東縣"/>
        <s v="API_地籍屬性_指定地號查詢標示資料_苗栗縣"/>
        <s v="API_地籍屬性_指定地號查詢標示資料_桃園市"/>
        <s v="API_地籍屬性_指定地號查詢標示資料_高雄市"/>
        <s v="API_地籍屬性_指定地號查詢標示資料_基隆市"/>
        <s v="API_地籍屬性_指定地號查詢標示資料_連江縣"/>
        <s v="API_地籍屬性_指定地號查詢標示資料_雲林縣"/>
        <s v="API_地籍屬性_指定地號查詢標示資料_新北市"/>
        <s v="API_地籍屬性_指定地號查詢標示資料_新竹市"/>
        <s v="API_地籍屬性_指定地號查詢標示資料_新竹縣"/>
        <s v="API_地籍屬性_指定地號查詢標示資料_嘉義市"/>
        <s v="API_地籍屬性_指定地號查詢標示資料_嘉義縣"/>
        <s v="API_地籍屬性_指定地號查詢標示資料_彰化縣"/>
        <s v="API_地籍屬性_指定地號查詢標示資料_臺中市"/>
        <s v="API_地籍屬性_指定地號查詢標示資料_臺北市"/>
        <s v="API_地籍屬性_指定地號查詢標示資料_臺東縣"/>
        <s v="API_地籍屬性_指定地號查詢標示資料_臺南市"/>
        <s v="API_地籍屬性_指定地號查詢標示資料_澎湖縣"/>
        <s v="API_地籍屬性_指定門牌查詢地號_全國"/>
        <s v="API_地籍屬性_指定範圍查詢地號清單_全國"/>
        <s v="API_地籍屬性_單點坐標查詢地段號_全國"/>
        <s v="API_國土利用屬性_指定坐標及年度查詢屬性_全國"/>
        <s v="API_國土利用屬性_指定範圍及年度查詢變遷_全國"/>
        <s v="API_開放_地段清單_宜蘭縣"/>
        <s v="API_開放_地段清單_花蓮縣"/>
        <s v="API_開放_地段清單_金門縣"/>
        <s v="API_開放_地段清單_南投縣"/>
        <s v="API_開放_地段清單_屏東縣"/>
        <s v="API_開放_地段清單_苗栗縣"/>
        <s v="API_開放_地段清單_桃園市"/>
        <s v="API_開放_地段清單_高雄市"/>
        <s v="API_開放_地段清單_基隆市"/>
        <s v="API_開放_地段清單_連江縣"/>
        <s v="API_開放_地段清單_雲林縣"/>
        <s v="API_開放_地段清單_新北市"/>
        <s v="API_開放_地段清單_新竹市"/>
        <s v="API_開放_地段清單_新竹縣"/>
        <s v="API_開放_地段清單_嘉義市"/>
        <s v="API_開放_地段清單_嘉義縣"/>
        <s v="API_開放_地段清單_彰化縣"/>
        <s v="API_開放_地段清單_臺中市"/>
        <s v="API_開放_地段清單_臺北市"/>
        <s v="API_開放_地段清單_臺東縣"/>
        <s v="API_開放_地段清單_臺南市"/>
        <s v="API_開放_地段清單_澎湖縣"/>
        <s v="API_開放_村里界線範圍圖形(戶政)_全國"/>
        <s v="API_開放_村里清單_宜蘭縣"/>
        <s v="API_開放_村里清單_花蓮縣"/>
        <s v="API_開放_村里清單_金門縣"/>
        <s v="API_開放_村里清單_南投縣"/>
        <s v="API_開放_村里清單_屏東縣"/>
        <s v="API_開放_村里清單_苗栗縣"/>
        <s v="API_開放_村里清單_桃園市"/>
        <s v="API_開放_村里清單_高雄市"/>
        <s v="API_開放_村里清單_基隆市"/>
        <s v="API_開放_村里清單_連江縣"/>
        <s v="API_開放_村里清單_雲林縣"/>
        <s v="API_開放_村里清單_新北市"/>
        <s v="API_開放_村里清單_新竹市"/>
        <s v="API_開放_村里清單_新竹縣"/>
        <s v="API_開放_村里清單_嘉義市"/>
        <s v="API_開放_村里清單_嘉義縣"/>
        <s v="API_開放_村里清單_彰化縣"/>
        <s v="API_開放_村里清單_臺中市"/>
        <s v="API_開放_村里清單_臺北市"/>
        <s v="API_開放_村里清單_臺東縣"/>
        <s v="API_開放_村里清單_臺南市"/>
        <s v="API_開放_村里清單_澎湖縣"/>
        <s v="API_開放_指定多邊形三維建物模型轉檔"/>
        <s v="API_開放_指定坐標回傳國土利用現況調查成果圖的屬性_全國"/>
        <s v="API_開放_指定圓形範圍三維建物模型轉檔"/>
        <s v="API_開放_指定點位三維建物模型轉檔"/>
        <s v="API_開放_查詢工商設施_全國"/>
        <s v="API_開放_查詢文教設施_全國"/>
        <s v="API_開放_查詢鄰避設施_全國"/>
        <s v="API_開放_查詢醫療設施_全國"/>
        <s v="API_開放_單點坐標回傳行政區(戶政)_全國"/>
        <s v="API_開放_單點坐標回傳行政區(地政)_全國"/>
        <s v="API_開放_鄉鎮市區查詢道路列表_宜蘭縣"/>
        <s v="API_開放_鄉鎮市區查詢道路列表_花蓮縣"/>
        <s v="API_開放_鄉鎮市區查詢道路列表_金門縣"/>
        <s v="API_開放_鄉鎮市區查詢道路列表_南投縣"/>
        <s v="API_開放_鄉鎮市區查詢道路列表_屏東縣"/>
        <s v="API_開放_鄉鎮市區查詢道路列表_苗栗縣"/>
        <s v="API_開放_鄉鎮市區查詢道路列表_桃園市"/>
        <s v="API_開放_鄉鎮市區查詢道路列表_高雄市"/>
        <s v="API_開放_鄉鎮市區查詢道路列表_基隆市"/>
        <s v="API_開放_鄉鎮市區查詢道路列表_連江縣"/>
        <s v="API_開放_鄉鎮市區查詢道路列表_雲林縣"/>
        <s v="API_開放_鄉鎮市區查詢道路列表_新北市"/>
        <s v="API_開放_鄉鎮市區查詢道路列表_新竹市"/>
        <s v="API_開放_鄉鎮市區查詢道路列表_新竹縣"/>
        <s v="API_開放_鄉鎮市區查詢道路列表_嘉義市"/>
        <s v="API_開放_鄉鎮市區查詢道路列表_嘉義縣"/>
        <s v="API_開放_鄉鎮市區查詢道路列表_彰化縣"/>
        <s v="API_開放_鄉鎮市區查詢道路列表_臺中市"/>
        <s v="API_開放_鄉鎮市區查詢道路列表_臺北市"/>
        <s v="API_開放_鄉鎮市區查詢道路列表_臺東縣"/>
        <s v="API_開放_鄉鎮市區查詢道路列表_臺南市"/>
        <s v="API_開放_鄉鎮市區查詢道路列表_澎湖縣"/>
        <s v="API_開放_鄉鎮市區清單(戶政)_宜蘭縣"/>
        <s v="API_開放_鄉鎮市區清單(戶政)_花蓮縣"/>
        <s v="API_開放_鄉鎮市區清單(戶政)_金門縣"/>
        <s v="API_開放_鄉鎮市區清單(戶政)_南投縣"/>
        <s v="API_開放_鄉鎮市區清單(戶政)_屏東縣"/>
        <s v="API_開放_鄉鎮市區清單(戶政)_苗栗縣"/>
        <s v="API_開放_鄉鎮市區清單(戶政)_桃園市"/>
        <s v="API_開放_鄉鎮市區清單(戶政)_高雄市"/>
        <s v="API_開放_鄉鎮市區清單(戶政)_基隆市"/>
        <s v="API_開放_鄉鎮市區清單(戶政)_連江縣"/>
        <s v="API_開放_鄉鎮市區清單(戶政)_雲林縣"/>
        <s v="API_開放_鄉鎮市區清單(戶政)_新北市"/>
        <s v="API_開放_鄉鎮市區清單(戶政)_新竹市"/>
        <s v="API_開放_鄉鎮市區清單(戶政)_新竹縣"/>
        <s v="API_開放_鄉鎮市區清單(戶政)_嘉義市"/>
        <s v="API_開放_鄉鎮市區清單(戶政)_嘉義縣"/>
        <s v="API_開放_鄉鎮市區清單(戶政)_彰化縣"/>
        <s v="API_開放_鄉鎮市區清單(戶政)_臺中市"/>
        <s v="API_開放_鄉鎮市區清單(戶政)_臺北市"/>
        <s v="API_開放_鄉鎮市區清單(戶政)_臺東縣"/>
        <s v="API_開放_鄉鎮市區清單(戶政)_臺南市"/>
        <s v="API_開放_鄉鎮市區清單(戶政)_澎湖縣"/>
        <s v="API_開放_鄉鎮市區清單(地政)_宜蘭縣"/>
        <s v="API_開放_鄉鎮市區清單(地政)_花蓮縣"/>
        <s v="API_開放_鄉鎮市區清單(地政)_金門縣"/>
        <s v="API_開放_鄉鎮市區清單(地政)_南投縣"/>
        <s v="API_開放_鄉鎮市區清單(地政)_屏東縣"/>
        <s v="API_開放_鄉鎮市區清單(地政)_苗栗縣"/>
        <s v="API_開放_鄉鎮市區清單(地政)_桃園市"/>
        <s v="API_開放_鄉鎮市區清單(地政)_高雄市"/>
        <s v="API_開放_鄉鎮市區清單(地政)_基隆市"/>
        <s v="API_開放_鄉鎮市區清單(地政)_連江縣"/>
        <s v="API_開放_鄉鎮市區清單(地政)_雲林縣"/>
        <s v="API_開放_鄉鎮市區清單(地政)_新北市"/>
        <s v="API_開放_鄉鎮市區清單(地政)_新竹市"/>
        <s v="API_開放_鄉鎮市區清單(地政)_新竹縣"/>
        <s v="API_開放_鄉鎮市區清單(地政)_嘉義市"/>
        <s v="API_開放_鄉鎮市區清單(地政)_嘉義縣"/>
        <s v="API_開放_鄉鎮市區清單(地政)_彰化縣"/>
        <s v="API_開放_鄉鎮市區清單(地政)_臺中市"/>
        <s v="API_開放_鄉鎮市區清單(地政)_臺北市"/>
        <s v="API_開放_鄉鎮市區清單(地政)_臺東縣"/>
        <s v="API_開放_鄉鎮市區清單(地政)_臺南市"/>
        <s v="API_開放_鄉鎮市區清單(地政)_澎湖縣"/>
        <s v="API_開放_鄉鎮市區路名查詢交叉路口及坐標_宜蘭縣"/>
        <s v="API_開放_鄉鎮市區路名查詢交叉路口及坐標_花蓮縣"/>
        <s v="API_開放_鄉鎮市區路名查詢交叉路口及坐標_金門縣"/>
        <s v="API_開放_鄉鎮市區路名查詢交叉路口及坐標_南投縣"/>
        <s v="API_開放_鄉鎮市區路名查詢交叉路口及坐標_屏東縣"/>
        <s v="API_開放_鄉鎮市區路名查詢交叉路口及坐標_苗栗縣"/>
        <s v="API_開放_鄉鎮市區路名查詢交叉路口及坐標_桃園市"/>
        <s v="API_開放_鄉鎮市區路名查詢交叉路口及坐標_高雄市"/>
        <s v="API_開放_鄉鎮市區路名查詢交叉路口及坐標_基隆市"/>
        <s v="API_開放_鄉鎮市區路名查詢交叉路口及坐標_連江縣"/>
        <s v="API_開放_鄉鎮市區路名查詢交叉路口及坐標_雲林縣"/>
        <s v="API_開放_鄉鎮市區路名查詢交叉路口及坐標_新北市"/>
        <s v="API_開放_鄉鎮市區路名查詢交叉路口及坐標_新竹市"/>
        <s v="API_開放_鄉鎮市區路名查詢交叉路口及坐標_新竹縣"/>
        <s v="API_開放_鄉鎮市區路名查詢交叉路口及坐標_嘉義市"/>
        <s v="API_開放_鄉鎮市區路名查詢交叉路口及坐標_嘉義縣"/>
        <s v="API_開放_鄉鎮市區路名查詢交叉路口及坐標_彰化縣"/>
        <s v="API_開放_鄉鎮市區路名查詢交叉路口及坐標_臺中市"/>
        <s v="API_開放_鄉鎮市區路名查詢交叉路口及坐標_臺北市"/>
        <s v="API_開放_鄉鎮市區路名查詢交叉路口及坐標_臺東縣"/>
        <s v="API_開放_鄉鎮市區路名查詢交叉路口及坐標_臺南市"/>
        <s v="API_開放_鄉鎮市區路名查詢交叉路口及坐標_澎湖縣"/>
        <s v="API_開放_縣市名稱及代碼清單_全國"/>
        <s v="API_開放_縣市道路關鍵字查詢主要道路_宜蘭縣"/>
        <s v="API_開放_縣市道路關鍵字查詢主要道路_花蓮縣"/>
        <s v="API_開放_縣市道路關鍵字查詢主要道路_金門縣"/>
        <s v="API_開放_縣市道路關鍵字查詢主要道路_南投縣"/>
        <s v="API_開放_縣市道路關鍵字查詢主要道路_屏東縣"/>
        <s v="API_開放_縣市道路關鍵字查詢主要道路_苗栗縣"/>
        <s v="API_開放_縣市道路關鍵字查詢主要道路_桃園市"/>
        <s v="API_開放_縣市道路關鍵字查詢主要道路_高雄市"/>
        <s v="API_開放_縣市道路關鍵字查詢主要道路_基隆市"/>
        <s v="API_開放_縣市道路關鍵字查詢主要道路_連江縣"/>
        <s v="API_開放_縣市道路關鍵字查詢主要道路_雲林縣"/>
        <s v="API_開放_縣市道路關鍵字查詢主要道路_新北市"/>
        <s v="API_開放_縣市道路關鍵字查詢主要道路_新竹市"/>
        <s v="API_開放_縣市道路關鍵字查詢主要道路_新竹縣"/>
        <s v="API_開放_縣市道路關鍵字查詢主要道路_嘉義市"/>
        <s v="API_開放_縣市道路關鍵字查詢主要道路_嘉義縣"/>
        <s v="API_開放_縣市道路關鍵字查詢主要道路_彰化縣"/>
        <s v="API_開放_縣市道路關鍵字查詢主要道路_臺中市"/>
        <s v="API_開放_縣市道路關鍵字查詢主要道路_臺北市"/>
        <s v="API_開放_縣市道路關鍵字查詢主要道路_臺東縣"/>
        <s v="API_開放_縣市道路關鍵字查詢主要道路_臺南市"/>
        <s v="API_開放_縣市道路關鍵字查詢主要道路_澎湖縣"/>
        <s v="API_路徑規劃_時間最短路線_全國"/>
        <s v="API_路徑規劃_距離最短路線_全國"/>
        <s v="API_路徑規劃_節點查詢_全國"/>
        <s v="API_模糊檢索_全域模糊檢索_全國"/>
        <s v="API_模糊檢索_巷弄清單_宜蘭縣"/>
        <s v="API_模糊檢索_巷弄清單_花蓮縣"/>
        <s v="API_模糊檢索_巷弄清單_金門縣"/>
        <s v="API_模糊檢索_巷弄清單_南投縣"/>
        <s v="API_模糊檢索_巷弄清單_屏東縣"/>
        <s v="API_模糊檢索_巷弄清單_苗栗縣"/>
        <s v="API_模糊檢索_巷弄清單_桃園市"/>
        <s v="API_模糊檢索_巷弄清單_高雄市"/>
        <s v="API_模糊檢索_巷弄清單_基隆市"/>
        <s v="API_模糊檢索_巷弄清單_連江縣"/>
        <s v="API_模糊檢索_巷弄清單_雲林縣"/>
        <s v="API_模糊檢索_巷弄清單_新北市"/>
        <s v="API_模糊檢索_巷弄清單_新竹市"/>
        <s v="API_模糊檢索_巷弄清單_新竹縣"/>
        <s v="API_模糊檢索_巷弄清單_嘉義市"/>
        <s v="API_模糊檢索_巷弄清單_嘉義縣"/>
        <s v="API_模糊檢索_巷弄清單_彰化縣"/>
        <s v="API_模糊檢索_巷弄清單_臺中市"/>
        <s v="API_模糊檢索_巷弄清單_臺北市"/>
        <s v="API_模糊檢索_巷弄清單_臺東縣"/>
        <s v="API_模糊檢索_巷弄清單_臺南市"/>
        <s v="API_模糊檢索_巷弄清單_澎湖縣"/>
        <s v="API_模糊檢索_面坐標回傳門牌_全國"/>
        <s v="API_模糊檢索_路名清單_宜蘭縣"/>
        <s v="API_模糊檢索_路名清單_花蓮縣"/>
        <s v="API_模糊檢索_路名清單_金門縣"/>
        <s v="API_模糊檢索_路名清單_南投縣"/>
        <s v="API_模糊檢索_路名清單_屏東縣"/>
        <s v="API_模糊檢索_路名清單_苗栗縣"/>
        <s v="API_模糊檢索_路名清單_桃園市"/>
        <s v="API_模糊檢索_路名清單_高雄市"/>
        <s v="API_模糊檢索_路名清單_基隆市"/>
        <s v="API_模糊檢索_路名清單_連江縣"/>
        <s v="API_模糊檢索_路名清單_雲林縣"/>
        <s v="API_模糊檢索_路名清單_新北市"/>
        <s v="API_模糊檢索_路名清單_新竹市"/>
        <s v="API_模糊檢索_路名清單_新竹縣"/>
        <s v="API_模糊檢索_路名清單_嘉義市"/>
        <s v="API_模糊檢索_路名清單_嘉義縣"/>
        <s v="API_模糊檢索_路名清單_彰化縣"/>
        <s v="API_模糊檢索_路名清單_臺中市"/>
        <s v="API_模糊檢索_路名清單_臺北市"/>
        <s v="API_模糊檢索_路名清單_臺東縣"/>
        <s v="API_模糊檢索_路名清單_臺南市"/>
        <s v="API_模糊檢索_路名清單_澎湖縣"/>
        <s v="API_模糊檢索_模糊檢索_全國"/>
        <s v="API_模糊檢索_線坐標回傳門牌_全國"/>
        <s v="API_模糊檢索_點坐標回傳門牌_全國"/>
        <s v="I3S_三維建物服務_指定範圍呼叫"/>
        <s v="I3S_三維建物模型_融合版及分棟版"/>
        <s v="I3S_三維道路模型_地形貼合版"/>
        <s v="I3S_三維道路模型_原始成果版"/>
        <s v="OPENDATA_避難收容所WMTS服務"/>
        <s v="WFS_1/1000地形圖_宜蘭縣大湖風景特定區計畫(112年)"/>
        <s v="WFS_1/1000地形圖_宜蘭縣五峰旗風景特定區計畫(112年)"/>
        <s v="WFS_1/1000地形圖_宜蘭縣冬山(順安地區)都市計畫(112年)"/>
        <s v="WFS_1/1000地形圖_宜蘭縣宜蘭市都市計畫(113年)"/>
        <s v="WFS_1/1000地形圖_宜蘭縣南澳南強都市計畫(112年)"/>
        <s v="WFS_1/1000地形圖_宜蘭縣政中心地區都市計畫(112年)"/>
        <s v="WFS_1/1000地形圖_宜蘭縣員山都市計畫(112年)"/>
        <s v="WFS_1/1000地形圖_宜蘭縣梅花湖風景特定區計畫(112年)"/>
        <s v="WFS_1/1000地形圖_宜蘭縣龍潭湖風景特定區計畫(112年)"/>
        <s v="WFS_1/1000地形圖_宜蘭縣礁溪都市計畫(112年)"/>
        <s v="WFS_1/1000地形圖_宜蘭縣蘇澳(新馬地區)都市計畫(112年)"/>
        <s v="WFS_1/1000地形圖_花蓮縣光復鄉都市計畫(113年)"/>
        <s v="WFS_1/1000地形圖_南投縣中興新村(含南內轆地區)都市計畫(112年)"/>
        <s v="WFS_1/1000地形圖_南投縣南投(含南崗地區)都市計畫(112年)"/>
        <s v="WFS_1/1000地形圖_南投縣草屯都市計畫(112年)"/>
        <s v="WFS_1/1000地形圖_屏東縣里港都市計畫(113年)"/>
        <s v="WFS_1/1000地形圖_屏東縣東港都市計畫(113年)"/>
        <s v="WFS_1/1000地形圖_屏東縣屏東都市計畫(112年)"/>
        <s v="WFS_1/1000地形圖_屏東縣新園(烏龍地區)都市計畫(113年)"/>
        <s v="WFS_1/1000地形圖_屏東縣鹽埔漁港特定區計畫(113年)"/>
        <s v="WFS_1/1000地形圖_苗栗縣苗栗都市計畫(112年)"/>
        <s v="WFS_1/1000地形圖_苗栗縣高速公路苗栗交流道附近特定區計畫(112年)"/>
        <s v="WFS_1/1000地形圖_苗栗縣頭屋都市計畫(112年)"/>
        <s v="WFS_1/1000地形圖_桃園市平鎮(山子頂地區)都市計畫(112年)"/>
        <s v="WFS_1/1000地形圖_桃園市新屋都市計畫(113年)"/>
        <s v="WFS_1/1000地形圖_桃園市龍潭都市計畫(113年)"/>
        <s v="WFS_1/1000地形圖_桃園市觀音(新坡地區)都市計畫(113年)"/>
        <s v="WFS_1/1000地形圖_桃園市觀音都市計畫(113年)"/>
        <s v="WFS_1/1000地形圖_高雄市(三民.苓雅.前金.新興.前鎮.鹽埕)都市計畫(113年)"/>
        <s v="WFS_1/1000地形圖_高雄市岡山都市計畫(112年)"/>
        <s v="WFS_1/1000地形圖_高雄市鳳山都市計畫(113年)"/>
        <s v="WFS_1/1000地形圖_雲林縣二崙都市計畫(112年)"/>
        <s v="WFS_1/1000地形圖_雲林縣斗六(含大潭地區)都市計畫(113年)"/>
        <s v="WFS_1/1000地形圖_雲林縣斗六嘉東地區特定區計畫(112年)"/>
        <s v="WFS_1/1000地形圖_雲林縣高速鐵路雲林車站特定區計畫(113年)"/>
        <s v="WFS_1/1000地形圖_雲林縣崙背都市計畫(112年)"/>
        <s v="WFS_1/1000地形圖_雲林縣莿桐都市計畫(113年)"/>
        <s v="WFS_1/1000地形圖_雲林縣箔子寮漁港特定區計畫(112年)"/>
        <s v="WFS_1/1000地形圖_新竹科學工業園區特定區計畫(竹東部分)(112年)"/>
        <s v="WFS_1/1000地形圖_新竹科學工業園區特定區計畫(寶山部分)(112年)"/>
        <s v="WFS_1/1000地形圖_新竹縣竹北(含斗崙地區)都市計畫(113年)"/>
        <s v="WFS_1/1000地形圖_新竹縣高速鐵路新竹車站特定區計畫(113年)"/>
        <s v="WFS_1/1000地形圖_新竹縣寶山都市計畫(112年)"/>
        <s v="WFS_1/1000地形圖_嘉義縣大林都市計畫(112年)"/>
        <s v="WFS_1/1000地形圖_嘉義縣仁義潭風景特定區計畫(嘉義縣部分)(112年)"/>
        <s v="WFS_1/1000地形圖_嘉義縣太保都市計畫(112年)"/>
        <s v="WFS_1/1000地形圖_嘉義縣民雄(頭橋地區)都市計畫(113年)"/>
        <s v="WFS_1/1000地形圖_嘉義縣民雄都市計畫(113年)"/>
        <s v="WFS_1/1000地形圖_嘉義縣竹崎鄉都市計畫(113年)"/>
        <s v="WFS_1/1000地形圖_嘉義縣吳鳳廟特定區計畫(112年)"/>
        <s v="WFS_1/1000地形圖_嘉義縣治都市計畫(112年)"/>
        <s v="WFS_1/1000地形圖_嘉義縣阿里山鄉都市計畫(113年)"/>
        <s v="WFS_1/1000地形圖_嘉義縣高速鐵路嘉義車站特定區計畫(112年)"/>
        <s v="WFS_1/1000地形圖_嘉義縣國立中正大學特定區計畫(112年)"/>
        <s v="WFS_1/1000地形圖_嘉義縣番路鄉都市計畫(113年)"/>
        <s v="WFS_1/1000地形圖_彰化縣高速公路彰化交流道附近特定區計畫(112年)"/>
        <s v="WFS_1/1000地形圖_彰化縣彰化都市計畫(112年)"/>
        <s v="WFS_1/1000地形圖_臺中市大肚都市計畫(112年)"/>
        <s v="WFS_1/1000地形圖_臺中市中部科學工業園區台中基地附近特定區計畫(113年)"/>
        <s v="WFS_1/1000地形圖_臺中市東勢都市計畫(112年)"/>
        <s v="WFS_1/1000地形圖_臺中市烏日都市計畫(112年)"/>
        <s v="WFS_1/1000地形圖_臺中市高速公路王田交流道附近特定區計畫(112年)"/>
        <s v="WFS_1/1000地形圖_臺中市新社都市計畫(112年)"/>
        <s v="WFS_1/1000地形圖_臺中市豐潭雅神都市計畫(113年)"/>
        <s v="WFS_1/1000地形圖_臺東縣臺東市都市計畫(112年)"/>
        <s v="WFS_1/1000地形圖_臺東縣臺東鐵路新站附近地區都市計畫(113年)"/>
        <s v="WFS_1/1000地形圖_臺南市佳里都市計畫(113年)"/>
        <s v="WFS_1/1000地形圖_臺南市柳營都市計畫(112年)"/>
        <s v="WFS_1/1000地形圖_臺南市高速公路新營交流道附近特定區計畫(112年)"/>
        <s v="WFS_1/1000地形圖_臺南市新營都市計畫(112年)"/>
        <s v="WFS_1/1000地形圖_臺南市鹽水都市計畫(112年)"/>
        <s v="WFS_1/1000地形圖_澎湖縣二崁傳統聚落特定區計畫(112年)"/>
        <s v="WFS_1/1000地形圖_澎湖縣白沙通梁地區都市計畫(112年)"/>
        <s v="WFS_1/1000地形圖_澎湖縣西嶼西台古蹟特定區計畫(112年)"/>
        <s v="WFS_1/1000地形圖_澎湖縣林投風景特定區計畫(112年)"/>
        <s v="WFS_1/1000地形圖_澎湖縣馬公市都市計畫(113年)"/>
        <s v="WFS_1/1000地形圖_澎湖縣馬公都市計畫(112年)"/>
        <s v="WFS_1/1000地形圖_澎湖縣湖西鄉都市計畫(113年)"/>
        <s v="WFS_1/1000地形圖_澎湖縣鎖港地區都市計畫(112年)"/>
        <s v="WFS_分棟建物框"/>
        <s v="WFS_地段外圍圖"/>
        <s v="WFS_地籍圖"/>
        <s v="WFS_國土利用現況調查成果圖"/>
        <s v="WFS_臺灣通用電子地圖"/>
        <s v="WMS"/>
        <s v="WMS_地籍圖"/>
        <s v="WMTS_1/100000地形圖(107年)"/>
        <s v="WMTS_1/100000地形圖(109年)"/>
        <s v="WMTS_1/100000地形圖(110年)"/>
        <s v="WMTS_1/100000地形圖(111年)"/>
        <s v="WMTS_1/100000地形圖(112年)"/>
        <s v="WMTS_1/100000地形圖(113年)"/>
        <s v="WMTS_1/100000地形圖(114年)"/>
        <s v="WMTS_1/100000基本地形圖"/>
        <s v="WMTS_1/10000像片基本圖(69-72年)"/>
        <s v="WMTS_1/1000地形圖_北埔都市計畫(97年)"/>
        <s v="WMTS_1/1000地形圖_正射影像_宜蘭縣大湖風景特定區計畫(112年)"/>
        <s v="WMTS_1/1000地形圖_正射影像_宜蘭縣五峰旗風景特定區計畫(112年)"/>
        <s v="WMTS_1/1000地形圖_正射影像_宜蘭縣冬山(順安地區)都市計畫(112年)"/>
        <s v="WMTS_1/1000地形圖_正射影像_宜蘭縣宜蘭市都市計畫(113年)"/>
        <s v="WMTS_1/1000地形圖_正射影像_宜蘭縣南澳南強都市計畫(112年)"/>
        <s v="WMTS_1/1000地形圖_正射影像_宜蘭縣政中心地區都市計畫(112年)"/>
        <s v="WMTS_1/1000地形圖_正射影像_宜蘭縣員山都市計畫(112年)"/>
        <s v="WMTS_1/1000地形圖_正射影像_宜蘭縣梅花湖風景特定區計畫(112年)"/>
        <s v="WMTS_1/1000地形圖_正射影像_宜蘭縣龍潭湖風景特定區計畫(112年)"/>
        <s v="WMTS_1/1000地形圖_正射影像_宜蘭縣礁溪都市計畫(112年)"/>
        <s v="WMTS_1/1000地形圖_正射影像_宜蘭縣蘇澳(新馬地區)都市計畫(112年)"/>
        <s v="WMTS_1/1000地形圖_正射影像_花蓮縣光復鄉都市計畫(113年)"/>
        <s v="WMTS_1/1000地形圖_正射影像_南投縣中興新村(含南內轆地區)都市計畫(112年)"/>
        <s v="WMTS_1/1000地形圖_正射影像_南投縣南投(含南崗地區)都市計畫(112年)"/>
        <s v="WMTS_1/1000地形圖_正射影像_南投縣草屯都市計畫(112年)"/>
        <s v="WMTS_1/1000地形圖_正射影像_屏東縣里港都市計畫(113年)"/>
        <s v="WMTS_1/1000地形圖_正射影像_屏東縣東港都市計畫(113年)"/>
        <s v="WMTS_1/1000地形圖_正射影像_屏東縣屏東都市計畫(112年)"/>
        <s v="WMTS_1/1000地形圖_正射影像_屏東縣新園(烏龍地區)都市計畫(113年)"/>
        <s v="WMTS_1/1000地形圖_正射影像_屏東縣鹽埔漁港特定區計畫(113年)"/>
        <s v="WMTS_1/1000地形圖_正射影像_苗栗縣苗栗都市計畫(112年)"/>
        <s v="WMTS_1/1000地形圖_正射影像_苗栗縣高速公路苗栗交流道附近特定區計畫(112年)"/>
        <s v="WMTS_1/1000地形圖_正射影像_苗栗縣頭屋都市計畫(112年)"/>
        <s v="WMTS_1/1000地形圖_正射影像_桃園市平鎮(山子頂地區)都市計畫(112年)"/>
        <s v="WMTS_1/1000地形圖_正射影像_桃園市新屋都市計畫(113年)"/>
        <s v="WMTS_1/1000地形圖_正射影像_桃園市龍潭都市計畫(113年)"/>
        <s v="WMTS_1/1000地形圖_正射影像_桃園市觀音(新坡地區)都市計畫(113年)"/>
        <s v="WMTS_1/1000地形圖_正射影像_桃園市觀音都市計畫(113年)"/>
        <s v="WMTS_1/1000地形圖_正射影像_高雄市(三民.苓雅.前金.新興.前鎮.鹽埕)都市計畫(113年)"/>
        <s v="WMTS_1/1000地形圖_正射影像_高雄市岡山都市計畫(112年)"/>
        <s v="WMTS_1/1000地形圖_正射影像_高雄市鳳山都市計畫(113年)"/>
        <s v="WMTS_1/1000地形圖_正射影像_雲林縣二崙都市計畫(112年)"/>
        <s v="WMTS_1/1000地形圖_正射影像_雲林縣斗六(含大潭地區)都市計畫(113年)"/>
        <s v="WMTS_1/1000地形圖_正射影像_雲林縣斗六嘉東地區特定區計畫(112年)"/>
        <s v="WMTS_1/1000地形圖_正射影像_雲林縣高速鐵路雲林車站特定區計畫(113年)"/>
        <s v="WMTS_1/1000地形圖_正射影像_雲林縣崙背都市計畫(112年)"/>
        <s v="WMTS_1/1000地形圖_正射影像_雲林縣莿桐都市計畫(113年)"/>
        <s v="WMTS_1/1000地形圖_正射影像_雲林縣箔子寮漁港特定區計畫(112年)"/>
        <s v="WMTS_1/1000地形圖_正射影像_新竹科學工業園區特定區計畫(竹東部分)(112年)"/>
        <s v="WMTS_1/1000地形圖_正射影像_新竹科學工業園區特定區計畫(寶山部分)(112年)"/>
        <s v="WMTS_1/1000地形圖_正射影像_新竹縣竹北(含斗崙地區)都市計畫(113年)"/>
        <s v="WMTS_1/1000地形圖_正射影像_新竹縣高速鐵路新竹車站特定區計畫(113年)"/>
        <s v="WMTS_1/1000地形圖_正射影像_新竹縣寶山都市計畫(112年)"/>
        <s v="WMTS_1/1000地形圖_正射影像_嘉義縣大林都市計畫(112年)"/>
        <s v="WMTS_1/1000地形圖_正射影像_嘉義縣仁義潭風景特定區計畫(嘉義縣部分)(112年)"/>
        <s v="WMTS_1/1000地形圖_正射影像_嘉義縣太保都市計畫(112年)"/>
        <s v="WMTS_1/1000地形圖_正射影像_嘉義縣民雄(頭橋地區)都市計畫(113年)"/>
        <s v="WMTS_1/1000地形圖_正射影像_嘉義縣民雄都市計畫(113年)"/>
        <s v="WMTS_1/1000地形圖_正射影像_嘉義縣竹崎鄉都市計畫(113年)"/>
        <s v="WMTS_1/1000地形圖_正射影像_嘉義縣吳鳳廟特定區計畫(112年)"/>
        <s v="WMTS_1/1000地形圖_正射影像_嘉義縣治都市計畫(112年)"/>
        <s v="WMTS_1/1000地形圖_正射影像_嘉義縣阿里山鄉都市計畫(113年)"/>
        <s v="WMTS_1/1000地形圖_正射影像_嘉義縣高速鐵路嘉義車站特定區計畫(112年)"/>
        <s v="WMTS_1/1000地形圖_正射影像_嘉義縣國立中正大學特定區計畫(112年)"/>
        <s v="WMTS_1/1000地形圖_正射影像_嘉義縣番路鄉都市計畫(113年)"/>
        <s v="WMTS_1/1000地形圖_正射影像_彰化縣高速公路彰化交流道附近特定區計畫(112年)"/>
        <s v="WMTS_1/1000地形圖_正射影像_彰化縣彰化都市計畫(112年)"/>
        <s v="WMTS_1/1000地形圖_正射影像_臺中市大肚都市計畫(112年)"/>
        <s v="WMTS_1/1000地形圖_正射影像_臺中市中部科學工業園區台中基地附近特定區計畫(113年)"/>
        <s v="WMTS_1/1000地形圖_正射影像_臺中市東勢都市計畫(112年)"/>
        <s v="WMTS_1/1000地形圖_正射影像_臺中市烏日都市計畫(112年)"/>
        <s v="WMTS_1/1000地形圖_正射影像_臺中市高速公路王田交流道附近特定區計畫(112年)"/>
        <s v="WMTS_1/1000地形圖_正射影像_臺中市新社都市計畫(112年)"/>
        <s v="WMTS_1/1000地形圖_正射影像_臺中市豐潭雅神都市計畫(113年)"/>
        <s v="WMTS_1/1000地形圖_正射影像_臺東縣臺東市都市計畫(112年)"/>
        <s v="WMTS_1/1000地形圖_正射影像_臺東縣臺東鐵路新站附近地區都市計畫(113年)"/>
        <s v="WMTS_1/1000地形圖_正射影像_臺南市佳里都市計畫(113年)"/>
        <s v="WMTS_1/1000地形圖_正射影像_臺南市柳營都市計畫(112年)"/>
        <s v="WMTS_1/1000地形圖_正射影像_臺南市高速公路新營交流道附近特定區計畫(112年)"/>
        <s v="WMTS_1/1000地形圖_正射影像_臺南市新營都市計畫(112年)"/>
        <s v="WMTS_1/1000地形圖_正射影像_臺南市鹽水都市計畫(112年)"/>
        <s v="WMTS_1/1000地形圖_正射影像_澎湖縣二崁傳統聚落特定區計畫(112年)"/>
        <s v="WMTS_1/1000地形圖_正射影像_澎湖縣白沙通梁地區都市計畫(112年)"/>
        <s v="WMTS_1/1000地形圖_正射影像_澎湖縣西嶼西台古蹟特定區計畫(112年)"/>
        <s v="WMTS_1/1000地形圖_正射影像_澎湖縣林投風景特定區計畫(112年)"/>
        <s v="WMTS_1/1000地形圖_正射影像_澎湖縣馬公市都市計畫(113年)"/>
        <s v="WMTS_1/1000地形圖_正射影像_澎湖縣馬公都市計畫(112年)"/>
        <s v="WMTS_1/1000地形圖_正射影像_澎湖縣湖西鄉都市計畫(113年)"/>
        <s v="WMTS_1/1000地形圖_正射影像_澎湖縣鎖港地區都市計畫(112年)"/>
        <s v="WMTS_1/1000地形圖_竹北都市計畫(93年)"/>
        <s v="WMTS_1/1000地形圖_竹東都市計畫(93-94年)"/>
        <s v="WMTS_1/1000地形圖_芎林都市計畫(93年)"/>
        <s v="WMTS_1/1000地形圖_宜蘭縣三星都市計畫(98年)"/>
        <s v="WMTS_1/1000地形圖_宜蘭縣大湖風景特定區計畫(112年)"/>
        <s v="WMTS_1/1000地形圖_宜蘭縣大湖風景特定區計畫(97年)"/>
        <s v="WMTS_1/1000地形圖_宜蘭縣五峰旗風景特定區計畫(112年)"/>
        <s v="WMTS_1/1000地形圖_宜蘭縣五峰旗風景特定區計畫及礁溪都市計畫(97年)"/>
        <s v="WMTS_1/1000地形圖_宜蘭縣五結(學進地區)都市計畫(97年)"/>
        <s v="WMTS_1/1000地形圖_宜蘭縣冬山(順安地區)都市計畫(112年)"/>
        <s v="WMTS_1/1000地形圖_宜蘭縣冬山(順安地區)都市計畫(98年)"/>
        <s v="WMTS_1/1000地形圖_宜蘭縣冬山及蘇澳(含新馬)都市計畫(98年)"/>
        <s v="WMTS_1/1000地形圖_宜蘭縣壯圍都市計畫(97年)"/>
        <s v="WMTS_1/1000地形圖_宜蘭縣宜蘭市(100年)"/>
        <s v="WMTS_1/1000地形圖_宜蘭縣宜蘭市都市計畫(113年)"/>
        <s v="WMTS_1/1000地形圖_宜蘭縣東北角暨宜蘭海岸國家風景區(100年)"/>
        <s v="WMTS_1/1000地形圖_宜蘭縣南澳南強都市計畫(112年)"/>
        <s v="WMTS_1/1000地形圖_宜蘭縣南澳南強都市計畫(98年)"/>
        <s v="WMTS_1/1000地形圖_宜蘭縣政中心地區都市計畫(112年)"/>
        <s v="WMTS_1/1000地形圖_宜蘭縣員山都市計畫(112年)"/>
        <s v="WMTS_1/1000地形圖_宜蘭縣員山都市計畫(97年)"/>
        <s v="WMTS_1/1000地形圖_宜蘭縣梅花湖風景特定區計畫(112年)"/>
        <s v="WMTS_1/1000地形圖_宜蘭縣梅花湖風景特定區計畫(98年)"/>
        <s v="WMTS_1/1000地形圖_宜蘭縣頭城都市計畫(97年)"/>
        <s v="WMTS_1/1000地形圖_宜蘭縣龍潭湖風景特定區計畫(112年)"/>
        <s v="WMTS_1/1000地形圖_宜蘭縣龍潭湖風景特定區計畫及四城地區(97年)"/>
        <s v="WMTS_1/1000地形圖_宜蘭縣礁溪都市計畫(112年)"/>
        <s v="WMTS_1/1000地形圖_宜蘭縣羅東都市計畫(100年)"/>
        <s v="WMTS_1/1000地形圖_宜蘭縣蘇澳(新馬地區)都市計畫(112年)"/>
        <s v="WMTS_1/1000地形圖_花蓮縣大花蓮都市計畫(111年)"/>
        <s v="WMTS_1/1000地形圖_花蓮縣玉里都市計畫(106年)"/>
        <s v="WMTS_1/1000地形圖_花蓮縣玉里都市計畫(111年)"/>
        <s v="WMTS_1/1000地形圖_花蓮縣石梯秀姑巒風景特定區計畫(107年)"/>
        <s v="WMTS_1/1000地形圖_花蓮縣光復都市計畫(104年)"/>
        <s v="WMTS_1/1000地形圖_花蓮縣光復都市計畫(109年)"/>
        <s v="WMTS_1/1000地形圖_花蓮縣光復鄉都市計畫(113年)"/>
        <s v="WMTS_1/1000地形圖_花蓮縣吉安(鄉公所)都市計畫(104年)"/>
        <s v="WMTS_1/1000地形圖_花蓮縣吉安(鄉公所)都市計畫(109年)"/>
        <s v="WMTS_1/1000地形圖_花蓮縣吉安都市計畫(104年)"/>
        <s v="WMTS_1/1000地形圖_花蓮縣吉安都市計畫(109年)"/>
        <s v="WMTS_1/1000地形圖_花蓮縣秀林(和平地區)都市計畫"/>
        <s v="WMTS_1/1000地形圖_花蓮縣秀林(崇德地區)都市計畫(107年)"/>
        <s v="WMTS_1/1000地形圖_花蓮縣東華大學城特定區計畫(105年)"/>
        <s v="WMTS_1/1000地形圖_花蓮縣花蓮吉安新城都市計畫(109年)"/>
        <s v="WMTS_1/1000地形圖_花蓮縣花蓮都市計畫(104年)"/>
        <s v="WMTS_1/1000地形圖_花蓮縣花蓮都市計畫(109年)"/>
        <s v="WMTS_1/1000地形圖_花蓮縣富里都市計畫(106年)"/>
        <s v="WMTS_1/1000地形圖_花蓮縣新城(北埔地區)都市計畫(104年)"/>
        <s v="WMTS_1/1000地形圖_花蓮縣新城(北埔地區)都市計畫(109年)"/>
        <s v="WMTS_1/1000地形圖_花蓮縣新城秀林都市計畫(107年)"/>
        <s v="WMTS_1/1000地形圖_花蓮縣瑞穗都市計畫(106年)"/>
        <s v="WMTS_1/1000地形圖_花蓮縣壽豐都市計畫(106年)"/>
        <s v="WMTS_1/1000地形圖_花蓮縣鳳林都市計畫(104年)"/>
        <s v="WMTS_1/1000地形圖_花蓮縣鳳林都市計畫(109年)"/>
        <s v="WMTS_1/1000地形圖_花蓮縣磯崎風景特定區計畫(107年)"/>
        <s v="WMTS_1/1000地形圖_花蓮縣鯉魚潭風景特定區計畫(106年)"/>
        <s v="WMTS_1/1000地形圖_金門縣都市計畫(106年)"/>
        <s v="WMTS_1/1000地形圖_金門縣都市計畫(112年)"/>
        <s v="WMTS_1/1000地形圖_南投縣八卦山脈風景特定區計畫(93-98年)"/>
        <s v="WMTS_1/1000地形圖_南投縣中寮都市計畫(95-98年)"/>
        <s v="WMTS_1/1000地形圖_南投縣中興新村(含南內轆地區)都市計畫(112年)"/>
        <s v="WMTS_1/1000地形圖_南投縣中興新村都市計畫(102年)"/>
        <s v="WMTS_1/1000地形圖_南投縣日月潭特定區計畫(93-98年)"/>
        <s v="WMTS_1/1000地形圖_南投縣水里都市計畫(95-98年)"/>
        <s v="WMTS_1/1000地形圖_南投縣名間都市計畫(95-98年)"/>
        <s v="WMTS_1/1000地形圖_南投縣竹山都市計畫(竹山部分(94-98年)"/>
        <s v="WMTS_1/1000地形圖_南投縣竹山都市計畫(延平部分(94-98年)"/>
        <s v="WMTS_1/1000地形圖_南投縣東埔風景特定區計畫(93-98年)"/>
        <s v="WMTS_1/1000地形圖_南投縣南投(含南崗地區)都市計畫(112年)"/>
        <s v="WMTS_1/1000地形圖_南投縣南投都市計畫(南投(94-98年)"/>
        <s v="WMTS_1/1000地形圖_南投縣南投都市計畫(南崗(94-98年)"/>
        <s v="WMTS_1/1000地形圖_南投縣埔里都市計畫(94-98年)"/>
        <s v="WMTS_1/1000地形圖_南投縣草屯都市計畫(112年)"/>
        <s v="WMTS_1/1000地形圖_南投縣草屯都市計畫(94-98年)"/>
        <s v="WMTS_1/1000地形圖_南投縣國姓都市計畫(93-98年)"/>
        <s v="WMTS_1/1000地形圖_南投縣魚池都市計畫(103年)"/>
        <s v="WMTS_1/1000地形圖_南投縣鹿谷都市計畫(106年)"/>
        <s v="WMTS_1/1000地形圖_南投縣集集都市計畫(95-98年)"/>
        <s v="WMTS_1/1000地形圖_南投縣溪頭森林遊樂特定區計畫(93-98年)"/>
        <s v="WMTS_1/1000地形圖_南投縣翠峰風景特定區計畫(93-98年)"/>
        <s v="WMTS_1/1000地形圖_南投縣鳳凰谷風景特定區計畫(93-98年)"/>
        <s v="WMTS_1/1000地形圖_南投縣廬山風景特定區計畫(93-98年)"/>
        <s v="WMTS_1/1000地形圖_南投縣霧社都市計畫(94-98年)"/>
        <s v="WMTS_1/1000地形圖_屏東縣九如都市計畫(100年)"/>
        <s v="WMTS_1/1000地形圖_屏東縣大鵬灣風景特定區計畫(102年)"/>
        <s v="WMTS_1/1000地形圖_屏東縣小琉球風景特定區計畫(102年)"/>
        <s v="WMTS_1/1000地形圖_屏東縣內埔都市計畫(100年)"/>
        <s v="WMTS_1/1000地形圖_屏東縣內埔龍泉都市計畫(100年)"/>
        <s v="WMTS_1/1000地形圖_屏東縣內埔豐田都市計畫(100年)"/>
        <s v="WMTS_1/1000地形圖_屏東縣竹田都市計畫(101年)"/>
        <s v="WMTS_1/1000地形圖_屏東縣車城都市計畫(101年)"/>
        <s v="WMTS_1/1000地形圖_屏東縣里港都市計畫(100年)"/>
        <s v="WMTS_1/1000地形圖_屏東縣里港都市計畫(113年)"/>
        <s v="WMTS_1/1000地形圖_屏東縣佳冬都市計畫(100年)"/>
        <s v="WMTS_1/1000地形圖_屏東縣東港都市計畫(113年)"/>
        <s v="WMTS_1/1000地形圖_屏東縣東港都市計畫(99年)"/>
        <s v="WMTS_1/1000地形圖_屏東縣枋寮水底寮都市計畫(100年)"/>
        <s v="WMTS_1/1000地形圖_屏東縣枋寮都市計畫(100年)"/>
        <s v="WMTS_1/1000地形圖_屏東縣林邊都市計畫(100年)"/>
        <s v="WMTS_1/1000地形圖_屏東縣林邊都市計畫(99年)"/>
        <s v="WMTS_1/1000地形圖_屏東縣長治都市計畫(100年)"/>
        <s v="WMTS_1/1000地形圖_屏東縣南州都市計畫(101年)"/>
        <s v="WMTS_1/1000地形圖_屏東縣屏東都市計畫(112年)"/>
        <s v="WMTS_1/1000地形圖_屏東縣屏東都市計畫(93-94年)"/>
        <s v="WMTS_1/1000地形圖_屏東縣恆春都市計畫(100年)"/>
        <s v="WMTS_1/1000地形圖_屏東縣崁頂都市計畫(101年)"/>
        <s v="WMTS_1/1000地形圖_屏東縣高樹都市計畫(100年)"/>
        <s v="WMTS_1/1000地形圖_屏東縣新埤都市計畫(100年)"/>
        <s v="WMTS_1/1000地形圖_屏東縣新園(烏龍地區)都市計畫(113年)"/>
        <s v="WMTS_1/1000地形圖_屏東縣新園烏龍都市計畫(100年)"/>
        <s v="WMTS_1/1000地形圖_屏東縣新園都市計畫(100年)"/>
        <s v="WMTS_1/1000地形圖_屏東縣萬丹都市計畫(100年)"/>
        <s v="WMTS_1/1000地形圖_屏東縣萬巒都市計畫(101年)"/>
        <s v="WMTS_1/1000地形圖_屏東縣滿州都市計畫(101年)"/>
        <s v="WMTS_1/1000地形圖_屏東縣潮州都市計畫(98年)"/>
        <s v="WMTS_1/1000地形圖_屏東縣墾丁國家公園計畫(104年)"/>
        <s v="WMTS_1/1000地形圖_屏東縣麟洛都市計畫(100年)"/>
        <s v="WMTS_1/1000地形圖_屏東縣鹽埔都市計畫(100年)"/>
        <s v="WMTS_1/1000地形圖_屏東縣鹽埔漁港特定區計畫(102年)"/>
        <s v="WMTS_1/1000地形圖_屏東縣鹽埔漁港特定區計畫(113年)"/>
        <s v="WMTS_1/1000地形圖_苗栗縣三義都市計畫(97年)"/>
        <s v="WMTS_1/1000地形圖_苗栗縣大湖都市計畫(95年)"/>
        <s v="WMTS_1/1000地形圖_苗栗縣公館都市計畫(98年)"/>
        <s v="WMTS_1/1000地形圖_苗栗縣竹南頭份都市計畫(94年)"/>
        <s v="WMTS_1/1000地形圖_苗栗縣卓蘭都市計畫(89年)"/>
        <s v="WMTS_1/1000地形圖_苗栗縣明德水庫特定區計畫(93年)"/>
        <s v="WMTS_1/1000地形圖_苗栗縣南庄都市計畫(98年)"/>
        <s v="WMTS_1/1000地形圖_苗栗縣後龍外埔漁港特定區計畫(95年)"/>
        <s v="WMTS_1/1000地形圖_苗栗縣後龍都市計畫(97年)"/>
        <s v="WMTS_1/1000地形圖_苗栗縣苑裡都市計畫(98年)"/>
        <s v="WMTS_1/1000地形圖_苗栗縣苗栗都市計畫(112年)"/>
        <s v="WMTS_1/1000地形圖_苗栗縣苗栗都市計畫(93年)"/>
        <s v="WMTS_1/1000地形圖_苗栗縣高速公路苗栗交流道附近特定區計畫(112年)"/>
        <s v="WMTS_1/1000地形圖_苗栗縣高速鐵路苗栗車站特定區計畫(92年)"/>
        <s v="WMTS_1/1000地形圖_苗栗縣通霄都市計畫(98年)"/>
        <s v="WMTS_1/1000地形圖_苗栗縣造橋都市計畫(97年)"/>
        <s v="WMTS_1/1000地形圖_苗栗縣新竹科學園區竹南基地特定區計畫(95年)"/>
        <s v="WMTS_1/1000地形圖_苗栗縣銅鑼都市計畫(98年)"/>
        <s v="WMTS_1/1000地形圖_苗栗縣頭份交流道特定區計畫(96年)"/>
        <s v="WMTS_1/1000地形圖_苗栗縣頭屋都市計畫(112年)"/>
        <s v="WMTS_1/1000地形圖_苗栗縣頭屋都市計畫(98年)"/>
        <s v="WMTS_1/1000地形圖_桃園市八德(八德地區)都市計畫(111年)"/>
        <s v="WMTS_1/1000地形圖_桃園市八德(大湳地區)都市計畫(111年)"/>
        <s v="WMTS_1/1000地形圖_桃園市八德大湳都市計畫(92年)"/>
        <s v="WMTS_1/1000地形圖_桃園市大園(菓林)都市計畫(107年)"/>
        <s v="WMTS_1/1000地形圖_桃園市大園果林都市計畫(98年)"/>
        <s v="WMTS_1/1000地形圖_桃園市大園都市計畫(108年)"/>
        <s v="WMTS_1/1000地形圖_桃園市大園都市計畫(98年)"/>
        <s v="WMTS_1/1000地形圖_桃園市大溪(埔頂地區)都市計畫(111年)"/>
        <s v="WMTS_1/1000地形圖_桃園市大溪埔頂都市計畫(102年)"/>
        <s v="WMTS_1/1000地形圖_桃園市大溪都市計畫(93年)"/>
        <s v="WMTS_1/1000地形圖_桃園市小烏來風景特定區計畫(100年)"/>
        <s v="WMTS_1/1000地形圖_桃園市中壢(龍岡地區)都市計畫(111年)"/>
        <s v="WMTS_1/1000地形圖_桃園市中壢及內壢交流道特定區計畫(100年)"/>
        <s v="WMTS_1/1000地形圖_桃園市中壢平鎮都市計畫(100年)"/>
        <s v="WMTS_1/1000地形圖_桃園市中壢平鎮都市計畫(111年)"/>
        <s v="WMTS_1/1000地形圖_桃園市中壢過嶺地區等都市計畫(100年)"/>
        <s v="WMTS_1/1000地形圖_桃園市中壢龍岡都市計畫(95年)"/>
        <s v="WMTS_1/1000地形圖_桃園市巴陵達觀山風景特定區計畫(100年)"/>
        <s v="WMTS_1/1000地形圖_桃園市平鎮(山子頂地區)都市計畫(112年)"/>
        <s v="WMTS_1/1000地形圖_桃園市平鎮山子頂都市計畫(96年)"/>
        <s v="WMTS_1/1000地形圖_桃園市石門水庫水源特定區計畫(100年)"/>
        <s v="WMTS_1/1000地形圖_桃園市石門都市計畫(102年)"/>
        <s v="WMTS_1/1000地形圖_桃園市林口特定區計畫(101年)"/>
        <s v="WMTS_1/1000地形圖_桃園市南崁都市計畫(107年)"/>
        <s v="WMTS_1/1000地形圖_桃園市南崁都市計畫(94年)"/>
        <s v="WMTS_1/1000地形圖_桃園市桃園市都市計畫(103(105年)"/>
        <s v="WMTS_1/1000地形圖_桃園市航空城(大園南港特定區)計畫(98年)"/>
        <s v="WMTS_1/1000地形圖_桃園市航空城特定區計畫(110年)"/>
        <s v="WMTS_1/1000地形圖_桃園市高鐵桃園車站特定區計畫(98年)"/>
        <s v="WMTS_1/1000地形圖_桃園市高鐵特定區計畫(105年)"/>
        <s v="WMTS_1/1000地形圖_桃園市復興都市計畫(94年)"/>
        <s v="WMTS_1/1000地形圖_桃園市新屋都市計畫(100年)"/>
        <s v="WMTS_1/1000地形圖_桃園市新屋都市計畫(113年)"/>
        <s v="WMTS_1/1000地形圖_桃園市楊梅都市計畫(102年)"/>
        <s v="WMTS_1/1000地形圖_桃園市楊梅富岡豐野都市計畫(100年)"/>
        <s v="WMTS_1/1000地形圖_桃園市龍壽迴龍都市計畫(98年)"/>
        <s v="WMTS_1/1000地形圖_桃園市龍潭都市計畫(113年)"/>
        <s v="WMTS_1/1000地形圖_桃園市龍潭都市計畫(97年)"/>
        <s v="WMTS_1/1000地形圖_桃園市龜山都市計畫(98年)"/>
        <s v="WMTS_1/1000地形圖_桃園市縱貫公路內壢間都市計畫(100年)"/>
        <s v="WMTS_1/1000地形圖_桃園市蘆竹大竹都市計畫(98年)"/>
        <s v="WMTS_1/1000地形圖_桃園市觀音(新坡地區)都市計畫(113年)"/>
        <s v="WMTS_1/1000地形圖_桃園市觀音草漯都市計畫(100年)"/>
        <s v="WMTS_1/1000地形圖_桃園市觀音都市計畫(113年)"/>
        <s v="WMTS_1/1000地形圖_桃園市觀音都市計畫(94年)"/>
        <s v="WMTS_1/1000地形圖_桃園市觀音新坡都市計畫(94年)"/>
        <s v="WMTS_1/1000地形圖_高雄市(三民.苓雅.前金.新興.前鎮.鹽埕)都市計畫(113年)"/>
        <s v="WMTS_1/1000地形圖_高雄市大坪頂以東地區88以北(93年)"/>
        <s v="WMTS_1/1000地形圖_高雄市大坪頂以東地區88以北(94年)"/>
        <s v="WMTS_1/1000地形圖_高雄市大坪頂以東地區88以南(97年)"/>
        <s v="WMTS_1/1000地形圖_高雄市大坪頂特定區計畫(99年)"/>
        <s v="WMTS_1/1000地形圖_高雄市大社都市計畫(105年)"/>
        <s v="WMTS_1/1000地形圖_高雄市大寮都市計畫(105年)"/>
        <s v="WMTS_1/1000地形圖_高雄市大樹九曲堂都市計畫(106年)"/>
        <s v="WMTS_1/1000地形圖_高雄市大樹都市計畫(107年)"/>
        <s v="WMTS_1/1000地形圖_高雄市大樹都市計畫(92年)"/>
        <s v="WMTS_1/1000地形圖_高雄市仁武都市計畫(100年)"/>
        <s v="WMTS_1/1000地形圖_高雄市六龜彩蝶谷風景特定區計畫(99年)"/>
        <s v="WMTS_1/1000地形圖_高雄市月世界風景特定區計畫(99年)"/>
        <s v="WMTS_1/1000地形圖_高雄市左營鼓山都市計畫(113年)"/>
        <s v="WMTS_1/1000地形圖_高雄市甲仙都市計畫(99年)"/>
        <s v="WMTS_1/1000地形圖_高雄市岡山交流道特定區計畫(99年)"/>
        <s v="WMTS_1/1000地形圖_高雄市岡山都市計畫(112年)"/>
        <s v="WMTS_1/1000地形圖_高雄市岡山都市計畫(98年)"/>
        <s v="WMTS_1/1000地形圖_高雄市阿蓮都市計畫(104年)"/>
        <s v="WMTS_1/1000地形圖_高雄市美濃中正湖風景特定區計畫(101年)"/>
        <s v="WMTS_1/1000地形圖_高雄市美濃都市計畫(105年)"/>
        <s v="WMTS_1/1000地形圖_高雄市茄萣都市計畫及興達港漁業特定區計畫(101年)"/>
        <s v="WMTS_1/1000地形圖_高雄市梓官都市計畫(101年)"/>
        <s v="WMTS_1/1000地形圖_高雄市梓官都市計畫(109年)"/>
        <s v="WMTS_1/1000地形圖_高雄市蚵仔寮近海漁業特定區計畫(101年)"/>
        <s v="WMTS_1/1000地形圖_高雄市都市計畫(102年)"/>
        <s v="WMTS_1/1000地形圖_高雄市鳥松仁美地區都市計畫(101年)"/>
        <s v="WMTS_1/1000地形圖_高雄市鳥松仁美地區都市計畫(108年)"/>
        <s v="WMTS_1/1000地形圖_高雄市湖內含大湖都市計畫(101年)"/>
        <s v="WMTS_1/1000地形圖_高雄市新市鎮特定區計畫(102年)"/>
        <s v="WMTS_1/1000地形圖_高雄市新市鎮特定區計畫(97年)"/>
        <s v="WMTS_1/1000地形圖_高雄市楠梓交流道特定區計畫鳳山厝(106年)"/>
        <s v="WMTS_1/1000地形圖_高雄市楠梓計畫(113年)"/>
        <s v="WMTS_1/1000地形圖_高雄市路竹都市計畫(106年)"/>
        <s v="WMTS_1/1000地形圖_高雄市旗山都市計畫(99年)"/>
        <s v="WMTS_1/1000地形圖_高雄市鳳山都市計畫(100年)"/>
        <s v="WMTS_1/1000地形圖_高雄市鳳山都市計畫(113年)"/>
        <s v="WMTS_1/1000地形圖_高雄市燕巢都市計畫(104年)"/>
        <s v="WMTS_1/1000地形圖_高雄市興達港漁業特定區計畫(109年)"/>
        <s v="WMTS_1/1000地形圖_高雄市彌陀都市計畫(101年)"/>
        <s v="WMTS_1/1000地形圖_基隆市都市計畫(111年)"/>
        <s v="WMTS_1/1000地形圖_基隆市都市計畫(96年)"/>
        <s v="WMTS_1/1000地形圖_連江縣都市計畫"/>
        <s v="WMTS_1/1000地形圖_湖口都市計畫(94年)"/>
        <s v="WMTS_1/1000地形圖_雲林縣二崙都市計畫(112年)"/>
        <s v="WMTS_1/1000地形圖_雲林縣二崙都市計畫(99年)"/>
        <s v="WMTS_1/1000地形圖_雲林縣大埤都市計畫(97年)"/>
        <s v="WMTS_1/1000地形圖_雲林縣元長都市計畫(100年)"/>
        <s v="WMTS_1/1000地形圖_雲林縣斗六(含大潭地區)都市計畫(113年)"/>
        <s v="WMTS_1/1000地形圖_雲林縣斗六都市計畫(99年)"/>
        <s v="WMTS_1/1000地形圖_雲林縣斗六嘉東地區特定區計畫(112年)"/>
        <s v="WMTS_1/1000地形圖_雲林縣斗六嘉東特定區計畫(97年)"/>
        <s v="WMTS_1/1000地形圖_雲林縣斗南交流道特定區計畫(98年)"/>
        <s v="WMTS_1/1000地形圖_雲林縣古坑都市計畫(100年)"/>
        <s v="WMTS_1/1000地形圖_雲林縣台西都市計畫(97年)"/>
        <s v="WMTS_1/1000地形圖_雲林縣四湖都市計畫(97年)"/>
        <s v="WMTS_1/1000地形圖_雲林縣東勢都市計畫(97年)"/>
        <s v="WMTS_1/1000地形圖_雲林縣林內都市計畫(97年)"/>
        <s v="WMTS_1/1000地形圖_雲林縣草嶺都市計畫(97年)"/>
        <s v="WMTS_1/1000地形圖_雲林縣高速鐵路雲林車站特定區計畫(113年)"/>
        <s v="WMTS_1/1000地形圖_雲林縣崙背都市計畫(112年)"/>
        <s v="WMTS_1/1000地形圖_雲林縣崙背都市計畫(97年)"/>
        <s v="WMTS_1/1000地形圖_雲林縣莿桐都市計畫(113年)"/>
        <s v="WMTS_1/1000地形圖_雲林縣箔子寮漁港特定區計畫(112年)"/>
        <s v="WMTS_1/1000地形圖_雲林縣箔子寮漁港特定區計畫(97年)"/>
        <s v="WMTS_1/1000地形圖_雲林縣褒忠都市計畫(97年)"/>
        <s v="WMTS_1/1000地形圖_新北市八里都市計畫(101年)"/>
        <s v="WMTS_1/1000地形圖_新北市八里都市計畫(107年)"/>
        <s v="WMTS_1/1000地形圖_新北市三芝都市計畫(104年)"/>
        <s v="WMTS_1/1000地形圖_新北市三芝都市計畫(109年)"/>
        <s v="WMTS_1/1000地形圖_新北市三重都市計畫(103年)"/>
        <s v="WMTS_1/1000地形圖_新北市三重都市計畫(110年)"/>
        <s v="WMTS_1/1000地形圖_新北市三峽都市計畫(105年)"/>
        <s v="WMTS_1/1000地形圖_新北市三峽都市計畫(111年)"/>
        <s v="WMTS_1/1000地形圖_新北市土城都市計畫(103年)"/>
        <s v="WMTS_1/1000地形圖_新北市土城都市計畫(109年)"/>
        <s v="WMTS_1/1000地形圖_新北市中和都市計畫(104年)"/>
        <s v="WMTS_1/1000地形圖_新北市中和都市計畫(112年)"/>
        <s v="WMTS_1/1000地形圖_新北市五股都市計畫(101年)"/>
        <s v="WMTS_1/1000地形圖_新北市五股都市計畫(107年)"/>
        <s v="WMTS_1/1000地形圖_新北市平溪都市計畫(103年)"/>
        <s v="WMTS_1/1000地形圖_新北市平溪都市計畫(110年)"/>
        <s v="WMTS_1/1000地形圖_新北市永和都市計畫(104年)"/>
        <s v="WMTS_1/1000地形圖_新北市永和都市計畫(112年)"/>
        <s v="WMTS_1/1000地形圖_新北市石門都市計畫(104年)"/>
        <s v="WMTS_1/1000地形圖_新北市石門都市計畫(110年)"/>
        <s v="WMTS_1/1000地形圖_新北市石碇都市計畫(104年)"/>
        <s v="WMTS_1/1000地形圖_新北市石碇都市計畫(110年)"/>
        <s v="WMTS_1/1000地形圖_新北市汐止都市計畫(102年)"/>
        <s v="WMTS_1/1000地形圖_新北市汐止都市計畫(108年)"/>
        <s v="WMTS_1/1000地形圖_新北市坪林都市計畫(104年)"/>
        <s v="WMTS_1/1000地形圖_新北市坪林都市計畫(110年)"/>
        <s v="WMTS_1/1000地形圖_新北市板橋都市計畫(103年)"/>
        <s v="WMTS_1/1000地形圖_新北市板橋都市計畫(109年)"/>
        <s v="WMTS_1/1000地形圖_新北市林口都市計畫(101年)"/>
        <s v="WMTS_1/1000地形圖_新北市林口都市計畫(107年)"/>
        <s v="WMTS_1/1000地形圖_新北市金山都市計畫(103年)"/>
        <s v="WMTS_1/1000地形圖_新北市金山都市計畫(109年)"/>
        <s v="WMTS_1/1000地形圖_新北市泰山都市計畫(105年)"/>
        <s v="WMTS_1/1000地形圖_新北市烏來都市計畫(104年)"/>
        <s v="WMTS_1/1000地形圖_新北市烏來都市計畫(112年)"/>
        <s v="WMTS_1/1000地形圖_新北市貢寮都市計畫(100年)"/>
        <s v="WMTS_1/1000地形圖_新北市貢寮都市計畫(108年)"/>
        <s v="WMTS_1/1000地形圖_新北市貢寮都市計畫(112年)"/>
        <s v="WMTS_1/1000地形圖_新北市淡水都市計畫(105年)"/>
        <s v="WMTS_1/1000地形圖_新北市淡水都市計畫(110年)"/>
        <s v="WMTS_1/1000地形圖_新北市深坑都市計畫(104年)"/>
        <s v="WMTS_1/1000地形圖_新北市深坑都市計畫(110年)"/>
        <s v="WMTS_1/1000地形圖_新北市新店都市計畫(104年)"/>
        <s v="WMTS_1/1000地形圖_新北市新店都市計畫(111年)"/>
        <s v="WMTS_1/1000地形圖_新北市新莊都市計畫(105年)"/>
        <s v="WMTS_1/1000地形圖_新北市瑞芳都市計畫(105年)"/>
        <s v="WMTS_1/1000地形圖_新北市瑞芳都市計畫(111年)"/>
        <s v="WMTS_1/1000地形圖_新北市萬里都市計畫(103年)"/>
        <s v="WMTS_1/1000地形圖_新北市萬里都市計畫(109年)"/>
        <s v="WMTS_1/1000地形圖_新北市樹林都市計畫(105年)"/>
        <s v="WMTS_1/1000地形圖_新北市雙溪都市計畫(103年)"/>
        <s v="WMTS_1/1000地形圖_新北市雙溪都市計畫(112年)"/>
        <s v="WMTS_1/1000地形圖_新北市蘆洲都市計畫(104年)"/>
        <s v="WMTS_1/1000地形圖_新北市蘆洲都市計畫(110年)"/>
        <s v="WMTS_1/1000地形圖_新北市鶯歌都市計畫(105年)"/>
        <s v="WMTS_1/1000地形圖_新北市鶯歌都市計畫(111年)"/>
        <s v="WMTS_1/1000地形圖_新竹市北區都市計畫(110年)"/>
        <s v="WMTS_1/1000地形圖_新竹市北區都市計畫(113年)"/>
        <s v="WMTS_1/1000地形圖_新竹市東區都市計畫(109年)"/>
        <s v="WMTS_1/1000地形圖_新竹市東區都市計畫(112年)"/>
        <s v="WMTS_1/1000地形圖_新竹市香山區都市計畫(108年)"/>
        <s v="WMTS_1/1000地形圖_新竹市香山區都市計畫(111年)"/>
        <s v="WMTS_1/1000地形圖_新竹市都市計畫(104-106年)"/>
        <s v="WMTS_1/1000地形圖_新竹科學工業園區特定區計畫(竹東部分)(112年)"/>
        <s v="WMTS_1/1000地形圖_新竹科學工業園區特定區計畫(寶山部分)(112年)"/>
        <s v="WMTS_1/1000地形圖_新竹縣竹北(含斗崙地區)都市計畫(113年)"/>
        <s v="WMTS_1/1000地形圖_新竹縣高速鐵路新竹車站特定區計畫(113年)"/>
        <s v="WMTS_1/1000地形圖_新竹縣寶山都市計畫(112年)"/>
        <s v="WMTS_1/1000地形圖_新埔都市計畫(94年)"/>
        <s v="WMTS_1/1000地形圖_新豐(山崎仔地區(都市計畫(94年)"/>
        <s v="WMTS_1/1000地形圖_新豐(新庄子地區(都市計畫(94年)"/>
        <s v="WMTS_1/1000地形圖_嘉義縣大林都市計畫(112年)"/>
        <s v="WMTS_1/1000地形圖_嘉義縣大林都市計畫(97年)"/>
        <s v="WMTS_1/1000地形圖_嘉義縣大埔都市計畫(101年)"/>
        <s v="WMTS_1/1000地形圖_嘉義縣中正大學特定區計畫(97年)"/>
        <s v="WMTS_1/1000地形圖_嘉義縣中埔和睦地區都市計畫(99年)"/>
        <s v="WMTS_1/1000地形圖_嘉義縣中埔都市計畫(99年)"/>
        <s v="WMTS_1/1000地形圖_嘉義縣中崙風景特定區計畫(99年)"/>
        <s v="WMTS_1/1000地形圖_嘉義縣仁義潭風景特定區計畫(99年)"/>
        <s v="WMTS_1/1000地形圖_嘉義縣仁義潭風景特定區計畫(嘉義縣部分)(112年)"/>
        <s v="WMTS_1/1000地形圖_嘉義縣六腳蒜頭都市計畫(98年)"/>
        <s v="WMTS_1/1000地形圖_嘉義縣太保都市計畫(112年)"/>
        <s v="WMTS_1/1000地形圖_嘉義縣太保都市計畫(94年)"/>
        <s v="WMTS_1/1000地形圖_嘉義縣水上北回都市計畫(98年)"/>
        <s v="WMTS_1/1000地形圖_嘉義縣水上都市計畫(98年)"/>
        <s v="WMTS_1/1000地形圖_嘉義縣布袋都市計畫(98年)"/>
        <s v="WMTS_1/1000地形圖_嘉義縣民雄(頭橋地區)都市計畫(113年)"/>
        <s v="WMTS_1/1000地形圖_嘉義縣民雄都市計畫(113年)"/>
        <s v="WMTS_1/1000地形圖_嘉義縣民雄都市計畫(97年)"/>
        <s v="WMTS_1/1000地形圖_嘉義縣民雄頭橋地區都市計畫(97年)"/>
        <s v="WMTS_1/1000地形圖_嘉義縣朴子都市計畫(94年)"/>
        <s v="WMTS_1/1000地形圖_嘉義縣竹崎都市計畫(99年)"/>
        <s v="WMTS_1/1000地形圖_嘉義縣竹崎鄉都市計畫(113年)"/>
        <s v="WMTS_1/1000地形圖_嘉義縣吳鳳廟特定區計畫(112年)"/>
        <s v="WMTS_1/1000地形圖_嘉義縣吳鳳廟特定區計畫(99年)"/>
        <s v="WMTS_1/1000地形圖_嘉義縣治都市計畫(112年)"/>
        <s v="WMTS_1/1000地形圖_嘉義縣阿里山風景區計畫(110年)"/>
        <s v="WMTS_1/1000地形圖_嘉義縣阿里山鄉都市計畫(113年)"/>
        <s v="WMTS_1/1000地形圖_嘉義縣阿里山達邦地區都市計畫(99年)"/>
        <s v="WMTS_1/1000地形圖_嘉義縣高速公路嘉義交流道特定區計畫(98年)"/>
        <s v="WMTS_1/1000地形圖_嘉義縣高速鐵路嘉義車站特定區計畫(112年)"/>
        <s v="WMTS_1/1000地形圖_嘉義縣高速鐵路嘉義車站特定區計畫(94年)"/>
        <s v="WMTS_1/1000地形圖_嘉義縣國立中正大學特定區計畫(112年)"/>
        <s v="WMTS_1/1000地形圖_嘉義縣梅山都市計畫(97年)"/>
        <s v="WMTS_1/1000地形圖_嘉義縣鹿草都市計畫(99年)"/>
        <s v="WMTS_1/1000地形圖_嘉義縣曾文水庫特定區計畫(101年)"/>
        <s v="WMTS_1/1000地形圖_嘉義縣番路鄉都市計畫(113年)"/>
        <s v="WMTS_1/1000地形圖_嘉義縣新港都市計畫(97年)"/>
        <s v="WMTS_1/1000地形圖_嘉義縣溪口都市計畫(97年)"/>
        <s v="WMTS_1/1000地形圖_嘉義縣義竹都市計畫(98年)"/>
        <s v="WMTS_1/1000地形圖_嘉義縣縣治所在地都市計畫(94年)"/>
        <s v="WMTS_1/1000地形圖_彰化縣二水都市計畫(97年)"/>
        <s v="WMTS_1/1000地形圖_彰化縣二林都市計畫(97年)"/>
        <s v="WMTS_1/1000地形圖_彰化縣八卦山脈(八卦山地區)都市計畫(98年)"/>
        <s v="WMTS_1/1000地形圖_彰化縣八卦山脈(文山橫山地區)都市計畫(98年)"/>
        <s v="WMTS_1/1000地形圖_彰化縣八卦山脈(各區道路)都市計畫(98年)"/>
        <s v="WMTS_1/1000地形圖_彰化縣八卦山脈(百果山地區)都市計畫(98年)"/>
        <s v="WMTS_1/1000地形圖_彰化縣八卦山脈(東源地區)都市計畫(98年)"/>
        <s v="WMTS_1/1000地形圖_彰化縣八卦山脈(松柏嶺地區)都市計畫(98年)"/>
        <s v="WMTS_1/1000地形圖_彰化縣大村都市計畫(97年)"/>
        <s v="WMTS_1/1000地形圖_彰化縣大城都市計畫(98年)"/>
        <s v="WMTS_1/1000地形圖_彰化縣北斗都市計畫(97年)"/>
        <s v="WMTS_1/1000地形圖_彰化縣永靖都市計畫(98年)"/>
        <s v="WMTS_1/1000地形圖_彰化縣田中都市計畫(100年)"/>
        <s v="WMTS_1/1000地形圖_彰化縣田尾都市計畫(102年)"/>
        <s v="WMTS_1/1000地形圖_彰化縣田尾園藝特定區計畫(102年)"/>
        <s v="WMTS_1/1000地形圖_彰化縣竹塘都市計畫(98年)"/>
        <s v="WMTS_1/1000地形圖_彰化縣伸港都市計畫(97年)"/>
        <s v="WMTS_1/1000地形圖_彰化縣秀水都市計畫(98年)"/>
        <s v="WMTS_1/1000地形圖_彰化縣和美都市計畫(102年)"/>
        <s v="WMTS_1/1000地形圖_彰化縣社頭都市計畫(97年)"/>
        <s v="WMTS_1/1000地形圖_彰化縣芬園都市計畫(98年)"/>
        <s v="WMTS_1/1000地形圖_彰化縣花壇都市計畫(98年)"/>
        <s v="WMTS_1/1000地形圖_彰化縣芳苑都市計畫(98年)"/>
        <s v="WMTS_1/1000地形圖_彰化縣員林都市計畫(99年)"/>
        <s v="WMTS_1/1000地形圖_彰化縣埔心都市計畫(100年)"/>
        <s v="WMTS_1/1000地形圖_彰化縣埔鹽都市計畫(97年)"/>
        <s v="WMTS_1/1000地形圖_彰化縣高速公路員林交流道特定區計畫(98年)"/>
        <s v="WMTS_1/1000地形圖_彰化縣高速公路彰化交流道附近特定區計畫(112年)"/>
        <s v="WMTS_1/1000地形圖_彰化縣高速公路彰化交流道特定區計畫(100年)"/>
        <s v="WMTS_1/1000地形圖_彰化縣高速鐵路彰化車站特定區計畫(102年)"/>
        <s v="WMTS_1/1000地形圖_彰化縣埤頭都市計畫(100年)"/>
        <s v="WMTS_1/1000地形圖_彰化縣鹿港福興都市計畫(97年)"/>
        <s v="WMTS_1/1000地形圖_彰化縣溪州都市計畫(97年)"/>
        <s v="WMTS_1/1000地形圖_彰化縣溪湖都市計畫(102年)"/>
        <s v="WMTS_1/1000地形圖_彰化縣彰化市都市計畫(99年)"/>
        <s v="WMTS_1/1000地形圖_彰化縣彰化都市計畫(112年)"/>
        <s v="WMTS_1/1000地形圖_彰化縣線西都市計畫(97年)"/>
        <s v="WMTS_1/1000地形圖_臺中市大甲(日南)都市計畫(100年)"/>
        <s v="WMTS_1/1000地形圖_臺中市大甲都市計畫(98年)"/>
        <s v="WMTS_1/1000地形圖_臺中市大安都市計畫(100年)"/>
        <s v="WMTS_1/1000地形圖_臺中市大肚都市計畫(112年)"/>
        <s v="WMTS_1/1000地形圖_臺中市大肚都市計畫(98年)"/>
        <s v="WMTS_1/1000地形圖_臺中市大里(草湖)都市計畫(91年)"/>
        <s v="WMTS_1/1000地形圖_臺中市大里都市計畫(96年)"/>
        <s v="WMTS_1/1000地形圖_臺中市大雅都市計畫(97年)"/>
        <s v="WMTS_1/1000地形圖_臺中市中部科學工業園區(93年)"/>
        <s v="WMTS_1/1000地形圖_臺中市中部科學工業園區台中基地附近特定區計畫(113年)"/>
        <s v="WMTS_1/1000地形圖_臺中市太平(中平)都市計畫(90年)"/>
        <s v="WMTS_1/1000地形圖_臺中市太平(新光)都市計畫(90年)"/>
        <s v="WMTS_1/1000地形圖_臺中市太平都市計畫(90年)"/>
        <s v="WMTS_1/1000地形圖_臺中市日南都市計畫(100年)"/>
        <s v="WMTS_1/1000地形圖_臺中市王田交流道特定區計畫(95年)"/>
        <s v="WMTS_1/1000地形圖_臺中市外埔都市計畫(100年)"/>
        <s v="WMTS_1/1000地形圖_臺中市石岡水壩都市計畫(91年)"/>
        <s v="WMTS_1/1000地形圖_臺中市后里都市計畫(98年)"/>
        <s v="WMTS_1/1000地形圖_臺中市谷關都市計畫(96年)"/>
        <s v="WMTS_1/1000地形圖_臺中市東勢都市計畫(112年)"/>
        <s v="WMTS_1/1000地形圖_臺中市東勢都市計畫(91年)"/>
        <s v="WMTS_1/1000地形圖_臺中市烏日都市計畫(112年)"/>
        <s v="WMTS_1/1000地形圖_臺中市烏日都市計畫(91年)"/>
        <s v="WMTS_1/1000地形圖_臺中市高速公路王田交流道附近特定區計畫(112年)"/>
        <s v="WMTS_1/1000地形圖_臺中市梨山(松茂)都市計畫(96年)"/>
        <s v="WMTS_1/1000地形圖_臺中市梨山(新佳陽)都市計畫(96年)"/>
        <s v="WMTS_1/1000地形圖_臺中市梨山(環山)都市計畫(96年)"/>
        <s v="WMTS_1/1000地形圖_臺中市梨山都市計畫(96年)"/>
        <s v="WMTS_1/1000地形圖_臺中市都市計畫(107年)"/>
        <s v="WMTS_1/1000地形圖_臺中市新社都市計畫(112年)"/>
        <s v="WMTS_1/1000地形圖_臺中市新社都市計畫(91年)"/>
        <s v="WMTS_1/1000地形圖_臺中市臺中港特定區計畫(95年)"/>
        <s v="WMTS_1/1000地形圖_臺中市潭子都市計畫(94年)"/>
        <s v="WMTS_1/1000地形圖_臺中市豐原交流道特定區計畫(94年)"/>
        <s v="WMTS_1/1000地形圖_臺中市豐原都市計畫(94年)"/>
        <s v="WMTS_1/1000地形圖_臺中市豐潭雅神都市計畫(113年)"/>
        <s v="WMTS_1/1000地形圖_臺中市霧峰都市計畫(92年)"/>
        <s v="WMTS_1/1000地形圖_臺中市鐵砧山風景特定區計畫(93年)"/>
        <s v="WMTS_1/1000地形圖_臺中市鐵砧山都市計畫(93年)"/>
        <s v="WMTS_1/1000地形圖_臺東市都市計畫(100年)"/>
        <s v="WMTS_1/1000地形圖_臺東縣八仙洞風景特定區計畫(101年)"/>
        <s v="WMTS_1/1000地形圖_臺東縣三仙台風景特定區計畫(101年)"/>
        <s v="WMTS_1/1000地形圖_臺東縣大武都市計畫(99年)"/>
        <s v="WMTS_1/1000地形圖_臺東縣小野柳風景特定區計畫(94年)"/>
        <s v="WMTS_1/1000地形圖_臺東縣太麻里都市計畫(98年)"/>
        <s v="WMTS_1/1000地形圖_臺東縣成功都市計畫(98年)"/>
        <s v="WMTS_1/1000地形圖_臺東縣池上都市計畫(99年)"/>
        <s v="WMTS_1/1000地形圖_臺東縣卑南南王都市計畫(99年)"/>
        <s v="WMTS_1/1000地形圖_臺東縣東河都市計畫(100年)"/>
        <s v="WMTS_1/1000地形圖_臺東縣知本溫泉風景特定區計畫(100年)"/>
        <s v="WMTS_1/1000地形圖_臺東縣知本鐵路車站地區(94年)"/>
        <s v="WMTS_1/1000地形圖_臺東縣長濱都市計畫(101年)"/>
        <s v="WMTS_1/1000地形圖_臺東縣紅葉溫泉風景特定區計畫(99年)"/>
        <s v="WMTS_1/1000地形圖_臺東縣鹿野都市計畫(98年)"/>
        <s v="WMTS_1/1000地形圖_臺東縣綠島風景特定區計畫(101年)"/>
        <s v="WMTS_1/1000地形圖_臺東縣綠島都市計畫(111年)"/>
        <s v="WMTS_1/1000地形圖_臺東縣臺東市都市計畫(112年)"/>
        <s v="WMTS_1/1000地形圖_臺東縣臺東鐵路新站附近地區都市計畫(113年)"/>
        <s v="WMTS_1/1000地形圖_臺東縣關山都市計畫(98年)"/>
        <s v="WMTS_1/1000地形圖_臺東縣蘭嶼都市計畫(109年)"/>
        <s v="WMTS_1/1000地形圖_臺東鐵路新站附近地區(94年)"/>
        <s v="WMTS_1/1000地形圖_臺南市永康區都市計畫(97年)"/>
        <s v="WMTS_1/1000地形圖_臺南市佳里都市計畫(113年)"/>
        <s v="WMTS_1/1000地形圖_臺南市柳營都市計畫(112年)"/>
        <s v="WMTS_1/1000地形圖_臺南市高速公路新營交流道附近特定區計畫(112年)"/>
        <s v="WMTS_1/1000地形圖_臺南市都市計畫(100年)"/>
        <s v="WMTS_1/1000地形圖_臺南市都市計畫(101年)"/>
        <s v="WMTS_1/1000地形圖_臺南市都市計畫(102年)"/>
        <s v="WMTS_1/1000地形圖_臺南市都市計畫(93年)"/>
        <s v="WMTS_1/1000地形圖_臺南市都市計畫(99年)"/>
        <s v="WMTS_1/1000地形圖_臺南市新營都市計畫(112年)"/>
        <s v="WMTS_1/1000地形圖_臺南市鹽水都市計畫(112年)"/>
        <s v="WMTS_1/1000地形圖_澎湖縣二崁都市計畫(104年)"/>
        <s v="WMTS_1/1000地形圖_澎湖縣二崁傳統聚落特定區計畫(112年)"/>
        <s v="WMTS_1/1000地形圖_澎湖縣白沙通梁地區都市計畫(112年)"/>
        <s v="WMTS_1/1000地形圖_澎湖縣白沙鄉都市計畫(99年)"/>
        <s v="WMTS_1/1000地形圖_澎湖縣西嶼西台古蹟特定區計畫(112年)"/>
        <s v="WMTS_1/1000地形圖_澎湖縣西嶼西台都市計畫(95年)"/>
        <s v="WMTS_1/1000地形圖_澎湖縣林投風景特定區計畫(112年)"/>
        <s v="WMTS_1/1000地形圖_澎湖縣林投都市計畫(96年)"/>
        <s v="WMTS_1/1000地形圖_澎湖縣花宅聚落(103年)"/>
        <s v="WMTS_1/1000地形圖_澎湖縣南方四島國家公園計畫(104年)"/>
        <s v="WMTS_1/1000地形圖_澎湖縣馬公市都市計畫(113年)"/>
        <s v="WMTS_1/1000地形圖_澎湖縣馬公都市計畫(112年)"/>
        <s v="WMTS_1/1000地形圖_澎湖縣馬公都市計畫(97-98年)"/>
        <s v="WMTS_1/1000地形圖_澎湖縣湖西鄉都市計畫(113年)"/>
        <s v="WMTS_1/1000地形圖_澎湖縣鎖港地區都市計畫(112年)"/>
        <s v="WMTS_1/1000地形圖_澎湖縣鎖港都市計畫(104年)"/>
        <s v="WMTS_1/1000地形圖_關西都市計畫(94年)"/>
        <s v="WMTS_1/1000地形圖_寶山都市計畫(93-94年)"/>
        <s v="WMTS_1/25000地形圖(107年)"/>
        <s v="WMTS_1/25000地形圖(108年)"/>
        <s v="WMTS_1/25000地形圖(109年)"/>
        <s v="WMTS_1/25000地形圖(110年)"/>
        <s v="WMTS_1/25000地形圖(111年)"/>
        <s v="WMTS_1/25000地形圖(112年)"/>
        <s v="WMTS_1/25000地形圖(113年)"/>
        <s v="WMTS_1/25000地形圖(114年)"/>
        <s v="WMTS_1/25000基本地形圖"/>
        <s v="WMTS_1/50000地形圖(107年)"/>
        <s v="WMTS_1/50000地形圖(109年)"/>
        <s v="WMTS_1/50000地形圖(110年)"/>
        <s v="WMTS_1/50000地形圖(111年)"/>
        <s v="WMTS_1/50000地形圖(112年)"/>
        <s v="WMTS_1/50000地形圖(113年)"/>
        <s v="WMTS_1/50000基本地形圖"/>
        <s v="WMTS_1/5000基本地形圖"/>
        <s v="WMTS_1/5000基本地形圖(100年)"/>
        <s v="WMTS_1/5000基本地形圖(101年)"/>
        <s v="WMTS_1/5000基本地形圖(102年)"/>
        <s v="WMTS_1/5000基本地形圖(103年)"/>
        <s v="WMTS_1/5000基本地形圖(104年)"/>
        <s v="WMTS_1/5000基本地形圖(105年)"/>
        <s v="WMTS_1/5000基本地形圖(106年)"/>
        <s v="WMTS_1/5000基本地形圖(107年)"/>
        <s v="WMTS_1/5000基本地形圖(108年)"/>
        <s v="WMTS_1/5000基本地形圖(109年)"/>
        <s v="WMTS_1/5000基本地形圖(110年)"/>
        <s v="WMTS_1/5000基本地形圖(111年)"/>
        <s v="WMTS_1/5000基本地形圖(84年)"/>
        <s v="WMTS_1/5000基本地形圖(86年)"/>
        <s v="WMTS_1/5000基本地形圖(87年)"/>
        <s v="WMTS_1/5000基本地形圖(88年)"/>
        <s v="WMTS_1/5000基本地形圖(90年)"/>
        <s v="WMTS_1/5000基本地形圖(91年)"/>
        <s v="WMTS_1/5000基本地形圖(92年)"/>
        <s v="WMTS_1/5000基本地形圖(96年)"/>
        <s v="WMTS_1/5000基本地形圖(98年)"/>
        <s v="WMTS_1/5000基本地形圖(99年)"/>
        <s v="WMTS_1/5000像片基本圖(100年)"/>
        <s v="WMTS_1/5000像片基本圖(101年)"/>
        <s v="WMTS_1/5000像片基本圖(102年)"/>
        <s v="WMTS_1/5000像片基本圖(103年)"/>
        <s v="WMTS_1/5000像片基本圖(104年)"/>
        <s v="WMTS_1/5000像片基本圖(105年)"/>
        <s v="WMTS_1/5000像片基本圖(106年)"/>
        <s v="WMTS_1/5000像片基本圖(107年)"/>
        <s v="WMTS_1/5000像片基本圖(108年)"/>
        <s v="WMTS_1/5000像片基本圖(109年)"/>
        <s v="WMTS_1/5000像片基本圖(110年)"/>
        <s v="WMTS_1/5000像片基本圖(111年)"/>
        <s v="WMTS_1/5000像片基本圖(112年)"/>
        <s v="WMTS_1/5000像片基本圖(113年)"/>
        <s v="WMTS_1/5000像片基本圖(114年)"/>
        <s v="WMTS_1/5000像片基本圖(65年)"/>
        <s v="WMTS_1/5000像片基本圖(66年)"/>
        <s v="WMTS_1/5000像片基本圖(67年)"/>
        <s v="WMTS_1/5000像片基本圖(68年)"/>
        <s v="WMTS_1/5000像片基本圖(69年)"/>
        <s v="WMTS_1/5000像片基本圖(70年)"/>
        <s v="WMTS_1/5000像片基本圖(71年)"/>
        <s v="WMTS_1/5000像片基本圖(72年)"/>
        <s v="WMTS_1/5000像片基本圖(73年)"/>
        <s v="WMTS_1/5000像片基本圖(74年)"/>
        <s v="WMTS_1/5000像片基本圖(75年)"/>
        <s v="WMTS_1/5000像片基本圖(76年)"/>
        <s v="WMTS_1/5000像片基本圖(78年)"/>
        <s v="WMTS_1/5000像片基本圖(79年)"/>
        <s v="WMTS_1/5000像片基本圖(80年)"/>
        <s v="WMTS_1/5000像片基本圖(81年)"/>
        <s v="WMTS_1/5000像片基本圖(83年)"/>
        <s v="WMTS_1/5000像片基本圖(84年)"/>
        <s v="WMTS_1/5000像片基本圖(86年)"/>
        <s v="WMTS_1/5000像片基本圖(87年)"/>
        <s v="WMTS_1/5000像片基本圖(88年)"/>
        <s v="WMTS_1/5000像片基本圖(89年)"/>
        <s v="WMTS_1/5000像片基本圖(90年)"/>
        <s v="WMTS_1/5000像片基本圖(91年)"/>
        <s v="WMTS_1/5000像片基本圖(92年)"/>
        <s v="WMTS_1/5000像片基本圖(93年)"/>
        <s v="WMTS_1/5000像片基本圖(94年)"/>
        <s v="WMTS_1/5000像片基本圖(95年)"/>
        <s v="WMTS_1/5000像片基本圖(96年)"/>
        <s v="WMTS_1/5000像片基本圖(97年)"/>
        <s v="WMTS_1/5000像片基本圖(98年)"/>
        <s v="WMTS_1/5000像片基本圖(99年)"/>
        <s v="WMTS_1/5000圖幅框"/>
        <s v="WMTS_山崩與地滑地質敏感區"/>
        <s v="WMTS_正射影像圖(103年更新區)"/>
        <s v="WMTS_正射影像圖(104年更新區)"/>
        <s v="WMTS_正射影像圖(105年更新區)"/>
        <s v="WMTS_正射影像圖(106年更新區)"/>
        <s v="WMTS_正射影像圖(107年更新區)"/>
        <s v="WMTS_正射影像圖(108年更新區)"/>
        <s v="WMTS_正射影像圖(109年更新區)"/>
        <s v="WMTS_正射影像圖(110年更新區)"/>
        <s v="WMTS_正射影像圖(111年更新區)"/>
        <s v="WMTS_正射影像圖(112年更新區)"/>
        <s v="WMTS_正射影像圖(113年更新區)"/>
        <s v="WMTS_正射影像圖(114年更新區)"/>
        <s v="WMTS_正射影像圖(92-94年成果)"/>
        <s v="WMTS_正射影像圖(最新成果)"/>
        <s v="WMTS_正射影像圖TWD97/TM2 Zone 121"/>
        <s v="WMTS_地政事務所轄區圖"/>
        <s v="WMTS_地段外圍圖(段籍圖,區分測量類別)"/>
        <s v="WMTS_地段外圍圖(段籍圖)"/>
        <s v="WMTS_地籍圖"/>
        <s v="WMTS_村里界線"/>
        <s v="WMTS_村里界線(108年)"/>
        <s v="WMTS_直轄市及縣市界線"/>
        <s v="WMTS_空載光達數值地形變異分析圖(0.5M門檻)"/>
        <s v="WMTS_非都市土地使用分區圖"/>
        <s v="WMTS_非都市土地使用地類別圖"/>
        <s v="WMTS_消防栓位置"/>
        <s v="WMTS_航照影像_馬太鞍溪事件_1140925_1"/>
        <s v="WMTS_航照影像_馬太鞍溪事件_1140925_2"/>
        <s v="WMTS_航照影像_馬太鞍溪事件_1140925_3"/>
        <s v="WMTS_航照影像_馬太鞍溪事件_1140927_1"/>
        <s v="WMTS_航照影像_馬太鞍溪事件_1140927_2"/>
        <s v="WMTS_航照影像_馬太鞍溪事件_1140927_3"/>
        <s v="WMTS_航照影像_馬太鞍溪事件_1140928_1"/>
        <s v="WMTS_航照影像_馬太鞍溪事件_1140928_2"/>
        <s v="WMTS_航照影像_馬太鞍溪事件_1140929_1"/>
        <s v="WMTS_航照影像_馬太鞍溪事件_1140929_2"/>
        <s v="WMTS_航照影像_馬太鞍溪事件_1140930_1"/>
        <s v="WMTS_航照影像_馬太鞍溪事件_1140930_2"/>
        <s v="WMTS_航照影像_馬太鞍溪事件_1141001_1"/>
        <s v="WMTS_航照影像_馬太鞍溪事件_1141002_1"/>
        <s v="WMTS_航照影像_馬太鞍溪事件_1141002_2"/>
        <s v="WMTS_航照影像_馬太鞍溪事件_1141002_3"/>
        <s v="WMTS_航照影像_馬太鞍溪事件_1141003_1"/>
        <s v="WMTS_航照影像_馬太鞍溪事件_1141003_2"/>
        <s v="WMTS_航照影像_馬太鞍溪事件_1141003_3"/>
        <s v="WMTS_航照影像_馬太鞍溪事件_1141003_4"/>
        <s v="WMTS_航照影像_馬太鞍溪事件_1141003_5"/>
        <s v="WMTS_航照影像_馬太鞍溪事件_1141003_6"/>
        <s v="WMTS_航照影像_馬太鞍溪事件_1141003_7"/>
        <s v="WMTS_航照影像_馬太鞍溪事件_1141004_1"/>
        <s v="WMTS_航照影像_馬太鞍溪事件_1141004_2"/>
        <s v="WMTS_航照影像_馬太鞍溪事件_1141004_3"/>
        <s v="WMTS_航照影像_馬太鞍溪事件_1141005_1"/>
        <s v="WMTS_航照影像_馬太鞍溪事件_1141005_2"/>
        <s v="WMTS_航照影像_馬太鞍溪事件_1141005_3"/>
        <s v="WMTS_航照影像_馬太鞍溪事件_1141006_1"/>
        <s v="WMTS_航照影像_馬太鞍溪事件_1141006_2"/>
        <s v="WMTS_航照影像_馬太鞍溪事件_1141006_3"/>
        <s v="WMTS_航照影像_馬太鞍溪事件_1141007_1"/>
        <s v="WMTS_航照影像_馬太鞍溪事件_1141007_2"/>
        <s v="WMTS_航照影像_馬太鞍溪事件_1141007_3"/>
        <s v="WMTS_航照影像_馬太鞍溪事件_1141013_1"/>
        <s v="WMTS_航照影像_馬太鞍溪事件_1141013_2"/>
        <s v="WMTS_航照影像_馬太鞍溪事件_1141013_3"/>
        <s v="WMTS_航照影像_馬太鞍溪事件_1141013_4"/>
        <s v="WMTS_航照影像_馬太鞍溪事件_1141013_5"/>
        <s v="WMTS_航照影像_馬太鞍溪事件_1141013_6"/>
        <s v="WMTS_航照影像_馬太鞍溪事件_1141013_7"/>
        <s v="WMTS_航照影像_馬太鞍溪事件_1141013_8"/>
        <s v="WMTS_航照影像_馬太鞍溪事件_1141013_9"/>
        <s v="WMTS_航照影像_馬太鞍溪事件_1141116_1"/>
        <s v="WMTS_航照影像_馬太鞍溪事件_1141116_2"/>
        <s v="WMTS_航照影像_馬太鞍溪事件_1141116_3"/>
        <s v="WMTS_航照影像_馬太鞍溪事件_1141116_4"/>
        <s v="WMTS_航照影像_馬太鞍溪事件_1141116_5"/>
        <s v="WMTS_航照影像_馬太鞍溪事件_1141116_6"/>
        <s v="WMTS_航照影像_馬太鞍溪事件_1141116_7"/>
        <s v="WMTS_航照影像_馬太鞍溪事件_1141116_8"/>
        <s v="WMTS_航照影像_馬太鞍溪事件_災前(113-114)"/>
        <s v="WMTS_國土利用現況調查成果圖_1類農業"/>
        <s v="WMTS_國土利用現況調查成果圖_2類森林"/>
        <s v="WMTS_國土利用現況調查成果圖_3類交通"/>
        <s v="WMTS_國土利用現況調查成果圖_4類水利"/>
        <s v="WMTS_國土利用現況調查成果圖_5類建築"/>
        <s v="WMTS_國土利用現況調查成果圖_6類公共"/>
        <s v="WMTS_國土利用現況調查成果圖_7類遊憩"/>
        <s v="WMTS_國土利用現況調查成果圖_8類礦鹽"/>
        <s v="WMTS_國土利用現況調查成果圖_9類其他"/>
        <s v="WMTS_國土利用現況調查成果圖(100年更新區)"/>
        <s v="WMTS_國土利用現況調查成果圖(101年更新區)"/>
        <s v="WMTS_國土利用現況調查成果圖(102年更新區)"/>
        <s v="WMTS_國土利用現況調查成果圖(103年更新區)"/>
        <s v="WMTS_國土利用現況調查成果圖(104年更新區)"/>
        <s v="WMTS_國土利用現況調查成果圖(105年更新區)"/>
        <s v="WMTS_國土利用現況調查成果圖(106年更新區)"/>
        <s v="WMTS_國土利用現況調查成果圖(107年更新區)"/>
        <s v="WMTS_國土利用現況調查成果圖(108年更新區)"/>
        <s v="WMTS_國土利用現況調查成果圖(109年更新區)"/>
        <s v="WMTS_國土利用現況調查成果圖(110年更新區)"/>
        <s v="WMTS_國土利用現況調查成果圖(111年更新區)"/>
        <s v="WMTS_國土利用現況調查成果圖(112年更新區)"/>
        <s v="WMTS_國土利用現況調查成果圖(113年更新區)"/>
        <s v="WMTS_國土利用現況調查成果圖(114年更新區)"/>
        <s v="WMTS_國土利用現況調查成果圖(82-84年成果)"/>
        <s v="WMTS_國土利用現況調查成果圖(95-97年成果)"/>
        <s v="WMTS_國土利用現況調查成果圖(98年更新區)"/>
        <s v="WMTS_國土利用現況調查成果圖(99年更新區)"/>
        <s v="WMTS_國土利用現況調查成果圖(最新成果)"/>
        <s v="WMTS_連鎖便利商店"/>
        <s v="WMTS_鄉鎮市區界線"/>
        <s v="WMTS_臺灣通用電子地圖"/>
        <s v="WMTS_臺灣通用電子地圖_交通路網(套疊門牌)"/>
        <s v="WMTS_臺灣通用電子地圖_道路圖層(透明)"/>
        <s v="WMTS_臺灣通用電子地圖(灰階)"/>
        <s v="WMTS_臺灣通用電子地圖(套疊等高線)"/>
        <s v="WMTS_臺灣通用電子地圖(套疊等高線及門牌)"/>
        <s v="WMTS_臺灣通用電子地圖(高DPI文字)"/>
        <s v="WMTS_臺灣通用電子地圖(無文字)"/>
        <s v="WMTS_臺灣通用電子地圖(無鐵公路)"/>
        <s v="WMTS_臺灣通用電子地圖(等高線+門牌)"/>
        <s v="WMTS_臺灣通用電子地圖(響應式文字)"/>
        <s v="WMTS_臺灣通用電子地圖加值分棟建物框"/>
        <s v="WMTS_臺灣通用電子地圖TWD97/TM2 Zone 119"/>
        <s v="WMTS_臺灣通用電子地圖TWD97/TM2 Zone 121"/>
        <s v="WMTS_OPENDATA_公共場所AED位置資訊"/>
        <s v="WMTS_OPENDATA_公有土地地籍圖"/>
        <s v="WMTS_OPENDATA_臺灣通用電子地圖( 比例尺小於一萬八千分之一)"/>
        <s v="WMTS_OPENDATA_臺灣通用電子地圖(套疊等高線, 比例尺小於一萬八千分之一)"/>
        <s v="WMTS_Taiwan E-Map(ResponsiveText)"/>
        <s v="WMTS_TaiwanE-Map"/>
        <s v="WMTS_TaiwanE-Map_Road"/>
        <s v="WMTS_UAV空拍影像_宜蘭縣五結鄉(108年)"/>
        <s v="WMTS_UAV空拍影像_宜蘭縣南澳鄉(107年)"/>
        <s v="WMTS_UAV空拍影像_花蓮縣光復(109年)"/>
        <s v="WMTS_UAV空拍影像_花蓮縣卓溪_1(109年)"/>
        <s v="WMTS_UAV空拍影像_花蓮縣卓溪_2(109年)"/>
        <s v="WMTS_UAV空拍影像_花蓮縣卓溪鄉(106年)"/>
        <s v="WMTS_UAV空拍影像_花蓮縣花蓮市(105年)"/>
        <s v="WMTS_UAV空拍影像_花蓮縣壽豐鄉(101年)"/>
        <s v="WMTS_UAV空拍影像_花蓮縣壽豐鄉豐平大橋(101年)"/>
        <s v="WMTS_UAV空拍影像_南投縣仁愛鄉清境農場(103年)"/>
        <s v="WMTS_UAV空拍影像_南投縣竹山鎮(105年)"/>
        <s v="WMTS_UAV空拍影像_南投縣南投市(航遙測校正場(102年)"/>
        <s v="WMTS_UAV空拍影像_南投縣南投市航遙測校正場(103年)"/>
        <s v="WMTS_UAV空拍影像_南投縣南投市國3南投交流道(103年)"/>
        <s v="WMTS_UAV空拍影像_南投縣草屯鎮(105年)"/>
        <s v="WMTS_UAV空拍影像_南投縣草屯鎮九九峰(106年)"/>
        <s v="WMTS_UAV空拍影像_南投縣國姓鄉國6北山交流道(103年)"/>
        <s v="WMTS_UAV空拍影像_屏東交流道(107年)"/>
        <s v="WMTS_UAV空拍影像_屏東東港(109年)"/>
        <s v="WMTS_UAV空拍影像_屏東海豐外環道(107年)"/>
        <s v="WMTS_UAV空拍影像_屏東縣里港鄉(102年)"/>
        <s v="WMTS_UAV空拍影像_屏東縣里港鄉國10里港交流道(104年)"/>
        <s v="WMTS_UAV空拍影像_屏東縣屏東(109年)"/>
        <s v="WMTS_UAV空拍影像_屏東縣高樹(109年)"/>
        <s v="WMTS_UAV空拍影像_屏東縣滿州鄉(101年)"/>
        <s v="WMTS_UAV空拍影像_屏東縣滿州鄉(102年)"/>
        <s v="WMTS_UAV空拍影像_屏東縣霧台鄉台24谷川大橋(103年)"/>
        <s v="WMTS_UAV空拍影像_苗栗縣西湖(109年)"/>
        <s v="WMTS_UAV空拍影像_苗栗縣卓蘭鎮(101年)"/>
        <s v="WMTS_UAV空拍影像_苗栗縣後龍鎮(101年)"/>
        <s v="WMTS_UAV空拍影像_苗栗縣苑裡鎮火炎山(106年)"/>
        <s v="WMTS_UAV空拍影像_苗栗縣苗栗(109年)"/>
        <s v="WMTS_UAV空拍影像_苗栗縣泰安鄉雪見(111年)"/>
        <s v="WMTS_UAV空拍影像_苗栗縣泰安鄉觀霧(111年)"/>
        <s v="WMTS_UAV空拍影像_苗栗縣通霄鎮(107年)"/>
        <s v="WMTS_UAV空拍影像_苗栗縣造橋鄉台13甲線(104年)"/>
        <s v="WMTS_UAV空拍影像_苗栗縣獅潭鄉汶水橋(104年)"/>
        <s v="WMTS_UAV空拍影像_苗栗縣銅鑼鄉(銅鑼科學園區(103年)"/>
        <s v="WMTS_UAV空拍影像_苗栗縣銅鑼鎮(107年)"/>
        <s v="WMTS_UAV空拍影像_桃園市中路計畫區段徵收(103年)"/>
        <s v="WMTS_UAV空拍影像_桃園市平鎮區(105年)"/>
        <s v="WMTS_UAV空拍影像_桃園市平鎮區(106年)"/>
        <s v="WMTS_UAV空拍影像_桃園市新屋區(105年)"/>
        <s v="WMTS_UAV空拍影像_桃園市新屋區(106年)"/>
        <s v="WMTS_UAV空拍影像_桃園市龜山區(102年)"/>
        <s v="WMTS_UAV空拍影像_桃園市蘆竹區(105年)"/>
        <s v="WMTS_UAV空拍影像_桃園市觀音區(105年)"/>
        <s v="WMTS_UAV空拍影像_桃園市觀音區(106年)"/>
        <s v="WMTS_UAV空拍影像_高雄市大社(110年)"/>
        <s v="WMTS_UAV空拍影像_高雄市大寮區(108年)"/>
        <s v="WMTS_UAV空拍影像_高雄市仁武區國1鼎金交流道(104年)"/>
        <s v="WMTS_UAV空拍影像_高雄市永安(111年)"/>
        <s v="WMTS_UAV空拍影像_高雄市岡山(109年)"/>
        <s v="WMTS_UAV空拍影像_高雄市前鎮區氣爆災點(104年)"/>
        <s v="WMTS_UAV空拍影像_高雄市前鎮區經貿園區65期(104年)"/>
        <s v="WMTS_UAV空拍影像_雲林古坑(109年)"/>
        <s v="WMTS_UAV空拍影像_雲林縣口湖(111年)"/>
        <s v="WMTS_UAV空拍影像_雲林縣斗六市湖山水庫(106年)"/>
        <s v="WMTS_UAV空拍影像_雲林縣古坑鄉崁頭厝(105年)"/>
        <s v="WMTS_UAV空拍影像_雲林縣古坑鄉國3古坑交流道(105年)"/>
        <s v="WMTS_UAV空拍影像_雲林縣古坑鄉樟湖(105年)"/>
        <s v="WMTS_UAV空拍影像_雲林縣虎尾鎮雲林高鐵站(104年)"/>
        <s v="WMTS_UAV空拍影像_雲林縣麥寮鄉台61線(103年)"/>
        <s v="WMTS_UAV空拍影像_雲林縣臺西(111年)"/>
        <s v="WMTS_UAV空拍影像_新北市金山區(107年)"/>
        <s v="WMTS_UAV空拍影像_新北市烏來區106年)"/>
        <s v="WMTS_UAV空拍影像_新北市樹林區國3樹林交流道(106年)"/>
        <s v="WMTS_UAV空拍影像_新竹市(107年)"/>
        <s v="WMTS_UAV空拍影像_新竹市北區台68線(106年)"/>
        <s v="WMTS_UAV空拍影像_新竹市香山區(105年)"/>
        <s v="WMTS_UAV空拍影像_新竹縣尖石鄉(107年)"/>
        <s v="WMTS_UAV空拍影像_新竹縣竹北_1(111年)"/>
        <s v="WMTS_UAV空拍影像_新竹縣竹北_2(111年)"/>
        <s v="WMTS_UAV空拍影像_新竹縣竹北_3(111年)"/>
        <s v="WMTS_UAV空拍影像_新竹縣新豐鄉(107年)"/>
        <s v="WMTS_UAV空拍影像_嘉義市西區湖子內區段徵收(106年)"/>
        <s v="WMTS_UAV空拍影像_嘉義市東區彌陀路拓寬工程(106年)"/>
        <s v="WMTS_UAV空拍影像_嘉義縣大林鎮大埔美重劃區(103年)"/>
        <s v="WMTS_UAV空拍影像_嘉義縣布袋鎮_1(108年)"/>
        <s v="WMTS_UAV空拍影像_嘉義縣布袋鎮_2(108年)"/>
        <s v="WMTS_UAV空拍影像_嘉義縣民雄(111年)"/>
        <s v="WMTS_UAV空拍影像_嘉義縣朴子(110年)"/>
        <s v="WMTS_UAV空拍影像_嘉義縣東石鄉(101年)"/>
        <s v="WMTS_UAV空拍影像_嘉義縣阿里山鄉(102年)"/>
        <s v="WMTS_UAV空拍影像_嘉義縣鹿草(110年)"/>
        <s v="WMTS_UAV空拍影像_嘉義縣番路鄉(102年)"/>
        <s v="WMTS_UAV空拍影像_嘉義縣義竹(109年)"/>
        <s v="WMTS_UAV空拍影像_彰化縣大城鄉152線(106年)"/>
        <s v="WMTS_UAV空拍影像_彰化縣田中鎮(105年)"/>
        <s v="WMTS_UAV空拍影像_彰化縣伸港鄉(102年)"/>
        <s v="WMTS_UAV空拍影像_彰化縣芳苑(110年)"/>
        <s v="WMTS_UAV空拍影像_彰化縣芳苑鄉台61線(104年)"/>
        <s v="WMTS_UAV空拍影像_彰化縣福興鄉台61線(103年)"/>
        <s v="WMTS_UAV空拍影像_臺中市大安區(107年)"/>
        <s v="WMTS_UAV空拍影像_臺中市大慶車站(105年)"/>
        <s v="WMTS_UAV空拍影像_臺中市太平區坪林森林公園(105年)"/>
        <s v="WMTS_UAV空拍影像_臺中市太平新光地區(105年)"/>
        <s v="WMTS_UAV空拍影像_臺中市太原車站(105年)"/>
        <s v="WMTS_UAV空拍影像_臺中市水湳機場(105年)"/>
        <s v="WMTS_UAV空拍影像_臺中市后里區(108年)"/>
        <s v="WMTS_UAV空拍影像_臺中市和平區(107年)"/>
        <s v="WMTS_UAV空拍影像_臺中市振興路以南(105年)"/>
        <s v="WMTS_UAV空拍影像_臺中市烏日(110年)"/>
        <s v="WMTS_UAV空拍影像_臺中市捷運北屯機廠(105年)"/>
        <s v="WMTS_UAV空拍影像_臺中市梧棲(109年)"/>
        <s v="WMTS_UAV空拍影像_臺中市第13期(105年)"/>
        <s v="WMTS_UAV空拍影像_臺中市第14期(105年)"/>
        <s v="WMTS_UAV空拍影像_臺中市廍子地區(105年)"/>
        <s v="WMTS_UAV空拍影像_臺中市臺中車站(105年)"/>
        <s v="WMTS_UAV空拍影像_臺中市潭子車站(105年)"/>
        <s v="WMTS_UAV空拍影像_臺中市潭子區(105年)"/>
        <s v="WMTS_UAV空拍影像_臺中市龍井區及彰化縣伸港鄉(107年)"/>
        <s v="WMTS_UAV空拍影像_臺中市豐原(110年)"/>
        <s v="WMTS_UAV空拍影像_臺中市豐原車站(105年)"/>
        <s v="WMTS_UAV空拍影像_臺中市霧峰(110年)"/>
        <s v="WMTS_UAV空拍影像_臺中市霧峰區(105年)"/>
        <s v="WMTS_UAV空拍影像_臺北市士林(109年)"/>
        <s v="WMTS_UAV空拍影像_臺北市士林(110年)"/>
        <s v="WMTS_UAV空拍影像_臺北市士林大油坑(105年)"/>
        <s v="WMTS_UAV空拍影像_臺北市士林大油坑(106年)"/>
        <s v="WMTS_UAV空拍影像_臺北市士林馬槽(105年)"/>
        <s v="WMTS_UAV空拍影像_臺北市士林區大油坑(107年)"/>
        <s v="WMTS_UAV空拍影像_臺北市士林區大油坑(108年)"/>
        <s v="WMTS_UAV空拍影像_臺北市士林區馬槽(106年)"/>
        <s v="WMTS_UAV空拍影像_臺北市士林區馬槽(107年)"/>
        <s v="WMTS_UAV空拍影像_臺北市士林區馬槽(108年)"/>
        <s v="WMTS_UAV空拍影像_臺北市士林區夢幻湖(107年)"/>
        <s v="WMTS_UAV空拍影像_臺北市士林區夢幻湖(108年)"/>
        <s v="WMTS_UAV空拍影像_臺北市士林陽明山大油坑(111年)"/>
        <s v="WMTS_UAV空拍影像_臺北市士林陽明山馬槽(111年)"/>
        <s v="WMTS_UAV空拍影像_臺北市士林陽明山夢幻湖(111年)"/>
        <s v="WMTS_UAV空拍影像_臺北市北投(111年)"/>
        <s v="WMTS_UAV空拍影像_臺北市北投夢幻湖(105年)"/>
        <s v="WMTS_UAV空拍影像_臺北市北投夢幻湖(106年)"/>
        <s v="WMTS_UAV空拍影像_臺北市萬華(111年)"/>
        <s v="WMTS_UAV空拍影像_臺東縣大武鄉(102年)"/>
        <s v="WMTS_UAV空拍影像_臺東縣太麻里鄉(101年)"/>
        <s v="WMTS_UAV空拍影像_臺南市七股區(108年)"/>
        <s v="WMTS_UAV空拍影像_臺南市七股區(台61線(102年)"/>
        <s v="WMTS_UAV空拍影像_臺南市七股區(台江國家公園(102年)"/>
        <s v="WMTS_UAV空拍影像_臺南市七股區西濱公路(106年)"/>
        <s v="WMTS_UAV空拍影像_臺南市下營區(108年)"/>
        <s v="WMTS_UAV空拍影像_臺南市永康_1(110年)"/>
        <s v="WMTS_UAV空拍影像_臺南市永康_2(110年)"/>
        <s v="WMTS_UAV空拍影像_臺南市永康區(108年)"/>
        <s v="WMTS_UAV空拍影像_臺南市安平區(104年)"/>
        <s v="WMTS_UAV空拍影像_臺南市安南(110年)"/>
        <s v="WMTS_UAV空拍影像_臺南市安南區(101年)"/>
        <s v="WMTS_UAV空拍影像_臺南市安南區(102年)"/>
        <s v="WMTS_UAV空拍影像_臺南市安南區(108年)"/>
        <s v="WMTS_UAV空拍影像_臺南市安南區九份子重劃區(104年)"/>
        <s v="WMTS_UAV空拍影像_臺南市安南區台江大道(106年)"/>
        <s v="WMTS_UAV空拍影像_臺南市西港(110年)"/>
        <s v="WMTS_UAV空拍影像_臺南市東區平實市地重劃(106年)"/>
        <s v="WMTS_UAV空拍影像_臺南市南化(110年)"/>
        <s v="WMTS_UAV空拍影像_臺南市南區(台86線)(103年)"/>
        <s v="WMTS_UAV空拍影像_臺南市柳營(111年)"/>
        <s v="WMTS_UAV空拍影像_臺南市麻豆(109年)"/>
        <s v="WMTS_UAV空拍影像_臺南市麻豆區(103年)"/>
        <s v="WMTS_UAV空拍影像_臺南市新市區新和重劃區(104年)"/>
        <s v="WMTS_UAV空拍影像_臺南市新營(110年)"/>
        <s v="WMTS_UAV空拍影像_臺南市學甲區(台84線)(103年)"/>
        <s v="WMTS_UAV空拍影像_臺南市歸仁_2(110年)"/>
        <s v="WMTS_UAV空拍影像_臺南市關廟區(101年)"/>
        <s v="WMTS_UAV空拍影像_臺南市關廟區(108年)"/>
      </sharedItems>
    </cacheField>
    <cacheField name="列舉值需要代碼中文對照(請參照AD欄及範例檔製作OAS文本)" numFmtId="0">
      <sharedItems containsBlank="1" count="2">
        <s v="V"/>
        <m/>
      </sharedItems>
    </cacheField>
    <cacheField name="服務版本(v[主版本號].[次版本號]，如v1.0），v小寫，英數字一律半形。)" numFmtId="0">
      <sharedItems count="2">
        <s v="v1"/>
        <s v="v1.0"/>
      </sharedItems>
    </cacheField>
    <cacheField name="服務網址(A+C欄組合，請參照OAS範例檔寫法)" numFmtId="0">
      <sharedItems containsBlank="1" count="1426">
        <s v="https://api.nlsc.gov.tw/dmaps/CadasAttrQuery/A/{sect}/{landno}"/>
        <s v="https://api.nlsc.gov.tw/dmaps/CadasAttrQuery/B/{sect}/{landno}"/>
        <s v="https://api.nlsc.gov.tw/dmaps/CadasAttrQuery/C/{sect}/{landno}"/>
        <s v="https://api.nlsc.gov.tw/dmaps/CadasAttrQuery/D/{sect}/{landno}"/>
        <s v="https://api.nlsc.gov.tw/dmaps/CadasAttrQuery/E/{sect}/{landno}"/>
        <s v="https://api.nlsc.gov.tw/dmaps/CadasAttrQuery/F/{sect}/{landno}"/>
        <s v="https://api.nlsc.gov.tw/dmaps/CadasAttrQuery/G/{sect}/{landno}"/>
        <s v="https://api.nlsc.gov.tw/dmaps/CadasAttrQuery/H/{sect}/{landno}"/>
        <s v="https://api.nlsc.gov.tw/dmaps/CadasAttrQuery/I/{sect}/{landno}"/>
        <s v="https://api.nlsc.gov.tw/dmaps/CadasAttrQuery/J/{sect}/{landno}"/>
        <s v="https://api.nlsc.gov.tw/dmaps/CadasAttrQuery/K/{sect}/{landno}"/>
        <s v="https://api.nlsc.gov.tw/dmaps/CadasAttrQuery/M/{sect}/{landno}"/>
        <s v="https://api.nlsc.gov.tw/dmaps/CadasAttrQuery/N/{sect}/{landno}"/>
        <s v="https://api.nlsc.gov.tw/dmaps/CadasAttrQuery/O/{sect}/{landno}"/>
        <s v="https://api.nlsc.gov.tw/dmaps/CadasAttrQuery/P/{sect}/{landno}"/>
        <s v="https://api.nlsc.gov.tw/dmaps/CadasAttrQuery/Q/{sect}/{landno}"/>
        <s v="https://api.nlsc.gov.tw/dmaps/CadasAttrQuery/T/{sect}/{landno}"/>
        <s v="https://api.nlsc.gov.tw/dmaps/CadasAttrQuery/U/{sect}/{landno}"/>
        <s v="https://api.nlsc.gov.tw/dmaps/CadasAttrQuery/V/{sect}/{landno}"/>
        <s v="https://api.nlsc.gov.tw/dmaps/CadasAttrQuery/W/{sect}/{landno}"/>
        <s v="https://api.nlsc.gov.tw/dmaps/CadasAttrQuery/X/{sect}/{landno}"/>
        <s v="https://api.nlsc.gov.tw/dmaps/CadasAttrQuery/Z/{sect}/{landno}"/>
        <s v="https://api.nlsc.gov.tw/dmaps/CadasLandInfo/A/{sect}/{landno}"/>
        <s v="https://api.nlsc.gov.tw/dmaps/CadasLandInfo/B/{sect}/{landno}"/>
        <s v="https://api.nlsc.gov.tw/dmaps/CadasLandInfo/C/{sect}/{landno}"/>
        <s v="https://api.nlsc.gov.tw/dmaps/CadasLandInfo/D/{sect}/{landno}"/>
        <s v="https://api.nlsc.gov.tw/dmaps/CadasLandInfo/E/{sect}/{landno}"/>
        <s v="https://api.nlsc.gov.tw/dmaps/CadasLandInfo/F/{sect}/{landno}"/>
        <s v="https://api.nlsc.gov.tw/dmaps/CadasLandInfo/G/{sect}/{landno}"/>
        <s v="https://api.nlsc.gov.tw/dmaps/CadasLandInfo/H/{sect}/{landno}"/>
        <s v="https://api.nlsc.gov.tw/dmaps/CadasLandInfo/I/{sect}/{landno}"/>
        <s v="https://api.nlsc.gov.tw/dmaps/CadasLandInfo/J/{sect}/{landno}"/>
        <s v="https://api.nlsc.gov.tw/dmaps/CadasLandInfo/K/{sect}/{landno}"/>
        <s v="https://api.nlsc.gov.tw/dmaps/CadasLandInfo/M/{sect}/{landno}"/>
        <s v="https://api.nlsc.gov.tw/dmaps/CadasLandInfo/N/{sect}/{landno}"/>
        <s v="https://api.nlsc.gov.tw/dmaps/CadasLandInfo/O/{sect}/{landno}"/>
        <s v="https://api.nlsc.gov.tw/dmaps/CadasLandInfo/P/{sect}/{landno}"/>
        <s v="https://api.nlsc.gov.tw/dmaps/CadasLandInfo/Q/{sect}/{landno}"/>
        <s v="https://api.nlsc.gov.tw/dmaps/CadasLandInfo/T/{sect}/{landno}"/>
        <s v="https://api.nlsc.gov.tw/dmaps/CadasLandInfo/U/{sect}/{landno}"/>
        <s v="https://api.nlsc.gov.tw/dmaps/CadasLandInfo/V/{sect}/{landno}"/>
        <s v="https://api.nlsc.gov.tw/dmaps/CadasLandInfo/W/{sect}/{landno}"/>
        <s v="https://api.nlsc.gov.tw/dmaps/CadasLandInfo/X/{sect}/{landno}"/>
        <s v="https://api.nlsc.gov.tw/dmaps/CadasLandInfo/Z/{sect}/{landno}"/>
        <s v="https://api.nlsc.gov.tw/dmaps/CadasLandNoQuery/{area}/{epsg}/{within}"/>
        <s v="https://api.nlsc.gov.tw/dmaps/CadasMapImage/A/{sect}/{landno}"/>
        <s v="https://api.nlsc.gov.tw/dmaps/CadasMapImage/B/{sect}/{landno}"/>
        <s v="https://api.nlsc.gov.tw/dmaps/CadasMapImage/C/{sect}/{landno}"/>
        <s v="https://api.nlsc.gov.tw/dmaps/CadasMapImage/D/{sect}/{landno}"/>
        <s v="https://api.nlsc.gov.tw/dmaps/CadasMapImage/E/{sect}/{landno}"/>
        <s v="https://api.nlsc.gov.tw/dmaps/CadasMapImage/F/{sect}/{landno}"/>
        <s v="https://api.nlsc.gov.tw/dmaps/CadasMapImage/G/{sect}/{landno}"/>
        <s v="https://api.nlsc.gov.tw/dmaps/CadasMapImage/H/{sect}/{landno}"/>
        <s v="https://api.nlsc.gov.tw/dmaps/CadasMapImage/I/{sect}/{landno}"/>
        <s v="https://api.nlsc.gov.tw/dmaps/CadasMapImage/J/{sect}/{landno}"/>
        <s v="https://api.nlsc.gov.tw/dmaps/CadasMapImage/K/{sect}/{landno}"/>
        <s v="https://api.nlsc.gov.tw/dmaps/CadasMapImage/M/{sect}/{landno}"/>
        <s v="https://api.nlsc.gov.tw/dmaps/CadasMapImage/N/{sect}/{landno}"/>
        <s v="https://api.nlsc.gov.tw/dmaps/CadasMapImage/O/{sect}/{landno}"/>
        <s v="https://api.nlsc.gov.tw/dmaps/CadasMapImage/P/{sect}/{landno}"/>
        <s v="https://api.nlsc.gov.tw/dmaps/CadasMapImage/Q/{sect}/{landno}"/>
        <s v="https://api.nlsc.gov.tw/dmaps/CadasMapImage/T/{sect}/{landno}"/>
        <s v="https://api.nlsc.gov.tw/dmaps/CadasMapImage/U/{sect}/{landno}"/>
        <s v="https://api.nlsc.gov.tw/dmaps/CadasMapImage/V/{sect}/{landno}"/>
        <s v="https://api.nlsc.gov.tw/dmaps/CadasMapImage/W/{sect}/{landno}"/>
        <s v="https://api.nlsc.gov.tw/dmaps/CadasMapImage/X/{sect}/{landno}"/>
        <s v="https://api.nlsc.gov.tw/dmaps/CadasMapImage/Z/{sect}/{landno}"/>
        <s v="https://api.nlsc.gov.tw/dmaps/CadasMapPointQuery/{pointX}/{pointY}/{epsg}/{returnType}"/>
        <s v="https://api.nlsc.gov.tw/dmaps/CadasMapPosition/A/{sect}/{landno}/{epsg}"/>
        <s v="https://api.nlsc.gov.tw/dmaps/CadasMapPosition/B/{sect}/{landno}/{epsg}"/>
        <s v="https://api.nlsc.gov.tw/dmaps/CadasMapPosition/C/{sect}/{landno}/{epsg}"/>
        <s v="https://api.nlsc.gov.tw/dmaps/CadasMapPosition/D/{sect}/{landno}/{epsg}"/>
        <s v="https://api.nlsc.gov.tw/dmaps/CadasMapPosition/E/{sect}/{landno}/{epsg}"/>
        <s v="https://api.nlsc.gov.tw/dmaps/CadasMapPosition/F/{sect}/{landno}/{epsg}"/>
        <s v="https://api.nlsc.gov.tw/dmaps/CadasMapPosition/G/{sect}/{landno}/{epsg}"/>
        <s v="https://api.nlsc.gov.tw/dmaps/CadasMapPosition/H/{sect}/{landno}/{epsg}"/>
        <s v="https://api.nlsc.gov.tw/dmaps/CadasMapPosition/I/{sect}/{landno}/{epsg}"/>
        <s v="https://api.nlsc.gov.tw/dmaps/CadasMapPosition/J/{sect}/{landno}/{epsg}"/>
        <s v="https://api.nlsc.gov.tw/dmaps/CadasMapPosition/K/{sect}/{landno}/{epsg}"/>
        <s v="https://api.nlsc.gov.tw/dmaps/CadasMapPosition/M/{sect}/{landno}/{epsg}"/>
        <s v="https://api.nlsc.gov.tw/dmaps/CadasMapPosition/N/{sect}/{landno}/{epsg}"/>
        <s v="https://api.nlsc.gov.tw/dmaps/CadasMapPosition/O/{sect}/{landno}/{epsg}"/>
        <s v="https://api.nlsc.gov.tw/dmaps/CadasMapPosition/P/{sect}/{landno}/{epsg}"/>
        <s v="https://api.nlsc.gov.tw/dmaps/CadasMapPosition/Q/{sect}/{landno}/{epsg}"/>
        <s v="https://api.nlsc.gov.tw/dmaps/CadasMapPosition/T/{sect}/{landno}/{epsg}"/>
        <s v="https://api.nlsc.gov.tw/dmaps/CadasMapPosition/U/{sect}/{landno}/{epsg}"/>
        <s v="https://api.nlsc.gov.tw/dmaps/CadasMapPosition/V/{sect}/{landno}/{epsg}"/>
        <s v="https://api.nlsc.gov.tw/dmaps/CadasMapPosition/W/{sect}/{landno}/{epsg}"/>
        <s v="https://api.nlsc.gov.tw/dmaps/CadasMapPosition/X/{sect}/{landno}/{epsg}"/>
        <s v="https://api.nlsc.gov.tw/dmaps/CadasMapPosition/Z/{sect}/{landno}/{epsg}"/>
        <s v="https://api.nlsc.gov.tw/dmaps/CadasMapQuery/{county}/{sect}/{landno}/{type}/{epsg}"/>
        <s v="https://api.nlsc.gov.tw/idc/AddressQueryLand/{queryString}/{num}"/>
        <s v="https://api.nlsc.gov.tw/idc/LineQueryAddr"/>
        <s v="https://api.nlsc.gov.tw/idc/ListRoad/A/{town}"/>
        <s v="https://api.nlsc.gov.tw/idc/ListRoad/B/{town}"/>
        <s v="https://api.nlsc.gov.tw/idc/ListRoad/C/{town}"/>
        <s v="https://api.nlsc.gov.tw/idc/ListRoad/D/{town}"/>
        <s v="https://api.nlsc.gov.tw/idc/ListRoad/E/{town}"/>
        <s v="https://api.nlsc.gov.tw/idc/ListRoad/F/{town}"/>
        <s v="https://api.nlsc.gov.tw/idc/ListRoad/G/{town}"/>
        <s v="https://api.nlsc.gov.tw/idc/ListRoad/H/{town}"/>
        <s v="https://api.nlsc.gov.tw/idc/ListRoad/I/{town}"/>
        <s v="https://api.nlsc.gov.tw/idc/ListRoad/J/{town}"/>
        <s v="https://api.nlsc.gov.tw/idc/ListRoad/K/{town}"/>
        <s v="https://api.nlsc.gov.tw/idc/ListRoad/M/{town}"/>
        <s v="https://api.nlsc.gov.tw/idc/ListRoad/N/{town}"/>
        <s v="https://api.nlsc.gov.tw/idc/ListRoad/O/{town}"/>
        <s v="https://api.nlsc.gov.tw/idc/ListRoad/P/{town}"/>
        <s v="https://api.nlsc.gov.tw/idc/ListRoad/Q/{town}"/>
        <s v="https://api.nlsc.gov.tw/idc/ListRoad/T/{town}"/>
        <s v="https://api.nlsc.gov.tw/idc/ListRoad/U/{town}"/>
        <s v="https://api.nlsc.gov.tw/idc/ListRoad/V/{town}"/>
        <s v="https://api.nlsc.gov.tw/idc/ListRoad/W/{town}"/>
        <s v="https://api.nlsc.gov.tw/idc/ListRoad/X/{town}"/>
        <s v="https://api.nlsc.gov.tw/idc/ListRoad/Z/{town}"/>
        <s v="https://api.nlsc.gov.tw/idc/ListRoadCross/A/{town}/{roadName}"/>
        <s v="https://api.nlsc.gov.tw/idc/ListRoadCross/B/{town}/{roadName}"/>
        <s v="https://api.nlsc.gov.tw/idc/ListRoadCross/C/{town}/{roadName}"/>
        <s v="https://api.nlsc.gov.tw/idc/ListRoadCross/D/{town}/{roadName}"/>
        <s v="https://api.nlsc.gov.tw/idc/ListRoadCross/E/{town}/{roadName}"/>
        <s v="https://api.nlsc.gov.tw/idc/ListRoadCross/F/{town}/{roadName}"/>
        <s v="https://api.nlsc.gov.tw/idc/ListRoadCross/G/{town}/{roadName}"/>
        <s v="https://api.nlsc.gov.tw/idc/ListRoadCross/H/{town}/{roadName}"/>
        <s v="https://api.nlsc.gov.tw/idc/ListRoadCross/I/{town}/{roadName}"/>
        <s v="https://api.nlsc.gov.tw/idc/ListRoadCross/J/{town}/{roadName}"/>
        <s v="https://api.nlsc.gov.tw/idc/ListRoadCross/K/{town}/{roadName}"/>
        <s v="https://api.nlsc.gov.tw/idc/ListRoadCross/M/{town}/{roadName}"/>
        <s v="https://api.nlsc.gov.tw/idc/ListRoadCross/N/{town}/{roadName}"/>
        <s v="https://api.nlsc.gov.tw/idc/ListRoadCross/O/{town}/{roadName}"/>
        <s v="https://api.nlsc.gov.tw/idc/ListRoadCross/P/{town}/{roadName}"/>
        <s v="https://api.nlsc.gov.tw/idc/ListRoadCross/Q/{town}/{roadName}"/>
        <s v="https://api.nlsc.gov.tw/idc/ListRoadCross/T/{town}/{roadName}"/>
        <s v="https://api.nlsc.gov.tw/idc/ListRoadCross/U/{town}/{roadName}"/>
        <s v="https://api.nlsc.gov.tw/idc/ListRoadCross/V/{town}/{roadName}"/>
        <s v="https://api.nlsc.gov.tw/idc/ListRoadCross/W/{town}/{roadName}"/>
        <s v="https://api.nlsc.gov.tw/idc/ListRoadCross/X/{town}/{roadName}"/>
        <s v="https://api.nlsc.gov.tw/idc/ListRoadCross/Z/{town}/{roadName}"/>
        <s v="https://api.nlsc.gov.tw/idc/ListRoadLaneAlley/A/{town}/{road}"/>
        <s v="https://api.nlsc.gov.tw/idc/ListRoadLaneAlley/B/{town}/{road}"/>
        <s v="https://api.nlsc.gov.tw/idc/ListRoadLaneAlley/C/{town}/{road}"/>
        <s v="https://api.nlsc.gov.tw/idc/ListRoadLaneAlley/D/{town}/{road}"/>
        <s v="https://api.nlsc.gov.tw/idc/ListRoadLaneAlley/E/{town}/{road}"/>
        <s v="https://api.nlsc.gov.tw/idc/ListRoadLaneAlley/F/{town}/{road}"/>
        <s v="https://api.nlsc.gov.tw/idc/ListRoadLaneAlley/G/{town}/{road}"/>
        <s v="https://api.nlsc.gov.tw/idc/ListRoadLaneAlley/H/{town}/{road}"/>
        <s v="https://api.nlsc.gov.tw/idc/ListRoadLaneAlley/I/{town}/{road}"/>
        <s v="https://api.nlsc.gov.tw/idc/ListRoadLaneAlley/J/{town}/{road}"/>
        <s v="https://api.nlsc.gov.tw/idc/ListRoadLaneAlley/K/{town}/{road}"/>
        <s v="https://api.nlsc.gov.tw/idc/ListRoadLaneAlley/M/{town}/{road}"/>
        <s v="https://api.nlsc.gov.tw/idc/ListRoadLaneAlley/N/{town}/{road}"/>
        <s v="https://api.nlsc.gov.tw/idc/ListRoadLaneAlley/O/{town}/{road}"/>
        <s v="https://api.nlsc.gov.tw/idc/ListRoadLaneAlley/P/{town}/{road}"/>
        <s v="https://api.nlsc.gov.tw/idc/ListRoadLaneAlley/Q/{town}/{road}"/>
        <s v="https://api.nlsc.gov.tw/idc/ListRoadLaneAlley/T/{town}/{road}"/>
        <s v="https://api.nlsc.gov.tw/idc/ListRoadLaneAlley/U/{town}/{road}"/>
        <s v="https://api.nlsc.gov.tw/idc/ListRoadLaneAlley/V/{town}/{road}"/>
        <s v="https://api.nlsc.gov.tw/idc/ListRoadLaneAlley/W/{town}/{road}"/>
        <s v="https://api.nlsc.gov.tw/idc/ListRoadLaneAlley/X/{town}/{road}"/>
        <s v="https://api.nlsc.gov.tw/idc/ListRoadLaneAlley/Z/{town}/{road}"/>
        <s v="https://api.nlsc.gov.tw/idc/ListRoadM/A/{town}"/>
        <s v="https://api.nlsc.gov.tw/idc/ListRoadM/B/{town}"/>
        <s v="https://api.nlsc.gov.tw/idc/ListRoadM/C/{town}"/>
        <s v="https://api.nlsc.gov.tw/idc/ListRoadM/D/{town}"/>
        <s v="https://api.nlsc.gov.tw/idc/ListRoadM/E/{town}"/>
        <s v="https://api.nlsc.gov.tw/idc/ListRoadM/F/{town}"/>
        <s v="https://api.nlsc.gov.tw/idc/ListRoadM/G/{town}"/>
        <s v="https://api.nlsc.gov.tw/idc/ListRoadM/H/{town}"/>
        <s v="https://api.nlsc.gov.tw/idc/ListRoadM/I/{town}"/>
        <s v="https://api.nlsc.gov.tw/idc/ListRoadM/J/{town}"/>
        <s v="https://api.nlsc.gov.tw/idc/ListRoadM/K/{town}"/>
        <s v="https://api.nlsc.gov.tw/idc/ListRoadM/M/{town}"/>
        <s v="https://api.nlsc.gov.tw/idc/ListRoadM/N/{town}"/>
        <s v="https://api.nlsc.gov.tw/idc/ListRoadM/O/{town}"/>
        <s v="https://api.nlsc.gov.tw/idc/ListRoadM/P/{town}"/>
        <s v="https://api.nlsc.gov.tw/idc/ListRoadM/Q/{town}"/>
        <s v="https://api.nlsc.gov.tw/idc/ListRoadM/T/{town}"/>
        <s v="https://api.nlsc.gov.tw/idc/ListRoadM/U/{town}"/>
        <s v="https://api.nlsc.gov.tw/idc/ListRoadM/V/{town}"/>
        <s v="https://api.nlsc.gov.tw/idc/ListRoadM/W/{town}"/>
        <s v="https://api.nlsc.gov.tw/idc/ListRoadM/X/{town}"/>
        <s v="https://api.nlsc.gov.tw/idc/ListRoadM/Z/{town}"/>
        <s v="https://api.nlsc.gov.tw/idc/PointQueryAddr"/>
        <s v="https://api.nlsc.gov.tw/idc/PolygonQueryAddr"/>
        <s v="https://api.nlsc.gov.tw/idc/TextQueryAddress/{queryString}/{num}/{county}"/>
        <s v="https://api.nlsc.gov.tw/idc/TextQueryMap/{queryString}/{number}/{county}"/>
        <s v="https://api.nlsc.gov.tw/idc/TextQueryRoad/A/{queryString}"/>
        <s v="https://api.nlsc.gov.tw/idc/TextQueryRoad/B/{queryString}"/>
        <s v="https://api.nlsc.gov.tw/idc/TextQueryRoad/C/{queryString}"/>
        <s v="https://api.nlsc.gov.tw/idc/TextQueryRoad/D/{queryString}"/>
        <s v="https://api.nlsc.gov.tw/idc/TextQueryRoad/E/{queryString}"/>
        <s v="https://api.nlsc.gov.tw/idc/TextQueryRoad/F/{queryString}"/>
        <s v="https://api.nlsc.gov.tw/idc/TextQueryRoad/G/{queryString}"/>
        <s v="https://api.nlsc.gov.tw/idc/TextQueryRoad/H/{queryString}"/>
        <s v="https://api.nlsc.gov.tw/idc/TextQueryRoad/I/{queryString}"/>
        <s v="https://api.nlsc.gov.tw/idc/TextQueryRoad/J/{queryString}"/>
        <s v="https://api.nlsc.gov.tw/idc/TextQueryRoad/K/{queryString}"/>
        <s v="https://api.nlsc.gov.tw/idc/TextQueryRoad/M/{queryString}"/>
        <s v="https://api.nlsc.gov.tw/idc/TextQueryRoad/N/{queryString}"/>
        <s v="https://api.nlsc.gov.tw/idc/TextQueryRoad/O/{queryString}"/>
        <s v="https://api.nlsc.gov.tw/idc/TextQueryRoad/P/{queryString}"/>
        <s v="https://api.nlsc.gov.tw/idc/TextQueryRoad/Q/{queryString}"/>
        <s v="https://api.nlsc.gov.tw/idc/TextQueryRoad/T/{queryString}"/>
        <s v="https://api.nlsc.gov.tw/idc/TextQueryRoad/U/{queryString}"/>
        <s v="https://api.nlsc.gov.tw/idc/TextQueryRoad/V/{queryString}"/>
        <s v="https://api.nlsc.gov.tw/idc/TextQueryRoad/W/{queryString}"/>
        <s v="https://api.nlsc.gov.tw/idc/TextQueryRoad/X/{queryString}"/>
        <s v="https://api.nlsc.gov.tw/idc/TextQueryRoad/Z/{queryString}"/>
        <s v="https://api.nlsc.gov.tw/other/GetLandSecInfoNlsc/A/{sect}/{ext}"/>
        <s v="https://api.nlsc.gov.tw/other/GetLandSecInfoNlsc/B/{sect}/{ext}"/>
        <s v="https://api.nlsc.gov.tw/other/GetLandSecInfoNlsc/C/{sect}/{ext}"/>
        <s v="https://api.nlsc.gov.tw/other/GetLandSecInfoNlsc/D/{sect}/{ext}"/>
        <s v="https://api.nlsc.gov.tw/other/GetLandSecInfoNlsc/E/{sect}/{ext}"/>
        <s v="https://api.nlsc.gov.tw/other/GetLandSecInfoNlsc/F/{sect}/{ext}"/>
        <s v="https://api.nlsc.gov.tw/other/GetLandSecInfoNlsc/G/{sect}/{ext}"/>
        <s v="https://api.nlsc.gov.tw/other/GetLandSecInfoNlsc/H/{sect}/{ext}"/>
        <s v="https://api.nlsc.gov.tw/other/GetLandSecInfoNlsc/I/{sect}/{ext}"/>
        <s v="https://api.nlsc.gov.tw/other/GetLandSecInfoNlsc/J/{sect}/{ext}"/>
        <s v="https://api.nlsc.gov.tw/other/GetLandSecInfoNlsc/K/{sect}/{ext}"/>
        <s v="https://api.nlsc.gov.tw/other/GetLandSecInfoNlsc/M/{sect}/{ext}"/>
        <s v="https://api.nlsc.gov.tw/other/GetLandSecInfoNlsc/N/{sect}/{ext}"/>
        <s v="https://api.nlsc.gov.tw/other/GetLandSecInfoNlsc/O/{sect}/{ext}"/>
        <s v="https://api.nlsc.gov.tw/other/GetLandSecInfoNlsc/P/{sect}/{ext}"/>
        <s v="https://api.nlsc.gov.tw/other/GetLandSecInfoNlsc/Q/{sect}/{ext}"/>
        <s v="https://api.nlsc.gov.tw/other/GetLandSecInfoNlsc/T/{sect}/{ext}"/>
        <s v="https://api.nlsc.gov.tw/other/GetLandSecInfoNlsc/U/{sect}/{ext}"/>
        <s v="https://api.nlsc.gov.tw/other/GetLandSecInfoNlsc/V/{sect}/{ext}"/>
        <s v="https://api.nlsc.gov.tw/other/GetLandSecInfoNlsc/W/{sect}/{ext}"/>
        <s v="https://api.nlsc.gov.tw/other/GetLandSecInfoNlsc/X/{sect}/{ext}"/>
        <s v="https://api.nlsc.gov.tw/other/GetLandSecInfoNlsc/Z/{sect}/{ext}"/>
        <s v="https://api.nlsc.gov.tw/other/GetMapVillage/{cty}/{town}/{village}/{epsg}"/>
        <s v="https://api.nlsc.gov.tw/other/LandUseCompare/{year1}/{year2}/{towncode}"/>
        <s v="https://api.nlsc.gov.tw/other/LandUsePointQuery/{pointX}/{pointY}/{epsg}"/>
        <s v="https://api.nlsc.gov.tw/other/LandUsePointYears/{year}/{x}/{y}/{epsg}"/>
        <s v="https://api.nlsc.gov.tw/other/ListCounty"/>
        <s v="https://api.nlsc.gov.tw/other/ListLandSection/A/{town}"/>
        <s v="https://api.nlsc.gov.tw/other/ListLandSection/B/{town}"/>
        <s v="https://api.nlsc.gov.tw/other/ListLandSection/C/{town}"/>
        <s v="https://api.nlsc.gov.tw/other/ListLandSection/D/{town}"/>
        <s v="https://api.nlsc.gov.tw/other/ListLandSection/E/{town}"/>
        <s v="https://api.nlsc.gov.tw/other/ListLandSection/F/{town}"/>
        <s v="https://api.nlsc.gov.tw/other/ListLandSection/G/{town}"/>
        <s v="https://api.nlsc.gov.tw/other/ListLandSection/H/{town}"/>
        <s v="https://api.nlsc.gov.tw/other/ListLandSection/I/{town}"/>
        <s v="https://api.nlsc.gov.tw/other/ListLandSection/J/{town}"/>
        <s v="https://api.nlsc.gov.tw/other/ListLandSection/K/{town}"/>
        <s v="https://api.nlsc.gov.tw/other/ListLandSection/M/{town}"/>
        <s v="https://api.nlsc.gov.tw/other/ListLandSection/N/{town}"/>
        <s v="https://api.nlsc.gov.tw/other/ListLandSection/O/{town}"/>
        <s v="https://api.nlsc.gov.tw/other/ListLandSection/P/{town}"/>
        <s v="https://api.nlsc.gov.tw/other/ListLandSection/Q/{town}"/>
        <s v="https://api.nlsc.gov.tw/other/ListLandSection/T/{town}"/>
        <s v="https://api.nlsc.gov.tw/other/ListLandSection/U/{town}"/>
        <s v="https://api.nlsc.gov.tw/other/ListLandSection/V/{town}"/>
        <s v="https://api.nlsc.gov.tw/other/ListLandSection/W/{town}"/>
        <s v="https://api.nlsc.gov.tw/other/ListLandSection/X/{town}"/>
        <s v="https://api.nlsc.gov.tw/other/ListLandSection/Z/{town}"/>
        <s v="https://api.nlsc.gov.tw/other/ListTown/A"/>
        <s v="https://api.nlsc.gov.tw/other/ListTown/B"/>
        <s v="https://api.nlsc.gov.tw/other/ListTown/C"/>
        <s v="https://api.nlsc.gov.tw/other/ListTown/D"/>
        <s v="https://api.nlsc.gov.tw/other/ListTown/E"/>
        <s v="https://api.nlsc.gov.tw/other/ListTown/F"/>
        <s v="https://api.nlsc.gov.tw/other/ListTown/G"/>
        <s v="https://api.nlsc.gov.tw/other/ListTown/H"/>
        <s v="https://api.nlsc.gov.tw/other/ListTown/I"/>
        <s v="https://api.nlsc.gov.tw/other/ListTown/J"/>
        <s v="https://api.nlsc.gov.tw/other/ListTown/K"/>
        <s v="https://api.nlsc.gov.tw/other/ListTown/M"/>
        <s v="https://api.nlsc.gov.tw/other/ListTown/N"/>
        <s v="https://api.nlsc.gov.tw/other/ListTown/O"/>
        <s v="https://api.nlsc.gov.tw/other/ListTown/P"/>
        <s v="https://api.nlsc.gov.tw/other/ListTown/Q"/>
        <s v="https://api.nlsc.gov.tw/other/ListTown/T"/>
        <s v="https://api.nlsc.gov.tw/other/ListTown/U"/>
        <s v="https://api.nlsc.gov.tw/other/ListTown/V"/>
        <s v="https://api.nlsc.gov.tw/other/ListTown/W"/>
        <s v="https://api.nlsc.gov.tw/other/ListTown/X"/>
        <s v="https://api.nlsc.gov.tw/other/ListTown/Z"/>
        <s v="https://api.nlsc.gov.tw/other/ListTown1/A"/>
        <s v="https://api.nlsc.gov.tw/other/ListTown1/B"/>
        <s v="https://api.nlsc.gov.tw/other/ListTown1/C"/>
        <s v="https://api.nlsc.gov.tw/other/ListTown1/D"/>
        <s v="https://api.nlsc.gov.tw/other/ListTown1/E"/>
        <s v="https://api.nlsc.gov.tw/other/ListTown1/F"/>
        <s v="https://api.nlsc.gov.tw/other/ListTown1/G"/>
        <s v="https://api.nlsc.gov.tw/other/ListTown1/H"/>
        <s v="https://api.nlsc.gov.tw/other/ListTown1/I"/>
        <s v="https://api.nlsc.gov.tw/other/ListTown1/J"/>
        <s v="https://api.nlsc.gov.tw/other/ListTown1/K"/>
        <s v="https://api.nlsc.gov.tw/other/ListTown1/M"/>
        <s v="https://api.nlsc.gov.tw/other/ListTown1/N"/>
        <s v="https://api.nlsc.gov.tw/other/ListTown1/O"/>
        <s v="https://api.nlsc.gov.tw/other/ListTown1/P"/>
        <s v="https://api.nlsc.gov.tw/other/ListTown1/Q"/>
        <s v="https://api.nlsc.gov.tw/other/ListTown1/T"/>
        <s v="https://api.nlsc.gov.tw/other/ListTown1/U"/>
        <s v="https://api.nlsc.gov.tw/other/ListTown1/V"/>
        <s v="https://api.nlsc.gov.tw/other/ListTown1/W"/>
        <s v="https://api.nlsc.gov.tw/other/ListTown1/X"/>
        <s v="https://api.nlsc.gov.tw/other/ListTown1/Z"/>
        <s v="https://api.nlsc.gov.tw/other/ListVillage/A/{town}"/>
        <s v="https://api.nlsc.gov.tw/other/ListVillage/B/{town}"/>
        <s v="https://api.nlsc.gov.tw/other/ListVillage/C/{town}"/>
        <s v="https://api.nlsc.gov.tw/other/ListVillage/D/{town}"/>
        <s v="https://api.nlsc.gov.tw/other/ListVillage/E/{town}"/>
        <s v="https://api.nlsc.gov.tw/other/ListVillage/F/{town}"/>
        <s v="https://api.nlsc.gov.tw/other/ListVillage/G/{town}"/>
        <s v="https://api.nlsc.gov.tw/other/ListVillage/H/{town}"/>
        <s v="https://api.nlsc.gov.tw/other/ListVillage/I/{town}"/>
        <s v="https://api.nlsc.gov.tw/other/ListVillage/J/{town}"/>
        <s v="https://api.nlsc.gov.tw/other/ListVillage/K/{town}"/>
        <s v="https://api.nlsc.gov.tw/other/ListVillage/M/{town}"/>
        <s v="https://api.nlsc.gov.tw/other/ListVillage/N/{town}"/>
        <s v="https://api.nlsc.gov.tw/other/ListVillage/O/{town}"/>
        <s v="https://api.nlsc.gov.tw/other/ListVillage/P/{town}"/>
        <s v="https://api.nlsc.gov.tw/other/ListVillage/Q/{town}"/>
        <s v="https://api.nlsc.gov.tw/other/ListVillage/T/{town}"/>
        <s v="https://api.nlsc.gov.tw/other/ListVillage/U/{town}"/>
        <s v="https://api.nlsc.gov.tw/other/ListVillage/V/{town}"/>
        <s v="https://api.nlsc.gov.tw/other/ListVillage/W/{town}"/>
        <s v="https://api.nlsc.gov.tw/other/ListVillage/X/{town}"/>
        <s v="https://api.nlsc.gov.tw/other/ListVillage/Z/{town}"/>
        <s v="https://api.nlsc.gov.tw/other/MarkBufferAnlys/bus/{x}/{y}/{radius}"/>
        <s v="https://api.nlsc.gov.tw/other/MarkBufferAnlys/dis/{x}/{y}/{radius}"/>
        <s v="https://api.nlsc.gov.tw/other/MarkBufferAnlys/edu/{x}/{y}/{radius}"/>
        <s v="https://api.nlsc.gov.tw/other/MarkBufferAnlys/med/{x}/{y}/{radius}"/>
        <s v="https://api.nlsc.gov.tw/other/RoutesNodes/{point}/{crs}/{radius}"/>
        <s v="https://api.nlsc.gov.tw/other/RoutesQueryByDist/{beg}/{des}/{type}/{format}"/>
        <s v="https://api.nlsc.gov.tw/other/RoutesQueryByTime/{beg}/{des}/{type}/{format}"/>
        <s v="https://api.nlsc.gov.tw/other/TownVillagePointQuery/{x}/{y}/{epsg}"/>
        <s v="https://api.nlsc.gov.tw/other/TownVillagePointQuery1/{x}/{y}/{epsg}"/>
        <s v="https://api.nlsc.gov.tw/S_Maps_WebService/qryLand/GetLandNO/{經度}/{緯度}"/>
        <s v="https://api.nlsc.gov.tw/S_Maps_WebService/qryLand/GetLandPositionLongitudeLatitude/A/{sect}/{landno}"/>
        <s v="https://api.nlsc.gov.tw/S_Maps_WebService/qryLand/GetLandPositionLongitudeLatitude/B/{sect}/{landno}"/>
        <s v="https://api.nlsc.gov.tw/S_Maps_WebService/qryLand/GetLandPositionLongitudeLatitude/C/{sect}/{landno}"/>
        <s v="https://api.nlsc.gov.tw/S_Maps_WebService/qryLand/GetLandPositionLongitudeLatitude/D/{sect}/{landno}"/>
        <s v="https://api.nlsc.gov.tw/S_Maps_WebService/qryLand/GetLandPositionLongitudeLatitude/E/{sect}/{landno}"/>
        <s v="https://api.nlsc.gov.tw/S_Maps_WebService/qryLand/GetLandPositionLongitudeLatitude/F/{sect}/{landno}"/>
        <s v="https://api.nlsc.gov.tw/S_Maps_WebService/qryLand/GetLandPositionLongitudeLatitude/G/{sect}/{landno}"/>
        <s v="https://api.nlsc.gov.tw/S_Maps_WebService/qryLand/GetLandPositionLongitudeLatitude/H/{sect}/{landno}"/>
        <s v="https://api.nlsc.gov.tw/S_Maps_WebService/qryLand/GetLandPositionLongitudeLatitude/I/{sect}/{landno}"/>
        <s v="https://api.nlsc.gov.tw/S_Maps_WebService/qryLand/GetLandPositionLongitudeLatitude/J/{sect}/{landno}"/>
        <s v="https://api.nlsc.gov.tw/S_Maps_WebService/qryLand/GetLandPositionLongitudeLatitude/K/{sect}/{landno}"/>
        <s v="https://api.nlsc.gov.tw/S_Maps_WebService/qryLand/GetLandPositionLongitudeLatitude/M/{sect}/{landno}"/>
        <s v="https://api.nlsc.gov.tw/S_Maps_WebService/qryLand/GetLandPositionLongitudeLatitude/N/{sect}/{landno}"/>
        <s v="https://api.nlsc.gov.tw/S_Maps_WebService/qryLand/GetLandPositionLongitudeLatitude/O/{sect}/{landno}"/>
        <s v="https://api.nlsc.gov.tw/S_Maps_WebService/qryLand/GetLandPositionLongitudeLatitude/P/{sect}/{landno}"/>
        <s v="https://api.nlsc.gov.tw/S_Maps_WebService/qryLand/GetLandPositionLongitudeLatitude/Q/{sect}/{landno}"/>
        <s v="https://api.nlsc.gov.tw/S_Maps_WebService/qryLand/GetLandPositionLongitudeLatitude/T/{sect}/{landno}"/>
        <s v="https://api.nlsc.gov.tw/S_Maps_WebService/qryLand/GetLandPositionLongitudeLatitude/U/{sect}/{landno}"/>
        <s v="https://api.nlsc.gov.tw/S_Maps_WebService/qryLand/GetLandPositionLongitudeLatitude/V/{sect}/{landno}"/>
        <s v="https://api.nlsc.gov.tw/S_Maps_WebService/qryLand/GetLandPositionLongitudeLatitude/W/{sect}/{landno}"/>
        <s v="https://api.nlsc.gov.tw/S_Maps_WebService/qryLand/GetLandPositionLongitudeLatitude/X/{sect}/{landno}"/>
        <s v="https://api.nlsc.gov.tw/S_Maps_WebService/qryLand/GetLandPositionLongitudeLatitude/Z/{sect}/{landno}"/>
        <s v="https://api.nlsc.gov.tw/S_Maps/qryTileMapIndex?type=2&amp;flag=2"/>
        <s v="https://api.nlsc.gov.twS_Maps/qryTileMapIndex?type=2&amp;flag=1"/>
        <s v="https://landmaps.nlsc.gov.tw/S_Maps/wms"/>
        <s v="https://landmaps.nlsc.gov.tw/S_Maps/wmts/DMAPS/{Style}/{TileMatrixSet}/{TileMatrix}/{TileRow}/{TileCol}"/>
        <s v="https://wfs.nlsc.gov.tw/WFS/BUILDFRAME"/>
        <s v="https://wfs.nlsc.gov.tw/WFS/CADAS_MERGE"/>
        <s v="https://wfs.nlsc.gov.tw/WFS/EMAP"/>
        <s v="https://wfs.nlsc.gov.tw/WFS/LANDSECT"/>
        <s v="https://wfs.nlsc.gov.tw/WFS/LUIMAP"/>
        <s v="https://wfs.nlsc.gov.tw/WFS/TOPON1K/TOPON1K_112_B04"/>
        <s v="https://wfs.nlsc.gov.tw/WFS/TOPON1K/TOPON1K_112_B11"/>
        <s v="https://wfs.nlsc.gov.tw/WFS/TOPON1K/TOPON1K_112_B14"/>
        <s v="https://wfs.nlsc.gov.tw/WFS/TOPON1K/TOPON1K_112_B15"/>
        <s v="https://wfs.nlsc.gov.tw/WFS/TOPON1K/TOPON1K_112_B22"/>
        <s v="https://wfs.nlsc.gov.tw/WFS/TOPON1K/TOPON1K_112_D03"/>
        <s v="https://wfs.nlsc.gov.tw/WFS/TOPON1K/TOPON1K_112_D04"/>
        <s v="https://wfs.nlsc.gov.tw/WFS/TOPON1K/TOPON1K_112_D05"/>
        <s v="https://wfs.nlsc.gov.tw/WFS/TOPON1K/TOPON1K_112_D12"/>
        <s v="https://wfs.nlsc.gov.tw/WFS/TOPON1K/TOPON1K_112_E03"/>
        <s v="https://wfs.nlsc.gov.tw/WFS/TOPON1K/TOPON1K_112_G04"/>
        <s v="https://wfs.nlsc.gov.tw/WFS/TOPON1K/TOPON1K_112_G06"/>
        <s v="https://wfs.nlsc.gov.tw/WFS/TOPON1K/TOPON1K_112_G09"/>
        <s v="https://wfs.nlsc.gov.tw/WFS/TOPON1K/TOPON1K_112_G11"/>
        <s v="https://wfs.nlsc.gov.tw/WFS/TOPON1K/TOPON1K_112_G15"/>
        <s v="https://wfs.nlsc.gov.tw/WFS/TOPON1K/TOPON1K_112_G16"/>
        <s v="https://wfs.nlsc.gov.tw/WFS/TOPON1K/TOPON1K_112_G17"/>
        <s v="https://wfs.nlsc.gov.tw/WFS/TOPON1K/TOPON1K_112_G18"/>
        <s v="https://wfs.nlsc.gov.tw/WFS/TOPON1K/TOPON1K_112_G19"/>
        <s v="https://wfs.nlsc.gov.tw/WFS/TOPON1K/TOPON1K_112_G20"/>
        <s v="https://wfs.nlsc.gov.tw/WFS/TOPON1K/TOPON1K_112_H31"/>
        <s v="https://wfs.nlsc.gov.tw/WFS/TOPON1K/TOPON1K_112_J01"/>
        <s v="https://wfs.nlsc.gov.tw/WFS/TOPON1K/TOPON1K_112_J13"/>
        <s v="https://wfs.nlsc.gov.tw/WFS/TOPON1K/TOPON1K_112_J17"/>
        <s v="https://wfs.nlsc.gov.tw/WFS/TOPON1K/TOPON1K_112_K01"/>
        <s v="https://wfs.nlsc.gov.tw/WFS/TOPON1K/TOPON1K_112_K02"/>
        <s v="https://wfs.nlsc.gov.tw/WFS/TOPON1K/TOPON1K_112_K14"/>
        <s v="https://wfs.nlsc.gov.tw/WFS/TOPON1K/TOPON1K_112_M01"/>
        <s v="https://wfs.nlsc.gov.tw/WFS/TOPON1K/TOPON1K_112_M02"/>
        <s v="https://wfs.nlsc.gov.tw/WFS/TOPON1K/TOPON1K_112_M04"/>
        <s v="https://wfs.nlsc.gov.tw/WFS/TOPON1K/TOPON1K_112_N01"/>
        <s v="https://wfs.nlsc.gov.tw/WFS/TOPON1K/TOPON1K_112_N02"/>
        <s v="https://wfs.nlsc.gov.tw/WFS/TOPON1K/TOPON1K_112_P12"/>
        <s v="https://wfs.nlsc.gov.tw/WFS/TOPON1K/TOPON1K_112_P13"/>
        <s v="https://wfs.nlsc.gov.tw/WFS/TOPON1K/TOPON1K_112_P22"/>
        <s v="https://wfs.nlsc.gov.tw/WFS/TOPON1K/TOPON1K_112_P24"/>
        <s v="https://wfs.nlsc.gov.tw/WFS/TOPON1K/TOPON1K_112_Q02"/>
        <s v="https://wfs.nlsc.gov.tw/WFS/TOPON1K/TOPON1K_112_Q19"/>
        <s v="https://wfs.nlsc.gov.tw/WFS/TOPON1K/TOPON1K_112_Q21"/>
        <s v="https://wfs.nlsc.gov.tw/WFS/TOPON1K/TOPON1K_112_Q22"/>
        <s v="https://wfs.nlsc.gov.tw/WFS/TOPON1K/TOPON1K_112_Q26"/>
        <s v="https://wfs.nlsc.gov.tw/WFS/TOPON1K/TOPON1K_112_Q27"/>
        <s v="https://wfs.nlsc.gov.tw/WFS/TOPON1K/TOPON1K_112_Q28"/>
        <s v="https://wfs.nlsc.gov.tw/WFS/TOPON1K/TOPON1K_112_T01"/>
        <s v="https://wfs.nlsc.gov.tw/WFS/TOPON1K/TOPON1K_112_V01"/>
        <s v="https://wfs.nlsc.gov.tw/WFS/TOPON1K/TOPON1K_112_X01"/>
        <s v="https://wfs.nlsc.gov.tw/WFS/TOPON1K/TOPON1K_112_X02"/>
        <s v="https://wfs.nlsc.gov.tw/WFS/TOPON1K/TOPON1K_112_X03"/>
        <s v="https://wfs.nlsc.gov.tw/WFS/TOPON1K/TOPON1K_112_X04"/>
        <s v="https://wfs.nlsc.gov.tw/WFS/TOPON1K/TOPON1K_112_X05"/>
        <s v="https://wfs.nlsc.gov.tw/WFS/TOPON1K/TOPON1K_112_X06"/>
        <s v="https://wfs.nlsc.gov.tw/WFS/TOPON1K/TOPON1K_113_B20"/>
        <s v="https://wfs.nlsc.gov.tw/WFS/TOPON1K/TOPON1K_113_B25"/>
        <s v="https://wfs.nlsc.gov.tw/WFS/TOPON1K/TOPON1K_113_D08"/>
        <s v="https://wfs.nlsc.gov.tw/WFS/TOPON1K/TOPON1K_113_E02"/>
        <s v="https://wfs.nlsc.gov.tw/WFS/TOPON1K/TOPON1K_113_E32"/>
        <s v="https://wfs.nlsc.gov.tw/WFS/TOPON1K/TOPON1K_113_G01"/>
        <s v="https://wfs.nlsc.gov.tw/WFS/TOPON1K/TOPON1K_113_H18"/>
        <s v="https://wfs.nlsc.gov.tw/WFS/TOPON1K/TOPON1K_113_H19"/>
        <s v="https://wfs.nlsc.gov.tw/WFS/TOPON1K/TOPON1K_113_H20"/>
        <s v="https://wfs.nlsc.gov.tw/WFS/TOPON1K/TOPON1K_113_H21"/>
        <s v="https://wfs.nlsc.gov.tw/WFS/TOPON1K/TOPON1K_113_J06"/>
        <s v="https://wfs.nlsc.gov.tw/WFS/TOPON1K/TOPON1K_113_J16"/>
        <s v="https://wfs.nlsc.gov.tw/WFS/TOPON1K/TOPON1K_113_P01"/>
        <s v="https://wfs.nlsc.gov.tw/WFS/TOPON1K/TOPON1K_113_P10"/>
        <s v="https://wfs.nlsc.gov.tw/WFS/TOPON1K/TOPON1K_113_P25"/>
        <s v="https://wfs.nlsc.gov.tw/WFS/TOPON1K/TOPON1K_113_Q06"/>
        <s v="https://wfs.nlsc.gov.tw/WFS/TOPON1K/TOPON1K_113_Q07"/>
        <s v="https://wfs.nlsc.gov.tw/WFS/TOPON1K/TOPON1K_113_Q29"/>
        <s v="https://wfs.nlsc.gov.tw/WFS/TOPON1K/TOPON1K_113_Q30"/>
        <s v="https://wfs.nlsc.gov.tw/WFS/TOPON1K/TOPON1K_113_Q31"/>
        <s v="https://wfs.nlsc.gov.tw/WFS/TOPON1K/TOPON1K_113_T03"/>
        <s v="https://wfs.nlsc.gov.tw/WFS/TOPON1K/TOPON1K_113_T08"/>
        <s v="https://wfs.nlsc.gov.tw/WFS/TOPON1K/TOPON1K_113_T20"/>
        <s v="https://wfs.nlsc.gov.tw/WFS/TOPON1K/TOPON1K_113_T30"/>
        <s v="https://wfs.nlsc.gov.tw/WFS/TOPON1K/TOPON1K_113_U20"/>
        <s v="https://wfs.nlsc.gov.tw/WFS/TOPON1K/TOPON1K_113_V02"/>
        <s v="https://wfs.nlsc.gov.tw/WFS/TOPON1K/TOPON1K_113_X07"/>
        <s v="https://wfs.nlsc.gov.tw/WFS/TOPON1K/TOPON1K_113_X08"/>
        <s v="https://wms.nlsc.gov.tw/wms"/>
        <s v="https://wmts.nlsc.gov.tw/97/wmts/EMAP3825/{Style}/{TileMatrixSet}/{TileMatrix}/{TileRow}/{TileCol}"/>
        <s v="https://wmts.nlsc.gov.tw/97/wmts/EMAP3826/{Style}/{TileMatrixSet}/{TileMatrix}/{TileRow}/{TileCol}"/>
        <s v="https://wmts.nlsc.gov.tw/97/wmts/PHOTO3826/{Style}/{TileMatrixSet}/{TileMatrix}/{TileRow}/{TileCol}"/>
        <s v="https://wmts.nlsc.gov.tw/wmts/AED/{Style}/{TileMatrixSet}/{TileMatrix}/{TileRow}/{TileCol}"/>
        <s v="https://wmts.nlsc.gov.tw/wmts/Asrs_2025_ortho/{Style}/{TileMatrixSet}/{TileMatrix}/{TileRow}/{TileCol}"/>
        <s v="https://wmts.nlsc.gov.tw/wmts/Asrs_20250925_1/{Style}/{TileMatrixSet}/{TileMatrix}/{TileRow}/{TileCol}"/>
        <s v="https://wmts.nlsc.gov.tw/wmts/Asrs_20250925_2/{Style}/{TileMatrixSet}/{TileMatrix}/{TileRow}/{TileCol}"/>
        <s v="https://wmts.nlsc.gov.tw/wmts/Asrs_20250925_3/{Style}/{TileMatrixSet}/{TileMatrix}/{TileRow}/{TileCol}"/>
        <s v="https://wmts.nlsc.gov.tw/wmts/Asrs_20250927_1/{Style}/{TileMatrixSet}/{TileMatrix}/{TileRow}/{TileCol}"/>
        <s v="https://wmts.nlsc.gov.tw/wmts/Asrs_20250927_2/{Style}/{TileMatrixSet}/{TileMatrix}/{TileRow}/{TileCol}"/>
        <s v="https://wmts.nlsc.gov.tw/wmts/Asrs_20250927_3/{Style}/{TileMatrixSet}/{TileMatrix}/{TileRow}/{TileCol}"/>
        <s v="https://wmts.nlsc.gov.tw/wmts/Asrs_20250928_1/{Style}/{TileMatrixSet}/{TileMatrix}/{TileRow}/{TileCol}"/>
        <s v="https://wmts.nlsc.gov.tw/wmts/Asrs_20250928_2/{Style}/{TileMatrixSet}/{TileMatrix}/{TileRow}/{TileCol}"/>
        <s v="https://wmts.nlsc.gov.tw/wmts/Asrs_20250929_1/{Style}/{TileMatrixSet}/{TileMatrix}/{TileRow}/{TileCol}"/>
        <s v="https://wmts.nlsc.gov.tw/wmts/Asrs_20250929_2/{Style}/{TileMatrixSet}/{TileMatrix}/{TileRow}/{TileCol}"/>
        <s v="https://wmts.nlsc.gov.tw/wmts/Asrs_20250930_1/{Style}/{TileMatrixSet}/{TileMatrix}/{TileRow}/{TileCol}"/>
        <s v="https://wmts.nlsc.gov.tw/wmts/Asrs_20250930_2/{Style}/{TileMatrixSet}/{TileMatrix}/{TileRow}/{TileCol}"/>
        <s v="https://wmts.nlsc.gov.tw/wmts/Asrs_20251001_1/{Style}/{TileMatrixSet}/{TileMatrix}/{TileRow}/{TileCol}"/>
        <s v="https://wmts.nlsc.gov.tw/wmts/Asrs_20251002_1/{Style}/{TileMatrixSet}/{TileMatrix}/{TileRow}/{TileCol}"/>
        <s v="https://wmts.nlsc.gov.tw/wmts/Asrs_20251002_2/{Style}/{TileMatrixSet}/{TileMatrix}/{TileRow}/{TileCol}"/>
        <s v="https://wmts.nlsc.gov.tw/wmts/Asrs_20251002_3/{Style}/{TileMatrixSet}/{TileMatrix}/{TileRow}/{TileCol}"/>
        <s v="https://wmts.nlsc.gov.tw/wmts/Asrs_20251003_1/{Style}/{TileMatrixSet}/{TileMatrix}/{TileRow}/{TileCol}"/>
        <s v="https://wmts.nlsc.gov.tw/wmts/Asrs_20251003_2/{Style}/{TileMatrixSet}/{TileMatrix}/{TileRow}/{TileCol}"/>
        <s v="https://wmts.nlsc.gov.tw/wmts/Asrs_20251003_3/{Style}/{TileMatrixSet}/{TileMatrix}/{TileRow}/{TileCol}"/>
        <s v="https://wmts.nlsc.gov.tw/wmts/Asrs_20251003_4/{Style}/{TileMatrixSet}/{TileMatrix}/{TileRow}/{TileCol}"/>
        <s v="https://wmts.nlsc.gov.tw/wmts/Asrs_20251003_5/{Style}/{TileMatrixSet}/{TileMatrix}/{TileRow}/{TileCol}"/>
        <s v="https://wmts.nlsc.gov.tw/wmts/Asrs_20251003_6/{Style}/{TileMatrixSet}/{TileMatrix}/{TileRow}/{TileCol}"/>
        <s v="https://wmts.nlsc.gov.tw/wmts/Asrs_20251003_7/{Style}/{TileMatrixSet}/{TileMatrix}/{TileRow}/{TileCol}"/>
        <s v="https://wmts.nlsc.gov.tw/wmts/Asrs_20251004_1/{Style}/{TileMatrixSet}/{TileMatrix}/{TileRow}/{TileCol}"/>
        <s v="https://wmts.nlsc.gov.tw/wmts/Asrs_20251004_2/{Style}/{TileMatrixSet}/{TileMatrix}/{TileRow}/{TileCol}"/>
        <s v="https://wmts.nlsc.gov.tw/wmts/Asrs_20251004_3/{Style}/{TileMatrixSet}/{TileMatrix}/{TileRow}/{TileCol}"/>
        <s v="https://wmts.nlsc.gov.tw/wmts/Asrs_20251005_1/{Style}/{TileMatrixSet}/{TileMatrix}/{TileRow}/{TileCol}"/>
        <s v="https://wmts.nlsc.gov.tw/wmts/Asrs_20251005_2/{Style}/{TileMatrixSet}/{TileMatrix}/{TileRow}/{TileCol}"/>
        <s v="https://wmts.nlsc.gov.tw/wmts/Asrs_20251005_3/{Style}/{TileMatrixSet}/{TileMatrix}/{TileRow}/{TileCol}"/>
        <s v="https://wmts.nlsc.gov.tw/wmts/Asrs_20251006_1/{Style}/{TileMatrixSet}/{TileMatrix}/{TileRow}/{TileCol}"/>
        <s v="https://wmts.nlsc.gov.tw/wmts/Asrs_20251006_2/{Style}/{TileMatrixSet}/{TileMatrix}/{TileRow}/{TileCol}"/>
        <s v="https://wmts.nlsc.gov.tw/wmts/Asrs_20251006_3/{Style}/{TileMatrixSet}/{TileMatrix}/{TileRow}/{TileCol}"/>
        <s v="https://wmts.nlsc.gov.tw/wmts/Asrs_20251007_1/{Style}/{TileMatrixSet}/{TileMatrix}/{TileRow}/{TileCol}"/>
        <s v="https://wmts.nlsc.gov.tw/wmts/Asrs_20251007_2/{Style}/{TileMatrixSet}/{TileMatrix}/{TileRow}/{TileCol}"/>
        <s v="https://wmts.nlsc.gov.tw/wmts/Asrs_20251007_3/{Style}/{TileMatrixSet}/{TileMatrix}/{TileRow}/{TileCol}"/>
        <s v="https://wmts.nlsc.gov.tw/wmts/Asrs_20251013_1/{Style}/{TileMatrixSet}/{TileMatrix}/{TileRow}/{TileCol}"/>
        <s v="https://wmts.nlsc.gov.tw/wmts/Asrs_20251013_2/{Style}/{TileMatrixSet}/{TileMatrix}/{TileRow}/{TileCol}"/>
        <s v="https://wmts.nlsc.gov.tw/wmts/Asrs_20251013_3/{Style}/{TileMatrixSet}/{TileMatrix}/{TileRow}/{TileCol}"/>
        <s v="https://wmts.nlsc.gov.tw/wmts/Asrs_20251013_4/{Style}/{TileMatrixSet}/{TileMatrix}/{TileRow}/{TileCol}"/>
        <s v="https://wmts.nlsc.gov.tw/wmts/Asrs_20251013_5/{Style}/{TileMatrixSet}/{TileMatrix}/{TileRow}/{TileCol}"/>
        <s v="https://wmts.nlsc.gov.tw/wmts/Asrs_20251013_6/{Style}/{TileMatrixSet}/{TileMatrix}/{TileRow}/{TileCol}"/>
        <s v="https://wmts.nlsc.gov.tw/wmts/Asrs_20251013_7/{Style}/{TileMatrixSet}/{TileMatrix}/{TileRow}/{TileCol}"/>
        <s v="https://wmts.nlsc.gov.tw/wmts/Asrs_20251013_8/{Style}/{TileMatrixSet}/{TileMatrix}/{TileRow}/{TileCol}"/>
        <s v="https://wmts.nlsc.gov.tw/wmts/Asrs_20251013_9/{Style}/{TileMatrixSet}/{TileMatrix}/{TileRow}/{TileCol}"/>
        <s v="https://wmts.nlsc.gov.tw/wmts/Asrs_20251116_1/{Style}/{TileMatrixSet}/{TileMatrix}/{TileRow}/{TileCol}"/>
        <s v="https://wmts.nlsc.gov.tw/wmts/Asrs_20251116_2/{Style}/{TileMatrixSet}/{TileMatrix}/{TileRow}/{TileCol}"/>
        <s v="https://wmts.nlsc.gov.tw/wmts/Asrs_20251116_3/{Style}/{TileMatrixSet}/{TileMatrix}/{TileRow}/{TileCol}"/>
        <s v="https://wmts.nlsc.gov.tw/wmts/Asrs_20251116_4/{Style}/{TileMatrixSet}/{TileMatrix}/{TileRow}/{TileCol}"/>
        <s v="https://wmts.nlsc.gov.tw/wmts/Asrs_20251116_5/{Style}/{TileMatrixSet}/{TileMatrix}/{TileRow}/{TileCol}"/>
        <s v="https://wmts.nlsc.gov.tw/wmts/Asrs_20251116_6/{Style}/{TileMatrixSet}/{TileMatrix}/{TileRow}/{TileCol}"/>
        <s v="https://wmts.nlsc.gov.tw/wmts/Asrs_20251116_7/{Style}/{TileMatrixSet}/{TileMatrix}/{TileRow}/{TileCol}"/>
        <s v="https://wmts.nlsc.gov.tw/wmts/Asrs_20251116_8/{Style}/{TileMatrixSet}/{TileMatrix}/{TileRow}/{TileCol}"/>
        <s v="https://wmts.nlsc.gov.tw/wmts/B100000/{Style}/{TileMatrixSet}/{TileMatrix}/{TileRow}/{TileCol}"/>
        <s v="https://wmts.nlsc.gov.tw/wmts/B25000/{Style}/{TileMatrixSet}/{TileMatrix}/{TileRow}/{TileCol}"/>
        <s v="https://wmts.nlsc.gov.tw/wmts/B5000/{Style}/{TileMatrixSet}/{TileMatrix}/{TileRow}/{TileCol}"/>
        <s v="https://wmts.nlsc.gov.tw/wmts/B50000/{Style}/{TileMatrixSet}/{TileMatrix}/{TileRow}/{TileCol}"/>
        <s v="https://wmts.nlsc.gov.tw/wmts/BUILDX/{Style}/{TileMatrixSet}/{TileMatrix}/{TileRow}/{TileCol}"/>
        <s v="https://wmts.nlsc.gov.tw/wmts/CITY/{Style}/{TileMatrixSet}/{TileMatrix}/{TileRow}/{TileCol}"/>
        <s v="https://wmts.nlsc.gov.tw/wmts/ConvenienceStore/{Style}/{TileMatrixSet}/{TileMatrix}/{TileRow}/{TileCol}"/>
        <s v="https://wmts.nlsc.gov.tw/wmts/DDEM05/{Style}/{TileMatrixSet}/{TileMatrix}/{TileRow}/{TileCol}"/>
        <s v="https://wmts.nlsc.gov.tw/wmts/EMAP/{Style}/{TileMatrixSet}/{TileMatrix}/{TileRow}/{TileCol}"/>
        <s v="https://wmts.nlsc.gov.tw/wmts/EMAP01/{Style}/{TileMatrixSet}/{TileMatrix}/{TileRow}/{TileCol}"/>
        <s v="https://wmts.nlsc.gov.tw/wmts/EMAP12/{Style}/{TileMatrixSet}/{TileMatrix}/{TileRow}/{TileCol}"/>
        <s v="https://wmts.nlsc.gov.tw/wmts/EMAP15/{Style}/{TileMatrixSet}/{TileMatrix}/{TileRow}/{TileCol}"/>
        <s v="https://wmts.nlsc.gov.tw/wmts/EMAP16/{Style}/{TileMatrixSet}/{TileMatrix}/{TileRow}/{TileCol}"/>
        <s v="https://wmts.nlsc.gov.tw/wmts/EMAP2/{Style}/{TileMatrixSet}/{TileMatrix}/{TileRow}/{TileCol}"/>
        <s v="https://wmts.nlsc.gov.tw/wmts/EMAP5_OPENDATA/{Style}/{TileMatrixSet}/{TileMatrix}/{TileRow}/{TileCol}"/>
        <s v="https://wmts.nlsc.gov.tw/wmts/EMAP5/{Style}/{TileMatrixSet}/{TileMatrix}/{TileRow}/{TileCol}"/>
        <s v="https://wmts.nlsc.gov.tw/wmts/EMAP6_OPENDATA/{Style}/{TileMatrixSet}/{TileMatrix}/{TileRow}/{TileCol}"/>
        <s v="https://wmts.nlsc.gov.tw/wmts/EMAP6/{Style}/{TileMatrixSet}/{TileMatrix}/{TileRow}/{TileCol}"/>
        <s v="https://wmts.nlsc.gov.tw/wmts/EMAP7/{Style}/{TileMatrixSet}/{TileMatrix}/{TileRow}/{TileCol}"/>
        <s v="https://wmts.nlsc.gov.tw/wmts/EMAP8/{Style}/{TileMatrixSet}/{TileMatrix}/{TileRow}/{TileCol}"/>
        <s v="https://wmts.nlsc.gov.tw/wmts/EMAP9/{Style}/{TileMatrixSet}/{TileMatrix}/{TileRow}/{TileCol}"/>
        <s v="https://wmts.nlsc.gov.tw/wmts/EMAP96/{Style}/{TileMatrixSet}/{TileMatrix}/{TileRow}/{TileCol}"/>
        <s v="https://wmts.nlsc.gov.tw/wmts/EMAP97/{Style}/{TileMatrixSet}/{TileMatrix}/{TileRow}/{TileCol}"/>
        <s v="https://wmts.nlsc.gov.tw/wmts/EMAP98/{Style}/{TileMatrixSet}/{TileMatrix}/{TileRow}/{TileCol}"/>
        <s v="https://wmts.nlsc.gov.tw/wmts/EMAPX99/{Style}/{TileMatrixSet}/{TileMatrix}/{TileRow}/{TileCol}"/>
        <s v="https://wmts.nlsc.gov.tw/wmts/fireplug/{Style}/{TileMatrixSet}/{TileMatrix}/{TileRow}/{TileCol}"/>
        <s v="https://wmts.nlsc.gov.tw/wmts/GeoSensitive/{Style}/{TileMatrixSet}/{TileMatrix}/{TileRow}/{TileCol}"/>
        <s v="https://wmts.nlsc.gov.tw/wmts/GeoSensitive2/{Style}/{TileMatrixSet}/{TileMatrix}/{TileRow}/{TileCol}"/>
        <s v="https://wmts.nlsc.gov.tw/wmts/LAND_OPENDATA/{Style}/{TileMatrixSet}/{TileMatrix}/{TileRow}/{TileCol}"/>
        <s v="https://wmts.nlsc.gov.tw/wmts/LandOffice/{Style}/{TileMatrixSet}/{TileMatrix}/{TileRow}/{TileCol}"/>
        <s v="https://wmts.nlsc.gov.tw/wmts/LANDSECT/{Style}/{TileMatrixSet}/{TileMatrix}/{TileRow}/{TileCol}"/>
        <s v="https://wmts.nlsc.gov.tw/wmts/LANDSECT2/{Style}/{TileMatrixSet}/{TileMatrix}/{TileRow}/{TileCol}"/>
        <s v="https://wmts.nlsc.gov.tw/wmts/LUIMAP/{Style}/{TileMatrixSet}/{TileMatrix}/{TileRow}/{TileCol}"/>
        <s v="https://wmts.nlsc.gov.tw/wmts/LUIMAP01/{Style}/{TileMatrixSet}/{TileMatrix}/{TileRow}/{TileCol}"/>
        <s v="https://wmts.nlsc.gov.tw/wmts/LUIMAP02/{Style}/{TileMatrixSet}/{TileMatrix}/{TileRow}/{TileCol}"/>
        <s v="https://wmts.nlsc.gov.tw/wmts/LUIMAP03/{Style}/{TileMatrixSet}/{TileMatrix}/{TileRow}/{TileCol}"/>
        <s v="https://wmts.nlsc.gov.tw/wmts/LUIMAP04/{Style}/{TileMatrixSet}/{TileMatrix}/{TileRow}/{TileCol}"/>
        <s v="https://wmts.nlsc.gov.tw/wmts/LUIMAP05/{Style}/{TileMatrixSet}/{TileMatrix}/{TileRow}/{TileCol}"/>
        <s v="https://wmts.nlsc.gov.tw/wmts/LUIMAP06/{Style}/{TileMatrixSet}/{TileMatrix}/{TileRow}/{TileCol}"/>
        <s v="https://wmts.nlsc.gov.tw/wmts/LUIMAP07/{Style}/{TileMatrixSet}/{TileMatrix}/{TileRow}/{TileCol}"/>
        <s v="https://wmts.nlsc.gov.tw/wmts/LUIMAP08/{Style}/{TileMatrixSet}/{TileMatrix}/{TileRow}/{TileCol}"/>
        <s v="https://wmts.nlsc.gov.tw/wmts/LUIMAP09/{Style}/{TileMatrixSet}/{TileMatrix}/{TileRow}/{TileCol}"/>
        <s v="https://wmts.nlsc.gov.tw/wmts/LUIMAP100/{Style}/{TileMatrixSet}/{TileMatrix}/{TileRow}/{TileCol}"/>
        <s v="https://wmts.nlsc.gov.tw/wmts/LUIMAP101/{Style}/{TileMatrixSet}/{TileMatrix}/{TileRow}/{TileCol}"/>
        <s v="https://wmts.nlsc.gov.tw/wmts/LUIMAP102/{Style}/{TileMatrixSet}/{TileMatrix}/{TileRow}/{TileCol}"/>
        <s v="https://wmts.nlsc.gov.tw/wmts/LUIMAP103/{Style}/{TileMatrixSet}/{TileMatrix}/{TileRow}/{TileCol}"/>
        <s v="https://wmts.nlsc.gov.tw/wmts/LUIMAP104/{Style}/{TileMatrixSet}/{TileMatrix}/{TileRow}/{TileCol}"/>
        <s v="https://wmts.nlsc.gov.tw/wmts/LUIMAP105/{Style}/{TileMatrixSet}/{TileMatrix}/{TileRow}/{TileCol}"/>
        <s v="https://wmts.nlsc.gov.tw/wmts/LUIMAP106/{Style}/{TileMatrixSet}/{TileMatrix}/{TileRow}/{TileCol}"/>
        <s v="https://wmts.nlsc.gov.tw/wmts/LUIMAP107/{Style}/{TileMatrixSet}/{TileMatrix}/{TileRow}/{TileCol}"/>
        <s v="https://wmts.nlsc.gov.tw/wmts/LUIMAP108/{Style}/{TileMatrixSet}/{TileMatrix}/{TileRow}/{TileCol}"/>
        <s v="https://wmts.nlsc.gov.tw/wmts/LUIMAP109/{Style}/{TileMatrixSet}/{TileMatrix}/{TileRow}/{TileCol}"/>
        <s v="https://wmts.nlsc.gov.tw/wmts/LUIMAP110/{Style}/{TileMatrixSet}/{TileMatrix}/{TileRow}/{TileCol}"/>
        <s v="https://wmts.nlsc.gov.tw/wmts/LUIMAP111/{Style}/{TileMatrixSet}/{TileMatrix}/{TileRow}/{TileCol}"/>
        <s v="https://wmts.nlsc.gov.tw/wmts/LUIMAP112/{Style}/{TileMatrixSet}/{TileMatrix}/{TileRow}/{TileCol}"/>
        <s v="https://wmts.nlsc.gov.tw/wmts/LUIMAP113/{Style}/{TileMatrixSet}/{TileMatrix}/{TileRow}/{TileCol}"/>
        <s v="https://wmts.nlsc.gov.tw/wmts/LUIMAP114/{Style}/{TileMatrixSet}/{TileMatrix}/{TileRow}/{TileCol}"/>
        <s v="https://wmts.nlsc.gov.tw/wmts/LUIMAP82/{Style}/{TileMatrixSet}/{TileMatrix}/{TileRow}/{TileCol}"/>
        <s v="https://wmts.nlsc.gov.tw/wmts/LUIMAP95/{Style}/{TileMatrixSet}/{TileMatrix}/{TileRow}/{TileCol}"/>
        <s v="https://wmts.nlsc.gov.tw/wmts/LUIMAP98/{Style}/{TileMatrixSet}/{TileMatrix}/{TileRow}/{TileCol}"/>
        <s v="https://wmts.nlsc.gov.tw/wmts/LUIMAP99/{Style}/{TileMatrixSet}/{TileMatrix}/{TileRow}/{TileCol}"/>
        <s v="https://wmts.nlsc.gov.tw/wmts/MB5000/{Style}/{TileMatrixSet}/{TileMatrix}/{TileRow}/{TileCol}"/>
        <s v="https://wmts.nlsc.gov.tw/wmts/MOI_ASPECT/{Style}/{TileMatrixSet}/{TileMatrix}/{TileRow}/{TileCol}"/>
        <s v="https://wmts.nlsc.gov.tw/wmts/MOI_CONTOUR_2/{Style}/{TileMatrixSet}/{TileMatrix}/{TileRow}/{TileCol}"/>
        <s v="https://wmts.nlsc.gov.tw/wmts/MOI_CONTOUR/{Style}/{TileMatrixSet}/{TileMatrix}/{TileRow}/{TileCol}"/>
        <s v="https://wmts.nlsc.gov.tw/wmts/MOI_HILLSHADE/{Style}/{TileMatrixSet}/{TileMatrix}/{TileRow}/{TileCol}"/>
        <s v="https://wmts.nlsc.gov.tw/wmts/MOI_SHADERMAP/{Style}/{TileMatrixSet}/{TileMatrix}/{TileRow}/{TileCol}"/>
        <s v="https://wmts.nlsc.gov.tw/wmts/MOI_SLOPEP_GT30_2/{Style}/{TileMatrixSet}/{TileMatrix}/{TileRow}/{TileCol}"/>
        <s v="https://wmts.nlsc.gov.tw/wmts/MOI_SLOPEP_GT30/{Style}/{TileMatrixSet}/{TileMatrix}/{TileRow}/{TileCol}"/>
        <s v="https://wmts.nlsc.gov.tw/wmts/MOI_SLOPEP_LV7_2/{Style}/{TileMatrixSet}/{TileMatrix}/{TileRow}/{TileCol}"/>
        <s v="https://wmts.nlsc.gov.tw/wmts/MOI_SLOPEP_LV7/{Style}/{TileMatrixSet}/{TileMatrix}/{TileRow}/{TileCol}"/>
        <s v="https://wmts.nlsc.gov.tw/wmts/nURBAN1/{Style}/{TileMatrixSet}/{TileMatrix}/{TileRow}/{TileCol}"/>
        <s v="https://wmts.nlsc.gov.tw/wmts/nURBAN2/{Style}/{TileMatrixSet}/{TileMatrix}/{TileRow}/{TileCol}"/>
        <s v="https://wmts.nlsc.gov.tw/wmts/PHOTO_MIX/{Style}/{TileMatrixSet}/{TileMatrix}/{TileRow}/{TileCol}"/>
        <s v="https://wmts.nlsc.gov.tw/wmts/PHOTO_VA/{Style}/{TileMatrixSet}/{TileMatrix}/{TileRow}/{TileCol}"/>
        <s v="https://wmts.nlsc.gov.tw/wmts/PHOTO1/{Style}/{TileMatrixSet}/{TileMatrix}/{TileRow}/{TileCol}"/>
        <s v="https://wmts.nlsc.gov.tw/wmts/PHOTO2/{Style}/{TileMatrixSet}/{TileMatrix}/{TileRow}/{TileCol}"/>
        <s v="https://wmts.nlsc.gov.tw/wmts/PHOTO2014/{Style}/{TileMatrixSet}/{TileMatrix}/{TileRow}/{TileCol}"/>
        <s v="https://wmts.nlsc.gov.tw/wmts/PHOTO2015/{Style}/{TileMatrixSet}/{TileMatrix}/{TileRow}/{TileCol}"/>
        <s v="https://wmts.nlsc.gov.tw/wmts/PHOTO2016/{Style}/{TileMatrixSet}/{TileMatrix}/{TileRow}/{TileCol}"/>
        <s v="https://wmts.nlsc.gov.tw/wmts/PHOTO2017/{Style}/{TileMatrixSet}/{TileMatrix}/{TileRow}/{TileCol}"/>
        <s v="https://wmts.nlsc.gov.tw/wmts/PHOTO2018/{Style}/{TileMatrixSet}/{TileMatrix}/{TileRow}/{TileCol}"/>
        <s v="https://wmts.nlsc.gov.tw/wmts/PHOTO2019/{Style}/{TileMatrixSet}/{TileMatrix}/{TileRow}/{TileCol}"/>
        <s v="https://wmts.nlsc.gov.tw/wmts/PHOTO2020/{Style}/{TileMatrixSet}/{TileMatrix}/{TileRow}/{TileCol}"/>
        <s v="https://wmts.nlsc.gov.tw/wmts/PHOTO2021/{Style}/{TileMatrixSet}/{TileMatrix}/{TileRow}/{TileCol}"/>
        <s v="https://wmts.nlsc.gov.tw/wmts/PHOTO2022/{Style}/{TileMatrixSet}/{TileMatrix}/{TileRow}/{TileCol}"/>
        <s v="https://wmts.nlsc.gov.tw/wmts/PHOTO2023/{Style}/{TileMatrixSet}/{TileMatrix}/{TileRow}/{TileCol}"/>
        <s v="https://wmts.nlsc.gov.tw/wmts/PHOTO2024/{Style}/{TileMatrixSet}/{TileMatrix}/{TileRow}/{TileCol}"/>
        <s v="https://wmts.nlsc.gov.tw/wmts/PHOTO2025/{Style}/{TileMatrixSet}/{TileMatrix}/{TileRow}/{TileCol}"/>
        <s v="https://wmts.nlsc.gov.tw/wmts/ROAD/{Style}/{TileMatrixSet}/{TileMatrix}/{TileRow}/{TileCol}"/>
        <s v="https://wmts.nlsc.gov.tw/wmts/SCHOOL/{Style}/{TileMatrixSet}/{TileMatrix}/{TileRow}/{TileCol}"/>
        <s v="https://wmts.nlsc.gov.tw/wmts/SHELTERS/{Style}/{TileMatrixSet}/{TileMatrix}/{TileRow}/{TileCol}"/>
        <s v="https://wmts.nlsc.gov.tw/wmts/SoilLiquefaction/{Style}/{TileMatrixSet}/{TileMatrix}/{TileRow}/{TileCol}"/>
        <s v="https://wmts.nlsc.gov.tw/wmts/SoilLiquefaction2/{Style}/{TileMatrixSet}/{TileMatrix}/{TileRow}/{TileCol}"/>
        <s v="https://wmts.nlsc.gov.tw/wmts/TOPO01K_B01/{Style}/{TileMatrixSet}/{TileMatrix}/{TileRow}/{TileCol}"/>
        <s v="https://wmts.nlsc.gov.tw/wmts/TOPO01K_B02/{Style}/{TileMatrixSet}/{TileMatrix}/{TileRow}/{TileCol}"/>
        <s v="https://wmts.nlsc.gov.tw/wmts/TOPO01K_B03/{Style}/{TileMatrixSet}/{TileMatrix}/{TileRow}/{TileCol}"/>
        <s v="https://wmts.nlsc.gov.tw/wmts/TOPO01K_B04/{Style}/{TileMatrixSet}/{TileMatrix}/{TileRow}/{TileCol}"/>
        <s v="https://wmts.nlsc.gov.tw/wmts/TOPO01K_B05/{Style}/{TileMatrixSet}/{TileMatrix}/{TileRow}/{TileCol}"/>
        <s v="https://wmts.nlsc.gov.tw/wmts/TOPO01K_B06/{Style}/{TileMatrixSet}/{TileMatrix}/{TileRow}/{TileCol}"/>
        <s v="https://wmts.nlsc.gov.tw/wmts/TOPO01K_B07/{Style}/{TileMatrixSet}/{TileMatrix}/{TileRow}/{TileCol}"/>
        <s v="https://wmts.nlsc.gov.tw/wmts/TOPO01K_B08/{Style}/{TileMatrixSet}/{TileMatrix}/{TileRow}/{TileCol}"/>
        <s v="https://wmts.nlsc.gov.tw/wmts/TOPO01K_B09/{Style}/{TileMatrixSet}/{TileMatrix}/{TileRow}/{TileCol}"/>
        <s v="https://wmts.nlsc.gov.tw/wmts/TOPO01K_B10/{Style}/{TileMatrixSet}/{TileMatrix}/{TileRow}/{TileCol}"/>
        <s v="https://wmts.nlsc.gov.tw/wmts/TOPO01K_B11/{Style}/{TileMatrixSet}/{TileMatrix}/{TileRow}/{TileCol}"/>
        <s v="https://wmts.nlsc.gov.tw/wmts/TOPO01K_B12/{Style}/{TileMatrixSet}/{TileMatrix}/{TileRow}/{TileCol}"/>
        <s v="https://wmts.nlsc.gov.tw/wmts/TOPO01K_B13/{Style}/{TileMatrixSet}/{TileMatrix}/{TileRow}/{TileCol}"/>
        <s v="https://wmts.nlsc.gov.tw/wmts/TOPO01K_B14/{Style}/{TileMatrixSet}/{TileMatrix}/{TileRow}/{TileCol}"/>
        <s v="https://wmts.nlsc.gov.tw/wmts/TOPO01K_B15/{Style}/{TileMatrixSet}/{TileMatrix}/{TileRow}/{TileCol}"/>
        <s v="https://wmts.nlsc.gov.tw/wmts/TOPO01K_B16/{Style}/{TileMatrixSet}/{TileMatrix}/{TileRow}/{TileCol}"/>
        <s v="https://wmts.nlsc.gov.tw/wmts/TOPO01K_B17/{Style}/{TileMatrixSet}/{TileMatrix}/{TileRow}/{TileCol}"/>
        <s v="https://wmts.nlsc.gov.tw/wmts/TOPO01K_B18/{Style}/{TileMatrixSet}/{TileMatrix}/{TileRow}/{TileCol}"/>
        <s v="https://wmts.nlsc.gov.tw/wmts/TOPO01K_B19/{Style}/{TileMatrixSet}/{TileMatrix}/{TileRow}/{TileCol}"/>
        <s v="https://wmts.nlsc.gov.tw/wmts/TOPO01K_B20/{Style}/{TileMatrixSet}/{TileMatrix}/{TileRow}/{TileCol}"/>
        <s v="https://wmts.nlsc.gov.tw/wmts/TOPO01K_B21/{Style}/{TileMatrixSet}/{TileMatrix}/{TileRow}/{TileCol}"/>
        <s v="https://wmts.nlsc.gov.tw/wmts/TOPO01K_B22/{Style}/{TileMatrixSet}/{TileMatrix}/{TileRow}/{TileCol}"/>
        <s v="https://wmts.nlsc.gov.tw/wmts/TOPO01K_B23/{Style}/{TileMatrixSet}/{TileMatrix}/{TileRow}/{TileCol}"/>
        <s v="https://wmts.nlsc.gov.tw/wmts/TOPO01K_B24/{Style}/{TileMatrixSet}/{TileMatrix}/{TileRow}/{TileCol}"/>
        <s v="https://wmts.nlsc.gov.tw/wmts/TOPO01K_B25/{Style}/{TileMatrixSet}/{TileMatrix}/{TileRow}/{TileCol}"/>
        <s v="https://wmts.nlsc.gov.tw/wmts/TOPO01K_B26/{Style}/{TileMatrixSet}/{TileMatrix}/{TileRow}/{TileCol}"/>
        <s v="https://wmts.nlsc.gov.tw/wmts/TOPO01K_B27/{Style}/{TileMatrixSet}/{TileMatrix}/{TileRow}/{TileCol}"/>
        <s v="https://wmts.nlsc.gov.tw/wmts/TOPO01K_B28/{Style}/{TileMatrixSet}/{TileMatrix}/{TileRow}/{TileCol}"/>
        <s v="https://wmts.nlsc.gov.tw/wmts/TOPO01K_B29/{Style}/{TileMatrixSet}/{TileMatrix}/{TileRow}/{TileCol}"/>
        <s v="https://wmts.nlsc.gov.tw/wmts/TOPO01K_B30/{Style}/{TileMatrixSet}/{TileMatrix}/{TileRow}/{TileCol}"/>
        <s v="https://wmts.nlsc.gov.tw/wmts/TOPO01K_B31/{Style}/{TileMatrixSet}/{TileMatrix}/{TileRow}/{TileCol}"/>
        <s v="https://wmts.nlsc.gov.tw/wmts/TOPO01K_B32/{Style}/{TileMatrixSet}/{TileMatrix}/{TileRow}/{TileCol}"/>
        <s v="https://wmts.nlsc.gov.tw/wmts/TOPO01K_C01/{Style}/{TileMatrixSet}/{TileMatrix}/{TileRow}/{TileCol}"/>
        <s v="https://wmts.nlsc.gov.tw/wmts/TOPO01K_C02/{Style}/{TileMatrixSet}/{TileMatrix}/{TileRow}/{TileCol}"/>
        <s v="https://wmts.nlsc.gov.tw/wmts/TOPO01K_D93/{Style}/{TileMatrixSet}/{TileMatrix}/{TileRow}/{TileCol}"/>
        <s v="https://wmts.nlsc.gov.tw/wmts/TOPO01K_D97/{Style}/{TileMatrixSet}/{TileMatrix}/{TileRow}/{TileCol}"/>
        <s v="https://wmts.nlsc.gov.tw/wmts/TOPO01K_D99/{Style}/{TileMatrixSet}/{TileMatrix}/{TileRow}/{TileCol}"/>
        <s v="https://wmts.nlsc.gov.tw/wmts/TOPO01K_DA0/{Style}/{TileMatrixSet}/{TileMatrix}/{TileRow}/{TileCol}"/>
        <s v="https://wmts.nlsc.gov.tw/wmts/TOPO01K_DA1/{Style}/{TileMatrixSet}/{TileMatrix}/{TileRow}/{TileCol}"/>
        <s v="https://wmts.nlsc.gov.tw/wmts/TOPO01K_DA2/{Style}/{TileMatrixSet}/{TileMatrix}/{TileRow}/{TileCol}"/>
        <s v="https://wmts.nlsc.gov.tw/wmts/TOPO01K_E01/{Style}/{TileMatrixSet}/{TileMatrix}/{TileRow}/{TileCol}"/>
        <s v="https://wmts.nlsc.gov.tw/wmts/TOPO01K_E02/{Style}/{TileMatrixSet}/{TileMatrix}/{TileRow}/{TileCol}"/>
        <s v="https://wmts.nlsc.gov.tw/wmts/TOPO01K_E03/{Style}/{TileMatrixSet}/{TileMatrix}/{TileRow}/{TileCol}"/>
        <s v="https://wmts.nlsc.gov.tw/wmts/TOPO01K_E04/{Style}/{TileMatrixSet}/{TileMatrix}/{TileRow}/{TileCol}"/>
        <s v="https://wmts.nlsc.gov.tw/wmts/TOPO01K_E05/{Style}/{TileMatrixSet}/{TileMatrix}/{TileRow}/{TileCol}"/>
        <s v="https://wmts.nlsc.gov.tw/wmts/TOPO01K_E06/{Style}/{TileMatrixSet}/{TileMatrix}/{TileRow}/{TileCol}"/>
        <s v="https://wmts.nlsc.gov.tw/wmts/TOPO01K_E07/{Style}/{TileMatrixSet}/{TileMatrix}/{TileRow}/{TileCol}"/>
        <s v="https://wmts.nlsc.gov.tw/wmts/TOPO01K_E08/{Style}/{TileMatrixSet}/{TileMatrix}/{TileRow}/{TileCol}"/>
        <s v="https://wmts.nlsc.gov.tw/wmts/TOPO01K_E09/{Style}/{TileMatrixSet}/{TileMatrix}/{TileRow}/{TileCol}"/>
        <s v="https://wmts.nlsc.gov.tw/wmts/TOPO01K_E10/{Style}/{TileMatrixSet}/{TileMatrix}/{TileRow}/{TileCol}"/>
        <s v="https://wmts.nlsc.gov.tw/wmts/TOPO01K_E11/{Style}/{TileMatrixSet}/{TileMatrix}/{TileRow}/{TileCol}"/>
        <s v="https://wmts.nlsc.gov.tw/wmts/TOPO01K_E12/{Style}/{TileMatrixSet}/{TileMatrix}/{TileRow}/{TileCol}"/>
        <s v="https://wmts.nlsc.gov.tw/wmts/TOPO01K_E13/{Style}/{TileMatrixSet}/{TileMatrix}/{TileRow}/{TileCol}"/>
        <s v="https://wmts.nlsc.gov.tw/wmts/TOPO01K_E14/{Style}/{TileMatrixSet}/{TileMatrix}/{TileRow}/{TileCol}"/>
        <s v="https://wmts.nlsc.gov.tw/wmts/TOPO01K_E15/{Style}/{TileMatrixSet}/{TileMatrix}/{TileRow}/{TileCol}"/>
        <s v="https://wmts.nlsc.gov.tw/wmts/TOPO01K_E16/{Style}/{TileMatrixSet}/{TileMatrix}/{TileRow}/{TileCol}"/>
        <s v="https://wmts.nlsc.gov.tw/wmts/TOPO01K_E17/{Style}/{TileMatrixSet}/{TileMatrix}/{TileRow}/{TileCol}"/>
        <s v="https://wmts.nlsc.gov.tw/wmts/TOPO01K_E18/{Style}/{TileMatrixSet}/{TileMatrix}/{TileRow}/{TileCol}"/>
        <s v="https://wmts.nlsc.gov.tw/wmts/TOPO01K_E19/{Style}/{TileMatrixSet}/{TileMatrix}/{TileRow}/{TileCol}"/>
        <s v="https://wmts.nlsc.gov.tw/wmts/TOPO01K_E20/{Style}/{TileMatrixSet}/{TileMatrix}/{TileRow}/{TileCol}"/>
        <s v="https://wmts.nlsc.gov.tw/wmts/TOPO01K_E21/{Style}/{TileMatrixSet}/{TileMatrix}/{TileRow}/{TileCol}"/>
        <s v="https://wmts.nlsc.gov.tw/wmts/TOPO01K_E22/{Style}/{TileMatrixSet}/{TileMatrix}/{TileRow}/{TileCol}"/>
        <s v="https://wmts.nlsc.gov.tw/wmts/TOPO01K_E23/{Style}/{TileMatrixSet}/{TileMatrix}/{TileRow}/{TileCol}"/>
        <s v="https://wmts.nlsc.gov.tw/wmts/TOPO01K_E24/{Style}/{TileMatrixSet}/{TileMatrix}/{TileRow}/{TileCol}"/>
        <s v="https://wmts.nlsc.gov.tw/wmts/TOPO01K_E25/{Style}/{TileMatrixSet}/{TileMatrix}/{TileRow}/{TileCol}"/>
        <s v="https://wmts.nlsc.gov.tw/wmts/TOPO01K_E26/{Style}/{TileMatrixSet}/{TileMatrix}/{TileRow}/{TileCol}"/>
        <s v="https://wmts.nlsc.gov.tw/wmts/TOPO01K_E27/{Style}/{TileMatrixSet}/{TileMatrix}/{TileRow}/{TileCol}"/>
        <s v="https://wmts.nlsc.gov.tw/wmts/TOPO01K_E28/{Style}/{TileMatrixSet}/{TileMatrix}/{TileRow}/{TileCol}"/>
        <s v="https://wmts.nlsc.gov.tw/wmts/TOPO01K_E29/{Style}/{TileMatrixSet}/{TileMatrix}/{TileRow}/{TileCol}"/>
        <s v="https://wmts.nlsc.gov.tw/wmts/TOPO01K_E30/{Style}/{TileMatrixSet}/{TileMatrix}/{TileRow}/{TileCol}"/>
        <s v="https://wmts.nlsc.gov.tw/wmts/TOPO01K_E31/{Style}/{TileMatrixSet}/{TileMatrix}/{TileRow}/{TileCol}"/>
        <s v="https://wmts.nlsc.gov.tw/wmts/TOPO01K_E32/{Style}/{TileMatrixSet}/{TileMatrix}/{TileRow}/{TileCol}"/>
        <s v="https://wmts.nlsc.gov.tw/wmts/TOPO01K_E34/{Style}/{TileMatrixSet}/{TileMatrix}/{TileRow}/{TileCol}"/>
        <s v="https://wmts.nlsc.gov.tw/wmts/TOPO01K_E35/{Style}/{TileMatrixSet}/{TileMatrix}/{TileRow}/{TileCol}"/>
        <s v="https://wmts.nlsc.gov.tw/wmts/TOPO01K_E36/{Style}/{TileMatrixSet}/{TileMatrix}/{TileRow}/{TileCol}"/>
        <s v="https://wmts.nlsc.gov.tw/wmts/TOPO01K_E37/{Style}/{TileMatrixSet}/{TileMatrix}/{TileRow}/{TileCol}"/>
        <s v="https://wmts.nlsc.gov.tw/wmts/TOPO01K_E38/{Style}/{TileMatrixSet}/{TileMatrix}/{TileRow}/{TileCol}"/>
        <s v="https://wmts.nlsc.gov.tw/wmts/TOPO01K_F01/{Style}/{TileMatrixSet}/{TileMatrix}/{TileRow}/{TileCol}"/>
        <s v="https://wmts.nlsc.gov.tw/wmts/TOPO01K_F02/{Style}/{TileMatrixSet}/{TileMatrix}/{TileRow}/{TileCol}"/>
        <s v="https://wmts.nlsc.gov.tw/wmts/TOPO01K_F03/{Style}/{TileMatrixSet}/{TileMatrix}/{TileRow}/{TileCol}"/>
        <s v="https://wmts.nlsc.gov.tw/wmts/TOPO01K_F04/{Style}/{TileMatrixSet}/{TileMatrix}/{TileRow}/{TileCol}"/>
        <s v="https://wmts.nlsc.gov.tw/wmts/TOPO01K_F05/{Style}/{TileMatrixSet}/{TileMatrix}/{TileRow}/{TileCol}"/>
        <s v="https://wmts.nlsc.gov.tw/wmts/TOPO01K_F06/{Style}/{TileMatrixSet}/{TileMatrix}/{TileRow}/{TileCol}"/>
        <s v="https://wmts.nlsc.gov.tw/wmts/TOPO01K_F07/{Style}/{TileMatrixSet}/{TileMatrix}/{TileRow}/{TileCol}"/>
        <s v="https://wmts.nlsc.gov.tw/wmts/TOPO01K_F08/{Style}/{TileMatrixSet}/{TileMatrix}/{TileRow}/{TileCol}"/>
        <s v="https://wmts.nlsc.gov.tw/wmts/TOPO01K_F09/{Style}/{TileMatrixSet}/{TileMatrix}/{TileRow}/{TileCol}"/>
        <s v="https://wmts.nlsc.gov.tw/wmts/TOPO01K_F10/{Style}/{TileMatrixSet}/{TileMatrix}/{TileRow}/{TileCol}"/>
        <s v="https://wmts.nlsc.gov.tw/wmts/TOPO01K_F11/{Style}/{TileMatrixSet}/{TileMatrix}/{TileRow}/{TileCol}"/>
        <s v="https://wmts.nlsc.gov.tw/wmts/TOPO01K_F12/{Style}/{TileMatrixSet}/{TileMatrix}/{TileRow}/{TileCol}"/>
        <s v="https://wmts.nlsc.gov.tw/wmts/TOPO01K_F13/{Style}/{TileMatrixSet}/{TileMatrix}/{TileRow}/{TileCol}"/>
        <s v="https://wmts.nlsc.gov.tw/wmts/TOPO01K_F14/{Style}/{TileMatrixSet}/{TileMatrix}/{TileRow}/{TileCol}"/>
        <s v="https://wmts.nlsc.gov.tw/wmts/TOPO01K_F15/{Style}/{TileMatrixSet}/{TileMatrix}/{TileRow}/{TileCol}"/>
        <s v="https://wmts.nlsc.gov.tw/wmts/TOPO01K_F16/{Style}/{TileMatrixSet}/{TileMatrix}/{TileRow}/{TileCol}"/>
        <s v="https://wmts.nlsc.gov.tw/wmts/TOPO01K_F17/{Style}/{TileMatrixSet}/{TileMatrix}/{TileRow}/{TileCol}"/>
        <s v="https://wmts.nlsc.gov.tw/wmts/TOPO01K_F18/{Style}/{TileMatrixSet}/{TileMatrix}/{TileRow}/{TileCol}"/>
        <s v="https://wmts.nlsc.gov.tw/wmts/TOPO01K_F19/{Style}/{TileMatrixSet}/{TileMatrix}/{TileRow}/{TileCol}"/>
        <s v="https://wmts.nlsc.gov.tw/wmts/TOPO01K_F20/{Style}/{TileMatrixSet}/{TileMatrix}/{TileRow}/{TileCol}"/>
        <s v="https://wmts.nlsc.gov.tw/wmts/TOPO01K_F21/{Style}/{TileMatrixSet}/{TileMatrix}/{TileRow}/{TileCol}"/>
        <s v="https://wmts.nlsc.gov.tw/wmts/TOPO01K_F22/{Style}/{TileMatrixSet}/{TileMatrix}/{TileRow}/{TileCol}"/>
        <s v="https://wmts.nlsc.gov.tw/wmts/TOPO01K_F23/{Style}/{TileMatrixSet}/{TileMatrix}/{TileRow}/{TileCol}"/>
        <s v="https://wmts.nlsc.gov.tw/wmts/TOPO01K_F24/{Style}/{TileMatrixSet}/{TileMatrix}/{TileRow}/{TileCol}"/>
        <s v="https://wmts.nlsc.gov.tw/wmts/TOPO01K_F25/{Style}/{TileMatrixSet}/{TileMatrix}/{TileRow}/{TileCol}"/>
        <s v="https://wmts.nlsc.gov.tw/wmts/TOPO01K_F26/{Style}/{TileMatrixSet}/{TileMatrix}/{TileRow}/{TileCol}"/>
        <s v="https://wmts.nlsc.gov.tw/wmts/TOPO01K_F27/{Style}/{TileMatrixSet}/{TileMatrix}/{TileRow}/{TileCol}"/>
        <s v="https://wmts.nlsc.gov.tw/wmts/TOPO01K_F28/{Style}/{TileMatrixSet}/{TileMatrix}/{TileRow}/{TileCol}"/>
        <s v="https://wmts.nlsc.gov.tw/wmts/TOPO01K_F29/{Style}/{TileMatrixSet}/{TileMatrix}/{TileRow}/{TileCol}"/>
        <s v="https://wmts.nlsc.gov.tw/wmts/TOPO01K_F30/{Style}/{TileMatrixSet}/{TileMatrix}/{TileRow}/{TileCol}"/>
        <s v="https://wmts.nlsc.gov.tw/wmts/TOPO01K_F31/{Style}/{TileMatrixSet}/{TileMatrix}/{TileRow}/{TileCol}"/>
        <s v="https://wmts.nlsc.gov.tw/wmts/TOPO01K_F32/{Style}/{TileMatrixSet}/{TileMatrix}/{TileRow}/{TileCol}"/>
        <s v="https://wmts.nlsc.gov.tw/wmts/TOPO01K_F33/{Style}/{TileMatrixSet}/{TileMatrix}/{TileRow}/{TileCol}"/>
        <s v="https://wmts.nlsc.gov.tw/wmts/TOPO01K_F34/{Style}/{TileMatrixSet}/{TileMatrix}/{TileRow}/{TileCol}"/>
        <s v="https://wmts.nlsc.gov.tw/wmts/TOPO01K_F35/{Style}/{TileMatrixSet}/{TileMatrix}/{TileRow}/{TileCol}"/>
        <s v="https://wmts.nlsc.gov.tw/wmts/TOPO01K_F36/{Style}/{TileMatrixSet}/{TileMatrix}/{TileRow}/{TileCol}"/>
        <s v="https://wmts.nlsc.gov.tw/wmts/TOPO01K_F37/{Style}/{TileMatrixSet}/{TileMatrix}/{TileRow}/{TileCol}"/>
        <s v="https://wmts.nlsc.gov.tw/wmts/TOPO01K_F38/{Style}/{TileMatrixSet}/{TileMatrix}/{TileRow}/{TileCol}"/>
        <s v="https://wmts.nlsc.gov.tw/wmts/TOPO01K_F39/{Style}/{TileMatrixSet}/{TileMatrix}/{TileRow}/{TileCol}"/>
        <s v="https://wmts.nlsc.gov.tw/wmts/TOPO01K_F40/{Style}/{TileMatrixSet}/{TileMatrix}/{TileRow}/{TileCol}"/>
        <s v="https://wmts.nlsc.gov.tw/wmts/TOPO01K_F41/{Style}/{TileMatrixSet}/{TileMatrix}/{TileRow}/{TileCol}"/>
        <s v="https://wmts.nlsc.gov.tw/wmts/TOPO01K_F42/{Style}/{TileMatrixSet}/{TileMatrix}/{TileRow}/{TileCol}"/>
        <s v="https://wmts.nlsc.gov.tw/wmts/TOPO01K_F43/{Style}/{TileMatrixSet}/{TileMatrix}/{TileRow}/{TileCol}"/>
        <s v="https://wmts.nlsc.gov.tw/wmts/TOPO01K_F44/{Style}/{TileMatrixSet}/{TileMatrix}/{TileRow}/{TileCol}"/>
        <s v="https://wmts.nlsc.gov.tw/wmts/TOPO01K_F45/{Style}/{TileMatrixSet}/{TileMatrix}/{TileRow}/{TileCol}"/>
        <s v="https://wmts.nlsc.gov.tw/wmts/TOPO01K_F46/{Style}/{TileMatrixSet}/{TileMatrix}/{TileRow}/{TileCol}"/>
        <s v="https://wmts.nlsc.gov.tw/wmts/TOPO01K_F47/{Style}/{TileMatrixSet}/{TileMatrix}/{TileRow}/{TileCol}"/>
        <s v="https://wmts.nlsc.gov.tw/wmts/TOPO01K_F48/{Style}/{TileMatrixSet}/{TileMatrix}/{TileRow}/{TileCol}"/>
        <s v="https://wmts.nlsc.gov.tw/wmts/TOPO01K_F49/{Style}/{TileMatrixSet}/{TileMatrix}/{TileRow}/{TileCol}"/>
        <s v="https://wmts.nlsc.gov.tw/wmts/TOPO01K_F50/{Style}/{TileMatrixSet}/{TileMatrix}/{TileRow}/{TileCol}"/>
        <s v="https://wmts.nlsc.gov.tw/wmts/TOPO01K_F51/{Style}/{TileMatrixSet}/{TileMatrix}/{TileRow}/{TileCol}"/>
        <s v="https://wmts.nlsc.gov.tw/wmts/TOPO01K_F52/{Style}/{TileMatrixSet}/{TileMatrix}/{TileRow}/{TileCol}"/>
        <s v="https://wmts.nlsc.gov.tw/wmts/TOPO01K_F53/{Style}/{TileMatrixSet}/{TileMatrix}/{TileRow}/{TileCol}"/>
        <s v="https://wmts.nlsc.gov.tw/wmts/TOPO01K_F54/{Style}/{TileMatrixSet}/{TileMatrix}/{TileRow}/{TileCol}"/>
        <s v="https://wmts.nlsc.gov.tw/wmts/TOPO01K_F55/{Style}/{TileMatrixSet}/{TileMatrix}/{TileRow}/{TileCol}"/>
        <s v="https://wmts.nlsc.gov.tw/wmts/TOPO01K_F56/{Style}/{TileMatrixSet}/{TileMatrix}/{TileRow}/{TileCol}"/>
        <s v="https://wmts.nlsc.gov.tw/wmts/TOPO01K_G01/{Style}/{TileMatrixSet}/{TileMatrix}/{TileRow}/{TileCol}"/>
        <s v="https://wmts.nlsc.gov.tw/wmts/TOPO01K_G02/{Style}/{TileMatrixSet}/{TileMatrix}/{TileRow}/{TileCol}"/>
        <s v="https://wmts.nlsc.gov.tw/wmts/TOPO01K_G03/{Style}/{TileMatrixSet}/{TileMatrix}/{TileRow}/{TileCol}"/>
        <s v="https://wmts.nlsc.gov.tw/wmts/TOPO01K_G04/{Style}/{TileMatrixSet}/{TileMatrix}/{TileRow}/{TileCol}"/>
        <s v="https://wmts.nlsc.gov.tw/wmts/TOPO01K_G05/{Style}/{TileMatrixSet}/{TileMatrix}/{TileRow}/{TileCol}"/>
        <s v="https://wmts.nlsc.gov.tw/wmts/TOPO01K_G06/{Style}/{TileMatrixSet}/{TileMatrix}/{TileRow}/{TileCol}"/>
        <s v="https://wmts.nlsc.gov.tw/wmts/TOPO01K_G07/{Style}/{TileMatrixSet}/{TileMatrix}/{TileRow}/{TileCol}"/>
        <s v="https://wmts.nlsc.gov.tw/wmts/TOPO01K_G08/{Style}/{TileMatrixSet}/{TileMatrix}/{TileRow}/{TileCol}"/>
        <s v="https://wmts.nlsc.gov.tw/wmts/TOPO01K_G09/{Style}/{TileMatrixSet}/{TileMatrix}/{TileRow}/{TileCol}"/>
        <s v="https://wmts.nlsc.gov.tw/wmts/TOPO01K_G10/{Style}/{TileMatrixSet}/{TileMatrix}/{TileRow}/{TileCol}"/>
        <s v="https://wmts.nlsc.gov.tw/wmts/TOPO01K_G11/{Style}/{TileMatrixSet}/{TileMatrix}/{TileRow}/{TileCol}"/>
        <s v="https://wmts.nlsc.gov.tw/wmts/TOPO01K_G12/{Style}/{TileMatrixSet}/{TileMatrix}/{TileRow}/{TileCol}"/>
        <s v="https://wmts.nlsc.gov.tw/wmts/TOPO01K_G13/{Style}/{TileMatrixSet}/{TileMatrix}/{TileRow}/{TileCol}"/>
        <s v="https://wmts.nlsc.gov.tw/wmts/TOPO01K_G14/{Style}/{TileMatrixSet}/{TileMatrix}/{TileRow}/{TileCol}"/>
        <s v="https://wmts.nlsc.gov.tw/wmts/TOPO01K_G15/{Style}/{TileMatrixSet}/{TileMatrix}/{TileRow}/{TileCol}"/>
        <s v="https://wmts.nlsc.gov.tw/wmts/TOPO01K_H01/{Style}/{TileMatrixSet}/{TileMatrix}/{TileRow}/{TileCol}"/>
        <s v="https://wmts.nlsc.gov.tw/wmts/TOPO01K_H02/{Style}/{TileMatrixSet}/{TileMatrix}/{TileRow}/{TileCol}"/>
        <s v="https://wmts.nlsc.gov.tw/wmts/TOPO01K_H03/{Style}/{TileMatrixSet}/{TileMatrix}/{TileRow}/{TileCol}"/>
        <s v="https://wmts.nlsc.gov.tw/wmts/TOPO01K_H04/{Style}/{TileMatrixSet}/{TileMatrix}/{TileRow}/{TileCol}"/>
        <s v="https://wmts.nlsc.gov.tw/wmts/TOPO01K_H05/{Style}/{TileMatrixSet}/{TileMatrix}/{TileRow}/{TileCol}"/>
        <s v="https://wmts.nlsc.gov.tw/wmts/TOPO01K_H06/{Style}/{TileMatrixSet}/{TileMatrix}/{TileRow}/{TileCol}"/>
        <s v="https://wmts.nlsc.gov.tw/wmts/TOPO01K_H07/{Style}/{TileMatrixSet}/{TileMatrix}/{TileRow}/{TileCol}"/>
        <s v="https://wmts.nlsc.gov.tw/wmts/TOPO01K_H08/{Style}/{TileMatrixSet}/{TileMatrix}/{TileRow}/{TileCol}"/>
        <s v="https://wmts.nlsc.gov.tw/wmts/TOPO01K_H09/{Style}/{TileMatrixSet}/{TileMatrix}/{TileRow}/{TileCol}"/>
        <s v="https://wmts.nlsc.gov.tw/wmts/TOPO01K_H10/{Style}/{TileMatrixSet}/{TileMatrix}/{TileRow}/{TileCol}"/>
        <s v="https://wmts.nlsc.gov.tw/wmts/TOPO01K_H11/{Style}/{TileMatrixSet}/{TileMatrix}/{TileRow}/{TileCol}"/>
        <s v="https://wmts.nlsc.gov.tw/wmts/TOPO01K_H12/{Style}/{TileMatrixSet}/{TileMatrix}/{TileRow}/{TileCol}"/>
        <s v="https://wmts.nlsc.gov.tw/wmts/TOPO01K_H13/{Style}/{TileMatrixSet}/{TileMatrix}/{TileRow}/{TileCol}"/>
        <s v="https://wmts.nlsc.gov.tw/wmts/TOPO01K_H14/{Style}/{TileMatrixSet}/{TileMatrix}/{TileRow}/{TileCol}"/>
        <s v="https://wmts.nlsc.gov.tw/wmts/TOPO01K_H15/{Style}/{TileMatrixSet}/{TileMatrix}/{TileRow}/{TileCol}"/>
        <s v="https://wmts.nlsc.gov.tw/wmts/TOPO01K_H16/{Style}/{TileMatrixSet}/{TileMatrix}/{TileRow}/{TileCol}"/>
        <s v="https://wmts.nlsc.gov.tw/wmts/TOPO01K_H17/{Style}/{TileMatrixSet}/{TileMatrix}/{TileRow}/{TileCol}"/>
        <s v="https://wmts.nlsc.gov.tw/wmts/TOPO01K_H18/{Style}/{TileMatrixSet}/{TileMatrix}/{TileRow}/{TileCol}"/>
        <s v="https://wmts.nlsc.gov.tw/wmts/TOPO01K_H19/{Style}/{TileMatrixSet}/{TileMatrix}/{TileRow}/{TileCol}"/>
        <s v="https://wmts.nlsc.gov.tw/wmts/TOPO01K_H20/{Style}/{TileMatrixSet}/{TileMatrix}/{TileRow}/{TileCol}"/>
        <s v="https://wmts.nlsc.gov.tw/wmts/TOPO01K_H21/{Style}/{TileMatrixSet}/{TileMatrix}/{TileRow}/{TileCol}"/>
        <s v="https://wmts.nlsc.gov.tw/wmts/TOPO01K_H22/{Style}/{TileMatrixSet}/{TileMatrix}/{TileRow}/{TileCol}"/>
        <s v="https://wmts.nlsc.gov.tw/wmts/TOPO01K_H23/{Style}/{TileMatrixSet}/{TileMatrix}/{TileRow}/{TileCol}"/>
        <s v="https://wmts.nlsc.gov.tw/wmts/TOPO01K_H24/{Style}/{TileMatrixSet}/{TileMatrix}/{TileRow}/{TileCol}"/>
        <s v="https://wmts.nlsc.gov.tw/wmts/TOPO01K_H25/{Style}/{TileMatrixSet}/{TileMatrix}/{TileRow}/{TileCol}"/>
        <s v="https://wmts.nlsc.gov.tw/wmts/TOPO01K_H26/{Style}/{TileMatrixSet}/{TileMatrix}/{TileRow}/{TileCol}"/>
        <s v="https://wmts.nlsc.gov.tw/wmts/TOPO01K_H27/{Style}/{TileMatrixSet}/{TileMatrix}/{TileRow}/{TileCol}"/>
        <s v="https://wmts.nlsc.gov.tw/wmts/TOPO01K_H28/{Style}/{TileMatrixSet}/{TileMatrix}/{TileRow}/{TileCol}"/>
        <s v="https://wmts.nlsc.gov.tw/wmts/TOPO01K_H29/{Style}/{TileMatrixSet}/{TileMatrix}/{TileRow}/{TileCol}"/>
        <s v="https://wmts.nlsc.gov.tw/wmts/TOPO01K_H30/{Style}/{TileMatrixSet}/{TileMatrix}/{TileRow}/{TileCol}"/>
        <s v="https://wmts.nlsc.gov.tw/wmts/TOPO01K_H31/{Style}/{TileMatrixSet}/{TileMatrix}/{TileRow}/{TileCol}"/>
        <s v="https://wmts.nlsc.gov.tw/wmts/TOPO01K_H32/{Style}/{TileMatrixSet}/{TileMatrix}/{TileRow}/{TileCol}"/>
        <s v="https://wmts.nlsc.gov.tw/wmts/TOPO01K_H33/{Style}/{TileMatrixSet}/{TileMatrix}/{TileRow}/{TileCol}"/>
        <s v="https://wmts.nlsc.gov.tw/wmts/TOPO01K_H34/{Style}/{TileMatrixSet}/{TileMatrix}/{TileRow}/{TileCol}"/>
        <s v="https://wmts.nlsc.gov.tw/wmts/TOPO01K_H35/{Style}/{TileMatrixSet}/{TileMatrix}/{TileRow}/{TileCol}"/>
        <s v="https://wmts.nlsc.gov.tw/wmts/TOPO01K_H36/{Style}/{TileMatrixSet}/{TileMatrix}/{TileRow}/{TileCol}"/>
        <s v="https://wmts.nlsc.gov.tw/wmts/TOPO01K_H37/{Style}/{TileMatrixSet}/{TileMatrix}/{TileRow}/{TileCol}"/>
        <s v="https://wmts.nlsc.gov.tw/wmts/TOPO01K_H38/{Style}/{TileMatrixSet}/{TileMatrix}/{TileRow}/{TileCol}"/>
        <s v="https://wmts.nlsc.gov.tw/wmts/TOPO01K_H39/{Style}/{TileMatrixSet}/{TileMatrix}/{TileRow}/{TileCol}"/>
        <s v="https://wmts.nlsc.gov.tw/wmts/TOPO01K_H40/{Style}/{TileMatrixSet}/{TileMatrix}/{TileRow}/{TileCol}"/>
        <s v="https://wmts.nlsc.gov.tw/wmts/TOPO01K_H44/{Style}/{TileMatrixSet}/{TileMatrix}/{TileRow}/{TileCol}"/>
        <s v="https://wmts.nlsc.gov.tw/wmts/TOPO01K_J01/{Style}/{TileMatrixSet}/{TileMatrix}/{TileRow}/{TileCol}"/>
        <s v="https://wmts.nlsc.gov.tw/wmts/TOPO01K_J02/{Style}/{TileMatrixSet}/{TileMatrix}/{TileRow}/{TileCol}"/>
        <s v="https://wmts.nlsc.gov.tw/wmts/TOPO01K_J03/{Style}/{TileMatrixSet}/{TileMatrix}/{TileRow}/{TileCol}"/>
        <s v="https://wmts.nlsc.gov.tw/wmts/TOPO01K_J04/{Style}/{TileMatrixSet}/{TileMatrix}/{TileRow}/{TileCol}"/>
        <s v="https://wmts.nlsc.gov.tw/wmts/TOPO01K_J05/{Style}/{TileMatrixSet}/{TileMatrix}/{TileRow}/{TileCol}"/>
        <s v="https://wmts.nlsc.gov.tw/wmts/TOPO01K_J06/{Style}/{TileMatrixSet}/{TileMatrix}/{TileRow}/{TileCol}"/>
        <s v="https://wmts.nlsc.gov.tw/wmts/TOPO01K_J07/{Style}/{TileMatrixSet}/{TileMatrix}/{TileRow}/{TileCol}"/>
        <s v="https://wmts.nlsc.gov.tw/wmts/TOPO01K_J08/{Style}/{TileMatrixSet}/{TileMatrix}/{TileRow}/{TileCol}"/>
        <s v="https://wmts.nlsc.gov.tw/wmts/TOPO01K_J09/{Style}/{TileMatrixSet}/{TileMatrix}/{TileRow}/{TileCol}"/>
        <s v="https://wmts.nlsc.gov.tw/wmts/TOPO01K_J10/{Style}/{TileMatrixSet}/{TileMatrix}/{TileRow}/{TileCol}"/>
        <s v="https://wmts.nlsc.gov.tw/wmts/TOPO01K_K01/{Style}/{TileMatrixSet}/{TileMatrix}/{TileRow}/{TileCol}"/>
        <s v="https://wmts.nlsc.gov.tw/wmts/TOPO01K_K02/{Style}/{TileMatrixSet}/{TileMatrix}/{TileRow}/{TileCol}"/>
        <s v="https://wmts.nlsc.gov.tw/wmts/TOPO01K_K03/{Style}/{TileMatrixSet}/{TileMatrix}/{TileRow}/{TileCol}"/>
        <s v="https://wmts.nlsc.gov.tw/wmts/TOPO01K_K04/{Style}/{TileMatrixSet}/{TileMatrix}/{TileRow}/{TileCol}"/>
        <s v="https://wmts.nlsc.gov.tw/wmts/TOPO01K_K05/{Style}/{TileMatrixSet}/{TileMatrix}/{TileRow}/{TileCol}"/>
        <s v="https://wmts.nlsc.gov.tw/wmts/TOPO01K_K06/{Style}/{TileMatrixSet}/{TileMatrix}/{TileRow}/{TileCol}"/>
        <s v="https://wmts.nlsc.gov.tw/wmts/TOPO01K_K07/{Style}/{TileMatrixSet}/{TileMatrix}/{TileRow}/{TileCol}"/>
        <s v="https://wmts.nlsc.gov.tw/wmts/TOPO01K_K08/{Style}/{TileMatrixSet}/{TileMatrix}/{TileRow}/{TileCol}"/>
        <s v="https://wmts.nlsc.gov.tw/wmts/TOPO01K_K09/{Style}/{TileMatrixSet}/{TileMatrix}/{TileRow}/{TileCol}"/>
        <s v="https://wmts.nlsc.gov.tw/wmts/TOPO01K_K10/{Style}/{TileMatrixSet}/{TileMatrix}/{TileRow}/{TileCol}"/>
        <s v="https://wmts.nlsc.gov.tw/wmts/TOPO01K_K11/{Style}/{TileMatrixSet}/{TileMatrix}/{TileRow}/{TileCol}"/>
        <s v="https://wmts.nlsc.gov.tw/wmts/TOPO01K_K12/{Style}/{TileMatrixSet}/{TileMatrix}/{TileRow}/{TileCol}"/>
        <s v="https://wmts.nlsc.gov.tw/wmts/TOPO01K_K13/{Style}/{TileMatrixSet}/{TileMatrix}/{TileRow}/{TileCol}"/>
        <s v="https://wmts.nlsc.gov.tw/wmts/TOPO01K_K14/{Style}/{TileMatrixSet}/{TileMatrix}/{TileRow}/{TileCol}"/>
        <s v="https://wmts.nlsc.gov.tw/wmts/TOPO01K_K15/{Style}/{TileMatrixSet}/{TileMatrix}/{TileRow}/{TileCol}"/>
        <s v="https://wmts.nlsc.gov.tw/wmts/TOPO01K_K16/{Style}/{TileMatrixSet}/{TileMatrix}/{TileRow}/{TileCol}"/>
        <s v="https://wmts.nlsc.gov.tw/wmts/TOPO01K_K17/{Style}/{TileMatrixSet}/{TileMatrix}/{TileRow}/{TileCol}"/>
        <s v="https://wmts.nlsc.gov.tw/wmts/TOPO01K_K18/{Style}/{TileMatrixSet}/{TileMatrix}/{TileRow}/{TileCol}"/>
        <s v="https://wmts.nlsc.gov.tw/wmts/TOPO01K_M01/{Style}/{TileMatrixSet}/{TileMatrix}/{TileRow}/{TileCol}"/>
        <s v="https://wmts.nlsc.gov.tw/wmts/TOPO01K_M02/{Style}/{TileMatrixSet}/{TileMatrix}/{TileRow}/{TileCol}"/>
        <s v="https://wmts.nlsc.gov.tw/wmts/TOPO01K_M03/{Style}/{TileMatrixSet}/{TileMatrix}/{TileRow}/{TileCol}"/>
        <s v="https://wmts.nlsc.gov.tw/wmts/TOPO01K_M04/{Style}/{TileMatrixSet}/{TileMatrix}/{TileRow}/{TileCol}"/>
        <s v="https://wmts.nlsc.gov.tw/wmts/TOPO01K_M05/{Style}/{TileMatrixSet}/{TileMatrix}/{TileRow}/{TileCol}"/>
        <s v="https://wmts.nlsc.gov.tw/wmts/TOPO01K_M06/{Style}/{TileMatrixSet}/{TileMatrix}/{TileRow}/{TileCol}"/>
        <s v="https://wmts.nlsc.gov.tw/wmts/TOPO01K_M07/{Style}/{TileMatrixSet}/{TileMatrix}/{TileRow}/{TileCol}"/>
        <s v="https://wmts.nlsc.gov.tw/wmts/TOPO01K_M08/{Style}/{TileMatrixSet}/{TileMatrix}/{TileRow}/{TileCol}"/>
        <s v="https://wmts.nlsc.gov.tw/wmts/TOPO01K_M09/{Style}/{TileMatrixSet}/{TileMatrix}/{TileRow}/{TileCol}"/>
        <s v="https://wmts.nlsc.gov.tw/wmts/TOPO01K_M10/{Style}/{TileMatrixSet}/{TileMatrix}/{TileRow}/{TileCol}"/>
        <s v="https://wmts.nlsc.gov.tw/wmts/TOPO01K_M11/{Style}/{TileMatrixSet}/{TileMatrix}/{TileRow}/{TileCol}"/>
        <s v="https://wmts.nlsc.gov.tw/wmts/TOPO01K_M12/{Style}/{TileMatrixSet}/{TileMatrix}/{TileRow}/{TileCol}"/>
        <s v="https://wmts.nlsc.gov.tw/wmts/TOPO01K_M13/{Style}/{TileMatrixSet}/{TileMatrix}/{TileRow}/{TileCol}"/>
        <s v="https://wmts.nlsc.gov.tw/wmts/TOPO01K_M14/{Style}/{TileMatrixSet}/{TileMatrix}/{TileRow}/{TileCol}"/>
        <s v="https://wmts.nlsc.gov.tw/wmts/TOPO01K_M15/{Style}/{TileMatrixSet}/{TileMatrix}/{TileRow}/{TileCol}"/>
        <s v="https://wmts.nlsc.gov.tw/wmts/TOPO01K_M16/{Style}/{TileMatrixSet}/{TileMatrix}/{TileRow}/{TileCol}"/>
        <s v="https://wmts.nlsc.gov.tw/wmts/TOPO01K_M17/{Style}/{TileMatrixSet}/{TileMatrix}/{TileRow}/{TileCol}"/>
        <s v="https://wmts.nlsc.gov.tw/wmts/TOPO01K_M18/{Style}/{TileMatrixSet}/{TileMatrix}/{TileRow}/{TileCol}"/>
        <s v="https://wmts.nlsc.gov.tw/wmts/TOPO01K_M19/{Style}/{TileMatrixSet}/{TileMatrix}/{TileRow}/{TileCol}"/>
        <s v="https://wmts.nlsc.gov.tw/wmts/TOPO01K_M20/{Style}/{TileMatrixSet}/{TileMatrix}/{TileRow}/{TileCol}"/>
        <s v="https://wmts.nlsc.gov.tw/wmts/TOPO01K_M21/{Style}/{TileMatrixSet}/{TileMatrix}/{TileRow}/{TileCol}"/>
        <s v="https://wmts.nlsc.gov.tw/wmts/TOPO01K_M22/{Style}/{TileMatrixSet}/{TileMatrix}/{TileRow}/{TileCol}"/>
        <s v="https://wmts.nlsc.gov.tw/wmts/TOPO01K_N01/{Style}/{TileMatrixSet}/{TileMatrix}/{TileRow}/{TileCol}"/>
        <s v="https://wmts.nlsc.gov.tw/wmts/TOPO01K_N02/{Style}/{TileMatrixSet}/{TileMatrix}/{TileRow}/{TileCol}"/>
        <s v="https://wmts.nlsc.gov.tw/wmts/TOPO01K_N03/{Style}/{TileMatrixSet}/{TileMatrix}/{TileRow}/{TileCol}"/>
        <s v="https://wmts.nlsc.gov.tw/wmts/TOPO01K_N04/{Style}/{TileMatrixSet}/{TileMatrix}/{TileRow}/{TileCol}"/>
        <s v="https://wmts.nlsc.gov.tw/wmts/TOPO01K_N05/{Style}/{TileMatrixSet}/{TileMatrix}/{TileRow}/{TileCol}"/>
        <s v="https://wmts.nlsc.gov.tw/wmts/TOPO01K_N06/{Style}/{TileMatrixSet}/{TileMatrix}/{TileRow}/{TileCol}"/>
        <s v="https://wmts.nlsc.gov.tw/wmts/TOPO01K_N07/{Style}/{TileMatrixSet}/{TileMatrix}/{TileRow}/{TileCol}"/>
        <s v="https://wmts.nlsc.gov.tw/wmts/TOPO01K_N08/{Style}/{TileMatrixSet}/{TileMatrix}/{TileRow}/{TileCol}"/>
        <s v="https://wmts.nlsc.gov.tw/wmts/TOPO01K_N09/{Style}/{TileMatrixSet}/{TileMatrix}/{TileRow}/{TileCol}"/>
        <s v="https://wmts.nlsc.gov.tw/wmts/TOPO01K_N10/{Style}/{TileMatrixSet}/{TileMatrix}/{TileRow}/{TileCol}"/>
        <s v="https://wmts.nlsc.gov.tw/wmts/TOPO01K_N11/{Style}/{TileMatrixSet}/{TileMatrix}/{TileRow}/{TileCol}"/>
        <s v="https://wmts.nlsc.gov.tw/wmts/TOPO01K_N12/{Style}/{TileMatrixSet}/{TileMatrix}/{TileRow}/{TileCol}"/>
        <s v="https://wmts.nlsc.gov.tw/wmts/TOPO01K_N13/{Style}/{TileMatrixSet}/{TileMatrix}/{TileRow}/{TileCol}"/>
        <s v="https://wmts.nlsc.gov.tw/wmts/TOPO01K_N14/{Style}/{TileMatrixSet}/{TileMatrix}/{TileRow}/{TileCol}"/>
        <s v="https://wmts.nlsc.gov.tw/wmts/TOPO01K_N15/{Style}/{TileMatrixSet}/{TileMatrix}/{TileRow}/{TileCol}"/>
        <s v="https://wmts.nlsc.gov.tw/wmts/TOPO01K_N16/{Style}/{TileMatrixSet}/{TileMatrix}/{TileRow}/{TileCol}"/>
        <s v="https://wmts.nlsc.gov.tw/wmts/TOPO01K_N17/{Style}/{TileMatrixSet}/{TileMatrix}/{TileRow}/{TileCol}"/>
        <s v="https://wmts.nlsc.gov.tw/wmts/TOPO01K_N18/{Style}/{TileMatrixSet}/{TileMatrix}/{TileRow}/{TileCol}"/>
        <s v="https://wmts.nlsc.gov.tw/wmts/TOPO01K_N19/{Style}/{TileMatrixSet}/{TileMatrix}/{TileRow}/{TileCol}"/>
        <s v="https://wmts.nlsc.gov.tw/wmts/TOPO01K_N20/{Style}/{TileMatrixSet}/{TileMatrix}/{TileRow}/{TileCol}"/>
        <s v="https://wmts.nlsc.gov.tw/wmts/TOPO01K_N21/{Style}/{TileMatrixSet}/{TileMatrix}/{TileRow}/{TileCol}"/>
        <s v="https://wmts.nlsc.gov.tw/wmts/TOPO01K_N22/{Style}/{TileMatrixSet}/{TileMatrix}/{TileRow}/{TileCol}"/>
        <s v="https://wmts.nlsc.gov.tw/wmts/TOPO01K_N23/{Style}/{TileMatrixSet}/{TileMatrix}/{TileRow}/{TileCol}"/>
        <s v="https://wmts.nlsc.gov.tw/wmts/TOPO01K_N24/{Style}/{TileMatrixSet}/{TileMatrix}/{TileRow}/{TileCol}"/>
        <s v="https://wmts.nlsc.gov.tw/wmts/TOPO01K_N25/{Style}/{TileMatrixSet}/{TileMatrix}/{TileRow}/{TileCol}"/>
        <s v="https://wmts.nlsc.gov.tw/wmts/TOPO01K_N26/{Style}/{TileMatrixSet}/{TileMatrix}/{TileRow}/{TileCol}"/>
        <s v="https://wmts.nlsc.gov.tw/wmts/TOPO01K_N27/{Style}/{TileMatrixSet}/{TileMatrix}/{TileRow}/{TileCol}"/>
        <s v="https://wmts.nlsc.gov.tw/wmts/TOPO01K_N28/{Style}/{TileMatrixSet}/{TileMatrix}/{TileRow}/{TileCol}"/>
        <s v="https://wmts.nlsc.gov.tw/wmts/TOPO01K_N29/{Style}/{TileMatrixSet}/{TileMatrix}/{TileRow}/{TileCol}"/>
        <s v="https://wmts.nlsc.gov.tw/wmts/TOPO01K_N30/{Style}/{TileMatrixSet}/{TileMatrix}/{TileRow}/{TileCol}"/>
        <s v="https://wmts.nlsc.gov.tw/wmts/TOPO01K_N31/{Style}/{TileMatrixSet}/{TileMatrix}/{TileRow}/{TileCol}"/>
        <s v="https://wmts.nlsc.gov.tw/wmts/TOPO01K_N32/{Style}/{TileMatrixSet}/{TileMatrix}/{TileRow}/{TileCol}"/>
        <s v="https://wmts.nlsc.gov.tw/wmts/TOPO01K_N33/{Style}/{TileMatrixSet}/{TileMatrix}/{TileRow}/{TileCol}"/>
        <s v="https://wmts.nlsc.gov.tw/wmts/TOPO01K_N34/{Style}/{TileMatrixSet}/{TileMatrix}/{TileRow}/{TileCol}"/>
        <s v="https://wmts.nlsc.gov.tw/wmts/TOPO01K_N35/{Style}/{TileMatrixSet}/{TileMatrix}/{TileRow}/{TileCol}"/>
        <s v="https://wmts.nlsc.gov.tw/wmts/TOPO01K_O01/{Style}/{TileMatrixSet}/{TileMatrix}/{TileRow}/{TileCol}"/>
        <s v="https://wmts.nlsc.gov.tw/wmts/TOPO01K_O03/{Style}/{TileMatrixSet}/{TileMatrix}/{TileRow}/{TileCol}"/>
        <s v="https://wmts.nlsc.gov.tw/wmts/TOPO01K_O04/{Style}/{TileMatrixSet}/{TileMatrix}/{TileRow}/{TileCol}"/>
        <s v="https://wmts.nlsc.gov.tw/wmts/TOPO01K_O05/{Style}/{TileMatrixSet}/{TileMatrix}/{TileRow}/{TileCol}"/>
        <s v="https://wmts.nlsc.gov.tw/wmts/TOPO01K_O06/{Style}/{TileMatrixSet}/{TileMatrix}/{TileRow}/{TileCol}"/>
        <s v="https://wmts.nlsc.gov.tw/wmts/TOPO01K_O07/{Style}/{TileMatrixSet}/{TileMatrix}/{TileRow}/{TileCol}"/>
        <s v="https://wmts.nlsc.gov.tw/wmts/TOPO01K_O08/{Style}/{TileMatrixSet}/{TileMatrix}/{TileRow}/{TileCol}"/>
        <s v="https://wmts.nlsc.gov.tw/wmts/TOPO01K_P01/{Style}/{TileMatrixSet}/{TileMatrix}/{TileRow}/{TileCol}"/>
        <s v="https://wmts.nlsc.gov.tw/wmts/TOPO01K_P02/{Style}/{TileMatrixSet}/{TileMatrix}/{TileRow}/{TileCol}"/>
        <s v="https://wmts.nlsc.gov.tw/wmts/TOPO01K_P03/{Style}/{TileMatrixSet}/{TileMatrix}/{TileRow}/{TileCol}"/>
        <s v="https://wmts.nlsc.gov.tw/wmts/TOPO01K_P04/{Style}/{TileMatrixSet}/{TileMatrix}/{TileRow}/{TileCol}"/>
        <s v="https://wmts.nlsc.gov.tw/wmts/TOPO01K_P05/{Style}/{TileMatrixSet}/{TileMatrix}/{TileRow}/{TileCol}"/>
        <s v="https://wmts.nlsc.gov.tw/wmts/TOPO01K_P06/{Style}/{TileMatrixSet}/{TileMatrix}/{TileRow}/{TileCol}"/>
        <s v="https://wmts.nlsc.gov.tw/wmts/TOPO01K_P07/{Style}/{TileMatrixSet}/{TileMatrix}/{TileRow}/{TileCol}"/>
        <s v="https://wmts.nlsc.gov.tw/wmts/TOPO01K_P08/{Style}/{TileMatrixSet}/{TileMatrix}/{TileRow}/{TileCol}"/>
        <s v="https://wmts.nlsc.gov.tw/wmts/TOPO01K_P09/{Style}/{TileMatrixSet}/{TileMatrix}/{TileRow}/{TileCol}"/>
        <s v="https://wmts.nlsc.gov.tw/wmts/TOPO01K_P10/{Style}/{TileMatrixSet}/{TileMatrix}/{TileRow}/{TileCol}"/>
        <s v="https://wmts.nlsc.gov.tw/wmts/TOPO01K_P11/{Style}/{TileMatrixSet}/{TileMatrix}/{TileRow}/{TileCol}"/>
        <s v="https://wmts.nlsc.gov.tw/wmts/TOPO01K_P12/{Style}/{TileMatrixSet}/{TileMatrix}/{TileRow}/{TileCol}"/>
        <s v="https://wmts.nlsc.gov.tw/wmts/TOPO01K_P13/{Style}/{TileMatrixSet}/{TileMatrix}/{TileRow}/{TileCol}"/>
        <s v="https://wmts.nlsc.gov.tw/wmts/TOPO01K_P14/{Style}/{TileMatrixSet}/{TileMatrix}/{TileRow}/{TileCol}"/>
        <s v="https://wmts.nlsc.gov.tw/wmts/TOPO01K_P15/{Style}/{TileMatrixSet}/{TileMatrix}/{TileRow}/{TileCol}"/>
        <s v="https://wmts.nlsc.gov.tw/wmts/TOPO01K_Q01/{Style}/{TileMatrixSet}/{TileMatrix}/{TileRow}/{TileCol}"/>
        <s v="https://wmts.nlsc.gov.tw/wmts/TOPO01K_Q02/{Style}/{TileMatrixSet}/{TileMatrix}/{TileRow}/{TileCol}"/>
        <s v="https://wmts.nlsc.gov.tw/wmts/TOPO01K_Q03/{Style}/{TileMatrixSet}/{TileMatrix}/{TileRow}/{TileCol}"/>
        <s v="https://wmts.nlsc.gov.tw/wmts/TOPO01K_Q04/{Style}/{TileMatrixSet}/{TileMatrix}/{TileRow}/{TileCol}"/>
        <s v="https://wmts.nlsc.gov.tw/wmts/TOPO01K_Q05/{Style}/{TileMatrixSet}/{TileMatrix}/{TileRow}/{TileCol}"/>
        <s v="https://wmts.nlsc.gov.tw/wmts/TOPO01K_Q06/{Style}/{TileMatrixSet}/{TileMatrix}/{TileRow}/{TileCol}"/>
        <s v="https://wmts.nlsc.gov.tw/wmts/TOPO01K_Q07/{Style}/{TileMatrixSet}/{TileMatrix}/{TileRow}/{TileCol}"/>
        <s v="https://wmts.nlsc.gov.tw/wmts/TOPO01K_Q08/{Style}/{TileMatrixSet}/{TileMatrix}/{TileRow}/{TileCol}"/>
        <s v="https://wmts.nlsc.gov.tw/wmts/TOPO01K_Q09/{Style}/{TileMatrixSet}/{TileMatrix}/{TileRow}/{TileCol}"/>
        <s v="https://wmts.nlsc.gov.tw/wmts/TOPO01K_Q10/{Style}/{TileMatrixSet}/{TileMatrix}/{TileRow}/{TileCol}"/>
        <s v="https://wmts.nlsc.gov.tw/wmts/TOPO01K_Q11/{Style}/{TileMatrixSet}/{TileMatrix}/{TileRow}/{TileCol}"/>
        <s v="https://wmts.nlsc.gov.tw/wmts/TOPO01K_Q12/{Style}/{TileMatrixSet}/{TileMatrix}/{TileRow}/{TileCol}"/>
        <s v="https://wmts.nlsc.gov.tw/wmts/TOPO01K_Q13/{Style}/{TileMatrixSet}/{TileMatrix}/{TileRow}/{TileCol}"/>
        <s v="https://wmts.nlsc.gov.tw/wmts/TOPO01K_Q14/{Style}/{TileMatrixSet}/{TileMatrix}/{TileRow}/{TileCol}"/>
        <s v="https://wmts.nlsc.gov.tw/wmts/TOPO01K_Q15/{Style}/{TileMatrixSet}/{TileMatrix}/{TileRow}/{TileCol}"/>
        <s v="https://wmts.nlsc.gov.tw/wmts/TOPO01K_Q16/{Style}/{TileMatrixSet}/{TileMatrix}/{TileRow}/{TileCol}"/>
        <s v="https://wmts.nlsc.gov.tw/wmts/TOPO01K_Q17/{Style}/{TileMatrixSet}/{TileMatrix}/{TileRow}/{TileCol}"/>
        <s v="https://wmts.nlsc.gov.tw/wmts/TOPO01K_Q18/{Style}/{TileMatrixSet}/{TileMatrix}/{TileRow}/{TileCol}"/>
        <s v="https://wmts.nlsc.gov.tw/wmts/TOPO01K_Q19/{Style}/{TileMatrixSet}/{TileMatrix}/{TileRow}/{TileCol}"/>
        <s v="https://wmts.nlsc.gov.tw/wmts/TOPO01K_Q20/{Style}/{TileMatrixSet}/{TileMatrix}/{TileRow}/{TileCol}"/>
        <s v="https://wmts.nlsc.gov.tw/wmts/TOPO01K_Q21/{Style}/{TileMatrixSet}/{TileMatrix}/{TileRow}/{TileCol}"/>
        <s v="https://wmts.nlsc.gov.tw/wmts/TOPO01K_Q22/{Style}/{TileMatrixSet}/{TileMatrix}/{TileRow}/{TileCol}"/>
        <s v="https://wmts.nlsc.gov.tw/wmts/TOPO01K_Q23/{Style}/{TileMatrixSet}/{TileMatrix}/{TileRow}/{TileCol}"/>
        <s v="https://wmts.nlsc.gov.tw/wmts/TOPO01K_Q24/{Style}/{TileMatrixSet}/{TileMatrix}/{TileRow}/{TileCol}"/>
        <s v="https://wmts.nlsc.gov.tw/wmts/TOPO01K_Q25/{Style}/{TileMatrixSet}/{TileMatrix}/{TileRow}/{TileCol}"/>
        <s v="https://wmts.nlsc.gov.tw/wmts/TOPO01K_Q26/{Style}/{TileMatrixSet}/{TileMatrix}/{TileRow}/{TileCol}"/>
        <s v="https://wmts.nlsc.gov.tw/wmts/TOPO01K_Q27/{Style}/{TileMatrixSet}/{TileMatrix}/{TileRow}/{TileCol}"/>
        <s v="https://wmts.nlsc.gov.tw/wmts/TOPO01K_Q29/{Style}/{TileMatrixSet}/{TileMatrix}/{TileRow}/{TileCol}"/>
        <s v="https://wmts.nlsc.gov.tw/wmts/TOPO01K_T01/{Style}/{TileMatrixSet}/{TileMatrix}/{TileRow}/{TileCol}"/>
        <s v="https://wmts.nlsc.gov.tw/wmts/TOPO01K_T02/{Style}/{TileMatrixSet}/{TileMatrix}/{TileRow}/{TileCol}"/>
        <s v="https://wmts.nlsc.gov.tw/wmts/TOPO01K_T03/{Style}/{TileMatrixSet}/{TileMatrix}/{TileRow}/{TileCol}"/>
        <s v="https://wmts.nlsc.gov.tw/wmts/TOPO01K_T04/{Style}/{TileMatrixSet}/{TileMatrix}/{TileRow}/{TileCol}"/>
        <s v="https://wmts.nlsc.gov.tw/wmts/TOPO01K_T05/{Style}/{TileMatrixSet}/{TileMatrix}/{TileRow}/{TileCol}"/>
        <s v="https://wmts.nlsc.gov.tw/wmts/TOPO01K_T06/{Style}/{TileMatrixSet}/{TileMatrix}/{TileRow}/{TileCol}"/>
        <s v="https://wmts.nlsc.gov.tw/wmts/TOPO01K_T07/{Style}/{TileMatrixSet}/{TileMatrix}/{TileRow}/{TileCol}"/>
        <s v="https://wmts.nlsc.gov.tw/wmts/TOPO01K_T08/{Style}/{TileMatrixSet}/{TileMatrix}/{TileRow}/{TileCol}"/>
        <s v="https://wmts.nlsc.gov.tw/wmts/TOPO01K_T09/{Style}/{TileMatrixSet}/{TileMatrix}/{TileRow}/{TileCol}"/>
        <s v="https://wmts.nlsc.gov.tw/wmts/TOPO01K_T10/{Style}/{TileMatrixSet}/{TileMatrix}/{TileRow}/{TileCol}"/>
        <s v="https://wmts.nlsc.gov.tw/wmts/TOPO01K_T11/{Style}/{TileMatrixSet}/{TileMatrix}/{TileRow}/{TileCol}"/>
        <s v="https://wmts.nlsc.gov.tw/wmts/TOPO01K_T12/{Style}/{TileMatrixSet}/{TileMatrix}/{TileRow}/{TileCol}"/>
        <s v="https://wmts.nlsc.gov.tw/wmts/TOPO01K_T13/{Style}/{TileMatrixSet}/{TileMatrix}/{TileRow}/{TileCol}"/>
        <s v="https://wmts.nlsc.gov.tw/wmts/TOPO01K_T14/{Style}/{TileMatrixSet}/{TileMatrix}/{TileRow}/{TileCol}"/>
        <s v="https://wmts.nlsc.gov.tw/wmts/TOPO01K_T15/{Style}/{TileMatrixSet}/{TileMatrix}/{TileRow}/{TileCol}"/>
        <s v="https://wmts.nlsc.gov.tw/wmts/TOPO01K_T16/{Style}/{TileMatrixSet}/{TileMatrix}/{TileRow}/{TileCol}"/>
        <s v="https://wmts.nlsc.gov.tw/wmts/TOPO01K_T17/{Style}/{TileMatrixSet}/{TileMatrix}/{TileRow}/{TileCol}"/>
        <s v="https://wmts.nlsc.gov.tw/wmts/TOPO01K_T18/{Style}/{TileMatrixSet}/{TileMatrix}/{TileRow}/{TileCol}"/>
        <s v="https://wmts.nlsc.gov.tw/wmts/TOPO01K_T19/{Style}/{TileMatrixSet}/{TileMatrix}/{TileRow}/{TileCol}"/>
        <s v="https://wmts.nlsc.gov.tw/wmts/TOPO01K_T20/{Style}/{TileMatrixSet}/{TileMatrix}/{TileRow}/{TileCol}"/>
        <s v="https://wmts.nlsc.gov.tw/wmts/TOPO01K_T21/{Style}/{TileMatrixSet}/{TileMatrix}/{TileRow}/{TileCol}"/>
        <s v="https://wmts.nlsc.gov.tw/wmts/TOPO01K_T22/{Style}/{TileMatrixSet}/{TileMatrix}/{TileRow}/{TileCol}"/>
        <s v="https://wmts.nlsc.gov.tw/wmts/TOPO01K_T23/{Style}/{TileMatrixSet}/{TileMatrix}/{TileRow}/{TileCol}"/>
        <s v="https://wmts.nlsc.gov.tw/wmts/TOPO01K_T24/{Style}/{TileMatrixSet}/{TileMatrix}/{TileRow}/{TileCol}"/>
        <s v="https://wmts.nlsc.gov.tw/wmts/TOPO01K_T25/{Style}/{TileMatrixSet}/{TileMatrix}/{TileRow}/{TileCol}"/>
        <s v="https://wmts.nlsc.gov.tw/wmts/TOPO01K_T26/{Style}/{TileMatrixSet}/{TileMatrix}/{TileRow}/{TileCol}"/>
        <s v="https://wmts.nlsc.gov.tw/wmts/TOPO01K_T27/{Style}/{TileMatrixSet}/{TileMatrix}/{TileRow}/{TileCol}"/>
        <s v="https://wmts.nlsc.gov.tw/wmts/TOPO01K_T28/{Style}/{TileMatrixSet}/{TileMatrix}/{TileRow}/{TileCol}"/>
        <s v="https://wmts.nlsc.gov.tw/wmts/TOPO01K_T29/{Style}/{TileMatrixSet}/{TileMatrix}/{TileRow}/{TileCol}"/>
        <s v="https://wmts.nlsc.gov.tw/wmts/TOPO01K_T30/{Style}/{TileMatrixSet}/{TileMatrix}/{TileRow}/{TileCol}"/>
        <s v="https://wmts.nlsc.gov.tw/wmts/TOPO01K_T31/{Style}/{TileMatrixSet}/{TileMatrix}/{TileRow}/{TileCol}"/>
        <s v="https://wmts.nlsc.gov.tw/wmts/TOPO01K_T32/{Style}/{TileMatrixSet}/{TileMatrix}/{TileRow}/{TileCol}"/>
        <s v="https://wmts.nlsc.gov.tw/wmts/TOPO01K_U01/{Style}/{TileMatrixSet}/{TileMatrix}/{TileRow}/{TileCol}"/>
        <s v="https://wmts.nlsc.gov.tw/wmts/TOPO01K_U02/{Style}/{TileMatrixSet}/{TileMatrix}/{TileRow}/{TileCol}"/>
        <s v="https://wmts.nlsc.gov.tw/wmts/TOPO01K_U03/{Style}/{TileMatrixSet}/{TileMatrix}/{TileRow}/{TileCol}"/>
        <s v="https://wmts.nlsc.gov.tw/wmts/TOPO01K_U04/{Style}/{TileMatrixSet}/{TileMatrix}/{TileRow}/{TileCol}"/>
        <s v="https://wmts.nlsc.gov.tw/wmts/TOPO01K_U05/{Style}/{TileMatrixSet}/{TileMatrix}/{TileRow}/{TileCol}"/>
        <s v="https://wmts.nlsc.gov.tw/wmts/TOPO01K_U06/{Style}/{TileMatrixSet}/{TileMatrix}/{TileRow}/{TileCol}"/>
        <s v="https://wmts.nlsc.gov.tw/wmts/TOPO01K_U07/{Style}/{TileMatrixSet}/{TileMatrix}/{TileRow}/{TileCol}"/>
        <s v="https://wmts.nlsc.gov.tw/wmts/TOPO01K_U08/{Style}/{TileMatrixSet}/{TileMatrix}/{TileRow}/{TileCol}"/>
        <s v="https://wmts.nlsc.gov.tw/wmts/TOPO01K_U09/{Style}/{TileMatrixSet}/{TileMatrix}/{TileRow}/{TileCol}"/>
        <s v="https://wmts.nlsc.gov.tw/wmts/TOPO01K_U10/{Style}/{TileMatrixSet}/{TileMatrix}/{TileRow}/{TileCol}"/>
        <s v="https://wmts.nlsc.gov.tw/wmts/TOPO01K_U11/{Style}/{TileMatrixSet}/{TileMatrix}/{TileRow}/{TileCol}"/>
        <s v="https://wmts.nlsc.gov.tw/wmts/TOPO01K_U12/{Style}/{TileMatrixSet}/{TileMatrix}/{TileRow}/{TileCol}"/>
        <s v="https://wmts.nlsc.gov.tw/wmts/TOPO01K_U13/{Style}/{TileMatrixSet}/{TileMatrix}/{TileRow}/{TileCol}"/>
        <s v="https://wmts.nlsc.gov.tw/wmts/TOPO01K_U14/{Style}/{TileMatrixSet}/{TileMatrix}/{TileRow}/{TileCol}"/>
        <s v="https://wmts.nlsc.gov.tw/wmts/TOPO01K_U15/{Style}/{TileMatrixSet}/{TileMatrix}/{TileRow}/{TileCol}"/>
        <s v="https://wmts.nlsc.gov.tw/wmts/TOPO01K_U16/{Style}/{TileMatrixSet}/{TileMatrix}/{TileRow}/{TileCol}"/>
        <s v="https://wmts.nlsc.gov.tw/wmts/TOPO01K_U17/{Style}/{TileMatrixSet}/{TileMatrix}/{TileRow}/{TileCol}"/>
        <s v="https://wmts.nlsc.gov.tw/wmts/TOPO01K_U18/{Style}/{TileMatrixSet}/{TileMatrix}/{TileRow}/{TileCol}"/>
        <s v="https://wmts.nlsc.gov.tw/wmts/TOPO01K_U19/{Style}/{TileMatrixSet}/{TileMatrix}/{TileRow}/{TileCol}"/>
        <s v="https://wmts.nlsc.gov.tw/wmts/TOPO01K_U20/{Style}/{TileMatrixSet}/{TileMatrix}/{TileRow}/{TileCol}"/>
        <s v="https://wmts.nlsc.gov.tw/wmts/TOPO01K_U21/{Style}/{TileMatrixSet}/{TileMatrix}/{TileRow}/{TileCol}"/>
        <s v="https://wmts.nlsc.gov.tw/wmts/TOPO01K_U22/{Style}/{TileMatrixSet}/{TileMatrix}/{TileRow}/{TileCol}"/>
        <s v="https://wmts.nlsc.gov.tw/wmts/TOPO01K_U23/{Style}/{TileMatrixSet}/{TileMatrix}/{TileRow}/{TileCol}"/>
        <s v="https://wmts.nlsc.gov.tw/wmts/TOPO01K_U24/{Style}/{TileMatrixSet}/{TileMatrix}/{TileRow}/{TileCol}"/>
        <s v="https://wmts.nlsc.gov.tw/wmts/TOPO01K_U25/{Style}/{TileMatrixSet}/{TileMatrix}/{TileRow}/{TileCol}"/>
        <s v="https://wmts.nlsc.gov.tw/wmts/TOPO01K_U26/{Style}/{TileMatrixSet}/{TileMatrix}/{TileRow}/{TileCol}"/>
        <s v="https://wmts.nlsc.gov.tw/wmts/TOPO01K_V01/{Style}/{TileMatrixSet}/{TileMatrix}/{TileRow}/{TileCol}"/>
        <s v="https://wmts.nlsc.gov.tw/wmts/TOPO01K_V02/{Style}/{TileMatrixSet}/{TileMatrix}/{TileRow}/{TileCol}"/>
        <s v="https://wmts.nlsc.gov.tw/wmts/TOPO01K_V03/{Style}/{TileMatrixSet}/{TileMatrix}/{TileRow}/{TileCol}"/>
        <s v="https://wmts.nlsc.gov.tw/wmts/TOPO01K_V04/{Style}/{TileMatrixSet}/{TileMatrix}/{TileRow}/{TileCol}"/>
        <s v="https://wmts.nlsc.gov.tw/wmts/TOPO01K_V05/{Style}/{TileMatrixSet}/{TileMatrix}/{TileRow}/{TileCol}"/>
        <s v="https://wmts.nlsc.gov.tw/wmts/TOPO01K_V06/{Style}/{TileMatrixSet}/{TileMatrix}/{TileRow}/{TileCol}"/>
        <s v="https://wmts.nlsc.gov.tw/wmts/TOPO01K_V07/{Style}/{TileMatrixSet}/{TileMatrix}/{TileRow}/{TileCol}"/>
        <s v="https://wmts.nlsc.gov.tw/wmts/TOPO01K_V08/{Style}/{TileMatrixSet}/{TileMatrix}/{TileRow}/{TileCol}"/>
        <s v="https://wmts.nlsc.gov.tw/wmts/TOPO01K_V09/{Style}/{TileMatrixSet}/{TileMatrix}/{TileRow}/{TileCol}"/>
        <s v="https://wmts.nlsc.gov.tw/wmts/TOPO01K_V10/{Style}/{TileMatrixSet}/{TileMatrix}/{TileRow}/{TileCol}"/>
        <s v="https://wmts.nlsc.gov.tw/wmts/TOPO01K_V11/{Style}/{TileMatrixSet}/{TileMatrix}/{TileRow}/{TileCol}"/>
        <s v="https://wmts.nlsc.gov.tw/wmts/TOPO01K_V12/{Style}/{TileMatrixSet}/{TileMatrix}/{TileRow}/{TileCol}"/>
        <s v="https://wmts.nlsc.gov.tw/wmts/TOPO01K_V13/{Style}/{TileMatrixSet}/{TileMatrix}/{TileRow}/{TileCol}"/>
        <s v="https://wmts.nlsc.gov.tw/wmts/TOPO01K_V14/{Style}/{TileMatrixSet}/{TileMatrix}/{TileRow}/{TileCol}"/>
        <s v="https://wmts.nlsc.gov.tw/wmts/TOPO01K_V15/{Style}/{TileMatrixSet}/{TileMatrix}/{TileRow}/{TileCol}"/>
        <s v="https://wmts.nlsc.gov.tw/wmts/TOPO01K_V16/{Style}/{TileMatrixSet}/{TileMatrix}/{TileRow}/{TileCol}"/>
        <s v="https://wmts.nlsc.gov.tw/wmts/TOPO01K_V17/{Style}/{TileMatrixSet}/{TileMatrix}/{TileRow}/{TileCol}"/>
        <s v="https://wmts.nlsc.gov.tw/wmts/TOPO01K_V18/{Style}/{TileMatrixSet}/{TileMatrix}/{TileRow}/{TileCol}"/>
        <s v="https://wmts.nlsc.gov.tw/wmts/TOPO01K_V19/{Style}/{TileMatrixSet}/{TileMatrix}/{TileRow}/{TileCol}"/>
        <s v="https://wmts.nlsc.gov.tw/wmts/TOPO01K_V20/{Style}/{TileMatrixSet}/{TileMatrix}/{TileRow}/{TileCol}"/>
        <s v="https://wmts.nlsc.gov.tw/wmts/TOPO01K_W01/{Style}/{TileMatrixSet}/{TileMatrix}/{TileRow}/{TileCol}"/>
        <s v="https://wmts.nlsc.gov.tw/wmts/TOPO01K_W02/{Style}/{TileMatrixSet}/{TileMatrix}/{TileRow}/{TileCol}"/>
        <s v="https://wmts.nlsc.gov.tw/wmts/TOPO01K_X01/{Style}/{TileMatrixSet}/{TileMatrix}/{TileRow}/{TileCol}"/>
        <s v="https://wmts.nlsc.gov.tw/wmts/TOPO01K_X02/{Style}/{TileMatrixSet}/{TileMatrix}/{TileRow}/{TileCol}"/>
        <s v="https://wmts.nlsc.gov.tw/wmts/TOPO01K_X03/{Style}/{TileMatrixSet}/{TileMatrix}/{TileRow}/{TileCol}"/>
        <s v="https://wmts.nlsc.gov.tw/wmts/TOPO01K_X04/{Style}/{TileMatrixSet}/{TileMatrix}/{TileRow}/{TileCol}"/>
        <s v="https://wmts.nlsc.gov.tw/wmts/TOPO01K_X05/{Style}/{TileMatrixSet}/{TileMatrix}/{TileRow}/{TileCol}"/>
        <s v="https://wmts.nlsc.gov.tw/wmts/TOPO01K_X06/{Style}/{TileMatrixSet}/{TileMatrix}/{TileRow}/{TileCol}"/>
        <s v="https://wmts.nlsc.gov.tw/wmts/TOPO01K_X07/{Style}/{TileMatrixSet}/{TileMatrix}/{TileRow}/{TileCol}"/>
        <s v="https://wmts.nlsc.gov.tw/wmts/TOPO01K_X08/{Style}/{TileMatrixSet}/{TileMatrix}/{TileRow}/{TileCol}"/>
        <s v="https://wmts.nlsc.gov.tw/wmts/TOPO01K_Z01/{Style}/{TileMatrixSet}/{TileMatrix}/{TileRow}/{TileCol}"/>
        <s v="https://wmts.nlsc.gov.tw/wmts/TOPO05K_100/{Style}/{TileMatrixSet}/{TileMatrix}/{TileRow}/{TileCol}"/>
        <s v="https://wmts.nlsc.gov.tw/wmts/TOPO05K_101/{Style}/{TileMatrixSet}/{TileMatrix}/{TileRow}/{TileCol}"/>
        <s v="https://wmts.nlsc.gov.tw/wmts/TOPO05K_102/{Style}/{TileMatrixSet}/{TileMatrix}/{TileRow}/{TileCol}"/>
        <s v="https://wmts.nlsc.gov.tw/wmts/TOPO05K_103/{Style}/{TileMatrixSet}/{TileMatrix}/{TileRow}/{TileCol}"/>
        <s v="https://wmts.nlsc.gov.tw/wmts/TOPO05K_104/{Style}/{TileMatrixSet}/{TileMatrix}/{TileRow}/{TileCol}"/>
        <s v="https://wmts.nlsc.gov.tw/wmts/TOPO05K_105/{Style}/{TileMatrixSet}/{TileMatrix}/{TileRow}/{TileCol}"/>
        <s v="https://wmts.nlsc.gov.tw/wmts/TOPO05K_106/{Style}/{TileMatrixSet}/{TileMatrix}/{TileRow}/{TileCol}"/>
        <s v="https://wmts.nlsc.gov.tw/wmts/TOPO05K_107/{Style}/{TileMatrixSet}/{TileMatrix}/{TileRow}/{TileCol}"/>
        <s v="https://wmts.nlsc.gov.tw/wmts/TOPO05K_108/{Style}/{TileMatrixSet}/{TileMatrix}/{TileRow}/{TileCol}"/>
        <s v="https://wmts.nlsc.gov.tw/wmts/TOPO05K_109/{Style}/{TileMatrixSet}/{TileMatrix}/{TileRow}/{TileCol}"/>
        <s v="https://wmts.nlsc.gov.tw/wmts/TOPO05K_110/{Style}/{TileMatrixSet}/{TileMatrix}/{TileRow}/{TileCol}"/>
        <s v="https://wmts.nlsc.gov.tw/wmts/TOPO05K_111/{Style}/{TileMatrixSet}/{TileMatrix}/{TileRow}/{TileCol}"/>
        <s v="https://wmts.nlsc.gov.tw/wmts/TOPO05K_84/{Style}/{TileMatrixSet}/{TileMatrix}/{TileRow}/{TileCol}"/>
        <s v="https://wmts.nlsc.gov.tw/wmts/TOPO05K_86/{Style}/{TileMatrixSet}/{TileMatrix}/{TileRow}/{TileCol}"/>
        <s v="https://wmts.nlsc.gov.tw/wmts/TOPO05K_87/{Style}/{TileMatrixSet}/{TileMatrix}/{TileRow}/{TileCol}"/>
        <s v="https://wmts.nlsc.gov.tw/wmts/TOPO05K_88/{Style}/{TileMatrixSet}/{TileMatrix}/{TileRow}/{TileCol}"/>
        <s v="https://wmts.nlsc.gov.tw/wmts/TOPO05K_90/{Style}/{TileMatrixSet}/{TileMatrix}/{TileRow}/{TileCol}"/>
        <s v="https://wmts.nlsc.gov.tw/wmts/TOPO05K_91/{Style}/{TileMatrixSet}/{TileMatrix}/{TileRow}/{TileCol}"/>
        <s v="https://wmts.nlsc.gov.tw/wmts/TOPO05K_92/{Style}/{TileMatrixSet}/{TileMatrix}/{TileRow}/{TileCol}"/>
        <s v="https://wmts.nlsc.gov.tw/wmts/TOPO05K_96/{Style}/{TileMatrixSet}/{TileMatrix}/{TileRow}/{TileCol}"/>
        <s v="https://wmts.nlsc.gov.tw/wmts/TOPO05K_98/{Style}/{TileMatrixSet}/{TileMatrix}/{TileRow}/{TileCol}"/>
        <s v="https://wmts.nlsc.gov.tw/wmts/TOPO05K_99/{Style}/{TileMatrixSet}/{TileMatrix}/{TileRow}/{TileCol}"/>
        <s v="https://wmts.nlsc.gov.tw/wmts/TOPO05KPHOTO_065/{Style}/{TileMatrixSet}/{TileMatrix}/{TileRow}/{TileCol}"/>
        <s v="https://wmts.nlsc.gov.tw/wmts/TOPO05KPHOTO_066/{Style}/{TileMatrixSet}/{TileMatrix}/{TileRow}/{TileCol}"/>
        <s v="https://wmts.nlsc.gov.tw/wmts/TOPO05KPHOTO_067/{Style}/{TileMatrixSet}/{TileMatrix}/{TileRow}/{TileCol}"/>
        <s v="https://wmts.nlsc.gov.tw/wmts/TOPO05KPHOTO_068/{Style}/{TileMatrixSet}/{TileMatrix}/{TileRow}/{TileCol}"/>
        <s v="https://wmts.nlsc.gov.tw/wmts/TOPO05KPHOTO_069/{Style}/{TileMatrixSet}/{TileMatrix}/{TileRow}/{TileCol}"/>
        <s v="https://wmts.nlsc.gov.tw/wmts/TOPO05KPHOTO_070/{Style}/{TileMatrixSet}/{TileMatrix}/{TileRow}/{TileCol}"/>
        <s v="https://wmts.nlsc.gov.tw/wmts/TOPO05KPHOTO_071/{Style}/{TileMatrixSet}/{TileMatrix}/{TileRow}/{TileCol}"/>
        <s v="https://wmts.nlsc.gov.tw/wmts/TOPO05KPHOTO_072/{Style}/{TileMatrixSet}/{TileMatrix}/{TileRow}/{TileCol}"/>
        <s v="https://wmts.nlsc.gov.tw/wmts/TOPO05KPHOTO_073/{Style}/{TileMatrixSet}/{TileMatrix}/{TileRow}/{TileCol}"/>
        <s v="https://wmts.nlsc.gov.tw/wmts/TOPO05KPHOTO_074/{Style}/{TileMatrixSet}/{TileMatrix}/{TileRow}/{TileCol}"/>
        <s v="https://wmts.nlsc.gov.tw/wmts/TOPO05KPHOTO_075/{Style}/{TileMatrixSet}/{TileMatrix}/{TileRow}/{TileCol}"/>
        <s v="https://wmts.nlsc.gov.tw/wmts/TOPO05KPHOTO_076/{Style}/{TileMatrixSet}/{TileMatrix}/{TileRow}/{TileCol}"/>
        <s v="https://wmts.nlsc.gov.tw/wmts/TOPO05KPHOTO_078/{Style}/{TileMatrixSet}/{TileMatrix}/{TileRow}/{TileCol}"/>
        <s v="https://wmts.nlsc.gov.tw/wmts/TOPO05KPHOTO_079/{Style}/{TileMatrixSet}/{TileMatrix}/{TileRow}/{TileCol}"/>
        <s v="https://wmts.nlsc.gov.tw/wmts/TOPO05KPHOTO_080/{Style}/{TileMatrixSet}/{TileMatrix}/{TileRow}/{TileCol}"/>
        <s v="https://wmts.nlsc.gov.tw/wmts/TOPO05KPHOTO_081/{Style}/{TileMatrixSet}/{TileMatrix}/{TileRow}/{TileCol}"/>
        <s v="https://wmts.nlsc.gov.tw/wmts/TOPO05KPHOTO_083/{Style}/{TileMatrixSet}/{TileMatrix}/{TileRow}/{TileCol}"/>
        <s v="https://wmts.nlsc.gov.tw/wmts/TOPO05KPHOTO_084/{Style}/{TileMatrixSet}/{TileMatrix}/{TileRow}/{TileCol}"/>
        <s v="https://wmts.nlsc.gov.tw/wmts/TOPO05KPHOTO_086/{Style}/{TileMatrixSet}/{TileMatrix}/{TileRow}/{TileCol}"/>
        <s v="https://wmts.nlsc.gov.tw/wmts/TOPO05KPHOTO_087/{Style}/{TileMatrixSet}/{TileMatrix}/{TileRow}/{TileCol}"/>
        <s v="https://wmts.nlsc.gov.tw/wmts/TOPO05KPHOTO_088/{Style}/{TileMatrixSet}/{TileMatrix}/{TileRow}/{TileCol}"/>
        <s v="https://wmts.nlsc.gov.tw/wmts/TOPO05KPHOTO_089/{Style}/{TileMatrixSet}/{TileMatrix}/{TileRow}/{TileCol}"/>
        <s v="https://wmts.nlsc.gov.tw/wmts/TOPO05KPHOTO_090/{Style}/{TileMatrixSet}/{TileMatrix}/{TileRow}/{TileCol}"/>
        <s v="https://wmts.nlsc.gov.tw/wmts/TOPO05KPHOTO_091/{Style}/{TileMatrixSet}/{TileMatrix}/{TileRow}/{TileCol}"/>
        <s v="https://wmts.nlsc.gov.tw/wmts/TOPO05KPHOTO_092/{Style}/{TileMatrixSet}/{TileMatrix}/{TileRow}/{TileCol}"/>
        <s v="https://wmts.nlsc.gov.tw/wmts/TOPO05KPHOTO_093/{Style}/{TileMatrixSet}/{TileMatrix}/{TileRow}/{TileCol}"/>
        <s v="https://wmts.nlsc.gov.tw/wmts/TOPO05KPHOTO_094/{Style}/{TileMatrixSet}/{TileMatrix}/{TileRow}/{TileCol}"/>
        <s v="https://wmts.nlsc.gov.tw/wmts/TOPO05KPHOTO_095/{Style}/{TileMatrixSet}/{TileMatrix}/{TileRow}/{TileCol}"/>
        <s v="https://wmts.nlsc.gov.tw/wmts/TOPO05KPHOTO_096/{Style}/{TileMatrixSet}/{TileMatrix}/{TileRow}/{TileCol}"/>
        <s v="https://wmts.nlsc.gov.tw/wmts/TOPO05KPHOTO_097/{Style}/{TileMatrixSet}/{TileMatrix}/{TileRow}/{TileCol}"/>
        <s v="https://wmts.nlsc.gov.tw/wmts/TOPO05KPHOTO_098/{Style}/{TileMatrixSet}/{TileMatrix}/{TileRow}/{TileCol}"/>
        <s v="https://wmts.nlsc.gov.tw/wmts/TOPO05KPHOTO_099/{Style}/{TileMatrixSet}/{TileMatrix}/{TileRow}/{TileCol}"/>
        <s v="https://wmts.nlsc.gov.tw/wmts/TOPO05KPHOTO_100/{Style}/{TileMatrixSet}/{TileMatrix}/{TileRow}/{TileCol}"/>
        <s v="https://wmts.nlsc.gov.tw/wmts/TOPO05KPHOTO_101/{Style}/{TileMatrixSet}/{TileMatrix}/{TileRow}/{TileCol}"/>
        <s v="https://wmts.nlsc.gov.tw/wmts/TOPO05KPHOTO_102/{Style}/{TileMatrixSet}/{TileMatrix}/{TileRow}/{TileCol}"/>
        <s v="https://wmts.nlsc.gov.tw/wmts/TOPO05KPHOTO_103/{Style}/{TileMatrixSet}/{TileMatrix}/{TileRow}/{TileCol}"/>
        <s v="https://wmts.nlsc.gov.tw/wmts/TOPO05KPHOTO_104/{Style}/{TileMatrixSet}/{TileMatrix}/{TileRow}/{TileCol}"/>
        <s v="https://wmts.nlsc.gov.tw/wmts/TOPO05KPHOTO_105/{Style}/{TileMatrixSet}/{TileMatrix}/{TileRow}/{TileCol}"/>
        <s v="https://wmts.nlsc.gov.tw/wmts/TOPO05KPHOTO_106/{Style}/{TileMatrixSet}/{TileMatrix}/{TileRow}/{TileCol}"/>
        <s v="https://wmts.nlsc.gov.tw/wmts/TOPO05KPHOTO_107/{Style}/{TileMatrixSet}/{TileMatrix}/{TileRow}/{TileCol}"/>
        <s v="https://wmts.nlsc.gov.tw/wmts/TOPO05KPHOTO_108/{Style}/{TileMatrixSet}/{TileMatrix}/{TileRow}/{TileCol}"/>
        <s v="https://wmts.nlsc.gov.tw/wmts/TOPO05KPHOTO_109/{Style}/{TileMatrixSet}/{TileMatrix}/{TileRow}/{TileCol}"/>
        <s v="https://wmts.nlsc.gov.tw/wmts/TOPO05KPHOTO_110/{Style}/{TileMatrixSet}/{TileMatrix}/{TileRow}/{TileCol}"/>
        <s v="https://wmts.nlsc.gov.tw/wmts/TOPO05KPHOTO_111/{Style}/{TileMatrixSet}/{TileMatrix}/{TileRow}/{TileCol}"/>
        <s v="https://wmts.nlsc.gov.tw/wmts/TOPO05KPHOTO_112/{Style}/{TileMatrixSet}/{TileMatrix}/{TileRow}/{TileCol}"/>
        <s v="https://wmts.nlsc.gov.tw/wmts/TOPO05KPHOTO_113/{Style}/{TileMatrixSet}/{TileMatrix}/{TileRow}/{TileCol}"/>
        <s v="https://wmts.nlsc.gov.tw/wmts/TOPO05KPHOTO_114/{Style}/{TileMatrixSet}/{TileMatrix}/{TileRow}/{TileCol}"/>
        <s v="https://wmts.nlsc.gov.tw/wmts/TOPO10KPHOTO/{Style}/{TileMatrixSet}/{TileMatrix}/{TileRow}/{TileCol}"/>
        <s v="https://wmts.nlsc.gov.tw/wmts/TOPO10M_107/{Style}/{TileMatrixSet}/{TileMatrix}/{TileRow}/{TileCol}"/>
        <s v="https://wmts.nlsc.gov.tw/wmts/TOPO10M_109/{Style}/{TileMatrixSet}/{TileMatrix}/{TileRow}/{TileCol}"/>
        <s v="https://wmts.nlsc.gov.tw/wmts/TOPO10M_110/{Style}/{TileMatrixSet}/{TileMatrix}/{TileRow}/{TileCol}"/>
        <s v="https://wmts.nlsc.gov.tw/wmts/TOPO10M_111/{Style}/{TileMatrixSet}/{TileMatrix}/{TileRow}/{TileCol}"/>
        <s v="https://wmts.nlsc.gov.tw/wmts/TOPO10M_112/{Style}/{TileMatrixSet}/{TileMatrix}/{TileRow}/{TileCol}"/>
        <s v="https://wmts.nlsc.gov.tw/wmts/TOPO10M_113/{Style}/{TileMatrixSet}/{TileMatrix}/{TileRow}/{TileCol}"/>
        <s v="https://wmts.nlsc.gov.tw/wmts/TOPO10M_114/{Style}/{TileMatrixSet}/{TileMatrix}/{TileRow}/{TileCol}"/>
        <s v="https://wmts.nlsc.gov.tw/wmts/TOPO25K_107/{Style}/{TileMatrixSet}/{TileMatrix}/{TileRow}/{TileCol}"/>
        <s v="https://wmts.nlsc.gov.tw/wmts/TOPO25K_108/{Style}/{TileMatrixSet}/{TileMatrix}/{TileRow}/{TileCol}"/>
        <s v="https://wmts.nlsc.gov.tw/wmts/TOPO25K_109/{Style}/{TileMatrixSet}/{TileMatrix}/{TileRow}/{TileCol}"/>
        <s v="https://wmts.nlsc.gov.tw/wmts/TOPO25K_110/{Style}/{TileMatrixSet}/{TileMatrix}/{TileRow}/{TileCol}"/>
        <s v="https://wmts.nlsc.gov.tw/wmts/TOPO25K_111/{Style}/{TileMatrixSet}/{TileMatrix}/{TileRow}/{TileCol}"/>
        <s v="https://wmts.nlsc.gov.tw/wmts/TOPO25K_112/{Style}/{TileMatrixSet}/{TileMatrix}/{TileRow}/{TileCol}"/>
        <s v="https://wmts.nlsc.gov.tw/wmts/TOPO25K_113/{Style}/{TileMatrixSet}/{TileMatrix}/{TileRow}/{TileCol}"/>
        <s v="https://wmts.nlsc.gov.tw/wmts/TOPO25K_114/{Style}/{TileMatrixSet}/{TileMatrix}/{TileRow}/{TileCol}"/>
        <s v="https://wmts.nlsc.gov.tw/wmts/TOPO50K_107/{Style}/{TileMatrixSet}/{TileMatrix}/{TileRow}/{TileCol}"/>
        <s v="https://wmts.nlsc.gov.tw/wmts/TOPO50K_109/{Style}/{TileMatrixSet}/{TileMatrix}/{TileRow}/{TileCol}"/>
        <s v="https://wmts.nlsc.gov.tw/wmts/TOPO50K_110/{Style}/{TileMatrixSet}/{TileMatrix}/{TileRow}/{TileCol}"/>
        <s v="https://wmts.nlsc.gov.tw/wmts/TOPO50K_111/{Style}/{TileMatrixSet}/{TileMatrix}/{TileRow}/{TileCol}"/>
        <s v="https://wmts.nlsc.gov.tw/wmts/TOPO50K_112/{Style}/{TileMatrixSet}/{TileMatrix}/{TileRow}/{TileCol}"/>
        <s v="https://wmts.nlsc.gov.tw/wmts/TOPO50K_113/{Style}/{TileMatrixSet}/{TileMatrix}/{TileRow}/{TileCol}"/>
        <s v="https://wmts.nlsc.gov.tw/wmts/TOPON1K_B04/{Style}/{TileMatrixSet}/{TileMatrix}/{TileRow}/{TileCol}"/>
        <s v="https://wmts.nlsc.gov.tw/wmts/TOPON1K_B11/{Style}/{TileMatrixSet}/{TileMatrix}/{TileRow}/{TileCol}"/>
        <s v="https://wmts.nlsc.gov.tw/wmts/TOPON1K_B14/{Style}/{TileMatrixSet}/{TileMatrix}/{TileRow}/{TileCol}"/>
        <s v="https://wmts.nlsc.gov.tw/wmts/TOPON1K_B15/{Style}/{TileMatrixSet}/{TileMatrix}/{TileRow}/{TileCol}"/>
        <s v="https://wmts.nlsc.gov.tw/wmts/TOPON1K_B20/{Style}/{TileMatrixSet}/{TileMatrix}/{TileRow}/{TileCol}"/>
        <s v="https://wmts.nlsc.gov.tw/wmts/TOPON1K_B22/{Style}/{TileMatrixSet}/{TileMatrix}/{TileRow}/{TileCol}"/>
        <s v="https://wmts.nlsc.gov.tw/wmts/TOPON1K_B25/{Style}/{TileMatrixSet}/{TileMatrix}/{TileRow}/{TileCol}"/>
        <s v="https://wmts.nlsc.gov.tw/wmts/TOPON1K_D03/{Style}/{TileMatrixSet}/{TileMatrix}/{TileRow}/{TileCol}"/>
        <s v="https://wmts.nlsc.gov.tw/wmts/TOPON1K_D04/{Style}/{TileMatrixSet}/{TileMatrix}/{TileRow}/{TileCol}"/>
        <s v="https://wmts.nlsc.gov.tw/wmts/TOPON1K_D05/{Style}/{TileMatrixSet}/{TileMatrix}/{TileRow}/{TileCol}"/>
        <s v="https://wmts.nlsc.gov.tw/wmts/TOPON1K_D08/{Style}/{TileMatrixSet}/{TileMatrix}/{TileRow}/{TileCol}"/>
        <s v="https://wmts.nlsc.gov.tw/wmts/TOPON1K_D12/{Style}/{TileMatrixSet}/{TileMatrix}/{TileRow}/{TileCol}"/>
        <s v="https://wmts.nlsc.gov.tw/wmts/TOPON1K_E02/{Style}/{TileMatrixSet}/{TileMatrix}/{TileRow}/{TileCol}"/>
        <s v="https://wmts.nlsc.gov.tw/wmts/TOPON1K_E03/{Style}/{TileMatrixSet}/{TileMatrix}/{TileRow}/{TileCol}"/>
        <s v="https://wmts.nlsc.gov.tw/wmts/TOPON1K_E32/{Style}/{TileMatrixSet}/{TileMatrix}/{TileRow}/{TileCol}"/>
        <s v="https://wmts.nlsc.gov.tw/wmts/TOPON1K_G01/{Style}/{TileMatrixSet}/{TileMatrix}/{TileRow}/{TileCol}"/>
        <s v="https://wmts.nlsc.gov.tw/wmts/TOPON1K_G04/{Style}/{TileMatrixSet}/{TileMatrix}/{TileRow}/{TileCol}"/>
        <s v="https://wmts.nlsc.gov.tw/wmts/TOPON1K_G06/{Style}/{TileMatrixSet}/{TileMatrix}/{TileRow}/{TileCol}"/>
        <s v="https://wmts.nlsc.gov.tw/wmts/TOPON1K_G09/{Style}/{TileMatrixSet}/{TileMatrix}/{TileRow}/{TileCol}"/>
        <s v="https://wmts.nlsc.gov.tw/wmts/TOPON1K_G11/{Style}/{TileMatrixSet}/{TileMatrix}/{TileRow}/{TileCol}"/>
        <s v="https://wmts.nlsc.gov.tw/wmts/TOPON1K_G15/{Style}/{TileMatrixSet}/{TileMatrix}/{TileRow}/{TileCol}"/>
        <s v="https://wmts.nlsc.gov.tw/wmts/TOPON1K_G16/{Style}/{TileMatrixSet}/{TileMatrix}/{TileRow}/{TileCol}"/>
        <s v="https://wmts.nlsc.gov.tw/wmts/TOPON1K_G17/{Style}/{TileMatrixSet}/{TileMatrix}/{TileRow}/{TileCol}"/>
        <s v="https://wmts.nlsc.gov.tw/wmts/TOPON1K_G18/{Style}/{TileMatrixSet}/{TileMatrix}/{TileRow}/{TileCol}"/>
        <s v="https://wmts.nlsc.gov.tw/wmts/TOPON1K_G19/{Style}/{TileMatrixSet}/{TileMatrix}/{TileRow}/{TileCol}"/>
        <s v="https://wmts.nlsc.gov.tw/wmts/TOPON1K_G20/{Style}/{TileMatrixSet}/{TileMatrix}/{TileRow}/{TileCol}"/>
        <s v="https://wmts.nlsc.gov.tw/wmts/TOPON1K_H18/{Style}/{TileMatrixSet}/{TileMatrix}/{TileRow}/{TileCol}"/>
        <s v="https://wmts.nlsc.gov.tw/wmts/TOPON1K_H19/{Style}/{TileMatrixSet}/{TileMatrix}/{TileRow}/{TileCol}"/>
        <s v="https://wmts.nlsc.gov.tw/wmts/TOPON1K_H20/{Style}/{TileMatrixSet}/{TileMatrix}/{TileRow}/{TileCol}"/>
        <s v="https://wmts.nlsc.gov.tw/wmts/TOPON1K_H21/{Style}/{TileMatrixSet}/{TileMatrix}/{TileRow}/{TileCol}"/>
        <s v="https://wmts.nlsc.gov.tw/wmts/TOPON1K_H31/{Style}/{TileMatrixSet}/{TileMatrix}/{TileRow}/{TileCol}"/>
        <s v="https://wmts.nlsc.gov.tw/wmts/TOPON1K_J01/{Style}/{TileMatrixSet}/{TileMatrix}/{TileRow}/{TileCol}"/>
        <s v="https://wmts.nlsc.gov.tw/wmts/TOPON1K_J06/{Style}/{TileMatrixSet}/{TileMatrix}/{TileRow}/{TileCol}"/>
        <s v="https://wmts.nlsc.gov.tw/wmts/TOPON1K_J13/{Style}/{TileMatrixSet}/{TileMatrix}/{TileRow}/{TileCol}"/>
        <s v="https://wmts.nlsc.gov.tw/wmts/TOPON1K_J16/{Style}/{TileMatrixSet}/{TileMatrix}/{TileRow}/{TileCol}"/>
        <s v="https://wmts.nlsc.gov.tw/wmts/TOPON1K_J17/{Style}/{TileMatrixSet}/{TileMatrix}/{TileRow}/{TileCol}"/>
        <s v="https://wmts.nlsc.gov.tw/wmts/TOPON1K_K01/{Style}/{TileMatrixSet}/{TileMatrix}/{TileRow}/{TileCol}"/>
        <s v="https://wmts.nlsc.gov.tw/wmts/TOPON1K_K02/{Style}/{TileMatrixSet}/{TileMatrix}/{TileRow}/{TileCol}"/>
        <s v="https://wmts.nlsc.gov.tw/wmts/TOPON1K_K14/{Style}/{TileMatrixSet}/{TileMatrix}/{TileRow}/{TileCol}"/>
        <s v="https://wmts.nlsc.gov.tw/wmts/TOPON1K_M01/{Style}/{TileMatrixSet}/{TileMatrix}/{TileRow}/{TileCol}"/>
        <s v="https://wmts.nlsc.gov.tw/wmts/TOPON1K_M02/{Style}/{TileMatrixSet}/{TileMatrix}/{TileRow}/{TileCol}"/>
        <s v="https://wmts.nlsc.gov.tw/wmts/TOPON1K_M04/{Style}/{TileMatrixSet}/{TileMatrix}/{TileRow}/{TileCol}"/>
        <s v="https://wmts.nlsc.gov.tw/wmts/TOPON1K_N01/{Style}/{TileMatrixSet}/{TileMatrix}/{TileRow}/{TileCol}"/>
        <s v="https://wmts.nlsc.gov.tw/wmts/TOPON1K_N02/{Style}/{TileMatrixSet}/{TileMatrix}/{TileRow}/{TileCol}"/>
        <s v="https://wmts.nlsc.gov.tw/wmts/TOPON1K_P01/{Style}/{TileMatrixSet}/{TileMatrix}/{TileRow}/{TileCol}"/>
        <s v="https://wmts.nlsc.gov.tw/wmts/TOPON1K_P10/{Style}/{TileMatrixSet}/{TileMatrix}/{TileRow}/{TileCol}"/>
        <s v="https://wmts.nlsc.gov.tw/wmts/TOPON1K_P12/{Style}/{TileMatrixSet}/{TileMatrix}/{TileRow}/{TileCol}"/>
        <s v="https://wmts.nlsc.gov.tw/wmts/TOPON1K_P13/{Style}/{TileMatrixSet}/{TileMatrix}/{TileRow}/{TileCol}"/>
        <s v="https://wmts.nlsc.gov.tw/wmts/TOPON1K_P22/{Style}/{TileMatrixSet}/{TileMatrix}/{TileRow}/{TileCol}"/>
        <s v="https://wmts.nlsc.gov.tw/wmts/TOPON1K_P24/{Style}/{TileMatrixSet}/{TileMatrix}/{TileRow}/{TileCol}"/>
        <s v="https://wmts.nlsc.gov.tw/wmts/TOPON1K_P25/{Style}/{TileMatrixSet}/{TileMatrix}/{TileRow}/{TileCol}"/>
        <s v="https://wmts.nlsc.gov.tw/wmts/TOPON1K_Q02/{Style}/{TileMatrixSet}/{TileMatrix}/{TileRow}/{TileCol}"/>
        <s v="https://wmts.nlsc.gov.tw/wmts/TOPON1K_Q06/{Style}/{TileMatrixSet}/{TileMatrix}/{TileRow}/{TileCol}"/>
        <s v="https://wmts.nlsc.gov.tw/wmts/TOPON1K_Q07/{Style}/{TileMatrixSet}/{TileMatrix}/{TileRow}/{TileCol}"/>
        <s v="https://wmts.nlsc.gov.tw/wmts/TOPON1K_Q19/{Style}/{TileMatrixSet}/{TileMatrix}/{TileRow}/{TileCol}"/>
        <s v="https://wmts.nlsc.gov.tw/wmts/TOPON1K_Q21/{Style}/{TileMatrixSet}/{TileMatrix}/{TileRow}/{TileCol}"/>
        <s v="https://wmts.nlsc.gov.tw/wmts/TOPON1K_Q22/{Style}/{TileMatrixSet}/{TileMatrix}/{TileRow}/{TileCol}"/>
        <s v="https://wmts.nlsc.gov.tw/wmts/TOPON1K_Q26/{Style}/{TileMatrixSet}/{TileMatrix}/{TileRow}/{TileCol}"/>
        <s v="https://wmts.nlsc.gov.tw/wmts/TOPON1K_Q27/{Style}/{TileMatrixSet}/{TileMatrix}/{TileRow}/{TileCol}"/>
        <s v="https://wmts.nlsc.gov.tw/wmts/TOPON1K_Q28/{Style}/{TileMatrixSet}/{TileMatrix}/{TileRow}/{TileCol}"/>
        <s v="https://wmts.nlsc.gov.tw/wmts/TOPON1K_Q29/{Style}/{TileMatrixSet}/{TileMatrix}/{TileRow}/{TileCol}"/>
        <s v="https://wmts.nlsc.gov.tw/wmts/TOPON1K_Q30/{Style}/{TileMatrixSet}/{TileMatrix}/{TileRow}/{TileCol}"/>
        <s v="https://wmts.nlsc.gov.tw/wmts/TOPON1K_Q31/{Style}/{TileMatrixSet}/{TileMatrix}/{TileRow}/{TileCol}"/>
        <s v="https://wmts.nlsc.gov.tw/wmts/TOPON1K_T01/{Style}/{TileMatrixSet}/{TileMatrix}/{TileRow}/{TileCol}"/>
        <s v="https://wmts.nlsc.gov.tw/wmts/TOPON1K_T03/{Style}/{TileMatrixSet}/{TileMatrix}/{TileRow}/{TileCol}"/>
        <s v="https://wmts.nlsc.gov.tw/wmts/TOPON1K_T08/{Style}/{TileMatrixSet}/{TileMatrix}/{TileRow}/{TileCol}"/>
        <s v="https://wmts.nlsc.gov.tw/wmts/TOPON1K_T20/{Style}/{TileMatrixSet}/{TileMatrix}/{TileRow}/{TileCol}"/>
        <s v="https://wmts.nlsc.gov.tw/wmts/TOPON1K_T30/{Style}/{TileMatrixSet}/{TileMatrix}/{TileRow}/{TileCol}"/>
        <s v="https://wmts.nlsc.gov.tw/wmts/TOPON1K_U20/{Style}/{TileMatrixSet}/{TileMatrix}/{TileRow}/{TileCol}"/>
        <s v="https://wmts.nlsc.gov.tw/wmts/TOPON1K_V01/{Style}/{TileMatrixSet}/{TileMatrix}/{TileRow}/{TileCol}"/>
        <s v="https://wmts.nlsc.gov.tw/wmts/TOPON1K_V02/{Style}/{TileMatrixSet}/{TileMatrix}/{TileRow}/{TileCol}"/>
        <s v="https://wmts.nlsc.gov.tw/wmts/TOPON1K_X01/{Style}/{TileMatrixSet}/{TileMatrix}/{TileRow}/{TileCol}"/>
        <s v="https://wmts.nlsc.gov.tw/wmts/TOPON1K_X02/{Style}/{TileMatrixSet}/{TileMatrix}/{TileRow}/{TileCol}"/>
        <s v="https://wmts.nlsc.gov.tw/wmts/TOPON1K_X03/{Style}/{TileMatrixSet}/{TileMatrix}/{TileRow}/{TileCol}"/>
        <s v="https://wmts.nlsc.gov.tw/wmts/TOPON1K_X04/{Style}/{TileMatrixSet}/{TileMatrix}/{TileRow}/{TileCol}"/>
        <s v="https://wmts.nlsc.gov.tw/wmts/TOPON1K_X05/{Style}/{TileMatrixSet}/{TileMatrix}/{TileRow}/{TileCol}"/>
        <s v="https://wmts.nlsc.gov.tw/wmts/TOPON1K_X06/{Style}/{TileMatrixSet}/{TileMatrix}/{TileRow}/{TileCol}"/>
        <s v="https://wmts.nlsc.gov.tw/wmts/TOPON1K_X07/{Style}/{TileMatrixSet}/{TileMatrix}/{TileRow}/{TileCol}"/>
        <s v="https://wmts.nlsc.gov.tw/wmts/TOPON1K_X08/{Style}/{TileMatrixSet}/{TileMatrix}/{TileRow}/{TileCol}"/>
        <s v="https://wmts.nlsc.gov.tw/wmts/TOPON1KPHOTO_B04/{Style}/{TileMatrixSet}/{TileMatrix}/{TileRow}/{TileCol}"/>
        <s v="https://wmts.nlsc.gov.tw/wmts/TOPON1KPHOTO_B11/{Style}/{TileMatrixSet}/{TileMatrix}/{TileRow}/{TileCol}"/>
        <s v="https://wmts.nlsc.gov.tw/wmts/TOPON1KPHOTO_B14/{Style}/{TileMatrixSet}/{TileMatrix}/{TileRow}/{TileCol}"/>
        <s v="https://wmts.nlsc.gov.tw/wmts/TOPON1KPHOTO_B15/{Style}/{TileMatrixSet}/{TileMatrix}/{TileRow}/{TileCol}"/>
        <s v="https://wmts.nlsc.gov.tw/wmts/TOPON1KPHOTO_B20/{Style}/{TileMatrixSet}/{TileMatrix}/{TileRow}/{TileCol}"/>
        <s v="https://wmts.nlsc.gov.tw/wmts/TOPON1KPHOTO_B22/{Style}/{TileMatrixSet}/{TileMatrix}/{TileRow}/{TileCol}"/>
        <s v="https://wmts.nlsc.gov.tw/wmts/TOPON1KPHOTO_B25/{Style}/{TileMatrixSet}/{TileMatrix}/{TileRow}/{TileCol}"/>
        <s v="https://wmts.nlsc.gov.tw/wmts/TOPON1KPHOTO_D03/{Style}/{TileMatrixSet}/{TileMatrix}/{TileRow}/{TileCol}"/>
        <s v="https://wmts.nlsc.gov.tw/wmts/TOPON1KPHOTO_D04/{Style}/{TileMatrixSet}/{TileMatrix}/{TileRow}/{TileCol}"/>
        <s v="https://wmts.nlsc.gov.tw/wmts/TOPON1KPHOTO_D05/{Style}/{TileMatrixSet}/{TileMatrix}/{TileRow}/{TileCol}"/>
        <s v="https://wmts.nlsc.gov.tw/wmts/TOPON1KPHOTO_D08/{Style}/{TileMatrixSet}/{TileMatrix}/{TileRow}/{TileCol}"/>
        <s v="https://wmts.nlsc.gov.tw/wmts/TOPON1KPHOTO_D12/{Style}/{TileMatrixSet}/{TileMatrix}/{TileRow}/{TileCol}"/>
        <s v="https://wmts.nlsc.gov.tw/wmts/TOPON1KPHOTO_E02/{Style}/{TileMatrixSet}/{TileMatrix}/{TileRow}/{TileCol}"/>
        <s v="https://wmts.nlsc.gov.tw/wmts/TOPON1KPHOTO_E03/{Style}/{TileMatrixSet}/{TileMatrix}/{TileRow}/{TileCol}"/>
        <s v="https://wmts.nlsc.gov.tw/wmts/TOPON1KPHOTO_E32/{Style}/{TileMatrixSet}/{TileMatrix}/{TileRow}/{TileCol}"/>
        <s v="https://wmts.nlsc.gov.tw/wmts/TOPON1KPHOTO_G01/{Style}/{TileMatrixSet}/{TileMatrix}/{TileRow}/{TileCol}"/>
        <s v="https://wmts.nlsc.gov.tw/wmts/TOPON1KPHOTO_G04/{Style}/{TileMatrixSet}/{TileMatrix}/{TileRow}/{TileCol}"/>
        <s v="https://wmts.nlsc.gov.tw/wmts/TOPON1KPHOTO_G06/{Style}/{TileMatrixSet}/{TileMatrix}/{TileRow}/{TileCol}"/>
        <s v="https://wmts.nlsc.gov.tw/wmts/TOPON1KPHOTO_G09/{Style}/{TileMatrixSet}/{TileMatrix}/{TileRow}/{TileCol}"/>
        <s v="https://wmts.nlsc.gov.tw/wmts/TOPON1KPHOTO_G11/{Style}/{TileMatrixSet}/{TileMatrix}/{TileRow}/{TileCol}"/>
        <s v="https://wmts.nlsc.gov.tw/wmts/TOPON1KPHOTO_G15/{Style}/{TileMatrixSet}/{TileMatrix}/{TileRow}/{TileCol}"/>
        <s v="https://wmts.nlsc.gov.tw/wmts/TOPON1KPHOTO_G16/{Style}/{TileMatrixSet}/{TileMatrix}/{TileRow}/{TileCol}"/>
        <s v="https://wmts.nlsc.gov.tw/wmts/TOPON1KPHOTO_G17/{Style}/{TileMatrixSet}/{TileMatrix}/{TileRow}/{TileCol}"/>
        <s v="https://wmts.nlsc.gov.tw/wmts/TOPON1KPHOTO_G18/{Style}/{TileMatrixSet}/{TileMatrix}/{TileRow}/{TileCol}"/>
        <s v="https://wmts.nlsc.gov.tw/wmts/TOPON1KPHOTO_G19/{Style}/{TileMatrixSet}/{TileMatrix}/{TileRow}/{TileCol}"/>
        <s v="https://wmts.nlsc.gov.tw/wmts/TOPON1KPHOTO_G20/{Style}/{TileMatrixSet}/{TileMatrix}/{TileRow}/{TileCol}"/>
        <s v="https://wmts.nlsc.gov.tw/wmts/TOPON1KPHOTO_H18/{Style}/{TileMatrixSet}/{TileMatrix}/{TileRow}/{TileCol}"/>
        <s v="https://wmts.nlsc.gov.tw/wmts/TOPON1KPHOTO_H19/{Style}/{TileMatrixSet}/{TileMatrix}/{TileRow}/{TileCol}"/>
        <s v="https://wmts.nlsc.gov.tw/wmts/TOPON1KPHOTO_H20/{Style}/{TileMatrixSet}/{TileMatrix}/{TileRow}/{TileCol}"/>
        <s v="https://wmts.nlsc.gov.tw/wmts/TOPON1KPHOTO_H21/{Style}/{TileMatrixSet}/{TileMatrix}/{TileRow}/{TileCol}"/>
        <s v="https://wmts.nlsc.gov.tw/wmts/TOPON1KPHOTO_H31/{Style}/{TileMatrixSet}/{TileMatrix}/{TileRow}/{TileCol}"/>
        <s v="https://wmts.nlsc.gov.tw/wmts/TOPON1KPHOTO_J01/{Style}/{TileMatrixSet}/{TileMatrix}/{TileRow}/{TileCol}"/>
        <s v="https://wmts.nlsc.gov.tw/wmts/TOPON1KPHOTO_J06/{Style}/{TileMatrixSet}/{TileMatrix}/{TileRow}/{TileCol}"/>
        <s v="https://wmts.nlsc.gov.tw/wmts/TOPON1KPHOTO_J13/{Style}/{TileMatrixSet}/{TileMatrix}/{TileRow}/{TileCol}"/>
        <s v="https://wmts.nlsc.gov.tw/wmts/TOPON1KPHOTO_J16/{Style}/{TileMatrixSet}/{TileMatrix}/{TileRow}/{TileCol}"/>
        <s v="https://wmts.nlsc.gov.tw/wmts/TOPON1KPHOTO_J17/{Style}/{TileMatrixSet}/{TileMatrix}/{TileRow}/{TileCol}"/>
        <s v="https://wmts.nlsc.gov.tw/wmts/TOPON1KPHOTO_K01/{Style}/{TileMatrixSet}/{TileMatrix}/{TileRow}/{TileCol}"/>
        <s v="https://wmts.nlsc.gov.tw/wmts/TOPON1KPHOTO_K02/{Style}/{TileMatrixSet}/{TileMatrix}/{TileRow}/{TileCol}"/>
        <s v="https://wmts.nlsc.gov.tw/wmts/TOPON1KPHOTO_K14/{Style}/{TileMatrixSet}/{TileMatrix}/{TileRow}/{TileCol}"/>
        <s v="https://wmts.nlsc.gov.tw/wmts/TOPON1KPHOTO_M01/{Style}/{TileMatrixSet}/{TileMatrix}/{TileRow}/{TileCol}"/>
        <s v="https://wmts.nlsc.gov.tw/wmts/TOPON1KPHOTO_M02/{Style}/{TileMatrixSet}/{TileMatrix}/{TileRow}/{TileCol}"/>
        <s v="https://wmts.nlsc.gov.tw/wmts/TOPON1KPHOTO_M04/{Style}/{TileMatrixSet}/{TileMatrix}/{TileRow}/{TileCol}"/>
        <s v="https://wmts.nlsc.gov.tw/wmts/TOPON1KPHOTO_N01/{Style}/{TileMatrixSet}/{TileMatrix}/{TileRow}/{TileCol}"/>
        <s v="https://wmts.nlsc.gov.tw/wmts/TOPON1KPHOTO_N02/{Style}/{TileMatrixSet}/{TileMatrix}/{TileRow}/{TileCol}"/>
        <s v="https://wmts.nlsc.gov.tw/wmts/TOPON1KPHOTO_P01/{Style}/{TileMatrixSet}/{TileMatrix}/{TileRow}/{TileCol}"/>
        <s v="https://wmts.nlsc.gov.tw/wmts/TOPON1KPHOTO_P10/{Style}/{TileMatrixSet}/{TileMatrix}/{TileRow}/{TileCol}"/>
        <s v="https://wmts.nlsc.gov.tw/wmts/TOPON1KPHOTO_P12/{Style}/{TileMatrixSet}/{TileMatrix}/{TileRow}/{TileCol}"/>
        <s v="https://wmts.nlsc.gov.tw/wmts/TOPON1KPHOTO_P13/{Style}/{TileMatrixSet}/{TileMatrix}/{TileRow}/{TileCol}"/>
        <s v="https://wmts.nlsc.gov.tw/wmts/TOPON1KPHOTO_P22/{Style}/{TileMatrixSet}/{TileMatrix}/{TileRow}/{TileCol}"/>
        <s v="https://wmts.nlsc.gov.tw/wmts/TOPON1KPHOTO_P24/{Style}/{TileMatrixSet}/{TileMatrix}/{TileRow}/{TileCol}"/>
        <s v="https://wmts.nlsc.gov.tw/wmts/TOPON1KPHOTO_P25/{Style}/{TileMatrixSet}/{TileMatrix}/{TileRow}/{TileCol}"/>
        <s v="https://wmts.nlsc.gov.tw/wmts/TOPON1KPHOTO_Q02/{Style}/{TileMatrixSet}/{TileMatrix}/{TileRow}/{TileCol}"/>
        <s v="https://wmts.nlsc.gov.tw/wmts/TOPON1KPHOTO_Q06/{Style}/{TileMatrixSet}/{TileMatrix}/{TileRow}/{TileCol}"/>
        <s v="https://wmts.nlsc.gov.tw/wmts/TOPON1KPHOTO_Q07/{Style}/{TileMatrixSet}/{TileMatrix}/{TileRow}/{TileCol}"/>
        <s v="https://wmts.nlsc.gov.tw/wmts/TOPON1KPHOTO_Q19/{Style}/{TileMatrixSet}/{TileMatrix}/{TileRow}/{TileCol}"/>
        <s v="https://wmts.nlsc.gov.tw/wmts/TOPON1KPHOTO_Q21/{Style}/{TileMatrixSet}/{TileMatrix}/{TileRow}/{TileCol}"/>
        <s v="https://wmts.nlsc.gov.tw/wmts/TOPON1KPHOTO_Q22/{Style}/{TileMatrixSet}/{TileMatrix}/{TileRow}/{TileCol}"/>
        <s v="https://wmts.nlsc.gov.tw/wmts/TOPON1KPHOTO_Q26/{Style}/{TileMatrixSet}/{TileMatrix}/{TileRow}/{TileCol}"/>
        <s v="https://wmts.nlsc.gov.tw/wmts/TOPON1KPHOTO_Q27/{Style}/{TileMatrixSet}/{TileMatrix}/{TileRow}/{TileCol}"/>
        <s v="https://wmts.nlsc.gov.tw/wmts/TOPON1KPHOTO_Q28/{Style}/{TileMatrixSet}/{TileMatrix}/{TileRow}/{TileCol}"/>
        <s v="https://wmts.nlsc.gov.tw/wmts/TOPON1KPHOTO_Q29/{Style}/{TileMatrixSet}/{TileMatrix}/{TileRow}/{TileCol}"/>
        <s v="https://wmts.nlsc.gov.tw/wmts/TOPON1KPHOTO_Q30/{Style}/{TileMatrixSet}/{TileMatrix}/{TileRow}/{TileCol}"/>
        <s v="https://wmts.nlsc.gov.tw/wmts/TOPON1KPHOTO_Q31/{Style}/{TileMatrixSet}/{TileMatrix}/{TileRow}/{TileCol}"/>
        <s v="https://wmts.nlsc.gov.tw/wmts/TOPON1KPHOTO_T01/{Style}/{TileMatrixSet}/{TileMatrix}/{TileRow}/{TileCol}"/>
        <s v="https://wmts.nlsc.gov.tw/wmts/TOPON1KPHOTO_T03/{Style}/{TileMatrixSet}/{TileMatrix}/{TileRow}/{TileCol}"/>
        <s v="https://wmts.nlsc.gov.tw/wmts/TOPON1KPHOTO_T08/{Style}/{TileMatrixSet}/{TileMatrix}/{TileRow}/{TileCol}"/>
        <s v="https://wmts.nlsc.gov.tw/wmts/TOPON1KPHOTO_T20/{Style}/{TileMatrixSet}/{TileMatrix}/{TileRow}/{TileCol}"/>
        <s v="https://wmts.nlsc.gov.tw/wmts/TOPON1KPHOTO_T30/{Style}/{TileMatrixSet}/{TileMatrix}/{TileRow}/{TileCol}"/>
        <s v="https://wmts.nlsc.gov.tw/wmts/TOPON1KPHOTO_U20/{Style}/{TileMatrixSet}/{TileMatrix}/{TileRow}/{TileCol}"/>
        <s v="https://wmts.nlsc.gov.tw/wmts/TOPON1KPHOTO_V01/{Style}/{TileMatrixSet}/{TileMatrix}/{TileRow}/{TileCol}"/>
        <s v="https://wmts.nlsc.gov.tw/wmts/TOPON1KPHOTO_V02/{Style}/{TileMatrixSet}/{TileMatrix}/{TileRow}/{TileCol}"/>
        <s v="https://wmts.nlsc.gov.tw/wmts/TOPON1KPHOTO_X01/{Style}/{TileMatrixSet}/{TileMatrix}/{TileRow}/{TileCol}"/>
        <s v="https://wmts.nlsc.gov.tw/wmts/TOPON1KPHOTO_X02/{Style}/{TileMatrixSet}/{TileMatrix}/{TileRow}/{TileCol}"/>
        <s v="https://wmts.nlsc.gov.tw/wmts/TOPON1KPHOTO_X03/{Style}/{TileMatrixSet}/{TileMatrix}/{TileRow}/{TileCol}"/>
        <s v="https://wmts.nlsc.gov.tw/wmts/TOPON1KPHOTO_X04/{Style}/{TileMatrixSet}/{TileMatrix}/{TileRow}/{TileCol}"/>
        <s v="https://wmts.nlsc.gov.tw/wmts/TOPON1KPHOTO_X05/{Style}/{TileMatrixSet}/{TileMatrix}/{TileRow}/{TileCol}"/>
        <s v="https://wmts.nlsc.gov.tw/wmts/TOPON1KPHOTO_X06/{Style}/{TileMatrixSet}/{TileMatrix}/{TileRow}/{TileCol}"/>
        <s v="https://wmts.nlsc.gov.tw/wmts/TOPON1KPHOTO_X07/{Style}/{TileMatrixSet}/{TileMatrix}/{TileRow}/{TileCol}"/>
        <s v="https://wmts.nlsc.gov.tw/wmts/TOPON1KPHOTO_X08/{Style}/{TileMatrixSet}/{TileMatrix}/{TileRow}/{TileCol}"/>
        <s v="https://wmts.nlsc.gov.tw/wmts/TOWN/{Style}/{TileMatrixSet}/{TileMatrix}/{TileRow}/{TileCol}"/>
        <s v="https://wmts.nlsc.gov.tw/wmts/UAV101D01/{Style}/{TileMatrixSet}/{TileMatrix}/{TileRow}/{TileCol}"/>
        <s v="https://wmts.nlsc.gov.tw/wmts/UAV101D02/{Style}/{TileMatrixSet}/{TileMatrix}/{TileRow}/{TileCol}"/>
        <s v="https://wmts.nlsc.gov.tw/wmts/UAV101K01/{Style}/{TileMatrixSet}/{TileMatrix}/{TileRow}/{TileCol}"/>
        <s v="https://wmts.nlsc.gov.tw/wmts/UAV101K02/{Style}/{TileMatrixSet}/{TileMatrix}/{TileRow}/{TileCol}"/>
        <s v="https://wmts.nlsc.gov.tw/wmts/UAV101Q01/{Style}/{TileMatrixSet}/{TileMatrix}/{TileRow}/{TileCol}"/>
        <s v="https://wmts.nlsc.gov.tw/wmts/UAV101T01/{Style}/{TileMatrixSet}/{TileMatrix}/{TileRow}/{TileCol}"/>
        <s v="https://wmts.nlsc.gov.tw/wmts/UAV101U01/{Style}/{TileMatrixSet}/{TileMatrix}/{TileRow}/{TileCol}"/>
        <s v="https://wmts.nlsc.gov.tw/wmts/UAV101U02/{Style}/{TileMatrixSet}/{TileMatrix}/{TileRow}/{TileCol}"/>
        <s v="https://wmts.nlsc.gov.tw/wmts/UAV101V01/{Style}/{TileMatrixSet}/{TileMatrix}/{TileRow}/{TileCol}"/>
        <s v="https://wmts.nlsc.gov.tw/wmts/UAV102D01/{Style}/{TileMatrixSet}/{TileMatrix}/{TileRow}/{TileCol}"/>
        <s v="https://wmts.nlsc.gov.tw/wmts/UAV102D02/{Style}/{TileMatrixSet}/{TileMatrix}/{TileRow}/{TileCol}"/>
        <s v="https://wmts.nlsc.gov.tw/wmts/UAV102D03/{Style}/{TileMatrixSet}/{TileMatrix}/{TileRow}/{TileCol}"/>
        <s v="https://wmts.nlsc.gov.tw/wmts/UAV102H01/{Style}/{TileMatrixSet}/{TileMatrix}/{TileRow}/{TileCol}"/>
        <s v="https://wmts.nlsc.gov.tw/wmts/UAV102M01/{Style}/{TileMatrixSet}/{TileMatrix}/{TileRow}/{TileCol}"/>
        <s v="https://wmts.nlsc.gov.tw/wmts/UAV102N01/{Style}/{TileMatrixSet}/{TileMatrix}/{TileRow}/{TileCol}"/>
        <s v="https://wmts.nlsc.gov.tw/wmts/UAV102Q01/{Style}/{TileMatrixSet}/{TileMatrix}/{TileRow}/{TileCol}"/>
        <s v="https://wmts.nlsc.gov.tw/wmts/UAV102Q02/{Style}/{TileMatrixSet}/{TileMatrix}/{TileRow}/{TileCol}"/>
        <s v="https://wmts.nlsc.gov.tw/wmts/UAV102T01/{Style}/{TileMatrixSet}/{TileMatrix}/{TileRow}/{TileCol}"/>
        <s v="https://wmts.nlsc.gov.tw/wmts/UAV102T02/{Style}/{TileMatrixSet}/{TileMatrix}/{TileRow}/{TileCol}"/>
        <s v="https://wmts.nlsc.gov.tw/wmts/UAV102V01/{Style}/{TileMatrixSet}/{TileMatrix}/{TileRow}/{TileCol}"/>
        <s v="https://wmts.nlsc.gov.tw/wmts/UAV103D01/{Style}/{TileMatrixSet}/{TileMatrix}/{TileRow}/{TileCol}"/>
        <s v="https://wmts.nlsc.gov.tw/wmts/UAV103D03/{Style}/{TileMatrixSet}/{TileMatrix}/{TileRow}/{TileCol}"/>
        <s v="https://wmts.nlsc.gov.tw/wmts/UAV103D04/{Style}/{TileMatrixSet}/{TileMatrix}/{TileRow}/{TileCol}"/>
        <s v="https://wmts.nlsc.gov.tw/wmts/UAV103H01/{Style}/{TileMatrixSet}/{TileMatrix}/{TileRow}/{TileCol}"/>
        <s v="https://wmts.nlsc.gov.tw/wmts/UAV103K01/{Style}/{TileMatrixSet}/{TileMatrix}/{TileRow}/{TileCol}"/>
        <s v="https://wmts.nlsc.gov.tw/wmts/UAV103M01/{Style}/{TileMatrixSet}/{TileMatrix}/{TileRow}/{TileCol}"/>
        <s v="https://wmts.nlsc.gov.tw/wmts/UAV103M02/{Style}/{TileMatrixSet}/{TileMatrix}/{TileRow}/{TileCol}"/>
        <s v="https://wmts.nlsc.gov.tw/wmts/UAV103M03/{Style}/{TileMatrixSet}/{TileMatrix}/{TileRow}/{TileCol}"/>
        <s v="https://wmts.nlsc.gov.tw/wmts/UAV103M04/{Style}/{TileMatrixSet}/{TileMatrix}/{TileRow}/{TileCol}"/>
        <s v="https://wmts.nlsc.gov.tw/wmts/UAV103N01/{Style}/{TileMatrixSet}/{TileMatrix}/{TileRow}/{TileCol}"/>
        <s v="https://wmts.nlsc.gov.tw/wmts/UAV103P01/{Style}/{TileMatrixSet}/{TileMatrix}/{TileRow}/{TileCol}"/>
        <s v="https://wmts.nlsc.gov.tw/wmts/UAV103Q01/{Style}/{TileMatrixSet}/{TileMatrix}/{TileRow}/{TileCol}"/>
        <s v="https://wmts.nlsc.gov.tw/wmts/UAV103T01/{Style}/{TileMatrixSet}/{TileMatrix}/{TileRow}/{TileCol}"/>
        <s v="https://wmts.nlsc.gov.tw/wmts/UAV104D02/{Style}/{TileMatrixSet}/{TileMatrix}/{TileRow}/{TileCol}"/>
        <s v="https://wmts.nlsc.gov.tw/wmts/UAV104D03/{Style}/{TileMatrixSet}/{TileMatrix}/{TileRow}/{TileCol}"/>
        <s v="https://wmts.nlsc.gov.tw/wmts/UAV104D04/{Style}/{TileMatrixSet}/{TileMatrix}/{TileRow}/{TileCol}"/>
        <s v="https://wmts.nlsc.gov.tw/wmts/UAV104E01/{Style}/{TileMatrixSet}/{TileMatrix}/{TileRow}/{TileCol}"/>
        <s v="https://wmts.nlsc.gov.tw/wmts/UAV104E02/{Style}/{TileMatrixSet}/{TileMatrix}/{TileRow}/{TileCol}"/>
        <s v="https://wmts.nlsc.gov.tw/wmts/UAV104E03/{Style}/{TileMatrixSet}/{TileMatrix}/{TileRow}/{TileCol}"/>
        <s v="https://wmts.nlsc.gov.tw/wmts/UAV104K01/{Style}/{TileMatrixSet}/{TileMatrix}/{TileRow}/{TileCol}"/>
        <s v="https://wmts.nlsc.gov.tw/wmts/UAV104K02/{Style}/{TileMatrixSet}/{TileMatrix}/{TileRow}/{TileCol}"/>
        <s v="https://wmts.nlsc.gov.tw/wmts/UAV104N01/{Style}/{TileMatrixSet}/{TileMatrix}/{TileRow}/{TileCol}"/>
        <s v="https://wmts.nlsc.gov.tw/wmts/UAV104P01/{Style}/{TileMatrixSet}/{TileMatrix}/{TileRow}/{TileCol}"/>
        <s v="https://wmts.nlsc.gov.tw/wmts/UAV104T01/{Style}/{TileMatrixSet}/{TileMatrix}/{TileRow}/{TileCol}"/>
        <s v="https://wmts.nlsc.gov.tw/wmts/UAV105A01/{Style}/{TileMatrixSet}/{TileMatrix}/{TileRow}/{TileCol}"/>
        <s v="https://wmts.nlsc.gov.tw/wmts/UAV105A02/{Style}/{TileMatrixSet}/{TileMatrix}/{TileRow}/{TileCol}"/>
        <s v="https://wmts.nlsc.gov.tw/wmts/UAV105A03/{Style}/{TileMatrixSet}/{TileMatrix}/{TileRow}/{TileCol}"/>
        <s v="https://wmts.nlsc.gov.tw/wmts/UAV105B01/{Style}/{TileMatrixSet}/{TileMatrix}/{TileRow}/{TileCol}"/>
        <s v="https://wmts.nlsc.gov.tw/wmts/UAV105B02/{Style}/{TileMatrixSet}/{TileMatrix}/{TileRow}/{TileCol}"/>
        <s v="https://wmts.nlsc.gov.tw/wmts/UAV105B03/{Style}/{TileMatrixSet}/{TileMatrix}/{TileRow}/{TileCol}"/>
        <s v="https://wmts.nlsc.gov.tw/wmts/UAV105B04/{Style}/{TileMatrixSet}/{TileMatrix}/{TileRow}/{TileCol}"/>
        <s v="https://wmts.nlsc.gov.tw/wmts/UAV105B05/{Style}/{TileMatrixSet}/{TileMatrix}/{TileRow}/{TileCol}"/>
        <s v="https://wmts.nlsc.gov.tw/wmts/UAV105B06/{Style}/{TileMatrixSet}/{TileMatrix}/{TileRow}/{TileCol}"/>
        <s v="https://wmts.nlsc.gov.tw/wmts/UAV105B07/{Style}/{TileMatrixSet}/{TileMatrix}/{TileRow}/{TileCol}"/>
        <s v="https://wmts.nlsc.gov.tw/wmts/UAV105B08/{Style}/{TileMatrixSet}/{TileMatrix}/{TileRow}/{TileCol}"/>
        <s v="https://wmts.nlsc.gov.tw/wmts/UAV105B09/{Style}/{TileMatrixSet}/{TileMatrix}/{TileRow}/{TileCol}"/>
        <s v="https://wmts.nlsc.gov.tw/wmts/UAV105B10/{Style}/{TileMatrixSet}/{TileMatrix}/{TileRow}/{TileCol}"/>
        <s v="https://wmts.nlsc.gov.tw/wmts/UAV105B11/{Style}/{TileMatrixSet}/{TileMatrix}/{TileRow}/{TileCol}"/>
        <s v="https://wmts.nlsc.gov.tw/wmts/UAV105B12/{Style}/{TileMatrixSet}/{TileMatrix}/{TileRow}/{TileCol}"/>
        <s v="https://wmts.nlsc.gov.tw/wmts/UAV105B13/{Style}/{TileMatrixSet}/{TileMatrix}/{TileRow}/{TileCol}"/>
        <s v="https://wmts.nlsc.gov.tw/wmts/UAV105B14/{Style}/{TileMatrixSet}/{TileMatrix}/{TileRow}/{TileCol}"/>
        <s v="https://wmts.nlsc.gov.tw/wmts/UAV105B15/{Style}/{TileMatrixSet}/{TileMatrix}/{TileRow}/{TileCol}"/>
        <s v="https://wmts.nlsc.gov.tw/wmts/UAV105H01/{Style}/{TileMatrixSet}/{TileMatrix}/{TileRow}/{TileCol}"/>
        <s v="https://wmts.nlsc.gov.tw/wmts/UAV105H02/{Style}/{TileMatrixSet}/{TileMatrix}/{TileRow}/{TileCol}"/>
        <s v="https://wmts.nlsc.gov.tw/wmts/UAV105H03/{Style}/{TileMatrixSet}/{TileMatrix}/{TileRow}/{TileCol}"/>
        <s v="https://wmts.nlsc.gov.tw/wmts/UAV105H04/{Style}/{TileMatrixSet}/{TileMatrix}/{TileRow}/{TileCol}"/>
        <s v="https://wmts.nlsc.gov.tw/wmts/UAV105M01/{Style}/{TileMatrixSet}/{TileMatrix}/{TileRow}/{TileCol}"/>
        <s v="https://wmts.nlsc.gov.tw/wmts/UAV105M02/{Style}/{TileMatrixSet}/{TileMatrix}/{TileRow}/{TileCol}"/>
        <s v="https://wmts.nlsc.gov.tw/wmts/UAV105N01/{Style}/{TileMatrixSet}/{TileMatrix}/{TileRow}/{TileCol}"/>
        <s v="https://wmts.nlsc.gov.tw/wmts/UAV105O01/{Style}/{TileMatrixSet}/{TileMatrix}/{TileRow}/{TileCol}"/>
        <s v="https://wmts.nlsc.gov.tw/wmts/UAV105P01/{Style}/{TileMatrixSet}/{TileMatrix}/{TileRow}/{TileCol}"/>
        <s v="https://wmts.nlsc.gov.tw/wmts/UAV105P02/{Style}/{TileMatrixSet}/{TileMatrix}/{TileRow}/{TileCol}"/>
        <s v="https://wmts.nlsc.gov.tw/wmts/UAV105P03/{Style}/{TileMatrixSet}/{TileMatrix}/{TileRow}/{TileCol}"/>
        <s v="https://wmts.nlsc.gov.tw/wmts/UAV105U01/{Style}/{TileMatrixSet}/{TileMatrix}/{TileRow}/{TileCol}"/>
        <s v="https://wmts.nlsc.gov.tw/wmts/UAV106A01/{Style}/{TileMatrixSet}/{TileMatrix}/{TileRow}/{TileCol}"/>
        <s v="https://wmts.nlsc.gov.tw/wmts/UAV106A02/{Style}/{TileMatrixSet}/{TileMatrix}/{TileRow}/{TileCol}"/>
        <s v="https://wmts.nlsc.gov.tw/wmts/UAV106A03/{Style}/{TileMatrixSet}/{TileMatrix}/{TileRow}/{TileCol}"/>
        <s v="https://wmts.nlsc.gov.tw/wmts/UAV106D01/{Style}/{TileMatrixSet}/{TileMatrix}/{TileRow}/{TileCol}"/>
        <s v="https://wmts.nlsc.gov.tw/wmts/UAV106D02/{Style}/{TileMatrixSet}/{TileMatrix}/{TileRow}/{TileCol}"/>
        <s v="https://wmts.nlsc.gov.tw/wmts/UAV106D03/{Style}/{TileMatrixSet}/{TileMatrix}/{TileRow}/{TileCol}"/>
        <s v="https://wmts.nlsc.gov.tw/wmts/UAV106F01/{Style}/{TileMatrixSet}/{TileMatrix}/{TileRow}/{TileCol}"/>
        <s v="https://wmts.nlsc.gov.tw/wmts/UAV106F02/{Style}/{TileMatrixSet}/{TileMatrix}/{TileRow}/{TileCol}"/>
        <s v="https://wmts.nlsc.gov.tw/wmts/UAV106H01/{Style}/{TileMatrixSet}/{TileMatrix}/{TileRow}/{TileCol}"/>
        <s v="https://wmts.nlsc.gov.tw/wmts/UAV106H02/{Style}/{TileMatrixSet}/{TileMatrix}/{TileRow}/{TileCol}"/>
        <s v="https://wmts.nlsc.gov.tw/wmts/UAV106H03/{Style}/{TileMatrixSet}/{TileMatrix}/{TileRow}/{TileCol}"/>
        <s v="https://wmts.nlsc.gov.tw/wmts/UAV106I01/{Style}/{TileMatrixSet}/{TileMatrix}/{TileRow}/{TileCol}"/>
        <s v="https://wmts.nlsc.gov.tw/wmts/UAV106I02/{Style}/{TileMatrixSet}/{TileMatrix}/{TileRow}/{TileCol}"/>
        <s v="https://wmts.nlsc.gov.tw/wmts/UAV106K01/{Style}/{TileMatrixSet}/{TileMatrix}/{TileRow}/{TileCol}"/>
        <s v="https://wmts.nlsc.gov.tw/wmts/UAV106M01/{Style}/{TileMatrixSet}/{TileMatrix}/{TileRow}/{TileCol}"/>
        <s v="https://wmts.nlsc.gov.tw/wmts/UAV106N01/{Style}/{TileMatrixSet}/{TileMatrix}/{TileRow}/{TileCol}"/>
        <s v="https://wmts.nlsc.gov.tw/wmts/UAV106O01/{Style}/{TileMatrixSet}/{TileMatrix}/{TileRow}/{TileCol}"/>
        <s v="https://wmts.nlsc.gov.tw/wmts/UAV106P01/{Style}/{TileMatrixSet}/{TileMatrix}/{TileRow}/{TileCol}"/>
        <s v="https://wmts.nlsc.gov.tw/wmts/UAV106U01/{Style}/{TileMatrixSet}/{TileMatrix}/{TileRow}/{TileCol}"/>
        <s v="https://wmts.nlsc.gov.tw/wmts/UAV107A01/{Style}/{TileMatrixSet}/{TileMatrix}/{TileRow}/{TileCol}"/>
        <s v="https://wmts.nlsc.gov.tw/wmts/UAV107A02/{Style}/{TileMatrixSet}/{TileMatrix}/{TileRow}/{TileCol}"/>
        <s v="https://wmts.nlsc.gov.tw/wmts/UAV107A03/{Style}/{TileMatrixSet}/{TileMatrix}/{TileRow}/{TileCol}"/>
        <s v="https://wmts.nlsc.gov.tw/wmts/UAV107B01/{Style}/{TileMatrixSet}/{TileMatrix}/{TileRow}/{TileCol}"/>
        <s v="https://wmts.nlsc.gov.tw/wmts/UAV107B02/{Style}/{TileMatrixSet}/{TileMatrix}/{TileRow}/{TileCol}"/>
        <s v="https://wmts.nlsc.gov.tw/wmts/UAV107D01/{Style}/{TileMatrixSet}/{TileMatrix}/{TileRow}/{TileCol}"/>
        <s v="https://wmts.nlsc.gov.tw/wmts/UAV107F01/{Style}/{TileMatrixSet}/{TileMatrix}/{TileRow}/{TileCol}"/>
        <s v="https://wmts.nlsc.gov.tw/wmts/UAV107G01/{Style}/{TileMatrixSet}/{TileMatrix}/{TileRow}/{TileCol}"/>
        <s v="https://wmts.nlsc.gov.tw/wmts/UAV107J01/{Style}/{TileMatrixSet}/{TileMatrix}/{TileRow}/{TileCol}"/>
        <s v="https://wmts.nlsc.gov.tw/wmts/UAV107J02/{Style}/{TileMatrixSet}/{TileMatrix}/{TileRow}/{TileCol}"/>
        <s v="https://wmts.nlsc.gov.tw/wmts/UAV107K01/{Style}/{TileMatrixSet}/{TileMatrix}/{TileRow}/{TileCol}"/>
        <s v="https://wmts.nlsc.gov.tw/wmts/UAV107K02/{Style}/{TileMatrixSet}/{TileMatrix}/{TileRow}/{TileCol}"/>
        <s v="https://wmts.nlsc.gov.tw/wmts/UAV107O01/{Style}/{TileMatrixSet}/{TileMatrix}/{TileRow}/{TileCol}"/>
        <s v="https://wmts.nlsc.gov.tw/wmts/UAV107T01/{Style}/{TileMatrixSet}/{TileMatrix}/{TileRow}/{TileCol}"/>
        <s v="https://wmts.nlsc.gov.tw/wmts/UAV107T02/{Style}/{TileMatrixSet}/{TileMatrix}/{TileRow}/{TileCol}"/>
        <s v="https://wmts.nlsc.gov.tw/wmts/UAV108A01/{Style}/{TileMatrixSet}/{TileMatrix}/{TileRow}/{TileCol}"/>
        <s v="https://wmts.nlsc.gov.tw/wmts/UAV108A02/{Style}/{TileMatrixSet}/{TileMatrix}/{TileRow}/{TileCol}"/>
        <s v="https://wmts.nlsc.gov.tw/wmts/UAV108A03/{Style}/{TileMatrixSet}/{TileMatrix}/{TileRow}/{TileCol}"/>
        <s v="https://wmts.nlsc.gov.tw/wmts/UAV108B01/{Style}/{TileMatrixSet}/{TileMatrix}/{TileRow}/{TileCol}"/>
        <s v="https://wmts.nlsc.gov.tw/wmts/UAV108D01/{Style}/{TileMatrixSet}/{TileMatrix}/{TileRow}/{TileCol}"/>
        <s v="https://wmts.nlsc.gov.tw/wmts/UAV108D02/{Style}/{TileMatrixSet}/{TileMatrix}/{TileRow}/{TileCol}"/>
        <s v="https://wmts.nlsc.gov.tw/wmts/UAV108D03/{Style}/{TileMatrixSet}/{TileMatrix}/{TileRow}/{TileCol}"/>
        <s v="https://wmts.nlsc.gov.tw/wmts/UAV108D04/{Style}/{TileMatrixSet}/{TileMatrix}/{TileRow}/{TileCol}"/>
        <s v="https://wmts.nlsc.gov.tw/wmts/UAV108D05/{Style}/{TileMatrixSet}/{TileMatrix}/{TileRow}/{TileCol}"/>
        <s v="https://wmts.nlsc.gov.tw/wmts/UAV108E01/{Style}/{TileMatrixSet}/{TileMatrix}/{TileRow}/{TileCol}"/>
        <s v="https://wmts.nlsc.gov.tw/wmts/UAV108G01/{Style}/{TileMatrixSet}/{TileMatrix}/{TileRow}/{TileCol}"/>
        <s v="https://wmts.nlsc.gov.tw/wmts/UAV108Q01/{Style}/{TileMatrixSet}/{TileMatrix}/{TileRow}/{TileCol}"/>
        <s v="https://wmts.nlsc.gov.tw/wmts/UAV108Q02/{Style}/{TileMatrixSet}/{TileMatrix}/{TileRow}/{TileCol}"/>
        <s v="https://wmts.nlsc.gov.tw/wmts/UAV109A01/{Style}/{TileMatrixSet}/{TileMatrix}/{TileRow}/{TileCol}"/>
        <s v="https://wmts.nlsc.gov.tw/wmts/UAV109B01/{Style}/{TileMatrixSet}/{TileMatrix}/{TileRow}/{TileCol}"/>
        <s v="https://wmts.nlsc.gov.tw/wmts/UAV109D01/{Style}/{TileMatrixSet}/{TileMatrix}/{TileRow}/{TileCol}"/>
        <s v="https://wmts.nlsc.gov.tw/wmts/UAV109E01/{Style}/{TileMatrixSet}/{TileMatrix}/{TileRow}/{TileCol}"/>
        <s v="https://wmts.nlsc.gov.tw/wmts/UAV109K01/{Style}/{TileMatrixSet}/{TileMatrix}/{TileRow}/{TileCol}"/>
        <s v="https://wmts.nlsc.gov.tw/wmts/UAV109K02/{Style}/{TileMatrixSet}/{TileMatrix}/{TileRow}/{TileCol}"/>
        <s v="https://wmts.nlsc.gov.tw/wmts/UAV109P01/{Style}/{TileMatrixSet}/{TileMatrix}/{TileRow}/{TileCol}"/>
        <s v="https://wmts.nlsc.gov.tw/wmts/UAV109Q01/{Style}/{TileMatrixSet}/{TileMatrix}/{TileRow}/{TileCol}"/>
        <s v="https://wmts.nlsc.gov.tw/wmts/UAV109T01/{Style}/{TileMatrixSet}/{TileMatrix}/{TileRow}/{TileCol}"/>
        <s v="https://wmts.nlsc.gov.tw/wmts/UAV109T02/{Style}/{TileMatrixSet}/{TileMatrix}/{TileRow}/{TileCol}"/>
        <s v="https://wmts.nlsc.gov.tw/wmts/UAV109T03/{Style}/{TileMatrixSet}/{TileMatrix}/{TileRow}/{TileCol}"/>
        <s v="https://wmts.nlsc.gov.tw/wmts/UAV109U01/{Style}/{TileMatrixSet}/{TileMatrix}/{TileRow}/{TileCol}"/>
        <s v="https://wmts.nlsc.gov.tw/wmts/UAV109U02/{Style}/{TileMatrixSet}/{TileMatrix}/{TileRow}/{TileCol}"/>
        <s v="https://wmts.nlsc.gov.tw/wmts/UAV109U03/{Style}/{TileMatrixSet}/{TileMatrix}/{TileRow}/{TileCol}"/>
        <s v="https://wmts.nlsc.gov.tw/wmts/UAV110A01/{Style}/{TileMatrixSet}/{TileMatrix}/{TileRow}/{TileCol}"/>
        <s v="https://wmts.nlsc.gov.tw/wmts/UAV110B01/{Style}/{TileMatrixSet}/{TileMatrix}/{TileRow}/{TileCol}"/>
        <s v="https://wmts.nlsc.gov.tw/wmts/UAV110B02/{Style}/{TileMatrixSet}/{TileMatrix}/{TileRow}/{TileCol}"/>
        <s v="https://wmts.nlsc.gov.tw/wmts/UAV110B03/{Style}/{TileMatrixSet}/{TileMatrix}/{TileRow}/{TileCol}"/>
        <s v="https://wmts.nlsc.gov.tw/wmts/UAV110D01/{Style}/{TileMatrixSet}/{TileMatrix}/{TileRow}/{TileCol}"/>
        <s v="https://wmts.nlsc.gov.tw/wmts/UAV110D02/{Style}/{TileMatrixSet}/{TileMatrix}/{TileRow}/{TileCol}"/>
        <s v="https://wmts.nlsc.gov.tw/wmts/UAV110D03/{Style}/{TileMatrixSet}/{TileMatrix}/{TileRow}/{TileCol}"/>
        <s v="https://wmts.nlsc.gov.tw/wmts/UAV110D04/{Style}/{TileMatrixSet}/{TileMatrix}/{TileRow}/{TileCol}"/>
        <s v="https://wmts.nlsc.gov.tw/wmts/UAV110D05/{Style}/{TileMatrixSet}/{TileMatrix}/{TileRow}/{TileCol}"/>
        <s v="https://wmts.nlsc.gov.tw/wmts/UAV110D06/{Style}/{TileMatrixSet}/{TileMatrix}/{TileRow}/{TileCol}"/>
        <s v="https://wmts.nlsc.gov.tw/wmts/UAV110D07/{Style}/{TileMatrixSet}/{TileMatrix}/{TileRow}/{TileCol}"/>
        <s v="https://wmts.nlsc.gov.tw/wmts/UAV110D08/{Style}/{TileMatrixSet}/{TileMatrix}/{TileRow}/{TileCol}"/>
        <s v="https://wmts.nlsc.gov.tw/wmts/UAV110E02/{Style}/{TileMatrixSet}/{TileMatrix}/{TileRow}/{TileCol}"/>
        <s v="https://wmts.nlsc.gov.tw/wmts/UAV110N01/{Style}/{TileMatrixSet}/{TileMatrix}/{TileRow}/{TileCol}"/>
        <s v="https://wmts.nlsc.gov.tw/wmts/UAV110Q01/{Style}/{TileMatrixSet}/{TileMatrix}/{TileRow}/{TileCol}"/>
        <s v="https://wmts.nlsc.gov.tw/wmts/UAV110Q02/{Style}/{TileMatrixSet}/{TileMatrix}/{TileRow}/{TileCol}"/>
        <s v="https://wmts.nlsc.gov.tw/wmts/UAV111A02/{Style}/{TileMatrixSet}/{TileMatrix}/{TileRow}/{TileCol}"/>
        <s v="https://wmts.nlsc.gov.tw/wmts/UAV111A03/{Style}/{TileMatrixSet}/{TileMatrix}/{TileRow}/{TileCol}"/>
        <s v="https://wmts.nlsc.gov.tw/wmts/UAV111A04/{Style}/{TileMatrixSet}/{TileMatrix}/{TileRow}/{TileCol}"/>
        <s v="https://wmts.nlsc.gov.tw/wmts/UAV111A05/{Style}/{TileMatrixSet}/{TileMatrix}/{TileRow}/{TileCol}"/>
        <s v="https://wmts.nlsc.gov.tw/wmts/UAV111A06/{Style}/{TileMatrixSet}/{TileMatrix}/{TileRow}/{TileCol}"/>
        <s v="https://wmts.nlsc.gov.tw/wmts/UAV111D01/{Style}/{TileMatrixSet}/{TileMatrix}/{TileRow}/{TileCol}"/>
        <s v="https://wmts.nlsc.gov.tw/wmts/UAV111E01/{Style}/{TileMatrixSet}/{TileMatrix}/{TileRow}/{TileCol}"/>
        <s v="https://wmts.nlsc.gov.tw/wmts/UAV111J01/{Style}/{TileMatrixSet}/{TileMatrix}/{TileRow}/{TileCol}"/>
        <s v="https://wmts.nlsc.gov.tw/wmts/UAV111J02/{Style}/{TileMatrixSet}/{TileMatrix}/{TileRow}/{TileCol}"/>
        <s v="https://wmts.nlsc.gov.tw/wmts/UAV111J03/{Style}/{TileMatrixSet}/{TileMatrix}/{TileRow}/{TileCol}"/>
        <s v="https://wmts.nlsc.gov.tw/wmts/UAV111K01/{Style}/{TileMatrixSet}/{TileMatrix}/{TileRow}/{TileCol}"/>
        <s v="https://wmts.nlsc.gov.tw/wmts/UAV111K02/{Style}/{TileMatrixSet}/{TileMatrix}/{TileRow}/{TileCol}"/>
        <s v="https://wmts.nlsc.gov.tw/wmts/UAV111P01/{Style}/{TileMatrixSet}/{TileMatrix}/{TileRow}/{TileCol}"/>
        <s v="https://wmts.nlsc.gov.tw/wmts/UAV111P02/{Style}/{TileMatrixSet}/{TileMatrix}/{TileRow}/{TileCol}"/>
        <s v="https://wmts.nlsc.gov.tw/wmts/UAV111Q01/{Style}/{TileMatrixSet}/{TileMatrix}/{TileRow}/{TileCol}"/>
        <s v="https://wmts.nlsc.gov.tw/wmts/Village/{Style}/{TileMatrixSet}/{TileMatrix}/{TileRow}/{TileCol}"/>
        <s v="https://wmts.nlsc.gov.tw/wmts/Village201910/{Style}/{TileMatrixSet}/{TileMatrix}/{TileRow}/{TileCol}"/>
        <m/>
      </sharedItems>
    </cacheField>
    <cacheField name="輸入參數_x000a_(資訊太多，不納入本表)" numFmtId="0">
      <sharedItems containsString="0" containsBlank="1" count="1">
        <m/>
      </sharedItems>
    </cacheField>
    <cacheField name="回應資料格式_x000a_(資訊太多，不納入本表)" numFmtId="0">
      <sharedItems containsString="0" containsBlank="1" count="1">
        <m/>
      </sharedItems>
    </cacheField>
    <cacheField name="回應資料Schema_x000a_(資訊太多，不納入本表)" numFmtId="0">
      <sharedItems containsString="0" containsBlank="1" count="1">
        <m/>
      </sharedItems>
    </cacheField>
    <cacheField name="OAS文本版本" numFmtId="0">
      <sharedItems count="1">
        <s v="3.1.1"/>
      </sharedItems>
    </cacheField>
    <cacheField name="服務圖資更新時間(yyyy-mm-dd-hh-mm-ss)" numFmtId="0">
      <sharedItems containsBlank="1" count="2">
        <s v="2026-07-02T00:00:00+08:00"/>
        <m/>
      </sharedItems>
    </cacheField>
    <cacheField name="OAS文本描述(中)(同一份json內容會一樣)" numFmtId="0">
      <sharedItems containsBlank="1" count="15">
        <s v="提供 OGC WMS 標準服務，支援 GetCapabilities、GetMap 與 GetFeatureInfo"/>
        <s v="提供國土測繪雲地段外圍圖WFS服務"/>
        <s v="提供國土測繪圖雲資WMTS服務"/>
        <s v="提供國土測繪圖資雲一千分之一地形圖WFS服務"/>
        <s v="提供國土測繪圖資雲台灣通用電子地圖WFS服務"/>
        <s v="提供國土測繪圖資雲地籍圖API服務"/>
        <s v="提供國土測繪圖資雲地籍圖WFS服務"/>
        <s v="提供國土測繪圖資雲地籍圖WMTS服務"/>
        <s v="提供國土測繪圖資雲地籍屬性API服務"/>
        <s v="提供國土測繪圖資雲國土利用現況調查成果圖WFS服務"/>
        <s v="提供國土測繪圖資雲國土利用屬性API服務"/>
        <s v="提供國土測繪圖資雲開放API服務"/>
        <s v="提供國土測繪圖資雲路徑規劃API服務"/>
        <s v="提供國土測繪圖資雲模糊檢索API服務"/>
        <m/>
      </sharedItems>
    </cacheField>
    <cacheField name="服務名稱(中)_有正規化名稱用F欄，無則用E欄，此欄已經套用公式，請勿直接修正此欄，請編輯F欄。" numFmtId="0">
      <sharedItems count="1434">
        <s v="??"/>
        <s v="3D Tiles_三維建物服務_指定範圍呼叫"/>
        <s v="3D Tiles_三維建物模型_融合版及分棟版"/>
        <s v="3D Tiles_三維道路模型_地形貼合版"/>
        <s v="3D Tiles_三維道路模型_原始成果版"/>
        <s v="土壤液化潛勢_中級WMTS服務"/>
        <s v="土壤液化潛勢_初級WMTS服務"/>
        <s v="正射影像(套疊交通路網)WMTS服務"/>
        <s v="坡向圖(20公尺DEM產製)"/>
        <s v="坡度圖-30%坡(2003-2005年20公尺DEM成果產製)"/>
        <s v="坡度圖-7級(2003-2005年20公尺DEM成果產製)"/>
        <s v="坡度圖-7級(2010-2015年20公尺DEM成果產製)"/>
        <s v="待確認(查無資料)WMTS服務"/>
        <s v="陰影圖(20公尺DEM產製)"/>
        <s v="渲染圖(20公尺DEM產製)"/>
        <s v="等高線圖(2003-2005年20公尺DEM產製)"/>
        <s v="等高線圖(2010-2015年20公尺DEM產製)"/>
        <s v="臺灣通用電子地圖_各級學校範圍圖WMTS服務"/>
        <s v="臺灣通用電子地圖_道路圖層(無文字)WMTS服務"/>
        <s v="蘭嶼鄉正射影像(109年)WMTS服務"/>
        <s v="API_地籍圖_指定地號查詢_全國"/>
        <s v="API_地籍圖_指定坐標查詢_全國"/>
        <s v="API_地籍屬性_地段代碼回傳測繪段籍屬性_宜蘭縣"/>
        <s v="API_地籍屬性_地段代碼回傳測繪段籍屬性_花蓮縣"/>
        <s v="API_地籍屬性_地段代碼回傳測繪段籍屬性_金門縣"/>
        <s v="API_地籍屬性_地段代碼回傳測繪段籍屬性_南投縣"/>
        <s v="API_地籍屬性_地段代碼回傳測繪段籍屬性_屏東縣"/>
        <s v="API_地籍屬性_地段代碼回傳測繪段籍屬性_苗栗縣"/>
        <s v="API_地籍屬性_地段代碼回傳測繪段籍屬性_桃園市"/>
        <s v="API_地籍屬性_地段代碼回傳測繪段籍屬性_高雄市"/>
        <s v="API_地籍屬性_地段代碼回傳測繪段籍屬性_基隆市"/>
        <s v="API_地籍屬性_地段代碼回傳測繪段籍屬性_連江縣"/>
        <s v="API_地籍屬性_地段代碼回傳測繪段籍屬性_雲林縣"/>
        <s v="API_地籍屬性_地段代碼回傳測繪段籍屬性_新北市"/>
        <s v="API_地籍屬性_地段代碼回傳測繪段籍屬性_新竹市"/>
        <s v="API_地籍屬性_地段代碼回傳測繪段籍屬性_新竹縣"/>
        <s v="API_地籍屬性_地段代碼回傳測繪段籍屬性_嘉義市"/>
        <s v="API_地籍屬性_地段代碼回傳測繪段籍屬性_嘉義縣"/>
        <s v="API_地籍屬性_地段代碼回傳測繪段籍屬性_彰化縣"/>
        <s v="API_地籍屬性_地段代碼回傳測繪段籍屬性_臺中市"/>
        <s v="API_地籍屬性_地段代碼回傳測繪段籍屬性_臺北市"/>
        <s v="API_地籍屬性_地段代碼回傳測繪段籍屬性_臺東縣"/>
        <s v="API_地籍屬性_地段代碼回傳測繪段籍屬性_臺南市"/>
        <s v="API_地籍屬性_地段代碼回傳測繪段籍屬性_澎湖縣"/>
        <s v="API_地籍屬性_地段號宗地定位_全國"/>
        <s v="API_地籍屬性_地段號查詢坐標_宜蘭縣"/>
        <s v="API_地籍屬性_地段號查詢坐標_花蓮縣"/>
        <s v="API_地籍屬性_地段號查詢坐標_金門縣"/>
        <s v="API_地籍屬性_地段號查詢坐標_南投縣"/>
        <s v="API_地籍屬性_地段號查詢坐標_屏東縣"/>
        <s v="API_地籍屬性_地段號查詢坐標_苗栗縣"/>
        <s v="API_地籍屬性_地段號查詢坐標_桃園市"/>
        <s v="API_地籍屬性_地段號查詢坐標_高雄市"/>
        <s v="API_地籍屬性_地段號查詢坐標_基隆市"/>
        <s v="API_地籍屬性_地段號查詢坐標_連江縣"/>
        <s v="API_地籍屬性_地段號查詢坐標_雲林縣"/>
        <s v="API_地籍屬性_地段號查詢坐標_新北市"/>
        <s v="API_地籍屬性_地段號查詢坐標_新竹市"/>
        <s v="API_地籍屬性_地段號查詢坐標_新竹縣"/>
        <s v="API_地籍屬性_地段號查詢坐標_嘉義市"/>
        <s v="API_地籍屬性_地段號查詢坐標_嘉義縣"/>
        <s v="API_地籍屬性_地段號查詢坐標_彰化縣"/>
        <s v="API_地籍屬性_地段號查詢坐標_臺中市"/>
        <s v="API_地籍屬性_地段號查詢坐標_臺北市"/>
        <s v="API_地籍屬性_地段號查詢坐標_臺東縣"/>
        <s v="API_地籍屬性_地段號查詢坐標_臺南市"/>
        <s v="API_地籍屬性_地段號查詢坐標_澎湖縣"/>
        <s v="API_地籍屬性_坐標查地段號_全國"/>
        <s v="API_地籍屬性_指定地號查詢位置_宜蘭縣"/>
        <s v="API_地籍屬性_指定地號查詢位置_花蓮縣"/>
        <s v="API_地籍屬性_指定地號查詢位置_金門縣"/>
        <s v="API_地籍屬性_指定地號查詢位置_南投縣"/>
        <s v="API_地籍屬性_指定地號查詢位置_屏東縣"/>
        <s v="API_地籍屬性_指定地號查詢位置_苗栗縣"/>
        <s v="API_地籍屬性_指定地號查詢位置_桃園市"/>
        <s v="API_地籍屬性_指定地號查詢位置_高雄市"/>
        <s v="API_地籍屬性_指定地號查詢位置_基隆市"/>
        <s v="API_地籍屬性_指定地號查詢位置_連江縣"/>
        <s v="API_地籍屬性_指定地號查詢位置_雲林縣"/>
        <s v="API_地籍屬性_指定地號查詢位置_新北市"/>
        <s v="API_地籍屬性_指定地號查詢位置_新竹市"/>
        <s v="API_地籍屬性_指定地號查詢位置_新竹縣"/>
        <s v="API_地籍屬性_指定地號查詢位置_嘉義市"/>
        <s v="API_地籍屬性_指定地號查詢位置_嘉義縣"/>
        <s v="API_地籍屬性_指定地號查詢位置_彰化縣"/>
        <s v="API_地籍屬性_指定地號查詢位置_臺中市"/>
        <s v="API_地籍屬性_指定地號查詢位置_臺北市"/>
        <s v="API_地籍屬性_指定地號查詢位置_臺東縣"/>
        <s v="API_地籍屬性_指定地號查詢位置_臺南市"/>
        <s v="API_地籍屬性_指定地號查詢位置_澎湖縣"/>
        <s v="API_地籍屬性_指定地號查詢建號列表與土地權利人類別_宜蘭縣"/>
        <s v="API_地籍屬性_指定地號查詢建號列表與土地權利人類別_花蓮縣"/>
        <s v="API_地籍屬性_指定地號查詢建號列表與土地權利人類別_金門縣"/>
        <s v="API_地籍屬性_指定地號查詢建號列表與土地權利人類別_南投縣"/>
        <s v="API_地籍屬性_指定地號查詢建號列表與土地權利人類別_屏東縣"/>
        <s v="API_地籍屬性_指定地號查詢建號列表與土地權利人類別_苗栗縣"/>
        <s v="API_地籍屬性_指定地號查詢建號列表與土地權利人類別_桃園市"/>
        <s v="API_地籍屬性_指定地號查詢建號列表與土地權利人類別_高雄市"/>
        <s v="API_地籍屬性_指定地號查詢建號列表與土地權利人類別_基隆市"/>
        <s v="API_地籍屬性_指定地號查詢建號列表與土地權利人類別_連江縣"/>
        <s v="API_地籍屬性_指定地號查詢建號列表與土地權利人類別_雲林縣"/>
        <s v="API_地籍屬性_指定地號查詢建號列表與土地權利人類別_新北市"/>
        <s v="API_地籍屬性_指定地號查詢建號列表與土地權利人類別_新竹市"/>
        <s v="API_地籍屬性_指定地號查詢建號列表與土地權利人類別_新竹縣"/>
        <s v="API_地籍屬性_指定地號查詢建號列表與土地權利人類別_嘉義市"/>
        <s v="API_地籍屬性_指定地號查詢建號列表與土地權利人類別_嘉義縣"/>
        <s v="API_地籍屬性_指定地號查詢建號列表與土地權利人類別_彰化縣"/>
        <s v="API_地籍屬性_指定地號查詢建號列表與土地權利人類別_臺中市"/>
        <s v="API_地籍屬性_指定地號查詢建號列表與土地權利人類別_臺北市"/>
        <s v="API_地籍屬性_指定地號查詢建號列表與土地權利人類別_臺東縣"/>
        <s v="API_地籍屬性_指定地號查詢建號列表與土地權利人類別_臺南市"/>
        <s v="API_地籍屬性_指定地號查詢建號列表與土地權利人類別_澎湖縣"/>
        <s v="API_地籍屬性_指定地號查詢著色圖_宜蘭縣"/>
        <s v="API_地籍屬性_指定地號查詢著色圖_花蓮縣"/>
        <s v="API_地籍屬性_指定地號查詢著色圖_金門縣"/>
        <s v="API_地籍屬性_指定地號查詢著色圖_南投縣"/>
        <s v="API_地籍屬性_指定地號查詢著色圖_屏東縣"/>
        <s v="API_地籍屬性_指定地號查詢著色圖_苗栗縣"/>
        <s v="API_地籍屬性_指定地號查詢著色圖_桃園市"/>
        <s v="API_地籍屬性_指定地號查詢著色圖_高雄市"/>
        <s v="API_地籍屬性_指定地號查詢著色圖_基隆市"/>
        <s v="API_地籍屬性_指定地號查詢著色圖_連江縣"/>
        <s v="API_地籍屬性_指定地號查詢著色圖_雲林縣"/>
        <s v="API_地籍屬性_指定地號查詢著色圖_新北市"/>
        <s v="API_地籍屬性_指定地號查詢著色圖_新竹市"/>
        <s v="API_地籍屬性_指定地號查詢著色圖_新竹縣"/>
        <s v="API_地籍屬性_指定地號查詢著色圖_嘉義市"/>
        <s v="API_地籍屬性_指定地號查詢著色圖_嘉義縣"/>
        <s v="API_地籍屬性_指定地號查詢著色圖_彰化縣"/>
        <s v="API_地籍屬性_指定地號查詢著色圖_臺中市"/>
        <s v="API_地籍屬性_指定地號查詢著色圖_臺北市"/>
        <s v="API_地籍屬性_指定地號查詢著色圖_臺東縣"/>
        <s v="API_地籍屬性_指定地號查詢著色圖_臺南市"/>
        <s v="API_地籍屬性_指定地號查詢著色圖_澎湖縣"/>
        <s v="API_地籍屬性_指定地號查詢標示資料_宜蘭縣"/>
        <s v="API_地籍屬性_指定地號查詢標示資料_花蓮縣"/>
        <s v="API_地籍屬性_指定地號查詢標示資料_金門縣"/>
        <s v="API_地籍屬性_指定地號查詢標示資料_南投縣"/>
        <s v="API_地籍屬性_指定地號查詢標示資料_屏東縣"/>
        <s v="API_地籍屬性_指定地號查詢標示資料_苗栗縣"/>
        <s v="API_地籍屬性_指定地號查詢標示資料_桃園市"/>
        <s v="API_地籍屬性_指定地號查詢標示資料_高雄市"/>
        <s v="API_地籍屬性_指定地號查詢標示資料_基隆市"/>
        <s v="API_地籍屬性_指定地號查詢標示資料_連江縣"/>
        <s v="API_地籍屬性_指定地號查詢標示資料_雲林縣"/>
        <s v="API_地籍屬性_指定地號查詢標示資料_新北市"/>
        <s v="API_地籍屬性_指定地號查詢標示資料_新竹市"/>
        <s v="API_地籍屬性_指定地號查詢標示資料_新竹縣"/>
        <s v="API_地籍屬性_指定地號查詢標示資料_嘉義市"/>
        <s v="API_地籍屬性_指定地號查詢標示資料_嘉義縣"/>
        <s v="API_地籍屬性_指定地號查詢標示資料_彰化縣"/>
        <s v="API_地籍屬性_指定地號查詢標示資料_臺中市"/>
        <s v="API_地籍屬性_指定地號查詢標示資料_臺北市"/>
        <s v="API_地籍屬性_指定地號查詢標示資料_臺東縣"/>
        <s v="API_地籍屬性_指定地號查詢標示資料_臺南市"/>
        <s v="API_地籍屬性_指定地號查詢標示資料_澎湖縣"/>
        <s v="API_地籍屬性_指定門牌查詢地號_全國"/>
        <s v="API_地籍屬性_指定範圍查詢地號清單_全國"/>
        <s v="API_地籍屬性_單點坐標查詢地段號_全國"/>
        <s v="API_國土利用屬性_指定坐標及年度查詢屬性_全國"/>
        <s v="API_國土利用屬性_指定範圍及年度查詢變遷_全國"/>
        <s v="API_開放_地段清單_宜蘭縣"/>
        <s v="API_開放_地段清單_花蓮縣"/>
        <s v="API_開放_地段清單_金門縣"/>
        <s v="API_開放_地段清單_南投縣"/>
        <s v="API_開放_地段清單_屏東縣"/>
        <s v="API_開放_地段清單_苗栗縣"/>
        <s v="API_開放_地段清單_桃園市"/>
        <s v="API_開放_地段清單_高雄市"/>
        <s v="API_開放_地段清單_基隆市"/>
        <s v="API_開放_地段清單_連江縣"/>
        <s v="API_開放_地段清單_雲林縣"/>
        <s v="API_開放_地段清單_新北市"/>
        <s v="API_開放_地段清單_新竹市"/>
        <s v="API_開放_地段清單_新竹縣"/>
        <s v="API_開放_地段清單_嘉義市"/>
        <s v="API_開放_地段清單_嘉義縣"/>
        <s v="API_開放_地段清單_彰化縣"/>
        <s v="API_開放_地段清單_臺中市"/>
        <s v="API_開放_地段清單_臺北市"/>
        <s v="API_開放_地段清單_臺東縣"/>
        <s v="API_開放_地段清單_臺南市"/>
        <s v="API_開放_地段清單_澎湖縣"/>
        <s v="API_開放_村里界線範圍圖形(戶政)_全國"/>
        <s v="API_開放_村里清單_宜蘭縣"/>
        <s v="API_開放_村里清單_花蓮縣"/>
        <s v="API_開放_村里清單_金門縣"/>
        <s v="API_開放_村里清單_南投縣"/>
        <s v="API_開放_村里清單_屏東縣"/>
        <s v="API_開放_村里清單_苗栗縣"/>
        <s v="API_開放_村里清單_桃園市"/>
        <s v="API_開放_村里清單_高雄市"/>
        <s v="API_開放_村里清單_基隆市"/>
        <s v="API_開放_村里清單_連江縣"/>
        <s v="API_開放_村里清單_雲林縣"/>
        <s v="API_開放_村里清單_新北市"/>
        <s v="API_開放_村里清單_新竹市"/>
        <s v="API_開放_村里清單_新竹縣"/>
        <s v="API_開放_村里清單_嘉義市"/>
        <s v="API_開放_村里清單_嘉義縣"/>
        <s v="API_開放_村里清單_彰化縣"/>
        <s v="API_開放_村里清單_臺中市"/>
        <s v="API_開放_村里清單_臺北市"/>
        <s v="API_開放_村里清單_臺東縣"/>
        <s v="API_開放_村里清單_臺南市"/>
        <s v="API_開放_村里清單_澎湖縣"/>
        <s v="API_開放_指定多邊形三維建物模型轉檔"/>
        <s v="API_開放_指定坐標回傳國土利用現況調查成果圖的屬性_全國"/>
        <s v="API_開放_指定圓形範圍三維建物模型轉檔"/>
        <s v="API_開放_指定點位三維建物模型轉檔"/>
        <s v="API_開放_查詢工商設施_全國"/>
        <s v="API_開放_查詢文教設施_全國"/>
        <s v="API_開放_查詢鄰避設施_全國"/>
        <s v="API_開放_查詢醫療設施_全國"/>
        <s v="API_開放_單點坐標回傳行政區(戶政)_全國"/>
        <s v="API_開放_單點坐標回傳行政區(地政)_全國"/>
        <s v="API_開放_鄉鎮市區查詢道路列表_宜蘭縣"/>
        <s v="API_開放_鄉鎮市區查詢道路列表_花蓮縣"/>
        <s v="API_開放_鄉鎮市區查詢道路列表_金門縣"/>
        <s v="API_開放_鄉鎮市區查詢道路列表_南投縣"/>
        <s v="API_開放_鄉鎮市區查詢道路列表_屏東縣"/>
        <s v="API_開放_鄉鎮市區查詢道路列表_苗栗縣"/>
        <s v="API_開放_鄉鎮市區查詢道路列表_桃園市"/>
        <s v="API_開放_鄉鎮市區查詢道路列表_高雄市"/>
        <s v="API_開放_鄉鎮市區查詢道路列表_基隆市"/>
        <s v="API_開放_鄉鎮市區查詢道路列表_連江縣"/>
        <s v="API_開放_鄉鎮市區查詢道路列表_雲林縣"/>
        <s v="API_開放_鄉鎮市區查詢道路列表_新北市"/>
        <s v="API_開放_鄉鎮市區查詢道路列表_新竹市"/>
        <s v="API_開放_鄉鎮市區查詢道路列表_新竹縣"/>
        <s v="API_開放_鄉鎮市區查詢道路列表_嘉義市"/>
        <s v="API_開放_鄉鎮市區查詢道路列表_嘉義縣"/>
        <s v="API_開放_鄉鎮市區查詢道路列表_彰化縣"/>
        <s v="API_開放_鄉鎮市區查詢道路列表_臺中市"/>
        <s v="API_開放_鄉鎮市區查詢道路列表_臺北市"/>
        <s v="API_開放_鄉鎮市區查詢道路列表_臺東縣"/>
        <s v="API_開放_鄉鎮市區查詢道路列表_臺南市"/>
        <s v="API_開放_鄉鎮市區查詢道路列表_澎湖縣"/>
        <s v="API_開放_鄉鎮市區清單(戶政)_宜蘭縣"/>
        <s v="API_開放_鄉鎮市區清單(戶政)_花蓮縣"/>
        <s v="API_開放_鄉鎮市區清單(戶政)_金門縣"/>
        <s v="API_開放_鄉鎮市區清單(戶政)_南投縣"/>
        <s v="API_開放_鄉鎮市區清單(戶政)_屏東縣"/>
        <s v="API_開放_鄉鎮市區清單(戶政)_苗栗縣"/>
        <s v="API_開放_鄉鎮市區清單(戶政)_桃園市"/>
        <s v="API_開放_鄉鎮市區清單(戶政)_高雄市"/>
        <s v="API_開放_鄉鎮市區清單(戶政)_基隆市"/>
        <s v="API_開放_鄉鎮市區清單(戶政)_連江縣"/>
        <s v="API_開放_鄉鎮市區清單(戶政)_雲林縣"/>
        <s v="API_開放_鄉鎮市區清單(戶政)_新北市"/>
        <s v="API_開放_鄉鎮市區清單(戶政)_新竹市"/>
        <s v="API_開放_鄉鎮市區清單(戶政)_新竹縣"/>
        <s v="API_開放_鄉鎮市區清單(戶政)_嘉義市"/>
        <s v="API_開放_鄉鎮市區清單(戶政)_嘉義縣"/>
        <s v="API_開放_鄉鎮市區清單(戶政)_彰化縣"/>
        <s v="API_開放_鄉鎮市區清單(戶政)_臺中市"/>
        <s v="API_開放_鄉鎮市區清單(戶政)_臺北市"/>
        <s v="API_開放_鄉鎮市區清單(戶政)_臺東縣"/>
        <s v="API_開放_鄉鎮市區清單(戶政)_臺南市"/>
        <s v="API_開放_鄉鎮市區清單(戶政)_澎湖縣"/>
        <s v="API_開放_鄉鎮市區清單(地政)_宜蘭縣"/>
        <s v="API_開放_鄉鎮市區清單(地政)_花蓮縣"/>
        <s v="API_開放_鄉鎮市區清單(地政)_金門縣"/>
        <s v="API_開放_鄉鎮市區清單(地政)_南投縣"/>
        <s v="API_開放_鄉鎮市區清單(地政)_屏東縣"/>
        <s v="API_開放_鄉鎮市區清單(地政)_苗栗縣"/>
        <s v="API_開放_鄉鎮市區清單(地政)_桃園市"/>
        <s v="API_開放_鄉鎮市區清單(地政)_高雄市"/>
        <s v="API_開放_鄉鎮市區清單(地政)_基隆市"/>
        <s v="API_開放_鄉鎮市區清單(地政)_連江縣"/>
        <s v="API_開放_鄉鎮市區清單(地政)_雲林縣"/>
        <s v="API_開放_鄉鎮市區清單(地政)_新北市"/>
        <s v="API_開放_鄉鎮市區清單(地政)_新竹市"/>
        <s v="API_開放_鄉鎮市區清單(地政)_新竹縣"/>
        <s v="API_開放_鄉鎮市區清單(地政)_嘉義市"/>
        <s v="API_開放_鄉鎮市區清單(地政)_嘉義縣"/>
        <s v="API_開放_鄉鎮市區清單(地政)_彰化縣"/>
        <s v="API_開放_鄉鎮市區清單(地政)_臺中市"/>
        <s v="API_開放_鄉鎮市區清單(地政)_臺北市"/>
        <s v="API_開放_鄉鎮市區清單(地政)_臺東縣"/>
        <s v="API_開放_鄉鎮市區清單(地政)_臺南市"/>
        <s v="API_開放_鄉鎮市區清單(地政)_澎湖縣"/>
        <s v="API_開放_鄉鎮市區路名查詢交叉路口及坐標_宜蘭縣"/>
        <s v="API_開放_鄉鎮市區路名查詢交叉路口及坐標_花蓮縣"/>
        <s v="API_開放_鄉鎮市區路名查詢交叉路口及坐標_金門縣"/>
        <s v="API_開放_鄉鎮市區路名查詢交叉路口及坐標_南投縣"/>
        <s v="API_開放_鄉鎮市區路名查詢交叉路口及坐標_屏東縣"/>
        <s v="API_開放_鄉鎮市區路名查詢交叉路口及坐標_苗栗縣"/>
        <s v="API_開放_鄉鎮市區路名查詢交叉路口及坐標_桃園市"/>
        <s v="API_開放_鄉鎮市區路名查詢交叉路口及坐標_高雄市"/>
        <s v="API_開放_鄉鎮市區路名查詢交叉路口及坐標_基隆市"/>
        <s v="API_開放_鄉鎮市區路名查詢交叉路口及坐標_連江縣"/>
        <s v="API_開放_鄉鎮市區路名查詢交叉路口及坐標_雲林縣"/>
        <s v="API_開放_鄉鎮市區路名查詢交叉路口及坐標_新北市"/>
        <s v="API_開放_鄉鎮市區路名查詢交叉路口及坐標_新竹市"/>
        <s v="API_開放_鄉鎮市區路名查詢交叉路口及坐標_新竹縣"/>
        <s v="API_開放_鄉鎮市區路名查詢交叉路口及坐標_嘉義市"/>
        <s v="API_開放_鄉鎮市區路名查詢交叉路口及坐標_嘉義縣"/>
        <s v="API_開放_鄉鎮市區路名查詢交叉路口及坐標_彰化縣"/>
        <s v="API_開放_鄉鎮市區路名查詢交叉路口及坐標_臺中市"/>
        <s v="API_開放_鄉鎮市區路名查詢交叉路口及坐標_臺北市"/>
        <s v="API_開放_鄉鎮市區路名查詢交叉路口及坐標_臺東縣"/>
        <s v="API_開放_鄉鎮市區路名查詢交叉路口及坐標_臺南市"/>
        <s v="API_開放_鄉鎮市區路名查詢交叉路口及坐標_澎湖縣"/>
        <s v="API_開放_縣市名稱及代碼清單_全國"/>
        <s v="API_開放_縣市道路關鍵字查詢主要道路_宜蘭縣"/>
        <s v="API_開放_縣市道路關鍵字查詢主要道路_花蓮縣"/>
        <s v="API_開放_縣市道路關鍵字查詢主要道路_金門縣"/>
        <s v="API_開放_縣市道路關鍵字查詢主要道路_南投縣"/>
        <s v="API_開放_縣市道路關鍵字查詢主要道路_屏東縣"/>
        <s v="API_開放_縣市道路關鍵字查詢主要道路_苗栗縣"/>
        <s v="API_開放_縣市道路關鍵字查詢主要道路_桃園市"/>
        <s v="API_開放_縣市道路關鍵字查詢主要道路_高雄市"/>
        <s v="API_開放_縣市道路關鍵字查詢主要道路_基隆市"/>
        <s v="API_開放_縣市道路關鍵字查詢主要道路_連江縣"/>
        <s v="API_開放_縣市道路關鍵字查詢主要道路_雲林縣"/>
        <s v="API_開放_縣市道路關鍵字查詢主要道路_新北市"/>
        <s v="API_開放_縣市道路關鍵字查詢主要道路_新竹市"/>
        <s v="API_開放_縣市道路關鍵字查詢主要道路_新竹縣"/>
        <s v="API_開放_縣市道路關鍵字查詢主要道路_嘉義市"/>
        <s v="API_開放_縣市道路關鍵字查詢主要道路_嘉義縣"/>
        <s v="API_開放_縣市道路關鍵字查詢主要道路_彰化縣"/>
        <s v="API_開放_縣市道路關鍵字查詢主要道路_臺中市"/>
        <s v="API_開放_縣市道路關鍵字查詢主要道路_臺北市"/>
        <s v="API_開放_縣市道路關鍵字查詢主要道路_臺東縣"/>
        <s v="API_開放_縣市道路關鍵字查詢主要道路_臺南市"/>
        <s v="API_開放_縣市道路關鍵字查詢主要道路_澎湖縣"/>
        <s v="API_路徑規劃_時間最短路線_全國"/>
        <s v="API_路徑規劃_距離最短路線_全國"/>
        <s v="API_路徑規劃_節點查詢_全國"/>
        <s v="API_模糊檢索_全域模糊檢索_全國"/>
        <s v="API_模糊檢索_巷弄清單_宜蘭縣"/>
        <s v="API_模糊檢索_巷弄清單_花蓮縣"/>
        <s v="API_模糊檢索_巷弄清單_金門縣"/>
        <s v="API_模糊檢索_巷弄清單_南投縣"/>
        <s v="API_模糊檢索_巷弄清單_屏東縣"/>
        <s v="API_模糊檢索_巷弄清單_苗栗縣"/>
        <s v="API_模糊檢索_巷弄清單_桃園市"/>
        <s v="API_模糊檢索_巷弄清單_高雄市"/>
        <s v="API_模糊檢索_巷弄清單_基隆市"/>
        <s v="API_模糊檢索_巷弄清單_連江縣"/>
        <s v="API_模糊檢索_巷弄清單_雲林縣"/>
        <s v="API_模糊檢索_巷弄清單_新北市"/>
        <s v="API_模糊檢索_巷弄清單_新竹市"/>
        <s v="API_模糊檢索_巷弄清單_新竹縣"/>
        <s v="API_模糊檢索_巷弄清單_嘉義市"/>
        <s v="API_模糊檢索_巷弄清單_嘉義縣"/>
        <s v="API_模糊檢索_巷弄清單_彰化縣"/>
        <s v="API_模糊檢索_巷弄清單_臺中市"/>
        <s v="API_模糊檢索_巷弄清單_臺北市"/>
        <s v="API_模糊檢索_巷弄清單_臺東縣"/>
        <s v="API_模糊檢索_巷弄清單_臺南市"/>
        <s v="API_模糊檢索_巷弄清單_澎湖縣"/>
        <s v="API_模糊檢索_面坐標回傳門牌_全國"/>
        <s v="API_模糊檢索_路名清單_宜蘭縣"/>
        <s v="API_模糊檢索_路名清單_花蓮縣"/>
        <s v="API_模糊檢索_路名清單_金門縣"/>
        <s v="API_模糊檢索_路名清單_南投縣"/>
        <s v="API_模糊檢索_路名清單_屏東縣"/>
        <s v="API_模糊檢索_路名清單_苗栗縣"/>
        <s v="API_模糊檢索_路名清單_桃園市"/>
        <s v="API_模糊檢索_路名清單_高雄市"/>
        <s v="API_模糊檢索_路名清單_基隆市"/>
        <s v="API_模糊檢索_路名清單_連江縣"/>
        <s v="API_模糊檢索_路名清單_雲林縣"/>
        <s v="API_模糊檢索_路名清單_新北市"/>
        <s v="API_模糊檢索_路名清單_新竹市"/>
        <s v="API_模糊檢索_路名清單_新竹縣"/>
        <s v="API_模糊檢索_路名清單_嘉義市"/>
        <s v="API_模糊檢索_路名清單_嘉義縣"/>
        <s v="API_模糊檢索_路名清單_彰化縣"/>
        <s v="API_模糊檢索_路名清單_臺中市"/>
        <s v="API_模糊檢索_路名清單_臺北市"/>
        <s v="API_模糊檢索_路名清單_臺東縣"/>
        <s v="API_模糊檢索_路名清單_臺南市"/>
        <s v="API_模糊檢索_路名清單_澎湖縣"/>
        <s v="API_模糊檢索_模糊檢索_全國"/>
        <s v="API_模糊檢索_線坐標回傳門牌_全國"/>
        <s v="API_模糊檢索_點坐標回傳門牌_全國"/>
        <s v="I3S_三維建物服務_指定範圍呼叫"/>
        <s v="I3S_三維建物模型_融合版及分棟版"/>
        <s v="I3S_三維道路模型_地形貼合版"/>
        <s v="I3S_三維道路模型_原始成果版"/>
        <s v="OPENDATA_避難收容所WMTS服務"/>
        <s v="WFS_1/1000地形圖_宜蘭縣大湖風景特定區計畫(112年)"/>
        <s v="WFS_1/1000地形圖_宜蘭縣五峰旗風景特定區計畫(112年)"/>
        <s v="WFS_1/1000地形圖_宜蘭縣冬山(順安地區)都市計畫(112年)"/>
        <s v="WFS_1/1000地形圖_宜蘭縣宜蘭市都市計畫(113年)"/>
        <s v="WFS_1/1000地形圖_宜蘭縣南澳南強都市計畫(112年)"/>
        <s v="WFS_1/1000地形圖_宜蘭縣政中心地區都市計畫(112年)"/>
        <s v="WFS_1/1000地形圖_宜蘭縣員山都市計畫(112年)"/>
        <s v="WFS_1/1000地形圖_宜蘭縣梅花湖風景特定區計畫(112年)"/>
        <s v="WFS_1/1000地形圖_宜蘭縣龍潭湖風景特定區計畫(112年)"/>
        <s v="WFS_1/1000地形圖_宜蘭縣礁溪都市計畫(112年)"/>
        <s v="WFS_1/1000地形圖_宜蘭縣蘇澳(新馬地區)都市計畫(112年)"/>
        <s v="WFS_1/1000地形圖_花蓮縣光復鄉都市計畫(113年)"/>
        <s v="WFS_1/1000地形圖_南投縣中興新村(含南內轆地區)都市計畫(112年)"/>
        <s v="WFS_1/1000地形圖_南投縣南投(含南崗地區)都市計畫(112年)"/>
        <s v="WFS_1/1000地形圖_南投縣草屯都市計畫(112年)"/>
        <s v="WFS_1/1000地形圖_屏東縣里港都市計畫(113年)"/>
        <s v="WFS_1/1000地形圖_屏東縣東港都市計畫(113年)"/>
        <s v="WFS_1/1000地形圖_屏東縣屏東都市計畫(112年)"/>
        <s v="WFS_1/1000地形圖_屏東縣新園(烏龍地區)都市計畫(113年)"/>
        <s v="WFS_1/1000地形圖_屏東縣鹽埔漁港特定區計畫(113年)"/>
        <s v="WFS_1/1000地形圖_苗栗縣苗栗都市計畫(112年)"/>
        <s v="WFS_1/1000地形圖_苗栗縣高速公路苗栗交流道附近特定區計畫(112年)"/>
        <s v="WFS_1/1000地形圖_苗栗縣頭屋都市計畫(112年)"/>
        <s v="WFS_1/1000地形圖_桃園市平鎮(山子頂地區)都市計畫(112年)"/>
        <s v="WFS_1/1000地形圖_桃園市新屋都市計畫(113年)"/>
        <s v="WFS_1/1000地形圖_桃園市龍潭都市計畫(113年)"/>
        <s v="WFS_1/1000地形圖_桃園市觀音(新坡地區)都市計畫(113年)"/>
        <s v="WFS_1/1000地形圖_桃園市觀音都市計畫(113年)"/>
        <s v="WFS_1/1000地形圖_高雄市(三民.苓雅.前金.新興.前鎮.鹽埕)都市計畫(113年)"/>
        <s v="WFS_1/1000地形圖_高雄市岡山都市計畫(112年)"/>
        <s v="WFS_1/1000地形圖_高雄市鳳山都市計畫(113年)"/>
        <s v="WFS_1/1000地形圖_雲林縣二崙都市計畫(112年)"/>
        <s v="WFS_1/1000地形圖_雲林縣斗六(含大潭地區)都市計畫(113年)"/>
        <s v="WFS_1/1000地形圖_雲林縣斗六嘉東地區特定區計畫(112年)"/>
        <s v="WFS_1/1000地形圖_雲林縣高速鐵路雲林車站特定區計畫(113年)"/>
        <s v="WFS_1/1000地形圖_雲林縣崙背都市計畫(112年)"/>
        <s v="WFS_1/1000地形圖_雲林縣莿桐都市計畫(113年)"/>
        <s v="WFS_1/1000地形圖_雲林縣箔子寮漁港特定區計畫(112年)"/>
        <s v="WFS_1/1000地形圖_新竹科學工業園區特定區計畫(竹東部分)(112年)"/>
        <s v="WFS_1/1000地形圖_新竹科學工業園區特定區計畫(寶山部分)(112年)"/>
        <s v="WFS_1/1000地形圖_新竹縣竹北(含斗崙地區)都市計畫(113年)"/>
        <s v="WFS_1/1000地形圖_新竹縣高速鐵路新竹車站特定區計畫(113年)"/>
        <s v="WFS_1/1000地形圖_新竹縣寶山都市計畫(112年)"/>
        <s v="WFS_1/1000地形圖_嘉義縣大林都市計畫(112年)"/>
        <s v="WFS_1/1000地形圖_嘉義縣仁義潭風景特定區計畫(嘉義縣部分)(112年)"/>
        <s v="WFS_1/1000地形圖_嘉義縣太保都市計畫(112年)"/>
        <s v="WFS_1/1000地形圖_嘉義縣民雄(頭橋地區)都市計畫(113年)"/>
        <s v="WFS_1/1000地形圖_嘉義縣民雄都市計畫(113年)"/>
        <s v="WFS_1/1000地形圖_嘉義縣竹崎鄉都市計畫(113年)"/>
        <s v="WFS_1/1000地形圖_嘉義縣吳鳳廟特定區計畫(112年)"/>
        <s v="WFS_1/1000地形圖_嘉義縣治都市計畫(112年)"/>
        <s v="WFS_1/1000地形圖_嘉義縣阿里山鄉都市計畫(113年)"/>
        <s v="WFS_1/1000地形圖_嘉義縣高速鐵路嘉義車站特定區計畫(112年)"/>
        <s v="WFS_1/1000地形圖_嘉義縣國立中正大學特定區計畫(112年)"/>
        <s v="WFS_1/1000地形圖_嘉義縣番路鄉都市計畫(113年)"/>
        <s v="WFS_1/1000地形圖_彰化縣高速公路彰化交流道附近特定區計畫(112年)"/>
        <s v="WFS_1/1000地形圖_彰化縣彰化都市計畫(112年)"/>
        <s v="WFS_1/1000地形圖_臺中市大肚都市計畫(112年)"/>
        <s v="WFS_1/1000地形圖_臺中市中部科學工業園區台中基地附近特定區計畫(113年)"/>
        <s v="WFS_1/1000地形圖_臺中市東勢都市計畫(112年)"/>
        <s v="WFS_1/1000地形圖_臺中市烏日都市計畫(112年)"/>
        <s v="WFS_1/1000地形圖_臺中市高速公路王田交流道附近特定區計畫(112年)"/>
        <s v="WFS_1/1000地形圖_臺中市新社都市計畫(112年)"/>
        <s v="WFS_1/1000地形圖_臺中市豐潭雅神都市計畫(113年)"/>
        <s v="WFS_1/1000地形圖_臺東縣臺東市都市計畫(112年)"/>
        <s v="WFS_1/1000地形圖_臺東縣臺東鐵路新站附近地區都市計畫(113年)"/>
        <s v="WFS_1/1000地形圖_臺南市佳里都市計畫(113年)"/>
        <s v="WFS_1/1000地形圖_臺南市柳營都市計畫(112年)"/>
        <s v="WFS_1/1000地形圖_臺南市高速公路新營交流道附近特定區計畫(112年)"/>
        <s v="WFS_1/1000地形圖_臺南市新營都市計畫(112年)"/>
        <s v="WFS_1/1000地形圖_臺南市鹽水都市計畫(112年)"/>
        <s v="WFS_1/1000地形圖_澎湖縣二崁傳統聚落特定區計畫(112年)"/>
        <s v="WFS_1/1000地形圖_澎湖縣白沙通梁地區都市計畫(112年)"/>
        <s v="WFS_1/1000地形圖_澎湖縣西嶼西台古蹟特定區計畫(112年)"/>
        <s v="WFS_1/1000地形圖_澎湖縣林投風景特定區計畫(112年)"/>
        <s v="WFS_1/1000地形圖_澎湖縣馬公市都市計畫(113年)"/>
        <s v="WFS_1/1000地形圖_澎湖縣馬公都市計畫(112年)"/>
        <s v="WFS_1/1000地形圖_澎湖縣湖西鄉都市計畫(113年)"/>
        <s v="WFS_1/1000地形圖_澎湖縣鎖港地區都市計畫(112年)"/>
        <s v="WFS_分棟建物框"/>
        <s v="WFS_地段外圍圖"/>
        <s v="WFS_地籍圖"/>
        <s v="WFS_國土利用現況調查成果圖"/>
        <s v="WFS_臺灣通用電子地圖"/>
        <s v="WMS"/>
        <s v="WMS_地籍圖"/>
        <s v="WMTS_1/100000地形圖(107年)"/>
        <s v="WMTS_1/100000地形圖(109年)"/>
        <s v="WMTS_1/100000地形圖(110年)"/>
        <s v="WMTS_1/100000地形圖(111年)"/>
        <s v="WMTS_1/100000地形圖(112年)"/>
        <s v="WMTS_1/100000地形圖(113年)"/>
        <s v="WMTS_1/100000地形圖(114年)"/>
        <s v="WMTS_1/100000基本地形圖"/>
        <s v="WMTS_1/10000像片基本圖(69-72年)"/>
        <s v="WMTS_1/1000地形圖_北埔都市計畫(97年)"/>
        <s v="WMTS_1/1000地形圖_正射影像_宜蘭縣大湖風景特定區計畫(112年)"/>
        <s v="WMTS_1/1000地形圖_正射影像_宜蘭縣五峰旗風景特定區計畫(112年)"/>
        <s v="WMTS_1/1000地形圖_正射影像_宜蘭縣冬山(順安地區)都市計畫(112年)"/>
        <s v="WMTS_1/1000地形圖_正射影像_宜蘭縣宜蘭市都市計畫(113年)"/>
        <s v="WMTS_1/1000地形圖_正射影像_宜蘭縣南澳南強都市計畫(112年)"/>
        <s v="WMTS_1/1000地形圖_正射影像_宜蘭縣政中心地區都市計畫(112年)"/>
        <s v="WMTS_1/1000地形圖_正射影像_宜蘭縣員山都市計畫(112年)"/>
        <s v="WMTS_1/1000地形圖_正射影像_宜蘭縣梅花湖風景特定區計畫(112年)"/>
        <s v="WMTS_1/1000地形圖_正射影像_宜蘭縣龍潭湖風景特定區計畫(112年)"/>
        <s v="WMTS_1/1000地形圖_正射影像_宜蘭縣礁溪都市計畫(112年)"/>
        <s v="WMTS_1/1000地形圖_正射影像_宜蘭縣蘇澳(新馬地區)都市計畫(112年)"/>
        <s v="WMTS_1/1000地形圖_正射影像_花蓮縣光復鄉都市計畫(113年)"/>
        <s v="WMTS_1/1000地形圖_正射影像_南投縣中興新村(含南內轆地區)都市計畫(112年)"/>
        <s v="WMTS_1/1000地形圖_正射影像_南投縣南投(含南崗地區)都市計畫(112年)"/>
        <s v="WMTS_1/1000地形圖_正射影像_南投縣草屯都市計畫(112年)"/>
        <s v="WMTS_1/1000地形圖_正射影像_屏東縣里港都市計畫(113年)"/>
        <s v="WMTS_1/1000地形圖_正射影像_屏東縣東港都市計畫(113年)"/>
        <s v="WMTS_1/1000地形圖_正射影像_屏東縣屏東都市計畫(112年)"/>
        <s v="WMTS_1/1000地形圖_正射影像_屏東縣新園(烏龍地區)都市計畫(113年)"/>
        <s v="WMTS_1/1000地形圖_正射影像_屏東縣鹽埔漁港特定區計畫(113年)"/>
        <s v="WMTS_1/1000地形圖_正射影像_苗栗縣苗栗都市計畫(112年)"/>
        <s v="WMTS_1/1000地形圖_正射影像_苗栗縣高速公路苗栗交流道附近特定區計畫(112年)"/>
        <s v="WMTS_1/1000地形圖_正射影像_苗栗縣頭屋都市計畫(112年)"/>
        <s v="WMTS_1/1000地形圖_正射影像_桃園市平鎮(山子頂地區)都市計畫(112年)"/>
        <s v="WMTS_1/1000地形圖_正射影像_桃園市新屋都市計畫(113年)"/>
        <s v="WMTS_1/1000地形圖_正射影像_桃園市龍潭都市計畫(113年)"/>
        <s v="WMTS_1/1000地形圖_正射影像_桃園市觀音(新坡地區)都市計畫(113年)"/>
        <s v="WMTS_1/1000地形圖_正射影像_桃園市觀音都市計畫(113年)"/>
        <s v="WMTS_1/1000地形圖_正射影像_高雄市(三民.苓雅.前金.新興.前鎮.鹽埕)都市計畫(113年)"/>
        <s v="WMTS_1/1000地形圖_正射影像_高雄市岡山都市計畫(112年)"/>
        <s v="WMTS_1/1000地形圖_正射影像_高雄市鳳山都市計畫(113年)"/>
        <s v="WMTS_1/1000地形圖_正射影像_雲林縣二崙都市計畫(112年)"/>
        <s v="WMTS_1/1000地形圖_正射影像_雲林縣斗六(含大潭地區)都市計畫(113年)"/>
        <s v="WMTS_1/1000地形圖_正射影像_雲林縣斗六嘉東地區特定區計畫(112年)"/>
        <s v="WMTS_1/1000地形圖_正射影像_雲林縣高速鐵路雲林車站特定區計畫(113年)"/>
        <s v="WMTS_1/1000地形圖_正射影像_雲林縣崙背都市計畫(112年)"/>
        <s v="WMTS_1/1000地形圖_正射影像_雲林縣莿桐都市計畫(113年)"/>
        <s v="WMTS_1/1000地形圖_正射影像_雲林縣箔子寮漁港特定區計畫(112年)"/>
        <s v="WMTS_1/1000地形圖_正射影像_新竹科學工業園區特定區計畫(竹東部分)(112年)"/>
        <s v="WMTS_1/1000地形圖_正射影像_新竹科學工業園區特定區計畫(寶山部分)(112年)"/>
        <s v="WMTS_1/1000地形圖_正射影像_新竹縣竹北(含斗崙地區)都市計畫(113年)"/>
        <s v="WMTS_1/1000地形圖_正射影像_新竹縣高速鐵路新竹車站特定區計畫(113年)"/>
        <s v="WMTS_1/1000地形圖_正射影像_新竹縣寶山都市計畫(112年)"/>
        <s v="WMTS_1/1000地形圖_正射影像_嘉義縣大林都市計畫(112年)"/>
        <s v="WMTS_1/1000地形圖_正射影像_嘉義縣仁義潭風景特定區計畫(嘉義縣部分)(112年)"/>
        <s v="WMTS_1/1000地形圖_正射影像_嘉義縣太保都市計畫(112年)"/>
        <s v="WMTS_1/1000地形圖_正射影像_嘉義縣民雄(頭橋地區)都市計畫(113年)"/>
        <s v="WMTS_1/1000地形圖_正射影像_嘉義縣民雄都市計畫(113年)"/>
        <s v="WMTS_1/1000地形圖_正射影像_嘉義縣竹崎鄉都市計畫(113年)"/>
        <s v="WMTS_1/1000地形圖_正射影像_嘉義縣吳鳳廟特定區計畫(112年)"/>
        <s v="WMTS_1/1000地形圖_正射影像_嘉義縣治都市計畫(112年)"/>
        <s v="WMTS_1/1000地形圖_正射影像_嘉義縣阿里山鄉都市計畫(113年)"/>
        <s v="WMTS_1/1000地形圖_正射影像_嘉義縣高速鐵路嘉義車站特定區計畫(112年)"/>
        <s v="WMTS_1/1000地形圖_正射影像_嘉義縣國立中正大學特定區計畫(112年)"/>
        <s v="WMTS_1/1000地形圖_正射影像_嘉義縣番路鄉都市計畫(113年)"/>
        <s v="WMTS_1/1000地形圖_正射影像_彰化縣高速公路彰化交流道附近特定區計畫(112年)"/>
        <s v="WMTS_1/1000地形圖_正射影像_彰化縣彰化都市計畫(112年)"/>
        <s v="WMTS_1/1000地形圖_正射影像_臺中市大肚都市計畫(112年)"/>
        <s v="WMTS_1/1000地形圖_正射影像_臺中市中部科學工業園區台中基地附近特定區計畫(113年)"/>
        <s v="WMTS_1/1000地形圖_正射影像_臺中市東勢都市計畫(112年)"/>
        <s v="WMTS_1/1000地形圖_正射影像_臺中市烏日都市計畫(112年)"/>
        <s v="WMTS_1/1000地形圖_正射影像_臺中市高速公路王田交流道附近特定區計畫(112年)"/>
        <s v="WMTS_1/1000地形圖_正射影像_臺中市新社都市計畫(112年)"/>
        <s v="WMTS_1/1000地形圖_正射影像_臺中市豐潭雅神都市計畫(113年)"/>
        <s v="WMTS_1/1000地形圖_正射影像_臺東縣臺東市都市計畫(112年)"/>
        <s v="WMTS_1/1000地形圖_正射影像_臺東縣臺東鐵路新站附近地區都市計畫(113年)"/>
        <s v="WMTS_1/1000地形圖_正射影像_臺南市佳里都市計畫(113年)"/>
        <s v="WMTS_1/1000地形圖_正射影像_臺南市柳營都市計畫(112年)"/>
        <s v="WMTS_1/1000地形圖_正射影像_臺南市高速公路新營交流道附近特定區計畫(112年)"/>
        <s v="WMTS_1/1000地形圖_正射影像_臺南市新營都市計畫(112年)"/>
        <s v="WMTS_1/1000地形圖_正射影像_臺南市鹽水都市計畫(112年)"/>
        <s v="WMTS_1/1000地形圖_正射影像_澎湖縣二崁傳統聚落特定區計畫(112年)"/>
        <s v="WMTS_1/1000地形圖_正射影像_澎湖縣白沙通梁地區都市計畫(112年)"/>
        <s v="WMTS_1/1000地形圖_正射影像_澎湖縣西嶼西台古蹟特定區計畫(112年)"/>
        <s v="WMTS_1/1000地形圖_正射影像_澎湖縣林投風景特定區計畫(112年)"/>
        <s v="WMTS_1/1000地形圖_正射影像_澎湖縣馬公市都市計畫(113年)"/>
        <s v="WMTS_1/1000地形圖_正射影像_澎湖縣馬公都市計畫(112年)"/>
        <s v="WMTS_1/1000地形圖_正射影像_澎湖縣湖西鄉都市計畫(113年)"/>
        <s v="WMTS_1/1000地形圖_正射影像_澎湖縣鎖港地區都市計畫(112年)"/>
        <s v="WMTS_1/1000地形圖_竹北都市計畫(93年)"/>
        <s v="WMTS_1/1000地形圖_竹東都市計畫(93-94年)"/>
        <s v="WMTS_1/1000地形圖_芎林都市計畫(93年)"/>
        <s v="WMTS_1/1000地形圖_宜蘭縣三星都市計畫(98年)"/>
        <s v="WMTS_1/1000地形圖_宜蘭縣大湖風景特定區計畫(112年)"/>
        <s v="WMTS_1/1000地形圖_宜蘭縣大湖風景特定區計畫(97年)"/>
        <s v="WMTS_1/1000地形圖_宜蘭縣五峰旗風景特定區計畫(112年)"/>
        <s v="WMTS_1/1000地形圖_宜蘭縣五峰旗風景特定區計畫及礁溪都市計畫(97年)"/>
        <s v="WMTS_1/1000地形圖_宜蘭縣五結(學進地區)都市計畫(97年)"/>
        <s v="WMTS_1/1000地形圖_宜蘭縣冬山(順安地區)都市計畫(112年)"/>
        <s v="WMTS_1/1000地形圖_宜蘭縣冬山(順安地區)都市計畫(98年)"/>
        <s v="WMTS_1/1000地形圖_宜蘭縣冬山及蘇澳(含新馬)都市計畫(98年)"/>
        <s v="WMTS_1/1000地形圖_宜蘭縣壯圍都市計畫(97年)"/>
        <s v="WMTS_1/1000地形圖_宜蘭縣宜蘭市(100年)"/>
        <s v="WMTS_1/1000地形圖_宜蘭縣宜蘭市都市計畫(113年)"/>
        <s v="WMTS_1/1000地形圖_宜蘭縣東北角暨宜蘭海岸國家風景區(100年)"/>
        <s v="WMTS_1/1000地形圖_宜蘭縣南澳南強都市計畫(112年)"/>
        <s v="WMTS_1/1000地形圖_宜蘭縣南澳南強都市計畫(98年)"/>
        <s v="WMTS_1/1000地形圖_宜蘭縣政中心地區都市計畫(112年)"/>
        <s v="WMTS_1/1000地形圖_宜蘭縣員山都市計畫(112年)"/>
        <s v="WMTS_1/1000地形圖_宜蘭縣員山都市計畫(97年)"/>
        <s v="WMTS_1/1000地形圖_宜蘭縣梅花湖風景特定區計畫(112年)"/>
        <s v="WMTS_1/1000地形圖_宜蘭縣梅花湖風景特定區計畫(98年)"/>
        <s v="WMTS_1/1000地形圖_宜蘭縣頭城都市計畫(97年)"/>
        <s v="WMTS_1/1000地形圖_宜蘭縣龍潭湖風景特定區計畫(112年)"/>
        <s v="WMTS_1/1000地形圖_宜蘭縣龍潭湖風景特定區計畫及四城地區(97年)"/>
        <s v="WMTS_1/1000地形圖_宜蘭縣礁溪都市計畫(112年)"/>
        <s v="WMTS_1/1000地形圖_宜蘭縣羅東都市計畫(100年)"/>
        <s v="WMTS_1/1000地形圖_宜蘭縣蘇澳(新馬地區)都市計畫(112年)"/>
        <s v="WMTS_1/1000地形圖_花蓮縣大花蓮都市計畫(111年)"/>
        <s v="WMTS_1/1000地形圖_花蓮縣玉里都市計畫(106年)"/>
        <s v="WMTS_1/1000地形圖_花蓮縣玉里都市計畫(111年)"/>
        <s v="WMTS_1/1000地形圖_花蓮縣石梯秀姑巒風景特定區計畫(107年)"/>
        <s v="WMTS_1/1000地形圖_花蓮縣光復都市計畫(104年)"/>
        <s v="WMTS_1/1000地形圖_花蓮縣光復都市計畫(109年)"/>
        <s v="WMTS_1/1000地形圖_花蓮縣光復鄉都市計畫(113年)"/>
        <s v="WMTS_1/1000地形圖_花蓮縣吉安(鄉公所)都市計畫(104年)"/>
        <s v="WMTS_1/1000地形圖_花蓮縣吉安(鄉公所)都市計畫(109年)"/>
        <s v="WMTS_1/1000地形圖_花蓮縣吉安都市計畫(104年)"/>
        <s v="WMTS_1/1000地形圖_花蓮縣吉安都市計畫(109年)"/>
        <s v="WMTS_1/1000地形圖_花蓮縣秀林(和平地區)都市計畫"/>
        <s v="WMTS_1/1000地形圖_花蓮縣秀林(崇德地區)都市計畫(107年)"/>
        <s v="WMTS_1/1000地形圖_花蓮縣東華大學城特定區計畫(105年)"/>
        <s v="WMTS_1/1000地形圖_花蓮縣花蓮吉安新城都市計畫(109年)"/>
        <s v="WMTS_1/1000地形圖_花蓮縣花蓮都市計畫(104年)"/>
        <s v="WMTS_1/1000地形圖_花蓮縣花蓮都市計畫(109年)"/>
        <s v="WMTS_1/1000地形圖_花蓮縣富里都市計畫(106年)"/>
        <s v="WMTS_1/1000地形圖_花蓮縣新城(北埔地區)都市計畫(104年)"/>
        <s v="WMTS_1/1000地形圖_花蓮縣新城(北埔地區)都市計畫(109年)"/>
        <s v="WMTS_1/1000地形圖_花蓮縣新城秀林都市計畫(107年)"/>
        <s v="WMTS_1/1000地形圖_花蓮縣瑞穗都市計畫(106年)"/>
        <s v="WMTS_1/1000地形圖_花蓮縣壽豐都市計畫(106年)"/>
        <s v="WMTS_1/1000地形圖_花蓮縣鳳林都市計畫(104年)"/>
        <s v="WMTS_1/1000地形圖_花蓮縣鳳林都市計畫(109年)"/>
        <s v="WMTS_1/1000地形圖_花蓮縣磯崎風景特定區計畫(107年)"/>
        <s v="WMTS_1/1000地形圖_花蓮縣鯉魚潭風景特定區計畫(106年)"/>
        <s v="WMTS_1/1000地形圖_金門縣都市計畫(106年)"/>
        <s v="WMTS_1/1000地形圖_金門縣都市計畫(112年)"/>
        <s v="WMTS_1/1000地形圖_南投縣八卦山脈風景特定區計畫(93-98年)"/>
        <s v="WMTS_1/1000地形圖_南投縣中寮都市計畫(95-98年)"/>
        <s v="WMTS_1/1000地形圖_南投縣中興新村(含南內轆地區)都市計畫(112年)"/>
        <s v="WMTS_1/1000地形圖_南投縣中興新村都市計畫(102年)"/>
        <s v="WMTS_1/1000地形圖_南投縣日月潭特定區計畫(93-98年)"/>
        <s v="WMTS_1/1000地形圖_南投縣水里都市計畫(95-98年)"/>
        <s v="WMTS_1/1000地形圖_南投縣名間都市計畫(95-98年)"/>
        <s v="WMTS_1/1000地形圖_南投縣竹山都市計畫(竹山部分(94-98年)"/>
        <s v="WMTS_1/1000地形圖_南投縣竹山都市計畫(延平部分(94-98年)"/>
        <s v="WMTS_1/1000地形圖_南投縣東埔風景特定區計畫(93-98年)"/>
        <s v="WMTS_1/1000地形圖_南投縣南投(含南崗地區)都市計畫(112年)"/>
        <s v="WMTS_1/1000地形圖_南投縣南投都市計畫(南投(94-98年)"/>
        <s v="WMTS_1/1000地形圖_南投縣南投都市計畫(南崗(94-98年)"/>
        <s v="WMTS_1/1000地形圖_南投縣埔里都市計畫(94-98年)"/>
        <s v="WMTS_1/1000地形圖_南投縣草屯都市計畫(112年)"/>
        <s v="WMTS_1/1000地形圖_南投縣草屯都市計畫(94-98年)"/>
        <s v="WMTS_1/1000地形圖_南投縣國姓都市計畫(93-98年)"/>
        <s v="WMTS_1/1000地形圖_南投縣魚池都市計畫(103年)"/>
        <s v="WMTS_1/1000地形圖_南投縣鹿谷都市計畫(106年)"/>
        <s v="WMTS_1/1000地形圖_南投縣集集都市計畫(95-98年)"/>
        <s v="WMTS_1/1000地形圖_南投縣溪頭森林遊樂特定區計畫(93-98年)"/>
        <s v="WMTS_1/1000地形圖_南投縣翠峰風景特定區計畫(93-98年)"/>
        <s v="WMTS_1/1000地形圖_南投縣鳳凰谷風景特定區計畫(93-98年)"/>
        <s v="WMTS_1/1000地形圖_南投縣廬山風景特定區計畫(93-98年)"/>
        <s v="WMTS_1/1000地形圖_南投縣霧社都市計畫(94-98年)"/>
        <s v="WMTS_1/1000地形圖_屏東縣九如都市計畫(100年)"/>
        <s v="WMTS_1/1000地形圖_屏東縣大鵬灣風景特定區計畫(102年)"/>
        <s v="WMTS_1/1000地形圖_屏東縣小琉球風景特定區計畫(102年)"/>
        <s v="WMTS_1/1000地形圖_屏東縣內埔都市計畫(100年)"/>
        <s v="WMTS_1/1000地形圖_屏東縣內埔龍泉都市計畫(100年)"/>
        <s v="WMTS_1/1000地形圖_屏東縣內埔豐田都市計畫(100年)"/>
        <s v="WMTS_1/1000地形圖_屏東縣竹田都市計畫(101年)"/>
        <s v="WMTS_1/1000地形圖_屏東縣車城都市計畫(101年)"/>
        <s v="WMTS_1/1000地形圖_屏東縣里港都市計畫(100年)"/>
        <s v="WMTS_1/1000地形圖_屏東縣里港都市計畫(113年)"/>
        <s v="WMTS_1/1000地形圖_屏東縣佳冬都市計畫(100年)"/>
        <s v="WMTS_1/1000地形圖_屏東縣東港都市計畫(113年)"/>
        <s v="WMTS_1/1000地形圖_屏東縣東港都市計畫(99年)"/>
        <s v="WMTS_1/1000地形圖_屏東縣枋寮水底寮都市計畫(100年)"/>
        <s v="WMTS_1/1000地形圖_屏東縣枋寮都市計畫(100年)"/>
        <s v="WMTS_1/1000地形圖_屏東縣林邊都市計畫(100年)"/>
        <s v="WMTS_1/1000地形圖_屏東縣林邊都市計畫(99年)"/>
        <s v="WMTS_1/1000地形圖_屏東縣長治都市計畫(100年)"/>
        <s v="WMTS_1/1000地形圖_屏東縣南州都市計畫(101年)"/>
        <s v="WMTS_1/1000地形圖_屏東縣屏東都市計畫(112年)"/>
        <s v="WMTS_1/1000地形圖_屏東縣屏東都市計畫(93-94年)"/>
        <s v="WMTS_1/1000地形圖_屏東縣恆春都市計畫(100年)"/>
        <s v="WMTS_1/1000地形圖_屏東縣崁頂都市計畫(101年)"/>
        <s v="WMTS_1/1000地形圖_屏東縣高樹都市計畫(100年)"/>
        <s v="WMTS_1/1000地形圖_屏東縣新埤都市計畫(100年)"/>
        <s v="WMTS_1/1000地形圖_屏東縣新園(烏龍地區)都市計畫(113年)"/>
        <s v="WMTS_1/1000地形圖_屏東縣新園烏龍都市計畫(100年)"/>
        <s v="WMTS_1/1000地形圖_屏東縣新園都市計畫(100年)"/>
        <s v="WMTS_1/1000地形圖_屏東縣萬丹都市計畫(100年)"/>
        <s v="WMTS_1/1000地形圖_屏東縣萬巒都市計畫(101年)"/>
        <s v="WMTS_1/1000地形圖_屏東縣滿州都市計畫(101年)"/>
        <s v="WMTS_1/1000地形圖_屏東縣潮州都市計畫(98年)"/>
        <s v="WMTS_1/1000地形圖_屏東縣墾丁國家公園計畫(104年)"/>
        <s v="WMTS_1/1000地形圖_屏東縣麟洛都市計畫(100年)"/>
        <s v="WMTS_1/1000地形圖_屏東縣鹽埔都市計畫(100年)"/>
        <s v="WMTS_1/1000地形圖_屏東縣鹽埔漁港特定區計畫(102年)"/>
        <s v="WMTS_1/1000地形圖_屏東縣鹽埔漁港特定區計畫(113年)"/>
        <s v="WMTS_1/1000地形圖_苗栗縣三義都市計畫(97年)"/>
        <s v="WMTS_1/1000地形圖_苗栗縣大湖都市計畫(95年)"/>
        <s v="WMTS_1/1000地形圖_苗栗縣公館都市計畫(98年)"/>
        <s v="WMTS_1/1000地形圖_苗栗縣竹南頭份都市計畫(94年)"/>
        <s v="WMTS_1/1000地形圖_苗栗縣卓蘭都市計畫(89年)"/>
        <s v="WMTS_1/1000地形圖_苗栗縣明德水庫特定區計畫(93年)"/>
        <s v="WMTS_1/1000地形圖_苗栗縣南庄都市計畫(98年)"/>
        <s v="WMTS_1/1000地形圖_苗栗縣後龍外埔漁港特定區計畫(95年)"/>
        <s v="WMTS_1/1000地形圖_苗栗縣後龍都市計畫(97年)"/>
        <s v="WMTS_1/1000地形圖_苗栗縣苑裡都市計畫(98年)"/>
        <s v="WMTS_1/1000地形圖_苗栗縣苗栗都市計畫(112年)"/>
        <s v="WMTS_1/1000地形圖_苗栗縣苗栗都市計畫(93年)"/>
        <s v="WMTS_1/1000地形圖_苗栗縣高速公路苗栗交流道附近特定區計畫(112年)"/>
        <s v="WMTS_1/1000地形圖_苗栗縣高速鐵路苗栗車站特定區計畫(92年)"/>
        <s v="WMTS_1/1000地形圖_苗栗縣通霄都市計畫(98年)"/>
        <s v="WMTS_1/1000地形圖_苗栗縣造橋都市計畫(97年)"/>
        <s v="WMTS_1/1000地形圖_苗栗縣新竹科學園區竹南基地特定區計畫(95年)"/>
        <s v="WMTS_1/1000地形圖_苗栗縣銅鑼都市計畫(98年)"/>
        <s v="WMTS_1/1000地形圖_苗栗縣頭份交流道特定區計畫(96年)"/>
        <s v="WMTS_1/1000地形圖_苗栗縣頭屋都市計畫(112年)"/>
        <s v="WMTS_1/1000地形圖_苗栗縣頭屋都市計畫(98年)"/>
        <s v="WMTS_1/1000地形圖_桃園市八德(八德地區)都市計畫(111年)"/>
        <s v="WMTS_1/1000地形圖_桃園市八德(大湳地區)都市計畫(111年)"/>
        <s v="WMTS_1/1000地形圖_桃園市八德大湳都市計畫(92年)"/>
        <s v="WMTS_1/1000地形圖_桃園市大園(菓林)都市計畫(107年)"/>
        <s v="WMTS_1/1000地形圖_桃園市大園果林都市計畫(98年)"/>
        <s v="WMTS_1/1000地形圖_桃園市大園都市計畫(108年)"/>
        <s v="WMTS_1/1000地形圖_桃園市大園都市計畫(98年)"/>
        <s v="WMTS_1/1000地形圖_桃園市大溪(埔頂地區)都市計畫(111年)"/>
        <s v="WMTS_1/1000地形圖_桃園市大溪埔頂都市計畫(102年)"/>
        <s v="WMTS_1/1000地形圖_桃園市大溪都市計畫(93年)"/>
        <s v="WMTS_1/1000地形圖_桃園市小烏來風景特定區計畫(100年)"/>
        <s v="WMTS_1/1000地形圖_桃園市中壢(龍岡地區)都市計畫(111年)"/>
        <s v="WMTS_1/1000地形圖_桃園市中壢及內壢交流道特定區計畫(100年)"/>
        <s v="WMTS_1/1000地形圖_桃園市中壢平鎮都市計畫(100年)"/>
        <s v="WMTS_1/1000地形圖_桃園市中壢平鎮都市計畫(111年)"/>
        <s v="WMTS_1/1000地形圖_桃園市中壢過嶺地區等都市計畫(100年)"/>
        <s v="WMTS_1/1000地形圖_桃園市中壢龍岡都市計畫(95年)"/>
        <s v="WMTS_1/1000地形圖_桃園市巴陵達觀山風景特定區計畫(100年)"/>
        <s v="WMTS_1/1000地形圖_桃園市平鎮(山子頂地區)都市計畫(112年)"/>
        <s v="WMTS_1/1000地形圖_桃園市平鎮山子頂都市計畫(96年)"/>
        <s v="WMTS_1/1000地形圖_桃園市石門水庫水源特定區計畫(100年)"/>
        <s v="WMTS_1/1000地形圖_桃園市石門都市計畫(102年)"/>
        <s v="WMTS_1/1000地形圖_桃園市林口特定區計畫(101年)"/>
        <s v="WMTS_1/1000地形圖_桃園市南崁都市計畫(107年)"/>
        <s v="WMTS_1/1000地形圖_桃園市南崁都市計畫(94年)"/>
        <s v="WMTS_1/1000地形圖_桃園市桃園市都市計畫(103(105年)"/>
        <s v="WMTS_1/1000地形圖_桃園市航空城(大園南港特定區)計畫(98年)"/>
        <s v="WMTS_1/1000地形圖_桃園市航空城特定區計畫(110年)"/>
        <s v="WMTS_1/1000地形圖_桃園市高鐵桃園車站特定區計畫(98年)"/>
        <s v="WMTS_1/1000地形圖_桃園市高鐵特定區計畫(105年)"/>
        <s v="WMTS_1/1000地形圖_桃園市復興都市計畫(94年)"/>
        <s v="WMTS_1/1000地形圖_桃園市新屋都市計畫(100年)"/>
        <s v="WMTS_1/1000地形圖_桃園市新屋都市計畫(113年)"/>
        <s v="WMTS_1/1000地形圖_桃園市楊梅都市計畫(102年)"/>
        <s v="WMTS_1/1000地形圖_桃園市楊梅富岡豐野都市計畫(100年)"/>
        <s v="WMTS_1/1000地形圖_桃園市龍壽迴龍都市計畫(98年)"/>
        <s v="WMTS_1/1000地形圖_桃園市龍潭都市計畫(113年)"/>
        <s v="WMTS_1/1000地形圖_桃園市龍潭都市計畫(97年)"/>
        <s v="WMTS_1/1000地形圖_桃園市龜山都市計畫(98年)"/>
        <s v="WMTS_1/1000地形圖_桃園市縱貫公路內壢間都市計畫(100年)"/>
        <s v="WMTS_1/1000地形圖_桃園市蘆竹大竹都市計畫(98年)"/>
        <s v="WMTS_1/1000地形圖_桃園市觀音(新坡地區)都市計畫(113年)"/>
        <s v="WMTS_1/1000地形圖_桃園市觀音草漯都市計畫(100年)"/>
        <s v="WMTS_1/1000地形圖_桃園市觀音都市計畫(113年)"/>
        <s v="WMTS_1/1000地形圖_桃園市觀音都市計畫(94年)"/>
        <s v="WMTS_1/1000地形圖_桃園市觀音新坡都市計畫(94年)"/>
        <s v="WMTS_1/1000地形圖_高雄市(三民.苓雅.前金.新興.前鎮.鹽埕)都市計畫(113年)"/>
        <s v="WMTS_1/1000地形圖_高雄市大坪頂以東地區88以北(93年)"/>
        <s v="WMTS_1/1000地形圖_高雄市大坪頂以東地區88以北(94年)"/>
        <s v="WMTS_1/1000地形圖_高雄市大坪頂以東地區88以南(97年)"/>
        <s v="WMTS_1/1000地形圖_高雄市大坪頂特定區計畫(99年)"/>
        <s v="WMTS_1/1000地形圖_高雄市大社都市計畫(105年)"/>
        <s v="WMTS_1/1000地形圖_高雄市大寮都市計畫(105年)"/>
        <s v="WMTS_1/1000地形圖_高雄市大樹九曲堂都市計畫(106年)"/>
        <s v="WMTS_1/1000地形圖_高雄市大樹都市計畫(107年)"/>
        <s v="WMTS_1/1000地形圖_高雄市大樹都市計畫(92年)"/>
        <s v="WMTS_1/1000地形圖_高雄市仁武都市計畫(100年)"/>
        <s v="WMTS_1/1000地形圖_高雄市六龜彩蝶谷風景特定區計畫(99年)"/>
        <s v="WMTS_1/1000地形圖_高雄市月世界風景特定區計畫(99年)"/>
        <s v="WMTS_1/1000地形圖_高雄市左營鼓山都市計畫(113年)"/>
        <s v="WMTS_1/1000地形圖_高雄市甲仙都市計畫(99年)"/>
        <s v="WMTS_1/1000地形圖_高雄市岡山交流道特定區計畫(99年)"/>
        <s v="WMTS_1/1000地形圖_高雄市岡山都市計畫(112年)"/>
        <s v="WMTS_1/1000地形圖_高雄市岡山都市計畫(98年)"/>
        <s v="WMTS_1/1000地形圖_高雄市阿蓮都市計畫(104年)"/>
        <s v="WMTS_1/1000地形圖_高雄市美濃中正湖風景特定區計畫(101年)"/>
        <s v="WMTS_1/1000地形圖_高雄市美濃都市計畫(105年)"/>
        <s v="WMTS_1/1000地形圖_高雄市茄萣都市計畫及興達港漁業特定區計畫(101年)"/>
        <s v="WMTS_1/1000地形圖_高雄市梓官都市計畫(101年)"/>
        <s v="WMTS_1/1000地形圖_高雄市梓官都市計畫(109年)"/>
        <s v="WMTS_1/1000地形圖_高雄市蚵仔寮近海漁業特定區計畫(101年)"/>
        <s v="WMTS_1/1000地形圖_高雄市都市計畫(102年)"/>
        <s v="WMTS_1/1000地形圖_高雄市鳥松仁美地區都市計畫(101年)"/>
        <s v="WMTS_1/1000地形圖_高雄市鳥松仁美地區都市計畫(108年)"/>
        <s v="WMTS_1/1000地形圖_高雄市湖內含大湖都市計畫(101年)"/>
        <s v="WMTS_1/1000地形圖_高雄市新市鎮特定區計畫(102年)"/>
        <s v="WMTS_1/1000地形圖_高雄市新市鎮特定區計畫(97年)"/>
        <s v="WMTS_1/1000地形圖_高雄市楠梓交流道特定區計畫鳳山厝(106年)"/>
        <s v="WMTS_1/1000地形圖_高雄市楠梓計畫(113年)"/>
        <s v="WMTS_1/1000地形圖_高雄市路竹都市計畫(106年)"/>
        <s v="WMTS_1/1000地形圖_高雄市旗山都市計畫(99年)"/>
        <s v="WMTS_1/1000地形圖_高雄市鳳山都市計畫(100年)"/>
        <s v="WMTS_1/1000地形圖_高雄市鳳山都市計畫(113年)"/>
        <s v="WMTS_1/1000地形圖_高雄市燕巢都市計畫(104年)"/>
        <s v="WMTS_1/1000地形圖_高雄市興達港漁業特定區計畫(109年)"/>
        <s v="WMTS_1/1000地形圖_高雄市彌陀都市計畫(101年)"/>
        <s v="WMTS_1/1000地形圖_基隆市都市計畫(111年)"/>
        <s v="WMTS_1/1000地形圖_基隆市都市計畫(96年)"/>
        <s v="WMTS_1/1000地形圖_連江縣都市計畫"/>
        <s v="WMTS_1/1000地形圖_湖口都市計畫(94年)"/>
        <s v="WMTS_1/1000地形圖_雲林縣二崙都市計畫(112年)"/>
        <s v="WMTS_1/1000地形圖_雲林縣二崙都市計畫(99年)"/>
        <s v="WMTS_1/1000地形圖_雲林縣大埤都市計畫(97年)"/>
        <s v="WMTS_1/1000地形圖_雲林縣元長都市計畫(100年)"/>
        <s v="WMTS_1/1000地形圖_雲林縣斗六(含大潭地區)都市計畫(113年)"/>
        <s v="WMTS_1/1000地形圖_雲林縣斗六都市計畫(99年)"/>
        <s v="WMTS_1/1000地形圖_雲林縣斗六嘉東地區特定區計畫(112年)"/>
        <s v="WMTS_1/1000地形圖_雲林縣斗六嘉東特定區計畫(97年)"/>
        <s v="WMTS_1/1000地形圖_雲林縣斗南交流道特定區計畫(98年)"/>
        <s v="WMTS_1/1000地形圖_雲林縣古坑都市計畫(100年)"/>
        <s v="WMTS_1/1000地形圖_雲林縣台西都市計畫(97年)"/>
        <s v="WMTS_1/1000地形圖_雲林縣四湖都市計畫(97年)"/>
        <s v="WMTS_1/1000地形圖_雲林縣東勢都市計畫(97年)"/>
        <s v="WMTS_1/1000地形圖_雲林縣林內都市計畫(97年)"/>
        <s v="WMTS_1/1000地形圖_雲林縣草嶺都市計畫(97年)"/>
        <s v="WMTS_1/1000地形圖_雲林縣高速鐵路雲林車站特定區計畫(113年)"/>
        <s v="WMTS_1/1000地形圖_雲林縣崙背都市計畫(112年)"/>
        <s v="WMTS_1/1000地形圖_雲林縣崙背都市計畫(97年)"/>
        <s v="WMTS_1/1000地形圖_雲林縣莿桐都市計畫(113年)"/>
        <s v="WMTS_1/1000地形圖_雲林縣箔子寮漁港特定區計畫(112年)"/>
        <s v="WMTS_1/1000地形圖_雲林縣箔子寮漁港特定區計畫(97年)"/>
        <s v="WMTS_1/1000地形圖_雲林縣褒忠都市計畫(97年)"/>
        <s v="WMTS_1/1000地形圖_新北市八里都市計畫(101年)"/>
        <s v="WMTS_1/1000地形圖_新北市八里都市計畫(107年)"/>
        <s v="WMTS_1/1000地形圖_新北市三芝都市計畫(104年)"/>
        <s v="WMTS_1/1000地形圖_新北市三芝都市計畫(109年)"/>
        <s v="WMTS_1/1000地形圖_新北市三重都市計畫(103年)"/>
        <s v="WMTS_1/1000地形圖_新北市三重都市計畫(110年)"/>
        <s v="WMTS_1/1000地形圖_新北市三峽都市計畫(105年)"/>
        <s v="WMTS_1/1000地形圖_新北市三峽都市計畫(111年)"/>
        <s v="WMTS_1/1000地形圖_新北市土城都市計畫(103年)"/>
        <s v="WMTS_1/1000地形圖_新北市土城都市計畫(109年)"/>
        <s v="WMTS_1/1000地形圖_新北市中和都市計畫(104年)"/>
        <s v="WMTS_1/1000地形圖_新北市中和都市計畫(112年)"/>
        <s v="WMTS_1/1000地形圖_新北市五股都市計畫(101年)"/>
        <s v="WMTS_1/1000地形圖_新北市五股都市計畫(107年)"/>
        <s v="WMTS_1/1000地形圖_新北市平溪都市計畫(103年)"/>
        <s v="WMTS_1/1000地形圖_新北市平溪都市計畫(110年)"/>
        <s v="WMTS_1/1000地形圖_新北市永和都市計畫(104年)"/>
        <s v="WMTS_1/1000地形圖_新北市永和都市計畫(112年)"/>
        <s v="WMTS_1/1000地形圖_新北市石門都市計畫(104年)"/>
        <s v="WMTS_1/1000地形圖_新北市石門都市計畫(110年)"/>
        <s v="WMTS_1/1000地形圖_新北市石碇都市計畫(104年)"/>
        <s v="WMTS_1/1000地形圖_新北市石碇都市計畫(110年)"/>
        <s v="WMTS_1/1000地形圖_新北市汐止都市計畫(102年)"/>
        <s v="WMTS_1/1000地形圖_新北市汐止都市計畫(108年)"/>
        <s v="WMTS_1/1000地形圖_新北市坪林都市計畫(104年)"/>
        <s v="WMTS_1/1000地形圖_新北市坪林都市計畫(110年)"/>
        <s v="WMTS_1/1000地形圖_新北市板橋都市計畫(103年)"/>
        <s v="WMTS_1/1000地形圖_新北市板橋都市計畫(109年)"/>
        <s v="WMTS_1/1000地形圖_新北市林口都市計畫(101年)"/>
        <s v="WMTS_1/1000地形圖_新北市林口都市計畫(107年)"/>
        <s v="WMTS_1/1000地形圖_新北市金山都市計畫(103年)"/>
        <s v="WMTS_1/1000地形圖_新北市金山都市計畫(109年)"/>
        <s v="WMTS_1/1000地形圖_新北市泰山都市計畫(105年)"/>
        <s v="WMTS_1/1000地形圖_新北市烏來都市計畫(104年)"/>
        <s v="WMTS_1/1000地形圖_新北市烏來都市計畫(112年)"/>
        <s v="WMTS_1/1000地形圖_新北市貢寮都市計畫(100年)"/>
        <s v="WMTS_1/1000地形圖_新北市貢寮都市計畫(108年)"/>
        <s v="WMTS_1/1000地形圖_新北市貢寮都市計畫(112年)"/>
        <s v="WMTS_1/1000地形圖_新北市淡水都市計畫(105年)"/>
        <s v="WMTS_1/1000地形圖_新北市淡水都市計畫(110年)"/>
        <s v="WMTS_1/1000地形圖_新北市深坑都市計畫(104年)"/>
        <s v="WMTS_1/1000地形圖_新北市深坑都市計畫(110年)"/>
        <s v="WMTS_1/1000地形圖_新北市新店都市計畫(104年)"/>
        <s v="WMTS_1/1000地形圖_新北市新店都市計畫(111年)"/>
        <s v="WMTS_1/1000地形圖_新北市新莊都市計畫(105年)"/>
        <s v="WMTS_1/1000地形圖_新北市瑞芳都市計畫(105年)"/>
        <s v="WMTS_1/1000地形圖_新北市瑞芳都市計畫(111年)"/>
        <s v="WMTS_1/1000地形圖_新北市萬里都市計畫(103年)"/>
        <s v="WMTS_1/1000地形圖_新北市萬里都市計畫(109年)"/>
        <s v="WMTS_1/1000地形圖_新北市樹林都市計畫(105年)"/>
        <s v="WMTS_1/1000地形圖_新北市雙溪都市計畫(103年)"/>
        <s v="WMTS_1/1000地形圖_新北市雙溪都市計畫(112年)"/>
        <s v="WMTS_1/1000地形圖_新北市蘆洲都市計畫(104年)"/>
        <s v="WMTS_1/1000地形圖_新北市蘆洲都市計畫(110年)"/>
        <s v="WMTS_1/1000地形圖_新北市鶯歌都市計畫(105年)"/>
        <s v="WMTS_1/1000地形圖_新北市鶯歌都市計畫(111年)"/>
        <s v="WMTS_1/1000地形圖_新竹市北區都市計畫(110年)"/>
        <s v="WMTS_1/1000地形圖_新竹市北區都市計畫(113年)"/>
        <s v="WMTS_1/1000地形圖_新竹市東區都市計畫(109年)"/>
        <s v="WMTS_1/1000地形圖_新竹市東區都市計畫(112年)"/>
        <s v="WMTS_1/1000地形圖_新竹市香山區都市計畫(108年)"/>
        <s v="WMTS_1/1000地形圖_新竹市香山區都市計畫(111年)"/>
        <s v="WMTS_1/1000地形圖_新竹市都市計畫(104-106年)"/>
        <s v="WMTS_1/1000地形圖_新竹科學工業園區特定區計畫(竹東部分)(112年)"/>
        <s v="WMTS_1/1000地形圖_新竹科學工業園區特定區計畫(寶山部分)(112年)"/>
        <s v="WMTS_1/1000地形圖_新竹縣竹北(含斗崙地區)都市計畫(113年)"/>
        <s v="WMTS_1/1000地形圖_新竹縣高速鐵路新竹車站特定區計畫(113年)"/>
        <s v="WMTS_1/1000地形圖_新竹縣寶山都市計畫(112年)"/>
        <s v="WMTS_1/1000地形圖_新埔都市計畫(94年)"/>
        <s v="WMTS_1/1000地形圖_新豐(山崎仔地區(都市計畫(94年)"/>
        <s v="WMTS_1/1000地形圖_新豐(新庄子地區(都市計畫(94年)"/>
        <s v="WMTS_1/1000地形圖_嘉義縣大林都市計畫(112年)"/>
        <s v="WMTS_1/1000地形圖_嘉義縣大林都市計畫(97年)"/>
        <s v="WMTS_1/1000地形圖_嘉義縣大埔都市計畫(101年)"/>
        <s v="WMTS_1/1000地形圖_嘉義縣中正大學特定區計畫(97年)"/>
        <s v="WMTS_1/1000地形圖_嘉義縣中埔和睦地區都市計畫(99年)"/>
        <s v="WMTS_1/1000地形圖_嘉義縣中埔都市計畫(99年)"/>
        <s v="WMTS_1/1000地形圖_嘉義縣中崙風景特定區計畫(99年)"/>
        <s v="WMTS_1/1000地形圖_嘉義縣仁義潭風景特定區計畫(99年)"/>
        <s v="WMTS_1/1000地形圖_嘉義縣仁義潭風景特定區計畫(嘉義縣部分)(112年)"/>
        <s v="WMTS_1/1000地形圖_嘉義縣六腳蒜頭都市計畫(98年)"/>
        <s v="WMTS_1/1000地形圖_嘉義縣太保都市計畫(112年)"/>
        <s v="WMTS_1/1000地形圖_嘉義縣太保都市計畫(94年)"/>
        <s v="WMTS_1/1000地形圖_嘉義縣水上北回都市計畫(98年)"/>
        <s v="WMTS_1/1000地形圖_嘉義縣水上都市計畫(98年)"/>
        <s v="WMTS_1/1000地形圖_嘉義縣布袋都市計畫(98年)"/>
        <s v="WMTS_1/1000地形圖_嘉義縣民雄(頭橋地區)都市計畫(113年)"/>
        <s v="WMTS_1/1000地形圖_嘉義縣民雄都市計畫(113年)"/>
        <s v="WMTS_1/1000地形圖_嘉義縣民雄都市計畫(97年)"/>
        <s v="WMTS_1/1000地形圖_嘉義縣民雄頭橋地區都市計畫(97年)"/>
        <s v="WMTS_1/1000地形圖_嘉義縣朴子都市計畫(94年)"/>
        <s v="WMTS_1/1000地形圖_嘉義縣竹崎都市計畫(99年)"/>
        <s v="WMTS_1/1000地形圖_嘉義縣竹崎鄉都市計畫(113年)"/>
        <s v="WMTS_1/1000地形圖_嘉義縣吳鳳廟特定區計畫(112年)"/>
        <s v="WMTS_1/1000地形圖_嘉義縣吳鳳廟特定區計畫(99年)"/>
        <s v="WMTS_1/1000地形圖_嘉義縣治都市計畫(112年)"/>
        <s v="WMTS_1/1000地形圖_嘉義縣阿里山風景區計畫(110年)"/>
        <s v="WMTS_1/1000地形圖_嘉義縣阿里山鄉都市計畫(113年)"/>
        <s v="WMTS_1/1000地形圖_嘉義縣阿里山達邦地區都市計畫(99年)"/>
        <s v="WMTS_1/1000地形圖_嘉義縣高速公路嘉義交流道特定區計畫(98年)"/>
        <s v="WMTS_1/1000地形圖_嘉義縣高速鐵路嘉義車站特定區計畫(112年)"/>
        <s v="WMTS_1/1000地形圖_嘉義縣高速鐵路嘉義車站特定區計畫(94年)"/>
        <s v="WMTS_1/1000地形圖_嘉義縣國立中正大學特定區計畫(112年)"/>
        <s v="WMTS_1/1000地形圖_嘉義縣梅山都市計畫(97年)"/>
        <s v="WMTS_1/1000地形圖_嘉義縣鹿草都市計畫(99年)"/>
        <s v="WMTS_1/1000地形圖_嘉義縣曾文水庫特定區計畫(101年)"/>
        <s v="WMTS_1/1000地形圖_嘉義縣番路鄉都市計畫(113年)"/>
        <s v="WMTS_1/1000地形圖_嘉義縣新港都市計畫(97年)"/>
        <s v="WMTS_1/1000地形圖_嘉義縣溪口都市計畫(97年)"/>
        <s v="WMTS_1/1000地形圖_嘉義縣義竹都市計畫(98年)"/>
        <s v="WMTS_1/1000地形圖_嘉義縣縣治所在地都市計畫(94年)"/>
        <s v="WMTS_1/1000地形圖_彰化縣二水都市計畫(97年)"/>
        <s v="WMTS_1/1000地形圖_彰化縣二林都市計畫(97年)"/>
        <s v="WMTS_1/1000地形圖_彰化縣八卦山脈(八卦山地區)都市計畫(98年)"/>
        <s v="WMTS_1/1000地形圖_彰化縣八卦山脈(文山橫山地區)都市計畫(98年)"/>
        <s v="WMTS_1/1000地形圖_彰化縣八卦山脈(各區道路)都市計畫(98年)"/>
        <s v="WMTS_1/1000地形圖_彰化縣八卦山脈(百果山地區)都市計畫(98年)"/>
        <s v="WMTS_1/1000地形圖_彰化縣八卦山脈(東源地區)都市計畫(98年)"/>
        <s v="WMTS_1/1000地形圖_彰化縣八卦山脈(松柏嶺地區)都市計畫(98年)"/>
        <s v="WMTS_1/1000地形圖_彰化縣大村都市計畫(97年)"/>
        <s v="WMTS_1/1000地形圖_彰化縣大城都市計畫(98年)"/>
        <s v="WMTS_1/1000地形圖_彰化縣北斗都市計畫(97年)"/>
        <s v="WMTS_1/1000地形圖_彰化縣永靖都市計畫(98年)"/>
        <s v="WMTS_1/1000地形圖_彰化縣田中都市計畫(100年)"/>
        <s v="WMTS_1/1000地形圖_彰化縣田尾都市計畫(102年)"/>
        <s v="WMTS_1/1000地形圖_彰化縣田尾園藝特定區計畫(102年)"/>
        <s v="WMTS_1/1000地形圖_彰化縣竹塘都市計畫(98年)"/>
        <s v="WMTS_1/1000地形圖_彰化縣伸港都市計畫(97年)"/>
        <s v="WMTS_1/1000地形圖_彰化縣秀水都市計畫(98年)"/>
        <s v="WMTS_1/1000地形圖_彰化縣和美都市計畫(102年)"/>
        <s v="WMTS_1/1000地形圖_彰化縣社頭都市計畫(97年)"/>
        <s v="WMTS_1/1000地形圖_彰化縣芬園都市計畫(98年)"/>
        <s v="WMTS_1/1000地形圖_彰化縣花壇都市計畫(98年)"/>
        <s v="WMTS_1/1000地形圖_彰化縣芳苑都市計畫(98年)"/>
        <s v="WMTS_1/1000地形圖_彰化縣員林都市計畫(99年)"/>
        <s v="WMTS_1/1000地形圖_彰化縣埔心都市計畫(100年)"/>
        <s v="WMTS_1/1000地形圖_彰化縣埔鹽都市計畫(97年)"/>
        <s v="WMTS_1/1000地形圖_彰化縣高速公路員林交流道特定區計畫(98年)"/>
        <s v="WMTS_1/1000地形圖_彰化縣高速公路彰化交流道附近特定區計畫(112年)"/>
        <s v="WMTS_1/1000地形圖_彰化縣高速公路彰化交流道特定區計畫(100年)"/>
        <s v="WMTS_1/1000地形圖_彰化縣高速鐵路彰化車站特定區計畫(102年)"/>
        <s v="WMTS_1/1000地形圖_彰化縣埤頭都市計畫(100年)"/>
        <s v="WMTS_1/1000地形圖_彰化縣鹿港福興都市計畫(97年)"/>
        <s v="WMTS_1/1000地形圖_彰化縣溪州都市計畫(97年)"/>
        <s v="WMTS_1/1000地形圖_彰化縣溪湖都市計畫(102年)"/>
        <s v="WMTS_1/1000地形圖_彰化縣彰化市都市計畫(99年)"/>
        <s v="WMTS_1/1000地形圖_彰化縣彰化都市計畫(112年)"/>
        <s v="WMTS_1/1000地形圖_彰化縣線西都市計畫(97年)"/>
        <s v="WMTS_1/1000地形圖_臺中市大甲(日南)都市計畫(100年)"/>
        <s v="WMTS_1/1000地形圖_臺中市大甲都市計畫(98年)"/>
        <s v="WMTS_1/1000地形圖_臺中市大安都市計畫(100年)"/>
        <s v="WMTS_1/1000地形圖_臺中市大肚都市計畫(112年)"/>
        <s v="WMTS_1/1000地形圖_臺中市大肚都市計畫(98年)"/>
        <s v="WMTS_1/1000地形圖_臺中市大里(草湖)都市計畫(91年)"/>
        <s v="WMTS_1/1000地形圖_臺中市大里都市計畫(96年)"/>
        <s v="WMTS_1/1000地形圖_臺中市大雅都市計畫(97年)"/>
        <s v="WMTS_1/1000地形圖_臺中市中部科學工業園區(93年)"/>
        <s v="WMTS_1/1000地形圖_臺中市中部科學工業園區台中基地附近特定區計畫(113年)"/>
        <s v="WMTS_1/1000地形圖_臺中市太平(中平)都市計畫(90年)"/>
        <s v="WMTS_1/1000地形圖_臺中市太平(新光)都市計畫(90年)"/>
        <s v="WMTS_1/1000地形圖_臺中市太平都市計畫(90年)"/>
        <s v="WMTS_1/1000地形圖_臺中市日南都市計畫(100年)"/>
        <s v="WMTS_1/1000地形圖_臺中市王田交流道特定區計畫(95年)"/>
        <s v="WMTS_1/1000地形圖_臺中市外埔都市計畫(100年)"/>
        <s v="WMTS_1/1000地形圖_臺中市石岡水壩都市計畫(91年)"/>
        <s v="WMTS_1/1000地形圖_臺中市后里都市計畫(98年)"/>
        <s v="WMTS_1/1000地形圖_臺中市谷關都市計畫(96年)"/>
        <s v="WMTS_1/1000地形圖_臺中市東勢都市計畫(112年)"/>
        <s v="WMTS_1/1000地形圖_臺中市東勢都市計畫(91年)"/>
        <s v="WMTS_1/1000地形圖_臺中市烏日都市計畫(112年)"/>
        <s v="WMTS_1/1000地形圖_臺中市烏日都市計畫(91年)"/>
        <s v="WMTS_1/1000地形圖_臺中市高速公路王田交流道附近特定區計畫(112年)"/>
        <s v="WMTS_1/1000地形圖_臺中市梨山(松茂)都市計畫(96年)"/>
        <s v="WMTS_1/1000地形圖_臺中市梨山(新佳陽)都市計畫(96年)"/>
        <s v="WMTS_1/1000地形圖_臺中市梨山(環山)都市計畫(96年)"/>
        <s v="WMTS_1/1000地形圖_臺中市梨山都市計畫(96年)"/>
        <s v="WMTS_1/1000地形圖_臺中市都市計畫(107年)"/>
        <s v="WMTS_1/1000地形圖_臺中市新社都市計畫(112年)"/>
        <s v="WMTS_1/1000地形圖_臺中市新社都市計畫(91年)"/>
        <s v="WMTS_1/1000地形圖_臺中市臺中港特定區計畫(95年)"/>
        <s v="WMTS_1/1000地形圖_臺中市潭子都市計畫(94年)"/>
        <s v="WMTS_1/1000地形圖_臺中市豐原交流道特定區計畫(94年)"/>
        <s v="WMTS_1/1000地形圖_臺中市豐原都市計畫(94年)"/>
        <s v="WMTS_1/1000地形圖_臺中市豐潭雅神都市計畫(113年)"/>
        <s v="WMTS_1/1000地形圖_臺中市霧峰都市計畫(92年)"/>
        <s v="WMTS_1/1000地形圖_臺中市鐵砧山風景特定區計畫(93年)"/>
        <s v="WMTS_1/1000地形圖_臺中市鐵砧山都市計畫(93年)"/>
        <s v="WMTS_1/1000地形圖_臺東市都市計畫(100年)"/>
        <s v="WMTS_1/1000地形圖_臺東縣八仙洞風景特定區計畫(101年)"/>
        <s v="WMTS_1/1000地形圖_臺東縣三仙台風景特定區計畫(101年)"/>
        <s v="WMTS_1/1000地形圖_臺東縣大武都市計畫(99年)"/>
        <s v="WMTS_1/1000地形圖_臺東縣小野柳風景特定區計畫(94年)"/>
        <s v="WMTS_1/1000地形圖_臺東縣太麻里都市計畫(98年)"/>
        <s v="WMTS_1/1000地形圖_臺東縣成功都市計畫(98年)"/>
        <s v="WMTS_1/1000地形圖_臺東縣池上都市計畫(99年)"/>
        <s v="WMTS_1/1000地形圖_臺東縣卑南南王都市計畫(99年)"/>
        <s v="WMTS_1/1000地形圖_臺東縣東河都市計畫(100年)"/>
        <s v="WMTS_1/1000地形圖_臺東縣知本溫泉風景特定區計畫(100年)"/>
        <s v="WMTS_1/1000地形圖_臺東縣知本鐵路車站地區(94年)"/>
        <s v="WMTS_1/1000地形圖_臺東縣長濱都市計畫(101年)"/>
        <s v="WMTS_1/1000地形圖_臺東縣紅葉溫泉風景特定區計畫(99年)"/>
        <s v="WMTS_1/1000地形圖_臺東縣鹿野都市計畫(98年)"/>
        <s v="WMTS_1/1000地形圖_臺東縣綠島風景特定區計畫(101年)"/>
        <s v="WMTS_1/1000地形圖_臺東縣綠島都市計畫(111年)"/>
        <s v="WMTS_1/1000地形圖_臺東縣臺東市都市計畫(112年)"/>
        <s v="WMTS_1/1000地形圖_臺東縣臺東鐵路新站附近地區都市計畫(113年)"/>
        <s v="WMTS_1/1000地形圖_臺東縣關山都市計畫(98年)"/>
        <s v="WMTS_1/1000地形圖_臺東縣蘭嶼都市計畫(109年)"/>
        <s v="WMTS_1/1000地形圖_臺東鐵路新站附近地區(94年)"/>
        <s v="WMTS_1/1000地形圖_臺南市永康區都市計畫(97年)"/>
        <s v="WMTS_1/1000地形圖_臺南市佳里都市計畫(113年)"/>
        <s v="WMTS_1/1000地形圖_臺南市柳營都市計畫(112年)"/>
        <s v="WMTS_1/1000地形圖_臺南市高速公路新營交流道附近特定區計畫(112年)"/>
        <s v="WMTS_1/1000地形圖_臺南市都市計畫(100年)"/>
        <s v="WMTS_1/1000地形圖_臺南市都市計畫(101年)"/>
        <s v="WMTS_1/1000地形圖_臺南市都市計畫(102年)"/>
        <s v="WMTS_1/1000地形圖_臺南市都市計畫(93年)"/>
        <s v="WMTS_1/1000地形圖_臺南市都市計畫(99年)"/>
        <s v="WMTS_1/1000地形圖_臺南市新營都市計畫(112年)"/>
        <s v="WMTS_1/1000地形圖_臺南市鹽水都市計畫(112年)"/>
        <s v="WMTS_1/1000地形圖_澎湖縣二崁都市計畫(104年)"/>
        <s v="WMTS_1/1000地形圖_澎湖縣二崁傳統聚落特定區計畫(112年)"/>
        <s v="WMTS_1/1000地形圖_澎湖縣白沙通梁地區都市計畫(112年)"/>
        <s v="WMTS_1/1000地形圖_澎湖縣白沙鄉都市計畫(99年)"/>
        <s v="WMTS_1/1000地形圖_澎湖縣西嶼西台古蹟特定區計畫(112年)"/>
        <s v="WMTS_1/1000地形圖_澎湖縣西嶼西台都市計畫(95年)"/>
        <s v="WMTS_1/1000地形圖_澎湖縣林投風景特定區計畫(112年)"/>
        <s v="WMTS_1/1000地形圖_澎湖縣林投都市計畫(96年)"/>
        <s v="WMTS_1/1000地形圖_澎湖縣花宅聚落(103年)"/>
        <s v="WMTS_1/1000地形圖_澎湖縣南方四島國家公園計畫(104年)"/>
        <s v="WMTS_1/1000地形圖_澎湖縣馬公市都市計畫(113年)"/>
        <s v="WMTS_1/1000地形圖_澎湖縣馬公都市計畫(112年)"/>
        <s v="WMTS_1/1000地形圖_澎湖縣馬公都市計畫(97-98年)"/>
        <s v="WMTS_1/1000地形圖_澎湖縣湖西鄉都市計畫(113年)"/>
        <s v="WMTS_1/1000地形圖_澎湖縣鎖港地區都市計畫(112年)"/>
        <s v="WMTS_1/1000地形圖_澎湖縣鎖港都市計畫(104年)"/>
        <s v="WMTS_1/1000地形圖_關西都市計畫(94年)"/>
        <s v="WMTS_1/1000地形圖_寶山都市計畫(93-94年)"/>
        <s v="WMTS_1/25000地形圖(107年)"/>
        <s v="WMTS_1/25000地形圖(108年)"/>
        <s v="WMTS_1/25000地形圖(109年)"/>
        <s v="WMTS_1/25000地形圖(110年)"/>
        <s v="WMTS_1/25000地形圖(111年)"/>
        <s v="WMTS_1/25000地形圖(112年)"/>
        <s v="WMTS_1/25000地形圖(113年)"/>
        <s v="WMTS_1/25000地形圖(114年)"/>
        <s v="WMTS_1/25000基本地形圖"/>
        <s v="WMTS_1/50000地形圖(107年)"/>
        <s v="WMTS_1/50000地形圖(109年)"/>
        <s v="WMTS_1/50000地形圖(110年)"/>
        <s v="WMTS_1/50000地形圖(111年)"/>
        <s v="WMTS_1/50000地形圖(112年)"/>
        <s v="WMTS_1/50000地形圖(113年)"/>
        <s v="WMTS_1/50000基本地形圖"/>
        <s v="WMTS_1/5000基本地形圖"/>
        <s v="WMTS_1/5000基本地形圖(100年)"/>
        <s v="WMTS_1/5000基本地形圖(101年)"/>
        <s v="WMTS_1/5000基本地形圖(102年)"/>
        <s v="WMTS_1/5000基本地形圖(103年)"/>
        <s v="WMTS_1/5000基本地形圖(104年)"/>
        <s v="WMTS_1/5000基本地形圖(105年)"/>
        <s v="WMTS_1/5000基本地形圖(106年)"/>
        <s v="WMTS_1/5000基本地形圖(107年)"/>
        <s v="WMTS_1/5000基本地形圖(108年)"/>
        <s v="WMTS_1/5000基本地形圖(109年)"/>
        <s v="WMTS_1/5000基本地形圖(110年)"/>
        <s v="WMTS_1/5000基本地形圖(111年)"/>
        <s v="WMTS_1/5000基本地形圖(84年)"/>
        <s v="WMTS_1/5000基本地形圖(86年)"/>
        <s v="WMTS_1/5000基本地形圖(87年)"/>
        <s v="WMTS_1/5000基本地形圖(88年)"/>
        <s v="WMTS_1/5000基本地形圖(90年)"/>
        <s v="WMTS_1/5000基本地形圖(91年)"/>
        <s v="WMTS_1/5000基本地形圖(92年)"/>
        <s v="WMTS_1/5000基本地形圖(96年)"/>
        <s v="WMTS_1/5000基本地形圖(98年)"/>
        <s v="WMTS_1/5000基本地形圖(99年)"/>
        <s v="WMTS_1/5000像片基本圖(100年)"/>
        <s v="WMTS_1/5000像片基本圖(101年)"/>
        <s v="WMTS_1/5000像片基本圖(102年)"/>
        <s v="WMTS_1/5000像片基本圖(103年)"/>
        <s v="WMTS_1/5000像片基本圖(104年)"/>
        <s v="WMTS_1/5000像片基本圖(105年)"/>
        <s v="WMTS_1/5000像片基本圖(106年)"/>
        <s v="WMTS_1/5000像片基本圖(107年)"/>
        <s v="WMTS_1/5000像片基本圖(108年)"/>
        <s v="WMTS_1/5000像片基本圖(109年)"/>
        <s v="WMTS_1/5000像片基本圖(110年)"/>
        <s v="WMTS_1/5000像片基本圖(111年)"/>
        <s v="WMTS_1/5000像片基本圖(112年)"/>
        <s v="WMTS_1/5000像片基本圖(113年)"/>
        <s v="WMTS_1/5000像片基本圖(114年)"/>
        <s v="WMTS_1/5000像片基本圖(65年)"/>
        <s v="WMTS_1/5000像片基本圖(66年)"/>
        <s v="WMTS_1/5000像片基本圖(67年)"/>
        <s v="WMTS_1/5000像片基本圖(68年)"/>
        <s v="WMTS_1/5000像片基本圖(69年)"/>
        <s v="WMTS_1/5000像片基本圖(70年)"/>
        <s v="WMTS_1/5000像片基本圖(71年)"/>
        <s v="WMTS_1/5000像片基本圖(72年)"/>
        <s v="WMTS_1/5000像片基本圖(73年)"/>
        <s v="WMTS_1/5000像片基本圖(74年)"/>
        <s v="WMTS_1/5000像片基本圖(75年)"/>
        <s v="WMTS_1/5000像片基本圖(76年)"/>
        <s v="WMTS_1/5000像片基本圖(78年)"/>
        <s v="WMTS_1/5000像片基本圖(79年)"/>
        <s v="WMTS_1/5000像片基本圖(80年)"/>
        <s v="WMTS_1/5000像片基本圖(81年)"/>
        <s v="WMTS_1/5000像片基本圖(83年)"/>
        <s v="WMTS_1/5000像片基本圖(84年)"/>
        <s v="WMTS_1/5000像片基本圖(86年)"/>
        <s v="WMTS_1/5000像片基本圖(87年)"/>
        <s v="WMTS_1/5000像片基本圖(88年)"/>
        <s v="WMTS_1/5000像片基本圖(89年)"/>
        <s v="WMTS_1/5000像片基本圖(90年)"/>
        <s v="WMTS_1/5000像片基本圖(91年)"/>
        <s v="WMTS_1/5000像片基本圖(92年)"/>
        <s v="WMTS_1/5000像片基本圖(93年)"/>
        <s v="WMTS_1/5000像片基本圖(94年)"/>
        <s v="WMTS_1/5000像片基本圖(95年)"/>
        <s v="WMTS_1/5000像片基本圖(96年)"/>
        <s v="WMTS_1/5000像片基本圖(97年)"/>
        <s v="WMTS_1/5000像片基本圖(98年)"/>
        <s v="WMTS_1/5000像片基本圖(99年)"/>
        <s v="WMTS_1/5000圖幅框"/>
        <s v="WMTS_山崩與地滑地質敏感區"/>
        <s v="WMTS_正射影像圖(103年更新區)"/>
        <s v="WMTS_正射影像圖(104年更新區)"/>
        <s v="WMTS_正射影像圖(105年更新區)"/>
        <s v="WMTS_正射影像圖(106年更新區)"/>
        <s v="WMTS_正射影像圖(107年更新區)"/>
        <s v="WMTS_正射影像圖(108年更新區)"/>
        <s v="WMTS_正射影像圖(109年更新區)"/>
        <s v="WMTS_正射影像圖(110年更新區)"/>
        <s v="WMTS_正射影像圖(111年更新區)"/>
        <s v="WMTS_正射影像圖(112年更新區)"/>
        <s v="WMTS_正射影像圖(113年更新區)"/>
        <s v="WMTS_正射影像圖(114年更新區)"/>
        <s v="WMTS_正射影像圖(92-94年成果)"/>
        <s v="WMTS_正射影像圖(最新成果)"/>
        <s v="WMTS_正射影像圖TWD97/TM2 Zone 121"/>
        <s v="WMTS_地政事務所轄區圖"/>
        <s v="WMTS_地段外圍圖(段籍圖,區分測量類別)"/>
        <s v="WMTS_地段外圍圖(段籍圖)"/>
        <s v="WMTS_地籍圖"/>
        <s v="WMTS_村里界線"/>
        <s v="WMTS_村里界線(108年)"/>
        <s v="WMTS_直轄市及縣市界線"/>
        <s v="WMTS_空載光達數值地形變異分析圖(0.5M門檻)"/>
        <s v="WMTS_非都市土地使用分區圖"/>
        <s v="WMTS_非都市土地使用地類別圖"/>
        <s v="WMTS_消防栓位置"/>
        <s v="WMTS_航照影像_馬太鞍溪事件_1140925_1"/>
        <s v="WMTS_航照影像_馬太鞍溪事件_1140925_2"/>
        <s v="WMTS_航照影像_馬太鞍溪事件_1140925_3"/>
        <s v="WMTS_航照影像_馬太鞍溪事件_1140927_1"/>
        <s v="WMTS_航照影像_馬太鞍溪事件_1140927_2"/>
        <s v="WMTS_航照影像_馬太鞍溪事件_1140927_3"/>
        <s v="WMTS_航照影像_馬太鞍溪事件_1140928_1"/>
        <s v="WMTS_航照影像_馬太鞍溪事件_1140928_2"/>
        <s v="WMTS_航照影像_馬太鞍溪事件_1140929_1"/>
        <s v="WMTS_航照影像_馬太鞍溪事件_1140929_2"/>
        <s v="WMTS_航照影像_馬太鞍溪事件_1140930_1"/>
        <s v="WMTS_航照影像_馬太鞍溪事件_1140930_2"/>
        <s v="WMTS_航照影像_馬太鞍溪事件_1141001_1"/>
        <s v="WMTS_航照影像_馬太鞍溪事件_1141002_1"/>
        <s v="WMTS_航照影像_馬太鞍溪事件_1141002_2"/>
        <s v="WMTS_航照影像_馬太鞍溪事件_1141002_3"/>
        <s v="WMTS_航照影像_馬太鞍溪事件_1141003_1"/>
        <s v="WMTS_航照影像_馬太鞍溪事件_1141003_2"/>
        <s v="WMTS_航照影像_馬太鞍溪事件_1141003_3"/>
        <s v="WMTS_航照影像_馬太鞍溪事件_1141003_4"/>
        <s v="WMTS_航照影像_馬太鞍溪事件_1141003_5"/>
        <s v="WMTS_航照影像_馬太鞍溪事件_1141003_6"/>
        <s v="WMTS_航照影像_馬太鞍溪事件_1141003_7"/>
        <s v="WMTS_航照影像_馬太鞍溪事件_1141004_1"/>
        <s v="WMTS_航照影像_馬太鞍溪事件_1141004_2"/>
        <s v="WMTS_航照影像_馬太鞍溪事件_1141004_3"/>
        <s v="WMTS_航照影像_馬太鞍溪事件_1141005_1"/>
        <s v="WMTS_航照影像_馬太鞍溪事件_1141005_2"/>
        <s v="WMTS_航照影像_馬太鞍溪事件_1141005_3"/>
        <s v="WMTS_航照影像_馬太鞍溪事件_1141006_1"/>
        <s v="WMTS_航照影像_馬太鞍溪事件_1141006_2"/>
        <s v="WMTS_航照影像_馬太鞍溪事件_1141006_3"/>
        <s v="WMTS_航照影像_馬太鞍溪事件_1141007_1"/>
        <s v="WMTS_航照影像_馬太鞍溪事件_1141007_2"/>
        <s v="WMTS_航照影像_馬太鞍溪事件_1141007_3"/>
        <s v="WMTS_航照影像_馬太鞍溪事件_1141013_1"/>
        <s v="WMTS_航照影像_馬太鞍溪事件_1141013_2"/>
        <s v="WMTS_航照影像_馬太鞍溪事件_1141013_3"/>
        <s v="WMTS_航照影像_馬太鞍溪事件_1141013_4"/>
        <s v="WMTS_航照影像_馬太鞍溪事件_1141013_5"/>
        <s v="WMTS_航照影像_馬太鞍溪事件_1141013_6"/>
        <s v="WMTS_航照影像_馬太鞍溪事件_1141013_7"/>
        <s v="WMTS_航照影像_馬太鞍溪事件_1141013_8"/>
        <s v="WMTS_航照影像_馬太鞍溪事件_1141013_9"/>
        <s v="WMTS_航照影像_馬太鞍溪事件_1141116_1"/>
        <s v="WMTS_航照影像_馬太鞍溪事件_1141116_2"/>
        <s v="WMTS_航照影像_馬太鞍溪事件_1141116_3"/>
        <s v="WMTS_航照影像_馬太鞍溪事件_1141116_4"/>
        <s v="WMTS_航照影像_馬太鞍溪事件_1141116_5"/>
        <s v="WMTS_航照影像_馬太鞍溪事件_1141116_6"/>
        <s v="WMTS_航照影像_馬太鞍溪事件_1141116_7"/>
        <s v="WMTS_航照影像_馬太鞍溪事件_1141116_8"/>
        <s v="WMTS_航照影像_馬太鞍溪事件_災前(113-114)"/>
        <s v="WMTS_國土利用現況調查成果圖_1類農業"/>
        <s v="WMTS_國土利用現況調查成果圖_2類森林"/>
        <s v="WMTS_國土利用現況調查成果圖_3類交通"/>
        <s v="WMTS_國土利用現況調查成果圖_4類水利"/>
        <s v="WMTS_國土利用現況調查成果圖_5類建築"/>
        <s v="WMTS_國土利用現況調查成果圖_6類公共"/>
        <s v="WMTS_國土利用現況調查成果圖_7類遊憩"/>
        <s v="WMTS_國土利用現況調查成果圖_8類礦鹽"/>
        <s v="WMTS_國土利用現況調查成果圖_9類其他"/>
        <s v="WMTS_國土利用現況調查成果圖(100年更新區)"/>
        <s v="WMTS_國土利用現況調查成果圖(101年更新區)"/>
        <s v="WMTS_國土利用現況調查成果圖(102年更新區)"/>
        <s v="WMTS_國土利用現況調查成果圖(103年更新區)"/>
        <s v="WMTS_國土利用現況調查成果圖(104年更新區)"/>
        <s v="WMTS_國土利用現況調查成果圖(105年更新區)"/>
        <s v="WMTS_國土利用現況調查成果圖(106年更新區)"/>
        <s v="WMTS_國土利用現況調查成果圖(107年更新區)"/>
        <s v="WMTS_國土利用現況調查成果圖(108年更新區)"/>
        <s v="WMTS_國土利用現況調查成果圖(109年更新區)"/>
        <s v="WMTS_國土利用現況調查成果圖(110年更新區)"/>
        <s v="WMTS_國土利用現況調查成果圖(111年更新區)"/>
        <s v="WMTS_國土利用現況調查成果圖(112年更新區)"/>
        <s v="WMTS_國土利用現況調查成果圖(113年更新區)"/>
        <s v="WMTS_國土利用現況調查成果圖(114年更新區)"/>
        <s v="WMTS_國土利用現況調查成果圖(82-84年成果)"/>
        <s v="WMTS_國土利用現況調查成果圖(95-97年成果)"/>
        <s v="WMTS_國土利用現況調查成果圖(98年更新區)"/>
        <s v="WMTS_國土利用現況調查成果圖(99年更新區)"/>
        <s v="WMTS_國土利用現況調查成果圖(最新成果)"/>
        <s v="WMTS_連鎖便利商店"/>
        <s v="WMTS_鄉鎮市區界線"/>
        <s v="WMTS_臺灣通用電子地圖"/>
        <s v="WMTS_臺灣通用電子地圖_交通路網(套疊門牌)"/>
        <s v="WMTS_臺灣通用電子地圖_道路圖層(透明)"/>
        <s v="WMTS_臺灣通用電子地圖(灰階)"/>
        <s v="WMTS_臺灣通用電子地圖(套疊等高線)"/>
        <s v="WMTS_臺灣通用電子地圖(套疊等高線及門牌)"/>
        <s v="WMTS_臺灣通用電子地圖(高DPI文字)"/>
        <s v="WMTS_臺灣通用電子地圖(無文字)"/>
        <s v="WMTS_臺灣通用電子地圖(無鐵公路)"/>
        <s v="WMTS_臺灣通用電子地圖(等高線+門牌)"/>
        <s v="WMTS_臺灣通用電子地圖(響應式文字)"/>
        <s v="WMTS_臺灣通用電子地圖加值分棟建物框"/>
        <s v="WMTS_臺灣通用電子地圖TWD97/TM2 Zone 119"/>
        <s v="WMTS_臺灣通用電子地圖TWD97/TM2 Zone 121"/>
        <s v="WMTS_OPENDATA_公共場所AED位置資訊"/>
        <s v="WMTS_OPENDATA_公有土地地籍圖"/>
        <s v="WMTS_OPENDATA_臺灣通用電子地圖( 比例尺小於一萬八千分之一)"/>
        <s v="WMTS_OPENDATA_臺灣通用電子地圖(套疊等高線, 比例尺小於一萬八千分之一)"/>
        <s v="WMTS_Taiwan E-Map(ResponsiveText)"/>
        <s v="WMTS_TaiwanE-Map"/>
        <s v="WMTS_TaiwanE-Map_Road"/>
        <s v="WMTS_UAV空拍影像_宜蘭縣五結鄉(108年)"/>
        <s v="WMTS_UAV空拍影像_宜蘭縣南澳鄉(107年)"/>
        <s v="WMTS_UAV空拍影像_花蓮縣光復(109年)"/>
        <s v="WMTS_UAV空拍影像_花蓮縣卓溪_1(109年)"/>
        <s v="WMTS_UAV空拍影像_花蓮縣卓溪_2(109年)"/>
        <s v="WMTS_UAV空拍影像_花蓮縣卓溪鄉(106年)"/>
        <s v="WMTS_UAV空拍影像_花蓮縣花蓮市(105年)"/>
        <s v="WMTS_UAV空拍影像_花蓮縣壽豐鄉(101年)"/>
        <s v="WMTS_UAV空拍影像_花蓮縣壽豐鄉豐平大橋(101年)"/>
        <s v="WMTS_UAV空拍影像_南投縣仁愛鄉清境農場(103年)"/>
        <s v="WMTS_UAV空拍影像_南投縣竹山鎮(105年)"/>
        <s v="WMTS_UAV空拍影像_南投縣南投市(航遙測校正場(102年)"/>
        <s v="WMTS_UAV空拍影像_南投縣南投市航遙測校正場(103年)"/>
        <s v="WMTS_UAV空拍影像_南投縣南投市國3南投交流道(103年)"/>
        <s v="WMTS_UAV空拍影像_南投縣草屯鎮(105年)"/>
        <s v="WMTS_UAV空拍影像_南投縣草屯鎮九九峰(106年)"/>
        <s v="WMTS_UAV空拍影像_南投縣國姓鄉國6北山交流道(103年)"/>
        <s v="WMTS_UAV空拍影像_屏東交流道(107年)"/>
        <s v="WMTS_UAV空拍影像_屏東東港(109年)"/>
        <s v="WMTS_UAV空拍影像_屏東海豐外環道(107年)"/>
        <s v="WMTS_UAV空拍影像_屏東縣里港鄉(102年)"/>
        <s v="WMTS_UAV空拍影像_屏東縣里港鄉國10里港交流道(104年)"/>
        <s v="WMTS_UAV空拍影像_屏東縣屏東(109年)"/>
        <s v="WMTS_UAV空拍影像_屏東縣高樹(109年)"/>
        <s v="WMTS_UAV空拍影像_屏東縣滿州鄉(101年)"/>
        <s v="WMTS_UAV空拍影像_屏東縣滿州鄉(102年)"/>
        <s v="WMTS_UAV空拍影像_屏東縣霧台鄉台24谷川大橋(103年)"/>
        <s v="WMTS_UAV空拍影像_苗栗縣西湖(109年)"/>
        <s v="WMTS_UAV空拍影像_苗栗縣卓蘭鎮(101年)"/>
        <s v="WMTS_UAV空拍影像_苗栗縣後龍鎮(101年)"/>
        <s v="WMTS_UAV空拍影像_苗栗縣苑裡鎮火炎山(106年)"/>
        <s v="WMTS_UAV空拍影像_苗栗縣苗栗(109年)"/>
        <s v="WMTS_UAV空拍影像_苗栗縣泰安鄉雪見(111年)"/>
        <s v="WMTS_UAV空拍影像_苗栗縣泰安鄉觀霧(111年)"/>
        <s v="WMTS_UAV空拍影像_苗栗縣通霄鎮(107年)"/>
        <s v="WMTS_UAV空拍影像_苗栗縣造橋鄉台13甲線(104年)"/>
        <s v="WMTS_UAV空拍影像_苗栗縣獅潭鄉汶水橋(104年)"/>
        <s v="WMTS_UAV空拍影像_苗栗縣銅鑼鄉(銅鑼科學園區(103年)"/>
        <s v="WMTS_UAV空拍影像_苗栗縣銅鑼鎮(107年)"/>
        <s v="WMTS_UAV空拍影像_桃園市中路計畫區段徵收(103年)"/>
        <s v="WMTS_UAV空拍影像_桃園市平鎮區(105年)"/>
        <s v="WMTS_UAV空拍影像_桃園市平鎮區(106年)"/>
        <s v="WMTS_UAV空拍影像_桃園市新屋區(105年)"/>
        <s v="WMTS_UAV空拍影像_桃園市新屋區(106年)"/>
        <s v="WMTS_UAV空拍影像_桃園市龜山區(102年)"/>
        <s v="WMTS_UAV空拍影像_桃園市蘆竹區(105年)"/>
        <s v="WMTS_UAV空拍影像_桃園市觀音區(105年)"/>
        <s v="WMTS_UAV空拍影像_桃園市觀音區(106年)"/>
        <s v="WMTS_UAV空拍影像_高雄市大社(110年)"/>
        <s v="WMTS_UAV空拍影像_高雄市大寮區(108年)"/>
        <s v="WMTS_UAV空拍影像_高雄市仁武區國1鼎金交流道(104年)"/>
        <s v="WMTS_UAV空拍影像_高雄市永安(111年)"/>
        <s v="WMTS_UAV空拍影像_高雄市岡山(109年)"/>
        <s v="WMTS_UAV空拍影像_高雄市前鎮區氣爆災點(104年)"/>
        <s v="WMTS_UAV空拍影像_高雄市前鎮區經貿園區65期(104年)"/>
        <s v="WMTS_UAV空拍影像_雲林古坑(109年)"/>
        <s v="WMTS_UAV空拍影像_雲林縣口湖(111年)"/>
        <s v="WMTS_UAV空拍影像_雲林縣斗六市湖山水庫(106年)"/>
        <s v="WMTS_UAV空拍影像_雲林縣古坑鄉崁頭厝(105年)"/>
        <s v="WMTS_UAV空拍影像_雲林縣古坑鄉國3古坑交流道(105年)"/>
        <s v="WMTS_UAV空拍影像_雲林縣古坑鄉樟湖(105年)"/>
        <s v="WMTS_UAV空拍影像_雲林縣虎尾鎮雲林高鐵站(104年)"/>
        <s v="WMTS_UAV空拍影像_雲林縣麥寮鄉台61線(103年)"/>
        <s v="WMTS_UAV空拍影像_雲林縣臺西(111年)"/>
        <s v="WMTS_UAV空拍影像_新北市金山區(107年)"/>
        <s v="WMTS_UAV空拍影像_新北市烏來區106年)"/>
        <s v="WMTS_UAV空拍影像_新北市樹林區國3樹林交流道(106年)"/>
        <s v="WMTS_UAV空拍影像_新竹市(107年)"/>
        <s v="WMTS_UAV空拍影像_新竹市北區台68線(106年)"/>
        <s v="WMTS_UAV空拍影像_新竹市香山區(105年)"/>
        <s v="WMTS_UAV空拍影像_新竹縣尖石鄉(107年)"/>
        <s v="WMTS_UAV空拍影像_新竹縣竹北_1(111年)"/>
        <s v="WMTS_UAV空拍影像_新竹縣竹北_2(111年)"/>
        <s v="WMTS_UAV空拍影像_新竹縣竹北_3(111年)"/>
        <s v="WMTS_UAV空拍影像_新竹縣新豐鄉(107年)"/>
        <s v="WMTS_UAV空拍影像_嘉義市西區湖子內區段徵收(106年)"/>
        <s v="WMTS_UAV空拍影像_嘉義市東區彌陀路拓寬工程(106年)"/>
        <s v="WMTS_UAV空拍影像_嘉義縣大林鎮大埔美重劃區(103年)"/>
        <s v="WMTS_UAV空拍影像_嘉義縣布袋鎮_1(108年)"/>
        <s v="WMTS_UAV空拍影像_嘉義縣布袋鎮_2(108年)"/>
        <s v="WMTS_UAV空拍影像_嘉義縣民雄(111年)"/>
        <s v="WMTS_UAV空拍影像_嘉義縣朴子(110年)"/>
        <s v="WMTS_UAV空拍影像_嘉義縣東石鄉(101年)"/>
        <s v="WMTS_UAV空拍影像_嘉義縣阿里山鄉(102年)"/>
        <s v="WMTS_UAV空拍影像_嘉義縣鹿草(110年)"/>
        <s v="WMTS_UAV空拍影像_嘉義縣番路鄉(102年)"/>
        <s v="WMTS_UAV空拍影像_嘉義縣義竹(109年)"/>
        <s v="WMTS_UAV空拍影像_彰化縣大城鄉152線(106年)"/>
        <s v="WMTS_UAV空拍影像_彰化縣田中鎮(105年)"/>
        <s v="WMTS_UAV空拍影像_彰化縣伸港鄉(102年)"/>
        <s v="WMTS_UAV空拍影像_彰化縣芳苑(110年)"/>
        <s v="WMTS_UAV空拍影像_彰化縣芳苑鄉台61線(104年)"/>
        <s v="WMTS_UAV空拍影像_彰化縣福興鄉台61線(103年)"/>
        <s v="WMTS_UAV空拍影像_臺中市大安區(107年)"/>
        <s v="WMTS_UAV空拍影像_臺中市大慶車站(105年)"/>
        <s v="WMTS_UAV空拍影像_臺中市太平區坪林森林公園(105年)"/>
        <s v="WMTS_UAV空拍影像_臺中市太平新光地區(105年)"/>
        <s v="WMTS_UAV空拍影像_臺中市太原車站(105年)"/>
        <s v="WMTS_UAV空拍影像_臺中市水湳機場(105年)"/>
        <s v="WMTS_UAV空拍影像_臺中市后里區(108年)"/>
        <s v="WMTS_UAV空拍影像_臺中市和平區(107年)"/>
        <s v="WMTS_UAV空拍影像_臺中市振興路以南(105年)"/>
        <s v="WMTS_UAV空拍影像_臺中市烏日(110年)"/>
        <s v="WMTS_UAV空拍影像_臺中市捷運北屯機廠(105年)"/>
        <s v="WMTS_UAV空拍影像_臺中市梧棲(109年)"/>
        <s v="WMTS_UAV空拍影像_臺中市第13期(105年)"/>
        <s v="WMTS_UAV空拍影像_臺中市第14期(105年)"/>
        <s v="WMTS_UAV空拍影像_臺中市廍子地區(105年)"/>
        <s v="WMTS_UAV空拍影像_臺中市臺中車站(105年)"/>
        <s v="WMTS_UAV空拍影像_臺中市潭子車站(105年)"/>
        <s v="WMTS_UAV空拍影像_臺中市潭子區(105年)"/>
        <s v="WMTS_UAV空拍影像_臺中市龍井區及彰化縣伸港鄉(107年)"/>
        <s v="WMTS_UAV空拍影像_臺中市豐原(110年)"/>
        <s v="WMTS_UAV空拍影像_臺中市豐原車站(105年)"/>
        <s v="WMTS_UAV空拍影像_臺中市霧峰(110年)"/>
        <s v="WMTS_UAV空拍影像_臺中市霧峰區(105年)"/>
        <s v="WMTS_UAV空拍影像_臺北市士林(109年)"/>
        <s v="WMTS_UAV空拍影像_臺北市士林(110年)"/>
        <s v="WMTS_UAV空拍影像_臺北市士林大油坑(105年)"/>
        <s v="WMTS_UAV空拍影像_臺北市士林大油坑(106年)"/>
        <s v="WMTS_UAV空拍影像_臺北市士林馬槽(105年)"/>
        <s v="WMTS_UAV空拍影像_臺北市士林區大油坑(107年)"/>
        <s v="WMTS_UAV空拍影像_臺北市士林區大油坑(108年)"/>
        <s v="WMTS_UAV空拍影像_臺北市士林區馬槽(106年)"/>
        <s v="WMTS_UAV空拍影像_臺北市士林區馬槽(107年)"/>
        <s v="WMTS_UAV空拍影像_臺北市士林區馬槽(108年)"/>
        <s v="WMTS_UAV空拍影像_臺北市士林區夢幻湖(107年)"/>
        <s v="WMTS_UAV空拍影像_臺北市士林區夢幻湖(108年)"/>
        <s v="WMTS_UAV空拍影像_臺北市士林陽明山大油坑(111年)"/>
        <s v="WMTS_UAV空拍影像_臺北市士林陽明山馬槽(111年)"/>
        <s v="WMTS_UAV空拍影像_臺北市士林陽明山夢幻湖(111年)"/>
        <s v="WMTS_UAV空拍影像_臺北市北投(111年)"/>
        <s v="WMTS_UAV空拍影像_臺北市北投夢幻湖(105年)"/>
        <s v="WMTS_UAV空拍影像_臺北市北投夢幻湖(106年)"/>
        <s v="WMTS_UAV空拍影像_臺北市萬華(111年)"/>
        <s v="WMTS_UAV空拍影像_臺東縣大武鄉(102年)"/>
        <s v="WMTS_UAV空拍影像_臺東縣太麻里鄉(101年)"/>
        <s v="WMTS_UAV空拍影像_臺南市七股區(108年)"/>
        <s v="WMTS_UAV空拍影像_臺南市七股區(台61線(102年)"/>
        <s v="WMTS_UAV空拍影像_臺南市七股區(台江國家公園(102年)"/>
        <s v="WMTS_UAV空拍影像_臺南市七股區西濱公路(106年)"/>
        <s v="WMTS_UAV空拍影像_臺南市下營區(108年)"/>
        <s v="WMTS_UAV空拍影像_臺南市永康_1(110年)"/>
        <s v="WMTS_UAV空拍影像_臺南市永康_2(110年)"/>
        <s v="WMTS_UAV空拍影像_臺南市永康區(108年)"/>
        <s v="WMTS_UAV空拍影像_臺南市安平區(104年)"/>
        <s v="WMTS_UAV空拍影像_臺南市安南(110年)"/>
        <s v="WMTS_UAV空拍影像_臺南市安南區(101年)"/>
        <s v="WMTS_UAV空拍影像_臺南市安南區(102年)"/>
        <s v="WMTS_UAV空拍影像_臺南市安南區(108年)"/>
        <s v="WMTS_UAV空拍影像_臺南市安南區九份子重劃區(104年)"/>
        <s v="WMTS_UAV空拍影像_臺南市安南區台江大道(106年)"/>
        <s v="WMTS_UAV空拍影像_臺南市西港(110年)"/>
        <s v="WMTS_UAV空拍影像_臺南市東區平實市地重劃(106年)"/>
        <s v="WMTS_UAV空拍影像_臺南市南化(110年)"/>
        <s v="WMTS_UAV空拍影像_臺南市南區(台86線)(103年)"/>
        <s v="WMTS_UAV空拍影像_臺南市柳營(111年)"/>
        <s v="WMTS_UAV空拍影像_臺南市麻豆(109年)"/>
        <s v="WMTS_UAV空拍影像_臺南市麻豆區(103年)"/>
        <s v="WMTS_UAV空拍影像_臺南市新市區新和重劃區(104年)"/>
        <s v="WMTS_UAV空拍影像_臺南市新營(110年)"/>
        <s v="WMTS_UAV空拍影像_臺南市學甲區(台84線)(103年)"/>
        <s v="WMTS_UAV空拍影像_臺南市歸仁_2(110年)"/>
        <s v="WMTS_UAV空拍影像_臺南市關廟區(101年)"/>
        <s v="WMTS_UAV空拍影像_臺南市關廟區(108年)"/>
      </sharedItems>
    </cacheField>
    <cacheField name="服務描述(中)(每個唯一碼都要各自的服務描述)" numFmtId="0">
      <sharedItems containsBlank="1" count="1423">
        <s v="土壤液化潛勢_中級WMTS服務"/>
        <s v="土壤液化潛勢_初級WMTS服務"/>
        <s v="正射影像(套疊交通路網)WMTS服務"/>
        <s v="坡向圖(20公尺DEM產製)"/>
        <s v="坡度圖-30%坡(2003-2005年20公尺DEM成果產製)"/>
        <s v="坡度圖-7級(2003-2005年20公尺DEM成果產製)"/>
        <s v="坡度圖-7級(2010-2015年20公尺DEM成果產製)"/>
        <s v="待確認(查無資料)WMTS服務"/>
        <s v="陰影圖(20公尺DEM產製)"/>
        <s v="提供WMS發布服務，圖層包含臺灣通用電子地圖、國土利用現況調查成果圖、段籍圖、1/5000基本地形圖、縣市界、 正射影像、各級學校範圍圖、鄉鎮區、村里界...等。"/>
        <s v="渲染圖(20公尺DEM產製)"/>
        <s v="等高線圖(2003-2005年20公尺DEM產製)"/>
        <s v="等高線圖(2010-2015年20公尺DEM產製)"/>
        <s v="臺灣通用電子地圖_各級學校範圍圖WMTS服務"/>
        <s v="臺灣通用電子地圖_道路圖層(無文字)WMTS服務"/>
        <s v="蘭嶼鄉正射影像(109年)WMTS服務"/>
        <s v="API_地籍圖_指定地號查詢_全國"/>
        <s v="API_地籍圖_指定坐標查詢_全國"/>
        <s v="API_地籍屬性_地段代碼回傳測繪段籍屬性_宜蘭縣"/>
        <s v="API_地籍屬性_地段代碼回傳測繪段籍屬性_花蓮縣"/>
        <s v="API_地籍屬性_地段代碼回傳測繪段籍屬性_金門縣"/>
        <s v="API_地籍屬性_地段代碼回傳測繪段籍屬性_南投縣"/>
        <s v="API_地籍屬性_地段代碼回傳測繪段籍屬性_屏東縣"/>
        <s v="API_地籍屬性_地段代碼回傳測繪段籍屬性_苗栗縣"/>
        <s v="API_地籍屬性_地段代碼回傳測繪段籍屬性_桃園市"/>
        <s v="API_地籍屬性_地段代碼回傳測繪段籍屬性_高雄市"/>
        <s v="API_地籍屬性_地段代碼回傳測繪段籍屬性_基隆市"/>
        <s v="API_地籍屬性_地段代碼回傳測繪段籍屬性_連江縣"/>
        <s v="API_地籍屬性_地段代碼回傳測繪段籍屬性_雲林縣"/>
        <s v="API_地籍屬性_地段代碼回傳測繪段籍屬性_新北市"/>
        <s v="API_地籍屬性_地段代碼回傳測繪段籍屬性_新竹市"/>
        <s v="API_地籍屬性_地段代碼回傳測繪段籍屬性_新竹縣"/>
        <s v="API_地籍屬性_地段代碼回傳測繪段籍屬性_嘉義市"/>
        <s v="API_地籍屬性_地段代碼回傳測繪段籍屬性_嘉義縣"/>
        <s v="API_地籍屬性_地段代碼回傳測繪段籍屬性_彰化縣"/>
        <s v="API_地籍屬性_地段代碼回傳測繪段籍屬性_臺中市"/>
        <s v="API_地籍屬性_地段代碼回傳測繪段籍屬性_臺北市"/>
        <s v="API_地籍屬性_地段代碼回傳測繪段籍屬性_臺東縣"/>
        <s v="API_地籍屬性_地段代碼回傳測繪段籍屬性_臺南市"/>
        <s v="API_地籍屬性_地段代碼回傳測繪段籍屬性_澎湖縣"/>
        <s v="API_地籍屬性_地段號宗地定位_全國"/>
        <s v="API_地籍屬性_地段號查詢坐標_宜蘭縣"/>
        <s v="API_地籍屬性_地段號查詢坐標_花蓮縣"/>
        <s v="API_地籍屬性_地段號查詢坐標_金門縣"/>
        <s v="API_地籍屬性_地段號查詢坐標_南投縣"/>
        <s v="API_地籍屬性_地段號查詢坐標_屏東縣"/>
        <s v="API_地籍屬性_地段號查詢坐標_苗栗縣"/>
        <s v="API_地籍屬性_地段號查詢坐標_桃園市"/>
        <s v="API_地籍屬性_地段號查詢坐標_高雄市"/>
        <s v="API_地籍屬性_地段號查詢坐標_基隆市"/>
        <s v="API_地籍屬性_地段號查詢坐標_連江縣"/>
        <s v="API_地籍屬性_地段號查詢坐標_雲林縣"/>
        <s v="API_地籍屬性_地段號查詢坐標_新北市"/>
        <s v="API_地籍屬性_地段號查詢坐標_新竹市"/>
        <s v="API_地籍屬性_地段號查詢坐標_新竹縣"/>
        <s v="API_地籍屬性_地段號查詢坐標_嘉義市"/>
        <s v="API_地籍屬性_地段號查詢坐標_嘉義縣"/>
        <s v="API_地籍屬性_地段號查詢坐標_彰化縣"/>
        <s v="API_地籍屬性_地段號查詢坐標_臺中市"/>
        <s v="API_地籍屬性_地段號查詢坐標_臺北市"/>
        <s v="API_地籍屬性_地段號查詢坐標_臺東縣"/>
        <s v="API_地籍屬性_地段號查詢坐標_臺南市"/>
        <s v="API_地籍屬性_地段號查詢坐標_澎湖縣"/>
        <s v="API_地籍屬性_坐標查地段號_全國"/>
        <s v="API_地籍屬性_指定地號查詢位置_宜蘭縣"/>
        <s v="API_地籍屬性_指定地號查詢位置_花蓮縣"/>
        <s v="API_地籍屬性_指定地號查詢位置_金門縣"/>
        <s v="API_地籍屬性_指定地號查詢位置_南投縣"/>
        <s v="API_地籍屬性_指定地號查詢位置_屏東縣"/>
        <s v="API_地籍屬性_指定地號查詢位置_苗栗縣"/>
        <s v="API_地籍屬性_指定地號查詢位置_桃園市"/>
        <s v="API_地籍屬性_指定地號查詢位置_高雄市"/>
        <s v="API_地籍屬性_指定地號查詢位置_基隆市"/>
        <s v="API_地籍屬性_指定地號查詢位置_連江縣"/>
        <s v="API_地籍屬性_指定地號查詢位置_雲林縣"/>
        <s v="API_地籍屬性_指定地號查詢位置_新北市"/>
        <s v="API_地籍屬性_指定地號查詢位置_新竹市"/>
        <s v="API_地籍屬性_指定地號查詢位置_新竹縣"/>
        <s v="API_地籍屬性_指定地號查詢位置_嘉義市"/>
        <s v="API_地籍屬性_指定地號查詢位置_嘉義縣"/>
        <s v="API_地籍屬性_指定地號查詢位置_彰化縣"/>
        <s v="API_地籍屬性_指定地號查詢位置_臺中市"/>
        <s v="API_地籍屬性_指定地號查詢位置_臺北市"/>
        <s v="API_地籍屬性_指定地號查詢位置_臺東縣"/>
        <s v="API_地籍屬性_指定地號查詢位置_臺南市"/>
        <s v="API_地籍屬性_指定地號查詢位置_澎湖縣"/>
        <s v="API_地籍屬性_指定地號查詢建號列表與土地權利人類別_宜蘭縣"/>
        <s v="API_地籍屬性_指定地號查詢建號列表與土地權利人類別_花蓮縣"/>
        <s v="API_地籍屬性_指定地號查詢建號列表與土地權利人類別_金門縣"/>
        <s v="API_地籍屬性_指定地號查詢建號列表與土地權利人類別_南投縣"/>
        <s v="API_地籍屬性_指定地號查詢建號列表與土地權利人類別_屏東縣"/>
        <s v="API_地籍屬性_指定地號查詢建號列表與土地權利人類別_苗栗縣"/>
        <s v="API_地籍屬性_指定地號查詢建號列表與土地權利人類別_桃園市"/>
        <s v="API_地籍屬性_指定地號查詢建號列表與土地權利人類別_高雄市"/>
        <s v="API_地籍屬性_指定地號查詢建號列表與土地權利人類別_基隆市"/>
        <s v="API_地籍屬性_指定地號查詢建號列表與土地權利人類別_連江縣"/>
        <s v="API_地籍屬性_指定地號查詢建號列表與土地權利人類別_雲林縣"/>
        <s v="API_地籍屬性_指定地號查詢建號列表與土地權利人類別_新北市"/>
        <s v="API_地籍屬性_指定地號查詢建號列表與土地權利人類別_新竹市"/>
        <s v="API_地籍屬性_指定地號查詢建號列表與土地權利人類別_新竹縣"/>
        <s v="API_地籍屬性_指定地號查詢建號列表與土地權利人類別_嘉義市"/>
        <s v="API_地籍屬性_指定地號查詢建號列表與土地權利人類別_嘉義縣"/>
        <s v="API_地籍屬性_指定地號查詢建號列表與土地權利人類別_彰化縣"/>
        <s v="API_地籍屬性_指定地號查詢建號列表與土地權利人類別_臺中市"/>
        <s v="API_地籍屬性_指定地號查詢建號列表與土地權利人類別_臺北市"/>
        <s v="API_地籍屬性_指定地號查詢建號列表與土地權利人類別_臺東縣"/>
        <s v="API_地籍屬性_指定地號查詢建號列表與土地權利人類別_臺南市"/>
        <s v="API_地籍屬性_指定地號查詢建號列表與土地權利人類別_澎湖縣"/>
        <s v="API_地籍屬性_指定地號查詢著色圖_宜蘭縣"/>
        <s v="API_地籍屬性_指定地號查詢著色圖_花蓮縣"/>
        <s v="API_地籍屬性_指定地號查詢著色圖_金門縣"/>
        <s v="API_地籍屬性_指定地號查詢著色圖_南投縣"/>
        <s v="API_地籍屬性_指定地號查詢著色圖_屏東縣"/>
        <s v="API_地籍屬性_指定地號查詢著色圖_苗栗縣"/>
        <s v="API_地籍屬性_指定地號查詢著色圖_桃園市"/>
        <s v="API_地籍屬性_指定地號查詢著色圖_高雄市"/>
        <s v="API_地籍屬性_指定地號查詢著色圖_基隆市"/>
        <s v="API_地籍屬性_指定地號查詢著色圖_連江縣"/>
        <s v="API_地籍屬性_指定地號查詢著色圖_雲林縣"/>
        <s v="API_地籍屬性_指定地號查詢著色圖_新北市"/>
        <s v="API_地籍屬性_指定地號查詢著色圖_新竹市"/>
        <s v="API_地籍屬性_指定地號查詢著色圖_新竹縣"/>
        <s v="API_地籍屬性_指定地號查詢著色圖_嘉義市"/>
        <s v="API_地籍屬性_指定地號查詢著色圖_嘉義縣"/>
        <s v="API_地籍屬性_指定地號查詢著色圖_彰化縣"/>
        <s v="API_地籍屬性_指定地號查詢著色圖_臺中市"/>
        <s v="API_地籍屬性_指定地號查詢著色圖_臺北市"/>
        <s v="API_地籍屬性_指定地號查詢著色圖_臺東縣"/>
        <s v="API_地籍屬性_指定地號查詢著色圖_臺南市"/>
        <s v="API_地籍屬性_指定地號查詢著色圖_澎湖縣"/>
        <s v="API_地籍屬性_指定地號查詢標示資料_宜蘭縣"/>
        <s v="API_地籍屬性_指定地號查詢標示資料_花蓮縣"/>
        <s v="API_地籍屬性_指定地號查詢標示資料_金門縣"/>
        <s v="API_地籍屬性_指定地號查詢標示資料_南投縣"/>
        <s v="API_地籍屬性_指定地號查詢標示資料_屏東縣"/>
        <s v="API_地籍屬性_指定地號查詢標示資料_苗栗縣"/>
        <s v="API_地籍屬性_指定地號查詢標示資料_桃園市"/>
        <s v="API_地籍屬性_指定地號查詢標示資料_高雄市"/>
        <s v="API_地籍屬性_指定地號查詢標示資料_基隆市"/>
        <s v="API_地籍屬性_指定地號查詢標示資料_連江縣"/>
        <s v="API_地籍屬性_指定地號查詢標示資料_雲林縣"/>
        <s v="API_地籍屬性_指定地號查詢標示資料_新北市"/>
        <s v="API_地籍屬性_指定地號查詢標示資料_新竹市"/>
        <s v="API_地籍屬性_指定地號查詢標示資料_新竹縣"/>
        <s v="API_地籍屬性_指定地號查詢標示資料_嘉義市"/>
        <s v="API_地籍屬性_指定地號查詢標示資料_嘉義縣"/>
        <s v="API_地籍屬性_指定地號查詢標示資料_彰化縣"/>
        <s v="API_地籍屬性_指定地號查詢標示資料_臺中市"/>
        <s v="API_地籍屬性_指定地號查詢標示資料_臺北市"/>
        <s v="API_地籍屬性_指定地號查詢標示資料_臺東縣"/>
        <s v="API_地籍屬性_指定地號查詢標示資料_臺南市"/>
        <s v="API_地籍屬性_指定地號查詢標示資料_澎湖縣"/>
        <s v="API_地籍屬性_指定門牌查詢地號_全國"/>
        <s v="API_地籍屬性_指定範圍查詢地號清單_全國"/>
        <s v="API_地籍屬性_單點坐標查詢地段號_全國"/>
        <s v="API_國土利用屬性_指定坐標及年度查詢屬性_全國"/>
        <s v="API_國土利用屬性_指定範圍及年度查詢變遷_全國"/>
        <s v="API_開放_地段清單_宜蘭縣"/>
        <s v="API_開放_地段清單_花蓮縣"/>
        <s v="API_開放_地段清單_金門縣"/>
        <s v="API_開放_地段清單_南投縣"/>
        <s v="API_開放_地段清單_屏東縣"/>
        <s v="API_開放_地段清單_苗栗縣"/>
        <s v="API_開放_地段清單_桃園市"/>
        <s v="API_開放_地段清單_高雄市"/>
        <s v="API_開放_地段清單_基隆市"/>
        <s v="API_開放_地段清單_連江縣"/>
        <s v="API_開放_地段清單_雲林縣"/>
        <s v="API_開放_地段清單_新北市"/>
        <s v="API_開放_地段清單_新竹市"/>
        <s v="API_開放_地段清單_新竹縣"/>
        <s v="API_開放_地段清單_嘉義市"/>
        <s v="API_開放_地段清單_嘉義縣"/>
        <s v="API_開放_地段清單_彰化縣"/>
        <s v="API_開放_地段清單_臺中市"/>
        <s v="API_開放_地段清單_臺北市"/>
        <s v="API_開放_地段清單_臺東縣"/>
        <s v="API_開放_地段清單_臺南市"/>
        <s v="API_開放_地段清單_澎湖縣"/>
        <s v="API_開放_村里界線範圍圖形(戶政)_全國"/>
        <s v="API_開放_村里清單_宜蘭縣"/>
        <s v="API_開放_村里清單_花蓮縣"/>
        <s v="API_開放_村里清單_金門縣"/>
        <s v="API_開放_村里清單_南投縣"/>
        <s v="API_開放_村里清單_屏東縣"/>
        <s v="API_開放_村里清單_苗栗縣"/>
        <s v="API_開放_村里清單_桃園市"/>
        <s v="API_開放_村里清單_高雄市"/>
        <s v="API_開放_村里清單_基隆市"/>
        <s v="API_開放_村里清單_連江縣"/>
        <s v="API_開放_村里清單_雲林縣"/>
        <s v="API_開放_村里清單_新北市"/>
        <s v="API_開放_村里清單_新竹市"/>
        <s v="API_開放_村里清單_新竹縣"/>
        <s v="API_開放_村里清單_嘉義市"/>
        <s v="API_開放_村里清單_嘉義縣"/>
        <s v="API_開放_村里清單_彰化縣"/>
        <s v="API_開放_村里清單_臺中市"/>
        <s v="API_開放_村里清單_臺北市"/>
        <s v="API_開放_村里清單_臺東縣"/>
        <s v="API_開放_村里清單_臺南市"/>
        <s v="API_開放_村里清單_澎湖縣"/>
        <s v="API_開放_指定坐標回傳國土利用現況調查成果圖的屬性_全國"/>
        <s v="API_開放_查詢工商設施_全國"/>
        <s v="API_開放_查詢文教設施_全國"/>
        <s v="API_開放_查詢鄰避設施_全國"/>
        <s v="API_開放_查詢醫療設施_全國"/>
        <s v="API_開放_單點坐標回傳行政區(戶政)_全國"/>
        <s v="API_開放_單點坐標回傳行政區(地政)_全國"/>
        <s v="API_開放_鄉鎮市區查詢道路列表_宜蘭縣"/>
        <s v="API_開放_鄉鎮市區查詢道路列表_花蓮縣"/>
        <s v="API_開放_鄉鎮市區查詢道路列表_金門縣"/>
        <s v="API_開放_鄉鎮市區查詢道路列表_南投縣"/>
        <s v="API_開放_鄉鎮市區查詢道路列表_屏東縣"/>
        <s v="API_開放_鄉鎮市區查詢道路列表_苗栗縣"/>
        <s v="API_開放_鄉鎮市區查詢道路列表_桃園市"/>
        <s v="API_開放_鄉鎮市區查詢道路列表_高雄市"/>
        <s v="API_開放_鄉鎮市區查詢道路列表_基隆市"/>
        <s v="API_開放_鄉鎮市區查詢道路列表_連江縣"/>
        <s v="API_開放_鄉鎮市區查詢道路列表_雲林縣"/>
        <s v="API_開放_鄉鎮市區查詢道路列表_新北市"/>
        <s v="API_開放_鄉鎮市區查詢道路列表_新竹市"/>
        <s v="API_開放_鄉鎮市區查詢道路列表_新竹縣"/>
        <s v="API_開放_鄉鎮市區查詢道路列表_嘉義市"/>
        <s v="API_開放_鄉鎮市區查詢道路列表_嘉義縣"/>
        <s v="API_開放_鄉鎮市區查詢道路列表_彰化縣"/>
        <s v="API_開放_鄉鎮市區查詢道路列表_臺中市"/>
        <s v="API_開放_鄉鎮市區查詢道路列表_臺北市"/>
        <s v="API_開放_鄉鎮市區查詢道路列表_臺東縣"/>
        <s v="API_開放_鄉鎮市區查詢道路列表_臺南市"/>
        <s v="API_開放_鄉鎮市區查詢道路列表_澎湖縣"/>
        <s v="API_開放_鄉鎮市區清單(戶政)_宜蘭縣"/>
        <s v="API_開放_鄉鎮市區清單(戶政)_花蓮縣"/>
        <s v="API_開放_鄉鎮市區清單(戶政)_金門縣"/>
        <s v="API_開放_鄉鎮市區清單(戶政)_南投縣"/>
        <s v="API_開放_鄉鎮市區清單(戶政)_屏東縣"/>
        <s v="API_開放_鄉鎮市區清單(戶政)_苗栗縣"/>
        <s v="API_開放_鄉鎮市區清單(戶政)_桃園市"/>
        <s v="API_開放_鄉鎮市區清單(戶政)_高雄市"/>
        <s v="API_開放_鄉鎮市區清單(戶政)_基隆市"/>
        <s v="API_開放_鄉鎮市區清單(戶政)_連江縣"/>
        <s v="API_開放_鄉鎮市區清單(戶政)_雲林縣"/>
        <s v="API_開放_鄉鎮市區清單(戶政)_新北市"/>
        <s v="API_開放_鄉鎮市區清單(戶政)_新竹市"/>
        <s v="API_開放_鄉鎮市區清單(戶政)_新竹縣"/>
        <s v="API_開放_鄉鎮市區清單(戶政)_嘉義市"/>
        <s v="API_開放_鄉鎮市區清單(戶政)_嘉義縣"/>
        <s v="API_開放_鄉鎮市區清單(戶政)_彰化縣"/>
        <s v="API_開放_鄉鎮市區清單(戶政)_臺中市"/>
        <s v="API_開放_鄉鎮市區清單(戶政)_臺北市"/>
        <s v="API_開放_鄉鎮市區清單(戶政)_臺東縣"/>
        <s v="API_開放_鄉鎮市區清單(戶政)_臺南市"/>
        <s v="API_開放_鄉鎮市區清單(戶政)_澎湖縣"/>
        <s v="API_開放_鄉鎮市區清單(地政)_宜蘭縣"/>
        <s v="API_開放_鄉鎮市區清單(地政)_花蓮縣"/>
        <s v="API_開放_鄉鎮市區清單(地政)_金門縣"/>
        <s v="API_開放_鄉鎮市區清單(地政)_南投縣"/>
        <s v="API_開放_鄉鎮市區清單(地政)_屏東縣"/>
        <s v="API_開放_鄉鎮市區清單(地政)_苗栗縣"/>
        <s v="API_開放_鄉鎮市區清單(地政)_桃園市"/>
        <s v="API_開放_鄉鎮市區清單(地政)_高雄市"/>
        <s v="API_開放_鄉鎮市區清單(地政)_基隆市"/>
        <s v="API_開放_鄉鎮市區清單(地政)_連江縣"/>
        <s v="API_開放_鄉鎮市區清單(地政)_雲林縣"/>
        <s v="API_開放_鄉鎮市區清單(地政)_新北市"/>
        <s v="API_開放_鄉鎮市區清單(地政)_新竹市"/>
        <s v="API_開放_鄉鎮市區清單(地政)_新竹縣"/>
        <s v="API_開放_鄉鎮市區清單(地政)_嘉義市"/>
        <s v="API_開放_鄉鎮市區清單(地政)_嘉義縣"/>
        <s v="API_開放_鄉鎮市區清單(地政)_彰化縣"/>
        <s v="API_開放_鄉鎮市區清單(地政)_臺中市"/>
        <s v="API_開放_鄉鎮市區清單(地政)_臺北市"/>
        <s v="API_開放_鄉鎮市區清單(地政)_臺東縣"/>
        <s v="API_開放_鄉鎮市區清單(地政)_臺南市"/>
        <s v="API_開放_鄉鎮市區清單(地政)_澎湖縣"/>
        <s v="API_開放_鄉鎮市區路名查詢交叉路口及坐標_宜蘭縣"/>
        <s v="API_開放_鄉鎮市區路名查詢交叉路口及坐標_花蓮縣"/>
        <s v="API_開放_鄉鎮市區路名查詢交叉路口及坐標_金門縣"/>
        <s v="API_開放_鄉鎮市區路名查詢交叉路口及坐標_南投縣"/>
        <s v="API_開放_鄉鎮市區路名查詢交叉路口及坐標_屏東縣"/>
        <s v="API_開放_鄉鎮市區路名查詢交叉路口及坐標_苗栗縣"/>
        <s v="API_開放_鄉鎮市區路名查詢交叉路口及坐標_桃園市"/>
        <s v="API_開放_鄉鎮市區路名查詢交叉路口及坐標_高雄市"/>
        <s v="API_開放_鄉鎮市區路名查詢交叉路口及坐標_基隆市"/>
        <s v="API_開放_鄉鎮市區路名查詢交叉路口及坐標_連江縣"/>
        <s v="API_開放_鄉鎮市區路名查詢交叉路口及坐標_雲林縣"/>
        <s v="API_開放_鄉鎮市區路名查詢交叉路口及坐標_新北市"/>
        <s v="API_開放_鄉鎮市區路名查詢交叉路口及坐標_新竹市"/>
        <s v="API_開放_鄉鎮市區路名查詢交叉路口及坐標_新竹縣"/>
        <s v="API_開放_鄉鎮市區路名查詢交叉路口及坐標_嘉義市"/>
        <s v="API_開放_鄉鎮市區路名查詢交叉路口及坐標_嘉義縣"/>
        <s v="API_開放_鄉鎮市區路名查詢交叉路口及坐標_彰化縣"/>
        <s v="API_開放_鄉鎮市區路名查詢交叉路口及坐標_臺中市"/>
        <s v="API_開放_鄉鎮市區路名查詢交叉路口及坐標_臺北市"/>
        <s v="API_開放_鄉鎮市區路名查詢交叉路口及坐標_臺東縣"/>
        <s v="API_開放_鄉鎮市區路名查詢交叉路口及坐標_臺南市"/>
        <s v="API_開放_鄉鎮市區路名查詢交叉路口及坐標_澎湖縣"/>
        <s v="API_開放_縣市名稱及代碼清單_全國"/>
        <s v="API_開放_縣市道路關鍵字查詢主要道路_宜蘭縣"/>
        <s v="API_開放_縣市道路關鍵字查詢主要道路_花蓮縣"/>
        <s v="API_開放_縣市道路關鍵字查詢主要道路_金門縣"/>
        <s v="API_開放_縣市道路關鍵字查詢主要道路_南投縣"/>
        <s v="API_開放_縣市道路關鍵字查詢主要道路_屏東縣"/>
        <s v="API_開放_縣市道路關鍵字查詢主要道路_苗栗縣"/>
        <s v="API_開放_縣市道路關鍵字查詢主要道路_桃園市"/>
        <s v="API_開放_縣市道路關鍵字查詢主要道路_高雄市"/>
        <s v="API_開放_縣市道路關鍵字查詢主要道路_基隆市"/>
        <s v="API_開放_縣市道路關鍵字查詢主要道路_連江縣"/>
        <s v="API_開放_縣市道路關鍵字查詢主要道路_雲林縣"/>
        <s v="API_開放_縣市道路關鍵字查詢主要道路_新北市"/>
        <s v="API_開放_縣市道路關鍵字查詢主要道路_新竹市"/>
        <s v="API_開放_縣市道路關鍵字查詢主要道路_新竹縣"/>
        <s v="API_開放_縣市道路關鍵字查詢主要道路_嘉義市"/>
        <s v="API_開放_縣市道路關鍵字查詢主要道路_嘉義縣"/>
        <s v="API_開放_縣市道路關鍵字查詢主要道路_彰化縣"/>
        <s v="API_開放_縣市道路關鍵字查詢主要道路_臺中市"/>
        <s v="API_開放_縣市道路關鍵字查詢主要道路_臺北市"/>
        <s v="API_開放_縣市道路關鍵字查詢主要道路_臺東縣"/>
        <s v="API_開放_縣市道路關鍵字查詢主要道路_臺南市"/>
        <s v="API_開放_縣市道路關鍵字查詢主要道路_澎湖縣"/>
        <s v="API_路徑規劃_時間最短路線_全國"/>
        <s v="API_路徑規劃_距離最短路線_全國"/>
        <s v="API_路徑規劃_節點查詢_全國"/>
        <s v="API_模糊檢索_全域模糊檢索_全國"/>
        <s v="API_模糊檢索_巷弄清單_宜蘭縣"/>
        <s v="API_模糊檢索_巷弄清單_花蓮縣"/>
        <s v="API_模糊檢索_巷弄清單_金門縣"/>
        <s v="API_模糊檢索_巷弄清單_南投縣"/>
        <s v="API_模糊檢索_巷弄清單_屏東縣"/>
        <s v="API_模糊檢索_巷弄清單_苗栗縣"/>
        <s v="API_模糊檢索_巷弄清單_桃園市"/>
        <s v="API_模糊檢索_巷弄清單_高雄市"/>
        <s v="API_模糊檢索_巷弄清單_基隆市"/>
        <s v="API_模糊檢索_巷弄清單_連江縣"/>
        <s v="API_模糊檢索_巷弄清單_雲林縣"/>
        <s v="API_模糊檢索_巷弄清單_新北市"/>
        <s v="API_模糊檢索_巷弄清單_新竹市"/>
        <s v="API_模糊檢索_巷弄清單_新竹縣"/>
        <s v="API_模糊檢索_巷弄清單_嘉義市"/>
        <s v="API_模糊檢索_巷弄清單_嘉義縣"/>
        <s v="API_模糊檢索_巷弄清單_彰化縣"/>
        <s v="API_模糊檢索_巷弄清單_臺中市"/>
        <s v="API_模糊檢索_巷弄清單_臺北市"/>
        <s v="API_模糊檢索_巷弄清單_臺東縣"/>
        <s v="API_模糊檢索_巷弄清單_臺南市"/>
        <s v="API_模糊檢索_巷弄清單_澎湖縣"/>
        <s v="API_模糊檢索_面坐標回傳門牌_全國"/>
        <s v="API_模糊檢索_路名清單_宜蘭縣"/>
        <s v="API_模糊檢索_路名清單_花蓮縣"/>
        <s v="API_模糊檢索_路名清單_金門縣"/>
        <s v="API_模糊檢索_路名清單_南投縣"/>
        <s v="API_模糊檢索_路名清單_屏東縣"/>
        <s v="API_模糊檢索_路名清單_苗栗縣"/>
        <s v="API_模糊檢索_路名清單_桃園市"/>
        <s v="API_模糊檢索_路名清單_高雄市"/>
        <s v="API_模糊檢索_路名清單_基隆市"/>
        <s v="API_模糊檢索_路名清單_連江縣"/>
        <s v="API_模糊檢索_路名清單_雲林縣"/>
        <s v="API_模糊檢索_路名清單_新北市"/>
        <s v="API_模糊檢索_路名清單_新竹市"/>
        <s v="API_模糊檢索_路名清單_新竹縣"/>
        <s v="API_模糊檢索_路名清單_嘉義市"/>
        <s v="API_模糊檢索_路名清單_嘉義縣"/>
        <s v="API_模糊檢索_路名清單_彰化縣"/>
        <s v="API_模糊檢索_路名清單_臺中市"/>
        <s v="API_模糊檢索_路名清單_臺北市"/>
        <s v="API_模糊檢索_路名清單_臺東縣"/>
        <s v="API_模糊檢索_路名清單_臺南市"/>
        <s v="API_模糊檢索_路名清單_澎湖縣"/>
        <s v="API_模糊檢索_模糊檢索_全國"/>
        <s v="API_模糊檢索_線坐標回傳門牌_全國"/>
        <s v="API_模糊檢索_點坐標回傳門牌_全國"/>
        <s v="OPENDATA_避難收容所WMTS服務"/>
        <s v="WFS_1/1000地形圖_宜蘭縣大湖風景特定區計畫(112年)"/>
        <s v="WFS_1/1000地形圖_宜蘭縣五峰旗風景特定區計畫(112年)"/>
        <s v="WFS_1/1000地形圖_宜蘭縣冬山(順安地區)都市計畫(112年)"/>
        <s v="WFS_1/1000地形圖_宜蘭縣宜蘭市都市計畫(113年)"/>
        <s v="WFS_1/1000地形圖_宜蘭縣南澳南強都市計畫(112年)"/>
        <s v="WFS_1/1000地形圖_宜蘭縣政中心地區都市計畫(112年)"/>
        <s v="WFS_1/1000地形圖_宜蘭縣員山都市計畫(112年)"/>
        <s v="WFS_1/1000地形圖_宜蘭縣梅花湖風景特定區計畫(112年)"/>
        <s v="WFS_1/1000地形圖_宜蘭縣龍潭湖風景特定區計畫(112年)"/>
        <s v="WFS_1/1000地形圖_宜蘭縣礁溪都市計畫(112年)"/>
        <s v="WFS_1/1000地形圖_宜蘭縣蘇澳(新馬地區)都市計畫(112年)"/>
        <s v="WFS_1/1000地形圖_花蓮縣光復鄉都市計畫(113年)"/>
        <s v="WFS_1/1000地形圖_南投縣中興新村(含南內轆地區)都市計畫(112年)"/>
        <s v="WFS_1/1000地形圖_南投縣南投(含南崗地區)都市計畫(112年)"/>
        <s v="WFS_1/1000地形圖_南投縣草屯都市計畫(112年)"/>
        <s v="WFS_1/1000地形圖_屏東縣里港都市計畫(113年)"/>
        <s v="WFS_1/1000地形圖_屏東縣東港都市計畫(113年)"/>
        <s v="WFS_1/1000地形圖_屏東縣屏東都市計畫(112年)"/>
        <s v="WFS_1/1000地形圖_屏東縣新園(烏龍地區)都市計畫(113年)"/>
        <s v="WFS_1/1000地形圖_屏東縣鹽埔漁港特定區計畫(113年)"/>
        <s v="WFS_1/1000地形圖_苗栗縣苗栗都市計畫(112年)"/>
        <s v="WFS_1/1000地形圖_苗栗縣高速公路苗栗交流道附近特定區計畫(112年)"/>
        <s v="WFS_1/1000地形圖_苗栗縣頭屋都市計畫(112年)"/>
        <s v="WFS_1/1000地形圖_桃園市平鎮(山子頂地區)都市計畫(112年)"/>
        <s v="WFS_1/1000地形圖_桃園市新屋都市計畫(113年)"/>
        <s v="WFS_1/1000地形圖_桃園市龍潭都市計畫(113年)"/>
        <s v="WFS_1/1000地形圖_桃園市觀音(新坡地區)都市計畫(113年)"/>
        <s v="WFS_1/1000地形圖_桃園市觀音都市計畫(113年)"/>
        <s v="WFS_1/1000地形圖_高雄市(三民.苓雅.前金.新興.前鎮.鹽埕)都市計畫(113年)"/>
        <s v="WFS_1/1000地形圖_高雄市岡山都市計畫(112年)"/>
        <s v="WFS_1/1000地形圖_高雄市鳳山都市計畫(113年)"/>
        <s v="WFS_1/1000地形圖_雲林縣二崙都市計畫(112年)"/>
        <s v="WFS_1/1000地形圖_雲林縣斗六(含大潭地區)都市計畫(113年)"/>
        <s v="WFS_1/1000地形圖_雲林縣斗六嘉東地區特定區計畫(112年)"/>
        <s v="WFS_1/1000地形圖_雲林縣高速鐵路雲林車站特定區計畫(113年)"/>
        <s v="WFS_1/1000地形圖_雲林縣崙背都市計畫(112年)"/>
        <s v="WFS_1/1000地形圖_雲林縣莿桐都市計畫(113年)"/>
        <s v="WFS_1/1000地形圖_雲林縣箔子寮漁港特定區計畫(112年)"/>
        <s v="WFS_1/1000地形圖_新竹科學工業園區特定區計畫(竹東部分)(112年)"/>
        <s v="WFS_1/1000地形圖_新竹科學工業園區特定區計畫(寶山部分)(112年)"/>
        <s v="WFS_1/1000地形圖_新竹縣竹北(含斗崙地區)都市計畫(113年)"/>
        <s v="WFS_1/1000地形圖_新竹縣高速鐵路新竹車站特定區計畫(113年)"/>
        <s v="WFS_1/1000地形圖_新竹縣寶山都市計畫(112年)"/>
        <s v="WFS_1/1000地形圖_嘉義縣大林都市計畫(112年)"/>
        <s v="WFS_1/1000地形圖_嘉義縣仁義潭風景特定區計畫(嘉義縣部分)(112年)"/>
        <s v="WFS_1/1000地形圖_嘉義縣太保都市計畫(112年)"/>
        <s v="WFS_1/1000地形圖_嘉義縣民雄(頭橋地區)都市計畫(113年)"/>
        <s v="WFS_1/1000地形圖_嘉義縣民雄都市計畫(113年)"/>
        <s v="WFS_1/1000地形圖_嘉義縣竹崎鄉都市計畫(113年)"/>
        <s v="WFS_1/1000地形圖_嘉義縣吳鳳廟特定區計畫(112年)"/>
        <s v="WFS_1/1000地形圖_嘉義縣治都市計畫(112年)"/>
        <s v="WFS_1/1000地形圖_嘉義縣阿里山鄉都市計畫(113年)"/>
        <s v="WFS_1/1000地形圖_嘉義縣高速鐵路嘉義車站特定區計畫(112年)"/>
        <s v="WFS_1/1000地形圖_嘉義縣國立中正大學特定區計畫(112年)"/>
        <s v="WFS_1/1000地形圖_嘉義縣番路鄉都市計畫(113年)"/>
        <s v="WFS_1/1000地形圖_彰化縣高速公路彰化交流道附近特定區計畫(112年)"/>
        <s v="WFS_1/1000地形圖_彰化縣彰化都市計畫(112年)"/>
        <s v="WFS_1/1000地形圖_臺中市大肚都市計畫(112年)"/>
        <s v="WFS_1/1000地形圖_臺中市中部科學工業園區台中基地附近特定區計畫(113年)"/>
        <s v="WFS_1/1000地形圖_臺中市東勢都市計畫(112年)"/>
        <s v="WFS_1/1000地形圖_臺中市烏日都市計畫(112年)"/>
        <s v="WFS_1/1000地形圖_臺中市高速公路王田交流道附近特定區計畫(112年)"/>
        <s v="WFS_1/1000地形圖_臺中市新社都市計畫(112年)"/>
        <s v="WFS_1/1000地形圖_臺中市豐潭雅神都市計畫(113年)"/>
        <s v="WFS_1/1000地形圖_臺東縣臺東市都市計畫(112年)"/>
        <s v="WFS_1/1000地形圖_臺東縣臺東鐵路新站附近地區都市計畫(113年)"/>
        <s v="WFS_1/1000地形圖_臺南市佳里都市計畫(113年)"/>
        <s v="WFS_1/1000地形圖_臺南市柳營都市計畫(112年)"/>
        <s v="WFS_1/1000地形圖_臺南市高速公路新營交流道附近特定區計畫(112年)"/>
        <s v="WFS_1/1000地形圖_臺南市新營都市計畫(112年)"/>
        <s v="WFS_1/1000地形圖_臺南市鹽水都市計畫(112年)"/>
        <s v="WFS_1/1000地形圖_澎湖縣二崁傳統聚落特定區計畫(112年)"/>
        <s v="WFS_1/1000地形圖_澎湖縣白沙通梁地區都市計畫(112年)"/>
        <s v="WFS_1/1000地形圖_澎湖縣西嶼西台古蹟特定區計畫(112年)"/>
        <s v="WFS_1/1000地形圖_澎湖縣林投風景特定區計畫(112年)"/>
        <s v="WFS_1/1000地形圖_澎湖縣馬公市都市計畫(113年)"/>
        <s v="WFS_1/1000地形圖_澎湖縣馬公都市計畫(112年)"/>
        <s v="WFS_1/1000地形圖_澎湖縣湖西鄉都市計畫(113年)"/>
        <s v="WFS_1/1000地形圖_澎湖縣鎖港地區都市計畫(112年)"/>
        <s v="WFS_分棟建物框"/>
        <s v="WFS_地段外圍圖"/>
        <s v="WFS_地籍圖"/>
        <s v="WFS_國土利用現況調查成果圖"/>
        <s v="WFS_臺灣通用電子地圖"/>
        <s v="WMS_地籍圖"/>
        <s v="WMTS_1/100000地形圖(107年)"/>
        <s v="WMTS_1/100000地形圖(109年)"/>
        <s v="WMTS_1/100000地形圖(110年)"/>
        <s v="WMTS_1/100000地形圖(111年)"/>
        <s v="WMTS_1/100000地形圖(112年)"/>
        <s v="WMTS_1/100000地形圖(113年)"/>
        <s v="WMTS_1/100000地形圖(114年)"/>
        <s v="WMTS_1/100000基本地形圖"/>
        <s v="WMTS_1/10000像片基本圖(69-72年)"/>
        <s v="WMTS_1/1000地形圖_北埔都市計畫(97年)"/>
        <s v="WMTS_1/1000地形圖_正射影像_宜蘭縣大湖風景特定區計畫(112年)"/>
        <s v="WMTS_1/1000地形圖_正射影像_宜蘭縣五峰旗風景特定區計畫(112年)"/>
        <s v="WMTS_1/1000地形圖_正射影像_宜蘭縣冬山(順安地區)都市計畫(112年)"/>
        <s v="WMTS_1/1000地形圖_正射影像_宜蘭縣宜蘭市都市計畫(113年)"/>
        <s v="WMTS_1/1000地形圖_正射影像_宜蘭縣南澳南強都市計畫(112年)"/>
        <s v="WMTS_1/1000地形圖_正射影像_宜蘭縣政中心地區都市計畫(112年)"/>
        <s v="WMTS_1/1000地形圖_正射影像_宜蘭縣員山都市計畫(112年)"/>
        <s v="WMTS_1/1000地形圖_正射影像_宜蘭縣梅花湖風景特定區計畫(112年)"/>
        <s v="WMTS_1/1000地形圖_正射影像_宜蘭縣龍潭湖風景特定區計畫(112年)"/>
        <s v="WMTS_1/1000地形圖_正射影像_宜蘭縣礁溪都市計畫(112年)"/>
        <s v="WMTS_1/1000地形圖_正射影像_宜蘭縣蘇澳(新馬地區)都市計畫(112年)"/>
        <s v="WMTS_1/1000地形圖_正射影像_花蓮縣光復鄉都市計畫(113年)"/>
        <s v="WMTS_1/1000地形圖_正射影像_南投縣中興新村(含南內轆地區)都市計畫(112年)"/>
        <s v="WMTS_1/1000地形圖_正射影像_南投縣南投(含南崗地區)都市計畫(112年)"/>
        <s v="WMTS_1/1000地形圖_正射影像_南投縣草屯都市計畫(112年)"/>
        <s v="WMTS_1/1000地形圖_正射影像_屏東縣里港都市計畫(113年)"/>
        <s v="WMTS_1/1000地形圖_正射影像_屏東縣東港都市計畫(113年)"/>
        <s v="WMTS_1/1000地形圖_正射影像_屏東縣屏東都市計畫(112年)"/>
        <s v="WMTS_1/1000地形圖_正射影像_屏東縣新園(烏龍地區)都市計畫(113年)"/>
        <s v="WMTS_1/1000地形圖_正射影像_屏東縣鹽埔漁港特定區計畫(113年)"/>
        <s v="WMTS_1/1000地形圖_正射影像_苗栗縣苗栗都市計畫(112年)"/>
        <s v="WMTS_1/1000地形圖_正射影像_苗栗縣高速公路苗栗交流道附近特定區計畫(112年)"/>
        <s v="WMTS_1/1000地形圖_正射影像_苗栗縣頭屋都市計畫(112年)"/>
        <s v="WMTS_1/1000地形圖_正射影像_桃園市平鎮(山子頂地區)都市計畫(112年)"/>
        <s v="WMTS_1/1000地形圖_正射影像_桃園市新屋都市計畫(113年)"/>
        <s v="WMTS_1/1000地形圖_正射影像_桃園市龍潭都市計畫(113年)"/>
        <s v="WMTS_1/1000地形圖_正射影像_桃園市觀音(新坡地區)都市計畫(113年)"/>
        <s v="WMTS_1/1000地形圖_正射影像_桃園市觀音都市計畫(113年)"/>
        <s v="WMTS_1/1000地形圖_正射影像_高雄市(三民.苓雅.前金.新興.前鎮.鹽埕)都市計畫(113年)"/>
        <s v="WMTS_1/1000地形圖_正射影像_高雄市岡山都市計畫(112年)"/>
        <s v="WMTS_1/1000地形圖_正射影像_高雄市鳳山都市計畫(113年)"/>
        <s v="WMTS_1/1000地形圖_正射影像_雲林縣二崙都市計畫(112年)"/>
        <s v="WMTS_1/1000地形圖_正射影像_雲林縣斗六(含大潭地區)都市計畫(113年)"/>
        <s v="WMTS_1/1000地形圖_正射影像_雲林縣斗六嘉東地區特定區計畫(112年)"/>
        <s v="WMTS_1/1000地形圖_正射影像_雲林縣高速鐵路雲林車站特定區計畫(113年)"/>
        <s v="WMTS_1/1000地形圖_正射影像_雲林縣崙背都市計畫(112年)"/>
        <s v="WMTS_1/1000地形圖_正射影像_雲林縣莿桐都市計畫(113年)"/>
        <s v="WMTS_1/1000地形圖_正射影像_雲林縣箔子寮漁港特定區計畫(112年)"/>
        <s v="WMTS_1/1000地形圖_正射影像_新竹科學工業園區特定區計畫(竹東部分)(112年)"/>
        <s v="WMTS_1/1000地形圖_正射影像_新竹科學工業園區特定區計畫(寶山部分)(112年)"/>
        <s v="WMTS_1/1000地形圖_正射影像_新竹縣竹北(含斗崙地區)都市計畫(113年)"/>
        <s v="WMTS_1/1000地形圖_正射影像_新竹縣高速鐵路新竹車站特定區計畫(113年)"/>
        <s v="WMTS_1/1000地形圖_正射影像_新竹縣寶山都市計畫(112年)"/>
        <s v="WMTS_1/1000地形圖_正射影像_嘉義縣大林都市計畫(112年)"/>
        <s v="WMTS_1/1000地形圖_正射影像_嘉義縣仁義潭風景特定區計畫(嘉義縣部分)(112年)"/>
        <s v="WMTS_1/1000地形圖_正射影像_嘉義縣太保都市計畫(112年)"/>
        <s v="WMTS_1/1000地形圖_正射影像_嘉義縣民雄(頭橋地區)都市計畫(113年)"/>
        <s v="WMTS_1/1000地形圖_正射影像_嘉義縣民雄都市計畫(113年)"/>
        <s v="WMTS_1/1000地形圖_正射影像_嘉義縣竹崎鄉都市計畫(113年)"/>
        <s v="WMTS_1/1000地形圖_正射影像_嘉義縣吳鳳廟特定區計畫(112年)"/>
        <s v="WMTS_1/1000地形圖_正射影像_嘉義縣治都市計畫(112年)"/>
        <s v="WMTS_1/1000地形圖_正射影像_嘉義縣阿里山鄉都市計畫(113年)"/>
        <s v="WMTS_1/1000地形圖_正射影像_嘉義縣高速鐵路嘉義車站特定區計畫(112年)"/>
        <s v="WMTS_1/1000地形圖_正射影像_嘉義縣國立中正大學特定區計畫(112年)"/>
        <s v="WMTS_1/1000地形圖_正射影像_嘉義縣番路鄉都市計畫(113年)"/>
        <s v="WMTS_1/1000地形圖_正射影像_彰化縣高速公路彰化交流道附近特定區計畫(112年)"/>
        <s v="WMTS_1/1000地形圖_正射影像_彰化縣彰化都市計畫(112年)"/>
        <s v="WMTS_1/1000地形圖_正射影像_臺中市大肚都市計畫(112年)"/>
        <s v="WMTS_1/1000地形圖_正射影像_臺中市中部科學工業園區台中基地附近特定區計畫(113年)"/>
        <s v="WMTS_1/1000地形圖_正射影像_臺中市東勢都市計畫(112年)"/>
        <s v="WMTS_1/1000地形圖_正射影像_臺中市烏日都市計畫(112年)"/>
        <s v="WMTS_1/1000地形圖_正射影像_臺中市高速公路王田交流道附近特定區計畫(112年)"/>
        <s v="WMTS_1/1000地形圖_正射影像_臺中市新社都市計畫(112年)"/>
        <s v="WMTS_1/1000地形圖_正射影像_臺中市豐潭雅神都市計畫(113年)"/>
        <s v="WMTS_1/1000地形圖_正射影像_臺東縣臺東市都市計畫(112年)"/>
        <s v="WMTS_1/1000地形圖_正射影像_臺東縣臺東鐵路新站附近地區都市計畫(113年)"/>
        <s v="WMTS_1/1000地形圖_正射影像_臺南市佳里都市計畫(113年)"/>
        <s v="WMTS_1/1000地形圖_正射影像_臺南市柳營都市計畫(112年)"/>
        <s v="WMTS_1/1000地形圖_正射影像_臺南市高速公路新營交流道附近特定區計畫(112年)"/>
        <s v="WMTS_1/1000地形圖_正射影像_臺南市新營都市計畫(112年)"/>
        <s v="WMTS_1/1000地形圖_正射影像_臺南市鹽水都市計畫(112年)"/>
        <s v="WMTS_1/1000地形圖_正射影像_澎湖縣二崁傳統聚落特定區計畫(112年)"/>
        <s v="WMTS_1/1000地形圖_正射影像_澎湖縣白沙通梁地區都市計畫(112年)"/>
        <s v="WMTS_1/1000地形圖_正射影像_澎湖縣西嶼西台古蹟特定區計畫(112年)"/>
        <s v="WMTS_1/1000地形圖_正射影像_澎湖縣林投風景特定區計畫(112年)"/>
        <s v="WMTS_1/1000地形圖_正射影像_澎湖縣馬公市都市計畫(113年)"/>
        <s v="WMTS_1/1000地形圖_正射影像_澎湖縣馬公都市計畫(112年)"/>
        <s v="WMTS_1/1000地形圖_正射影像_澎湖縣湖西鄉都市計畫(113年)"/>
        <s v="WMTS_1/1000地形圖_正射影像_澎湖縣鎖港地區都市計畫(112年)"/>
        <s v="WMTS_1/1000地形圖_竹北都市計畫(93年)"/>
        <s v="WMTS_1/1000地形圖_竹東都市計畫(93-94年)"/>
        <s v="WMTS_1/1000地形圖_芎林都市計畫(93年)"/>
        <s v="WMTS_1/1000地形圖_宜蘭縣三星都市計畫(98年)"/>
        <s v="WMTS_1/1000地形圖_宜蘭縣大湖風景特定區計畫(112年)"/>
        <s v="WMTS_1/1000地形圖_宜蘭縣大湖風景特定區計畫(97年)"/>
        <s v="WMTS_1/1000地形圖_宜蘭縣五峰旗風景特定區計畫(112年)"/>
        <s v="WMTS_1/1000地形圖_宜蘭縣五峰旗風景特定區計畫及礁溪都市計畫(97年)"/>
        <s v="WMTS_1/1000地形圖_宜蘭縣五結(學進地區)都市計畫(97年)"/>
        <s v="WMTS_1/1000地形圖_宜蘭縣冬山(順安地區)都市計畫(112年)"/>
        <s v="WMTS_1/1000地形圖_宜蘭縣冬山(順安地區)都市計畫(98年)"/>
        <s v="WMTS_1/1000地形圖_宜蘭縣冬山及蘇澳(含新馬)都市計畫(98年)"/>
        <s v="WMTS_1/1000地形圖_宜蘭縣壯圍都市計畫(97年)"/>
        <s v="WMTS_1/1000地形圖_宜蘭縣宜蘭市(100年)"/>
        <s v="WMTS_1/1000地形圖_宜蘭縣宜蘭市都市計畫(113年)"/>
        <s v="WMTS_1/1000地形圖_宜蘭縣東北角暨宜蘭海岸國家風景區(100年)"/>
        <s v="WMTS_1/1000地形圖_宜蘭縣南澳南強都市計畫(112年)"/>
        <s v="WMTS_1/1000地形圖_宜蘭縣南澳南強都市計畫(98年)"/>
        <s v="WMTS_1/1000地形圖_宜蘭縣政中心地區都市計畫(112年)"/>
        <s v="WMTS_1/1000地形圖_宜蘭縣員山都市計畫(112年)"/>
        <s v="WMTS_1/1000地形圖_宜蘭縣員山都市計畫(97年)"/>
        <s v="WMTS_1/1000地形圖_宜蘭縣梅花湖風景特定區計畫(112年)"/>
        <s v="WMTS_1/1000地形圖_宜蘭縣梅花湖風景特定區計畫(98年)"/>
        <s v="WMTS_1/1000地形圖_宜蘭縣頭城都市計畫(97年)"/>
        <s v="WMTS_1/1000地形圖_宜蘭縣龍潭湖風景特定區計畫(112年)"/>
        <s v="WMTS_1/1000地形圖_宜蘭縣龍潭湖風景特定區計畫及四城地區(97年)"/>
        <s v="WMTS_1/1000地形圖_宜蘭縣礁溪都市計畫(112年)"/>
        <s v="WMTS_1/1000地形圖_宜蘭縣羅東都市計畫(100年)"/>
        <s v="WMTS_1/1000地形圖_宜蘭縣蘇澳(新馬地區)都市計畫(112年)"/>
        <s v="WMTS_1/1000地形圖_花蓮縣大花蓮都市計畫(111年)"/>
        <s v="WMTS_1/1000地形圖_花蓮縣玉里都市計畫(106年)"/>
        <s v="WMTS_1/1000地形圖_花蓮縣玉里都市計畫(111年)"/>
        <s v="WMTS_1/1000地形圖_花蓮縣石梯秀姑巒風景特定區計畫(107年)"/>
        <s v="WMTS_1/1000地形圖_花蓮縣光復都市計畫(104年)"/>
        <s v="WMTS_1/1000地形圖_花蓮縣光復都市計畫(109年)"/>
        <s v="WMTS_1/1000地形圖_花蓮縣光復鄉都市計畫(113年)"/>
        <s v="WMTS_1/1000地形圖_花蓮縣吉安(鄉公所)都市計畫(104年)"/>
        <s v="WMTS_1/1000地形圖_花蓮縣吉安(鄉公所)都市計畫(109年)"/>
        <s v="WMTS_1/1000地形圖_花蓮縣吉安都市計畫(104年)"/>
        <s v="WMTS_1/1000地形圖_花蓮縣吉安都市計畫(109年)"/>
        <s v="WMTS_1/1000地形圖_花蓮縣秀林(和平地區)都市計畫"/>
        <s v="WMTS_1/1000地形圖_花蓮縣秀林(崇德地區)都市計畫(107年)"/>
        <s v="WMTS_1/1000地形圖_花蓮縣東華大學城特定區計畫(105年)"/>
        <s v="WMTS_1/1000地形圖_花蓮縣花蓮吉安新城都市計畫(109年)"/>
        <s v="WMTS_1/1000地形圖_花蓮縣花蓮都市計畫(104年)"/>
        <s v="WMTS_1/1000地形圖_花蓮縣花蓮都市計畫(109年)"/>
        <s v="WMTS_1/1000地形圖_花蓮縣富里都市計畫(106年)"/>
        <s v="WMTS_1/1000地形圖_花蓮縣新城(北埔地區)都市計畫(104年)"/>
        <s v="WMTS_1/1000地形圖_花蓮縣新城(北埔地區)都市計畫(109年)"/>
        <s v="WMTS_1/1000地形圖_花蓮縣新城秀林都市計畫(107年)"/>
        <s v="WMTS_1/1000地形圖_花蓮縣瑞穗都市計畫(106年)"/>
        <s v="WMTS_1/1000地形圖_花蓮縣壽豐都市計畫(106年)"/>
        <s v="WMTS_1/1000地形圖_花蓮縣鳳林都市計畫(104年)"/>
        <s v="WMTS_1/1000地形圖_花蓮縣鳳林都市計畫(109年)"/>
        <s v="WMTS_1/1000地形圖_花蓮縣磯崎風景特定區計畫(107年)"/>
        <s v="WMTS_1/1000地形圖_花蓮縣鯉魚潭風景特定區計畫(106年)"/>
        <s v="WMTS_1/1000地形圖_金門縣都市計畫(106年)"/>
        <s v="WMTS_1/1000地形圖_金門縣都市計畫(112年)"/>
        <s v="WMTS_1/1000地形圖_南投縣八卦山脈風景特定區計畫(93-98年)"/>
        <s v="WMTS_1/1000地形圖_南投縣中寮都市計畫(95-98年)"/>
        <s v="WMTS_1/1000地形圖_南投縣中興新村(含南內轆地區)都市計畫(112年)"/>
        <s v="WMTS_1/1000地形圖_南投縣中興新村都市計畫(102年)"/>
        <s v="WMTS_1/1000地形圖_南投縣日月潭特定區計畫(93-98年)"/>
        <s v="WMTS_1/1000地形圖_南投縣水里都市計畫(95-98年)"/>
        <s v="WMTS_1/1000地形圖_南投縣名間都市計畫(95-98年)"/>
        <s v="WMTS_1/1000地形圖_南投縣竹山都市計畫(竹山部分(94-98年)"/>
        <s v="WMTS_1/1000地形圖_南投縣竹山都市計畫(延平部分(94-98年)"/>
        <s v="WMTS_1/1000地形圖_南投縣東埔風景特定區計畫(93-98年)"/>
        <s v="WMTS_1/1000地形圖_南投縣南投(含南崗地區)都市計畫(112年)"/>
        <s v="WMTS_1/1000地形圖_南投縣南投都市計畫(南投(94-98年)"/>
        <s v="WMTS_1/1000地形圖_南投縣南投都市計畫(南崗(94-98年)"/>
        <s v="WMTS_1/1000地形圖_南投縣埔里都市計畫(94-98年)"/>
        <s v="WMTS_1/1000地形圖_南投縣草屯都市計畫(112年)"/>
        <s v="WMTS_1/1000地形圖_南投縣草屯都市計畫(94-98年)"/>
        <s v="WMTS_1/1000地形圖_南投縣國姓都市計畫(93-98年)"/>
        <s v="WMTS_1/1000地形圖_南投縣魚池都市計畫(103年)"/>
        <s v="WMTS_1/1000地形圖_南投縣鹿谷都市計畫(106年)"/>
        <s v="WMTS_1/1000地形圖_南投縣集集都市計畫(95-98年)"/>
        <s v="WMTS_1/1000地形圖_南投縣溪頭森林遊樂特定區計畫(93-98年)"/>
        <s v="WMTS_1/1000地形圖_南投縣翠峰風景特定區計畫(93-98年)"/>
        <s v="WMTS_1/1000地形圖_南投縣鳳凰谷風景特定區計畫(93-98年)"/>
        <s v="WMTS_1/1000地形圖_南投縣廬山風景特定區計畫(93-98年)"/>
        <s v="WMTS_1/1000地形圖_南投縣霧社都市計畫(94-98年)"/>
        <s v="WMTS_1/1000地形圖_屏東縣九如都市計畫(100年)"/>
        <s v="WMTS_1/1000地形圖_屏東縣大鵬灣風景特定區計畫(102年)"/>
        <s v="WMTS_1/1000地形圖_屏東縣小琉球風景特定區計畫(102年)"/>
        <s v="WMTS_1/1000地形圖_屏東縣內埔都市計畫(100年)"/>
        <s v="WMTS_1/1000地形圖_屏東縣內埔龍泉都市計畫(100年)"/>
        <s v="WMTS_1/1000地形圖_屏東縣內埔豐田都市計畫(100年)"/>
        <s v="WMTS_1/1000地形圖_屏東縣竹田都市計畫(101年)"/>
        <s v="WMTS_1/1000地形圖_屏東縣車城都市計畫(101年)"/>
        <s v="WMTS_1/1000地形圖_屏東縣里港都市計畫(100年)"/>
        <s v="WMTS_1/1000地形圖_屏東縣里港都市計畫(113年)"/>
        <s v="WMTS_1/1000地形圖_屏東縣佳冬都市計畫(100年)"/>
        <s v="WMTS_1/1000地形圖_屏東縣東港都市計畫(113年)"/>
        <s v="WMTS_1/1000地形圖_屏東縣東港都市計畫(99年)"/>
        <s v="WMTS_1/1000地形圖_屏東縣枋寮水底寮都市計畫(100年)"/>
        <s v="WMTS_1/1000地形圖_屏東縣枋寮都市計畫(100年)"/>
        <s v="WMTS_1/1000地形圖_屏東縣林邊都市計畫(100年)"/>
        <s v="WMTS_1/1000地形圖_屏東縣林邊都市計畫(99年)"/>
        <s v="WMTS_1/1000地形圖_屏東縣長治都市計畫(100年)"/>
        <s v="WMTS_1/1000地形圖_屏東縣南州都市計畫(101年)"/>
        <s v="WMTS_1/1000地形圖_屏東縣屏東都市計畫(112年)"/>
        <s v="WMTS_1/1000地形圖_屏東縣屏東都市計畫(93-94年)"/>
        <s v="WMTS_1/1000地形圖_屏東縣恆春都市計畫(100年)"/>
        <s v="WMTS_1/1000地形圖_屏東縣崁頂都市計畫(101年)"/>
        <s v="WMTS_1/1000地形圖_屏東縣高樹都市計畫(100年)"/>
        <s v="WMTS_1/1000地形圖_屏東縣新埤都市計畫(100年)"/>
        <s v="WMTS_1/1000地形圖_屏東縣新園(烏龍地區)都市計畫(113年)"/>
        <s v="WMTS_1/1000地形圖_屏東縣新園烏龍都市計畫(100年)"/>
        <s v="WMTS_1/1000地形圖_屏東縣新園都市計畫(100年)"/>
        <s v="WMTS_1/1000地形圖_屏東縣萬丹都市計畫(100年)"/>
        <s v="WMTS_1/1000地形圖_屏東縣萬巒都市計畫(101年)"/>
        <s v="WMTS_1/1000地形圖_屏東縣滿州都市計畫(101年)"/>
        <s v="WMTS_1/1000地形圖_屏東縣潮州都市計畫(98年)"/>
        <s v="WMTS_1/1000地形圖_屏東縣墾丁國家公園計畫(104年)"/>
        <s v="WMTS_1/1000地形圖_屏東縣麟洛都市計畫(100年)"/>
        <s v="WMTS_1/1000地形圖_屏東縣鹽埔都市計畫(100年)"/>
        <s v="WMTS_1/1000地形圖_屏東縣鹽埔漁港特定區計畫(102年)"/>
        <s v="WMTS_1/1000地形圖_屏東縣鹽埔漁港特定區計畫(113年)"/>
        <s v="WMTS_1/1000地形圖_苗栗縣三義都市計畫(97年)"/>
        <s v="WMTS_1/1000地形圖_苗栗縣大湖都市計畫(95年)"/>
        <s v="WMTS_1/1000地形圖_苗栗縣公館都市計畫(98年)"/>
        <s v="WMTS_1/1000地形圖_苗栗縣竹南頭份都市計畫(94年)"/>
        <s v="WMTS_1/1000地形圖_苗栗縣卓蘭都市計畫(89年)"/>
        <s v="WMTS_1/1000地形圖_苗栗縣明德水庫特定區計畫(93年)"/>
        <s v="WMTS_1/1000地形圖_苗栗縣南庄都市計畫(98年)"/>
        <s v="WMTS_1/1000地形圖_苗栗縣後龍外埔漁港特定區計畫(95年)"/>
        <s v="WMTS_1/1000地形圖_苗栗縣後龍都市計畫(97年)"/>
        <s v="WMTS_1/1000地形圖_苗栗縣苑裡都市計畫(98年)"/>
        <s v="WMTS_1/1000地形圖_苗栗縣苗栗都市計畫(112年)"/>
        <s v="WMTS_1/1000地形圖_苗栗縣苗栗都市計畫(93年)"/>
        <s v="WMTS_1/1000地形圖_苗栗縣高速公路苗栗交流道附近特定區計畫(112年)"/>
        <s v="WMTS_1/1000地形圖_苗栗縣高速鐵路苗栗車站特定區計畫(92年)"/>
        <s v="WMTS_1/1000地形圖_苗栗縣通霄都市計畫(98年)"/>
        <s v="WMTS_1/1000地形圖_苗栗縣造橋都市計畫(97年)"/>
        <s v="WMTS_1/1000地形圖_苗栗縣新竹科學園區竹南基地特定區計畫(95年)"/>
        <s v="WMTS_1/1000地形圖_苗栗縣銅鑼都市計畫(98年)"/>
        <s v="WMTS_1/1000地形圖_苗栗縣頭份交流道特定區計畫(96年)"/>
        <s v="WMTS_1/1000地形圖_苗栗縣頭屋都市計畫(112年)"/>
        <s v="WMTS_1/1000地形圖_苗栗縣頭屋都市計畫(98年)"/>
        <s v="WMTS_1/1000地形圖_桃園市八德(八德地區)都市計畫(111年)"/>
        <s v="WMTS_1/1000地形圖_桃園市八德(大湳地區)都市計畫(111年)"/>
        <s v="WMTS_1/1000地形圖_桃園市八德大湳都市計畫(92年)"/>
        <s v="WMTS_1/1000地形圖_桃園市大園(菓林)都市計畫(107年)"/>
        <s v="WMTS_1/1000地形圖_桃園市大園果林都市計畫(98年)"/>
        <s v="WMTS_1/1000地形圖_桃園市大園都市計畫(108年)"/>
        <s v="WMTS_1/1000地形圖_桃園市大園都市計畫(98年)"/>
        <s v="WMTS_1/1000地形圖_桃園市大溪(埔頂地區)都市計畫(111年)"/>
        <s v="WMTS_1/1000地形圖_桃園市大溪埔頂都市計畫(102年)"/>
        <s v="WMTS_1/1000地形圖_桃園市大溪都市計畫(93年)"/>
        <s v="WMTS_1/1000地形圖_桃園市小烏來風景特定區計畫(100年)"/>
        <s v="WMTS_1/1000地形圖_桃園市中壢(龍岡地區)都市計畫(111年)"/>
        <s v="WMTS_1/1000地形圖_桃園市中壢及內壢交流道特定區計畫(100年)"/>
        <s v="WMTS_1/1000地形圖_桃園市中壢平鎮都市計畫(100年)"/>
        <s v="WMTS_1/1000地形圖_桃園市中壢平鎮都市計畫(111年)"/>
        <s v="WMTS_1/1000地形圖_桃園市中壢過嶺地區等都市計畫(100年)"/>
        <s v="WMTS_1/1000地形圖_桃園市中壢龍岡都市計畫(95年)"/>
        <s v="WMTS_1/1000地形圖_桃園市巴陵達觀山風景特定區計畫(100年)"/>
        <s v="WMTS_1/1000地形圖_桃園市平鎮(山子頂地區)都市計畫(112年)"/>
        <s v="WMTS_1/1000地形圖_桃園市平鎮山子頂都市計畫(96年)"/>
        <s v="WMTS_1/1000地形圖_桃園市石門水庫水源特定區計畫(100年)"/>
        <s v="WMTS_1/1000地形圖_桃園市石門都市計畫(102年)"/>
        <s v="WMTS_1/1000地形圖_桃園市林口特定區計畫(101年)"/>
        <s v="WMTS_1/1000地形圖_桃園市南崁都市計畫(107年)"/>
        <s v="WMTS_1/1000地形圖_桃園市南崁都市計畫(94年)"/>
        <s v="WMTS_1/1000地形圖_桃園市桃園市都市計畫(103(105年)"/>
        <s v="WMTS_1/1000地形圖_桃園市航空城(大園南港特定區)計畫(98年)"/>
        <s v="WMTS_1/1000地形圖_桃園市航空城特定區計畫(110年)"/>
        <s v="WMTS_1/1000地形圖_桃園市高鐵桃園車站特定區計畫(98年)"/>
        <s v="WMTS_1/1000地形圖_桃園市高鐵特定區計畫(105年)"/>
        <s v="WMTS_1/1000地形圖_桃園市復興都市計畫(94年)"/>
        <s v="WMTS_1/1000地形圖_桃園市新屋都市計畫(100年)"/>
        <s v="WMTS_1/1000地形圖_桃園市新屋都市計畫(113年)"/>
        <s v="WMTS_1/1000地形圖_桃園市楊梅都市計畫(102年)"/>
        <s v="WMTS_1/1000地形圖_桃園市楊梅富岡豐野都市計畫(100年)"/>
        <s v="WMTS_1/1000地形圖_桃園市龍壽迴龍都市計畫(98年)"/>
        <s v="WMTS_1/1000地形圖_桃園市龍潭都市計畫(113年)"/>
        <s v="WMTS_1/1000地形圖_桃園市龍潭都市計畫(97年)"/>
        <s v="WMTS_1/1000地形圖_桃園市龜山都市計畫(98年)"/>
        <s v="WMTS_1/1000地形圖_桃園市縱貫公路內壢間都市計畫(100年)"/>
        <s v="WMTS_1/1000地形圖_桃園市蘆竹大竹都市計畫(98年)"/>
        <s v="WMTS_1/1000地形圖_桃園市觀音(新坡地區)都市計畫(113年)"/>
        <s v="WMTS_1/1000地形圖_桃園市觀音草漯都市計畫(100年)"/>
        <s v="WMTS_1/1000地形圖_桃園市觀音都市計畫(113年)"/>
        <s v="WMTS_1/1000地形圖_桃園市觀音都市計畫(94年)"/>
        <s v="WMTS_1/1000地形圖_桃園市觀音新坡都市計畫(94年)"/>
        <s v="WMTS_1/1000地形圖_高雄市(三民.苓雅.前金.新興.前鎮.鹽埕)都市計畫(113年)"/>
        <s v="WMTS_1/1000地形圖_高雄市大坪頂以東地區88以北(93年)"/>
        <s v="WMTS_1/1000地形圖_高雄市大坪頂以東地區88以北(94年)"/>
        <s v="WMTS_1/1000地形圖_高雄市大坪頂以東地區88以南(97年)"/>
        <s v="WMTS_1/1000地形圖_高雄市大坪頂特定區計畫(99年)"/>
        <s v="WMTS_1/1000地形圖_高雄市大社都市計畫(105年)"/>
        <s v="WMTS_1/1000地形圖_高雄市大寮都市計畫(105年)"/>
        <s v="WMTS_1/1000地形圖_高雄市大樹九曲堂都市計畫(106年)"/>
        <s v="WMTS_1/1000地形圖_高雄市大樹都市計畫(107年)"/>
        <s v="WMTS_1/1000地形圖_高雄市大樹都市計畫(92年)"/>
        <s v="WMTS_1/1000地形圖_高雄市仁武都市計畫(100年)"/>
        <s v="WMTS_1/1000地形圖_高雄市六龜彩蝶谷風景特定區計畫(99年)"/>
        <s v="WMTS_1/1000地形圖_高雄市月世界風景特定區計畫(99年)"/>
        <s v="WMTS_1/1000地形圖_高雄市左營鼓山都市計畫(113年)"/>
        <s v="WMTS_1/1000地形圖_高雄市甲仙都市計畫(99年)"/>
        <s v="WMTS_1/1000地形圖_高雄市岡山交流道特定區計畫(99年)"/>
        <s v="WMTS_1/1000地形圖_高雄市岡山都市計畫(112年)"/>
        <s v="WMTS_1/1000地形圖_高雄市岡山都市計畫(98年)"/>
        <s v="WMTS_1/1000地形圖_高雄市阿蓮都市計畫(104年)"/>
        <s v="WMTS_1/1000地形圖_高雄市美濃中正湖風景特定區計畫(101年)"/>
        <s v="WMTS_1/1000地形圖_高雄市美濃都市計畫(105年)"/>
        <s v="WMTS_1/1000地形圖_高雄市茄萣都市計畫及興達港漁業特定區計畫(101年)"/>
        <s v="WMTS_1/1000地形圖_高雄市梓官都市計畫(101年)"/>
        <s v="WMTS_1/1000地形圖_高雄市梓官都市計畫(109年)"/>
        <s v="WMTS_1/1000地形圖_高雄市蚵仔寮近海漁業特定區計畫(101年)"/>
        <s v="WMTS_1/1000地形圖_高雄市都市計畫(102年)"/>
        <s v="WMTS_1/1000地形圖_高雄市鳥松仁美地區都市計畫(101年)"/>
        <s v="WMTS_1/1000地形圖_高雄市鳥松仁美地區都市計畫(108年)"/>
        <s v="WMTS_1/1000地形圖_高雄市湖內含大湖都市計畫(101年)"/>
        <s v="WMTS_1/1000地形圖_高雄市新市鎮特定區計畫(102年)"/>
        <s v="WMTS_1/1000地形圖_高雄市新市鎮特定區計畫(97年)"/>
        <s v="WMTS_1/1000地形圖_高雄市楠梓交流道特定區計畫鳳山厝(106年)"/>
        <s v="WMTS_1/1000地形圖_高雄市楠梓計畫(113年)"/>
        <s v="WMTS_1/1000地形圖_高雄市路竹都市計畫(106年)"/>
        <s v="WMTS_1/1000地形圖_高雄市旗山都市計畫(99年)"/>
        <s v="WMTS_1/1000地形圖_高雄市鳳山都市計畫(100年)"/>
        <s v="WMTS_1/1000地形圖_高雄市鳳山都市計畫(113年)"/>
        <s v="WMTS_1/1000地形圖_高雄市燕巢都市計畫(104年)"/>
        <s v="WMTS_1/1000地形圖_高雄市興達港漁業特定區計畫(109年)"/>
        <s v="WMTS_1/1000地形圖_高雄市彌陀都市計畫(101年)"/>
        <s v="WMTS_1/1000地形圖_基隆市都市計畫(111年)"/>
        <s v="WMTS_1/1000地形圖_基隆市都市計畫(96年)"/>
        <s v="WMTS_1/1000地形圖_連江縣都市計畫"/>
        <s v="WMTS_1/1000地形圖_湖口都市計畫(94年)"/>
        <s v="WMTS_1/1000地形圖_雲林縣二崙都市計畫(112年)"/>
        <s v="WMTS_1/1000地形圖_雲林縣二崙都市計畫(99年)"/>
        <s v="WMTS_1/1000地形圖_雲林縣大埤都市計畫(97年)"/>
        <s v="WMTS_1/1000地形圖_雲林縣元長都市計畫(100年)"/>
        <s v="WMTS_1/1000地形圖_雲林縣斗六(含大潭地區)都市計畫(113年)"/>
        <s v="WMTS_1/1000地形圖_雲林縣斗六都市計畫(99年)"/>
        <s v="WMTS_1/1000地形圖_雲林縣斗六嘉東地區特定區計畫(112年)"/>
        <s v="WMTS_1/1000地形圖_雲林縣斗六嘉東特定區計畫(97年)"/>
        <s v="WMTS_1/1000地形圖_雲林縣斗南交流道特定區計畫(98年)"/>
        <s v="WMTS_1/1000地形圖_雲林縣古坑都市計畫(100年)"/>
        <s v="WMTS_1/1000地形圖_雲林縣台西都市計畫(97年)"/>
        <s v="WMTS_1/1000地形圖_雲林縣四湖都市計畫(97年)"/>
        <s v="WMTS_1/1000地形圖_雲林縣東勢都市計畫(97年)"/>
        <s v="WMTS_1/1000地形圖_雲林縣林內都市計畫(97年)"/>
        <s v="WMTS_1/1000地形圖_雲林縣草嶺都市計畫(97年)"/>
        <s v="WMTS_1/1000地形圖_雲林縣高速鐵路雲林車站特定區計畫(113年)"/>
        <s v="WMTS_1/1000地形圖_雲林縣崙背都市計畫(112年)"/>
        <s v="WMTS_1/1000地形圖_雲林縣崙背都市計畫(97年)"/>
        <s v="WMTS_1/1000地形圖_雲林縣莿桐都市計畫(113年)"/>
        <s v="WMTS_1/1000地形圖_雲林縣箔子寮漁港特定區計畫(112年)"/>
        <s v="WMTS_1/1000地形圖_雲林縣箔子寮漁港特定區計畫(97年)"/>
        <s v="WMTS_1/1000地形圖_雲林縣褒忠都市計畫(97年)"/>
        <s v="WMTS_1/1000地形圖_新北市八里都市計畫(101年)"/>
        <s v="WMTS_1/1000地形圖_新北市八里都市計畫(107年)"/>
        <s v="WMTS_1/1000地形圖_新北市三芝都市計畫(104年)"/>
        <s v="WMTS_1/1000地形圖_新北市三芝都市計畫(109年)"/>
        <s v="WMTS_1/1000地形圖_新北市三重都市計畫(103年)"/>
        <s v="WMTS_1/1000地形圖_新北市三重都市計畫(110年)"/>
        <s v="WMTS_1/1000地形圖_新北市三峽都市計畫(105年)"/>
        <s v="WMTS_1/1000地形圖_新北市三峽都市計畫(111年)"/>
        <s v="WMTS_1/1000地形圖_新北市土城都市計畫(103年)"/>
        <s v="WMTS_1/1000地形圖_新北市土城都市計畫(109年)"/>
        <s v="WMTS_1/1000地形圖_新北市中和都市計畫(104年)"/>
        <s v="WMTS_1/1000地形圖_新北市中和都市計畫(112年)"/>
        <s v="WMTS_1/1000地形圖_新北市五股都市計畫(101年)"/>
        <s v="WMTS_1/1000地形圖_新北市五股都市計畫(107年)"/>
        <s v="WMTS_1/1000地形圖_新北市平溪都市計畫(103年)"/>
        <s v="WMTS_1/1000地形圖_新北市平溪都市計畫(110年)"/>
        <s v="WMTS_1/1000地形圖_新北市永和都市計畫(104年)"/>
        <s v="WMTS_1/1000地形圖_新北市永和都市計畫(112年)"/>
        <s v="WMTS_1/1000地形圖_新北市石門都市計畫(104年)"/>
        <s v="WMTS_1/1000地形圖_新北市石門都市計畫(110年)"/>
        <s v="WMTS_1/1000地形圖_新北市石碇都市計畫(104年)"/>
        <s v="WMTS_1/1000地形圖_新北市石碇都市計畫(110年)"/>
        <s v="WMTS_1/1000地形圖_新北市汐止都市計畫(102年)"/>
        <s v="WMTS_1/1000地形圖_新北市汐止都市計畫(108年)"/>
        <s v="WMTS_1/1000地形圖_新北市坪林都市計畫(104年)"/>
        <s v="WMTS_1/1000地形圖_新北市坪林都市計畫(110年)"/>
        <s v="WMTS_1/1000地形圖_新北市板橋都市計畫(103年)"/>
        <s v="WMTS_1/1000地形圖_新北市板橋都市計畫(109年)"/>
        <s v="WMTS_1/1000地形圖_新北市林口都市計畫(101年)"/>
        <s v="WMTS_1/1000地形圖_新北市林口都市計畫(107年)"/>
        <s v="WMTS_1/1000地形圖_新北市金山都市計畫(103年)"/>
        <s v="WMTS_1/1000地形圖_新北市金山都市計畫(109年)"/>
        <s v="WMTS_1/1000地形圖_新北市泰山都市計畫(105年)"/>
        <s v="WMTS_1/1000地形圖_新北市烏來都市計畫(104年)"/>
        <s v="WMTS_1/1000地形圖_新北市烏來都市計畫(112年)"/>
        <s v="WMTS_1/1000地形圖_新北市貢寮都市計畫(100年)"/>
        <s v="WMTS_1/1000地形圖_新北市貢寮都市計畫(108年)"/>
        <s v="WMTS_1/1000地形圖_新北市貢寮都市計畫(112年)"/>
        <s v="WMTS_1/1000地形圖_新北市淡水都市計畫(105年)"/>
        <s v="WMTS_1/1000地形圖_新北市淡水都市計畫(110年)"/>
        <s v="WMTS_1/1000地形圖_新北市深坑都市計畫(104年)"/>
        <s v="WMTS_1/1000地形圖_新北市深坑都市計畫(110年)"/>
        <s v="WMTS_1/1000地形圖_新北市新店都市計畫(104年)"/>
        <s v="WMTS_1/1000地形圖_新北市新店都市計畫(111年)"/>
        <s v="WMTS_1/1000地形圖_新北市新莊都市計畫(105年)"/>
        <s v="WMTS_1/1000地形圖_新北市瑞芳都市計畫(105年)"/>
        <s v="WMTS_1/1000地形圖_新北市瑞芳都市計畫(111年)"/>
        <s v="WMTS_1/1000地形圖_新北市萬里都市計畫(103年)"/>
        <s v="WMTS_1/1000地形圖_新北市萬里都市計畫(109年)"/>
        <s v="WMTS_1/1000地形圖_新北市樹林都市計畫(105年)"/>
        <s v="WMTS_1/1000地形圖_新北市雙溪都市計畫(103年)"/>
        <s v="WMTS_1/1000地形圖_新北市雙溪都市計畫(112年)"/>
        <s v="WMTS_1/1000地形圖_新北市蘆洲都市計畫(104年)"/>
        <s v="WMTS_1/1000地形圖_新北市蘆洲都市計畫(110年)"/>
        <s v="WMTS_1/1000地形圖_新北市鶯歌都市計畫(105年)"/>
        <s v="WMTS_1/1000地形圖_新北市鶯歌都市計畫(111年)"/>
        <s v="WMTS_1/1000地形圖_新竹市北區都市計畫(110年)"/>
        <s v="WMTS_1/1000地形圖_新竹市北區都市計畫(113年)"/>
        <s v="WMTS_1/1000地形圖_新竹市東區都市計畫(109年)"/>
        <s v="WMTS_1/1000地形圖_新竹市東區都市計畫(112年)"/>
        <s v="WMTS_1/1000地形圖_新竹市香山區都市計畫(108年)"/>
        <s v="WMTS_1/1000地形圖_新竹市香山區都市計畫(111年)"/>
        <s v="WMTS_1/1000地形圖_新竹市都市計畫(104-106年)"/>
        <s v="WMTS_1/1000地形圖_新竹科學工業園區特定區計畫(竹東部分)(112年)"/>
        <s v="WMTS_1/1000地形圖_新竹科學工業園區特定區計畫(寶山部分)(112年)"/>
        <s v="WMTS_1/1000地形圖_新竹縣竹北(含斗崙地區)都市計畫(113年)"/>
        <s v="WMTS_1/1000地形圖_新竹縣高速鐵路新竹車站特定區計畫(113年)"/>
        <s v="WMTS_1/1000地形圖_新竹縣寶山都市計畫(112年)"/>
        <s v="WMTS_1/1000地形圖_新埔都市計畫(94年)"/>
        <s v="WMTS_1/1000地形圖_新豐(山崎仔地區(都市計畫(94年)"/>
        <s v="WMTS_1/1000地形圖_新豐(新庄子地區(都市計畫(94年)"/>
        <s v="WMTS_1/1000地形圖_嘉義縣大林都市計畫(112年)"/>
        <s v="WMTS_1/1000地形圖_嘉義縣大林都市計畫(97年)"/>
        <s v="WMTS_1/1000地形圖_嘉義縣大埔都市計畫(101年)"/>
        <s v="WMTS_1/1000地形圖_嘉義縣中正大學特定區計畫(97年)"/>
        <s v="WMTS_1/1000地形圖_嘉義縣中埔和睦地區都市計畫(99年)"/>
        <s v="WMTS_1/1000地形圖_嘉義縣中埔都市計畫(99年)"/>
        <s v="WMTS_1/1000地形圖_嘉義縣中崙風景特定區計畫(99年)"/>
        <s v="WMTS_1/1000地形圖_嘉義縣仁義潭風景特定區計畫(99年)"/>
        <s v="WMTS_1/1000地形圖_嘉義縣仁義潭風景特定區計畫(嘉義縣部分)(112年)"/>
        <s v="WMTS_1/1000地形圖_嘉義縣六腳蒜頭都市計畫(98年)"/>
        <s v="WMTS_1/1000地形圖_嘉義縣太保都市計畫(112年)"/>
        <s v="WMTS_1/1000地形圖_嘉義縣太保都市計畫(94年)"/>
        <s v="WMTS_1/1000地形圖_嘉義縣水上北回都市計畫(98年)"/>
        <s v="WMTS_1/1000地形圖_嘉義縣水上都市計畫(98年)"/>
        <s v="WMTS_1/1000地形圖_嘉義縣布袋都市計畫(98年)"/>
        <s v="WMTS_1/1000地形圖_嘉義縣民雄(頭橋地區)都市計畫(113年)"/>
        <s v="WMTS_1/1000地形圖_嘉義縣民雄都市計畫(113年)"/>
        <s v="WMTS_1/1000地形圖_嘉義縣民雄都市計畫(97年)"/>
        <s v="WMTS_1/1000地形圖_嘉義縣民雄頭橋地區都市計畫(97年)"/>
        <s v="WMTS_1/1000地形圖_嘉義縣朴子都市計畫(94年)"/>
        <s v="WMTS_1/1000地形圖_嘉義縣竹崎都市計畫(99年)"/>
        <s v="WMTS_1/1000地形圖_嘉義縣竹崎鄉都市計畫(113年)"/>
        <s v="WMTS_1/1000地形圖_嘉義縣吳鳳廟特定區計畫(112年)"/>
        <s v="WMTS_1/1000地形圖_嘉義縣吳鳳廟特定區計畫(99年)"/>
        <s v="WMTS_1/1000地形圖_嘉義縣治都市計畫(112年)"/>
        <s v="WMTS_1/1000地形圖_嘉義縣阿里山風景區計畫(110年)"/>
        <s v="WMTS_1/1000地形圖_嘉義縣阿里山鄉都市計畫(113年)"/>
        <s v="WMTS_1/1000地形圖_嘉義縣阿里山達邦地區都市計畫(99年)"/>
        <s v="WMTS_1/1000地形圖_嘉義縣高速公路嘉義交流道特定區計畫(98年)"/>
        <s v="WMTS_1/1000地形圖_嘉義縣高速鐵路嘉義車站特定區計畫(112年)"/>
        <s v="WMTS_1/1000地形圖_嘉義縣高速鐵路嘉義車站特定區計畫(94年)"/>
        <s v="WMTS_1/1000地形圖_嘉義縣國立中正大學特定區計畫(112年)"/>
        <s v="WMTS_1/1000地形圖_嘉義縣梅山都市計畫(97年)"/>
        <s v="WMTS_1/1000地形圖_嘉義縣鹿草都市計畫(99年)"/>
        <s v="WMTS_1/1000地形圖_嘉義縣曾文水庫特定區計畫(101年)"/>
        <s v="WMTS_1/1000地形圖_嘉義縣番路鄉都市計畫(113年)"/>
        <s v="WMTS_1/1000地形圖_嘉義縣新港都市計畫(97年)"/>
        <s v="WMTS_1/1000地形圖_嘉義縣溪口都市計畫(97年)"/>
        <s v="WMTS_1/1000地形圖_嘉義縣義竹都市計畫(98年)"/>
        <s v="WMTS_1/1000地形圖_嘉義縣縣治所在地都市計畫(94年)"/>
        <s v="WMTS_1/1000地形圖_彰化縣二水都市計畫(97年)"/>
        <s v="WMTS_1/1000地形圖_彰化縣二林都市計畫(97年)"/>
        <s v="WMTS_1/1000地形圖_彰化縣八卦山脈(八卦山地區)都市計畫(98年)"/>
        <s v="WMTS_1/1000地形圖_彰化縣八卦山脈(文山橫山地區)都市計畫(98年)"/>
        <s v="WMTS_1/1000地形圖_彰化縣八卦山脈(各區道路)都市計畫(98年)"/>
        <s v="WMTS_1/1000地形圖_彰化縣八卦山脈(百果山地區)都市計畫(98年)"/>
        <s v="WMTS_1/1000地形圖_彰化縣八卦山脈(東源地區)都市計畫(98年)"/>
        <s v="WMTS_1/1000地形圖_彰化縣八卦山脈(松柏嶺地區)都市計畫(98年)"/>
        <s v="WMTS_1/1000地形圖_彰化縣大村都市計畫(97年)"/>
        <s v="WMTS_1/1000地形圖_彰化縣大城都市計畫(98年)"/>
        <s v="WMTS_1/1000地形圖_彰化縣北斗都市計畫(97年)"/>
        <s v="WMTS_1/1000地形圖_彰化縣永靖都市計畫(98年)"/>
        <s v="WMTS_1/1000地形圖_彰化縣田中都市計畫(100年)"/>
        <s v="WMTS_1/1000地形圖_彰化縣田尾都市計畫(102年)"/>
        <s v="WMTS_1/1000地形圖_彰化縣田尾園藝特定區計畫(102年)"/>
        <s v="WMTS_1/1000地形圖_彰化縣竹塘都市計畫(98年)"/>
        <s v="WMTS_1/1000地形圖_彰化縣伸港都市計畫(97年)"/>
        <s v="WMTS_1/1000地形圖_彰化縣秀水都市計畫(98年)"/>
        <s v="WMTS_1/1000地形圖_彰化縣和美都市計畫(102年)"/>
        <s v="WMTS_1/1000地形圖_彰化縣社頭都市計畫(97年)"/>
        <s v="WMTS_1/1000地形圖_彰化縣芬園都市計畫(98年)"/>
        <s v="WMTS_1/1000地形圖_彰化縣花壇都市計畫(98年)"/>
        <s v="WMTS_1/1000地形圖_彰化縣芳苑都市計畫(98年)"/>
        <s v="WMTS_1/1000地形圖_彰化縣員林都市計畫(99年)"/>
        <s v="WMTS_1/1000地形圖_彰化縣埔心都市計畫(100年)"/>
        <s v="WMTS_1/1000地形圖_彰化縣埔鹽都市計畫(97年)"/>
        <s v="WMTS_1/1000地形圖_彰化縣高速公路員林交流道特定區計畫(98年)"/>
        <s v="WMTS_1/1000地形圖_彰化縣高速公路彰化交流道附近特定區計畫(112年)"/>
        <s v="WMTS_1/1000地形圖_彰化縣高速公路彰化交流道特定區計畫(100年)"/>
        <s v="WMTS_1/1000地形圖_彰化縣高速鐵路彰化車站特定區計畫(102年)"/>
        <s v="WMTS_1/1000地形圖_彰化縣埤頭都市計畫(100年)"/>
        <s v="WMTS_1/1000地形圖_彰化縣鹿港福興都市計畫(97年)"/>
        <s v="WMTS_1/1000地形圖_彰化縣溪州都市計畫(97年)"/>
        <s v="WMTS_1/1000地形圖_彰化縣溪湖都市計畫(102年)"/>
        <s v="WMTS_1/1000地形圖_彰化縣彰化市都市計畫(99年)"/>
        <s v="WMTS_1/1000地形圖_彰化縣彰化都市計畫(112年)"/>
        <s v="WMTS_1/1000地形圖_彰化縣線西都市計畫(97年)"/>
        <s v="WMTS_1/1000地形圖_臺中市大甲(日南)都市計畫(100年)"/>
        <s v="WMTS_1/1000地形圖_臺中市大甲都市計畫(98年)"/>
        <s v="WMTS_1/1000地形圖_臺中市大安都市計畫(100年)"/>
        <s v="WMTS_1/1000地形圖_臺中市大肚都市計畫(112年)"/>
        <s v="WMTS_1/1000地形圖_臺中市大肚都市計畫(98年)"/>
        <s v="WMTS_1/1000地形圖_臺中市大里(草湖)都市計畫(91年)"/>
        <s v="WMTS_1/1000地形圖_臺中市大里都市計畫(96年)"/>
        <s v="WMTS_1/1000地形圖_臺中市大雅都市計畫(97年)"/>
        <s v="WMTS_1/1000地形圖_臺中市中部科學工業園區(93年)"/>
        <s v="WMTS_1/1000地形圖_臺中市中部科學工業園區台中基地附近特定區計畫(113年)"/>
        <s v="WMTS_1/1000地形圖_臺中市太平(中平)都市計畫(90年)"/>
        <s v="WMTS_1/1000地形圖_臺中市太平(新光)都市計畫(90年)"/>
        <s v="WMTS_1/1000地形圖_臺中市太平都市計畫(90年)"/>
        <s v="WMTS_1/1000地形圖_臺中市日南都市計畫(100年)"/>
        <s v="WMTS_1/1000地形圖_臺中市王田交流道特定區計畫(95年)"/>
        <s v="WMTS_1/1000地形圖_臺中市外埔都市計畫(100年)"/>
        <s v="WMTS_1/1000地形圖_臺中市石岡水壩都市計畫(91年)"/>
        <s v="WMTS_1/1000地形圖_臺中市后里都市計畫(98年)"/>
        <s v="WMTS_1/1000地形圖_臺中市谷關都市計畫(96年)"/>
        <s v="WMTS_1/1000地形圖_臺中市東勢都市計畫(112年)"/>
        <s v="WMTS_1/1000地形圖_臺中市東勢都市計畫(91年)"/>
        <s v="WMTS_1/1000地形圖_臺中市烏日都市計畫(112年)"/>
        <s v="WMTS_1/1000地形圖_臺中市烏日都市計畫(91年)"/>
        <s v="WMTS_1/1000地形圖_臺中市高速公路王田交流道附近特定區計畫(112年)"/>
        <s v="WMTS_1/1000地形圖_臺中市梨山(松茂)都市計畫(96年)"/>
        <s v="WMTS_1/1000地形圖_臺中市梨山(新佳陽)都市計畫(96年)"/>
        <s v="WMTS_1/1000地形圖_臺中市梨山(環山)都市計畫(96年)"/>
        <s v="WMTS_1/1000地形圖_臺中市梨山都市計畫(96年)"/>
        <s v="WMTS_1/1000地形圖_臺中市都市計畫(107年)"/>
        <s v="WMTS_1/1000地形圖_臺中市新社都市計畫(112年)"/>
        <s v="WMTS_1/1000地形圖_臺中市新社都市計畫(91年)"/>
        <s v="WMTS_1/1000地形圖_臺中市臺中港特定區計畫(95年)"/>
        <s v="WMTS_1/1000地形圖_臺中市潭子都市計畫(94年)"/>
        <s v="WMTS_1/1000地形圖_臺中市豐原交流道特定區計畫(94年)"/>
        <s v="WMTS_1/1000地形圖_臺中市豐原都市計畫(94年)"/>
        <s v="WMTS_1/1000地形圖_臺中市豐潭雅神都市計畫(113年)"/>
        <s v="WMTS_1/1000地形圖_臺中市霧峰都市計畫(92年)"/>
        <s v="WMTS_1/1000地形圖_臺中市鐵砧山風景特定區計畫(93年)"/>
        <s v="WMTS_1/1000地形圖_臺中市鐵砧山都市計畫(93年)"/>
        <s v="WMTS_1/1000地形圖_臺東市都市計畫(100年)"/>
        <s v="WMTS_1/1000地形圖_臺東縣八仙洞風景特定區計畫(101年)"/>
        <s v="WMTS_1/1000地形圖_臺東縣三仙台風景特定區計畫(101年)"/>
        <s v="WMTS_1/1000地形圖_臺東縣大武都市計畫(99年)"/>
        <s v="WMTS_1/1000地形圖_臺東縣小野柳風景特定區計畫(94年)"/>
        <s v="WMTS_1/1000地形圖_臺東縣太麻里都市計畫(98年)"/>
        <s v="WMTS_1/1000地形圖_臺東縣成功都市計畫(98年)"/>
        <s v="WMTS_1/1000地形圖_臺東縣池上都市計畫(99年)"/>
        <s v="WMTS_1/1000地形圖_臺東縣卑南南王都市計畫(99年)"/>
        <s v="WMTS_1/1000地形圖_臺東縣東河都市計畫(100年)"/>
        <s v="WMTS_1/1000地形圖_臺東縣知本溫泉風景特定區計畫(100年)"/>
        <s v="WMTS_1/1000地形圖_臺東縣知本鐵路車站地區(94年)"/>
        <s v="WMTS_1/1000地形圖_臺東縣長濱都市計畫(101年)"/>
        <s v="WMTS_1/1000地形圖_臺東縣紅葉溫泉風景特定區計畫(99年)"/>
        <s v="WMTS_1/1000地形圖_臺東縣鹿野都市計畫(98年)"/>
        <s v="WMTS_1/1000地形圖_臺東縣綠島風景特定區計畫(101年)"/>
        <s v="WMTS_1/1000地形圖_臺東縣綠島都市計畫(111年)"/>
        <s v="WMTS_1/1000地形圖_臺東縣臺東市都市計畫(112年)"/>
        <s v="WMTS_1/1000地形圖_臺東縣臺東鐵路新站附近地區都市計畫(113年)"/>
        <s v="WMTS_1/1000地形圖_臺東縣關山都市計畫(98年)"/>
        <s v="WMTS_1/1000地形圖_臺東縣蘭嶼都市計畫(109年)"/>
        <s v="WMTS_1/1000地形圖_臺東鐵路新站附近地區(94年)"/>
        <s v="WMTS_1/1000地形圖_臺南市永康區都市計畫(97年)"/>
        <s v="WMTS_1/1000地形圖_臺南市佳里都市計畫(113年)"/>
        <s v="WMTS_1/1000地形圖_臺南市柳營都市計畫(112年)"/>
        <s v="WMTS_1/1000地形圖_臺南市高速公路新營交流道附近特定區計畫(112年)"/>
        <s v="WMTS_1/1000地形圖_臺南市都市計畫(100年)"/>
        <s v="WMTS_1/1000地形圖_臺南市都市計畫(101年)"/>
        <s v="WMTS_1/1000地形圖_臺南市都市計畫(102年)"/>
        <s v="WMTS_1/1000地形圖_臺南市都市計畫(93年)"/>
        <s v="WMTS_1/1000地形圖_臺南市都市計畫(99年)"/>
        <s v="WMTS_1/1000地形圖_臺南市新營都市計畫(112年)"/>
        <s v="WMTS_1/1000地形圖_臺南市鹽水都市計畫(112年)"/>
        <s v="WMTS_1/1000地形圖_澎湖縣二崁都市計畫(104年)"/>
        <s v="WMTS_1/1000地形圖_澎湖縣二崁傳統聚落特定區計畫(112年)"/>
        <s v="WMTS_1/1000地形圖_澎湖縣白沙通梁地區都市計畫(112年)"/>
        <s v="WMTS_1/1000地形圖_澎湖縣白沙鄉都市計畫(99年)"/>
        <s v="WMTS_1/1000地形圖_澎湖縣西嶼西台古蹟特定區計畫(112年)"/>
        <s v="WMTS_1/1000地形圖_澎湖縣西嶼西台都市計畫(95年)"/>
        <s v="WMTS_1/1000地形圖_澎湖縣林投風景特定區計畫(112年)"/>
        <s v="WMTS_1/1000地形圖_澎湖縣林投都市計畫(96年)"/>
        <s v="WMTS_1/1000地形圖_澎湖縣花宅聚落(103年)"/>
        <s v="WMTS_1/1000地形圖_澎湖縣南方四島國家公園計畫(104年)"/>
        <s v="WMTS_1/1000地形圖_澎湖縣馬公市都市計畫(113年)"/>
        <s v="WMTS_1/1000地形圖_澎湖縣馬公都市計畫(112年)"/>
        <s v="WMTS_1/1000地形圖_澎湖縣馬公都市計畫(97-98年)"/>
        <s v="WMTS_1/1000地形圖_澎湖縣湖西鄉都市計畫(113年)"/>
        <s v="WMTS_1/1000地形圖_澎湖縣鎖港地區都市計畫(112年)"/>
        <s v="WMTS_1/1000地形圖_澎湖縣鎖港都市計畫(104年)"/>
        <s v="WMTS_1/1000地形圖_關西都市計畫(94年)"/>
        <s v="WMTS_1/1000地形圖_寶山都市計畫(93-94年)"/>
        <s v="WMTS_1/25000地形圖(107年)"/>
        <s v="WMTS_1/25000地形圖(108年)"/>
        <s v="WMTS_1/25000地形圖(109年)"/>
        <s v="WMTS_1/25000地形圖(110年)"/>
        <s v="WMTS_1/25000地形圖(111年)"/>
        <s v="WMTS_1/25000地形圖(112年)"/>
        <s v="WMTS_1/25000地形圖(113年)"/>
        <s v="WMTS_1/25000地形圖(114年)"/>
        <s v="WMTS_1/25000基本地形圖"/>
        <s v="WMTS_1/50000地形圖(107年)"/>
        <s v="WMTS_1/50000地形圖(109年)"/>
        <s v="WMTS_1/50000地形圖(110年)"/>
        <s v="WMTS_1/50000地形圖(111年)"/>
        <s v="WMTS_1/50000地形圖(112年)"/>
        <s v="WMTS_1/50000地形圖(113年)"/>
        <s v="WMTS_1/50000基本地形圖"/>
        <s v="WMTS_1/5000基本地形圖"/>
        <s v="WMTS_1/5000基本地形圖(100年)"/>
        <s v="WMTS_1/5000基本地形圖(101年)"/>
        <s v="WMTS_1/5000基本地形圖(102年)"/>
        <s v="WMTS_1/5000基本地形圖(103年)"/>
        <s v="WMTS_1/5000基本地形圖(104年)"/>
        <s v="WMTS_1/5000基本地形圖(105年)"/>
        <s v="WMTS_1/5000基本地形圖(106年)"/>
        <s v="WMTS_1/5000基本地形圖(107年)"/>
        <s v="WMTS_1/5000基本地形圖(108年)"/>
        <s v="WMTS_1/5000基本地形圖(109年)"/>
        <s v="WMTS_1/5000基本地形圖(110年)"/>
        <s v="WMTS_1/5000基本地形圖(111年)"/>
        <s v="WMTS_1/5000基本地形圖(84年)"/>
        <s v="WMTS_1/5000基本地形圖(86年)"/>
        <s v="WMTS_1/5000基本地形圖(87年)"/>
        <s v="WMTS_1/5000基本地形圖(88年)"/>
        <s v="WMTS_1/5000基本地形圖(90年)"/>
        <s v="WMTS_1/5000基本地形圖(91年)"/>
        <s v="WMTS_1/5000基本地形圖(92年)"/>
        <s v="WMTS_1/5000基本地形圖(96年)"/>
        <s v="WMTS_1/5000基本地形圖(98年)"/>
        <s v="WMTS_1/5000基本地形圖(99年)"/>
        <s v="WMTS_1/5000像片基本圖(100年)"/>
        <s v="WMTS_1/5000像片基本圖(101年)"/>
        <s v="WMTS_1/5000像片基本圖(102年)"/>
        <s v="WMTS_1/5000像片基本圖(103年)"/>
        <s v="WMTS_1/5000像片基本圖(104年)"/>
        <s v="WMTS_1/5000像片基本圖(105年)"/>
        <s v="WMTS_1/5000像片基本圖(106年)"/>
        <s v="WMTS_1/5000像片基本圖(107年)"/>
        <s v="WMTS_1/5000像片基本圖(108年)"/>
        <s v="WMTS_1/5000像片基本圖(109年)"/>
        <s v="WMTS_1/5000像片基本圖(110年)"/>
        <s v="WMTS_1/5000像片基本圖(111年)"/>
        <s v="WMTS_1/5000像片基本圖(112年)"/>
        <s v="WMTS_1/5000像片基本圖(113年)"/>
        <s v="WMTS_1/5000像片基本圖(114年)"/>
        <s v="WMTS_1/5000像片基本圖(65年)"/>
        <s v="WMTS_1/5000像片基本圖(66年)"/>
        <s v="WMTS_1/5000像片基本圖(67年)"/>
        <s v="WMTS_1/5000像片基本圖(68年)"/>
        <s v="WMTS_1/5000像片基本圖(69年)"/>
        <s v="WMTS_1/5000像片基本圖(70年)"/>
        <s v="WMTS_1/5000像片基本圖(71年)"/>
        <s v="WMTS_1/5000像片基本圖(72年)"/>
        <s v="WMTS_1/5000像片基本圖(73年)"/>
        <s v="WMTS_1/5000像片基本圖(74年)"/>
        <s v="WMTS_1/5000像片基本圖(75年)"/>
        <s v="WMTS_1/5000像片基本圖(76年)"/>
        <s v="WMTS_1/5000像片基本圖(78年)"/>
        <s v="WMTS_1/5000像片基本圖(79年)"/>
        <s v="WMTS_1/5000像片基本圖(80年)"/>
        <s v="WMTS_1/5000像片基本圖(81年)"/>
        <s v="WMTS_1/5000像片基本圖(83年)"/>
        <s v="WMTS_1/5000像片基本圖(84年)"/>
        <s v="WMTS_1/5000像片基本圖(86年)"/>
        <s v="WMTS_1/5000像片基本圖(87年)"/>
        <s v="WMTS_1/5000像片基本圖(88年)"/>
        <s v="WMTS_1/5000像片基本圖(89年)"/>
        <s v="WMTS_1/5000像片基本圖(90年)"/>
        <s v="WMTS_1/5000像片基本圖(91年)"/>
        <s v="WMTS_1/5000像片基本圖(92年)"/>
        <s v="WMTS_1/5000像片基本圖(93年)"/>
        <s v="WMTS_1/5000像片基本圖(94年)"/>
        <s v="WMTS_1/5000像片基本圖(95年)"/>
        <s v="WMTS_1/5000像片基本圖(96年)"/>
        <s v="WMTS_1/5000像片基本圖(97年)"/>
        <s v="WMTS_1/5000像片基本圖(98年)"/>
        <s v="WMTS_1/5000像片基本圖(99年)"/>
        <s v="WMTS_1/5000圖幅框"/>
        <s v="WMTS_山崩與地滑地質敏感區"/>
        <s v="WMTS_正射影像圖(103年更新區)"/>
        <s v="WMTS_正射影像圖(104年更新區)"/>
        <s v="WMTS_正射影像圖(105年更新區)"/>
        <s v="WMTS_正射影像圖(106年更新區)"/>
        <s v="WMTS_正射影像圖(107年更新區)"/>
        <s v="WMTS_正射影像圖(108年更新區)"/>
        <s v="WMTS_正射影像圖(109年更新區)"/>
        <s v="WMTS_正射影像圖(110年更新區)"/>
        <s v="WMTS_正射影像圖(111年更新區)"/>
        <s v="WMTS_正射影像圖(112年更新區)"/>
        <s v="WMTS_正射影像圖(113年更新區)"/>
        <s v="WMTS_正射影像圖(114年更新區)"/>
        <s v="WMTS_正射影像圖(92-94年成果)"/>
        <s v="WMTS_正射影像圖(最新成果)"/>
        <s v="WMTS_正射影像圖TWD97/TM2 Zone 121"/>
        <s v="WMTS_地政事務所轄區圖"/>
        <s v="WMTS_地段外圍圖(段籍圖,區分測量類別)"/>
        <s v="WMTS_地段外圍圖(段籍圖)"/>
        <s v="WMTS_地籍圖"/>
        <s v="WMTS_村里界線"/>
        <s v="WMTS_村里界線(108年)"/>
        <s v="WMTS_直轄市及縣市界線"/>
        <s v="WMTS_空載光達數值地形變異分析圖(0.5M門檻)"/>
        <s v="WMTS_非都市土地使用分區圖"/>
        <s v="WMTS_非都市土地使用地類別圖"/>
        <s v="WMTS_消防栓位置"/>
        <s v="WMTS_航照影像_馬太鞍溪事件_1140925_1"/>
        <s v="WMTS_航照影像_馬太鞍溪事件_1140925_2"/>
        <s v="WMTS_航照影像_馬太鞍溪事件_1140925_3"/>
        <s v="WMTS_航照影像_馬太鞍溪事件_1140927_1"/>
        <s v="WMTS_航照影像_馬太鞍溪事件_1140927_2"/>
        <s v="WMTS_航照影像_馬太鞍溪事件_1140927_3"/>
        <s v="WMTS_航照影像_馬太鞍溪事件_1140928_1"/>
        <s v="WMTS_航照影像_馬太鞍溪事件_1140928_2"/>
        <s v="WMTS_航照影像_馬太鞍溪事件_1140929_1"/>
        <s v="WMTS_航照影像_馬太鞍溪事件_1140929_2"/>
        <s v="WMTS_航照影像_馬太鞍溪事件_1140930_1"/>
        <s v="WMTS_航照影像_馬太鞍溪事件_1140930_2"/>
        <s v="WMTS_航照影像_馬太鞍溪事件_1141001_1"/>
        <s v="WMTS_航照影像_馬太鞍溪事件_1141002_1"/>
        <s v="WMTS_航照影像_馬太鞍溪事件_1141002_2"/>
        <s v="WMTS_航照影像_馬太鞍溪事件_1141002_3"/>
        <s v="WMTS_航照影像_馬太鞍溪事件_1141003_1"/>
        <s v="WMTS_航照影像_馬太鞍溪事件_1141003_2"/>
        <s v="WMTS_航照影像_馬太鞍溪事件_1141003_3"/>
        <s v="WMTS_航照影像_馬太鞍溪事件_1141003_4"/>
        <s v="WMTS_航照影像_馬太鞍溪事件_1141003_5"/>
        <s v="WMTS_航照影像_馬太鞍溪事件_1141003_6"/>
        <s v="WMTS_航照影像_馬太鞍溪事件_1141003_7"/>
        <s v="WMTS_航照影像_馬太鞍溪事件_1141004_1"/>
        <s v="WMTS_航照影像_馬太鞍溪事件_1141004_2"/>
        <s v="WMTS_航照影像_馬太鞍溪事件_1141004_3"/>
        <s v="WMTS_航照影像_馬太鞍溪事件_1141005_1"/>
        <s v="WMTS_航照影像_馬太鞍溪事件_1141005_2"/>
        <s v="WMTS_航照影像_馬太鞍溪事件_1141005_3"/>
        <s v="WMTS_航照影像_馬太鞍溪事件_1141006_1"/>
        <s v="WMTS_航照影像_馬太鞍溪事件_1141006_2"/>
        <s v="WMTS_航照影像_馬太鞍溪事件_1141006_3"/>
        <s v="WMTS_航照影像_馬太鞍溪事件_1141007_1"/>
        <s v="WMTS_航照影像_馬太鞍溪事件_1141007_2"/>
        <s v="WMTS_航照影像_馬太鞍溪事件_1141007_3"/>
        <s v="WMTS_航照影像_馬太鞍溪事件_1141013_1"/>
        <s v="WMTS_航照影像_馬太鞍溪事件_1141013_2"/>
        <s v="WMTS_航照影像_馬太鞍溪事件_1141013_3"/>
        <s v="WMTS_航照影像_馬太鞍溪事件_1141013_4"/>
        <s v="WMTS_航照影像_馬太鞍溪事件_1141013_5"/>
        <s v="WMTS_航照影像_馬太鞍溪事件_1141013_6"/>
        <s v="WMTS_航照影像_馬太鞍溪事件_1141013_7"/>
        <s v="WMTS_航照影像_馬太鞍溪事件_1141013_8"/>
        <s v="WMTS_航照影像_馬太鞍溪事件_1141013_9"/>
        <s v="WMTS_航照影像_馬太鞍溪事件_1141116_1"/>
        <s v="WMTS_航照影像_馬太鞍溪事件_1141116_2"/>
        <s v="WMTS_航照影像_馬太鞍溪事件_1141116_3"/>
        <s v="WMTS_航照影像_馬太鞍溪事件_1141116_4"/>
        <s v="WMTS_航照影像_馬太鞍溪事件_1141116_5"/>
        <s v="WMTS_航照影像_馬太鞍溪事件_1141116_6"/>
        <s v="WMTS_航照影像_馬太鞍溪事件_1141116_7"/>
        <s v="WMTS_航照影像_馬太鞍溪事件_1141116_8"/>
        <s v="WMTS_航照影像_馬太鞍溪事件_災前(113-114)"/>
        <s v="WMTS_國土利用現況調查成果圖_1類農業"/>
        <s v="WMTS_國土利用現況調查成果圖_2類森林"/>
        <s v="WMTS_國土利用現況調查成果圖_3類交通"/>
        <s v="WMTS_國土利用現況調查成果圖_4類水利"/>
        <s v="WMTS_國土利用現況調查成果圖_5類建築"/>
        <s v="WMTS_國土利用現況調查成果圖_6類公共"/>
        <s v="WMTS_國土利用現況調查成果圖_7類遊憩"/>
        <s v="WMTS_國土利用現況調查成果圖_8類礦鹽"/>
        <s v="WMTS_國土利用現況調查成果圖_9類其他"/>
        <s v="WMTS_國土利用現況調查成果圖(100年更新區)"/>
        <s v="WMTS_國土利用現況調查成果圖(101年更新區)"/>
        <s v="WMTS_國土利用現況調查成果圖(102年更新區)"/>
        <s v="WMTS_國土利用現況調查成果圖(103年更新區)"/>
        <s v="WMTS_國土利用現況調查成果圖(104年更新區)"/>
        <s v="WMTS_國土利用現況調查成果圖(105年更新區)"/>
        <s v="WMTS_國土利用現況調查成果圖(106年更新區)"/>
        <s v="WMTS_國土利用現況調查成果圖(107年更新區)"/>
        <s v="WMTS_國土利用現況調查成果圖(108年更新區)"/>
        <s v="WMTS_國土利用現況調查成果圖(109年更新區)"/>
        <s v="WMTS_國土利用現況調查成果圖(110年更新區)"/>
        <s v="WMTS_國土利用現況調查成果圖(111年更新區)"/>
        <s v="WMTS_國土利用現況調查成果圖(112年更新區)"/>
        <s v="WMTS_國土利用現況調查成果圖(113年更新區)"/>
        <s v="WMTS_國土利用現況調查成果圖(114年更新區)"/>
        <s v="WMTS_國土利用現況調查成果圖(82-84年成果)"/>
        <s v="WMTS_國土利用現況調查成果圖(95-97年成果)"/>
        <s v="WMTS_國土利用現況調查成果圖(98年更新區)"/>
        <s v="WMTS_國土利用現況調查成果圖(99年更新區)"/>
        <s v="WMTS_國土利用現況調查成果圖(最新成果)"/>
        <s v="WMTS_連鎖便利商店"/>
        <s v="WMTS_鄉鎮市區界線"/>
        <s v="WMTS_臺灣通用電子地圖"/>
        <s v="WMTS_臺灣通用電子地圖_交通路網(套疊門牌)"/>
        <s v="WMTS_臺灣通用電子地圖_道路圖層(透明)"/>
        <s v="WMTS_臺灣通用電子地圖(灰階)"/>
        <s v="WMTS_臺灣通用電子地圖(套疊等高線)"/>
        <s v="WMTS_臺灣通用電子地圖(套疊等高線及門牌)"/>
        <s v="WMTS_臺灣通用電子地圖(高DPI文字)"/>
        <s v="WMTS_臺灣通用電子地圖(無文字)"/>
        <s v="WMTS_臺灣通用電子地圖(無鐵公路)"/>
        <s v="WMTS_臺灣通用電子地圖(等高線+門牌)"/>
        <s v="WMTS_臺灣通用電子地圖(響應式文字)"/>
        <s v="WMTS_臺灣通用電子地圖加值分棟建物框"/>
        <s v="WMTS_臺灣通用電子地圖TWD97/TM2 Zone 119"/>
        <s v="WMTS_臺灣通用電子地圖TWD97/TM2 Zone 121"/>
        <s v="WMTS_OPENDATA_公共場所AED位置資訊"/>
        <s v="WMTS_OPENDATA_公有土地地籍圖"/>
        <s v="WMTS_OPENDATA_臺灣通用電子地圖( 比例尺小於一萬八千分之一)"/>
        <s v="WMTS_OPENDATA_臺灣通用電子地圖(套疊等高線, 比例尺小於一萬八千分之一)"/>
        <s v="WMTS_Taiwan E-Map(ResponsiveText)"/>
        <s v="WMTS_TaiwanE-Map"/>
        <s v="WMTS_TaiwanE-Map_Road"/>
        <s v="WMTS_UAV空拍影像_宜蘭縣五結鄉(108年)"/>
        <s v="WMTS_UAV空拍影像_宜蘭縣南澳鄉(107年)"/>
        <s v="WMTS_UAV空拍影像_花蓮縣光復(109年)"/>
        <s v="WMTS_UAV空拍影像_花蓮縣卓溪_1(109年)"/>
        <s v="WMTS_UAV空拍影像_花蓮縣卓溪_2(109年)"/>
        <s v="WMTS_UAV空拍影像_花蓮縣卓溪鄉(106年)"/>
        <s v="WMTS_UAV空拍影像_花蓮縣花蓮市(105年)"/>
        <s v="WMTS_UAV空拍影像_花蓮縣壽豐鄉(101年)"/>
        <s v="WMTS_UAV空拍影像_花蓮縣壽豐鄉豐平大橋(101年)"/>
        <s v="WMTS_UAV空拍影像_南投縣仁愛鄉清境農場(103年)"/>
        <s v="WMTS_UAV空拍影像_南投縣竹山鎮(105年)"/>
        <s v="WMTS_UAV空拍影像_南投縣南投市(航遙測校正場(102年)"/>
        <s v="WMTS_UAV空拍影像_南投縣南投市航遙測校正場(103年)"/>
        <s v="WMTS_UAV空拍影像_南投縣南投市國3南投交流道(103年)"/>
        <s v="WMTS_UAV空拍影像_南投縣草屯鎮(105年)"/>
        <s v="WMTS_UAV空拍影像_南投縣草屯鎮九九峰(106年)"/>
        <s v="WMTS_UAV空拍影像_南投縣國姓鄉國6北山交流道(103年)"/>
        <s v="WMTS_UAV空拍影像_屏東交流道(107年)"/>
        <s v="WMTS_UAV空拍影像_屏東東港(109年)"/>
        <s v="WMTS_UAV空拍影像_屏東海豐外環道(107年)"/>
        <s v="WMTS_UAV空拍影像_屏東縣里港鄉(102年)"/>
        <s v="WMTS_UAV空拍影像_屏東縣里港鄉國10里港交流道(104年)"/>
        <s v="WMTS_UAV空拍影像_屏東縣屏東(109年)"/>
        <s v="WMTS_UAV空拍影像_屏東縣高樹(109年)"/>
        <s v="WMTS_UAV空拍影像_屏東縣滿州鄉(101年)"/>
        <s v="WMTS_UAV空拍影像_屏東縣滿州鄉(102年)"/>
        <s v="WMTS_UAV空拍影像_屏東縣霧台鄉台24谷川大橋(103年)"/>
        <s v="WMTS_UAV空拍影像_苗栗縣西湖(109年)"/>
        <s v="WMTS_UAV空拍影像_苗栗縣卓蘭鎮(101年)"/>
        <s v="WMTS_UAV空拍影像_苗栗縣後龍鎮(101年)"/>
        <s v="WMTS_UAV空拍影像_苗栗縣苑裡鎮火炎山(106年)"/>
        <s v="WMTS_UAV空拍影像_苗栗縣苗栗(109年)"/>
        <s v="WMTS_UAV空拍影像_苗栗縣泰安鄉雪見(111年)"/>
        <s v="WMTS_UAV空拍影像_苗栗縣泰安鄉觀霧(111年)"/>
        <s v="WMTS_UAV空拍影像_苗栗縣通霄鎮(107年)"/>
        <s v="WMTS_UAV空拍影像_苗栗縣造橋鄉台13甲線(104年)"/>
        <s v="WMTS_UAV空拍影像_苗栗縣獅潭鄉汶水橋(104年)"/>
        <s v="WMTS_UAV空拍影像_苗栗縣銅鑼鄉(銅鑼科學園區(103年)"/>
        <s v="WMTS_UAV空拍影像_苗栗縣銅鑼鎮(107年)"/>
        <s v="WMTS_UAV空拍影像_桃園市中路計畫區段徵收(103年)"/>
        <s v="WMTS_UAV空拍影像_桃園市平鎮區(105年)"/>
        <s v="WMTS_UAV空拍影像_桃園市平鎮區(106年)"/>
        <s v="WMTS_UAV空拍影像_桃園市新屋區(105年)"/>
        <s v="WMTS_UAV空拍影像_桃園市新屋區(106年)"/>
        <s v="WMTS_UAV空拍影像_桃園市龜山區(102年)"/>
        <s v="WMTS_UAV空拍影像_桃園市蘆竹區(105年)"/>
        <s v="WMTS_UAV空拍影像_桃園市觀音區(105年)"/>
        <s v="WMTS_UAV空拍影像_桃園市觀音區(106年)"/>
        <s v="WMTS_UAV空拍影像_高雄市大社(110年)"/>
        <s v="WMTS_UAV空拍影像_高雄市大寮區(108年)"/>
        <s v="WMTS_UAV空拍影像_高雄市仁武區國1鼎金交流道(104年)"/>
        <s v="WMTS_UAV空拍影像_高雄市永安(111年)"/>
        <s v="WMTS_UAV空拍影像_高雄市岡山(109年)"/>
        <s v="WMTS_UAV空拍影像_高雄市前鎮區氣爆災點(104年)"/>
        <s v="WMTS_UAV空拍影像_高雄市前鎮區經貿園區65期(104年)"/>
        <s v="WMTS_UAV空拍影像_雲林古坑(109年)"/>
        <s v="WMTS_UAV空拍影像_雲林縣口湖(111年)"/>
        <s v="WMTS_UAV空拍影像_雲林縣斗六市湖山水庫(106年)"/>
        <s v="WMTS_UAV空拍影像_雲林縣古坑鄉崁頭厝(105年)"/>
        <s v="WMTS_UAV空拍影像_雲林縣古坑鄉國3古坑交流道(105年)"/>
        <s v="WMTS_UAV空拍影像_雲林縣古坑鄉樟湖(105年)"/>
        <s v="WMTS_UAV空拍影像_雲林縣虎尾鎮雲林高鐵站(104年)"/>
        <s v="WMTS_UAV空拍影像_雲林縣麥寮鄉台61線(103年)"/>
        <s v="WMTS_UAV空拍影像_雲林縣臺西(111年)"/>
        <s v="WMTS_UAV空拍影像_新北市金山區(107年)"/>
        <s v="WMTS_UAV空拍影像_新北市烏來區106年)"/>
        <s v="WMTS_UAV空拍影像_新北市樹林區國3樹林交流道(106年)"/>
        <s v="WMTS_UAV空拍影像_新竹市(107年)"/>
        <s v="WMTS_UAV空拍影像_新竹市北區台68線(106年)"/>
        <s v="WMTS_UAV空拍影像_新竹市香山區(105年)"/>
        <s v="WMTS_UAV空拍影像_新竹縣尖石鄉(107年)"/>
        <s v="WMTS_UAV空拍影像_新竹縣竹北_1(111年)"/>
        <s v="WMTS_UAV空拍影像_新竹縣竹北_2(111年)"/>
        <s v="WMTS_UAV空拍影像_新竹縣竹北_3(111年)"/>
        <s v="WMTS_UAV空拍影像_新竹縣新豐鄉(107年)"/>
        <s v="WMTS_UAV空拍影像_嘉義市西區湖子內區段徵收(106年)"/>
        <s v="WMTS_UAV空拍影像_嘉義市東區彌陀路拓寬工程(106年)"/>
        <s v="WMTS_UAV空拍影像_嘉義縣大林鎮大埔美重劃區(103年)"/>
        <s v="WMTS_UAV空拍影像_嘉義縣布袋鎮_1(108年)"/>
        <s v="WMTS_UAV空拍影像_嘉義縣布袋鎮_2(108年)"/>
        <s v="WMTS_UAV空拍影像_嘉義縣民雄(111年)"/>
        <s v="WMTS_UAV空拍影像_嘉義縣朴子(110年)"/>
        <s v="WMTS_UAV空拍影像_嘉義縣東石鄉(101年)"/>
        <s v="WMTS_UAV空拍影像_嘉義縣阿里山鄉(102年)"/>
        <s v="WMTS_UAV空拍影像_嘉義縣鹿草(110年)"/>
        <s v="WMTS_UAV空拍影像_嘉義縣番路鄉(102年)"/>
        <s v="WMTS_UAV空拍影像_嘉義縣義竹(109年)"/>
        <s v="WMTS_UAV空拍影像_彰化縣大城鄉152線(106年)"/>
        <s v="WMTS_UAV空拍影像_彰化縣田中鎮(105年)"/>
        <s v="WMTS_UAV空拍影像_彰化縣伸港鄉(102年)"/>
        <s v="WMTS_UAV空拍影像_彰化縣芳苑(110年)"/>
        <s v="WMTS_UAV空拍影像_彰化縣芳苑鄉台61線(104年)"/>
        <s v="WMTS_UAV空拍影像_彰化縣福興鄉台61線(103年)"/>
        <s v="WMTS_UAV空拍影像_臺中市大安區(107年)"/>
        <s v="WMTS_UAV空拍影像_臺中市大慶車站(105年)"/>
        <s v="WMTS_UAV空拍影像_臺中市太平區坪林森林公園(105年)"/>
        <s v="WMTS_UAV空拍影像_臺中市太平新光地區(105年)"/>
        <s v="WMTS_UAV空拍影像_臺中市太原車站(105年)"/>
        <s v="WMTS_UAV空拍影像_臺中市水湳機場(105年)"/>
        <s v="WMTS_UAV空拍影像_臺中市后里區(108年)"/>
        <s v="WMTS_UAV空拍影像_臺中市和平區(107年)"/>
        <s v="WMTS_UAV空拍影像_臺中市振興路以南(105年)"/>
        <s v="WMTS_UAV空拍影像_臺中市烏日(110年)"/>
        <s v="WMTS_UAV空拍影像_臺中市捷運北屯機廠(105年)"/>
        <s v="WMTS_UAV空拍影像_臺中市梧棲(109年)"/>
        <s v="WMTS_UAV空拍影像_臺中市第13期(105年)"/>
        <s v="WMTS_UAV空拍影像_臺中市第14期(105年)"/>
        <s v="WMTS_UAV空拍影像_臺中市廍子地區(105年)"/>
        <s v="WMTS_UAV空拍影像_臺中市臺中車站(105年)"/>
        <s v="WMTS_UAV空拍影像_臺中市潭子車站(105年)"/>
        <s v="WMTS_UAV空拍影像_臺中市潭子區(105年)"/>
        <s v="WMTS_UAV空拍影像_臺中市龍井區及彰化縣伸港鄉(107年)"/>
        <s v="WMTS_UAV空拍影像_臺中市豐原(110年)"/>
        <s v="WMTS_UAV空拍影像_臺中市豐原車站(105年)"/>
        <s v="WMTS_UAV空拍影像_臺中市霧峰(110年)"/>
        <s v="WMTS_UAV空拍影像_臺中市霧峰區(105年)"/>
        <s v="WMTS_UAV空拍影像_臺北市士林(109年)"/>
        <s v="WMTS_UAV空拍影像_臺北市士林(110年)"/>
        <s v="WMTS_UAV空拍影像_臺北市士林大油坑(105年)"/>
        <s v="WMTS_UAV空拍影像_臺北市士林大油坑(106年)"/>
        <s v="WMTS_UAV空拍影像_臺北市士林馬槽(105年)"/>
        <s v="WMTS_UAV空拍影像_臺北市士林區大油坑(107年)"/>
        <s v="WMTS_UAV空拍影像_臺北市士林區大油坑(108年)"/>
        <s v="WMTS_UAV空拍影像_臺北市士林區馬槽(106年)"/>
        <s v="WMTS_UAV空拍影像_臺北市士林區馬槽(107年)"/>
        <s v="WMTS_UAV空拍影像_臺北市士林區馬槽(108年)"/>
        <s v="WMTS_UAV空拍影像_臺北市士林區夢幻湖(107年)"/>
        <s v="WMTS_UAV空拍影像_臺北市士林區夢幻湖(108年)"/>
        <s v="WMTS_UAV空拍影像_臺北市士林陽明山大油坑(111年)"/>
        <s v="WMTS_UAV空拍影像_臺北市士林陽明山馬槽(111年)"/>
        <s v="WMTS_UAV空拍影像_臺北市士林陽明山夢幻湖(111年)"/>
        <s v="WMTS_UAV空拍影像_臺北市北投(111年)"/>
        <s v="WMTS_UAV空拍影像_臺北市北投夢幻湖(105年)"/>
        <s v="WMTS_UAV空拍影像_臺北市北投夢幻湖(106年)"/>
        <s v="WMTS_UAV空拍影像_臺北市萬華(111年)"/>
        <s v="WMTS_UAV空拍影像_臺東縣大武鄉(102年)"/>
        <s v="WMTS_UAV空拍影像_臺東縣太麻里鄉(101年)"/>
        <s v="WMTS_UAV空拍影像_臺南市七股區(108年)"/>
        <s v="WMTS_UAV空拍影像_臺南市七股區(台61線(102年)"/>
        <s v="WMTS_UAV空拍影像_臺南市七股區(台江國家公園(102年)"/>
        <s v="WMTS_UAV空拍影像_臺南市七股區西濱公路(106年)"/>
        <s v="WMTS_UAV空拍影像_臺南市下營區(108年)"/>
        <s v="WMTS_UAV空拍影像_臺南市永康_1(110年)"/>
        <s v="WMTS_UAV空拍影像_臺南市永康_2(110年)"/>
        <s v="WMTS_UAV空拍影像_臺南市永康區(108年)"/>
        <s v="WMTS_UAV空拍影像_臺南市安平區(104年)"/>
        <s v="WMTS_UAV空拍影像_臺南市安南(110年)"/>
        <s v="WMTS_UAV空拍影像_臺南市安南區(101年)"/>
        <s v="WMTS_UAV空拍影像_臺南市安南區(102年)"/>
        <s v="WMTS_UAV空拍影像_臺南市安南區(108年)"/>
        <s v="WMTS_UAV空拍影像_臺南市安南區九份子重劃區(104年)"/>
        <s v="WMTS_UAV空拍影像_臺南市安南區台江大道(106年)"/>
        <s v="WMTS_UAV空拍影像_臺南市西港(110年)"/>
        <s v="WMTS_UAV空拍影像_臺南市東區平實市地重劃(106年)"/>
        <s v="WMTS_UAV空拍影像_臺南市南化(110年)"/>
        <s v="WMTS_UAV空拍影像_臺南市南區(台86線)(103年)"/>
        <s v="WMTS_UAV空拍影像_臺南市柳營(111年)"/>
        <s v="WMTS_UAV空拍影像_臺南市麻豆(109年)"/>
        <s v="WMTS_UAV空拍影像_臺南市麻豆區(103年)"/>
        <s v="WMTS_UAV空拍影像_臺南市新市區新和重劃區(104年)"/>
        <s v="WMTS_UAV空拍影像_臺南市新營(110年)"/>
        <s v="WMTS_UAV空拍影像_臺南市學甲區(台84線)(103年)"/>
        <s v="WMTS_UAV空拍影像_臺南市歸仁_2(110年)"/>
        <s v="WMTS_UAV空拍影像_臺南市關廟區(101年)"/>
        <s v="WMTS_UAV空拍影像_臺南市關廟區(108年)"/>
        <m/>
      </sharedItems>
    </cacheField>
    <cacheField name="唯一識別碼2" numFmtId="0">
      <sharedItems count="1442">
        <s v="2dms_addrm_v1_LineQueryAddr"/>
        <s v="2dms_addrm_v1_ListRoad_A"/>
        <s v="2dms_addrm_v1_ListRoad_B"/>
        <s v="2dms_addrm_v1_ListRoad_C"/>
        <s v="2dms_addrm_v1_ListRoad_D"/>
        <s v="2dms_addrm_v1_ListRoad_E"/>
        <s v="2dms_addrm_v1_ListRoad_F"/>
        <s v="2dms_addrm_v1_ListRoad_G"/>
        <s v="2dms_addrm_v1_ListRoad_H"/>
        <s v="2dms_addrm_v1_ListRoad_I"/>
        <s v="2dms_addrm_v1_ListRoad_J"/>
        <s v="2dms_addrm_v1_ListRoad_K"/>
        <s v="2dms_addrm_v1_ListRoad_M"/>
        <s v="2dms_addrm_v1_ListRoad_N"/>
        <s v="2dms_addrm_v1_ListRoad_O"/>
        <s v="2dms_addrm_v1_ListRoad_P"/>
        <s v="2dms_addrm_v1_ListRoad_Q"/>
        <s v="2dms_addrm_v1_ListRoad_T"/>
        <s v="2dms_addrm_v1_ListRoad_U"/>
        <s v="2dms_addrm_v1_ListRoad_V"/>
        <s v="2dms_addrm_v1_ListRoad_W"/>
        <s v="2dms_addrm_v1_ListRoad_X"/>
        <s v="2dms_addrm_v1_ListRoad_Z"/>
        <s v="2dms_addrm_v1_ListRoadLaneAlley_A"/>
        <s v="2dms_addrm_v1_ListRoadLaneAlley_B"/>
        <s v="2dms_addrm_v1_ListRoadLaneAlley_C"/>
        <s v="2dms_addrm_v1_ListRoadLaneAlley_D"/>
        <s v="2dms_addrm_v1_ListRoadLaneAlley_E"/>
        <s v="2dms_addrm_v1_ListRoadLaneAlley_F"/>
        <s v="2dms_addrm_v1_ListRoadLaneAlley_G"/>
        <s v="2dms_addrm_v1_ListRoadLaneAlley_H"/>
        <s v="2dms_addrm_v1_ListRoadLaneAlley_I"/>
        <s v="2dms_addrm_v1_ListRoadLaneAlley_J"/>
        <s v="2dms_addrm_v1_ListRoadLaneAlley_K"/>
        <s v="2dms_addrm_v1_ListRoadLaneAlley_M"/>
        <s v="2dms_addrm_v1_ListRoadLaneAlley_N"/>
        <s v="2dms_addrm_v1_ListRoadLaneAlley_O"/>
        <s v="2dms_addrm_v1_ListRoadLaneAlley_P"/>
        <s v="2dms_addrm_v1_ListRoadLaneAlley_Q"/>
        <s v="2dms_addrm_v1_ListRoadLaneAlley_T"/>
        <s v="2dms_addrm_v1_ListRoadLaneAlley_U"/>
        <s v="2dms_addrm_v1_ListRoadLaneAlley_V"/>
        <s v="2dms_addrm_v1_ListRoadLaneAlley_W"/>
        <s v="2dms_addrm_v1_ListRoadLaneAlley_X"/>
        <s v="2dms_addrm_v1_ListRoadLaneAlley_Z"/>
        <s v="2dms_addrm_v1_PointQueryAddr"/>
        <s v="2dms_addrm_v1_PolygonQueryAddr"/>
        <s v="2dms_addrm_v1_TextQueryAddress"/>
        <s v="2dms_addrm_v1_TextQueryMap"/>
        <s v="2dms_cadapi_v1_CadasMapPointQuery"/>
        <s v="2dms_cadapi_v1_CadasMapQuery"/>
        <s v="2dms_cadatt_v1_AddressQueryLand"/>
        <s v="2dms_cadatt_v1_CadasAttrQuery_A"/>
        <s v="2dms_cadatt_v1_CadasAttrQuery_B"/>
        <s v="2dms_cadatt_v1_CadasAttrQuery_C"/>
        <s v="2dms_cadatt_v1_CadasAttrQuery_D"/>
        <s v="2dms_cadatt_v1_CadasAttrQuery_E"/>
        <s v="2dms_cadatt_v1_CadasAttrQuery_F"/>
        <s v="2dms_cadatt_v1_CadasAttrQuery_G"/>
        <s v="2dms_cadatt_v1_CadasAttrQuery_H"/>
        <s v="2dms_cadatt_v1_CadasAttrQuery_I"/>
        <s v="2dms_cadatt_v1_CadasAttrQuery_J"/>
        <s v="2dms_cadatt_v1_CadasAttrQuery_K"/>
        <s v="2dms_cadatt_v1_CadasAttrQuery_M"/>
        <s v="2dms_cadatt_v1_CadasAttrQuery_N"/>
        <s v="2dms_cadatt_v1_CadasAttrQuery_O"/>
        <s v="2dms_cadatt_v1_CadasAttrQuery_P"/>
        <s v="2dms_cadatt_v1_CadasAttrQuery_Q"/>
        <s v="2dms_cadatt_v1_CadasAttrQuery_T"/>
        <s v="2dms_cadatt_v1_CadasAttrQuery_U"/>
        <s v="2dms_cadatt_v1_CadasAttrQuery_V"/>
        <s v="2dms_cadatt_v1_CadasAttrQuery_W"/>
        <s v="2dms_cadatt_v1_CadasAttrQuery_X"/>
        <s v="2dms_cadatt_v1_CadasAttrQuery_Z"/>
        <s v="2dms_cadatt_v1_CadasLandInfo_A"/>
        <s v="2dms_cadatt_v1_CadasLandInfo_B"/>
        <s v="2dms_cadatt_v1_CadasLandInfo_C"/>
        <s v="2dms_cadatt_v1_CadasLandInfo_D"/>
        <s v="2dms_cadatt_v1_CadasLandInfo_E"/>
        <s v="2dms_cadatt_v1_CadasLandInfo_F"/>
        <s v="2dms_cadatt_v1_CadasLandInfo_G"/>
        <s v="2dms_cadatt_v1_CadasLandInfo_H"/>
        <s v="2dms_cadatt_v1_CadasLandInfo_I"/>
        <s v="2dms_cadatt_v1_CadasLandInfo_J"/>
        <s v="2dms_cadatt_v1_CadasLandInfo_K"/>
        <s v="2dms_cadatt_v1_CadasLandInfo_M"/>
        <s v="2dms_cadatt_v1_CadasLandInfo_N"/>
        <s v="2dms_cadatt_v1_CadasLandInfo_O"/>
        <s v="2dms_cadatt_v1_CadasLandInfo_P"/>
        <s v="2dms_cadatt_v1_CadasLandInfo_Q"/>
        <s v="2dms_cadatt_v1_CadasLandInfo_T"/>
        <s v="2dms_cadatt_v1_CadasLandInfo_U"/>
        <s v="2dms_cadatt_v1_CadasLandInfo_V"/>
        <s v="2dms_cadatt_v1_CadasLandInfo_W"/>
        <s v="2dms_cadatt_v1_CadasLandInfo_X"/>
        <s v="2dms_cadatt_v1_CadasLandInfo_Z"/>
        <s v="2dms_cadatt_v1_CadasLandNoQuery"/>
        <s v="2dms_cadatt_v1_CadasMapImage_A"/>
        <s v="2dms_cadatt_v1_CadasMapImage_B"/>
        <s v="2dms_cadatt_v1_CadasMapImage_C"/>
        <s v="2dms_cadatt_v1_CadasMapImage_D"/>
        <s v="2dms_cadatt_v1_CadasMapImage_E"/>
        <s v="2dms_cadatt_v1_CadasMapImage_F"/>
        <s v="2dms_cadatt_v1_CadasMapImage_G"/>
        <s v="2dms_cadatt_v1_CadasMapImage_H"/>
        <s v="2dms_cadatt_v1_CadasMapImage_I"/>
        <s v="2dms_cadatt_v1_CadasMapImage_J"/>
        <s v="2dms_cadatt_v1_CadasMapImage_K"/>
        <s v="2dms_cadatt_v1_CadasMapImage_M"/>
        <s v="2dms_cadatt_v1_CadasMapImage_N"/>
        <s v="2dms_cadatt_v1_CadasMapImage_O"/>
        <s v="2dms_cadatt_v1_CadasMapImage_P"/>
        <s v="2dms_cadatt_v1_CadasMapImage_Q"/>
        <s v="2dms_cadatt_v1_CadasMapImage_T"/>
        <s v="2dms_cadatt_v1_CadasMapImage_U"/>
        <s v="2dms_cadatt_v1_CadasMapImage_V"/>
        <s v="2dms_cadatt_v1_CadasMapImage_W"/>
        <s v="2dms_cadatt_v1_CadasMapImage_X"/>
        <s v="2dms_cadatt_v1_CadasMapImage_Z"/>
        <s v="2dms_cadatt_v1_CadasMapPosition_A"/>
        <s v="2dms_cadatt_v1_CadasMapPosition_B"/>
        <s v="2dms_cadatt_v1_CadasMapPosition_C"/>
        <s v="2dms_cadatt_v1_CadasMapPosition_D"/>
        <s v="2dms_cadatt_v1_CadasMapPosition_E"/>
        <s v="2dms_cadatt_v1_CadasMapPosition_F"/>
        <s v="2dms_cadatt_v1_CadasMapPosition_G"/>
        <s v="2dms_cadatt_v1_CadasMapPosition_H"/>
        <s v="2dms_cadatt_v1_CadasMapPosition_I"/>
        <s v="2dms_cadatt_v1_CadasMapPosition_J"/>
        <s v="2dms_cadatt_v1_CadasMapPosition_K"/>
        <s v="2dms_cadatt_v1_CadasMapPosition_M"/>
        <s v="2dms_cadatt_v1_CadasMapPosition_N"/>
        <s v="2dms_cadatt_v1_CadasMapPosition_O"/>
        <s v="2dms_cadatt_v1_CadasMapPosition_P"/>
        <s v="2dms_cadatt_v1_CadasMapPosition_Q"/>
        <s v="2dms_cadatt_v1_CadasMapPosition_T"/>
        <s v="2dms_cadatt_v1_CadasMapPosition_U"/>
        <s v="2dms_cadatt_v1_CadasMapPosition_V"/>
        <s v="2dms_cadatt_v1_CadasMapPosition_W"/>
        <s v="2dms_cadatt_v1_CadasMapPosition_X"/>
        <s v="2dms_cadatt_v1_CadasMapPosition_Z"/>
        <s v="2dms_cadatt_v1_GetLandNO"/>
        <s v="2dms_cadatt_v1_GetLandPositionLongitudeLatitude_A"/>
        <s v="2dms_cadatt_v1_GetLandPositionLongitudeLatitude_B"/>
        <s v="2dms_cadatt_v1_GetLandPositionLongitudeLatitude_C"/>
        <s v="2dms_cadatt_v1_GetLandPositionLongitudeLatitude_D"/>
        <s v="2dms_cadatt_v1_GetLandPositionLongitudeLatitude_E"/>
        <s v="2dms_cadatt_v1_GetLandPositionLongitudeLatitude_F"/>
        <s v="2dms_cadatt_v1_GetLandPositionLongitudeLatitude_G"/>
        <s v="2dms_cadatt_v1_GetLandPositionLongitudeLatitude_H"/>
        <s v="2dms_cadatt_v1_GetLandPositionLongitudeLatitude_I"/>
        <s v="2dms_cadatt_v1_GetLandPositionLongitudeLatitude_J"/>
        <s v="2dms_cadatt_v1_GetLandPositionLongitudeLatitude_K"/>
        <s v="2dms_cadatt_v1_GetLandPositionLongitudeLatitude_M"/>
        <s v="2dms_cadatt_v1_GetLandPositionLongitudeLatitude_N"/>
        <s v="2dms_cadatt_v1_GetLandPositionLongitudeLatitude_O"/>
        <s v="2dms_cadatt_v1_GetLandPositionLongitudeLatitude_P"/>
        <s v="2dms_cadatt_v1_GetLandPositionLongitudeLatitude_Q"/>
        <s v="2dms_cadatt_v1_GetLandPositionLongitudeLatitude_T"/>
        <s v="2dms_cadatt_v1_GetLandPositionLongitudeLatitude_U"/>
        <s v="2dms_cadatt_v1_GetLandPositionLongitudeLatitude_V"/>
        <s v="2dms_cadatt_v1_GetLandPositionLongitudeLatitude_W"/>
        <s v="2dms_cadatt_v1_GetLandPositionLongitudeLatitude_X"/>
        <s v="2dms_cadatt_v1_GetLandPositionLongitudeLatitude_Z"/>
        <s v="2dms_cadatt_v1_GetLandSecInfoNlsc_A"/>
        <s v="2dms_cadatt_v1_GetLandSecInfoNlsc_B"/>
        <s v="2dms_cadatt_v1_GetLandSecInfoNlsc_C"/>
        <s v="2dms_cadatt_v1_GetLandSecInfoNlsc_D"/>
        <s v="2dms_cadatt_v1_GetLandSecInfoNlsc_E"/>
        <s v="2dms_cadatt_v1_GetLandSecInfoNlsc_F"/>
        <s v="2dms_cadatt_v1_GetLandSecInfoNlsc_G"/>
        <s v="2dms_cadatt_v1_GetLandSecInfoNlsc_H"/>
        <s v="2dms_cadatt_v1_GetLandSecInfoNlsc_I"/>
        <s v="2dms_cadatt_v1_GetLandSecInfoNlsc_J"/>
        <s v="2dms_cadatt_v1_GetLandSecInfoNlsc_K"/>
        <s v="2dms_cadatt_v1_GetLandSecInfoNlsc_M"/>
        <s v="2dms_cadatt_v1_GetLandSecInfoNlsc_N"/>
        <s v="2dms_cadatt_v1_GetLandSecInfoNlsc_O"/>
        <s v="2dms_cadatt_v1_GetLandSecInfoNlsc_P"/>
        <s v="2dms_cadatt_v1_GetLandSecInfoNlsc_Q"/>
        <s v="2dms_cadatt_v1_GetLandSecInfoNlsc_T"/>
        <s v="2dms_cadatt_v1_GetLandSecInfoNlsc_U"/>
        <s v="2dms_cadatt_v1_GetLandSecInfoNlsc_V"/>
        <s v="2dms_cadatt_v1_GetLandSecInfoNlsc_W"/>
        <s v="2dms_cadatt_v1_GetLandSecInfoNlsc_X"/>
        <s v="2dms_cadatt_v1_GetLandSecInfoNlsc_Z"/>
        <s v="2dms_cadatt_v1_QryTileMapIndex1"/>
        <s v="2dms_cadatt_v1_QryTileMapIndex2"/>
        <s v="2dms_cadwfs_v1_CadasMerge"/>
        <s v="2dms_cadwms_v1_DMAPS"/>
        <s v="2dms_cadwmt_v1_DMAPS"/>
        <s v="2dms_emwfs_v1_BuildFrame"/>
        <s v="2dms_emwfs_v1_EMAP"/>
        <s v="2dms_luseat_v1_LandUseCompare"/>
        <s v="2dms_luseat_v1_LandUsePointYears"/>
        <s v="2dms_luwfs_v1_LuiMap"/>
        <s v="2dms_pubapi_v1_GetMapVillage"/>
        <s v="2dms_pubapi_v1_LandUsePointQuery"/>
        <s v="2dms_pubapi_v1_ListCounty"/>
        <s v="2dms_pubapi_v1_ListLandSection_A"/>
        <s v="2dms_pubapi_v1_ListLandSection_B"/>
        <s v="2dms_pubapi_v1_ListLandSection_C"/>
        <s v="2dms_pubapi_v1_ListLandSection_D"/>
        <s v="2dms_pubapi_v1_ListLandSection_E"/>
        <s v="2dms_pubapi_v1_ListLandSection_F"/>
        <s v="2dms_pubapi_v1_ListLandSection_G"/>
        <s v="2dms_pubapi_v1_ListLandSection_H"/>
        <s v="2dms_pubapi_v1_ListLandSection_I"/>
        <s v="2dms_pubapi_v1_ListLandSection_J"/>
        <s v="2dms_pubapi_v1_ListLandSection_K"/>
        <s v="2dms_pubapi_v1_ListLandSection_M"/>
        <s v="2dms_pubapi_v1_ListLandSection_N"/>
        <s v="2dms_pubapi_v1_ListLandSection_O"/>
        <s v="2dms_pubapi_v1_ListLandSection_P"/>
        <s v="2dms_pubapi_v1_ListLandSection_Q"/>
        <s v="2dms_pubapi_v1_ListLandSection_T"/>
        <s v="2dms_pubapi_v1_ListLandSection_U"/>
        <s v="2dms_pubapi_v1_ListLandSection_V"/>
        <s v="2dms_pubapi_v1_ListLandSection_W"/>
        <s v="2dms_pubapi_v1_ListLandSection_X"/>
        <s v="2dms_pubapi_v1_ListLandSection_Z"/>
        <s v="2dms_pubapi_v1_ListRoadCross_A"/>
        <s v="2dms_pubapi_v1_ListRoadCross_B"/>
        <s v="2dms_pubapi_v1_ListRoadCross_C"/>
        <s v="2dms_pubapi_v1_ListRoadCross_D"/>
        <s v="2dms_pubapi_v1_ListRoadCross_E"/>
        <s v="2dms_pubapi_v1_ListRoadCross_F"/>
        <s v="2dms_pubapi_v1_ListRoadCross_G"/>
        <s v="2dms_pubapi_v1_ListRoadCross_H"/>
        <s v="2dms_pubapi_v1_ListRoadCross_I"/>
        <s v="2dms_pubapi_v1_ListRoadCross_J"/>
        <s v="2dms_pubapi_v1_ListRoadCross_K"/>
        <s v="2dms_pubapi_v1_ListRoadCross_M"/>
        <s v="2dms_pubapi_v1_ListRoadCross_N"/>
        <s v="2dms_pubapi_v1_ListRoadCross_O"/>
        <s v="2dms_pubapi_v1_ListRoadCross_P"/>
        <s v="2dms_pubapi_v1_ListRoadCross_Q"/>
        <s v="2dms_pubapi_v1_ListRoadCross_T"/>
        <s v="2dms_pubapi_v1_ListRoadCross_U"/>
        <s v="2dms_pubapi_v1_ListRoadCross_V"/>
        <s v="2dms_pubapi_v1_ListRoadCross_W"/>
        <s v="2dms_pubapi_v1_ListRoadCross_X"/>
        <s v="2dms_pubapi_v1_ListRoadCross_Z"/>
        <s v="2dms_pubapi_v1_ListRoadM_A"/>
        <s v="2dms_pubapi_v1_ListRoadM_B"/>
        <s v="2dms_pubapi_v1_ListRoadM_C"/>
        <s v="2dms_pubapi_v1_ListRoadM_D"/>
        <s v="2dms_pubapi_v1_ListRoadM_E"/>
        <s v="2dms_pubapi_v1_ListRoadM_F"/>
        <s v="2dms_pubapi_v1_ListRoadM_G"/>
        <s v="2dms_pubapi_v1_ListRoadM_H"/>
        <s v="2dms_pubapi_v1_ListRoadM_I"/>
        <s v="2dms_pubapi_v1_ListRoadM_J"/>
        <s v="2dms_pubapi_v1_ListRoadM_K"/>
        <s v="2dms_pubapi_v1_ListRoadM_M"/>
        <s v="2dms_pubapi_v1_ListRoadM_N"/>
        <s v="2dms_pubapi_v1_ListRoadM_O"/>
        <s v="2dms_pubapi_v1_ListRoadM_P"/>
        <s v="2dms_pubapi_v1_ListRoadM_Q"/>
        <s v="2dms_pubapi_v1_ListRoadM_T"/>
        <s v="2dms_pubapi_v1_ListRoadM_U"/>
        <s v="2dms_pubapi_v1_ListRoadM_V"/>
        <s v="2dms_pubapi_v1_ListRoadM_W"/>
        <s v="2dms_pubapi_v1_ListRoadM_X"/>
        <s v="2dms_pubapi_v1_ListRoadM_Z"/>
        <s v="2dms_pubapi_v1_ListTown_A"/>
        <s v="2dms_pubapi_v1_ListTown_B"/>
        <s v="2dms_pubapi_v1_ListTown_C"/>
        <s v="2dms_pubapi_v1_ListTown_D"/>
        <s v="2dms_pubapi_v1_ListTown_E"/>
        <s v="2dms_pubapi_v1_ListTown_F"/>
        <s v="2dms_pubapi_v1_ListTown_G"/>
        <s v="2dms_pubapi_v1_ListTown_H"/>
        <s v="2dms_pubapi_v1_ListTown_I"/>
        <s v="2dms_pubapi_v1_ListTown_J"/>
        <s v="2dms_pubapi_v1_ListTown_K"/>
        <s v="2dms_pubapi_v1_ListTown_M"/>
        <s v="2dms_pubapi_v1_ListTown_N"/>
        <s v="2dms_pubapi_v1_ListTown_O"/>
        <s v="2dms_pubapi_v1_ListTown_P"/>
        <s v="2dms_pubapi_v1_ListTown_Q"/>
        <s v="2dms_pubapi_v1_ListTown_T"/>
        <s v="2dms_pubapi_v1_ListTown_U"/>
        <s v="2dms_pubapi_v1_ListTown_V"/>
        <s v="2dms_pubapi_v1_ListTown_W"/>
        <s v="2dms_pubapi_v1_ListTown_X"/>
        <s v="2dms_pubapi_v1_ListTown_Z"/>
        <s v="2dms_pubapi_v1_ListTown1_A"/>
        <s v="2dms_pubapi_v1_ListTown1_B"/>
        <s v="2dms_pubapi_v1_ListTown1_C"/>
        <s v="2dms_pubapi_v1_ListTown1_D"/>
        <s v="2dms_pubapi_v1_ListTown1_E"/>
        <s v="2dms_pubapi_v1_ListTown1_F"/>
        <s v="2dms_pubapi_v1_ListTown1_G"/>
        <s v="2dms_pubapi_v1_ListTown1_H"/>
        <s v="2dms_pubapi_v1_ListTown1_I"/>
        <s v="2dms_pubapi_v1_ListTown1_J"/>
        <s v="2dms_pubapi_v1_ListTown1_K"/>
        <s v="2dms_pubapi_v1_ListTown1_M"/>
        <s v="2dms_pubapi_v1_ListTown1_N"/>
        <s v="2dms_pubapi_v1_ListTown1_O"/>
        <s v="2dms_pubapi_v1_ListTown1_P"/>
        <s v="2dms_pubapi_v1_ListTown1_Q"/>
        <s v="2dms_pubapi_v1_ListTown1_T"/>
        <s v="2dms_pubapi_v1_ListTown1_U"/>
        <s v="2dms_pubapi_v1_ListTown1_V"/>
        <s v="2dms_pubapi_v1_ListTown1_W"/>
        <s v="2dms_pubapi_v1_ListTown1_X"/>
        <s v="2dms_pubapi_v1_ListTown1_Z"/>
        <s v="2dms_pubapi_v1_ListVillage_A"/>
        <s v="2dms_pubapi_v1_ListVillage_B"/>
        <s v="2dms_pubapi_v1_ListVillage_C"/>
        <s v="2dms_pubapi_v1_ListVillage_D"/>
        <s v="2dms_pubapi_v1_ListVillage_E"/>
        <s v="2dms_pubapi_v1_ListVillage_F"/>
        <s v="2dms_pubapi_v1_ListVillage_G"/>
        <s v="2dms_pubapi_v1_ListVillage_H"/>
        <s v="2dms_pubapi_v1_ListVillage_I"/>
        <s v="2dms_pubapi_v1_ListVillage_J"/>
        <s v="2dms_pubapi_v1_ListVillage_K"/>
        <s v="2dms_pubapi_v1_ListVillage_M"/>
        <s v="2dms_pubapi_v1_ListVillage_N"/>
        <s v="2dms_pubapi_v1_ListVillage_O"/>
        <s v="2dms_pubapi_v1_ListVillage_P"/>
        <s v="2dms_pubapi_v1_ListVillage_Q"/>
        <s v="2dms_pubapi_v1_ListVillage_T"/>
        <s v="2dms_pubapi_v1_ListVillage_U"/>
        <s v="2dms_pubapi_v1_ListVillage_V"/>
        <s v="2dms_pubapi_v1_ListVillage_W"/>
        <s v="2dms_pubapi_v1_ListVillage_X"/>
        <s v="2dms_pubapi_v1_ListVillage_Z"/>
        <s v="2dms_pubapi_v1_MarkBufferAnlysBus"/>
        <s v="2dms_pubapi_v1_MarkBufferAnlysDis"/>
        <s v="2dms_pubapi_v1_MarkBufferAnlysEdu"/>
        <s v="2dms_pubapi_v1_MarkBufferAnlysMed"/>
        <s v="2dms_pubapi_v1_TextQueryRoad_A"/>
        <s v="2dms_pubapi_v1_TextQueryRoad_B"/>
        <s v="2dms_pubapi_v1_TextQueryRoad_C"/>
        <s v="2dms_pubapi_v1_TextQueryRoad_D"/>
        <s v="2dms_pubapi_v1_TextQueryRoad_E"/>
        <s v="2dms_pubapi_v1_TextQueryRoad_F"/>
        <s v="2dms_pubapi_v1_TextQueryRoad_G"/>
        <s v="2dms_pubapi_v1_TextQueryRoad_H"/>
        <s v="2dms_pubapi_v1_TextQueryRoad_I"/>
        <s v="2dms_pubapi_v1_TextQueryRoad_J"/>
        <s v="2dms_pubapi_v1_TextQueryRoad_K"/>
        <s v="2dms_pubapi_v1_TextQueryRoad_M"/>
        <s v="2dms_pubapi_v1_TextQueryRoad_N"/>
        <s v="2dms_pubapi_v1_TextQueryRoad_O"/>
        <s v="2dms_pubapi_v1_TextQueryRoad_P"/>
        <s v="2dms_pubapi_v1_TextQueryRoad_Q"/>
        <s v="2dms_pubapi_v1_TextQueryRoad_T"/>
        <s v="2dms_pubapi_v1_TextQueryRoad_U"/>
        <s v="2dms_pubapi_v1_TextQueryRoad_V"/>
        <s v="2dms_pubapi_v1_TextQueryRoad_W"/>
        <s v="2dms_pubapi_v1_TextQueryRoad_X"/>
        <s v="2dms_pubapi_v1_TextQueryRoad_Z"/>
        <s v="2dms_pubapi_v1_TownVillagePointQuery"/>
        <s v="2dms_pubapi_v1_TownVillagePointQuery1"/>
        <s v="2dms_route_v1_RoutesNodes"/>
        <s v="2dms_route_v1_RoutesQueryByDist"/>
        <s v="2dms_route_v1_RoutesQueryByTime"/>
        <s v="2dms_secwfs_v1_LanSect"/>
        <s v="2dms_t1kwfs_v1_TOPON1K_B04"/>
        <s v="2dms_t1kwfs_v1_TOPON1K_B11"/>
        <s v="2dms_t1kwfs_v1_TOPON1K_B14"/>
        <s v="2dms_t1kwfs_v1_TOPON1K_B15"/>
        <s v="2dms_t1kwfs_v1_TOPON1K_B20"/>
        <s v="2dms_t1kwfs_v1_TOPON1K_B22"/>
        <s v="2dms_t1kwfs_v1_TOPON1K_B25"/>
        <s v="2dms_t1kwfs_v1_TOPON1K_D03"/>
        <s v="2dms_t1kwfs_v1_TOPON1K_D04"/>
        <s v="2dms_t1kwfs_v1_TOPON1K_D05"/>
        <s v="2dms_t1kwfs_v1_TOPON1K_D08"/>
        <s v="2dms_t1kwfs_v1_TOPON1K_D12"/>
        <s v="2dms_t1kwfs_v1_TOPON1K_E02"/>
        <s v="2dms_t1kwfs_v1_TOPON1K_E03"/>
        <s v="2dms_t1kwfs_v1_TOPON1K_E32"/>
        <s v="2dms_t1kwfs_v1_TOPON1K_G01"/>
        <s v="2dms_t1kwfs_v1_TOPON1K_G04"/>
        <s v="2dms_t1kwfs_v1_TOPON1K_G06"/>
        <s v="2dms_t1kwfs_v1_TOPON1K_G09"/>
        <s v="2dms_t1kwfs_v1_TOPON1K_G11"/>
        <s v="2dms_t1kwfs_v1_TOPON1K_G15"/>
        <s v="2dms_t1kwfs_v1_TOPON1K_G16"/>
        <s v="2dms_t1kwfs_v1_TOPON1K_G17"/>
        <s v="2dms_t1kwfs_v1_TOPON1K_G18"/>
        <s v="2dms_t1kwfs_v1_TOPON1K_G19"/>
        <s v="2dms_t1kwfs_v1_TOPON1K_G20"/>
        <s v="2dms_t1kwfs_v1_TOPON1K_H18"/>
        <s v="2dms_t1kwfs_v1_TOPON1K_H19"/>
        <s v="2dms_t1kwfs_v1_TOPON1K_H20"/>
        <s v="2dms_t1kwfs_v1_TOPON1K_H21"/>
        <s v="2dms_t1kwfs_v1_TOPON1K_H31"/>
        <s v="2dms_t1kwfs_v1_TOPON1K_J01"/>
        <s v="2dms_t1kwfs_v1_TOPON1K_J06"/>
        <s v="2dms_t1kwfs_v1_TOPON1K_J13"/>
        <s v="2dms_t1kwfs_v1_TOPON1K_J16"/>
        <s v="2dms_t1kwfs_v1_TOPON1K_J17"/>
        <s v="2dms_t1kwfs_v1_TOPON1K_K01"/>
        <s v="2dms_t1kwfs_v1_TOPON1K_K02"/>
        <s v="2dms_t1kwfs_v1_TOPON1K_K14"/>
        <s v="2dms_t1kwfs_v1_TOPON1K_M01"/>
        <s v="2dms_t1kwfs_v1_TOPON1K_M02"/>
        <s v="2dms_t1kwfs_v1_TOPON1K_M04"/>
        <s v="2dms_t1kwfs_v1_TOPON1K_N01"/>
        <s v="2dms_t1kwfs_v1_TOPON1K_N02"/>
        <s v="2dms_t1kwfs_v1_TOPON1K_P01"/>
        <s v="2dms_t1kwfs_v1_TOPON1K_P10"/>
        <s v="2dms_t1kwfs_v1_TOPON1K_P12"/>
        <s v="2dms_t1kwfs_v1_TOPON1K_P13"/>
        <s v="2dms_t1kwfs_v1_TOPON1K_P22"/>
        <s v="2dms_t1kwfs_v1_TOPON1K_P24"/>
        <s v="2dms_t1kwfs_v1_TOPON1K_P25"/>
        <s v="2dms_t1kwfs_v1_TOPON1K_Q02"/>
        <s v="2dms_t1kwfs_v1_TOPON1K_Q06"/>
        <s v="2dms_t1kwfs_v1_TOPON1K_Q07"/>
        <s v="2dms_t1kwfs_v1_TOPON1K_Q19"/>
        <s v="2dms_t1kwfs_v1_TOPON1K_Q21"/>
        <s v="2dms_t1kwfs_v1_TOPON1K_Q22"/>
        <s v="2dms_t1kwfs_v1_TOPON1K_Q26"/>
        <s v="2dms_t1kwfs_v1_TOPON1K_Q27"/>
        <s v="2dms_t1kwfs_v1_TOPON1K_Q28"/>
        <s v="2dms_t1kwfs_v1_TOPON1K_Q29"/>
        <s v="2dms_t1kwfs_v1_TOPON1K_Q30"/>
        <s v="2dms_t1kwfs_v1_TOPON1K_Q31"/>
        <s v="2dms_t1kwfs_v1_TOPON1K_T01"/>
        <s v="2dms_t1kwfs_v1_TOPON1K_T03"/>
        <s v="2dms_t1kwfs_v1_TOPON1K_T08"/>
        <s v="2dms_t1kwfs_v1_TOPON1K_T20"/>
        <s v="2dms_t1kwfs_v1_TOPON1K_T30"/>
        <s v="2dms_t1kwfs_v1_TOPON1K_U20"/>
        <s v="2dms_t1kwfs_v1_TOPON1K_V01"/>
        <s v="2dms_t1kwfs_v1_TOPON1K_V02"/>
        <s v="2dms_t1kwfs_v1_TOPON1K_X01"/>
        <s v="2dms_t1kwfs_v1_TOPON1K_X02"/>
        <s v="2dms_t1kwfs_v1_TOPON1K_X03"/>
        <s v="2dms_t1kwfs_v1_TOPON1K_X04"/>
        <s v="2dms_t1kwfs_v1_TOPON1K_X05"/>
        <s v="2dms_t1kwfs_v1_TOPON1K_X06"/>
        <s v="2dms_t1kwfs_v1_TOPON1K_X07"/>
        <s v="2dms_t1kwfs_v1_TOPON1K_X08"/>
        <s v="2dms_wms_v1_WMS"/>
        <s v="2dms_wmts_v1_AED"/>
        <s v="2dms_wmts_v1_Asrs202509251"/>
        <s v="2dms_wmts_v1_Asrs202509252"/>
        <s v="2dms_wmts_v1_Asrs202509253"/>
        <s v="2dms_wmts_v1_Asrs202509271"/>
        <s v="2dms_wmts_v1_Asrs202509272"/>
        <s v="2dms_wmts_v1_Asrs202509273"/>
        <s v="2dms_wmts_v1_Asrs202509281"/>
        <s v="2dms_wmts_v1_Asrs202509282"/>
        <s v="2dms_wmts_v1_Asrs202509291"/>
        <s v="2dms_wmts_v1_Asrs202509292"/>
        <s v="2dms_wmts_v1_Asrs202509301"/>
        <s v="2dms_wmts_v1_Asrs202509302"/>
        <s v="2dms_wmts_v1_Asrs202510011"/>
        <s v="2dms_wmts_v1_Asrs202510021"/>
        <s v="2dms_wmts_v1_Asrs202510022"/>
        <s v="2dms_wmts_v1_Asrs202510023"/>
        <s v="2dms_wmts_v1_Asrs202510031"/>
        <s v="2dms_wmts_v1_Asrs202510032"/>
        <s v="2dms_wmts_v1_Asrs202510033"/>
        <s v="2dms_wmts_v1_Asrs202510034"/>
        <s v="2dms_wmts_v1_Asrs202510035"/>
        <s v="2dms_wmts_v1_Asrs202510036"/>
        <s v="2dms_wmts_v1_Asrs202510037"/>
        <s v="2dms_wmts_v1_Asrs202510041"/>
        <s v="2dms_wmts_v1_Asrs202510042"/>
        <s v="2dms_wmts_v1_Asrs202510043"/>
        <s v="2dms_wmts_v1_Asrs202510051"/>
        <s v="2dms_wmts_v1_Asrs202510052"/>
        <s v="2dms_wmts_v1_Asrs202510053"/>
        <s v="2dms_wmts_v1_Asrs202510061"/>
        <s v="2dms_wmts_v1_Asrs202510062"/>
        <s v="2dms_wmts_v1_Asrs202510063"/>
        <s v="2dms_wmts_v1_Asrs202510071"/>
        <s v="2dms_wmts_v1_Asrs202510072"/>
        <s v="2dms_wmts_v1_Asrs202510073"/>
        <s v="2dms_wmts_v1_Asrs202510131"/>
        <s v="2dms_wmts_v1_Asrs202510132"/>
        <s v="2dms_wmts_v1_Asrs202510133"/>
        <s v="2dms_wmts_v1_Asrs202510134"/>
        <s v="2dms_wmts_v1_Asrs202510135"/>
        <s v="2dms_wmts_v1_Asrs202510136"/>
        <s v="2dms_wmts_v1_Asrs202510137"/>
        <s v="2dms_wmts_v1_Asrs202510138"/>
        <s v="2dms_wmts_v1_Asrs202510139"/>
        <s v="2dms_wmts_v1_Asrs202511161"/>
        <s v="2dms_wmts_v1_Asrs202511162"/>
        <s v="2dms_wmts_v1_Asrs202511163"/>
        <s v="2dms_wmts_v1_Asrs202511164"/>
        <s v="2dms_wmts_v1_Asrs202511165"/>
        <s v="2dms_wmts_v1_Asrs202511166"/>
        <s v="2dms_wmts_v1_Asrs202511167"/>
        <s v="2dms_wmts_v1_Asrs202511168"/>
        <s v="2dms_wmts_v1_Asrs2025ortho"/>
        <s v="2dms_wmts_v1_B100000"/>
        <s v="2dms_wmts_v1_B25000"/>
        <s v="2dms_wmts_v1_B5000"/>
        <s v="2dms_wmts_v1_B50000"/>
        <s v="2dms_wmts_v1_BUILDX"/>
        <s v="2dms_wmts_v1_CITY"/>
        <s v="2dms_wmts_v1_ConvenienceStore"/>
        <s v="2dms_wmts_v1_DDEM05"/>
        <s v="2dms_wmts_v1_EMAP"/>
        <s v="2dms_wmts_v1_EMAP01"/>
        <s v="2dms_wmts_v1_EMAP12"/>
        <s v="2dms_wmts_v1_EMAP15"/>
        <s v="2dms_wmts_v1_EMAP16"/>
        <s v="2dms_wmts_v1_EMAP2"/>
        <s v="2dms_wmts_v1_EMAP3825"/>
        <s v="2dms_wmts_v1_EMAP3826"/>
        <s v="2dms_wmts_v1_EMAP5"/>
        <s v="2dms_wmts_v1_EMAP5Opendata"/>
        <s v="2dms_wmts_v1_EMAP6"/>
        <s v="2dms_wmts_v1_EMAP6Opendata"/>
        <s v="2dms_wmts_v1_EMAP7"/>
        <s v="2dms_wmts_v1_EMAP8"/>
        <s v="2dms_wmts_v1_EMAP9"/>
        <s v="2dms_wmts_v1_EMAP96"/>
        <s v="2dms_wmts_v1_EMAP97"/>
        <s v="2dms_wmts_v1_EMAP98"/>
        <s v="2dms_wmts_v1_EMAPX99"/>
        <s v="2dms_wmts_v1_fireplug"/>
        <s v="2dms_wmts_v1_GeoSensitive"/>
        <s v="2dms_wmts_v1_GeoSensitive2"/>
        <s v="2dms_wmts_v1_LandOffice"/>
        <s v="2dms_wmts_v1_LandOpendata"/>
        <s v="2dms_wmts_v1_LANDSECT"/>
        <s v="2dms_wmts_v1_LANDSECT2"/>
        <s v="2dms_wmts_v1_LUIMAP"/>
        <s v="2dms_wmts_v1_LUIMAP01"/>
        <s v="2dms_wmts_v1_LUIMAP02"/>
        <s v="2dms_wmts_v1_LUIMAP03"/>
        <s v="2dms_wmts_v1_LUIMAP04"/>
        <s v="2dms_wmts_v1_LUIMAP05"/>
        <s v="2dms_wmts_v1_LUIMAP06"/>
        <s v="2dms_wmts_v1_LUIMAP07"/>
        <s v="2dms_wmts_v1_LUIMAP08"/>
        <s v="2dms_wmts_v1_LUIMAP09"/>
        <s v="2dms_wmts_v1_LUIMAP100"/>
        <s v="2dms_wmts_v1_LUIMAP101"/>
        <s v="2dms_wmts_v1_LUIMAP102"/>
        <s v="2dms_wmts_v1_LUIMAP103"/>
        <s v="2dms_wmts_v1_LUIMAP104"/>
        <s v="2dms_wmts_v1_LUIMAP105"/>
        <s v="2dms_wmts_v1_LUIMAP106"/>
        <s v="2dms_wmts_v1_LUIMAP107"/>
        <s v="2dms_wmts_v1_LUIMAP108"/>
        <s v="2dms_wmts_v1_LUIMAP109"/>
        <s v="2dms_wmts_v1_LUIMAP110"/>
        <s v="2dms_wmts_v1_LUIMAP111"/>
        <s v="2dms_wmts_v1_LUIMAP112"/>
        <s v="2dms_wmts_v1_LUIMAP113"/>
        <s v="2dms_wmts_v1_LUIMAP114"/>
        <s v="2dms_wmts_v1_LUIMAP82"/>
        <s v="2dms_wmts_v1_LUIMAP95"/>
        <s v="2dms_wmts_v1_LUIMAP98"/>
        <s v="2dms_wmts_v1_LUIMAP99"/>
        <s v="2dms_wmts_v1_MB5000"/>
        <s v="2dms_wmts_v1_MoiAspect"/>
        <s v="2dms_wmts_v1_MoiContour"/>
        <s v="2dms_wmts_v1_MoiContour2"/>
        <s v="2dms_wmts_v1_MoiHillshade"/>
        <s v="2dms_wmts_v1_MoiShadermap"/>
        <s v="2dms_wmts_v1_MoiSlopepGT30"/>
        <s v="2dms_wmts_v1_MoiSlopepGT302"/>
        <s v="2dms_wmts_v1_MoiSlopepLV7"/>
        <s v="2dms_wmts_v1_MoiSlopepLV72"/>
        <s v="2dms_wmts_v1_nURBAN1"/>
        <s v="2dms_wmts_v1_nURBAN2"/>
        <s v="2dms_wmts_v1_PHOTO1"/>
        <s v="2dms_wmts_v1_PHOTO2"/>
        <s v="2dms_wmts_v1_PHOTO2014"/>
        <s v="2dms_wmts_v1_PHOTO2015"/>
        <s v="2dms_wmts_v1_PHOTO2016"/>
        <s v="2dms_wmts_v1_PHOTO2017"/>
        <s v="2dms_wmts_v1_PHOTO2018"/>
        <s v="2dms_wmts_v1_PHOTO2019"/>
        <s v="2dms_wmts_v1_PHOTO2020"/>
        <s v="2dms_wmts_v1_PHOTO2021"/>
        <s v="2dms_wmts_v1_PHOTO2022"/>
        <s v="2dms_wmts_v1_PHOTO2023"/>
        <s v="2dms_wmts_v1_PHOTO2024"/>
        <s v="2dms_wmts_v1_PHOTO2025"/>
        <s v="2dms_wmts_v1_PHOTO3826"/>
        <s v="2dms_wmts_v1_PhotoMIX"/>
        <s v="2dms_wmts_v1_PhotoVA"/>
        <s v="2dms_wmts_v1_ROAD"/>
        <s v="2dms_wmts_v1_SCHOOL"/>
        <s v="2dms_wmts_v1_SHELTERS"/>
        <s v="2dms_wmts_v1_SoilLiquefaction"/>
        <s v="2dms_wmts_v1_SoilLiquefaction2"/>
        <s v="2dms_wmts_v1_TOPO01K_B01"/>
        <s v="2dms_wmts_v1_TOPO01K_B02"/>
        <s v="2dms_wmts_v1_TOPO01K_B03"/>
        <s v="2dms_wmts_v1_TOPO01K_B04"/>
        <s v="2dms_wmts_v1_TOPO01K_B05"/>
        <s v="2dms_wmts_v1_TOPO01K_B06"/>
        <s v="2dms_wmts_v1_TOPO01K_B07"/>
        <s v="2dms_wmts_v1_TOPO01K_B08"/>
        <s v="2dms_wmts_v1_TOPO01K_B09"/>
        <s v="2dms_wmts_v1_TOPO01K_B10"/>
        <s v="2dms_wmts_v1_TOPO01K_B11"/>
        <s v="2dms_wmts_v1_TOPO01K_B12"/>
        <s v="2dms_wmts_v1_TOPO01K_B13"/>
        <s v="2dms_wmts_v1_TOPO01K_B14"/>
        <s v="2dms_wmts_v1_TOPO01K_B15"/>
        <s v="2dms_wmts_v1_TOPO01K_B16"/>
        <s v="2dms_wmts_v1_TOPO01K_B17"/>
        <s v="2dms_wmts_v1_TOPO01K_B18"/>
        <s v="2dms_wmts_v1_TOPO01K_B19"/>
        <s v="2dms_wmts_v1_TOPO01K_B20"/>
        <s v="2dms_wmts_v1_TOPO01K_B21"/>
        <s v="2dms_wmts_v1_TOPO01K_B22"/>
        <s v="2dms_wmts_v1_TOPO01K_B23"/>
        <s v="2dms_wmts_v1_TOPO01K_B24"/>
        <s v="2dms_wmts_v1_TOPO01K_B25"/>
        <s v="2dms_wmts_v1_TOPO01K_B26"/>
        <s v="2dms_wmts_v1_TOPO01K_B27"/>
        <s v="2dms_wmts_v1_TOPO01K_B28"/>
        <s v="2dms_wmts_v1_TOPO01K_B29"/>
        <s v="2dms_wmts_v1_TOPO01K_B30"/>
        <s v="2dms_wmts_v1_TOPO01K_B31"/>
        <s v="2dms_wmts_v1_TOPO01K_B32"/>
        <s v="2dms_wmts_v1_TOPO01K_C01"/>
        <s v="2dms_wmts_v1_TOPO01K_C02"/>
        <s v="2dms_wmts_v1_TOPO01K_D93"/>
        <s v="2dms_wmts_v1_TOPO01K_D97"/>
        <s v="2dms_wmts_v1_TOPO01K_D99"/>
        <s v="2dms_wmts_v1_TOPO01K_DA0"/>
        <s v="2dms_wmts_v1_TOPO01K_DA1"/>
        <s v="2dms_wmts_v1_TOPO01K_DA2"/>
        <s v="2dms_wmts_v1_TOPO01K_E01"/>
        <s v="2dms_wmts_v1_TOPO01K_E02"/>
        <s v="2dms_wmts_v1_TOPO01K_E03"/>
        <s v="2dms_wmts_v1_TOPO01K_E04"/>
        <s v="2dms_wmts_v1_TOPO01K_E05"/>
        <s v="2dms_wmts_v1_TOPO01K_E06"/>
        <s v="2dms_wmts_v1_TOPO01K_E07"/>
        <s v="2dms_wmts_v1_TOPO01K_E08"/>
        <s v="2dms_wmts_v1_TOPO01K_E09"/>
        <s v="2dms_wmts_v1_TOPO01K_E10"/>
        <s v="2dms_wmts_v1_TOPO01K_E11"/>
        <s v="2dms_wmts_v1_TOPO01K_E12"/>
        <s v="2dms_wmts_v1_TOPO01K_E13"/>
        <s v="2dms_wmts_v1_TOPO01K_E14"/>
        <s v="2dms_wmts_v1_TOPO01K_E15"/>
        <s v="2dms_wmts_v1_TOPO01K_E16"/>
        <s v="2dms_wmts_v1_TOPO01K_E17"/>
        <s v="2dms_wmts_v1_TOPO01K_E18"/>
        <s v="2dms_wmts_v1_TOPO01K_E19"/>
        <s v="2dms_wmts_v1_TOPO01K_E20"/>
        <s v="2dms_wmts_v1_TOPO01K_E21"/>
        <s v="2dms_wmts_v1_TOPO01K_E22"/>
        <s v="2dms_wmts_v1_TOPO01K_E23"/>
        <s v="2dms_wmts_v1_TOPO01K_E24"/>
        <s v="2dms_wmts_v1_TOPO01K_E25"/>
        <s v="2dms_wmts_v1_TOPO01K_E26"/>
        <s v="2dms_wmts_v1_TOPO01K_E27"/>
        <s v="2dms_wmts_v1_TOPO01K_E28"/>
        <s v="2dms_wmts_v1_TOPO01K_E29"/>
        <s v="2dms_wmts_v1_TOPO01K_E30"/>
        <s v="2dms_wmts_v1_TOPO01K_E31"/>
        <s v="2dms_wmts_v1_TOPO01K_E32"/>
        <s v="2dms_wmts_v1_TOPO01K_E34"/>
        <s v="2dms_wmts_v1_TOPO01K_E35"/>
        <s v="2dms_wmts_v1_TOPO01K_E36"/>
        <s v="2dms_wmts_v1_TOPO01K_E37"/>
        <s v="2dms_wmts_v1_TOPO01K_E38"/>
        <s v="2dms_wmts_v1_TOPO01K_F01"/>
        <s v="2dms_wmts_v1_TOPO01K_F02"/>
        <s v="2dms_wmts_v1_TOPO01K_F03"/>
        <s v="2dms_wmts_v1_TOPO01K_F04"/>
        <s v="2dms_wmts_v1_TOPO01K_F05"/>
        <s v="2dms_wmts_v1_TOPO01K_F06"/>
        <s v="2dms_wmts_v1_TOPO01K_F07"/>
        <s v="2dms_wmts_v1_TOPO01K_F08"/>
        <s v="2dms_wmts_v1_TOPO01K_F09"/>
        <s v="2dms_wmts_v1_TOPO01K_F10"/>
        <s v="2dms_wmts_v1_TOPO01K_F11"/>
        <s v="2dms_wmts_v1_TOPO01K_F12"/>
        <s v="2dms_wmts_v1_TOPO01K_F13"/>
        <s v="2dms_wmts_v1_TOPO01K_F14"/>
        <s v="2dms_wmts_v1_TOPO01K_F15"/>
        <s v="2dms_wmts_v1_TOPO01K_F16"/>
        <s v="2dms_wmts_v1_TOPO01K_F17"/>
        <s v="2dms_wmts_v1_TOPO01K_F18"/>
        <s v="2dms_wmts_v1_TOPO01K_F19"/>
        <s v="2dms_wmts_v1_TOPO01K_F20"/>
        <s v="2dms_wmts_v1_TOPO01K_F21"/>
        <s v="2dms_wmts_v1_TOPO01K_F22"/>
        <s v="2dms_wmts_v1_TOPO01K_F23"/>
        <s v="2dms_wmts_v1_TOPO01K_F24"/>
        <s v="2dms_wmts_v1_TOPO01K_F25"/>
        <s v="2dms_wmts_v1_TOPO01K_F26"/>
        <s v="2dms_wmts_v1_TOPO01K_F27"/>
        <s v="2dms_wmts_v1_TOPO01K_F28"/>
        <s v="2dms_wmts_v1_TOPO01K_F29"/>
        <s v="2dms_wmts_v1_TOPO01K_F30"/>
        <s v="2dms_wmts_v1_TOPO01K_F31"/>
        <s v="2dms_wmts_v1_TOPO01K_F32"/>
        <s v="2dms_wmts_v1_TOPO01K_F33"/>
        <s v="2dms_wmts_v1_TOPO01K_F34"/>
        <s v="2dms_wmts_v1_TOPO01K_F35"/>
        <s v="2dms_wmts_v1_TOPO01K_F36"/>
        <s v="2dms_wmts_v1_TOPO01K_F37"/>
        <s v="2dms_wmts_v1_TOPO01K_F38"/>
        <s v="2dms_wmts_v1_TOPO01K_F39"/>
        <s v="2dms_wmts_v1_TOPO01K_F40"/>
        <s v="2dms_wmts_v1_TOPO01K_F41"/>
        <s v="2dms_wmts_v1_TOPO01K_F42"/>
        <s v="2dms_wmts_v1_TOPO01K_F43"/>
        <s v="2dms_wmts_v1_TOPO01K_F44"/>
        <s v="2dms_wmts_v1_TOPO01K_F45"/>
        <s v="2dms_wmts_v1_TOPO01K_F46"/>
        <s v="2dms_wmts_v1_TOPO01K_F47"/>
        <s v="2dms_wmts_v1_TOPO01K_F48"/>
        <s v="2dms_wmts_v1_TOPO01K_F49"/>
        <s v="2dms_wmts_v1_TOPO01K_F50"/>
        <s v="2dms_wmts_v1_TOPO01K_F51"/>
        <s v="2dms_wmts_v1_TOPO01K_F52"/>
        <s v="2dms_wmts_v1_TOPO01K_F53"/>
        <s v="2dms_wmts_v1_TOPO01K_F54"/>
        <s v="2dms_wmts_v1_TOPO01K_F55"/>
        <s v="2dms_wmts_v1_TOPO01K_F56"/>
        <s v="2dms_wmts_v1_TOPO01K_G01"/>
        <s v="2dms_wmts_v1_TOPO01K_G02"/>
        <s v="2dms_wmts_v1_TOPO01K_G03"/>
        <s v="2dms_wmts_v1_TOPO01K_G04"/>
        <s v="2dms_wmts_v1_TOPO01K_G05"/>
        <s v="2dms_wmts_v1_TOPO01K_G06"/>
        <s v="2dms_wmts_v1_TOPO01K_G07"/>
        <s v="2dms_wmts_v1_TOPO01K_G08"/>
        <s v="2dms_wmts_v1_TOPO01K_G09"/>
        <s v="2dms_wmts_v1_TOPO01K_G10"/>
        <s v="2dms_wmts_v1_TOPO01K_G11"/>
        <s v="2dms_wmts_v1_TOPO01K_G12"/>
        <s v="2dms_wmts_v1_TOPO01K_G13"/>
        <s v="2dms_wmts_v1_TOPO01K_G14"/>
        <s v="2dms_wmts_v1_TOPO01K_G15"/>
        <s v="2dms_wmts_v1_TOPO01K_H01"/>
        <s v="2dms_wmts_v1_TOPO01K_H02"/>
        <s v="2dms_wmts_v1_TOPO01K_H03"/>
        <s v="2dms_wmts_v1_TOPO01K_H04"/>
        <s v="2dms_wmts_v1_TOPO01K_H05"/>
        <s v="2dms_wmts_v1_TOPO01K_H06"/>
        <s v="2dms_wmts_v1_TOPO01K_H07"/>
        <s v="2dms_wmts_v1_TOPO01K_H08"/>
        <s v="2dms_wmts_v1_TOPO01K_H09"/>
        <s v="2dms_wmts_v1_TOPO01K_H10"/>
        <s v="2dms_wmts_v1_TOPO01K_H11"/>
        <s v="2dms_wmts_v1_TOPO01K_H12"/>
        <s v="2dms_wmts_v1_TOPO01K_H13"/>
        <s v="2dms_wmts_v1_TOPO01K_H14"/>
        <s v="2dms_wmts_v1_TOPO01K_H15"/>
        <s v="2dms_wmts_v1_TOPO01K_H16"/>
        <s v="2dms_wmts_v1_TOPO01K_H17"/>
        <s v="2dms_wmts_v1_TOPO01K_H18"/>
        <s v="2dms_wmts_v1_TOPO01K_H19"/>
        <s v="2dms_wmts_v1_TOPO01K_H20"/>
        <s v="2dms_wmts_v1_TOPO01K_H21"/>
        <s v="2dms_wmts_v1_TOPO01K_H22"/>
        <s v="2dms_wmts_v1_TOPO01K_H23"/>
        <s v="2dms_wmts_v1_TOPO01K_H24"/>
        <s v="2dms_wmts_v1_TOPO01K_H25"/>
        <s v="2dms_wmts_v1_TOPO01K_H26"/>
        <s v="2dms_wmts_v1_TOPO01K_H27"/>
        <s v="2dms_wmts_v1_TOPO01K_H28"/>
        <s v="2dms_wmts_v1_TOPO01K_H29"/>
        <s v="2dms_wmts_v1_TOPO01K_H30"/>
        <s v="2dms_wmts_v1_TOPO01K_H31"/>
        <s v="2dms_wmts_v1_TOPO01K_H32"/>
        <s v="2dms_wmts_v1_TOPO01K_H33"/>
        <s v="2dms_wmts_v1_TOPO01K_H34"/>
        <s v="2dms_wmts_v1_TOPO01K_H35"/>
        <s v="2dms_wmts_v1_TOPO01K_H36"/>
        <s v="2dms_wmts_v1_TOPO01K_H37"/>
        <s v="2dms_wmts_v1_TOPO01K_H38"/>
        <s v="2dms_wmts_v1_TOPO01K_H39"/>
        <s v="2dms_wmts_v1_TOPO01K_H40"/>
        <s v="2dms_wmts_v1_TOPO01K_H44"/>
        <s v="2dms_wmts_v1_TOPO01K_J01"/>
        <s v="2dms_wmts_v1_TOPO01K_J02"/>
        <s v="2dms_wmts_v1_TOPO01K_J03"/>
        <s v="2dms_wmts_v1_TOPO01K_J04"/>
        <s v="2dms_wmts_v1_TOPO01K_J05"/>
        <s v="2dms_wmts_v1_TOPO01K_J06"/>
        <s v="2dms_wmts_v1_TOPO01K_J07"/>
        <s v="2dms_wmts_v1_TOPO01K_J08"/>
        <s v="2dms_wmts_v1_TOPO01K_J09"/>
        <s v="2dms_wmts_v1_TOPO01K_J10"/>
        <s v="2dms_wmts_v1_TOPO01K_K01"/>
        <s v="2dms_wmts_v1_TOPO01K_K02"/>
        <s v="2dms_wmts_v1_TOPO01K_K03"/>
        <s v="2dms_wmts_v1_TOPO01K_K04"/>
        <s v="2dms_wmts_v1_TOPO01K_K05"/>
        <s v="2dms_wmts_v1_TOPO01K_K06"/>
        <s v="2dms_wmts_v1_TOPO01K_K07"/>
        <s v="2dms_wmts_v1_TOPO01K_K08"/>
        <s v="2dms_wmts_v1_TOPO01K_K09"/>
        <s v="2dms_wmts_v1_TOPO01K_K10"/>
        <s v="2dms_wmts_v1_TOPO01K_K11"/>
        <s v="2dms_wmts_v1_TOPO01K_K12"/>
        <s v="2dms_wmts_v1_TOPO01K_K13"/>
        <s v="2dms_wmts_v1_TOPO01K_K14"/>
        <s v="2dms_wmts_v1_TOPO01K_K15"/>
        <s v="2dms_wmts_v1_TOPO01K_K16"/>
        <s v="2dms_wmts_v1_TOPO01K_K17"/>
        <s v="2dms_wmts_v1_TOPO01K_K18"/>
        <s v="2dms_wmts_v1_TOPO01K_M01"/>
        <s v="2dms_wmts_v1_TOPO01K_M02"/>
        <s v="2dms_wmts_v1_TOPO01K_M03"/>
        <s v="2dms_wmts_v1_TOPO01K_M04"/>
        <s v="2dms_wmts_v1_TOPO01K_M05"/>
        <s v="2dms_wmts_v1_TOPO01K_M06"/>
        <s v="2dms_wmts_v1_TOPO01K_M07"/>
        <s v="2dms_wmts_v1_TOPO01K_M08"/>
        <s v="2dms_wmts_v1_TOPO01K_M09"/>
        <s v="2dms_wmts_v1_TOPO01K_M10"/>
        <s v="2dms_wmts_v1_TOPO01K_M11"/>
        <s v="2dms_wmts_v1_TOPO01K_M12"/>
        <s v="2dms_wmts_v1_TOPO01K_M13"/>
        <s v="2dms_wmts_v1_TOPO01K_M14"/>
        <s v="2dms_wmts_v1_TOPO01K_M15"/>
        <s v="2dms_wmts_v1_TOPO01K_M16"/>
        <s v="2dms_wmts_v1_TOPO01K_M17"/>
        <s v="2dms_wmts_v1_TOPO01K_M18"/>
        <s v="2dms_wmts_v1_TOPO01K_M19"/>
        <s v="2dms_wmts_v1_TOPO01K_M20"/>
        <s v="2dms_wmts_v1_TOPO01K_M21"/>
        <s v="2dms_wmts_v1_TOPO01K_M22"/>
        <s v="2dms_wmts_v1_TOPO01K_N01"/>
        <s v="2dms_wmts_v1_TOPO01K_N02"/>
        <s v="2dms_wmts_v1_TOPO01K_N03"/>
        <s v="2dms_wmts_v1_TOPO01K_N04"/>
        <s v="2dms_wmts_v1_TOPO01K_N05"/>
        <s v="2dms_wmts_v1_TOPO01K_N06"/>
        <s v="2dms_wmts_v1_TOPO01K_N07"/>
        <s v="2dms_wmts_v1_TOPO01K_N08"/>
        <s v="2dms_wmts_v1_TOPO01K_N09"/>
        <s v="2dms_wmts_v1_TOPO01K_N10"/>
        <s v="2dms_wmts_v1_TOPO01K_N11"/>
        <s v="2dms_wmts_v1_TOPO01K_N12"/>
        <s v="2dms_wmts_v1_TOPO01K_N13"/>
        <s v="2dms_wmts_v1_TOPO01K_N14"/>
        <s v="2dms_wmts_v1_TOPO01K_N15"/>
        <s v="2dms_wmts_v1_TOPO01K_N16"/>
        <s v="2dms_wmts_v1_TOPO01K_N17"/>
        <s v="2dms_wmts_v1_TOPO01K_N18"/>
        <s v="2dms_wmts_v1_TOPO01K_N19"/>
        <s v="2dms_wmts_v1_TOPO01K_N20"/>
        <s v="2dms_wmts_v1_TOPO01K_N21"/>
        <s v="2dms_wmts_v1_TOPO01K_N22"/>
        <s v="2dms_wmts_v1_TOPO01K_N23"/>
        <s v="2dms_wmts_v1_TOPO01K_N24"/>
        <s v="2dms_wmts_v1_TOPO01K_N25"/>
        <s v="2dms_wmts_v1_TOPO01K_N26"/>
        <s v="2dms_wmts_v1_TOPO01K_N27"/>
        <s v="2dms_wmts_v1_TOPO01K_N28"/>
        <s v="2dms_wmts_v1_TOPO01K_N29"/>
        <s v="2dms_wmts_v1_TOPO01K_N30"/>
        <s v="2dms_wmts_v1_TOPO01K_N31"/>
        <s v="2dms_wmts_v1_TOPO01K_N32"/>
        <s v="2dms_wmts_v1_TOPO01K_N33"/>
        <s v="2dms_wmts_v1_TOPO01K_N34"/>
        <s v="2dms_wmts_v1_TOPO01K_N35"/>
        <s v="2dms_wmts_v1_TOPO01K_O01"/>
        <s v="2dms_wmts_v1_TOPO01K_O03"/>
        <s v="2dms_wmts_v1_TOPO01K_O04"/>
        <s v="2dms_wmts_v1_TOPO01K_O05"/>
        <s v="2dms_wmts_v1_TOPO01K_O06"/>
        <s v="2dms_wmts_v1_TOPO01K_O07"/>
        <s v="2dms_wmts_v1_TOPO01K_O08"/>
        <s v="2dms_wmts_v1_TOPO01K_P01"/>
        <s v="2dms_wmts_v1_TOPO01K_P02"/>
        <s v="2dms_wmts_v1_TOPO01K_P03"/>
        <s v="2dms_wmts_v1_TOPO01K_P04"/>
        <s v="2dms_wmts_v1_TOPO01K_P05"/>
        <s v="2dms_wmts_v1_TOPO01K_P06"/>
        <s v="2dms_wmts_v1_TOPO01K_P07"/>
        <s v="2dms_wmts_v1_TOPO01K_P08"/>
        <s v="2dms_wmts_v1_TOPO01K_P09"/>
        <s v="2dms_wmts_v1_TOPO01K_P10"/>
        <s v="2dms_wmts_v1_TOPO01K_P11"/>
        <s v="2dms_wmts_v1_TOPO01K_P12"/>
        <s v="2dms_wmts_v1_TOPO01K_P13"/>
        <s v="2dms_wmts_v1_TOPO01K_P14"/>
        <s v="2dms_wmts_v1_TOPO01K_P15"/>
        <s v="2dms_wmts_v1_TOPO01K_Q01"/>
        <s v="2dms_wmts_v1_TOPO01K_Q02"/>
        <s v="2dms_wmts_v1_TOPO01K_Q03"/>
        <s v="2dms_wmts_v1_TOPO01K_Q04"/>
        <s v="2dms_wmts_v1_TOPO01K_Q05"/>
        <s v="2dms_wmts_v1_TOPO01K_Q06"/>
        <s v="2dms_wmts_v1_TOPO01K_Q07"/>
        <s v="2dms_wmts_v1_TOPO01K_Q08"/>
        <s v="2dms_wmts_v1_TOPO01K_Q09"/>
        <s v="2dms_wmts_v1_TOPO01K_Q10"/>
        <s v="2dms_wmts_v1_TOPO01K_Q11"/>
        <s v="2dms_wmts_v1_TOPO01K_Q12"/>
        <s v="2dms_wmts_v1_TOPO01K_Q13"/>
        <s v="2dms_wmts_v1_TOPO01K_Q14"/>
        <s v="2dms_wmts_v1_TOPO01K_Q15"/>
        <s v="2dms_wmts_v1_TOPO01K_Q16"/>
        <s v="2dms_wmts_v1_TOPO01K_Q17"/>
        <s v="2dms_wmts_v1_TOPO01K_Q18"/>
        <s v="2dms_wmts_v1_TOPO01K_Q19"/>
        <s v="2dms_wmts_v1_TOPO01K_Q20"/>
        <s v="2dms_wmts_v1_TOPO01K_Q21"/>
        <s v="2dms_wmts_v1_TOPO01K_Q22"/>
        <s v="2dms_wmts_v1_TOPO01K_Q23"/>
        <s v="2dms_wmts_v1_TOPO01K_Q24"/>
        <s v="2dms_wmts_v1_TOPO01K_Q25"/>
        <s v="2dms_wmts_v1_TOPO01K_Q26"/>
        <s v="2dms_wmts_v1_TOPO01K_Q27"/>
        <s v="2dms_wmts_v1_TOPO01K_Q29"/>
        <s v="2dms_wmts_v1_TOPO01K_T01"/>
        <s v="2dms_wmts_v1_TOPO01K_T02"/>
        <s v="2dms_wmts_v1_TOPO01K_T03"/>
        <s v="2dms_wmts_v1_TOPO01K_T04"/>
        <s v="2dms_wmts_v1_TOPO01K_T05"/>
        <s v="2dms_wmts_v1_TOPO01K_T06"/>
        <s v="2dms_wmts_v1_TOPO01K_T07"/>
        <s v="2dms_wmts_v1_TOPO01K_T08"/>
        <s v="2dms_wmts_v1_TOPO01K_T09"/>
        <s v="2dms_wmts_v1_TOPO01K_T10"/>
        <s v="2dms_wmts_v1_TOPO01K_T11"/>
        <s v="2dms_wmts_v1_TOPO01K_T12"/>
        <s v="2dms_wmts_v1_TOPO01K_T13"/>
        <s v="2dms_wmts_v1_TOPO01K_T14"/>
        <s v="2dms_wmts_v1_TOPO01K_T15"/>
        <s v="2dms_wmts_v1_TOPO01K_T16"/>
        <s v="2dms_wmts_v1_TOPO01K_T17"/>
        <s v="2dms_wmts_v1_TOPO01K_T18"/>
        <s v="2dms_wmts_v1_TOPO01K_T19"/>
        <s v="2dms_wmts_v1_TOPO01K_T20"/>
        <s v="2dms_wmts_v1_TOPO01K_T21"/>
        <s v="2dms_wmts_v1_TOPO01K_T22"/>
        <s v="2dms_wmts_v1_TOPO01K_T23"/>
        <s v="2dms_wmts_v1_TOPO01K_T24"/>
        <s v="2dms_wmts_v1_TOPO01K_T25"/>
        <s v="2dms_wmts_v1_TOPO01K_T26"/>
        <s v="2dms_wmts_v1_TOPO01K_T27"/>
        <s v="2dms_wmts_v1_TOPO01K_T28"/>
        <s v="2dms_wmts_v1_TOPO01K_T29"/>
        <s v="2dms_wmts_v1_TOPO01K_T30"/>
        <s v="2dms_wmts_v1_TOPO01K_T31"/>
        <s v="2dms_wmts_v1_TOPO01K_T32"/>
        <s v="2dms_wmts_v1_TOPO01K_U01"/>
        <s v="2dms_wmts_v1_TOPO01K_U02"/>
        <s v="2dms_wmts_v1_TOPO01K_U03"/>
        <s v="2dms_wmts_v1_TOPO01K_U04"/>
        <s v="2dms_wmts_v1_TOPO01K_U05"/>
        <s v="2dms_wmts_v1_TOPO01K_U06"/>
        <s v="2dms_wmts_v1_TOPO01K_U07"/>
        <s v="2dms_wmts_v1_TOPO01K_U08"/>
        <s v="2dms_wmts_v1_TOPO01K_U09"/>
        <s v="2dms_wmts_v1_TOPO01K_U10"/>
        <s v="2dms_wmts_v1_TOPO01K_U11"/>
        <s v="2dms_wmts_v1_TOPO01K_U12"/>
        <s v="2dms_wmts_v1_TOPO01K_U13"/>
        <s v="2dms_wmts_v1_TOPO01K_U14"/>
        <s v="2dms_wmts_v1_TOPO01K_U15"/>
        <s v="2dms_wmts_v1_TOPO01K_U16"/>
        <s v="2dms_wmts_v1_TOPO01K_U17"/>
        <s v="2dms_wmts_v1_TOPO01K_U18"/>
        <s v="2dms_wmts_v1_TOPO01K_U19"/>
        <s v="2dms_wmts_v1_TOPO01K_U20"/>
        <s v="2dms_wmts_v1_TOPO01K_U21"/>
        <s v="2dms_wmts_v1_TOPO01K_U22"/>
        <s v="2dms_wmts_v1_TOPO01K_U23"/>
        <s v="2dms_wmts_v1_TOPO01K_U24"/>
        <s v="2dms_wmts_v1_TOPO01K_U25"/>
        <s v="2dms_wmts_v1_TOPO01K_U26"/>
        <s v="2dms_wmts_v1_TOPO01K_V01"/>
        <s v="2dms_wmts_v1_TOPO01K_V02"/>
        <s v="2dms_wmts_v1_TOPO01K_V03"/>
        <s v="2dms_wmts_v1_TOPO01K_V04"/>
        <s v="2dms_wmts_v1_TOPO01K_V05"/>
        <s v="2dms_wmts_v1_TOPO01K_V06"/>
        <s v="2dms_wmts_v1_TOPO01K_V07"/>
        <s v="2dms_wmts_v1_TOPO01K_V08"/>
        <s v="2dms_wmts_v1_TOPO01K_V09"/>
        <s v="2dms_wmts_v1_TOPO01K_V10"/>
        <s v="2dms_wmts_v1_TOPO01K_V11"/>
        <s v="2dms_wmts_v1_TOPO01K_V12"/>
        <s v="2dms_wmts_v1_TOPO01K_V13"/>
        <s v="2dms_wmts_v1_TOPO01K_V14"/>
        <s v="2dms_wmts_v1_TOPO01K_V15"/>
        <s v="2dms_wmts_v1_TOPO01K_V16"/>
        <s v="2dms_wmts_v1_TOPO01K_V17"/>
        <s v="2dms_wmts_v1_TOPO01K_V18"/>
        <s v="2dms_wmts_v1_TOPO01K_V19"/>
        <s v="2dms_wmts_v1_TOPO01K_V20"/>
        <s v="2dms_wmts_v1_TOPO01K_W01"/>
        <s v="2dms_wmts_v1_TOPO01K_W02"/>
        <s v="2dms_wmts_v1_TOPO01K_X01"/>
        <s v="2dms_wmts_v1_TOPO01K_X02"/>
        <s v="2dms_wmts_v1_TOPO01K_X03"/>
        <s v="2dms_wmts_v1_TOPO01K_X04"/>
        <s v="2dms_wmts_v1_TOPO01K_X05"/>
        <s v="2dms_wmts_v1_TOPO01K_X06"/>
        <s v="2dms_wmts_v1_TOPO01K_X07"/>
        <s v="2dms_wmts_v1_TOPO01K_X08"/>
        <s v="2dms_wmts_v1_TOPO01K_Z01"/>
        <s v="2dms_wmts_v1_TOPO05K100"/>
        <s v="2dms_wmts_v1_TOPO05K101"/>
        <s v="2dms_wmts_v1_TOPO05K102"/>
        <s v="2dms_wmts_v1_TOPO05K103"/>
        <s v="2dms_wmts_v1_TOPO05K104"/>
        <s v="2dms_wmts_v1_TOPO05K105"/>
        <s v="2dms_wmts_v1_TOPO05K106"/>
        <s v="2dms_wmts_v1_TOPO05K107"/>
        <s v="2dms_wmts_v1_TOPO05K108"/>
        <s v="2dms_wmts_v1_TOPO05K109"/>
        <s v="2dms_wmts_v1_TOPO05K110"/>
        <s v="2dms_wmts_v1_TOPO05K111"/>
        <s v="2dms_wmts_v1_TOPO05K84"/>
        <s v="2dms_wmts_v1_TOPO05K86"/>
        <s v="2dms_wmts_v1_TOPO05K87"/>
        <s v="2dms_wmts_v1_TOPO05K88"/>
        <s v="2dms_wmts_v1_TOPO05K90"/>
        <s v="2dms_wmts_v1_TOPO05K91"/>
        <s v="2dms_wmts_v1_TOPO05K92"/>
        <s v="2dms_wmts_v1_TOPO05K96"/>
        <s v="2dms_wmts_v1_TOPO05K98"/>
        <s v="2dms_wmts_v1_TOPO05K99"/>
        <s v="2dms_wmts_v1_TOPO05KPHOTO065"/>
        <s v="2dms_wmts_v1_TOPO05KPHOTO066"/>
        <s v="2dms_wmts_v1_TOPO05KPHOTO067"/>
        <s v="2dms_wmts_v1_TOPO05KPHOTO068"/>
        <s v="2dms_wmts_v1_TOPO05KPHOTO069"/>
        <s v="2dms_wmts_v1_TOPO05KPHOTO070"/>
        <s v="2dms_wmts_v1_TOPO05KPHOTO071"/>
        <s v="2dms_wmts_v1_TOPO05KPHOTO072"/>
        <s v="2dms_wmts_v1_TOPO05KPHOTO073"/>
        <s v="2dms_wmts_v1_TOPO05KPHOTO074"/>
        <s v="2dms_wmts_v1_TOPO05KPHOTO075"/>
        <s v="2dms_wmts_v1_TOPO05KPHOTO076"/>
        <s v="2dms_wmts_v1_TOPO05KPHOTO078"/>
        <s v="2dms_wmts_v1_TOPO05KPHOTO079"/>
        <s v="2dms_wmts_v1_TOPO05KPHOTO080"/>
        <s v="2dms_wmts_v1_TOPO05KPHOTO081"/>
        <s v="2dms_wmts_v1_TOPO05KPHOTO083"/>
        <s v="2dms_wmts_v1_TOPO05KPHOTO084"/>
        <s v="2dms_wmts_v1_TOPO05KPHOTO086"/>
        <s v="2dms_wmts_v1_TOPO05KPHOTO087"/>
        <s v="2dms_wmts_v1_TOPO05KPHOTO088"/>
        <s v="2dms_wmts_v1_TOPO05KPHOTO089"/>
        <s v="2dms_wmts_v1_TOPO05KPHOTO090"/>
        <s v="2dms_wmts_v1_TOPO05KPHOTO091"/>
        <s v="2dms_wmts_v1_TOPO05KPHOTO092"/>
        <s v="2dms_wmts_v1_TOPO05KPHOTO093"/>
        <s v="2dms_wmts_v1_TOPO05KPHOTO094"/>
        <s v="2dms_wmts_v1_TOPO05KPHOTO095"/>
        <s v="2dms_wmts_v1_TOPO05KPHOTO096"/>
        <s v="2dms_wmts_v1_TOPO05KPHOTO097"/>
        <s v="2dms_wmts_v1_TOPO05KPHOTO098"/>
        <s v="2dms_wmts_v1_TOPO05KPHOTO099"/>
        <s v="2dms_wmts_v1_TOPO05KPHOTO100"/>
        <s v="2dms_wmts_v1_TOPO05KPHOTO101"/>
        <s v="2dms_wmts_v1_TOPO05KPHOTO102"/>
        <s v="2dms_wmts_v1_TOPO05KPHOTO103"/>
        <s v="2dms_wmts_v1_TOPO05KPHOTO104"/>
        <s v="2dms_wmts_v1_TOPO05KPHOTO105"/>
        <s v="2dms_wmts_v1_TOPO05KPHOTO106"/>
        <s v="2dms_wmts_v1_TOPO05KPHOTO107"/>
        <s v="2dms_wmts_v1_TOPO05KPHOTO108"/>
        <s v="2dms_wmts_v1_TOPO05KPHOTO109"/>
        <s v="2dms_wmts_v1_TOPO05KPHOTO110"/>
        <s v="2dms_wmts_v1_TOPO05KPHOTO111"/>
        <s v="2dms_wmts_v1_TOPO05KPHOTO112"/>
        <s v="2dms_wmts_v1_TOPO05KPHOTO113"/>
        <s v="2dms_wmts_v1_TOPO05KPHOTO114"/>
        <s v="2dms_wmts_v1_TOPO10KPHOTO"/>
        <s v="2dms_wmts_v1_TOPO10M107"/>
        <s v="2dms_wmts_v1_TOPO10M109"/>
        <s v="2dms_wmts_v1_TOPO10M110"/>
        <s v="2dms_wmts_v1_TOPO10M111"/>
        <s v="2dms_wmts_v1_TOPO10M112"/>
        <s v="2dms_wmts_v1_TOPO10M113"/>
        <s v="2dms_wmts_v1_TOPO10M114"/>
        <s v="2dms_wmts_v1_TOPO25K107"/>
        <s v="2dms_wmts_v1_TOPO25K108"/>
        <s v="2dms_wmts_v1_TOPO25K109"/>
        <s v="2dms_wmts_v1_TOPO25K110"/>
        <s v="2dms_wmts_v1_TOPO25K111"/>
        <s v="2dms_wmts_v1_TOPO25K112"/>
        <s v="2dms_wmts_v1_TOPO25K113"/>
        <s v="2dms_wmts_v1_TOPO25K114"/>
        <s v="2dms_wmts_v1_TOPO50K107"/>
        <s v="2dms_wmts_v1_TOPO50K109"/>
        <s v="2dms_wmts_v1_TOPO50K110"/>
        <s v="2dms_wmts_v1_TOPO50K111"/>
        <s v="2dms_wmts_v1_TOPO50K112"/>
        <s v="2dms_wmts_v1_TOPO50K113"/>
        <s v="2dms_wmts_v1_TOPON1K_B04"/>
        <s v="2dms_wmts_v1_TOPON1K_B11"/>
        <s v="2dms_wmts_v1_TOPON1K_B14"/>
        <s v="2dms_wmts_v1_TOPON1K_B15"/>
        <s v="2dms_wmts_v1_TOPON1K_B20"/>
        <s v="2dms_wmts_v1_TOPON1K_B22"/>
        <s v="2dms_wmts_v1_TOPON1K_B25"/>
        <s v="2dms_wmts_v1_TOPON1K_D03"/>
        <s v="2dms_wmts_v1_TOPON1K_D04"/>
        <s v="2dms_wmts_v1_TOPON1K_D05"/>
        <s v="2dms_wmts_v1_TOPON1K_D08"/>
        <s v="2dms_wmts_v1_TOPON1K_D12"/>
        <s v="2dms_wmts_v1_TOPON1K_E02"/>
        <s v="2dms_wmts_v1_TOPON1K_E03"/>
        <s v="2dms_wmts_v1_TOPON1K_E32"/>
        <s v="2dms_wmts_v1_TOPON1K_G01"/>
        <s v="2dms_wmts_v1_TOPON1K_G04"/>
        <s v="2dms_wmts_v1_TOPON1K_G06"/>
        <s v="2dms_wmts_v1_TOPON1K_G09"/>
        <s v="2dms_wmts_v1_TOPON1K_G11"/>
        <s v="2dms_wmts_v1_TOPON1K_G15"/>
        <s v="2dms_wmts_v1_TOPON1K_G16"/>
        <s v="2dms_wmts_v1_TOPON1K_G17"/>
        <s v="2dms_wmts_v1_TOPON1K_G18"/>
        <s v="2dms_wmts_v1_TOPON1K_G19"/>
        <s v="2dms_wmts_v1_TOPON1K_G20"/>
        <s v="2dms_wmts_v1_TOPON1K_H18"/>
        <s v="2dms_wmts_v1_TOPON1K_H19"/>
        <s v="2dms_wmts_v1_TOPON1K_H20"/>
        <s v="2dms_wmts_v1_TOPON1K_H21"/>
        <s v="2dms_wmts_v1_TOPON1K_H31"/>
        <s v="2dms_wmts_v1_TOPON1K_J01"/>
        <s v="2dms_wmts_v1_TOPON1K_J06"/>
        <s v="2dms_wmts_v1_TOPON1K_J13"/>
        <s v="2dms_wmts_v1_TOPON1K_J16"/>
        <s v="2dms_wmts_v1_TOPON1K_J17"/>
        <s v="2dms_wmts_v1_TOPON1K_K01"/>
        <s v="2dms_wmts_v1_TOPON1K_K02"/>
        <s v="2dms_wmts_v1_TOPON1K_K14"/>
        <s v="2dms_wmts_v1_TOPON1K_M01"/>
        <s v="2dms_wmts_v1_TOPON1K_M02"/>
        <s v="2dms_wmts_v1_TOPON1K_M04"/>
        <s v="2dms_wmts_v1_TOPON1K_N01"/>
        <s v="2dms_wmts_v1_TOPON1K_N02"/>
        <s v="2dms_wmts_v1_TOPON1K_P01"/>
        <s v="2dms_wmts_v1_TOPON1K_P10"/>
        <s v="2dms_wmts_v1_TOPON1K_P12"/>
        <s v="2dms_wmts_v1_TOPON1K_P13"/>
        <s v="2dms_wmts_v1_TOPON1K_P22"/>
        <s v="2dms_wmts_v1_TOPON1K_P24"/>
        <s v="2dms_wmts_v1_TOPON1K_P25"/>
        <s v="2dms_wmts_v1_TOPON1K_Q02"/>
        <s v="2dms_wmts_v1_TOPON1K_Q06"/>
        <s v="2dms_wmts_v1_TOPON1K_Q07"/>
        <s v="2dms_wmts_v1_TOPON1K_Q19"/>
        <s v="2dms_wmts_v1_TOPON1K_Q21"/>
        <s v="2dms_wmts_v1_TOPON1K_Q22"/>
        <s v="2dms_wmts_v1_TOPON1K_Q26"/>
        <s v="2dms_wmts_v1_TOPON1K_Q27"/>
        <s v="2dms_wmts_v1_TOPON1K_Q28"/>
        <s v="2dms_wmts_v1_TOPON1K_Q29"/>
        <s v="2dms_wmts_v1_TOPON1K_Q30"/>
        <s v="2dms_wmts_v1_TOPON1K_Q31"/>
        <s v="2dms_wmts_v1_TOPON1K_T01"/>
        <s v="2dms_wmts_v1_TOPON1K_T03"/>
        <s v="2dms_wmts_v1_TOPON1K_T08"/>
        <s v="2dms_wmts_v1_TOPON1K_T20"/>
        <s v="2dms_wmts_v1_TOPON1K_T30"/>
        <s v="2dms_wmts_v1_TOPON1K_U20"/>
        <s v="2dms_wmts_v1_TOPON1K_V01"/>
        <s v="2dms_wmts_v1_TOPON1K_V02"/>
        <s v="2dms_wmts_v1_TOPON1K_X01"/>
        <s v="2dms_wmts_v1_TOPON1K_X02"/>
        <s v="2dms_wmts_v1_TOPON1K_X03"/>
        <s v="2dms_wmts_v1_TOPON1K_X04"/>
        <s v="2dms_wmts_v1_TOPON1K_X05"/>
        <s v="2dms_wmts_v1_TOPON1K_X06"/>
        <s v="2dms_wmts_v1_TOPON1K_X07"/>
        <s v="2dms_wmts_v1_TOPON1K_X08"/>
        <s v="2dms_wmts_v1_TOPON1KPHOTO_B04"/>
        <s v="2dms_wmts_v1_TOPON1KPHOTO_B11"/>
        <s v="2dms_wmts_v1_TOPON1KPHOTO_B14"/>
        <s v="2dms_wmts_v1_TOPON1KPHOTO_B15"/>
        <s v="2dms_wmts_v1_TOPON1KPHOTO_B20"/>
        <s v="2dms_wmts_v1_TOPON1KPHOTO_B22"/>
        <s v="2dms_wmts_v1_TOPON1KPHOTO_B25"/>
        <s v="2dms_wmts_v1_TOPON1KPHOTO_D03"/>
        <s v="2dms_wmts_v1_TOPON1KPHOTO_D04"/>
        <s v="2dms_wmts_v1_TOPON1KPHOTO_D05"/>
        <s v="2dms_wmts_v1_TOPON1KPHOTO_D08"/>
        <s v="2dms_wmts_v1_TOPON1KPHOTO_D12"/>
        <s v="2dms_wmts_v1_TOPON1KPHOTO_E02"/>
        <s v="2dms_wmts_v1_TOPON1KPHOTO_E03"/>
        <s v="2dms_wmts_v1_TOPON1KPHOTO_E32"/>
        <s v="2dms_wmts_v1_TOPON1KPHOTO_G01"/>
        <s v="2dms_wmts_v1_TOPON1KPHOTO_G04"/>
        <s v="2dms_wmts_v1_TOPON1KPHOTO_G06"/>
        <s v="2dms_wmts_v1_TOPON1KPHOTO_G09"/>
        <s v="2dms_wmts_v1_TOPON1KPHOTO_G11"/>
        <s v="2dms_wmts_v1_TOPON1KPHOTO_G15"/>
        <s v="2dms_wmts_v1_TOPON1KPHOTO_G16"/>
        <s v="2dms_wmts_v1_TOPON1KPHOTO_G17"/>
        <s v="2dms_wmts_v1_TOPON1KPHOTO_G18"/>
        <s v="2dms_wmts_v1_TOPON1KPHOTO_G19"/>
        <s v="2dms_wmts_v1_TOPON1KPHOTO_G20"/>
        <s v="2dms_wmts_v1_TOPON1KPHOTO_H18"/>
        <s v="2dms_wmts_v1_TOPON1KPHOTO_H19"/>
        <s v="2dms_wmts_v1_TOPON1KPHOTO_H20"/>
        <s v="2dms_wmts_v1_TOPON1KPHOTO_H21"/>
        <s v="2dms_wmts_v1_TOPON1KPHOTO_H31"/>
        <s v="2dms_wmts_v1_TOPON1KPHOTO_J01"/>
        <s v="2dms_wmts_v1_TOPON1KPHOTO_J06"/>
        <s v="2dms_wmts_v1_TOPON1KPHOTO_J13"/>
        <s v="2dms_wmts_v1_TOPON1KPHOTO_J16"/>
        <s v="2dms_wmts_v1_TOPON1KPHOTO_J17"/>
        <s v="2dms_wmts_v1_TOPON1KPHOTO_K01"/>
        <s v="2dms_wmts_v1_TOPON1KPHOTO_K02"/>
        <s v="2dms_wmts_v1_TOPON1KPHOTO_K14"/>
        <s v="2dms_wmts_v1_TOPON1KPHOTO_M01"/>
        <s v="2dms_wmts_v1_TOPON1KPHOTO_M02"/>
        <s v="2dms_wmts_v1_TOPON1KPHOTO_M04"/>
        <s v="2dms_wmts_v1_TOPON1KPHOTO_N01"/>
        <s v="2dms_wmts_v1_TOPON1KPHOTO_N02"/>
        <s v="2dms_wmts_v1_TOPON1KPHOTO_P01"/>
        <s v="2dms_wmts_v1_TOPON1KPHOTO_P10"/>
        <s v="2dms_wmts_v1_TOPON1KPHOTO_P12"/>
        <s v="2dms_wmts_v1_TOPON1KPHOTO_P13"/>
        <s v="2dms_wmts_v1_TOPON1KPHOTO_P22"/>
        <s v="2dms_wmts_v1_TOPON1KPHOTO_P24"/>
        <s v="2dms_wmts_v1_TOPON1KPHOTO_P25"/>
        <s v="2dms_wmts_v1_TOPON1KPHOTO_Q02"/>
        <s v="2dms_wmts_v1_TOPON1KPHOTO_Q06"/>
        <s v="2dms_wmts_v1_TOPON1KPHOTO_Q07"/>
        <s v="2dms_wmts_v1_TOPON1KPHOTO_Q19"/>
        <s v="2dms_wmts_v1_TOPON1KPHOTO_Q21"/>
        <s v="2dms_wmts_v1_TOPON1KPHOTO_Q22"/>
        <s v="2dms_wmts_v1_TOPON1KPHOTO_Q26"/>
        <s v="2dms_wmts_v1_TOPON1KPHOTO_Q27"/>
        <s v="2dms_wmts_v1_TOPON1KPHOTO_Q28"/>
        <s v="2dms_wmts_v1_TOPON1KPHOTO_Q29"/>
        <s v="2dms_wmts_v1_TOPON1KPHOTO_Q30"/>
        <s v="2dms_wmts_v1_TOPON1KPHOTO_Q31"/>
        <s v="2dms_wmts_v1_TOPON1KPHOTO_T01"/>
        <s v="2dms_wmts_v1_TOPON1KPHOTO_T03"/>
        <s v="2dms_wmts_v1_TOPON1KPHOTO_T08"/>
        <s v="2dms_wmts_v1_TOPON1KPHOTO_T20"/>
        <s v="2dms_wmts_v1_TOPON1KPHOTO_T30"/>
        <s v="2dms_wmts_v1_TOPON1KPHOTO_U20"/>
        <s v="2dms_wmts_v1_TOPON1KPHOTO_V01"/>
        <s v="2dms_wmts_v1_TOPON1KPHOTO_V02"/>
        <s v="2dms_wmts_v1_TOPON1KPHOTO_X01"/>
        <s v="2dms_wmts_v1_TOPON1KPHOTO_X02"/>
        <s v="2dms_wmts_v1_TOPON1KPHOTO_X03"/>
        <s v="2dms_wmts_v1_TOPON1KPHOTO_X04"/>
        <s v="2dms_wmts_v1_TOPON1KPHOTO_X05"/>
        <s v="2dms_wmts_v1_TOPON1KPHOTO_X06"/>
        <s v="2dms_wmts_v1_TOPON1KPHOTO_X07"/>
        <s v="2dms_wmts_v1_TOPON1KPHOTO_X08"/>
        <s v="2dms_wmts_v1_TOWN"/>
        <s v="2dms_wmts_v1_UAV101D01"/>
        <s v="2dms_wmts_v1_UAV101D02"/>
        <s v="2dms_wmts_v1_UAV101K01"/>
        <s v="2dms_wmts_v1_UAV101K02"/>
        <s v="2dms_wmts_v1_UAV101Q01"/>
        <s v="2dms_wmts_v1_UAV101T01"/>
        <s v="2dms_wmts_v1_UAV101U01"/>
        <s v="2dms_wmts_v1_UAV101U02"/>
        <s v="2dms_wmts_v1_UAV101V01"/>
        <s v="2dms_wmts_v1_UAV102D01"/>
        <s v="2dms_wmts_v1_UAV102D02"/>
        <s v="2dms_wmts_v1_UAV102D03"/>
        <s v="2dms_wmts_v1_UAV102H01"/>
        <s v="2dms_wmts_v1_UAV102M01"/>
        <s v="2dms_wmts_v1_UAV102N01"/>
        <s v="2dms_wmts_v1_UAV102Q01"/>
        <s v="2dms_wmts_v1_UAV102Q02"/>
        <s v="2dms_wmts_v1_UAV102T01"/>
        <s v="2dms_wmts_v1_UAV102T02"/>
        <s v="2dms_wmts_v1_UAV102V01"/>
        <s v="2dms_wmts_v1_UAV103D01"/>
        <s v="2dms_wmts_v1_UAV103D03"/>
        <s v="2dms_wmts_v1_UAV103D04"/>
        <s v="2dms_wmts_v1_UAV103H01"/>
        <s v="2dms_wmts_v1_UAV103K01"/>
        <s v="2dms_wmts_v1_UAV103M01"/>
        <s v="2dms_wmts_v1_UAV103M02"/>
        <s v="2dms_wmts_v1_UAV103M03"/>
        <s v="2dms_wmts_v1_UAV103M04"/>
        <s v="2dms_wmts_v1_UAV103N01"/>
        <s v="2dms_wmts_v1_UAV103P01"/>
        <s v="2dms_wmts_v1_UAV103Q01"/>
        <s v="2dms_wmts_v1_UAV103T01"/>
        <s v="2dms_wmts_v1_UAV104D02"/>
        <s v="2dms_wmts_v1_UAV104D03"/>
        <s v="2dms_wmts_v1_UAV104D04"/>
        <s v="2dms_wmts_v1_UAV104E01"/>
        <s v="2dms_wmts_v1_UAV104E02"/>
        <s v="2dms_wmts_v1_UAV104E03"/>
        <s v="2dms_wmts_v1_UAV104K01"/>
        <s v="2dms_wmts_v1_UAV104K02"/>
        <s v="2dms_wmts_v1_UAV104N01"/>
        <s v="2dms_wmts_v1_UAV104P01"/>
        <s v="2dms_wmts_v1_UAV104T01"/>
        <s v="2dms_wmts_v1_UAV105A01"/>
        <s v="2dms_wmts_v1_UAV105A02"/>
        <s v="2dms_wmts_v1_UAV105A03"/>
        <s v="2dms_wmts_v1_UAV105B01"/>
        <s v="2dms_wmts_v1_UAV105B02"/>
        <s v="2dms_wmts_v1_UAV105B03"/>
        <s v="2dms_wmts_v1_UAV105B04"/>
        <s v="2dms_wmts_v1_UAV105B05"/>
        <s v="2dms_wmts_v1_UAV105B06"/>
        <s v="2dms_wmts_v1_UAV105B07"/>
        <s v="2dms_wmts_v1_UAV105B08"/>
        <s v="2dms_wmts_v1_UAV105B09"/>
        <s v="2dms_wmts_v1_UAV105B10"/>
        <s v="2dms_wmts_v1_UAV105B11"/>
        <s v="2dms_wmts_v1_UAV105B12"/>
        <s v="2dms_wmts_v1_UAV105B13"/>
        <s v="2dms_wmts_v1_UAV105B14"/>
        <s v="2dms_wmts_v1_UAV105B15"/>
        <s v="2dms_wmts_v1_UAV105H01"/>
        <s v="2dms_wmts_v1_UAV105H02"/>
        <s v="2dms_wmts_v1_UAV105H03"/>
        <s v="2dms_wmts_v1_UAV105H04"/>
        <s v="2dms_wmts_v1_UAV105M01"/>
        <s v="2dms_wmts_v1_UAV105M02"/>
        <s v="2dms_wmts_v1_UAV105N01"/>
        <s v="2dms_wmts_v1_UAV105O01"/>
        <s v="2dms_wmts_v1_UAV105P01"/>
        <s v="2dms_wmts_v1_UAV105P02"/>
        <s v="2dms_wmts_v1_UAV105P03"/>
        <s v="2dms_wmts_v1_UAV105U01"/>
        <s v="2dms_wmts_v1_UAV106A01"/>
        <s v="2dms_wmts_v1_UAV106A02"/>
        <s v="2dms_wmts_v1_UAV106A03"/>
        <s v="2dms_wmts_v1_UAV106D01"/>
        <s v="2dms_wmts_v1_UAV106D02"/>
        <s v="2dms_wmts_v1_UAV106D03"/>
        <s v="2dms_wmts_v1_UAV106F01"/>
        <s v="2dms_wmts_v1_UAV106F02"/>
        <s v="2dms_wmts_v1_UAV106H01"/>
        <s v="2dms_wmts_v1_UAV106H02"/>
        <s v="2dms_wmts_v1_UAV106H03"/>
        <s v="2dms_wmts_v1_UAV106I01"/>
        <s v="2dms_wmts_v1_UAV106I02"/>
        <s v="2dms_wmts_v1_UAV106K01"/>
        <s v="2dms_wmts_v1_UAV106M01"/>
        <s v="2dms_wmts_v1_UAV106N01"/>
        <s v="2dms_wmts_v1_UAV106O01"/>
        <s v="2dms_wmts_v1_UAV106P01"/>
        <s v="2dms_wmts_v1_UAV106U01"/>
        <s v="2dms_wmts_v1_UAV107A01"/>
        <s v="2dms_wmts_v1_UAV107A02"/>
        <s v="2dms_wmts_v1_UAV107A03"/>
        <s v="2dms_wmts_v1_UAV107B01"/>
        <s v="2dms_wmts_v1_UAV107B02"/>
        <s v="2dms_wmts_v1_UAV107D01"/>
        <s v="2dms_wmts_v1_UAV107F01"/>
        <s v="2dms_wmts_v1_UAV107G01"/>
        <s v="2dms_wmts_v1_UAV107J01"/>
        <s v="2dms_wmts_v1_UAV107J02"/>
        <s v="2dms_wmts_v1_UAV107K01"/>
        <s v="2dms_wmts_v1_UAV107K02"/>
        <s v="2dms_wmts_v1_UAV107O01"/>
        <s v="2dms_wmts_v1_UAV107T01"/>
        <s v="2dms_wmts_v1_UAV107T02"/>
        <s v="2dms_wmts_v1_UAV108A01"/>
        <s v="2dms_wmts_v1_UAV108A02"/>
        <s v="2dms_wmts_v1_UAV108A03"/>
        <s v="2dms_wmts_v1_UAV108B01"/>
        <s v="2dms_wmts_v1_UAV108D01"/>
        <s v="2dms_wmts_v1_UAV108D02"/>
        <s v="2dms_wmts_v1_UAV108D03"/>
        <s v="2dms_wmts_v1_UAV108D04"/>
        <s v="2dms_wmts_v1_UAV108D05"/>
        <s v="2dms_wmts_v1_UAV108E01"/>
        <s v="2dms_wmts_v1_UAV108G01"/>
        <s v="2dms_wmts_v1_UAV108Q01"/>
        <s v="2dms_wmts_v1_UAV108Q02"/>
        <s v="2dms_wmts_v1_UAV109A01"/>
        <s v="2dms_wmts_v1_UAV109B01"/>
        <s v="2dms_wmts_v1_UAV109D01"/>
        <s v="2dms_wmts_v1_UAV109E01"/>
        <s v="2dms_wmts_v1_UAV109K01"/>
        <s v="2dms_wmts_v1_UAV109K02"/>
        <s v="2dms_wmts_v1_UAV109P01"/>
        <s v="2dms_wmts_v1_UAV109Q01"/>
        <s v="2dms_wmts_v1_UAV109T01"/>
        <s v="2dms_wmts_v1_UAV109T02"/>
        <s v="2dms_wmts_v1_UAV109T03"/>
        <s v="2dms_wmts_v1_UAV109U01"/>
        <s v="2dms_wmts_v1_UAV109U02"/>
        <s v="2dms_wmts_v1_UAV109U03"/>
        <s v="2dms_wmts_v1_UAV110A01"/>
        <s v="2dms_wmts_v1_UAV110B01"/>
        <s v="2dms_wmts_v1_UAV110B02"/>
        <s v="2dms_wmts_v1_UAV110B03"/>
        <s v="2dms_wmts_v1_UAV110D01"/>
        <s v="2dms_wmts_v1_UAV110D02"/>
        <s v="2dms_wmts_v1_UAV110D03"/>
        <s v="2dms_wmts_v1_UAV110D04"/>
        <s v="2dms_wmts_v1_UAV110D05 "/>
        <s v="2dms_wmts_v1_UAV110D06"/>
        <s v="2dms_wmts_v1_UAV110D07 "/>
        <s v="2dms_wmts_v1_UAV110D08 "/>
        <s v="2dms_wmts_v1_UAV110E02"/>
        <s v="2dms_wmts_v1_UAV110N01 "/>
        <s v="2dms_wmts_v1_UAV110Q01"/>
        <s v="2dms_wmts_v1_UAV110Q02"/>
        <s v="2dms_wmts_v1_UAV111A02"/>
        <s v="2dms_wmts_v1_UAV111A03 "/>
        <s v="2dms_wmts_v1_UAV111A04"/>
        <s v="2dms_wmts_v1_UAV111A05"/>
        <s v="2dms_wmts_v1_UAV111A06 "/>
        <s v="2dms_wmts_v1_UAV111D01"/>
        <s v="2dms_wmts_v1_UAV111E01"/>
        <s v="2dms_wmts_v1_UAV111J01"/>
        <s v="2dms_wmts_v1_UAV111J02"/>
        <s v="2dms_wmts_v1_UAV111J03"/>
        <s v="2dms_wmts_v1_UAV111K01"/>
        <s v="2dms_wmts_v1_UAV111K02"/>
        <s v="2dms_wmts_v1_UAV111P01"/>
        <s v="2dms_wmts_v1_UAV111P02"/>
        <s v="2dms_wmts_v1_UAV111Q01"/>
        <s v="2dms_wmts_v1_Village"/>
        <s v="2dms_wmts_v1_Village201910"/>
        <s v="3dms_3dtile_v1_building"/>
        <s v="3dms_3dtile_v1_PBSService"/>
        <s v="3dms_3dtile_v1_road"/>
        <s v="3dms_3dtile_v1_road2nd"/>
        <s v="3dms_bldg3d_v1_BAQueryBuilding"/>
        <s v="3dms_bldg3d_v1_BAQueryBuildingAttributes"/>
        <s v="3dms_bldg3d_v1_BAQueryBuildingDataSource"/>
        <s v="3dms_bldg3d_v1_BAStatus"/>
        <s v="3dms_i3s_v1_building"/>
        <s v="3dms_i3s_v1_PBSService"/>
        <s v="3dms_i3s_v1_road"/>
        <s v="3dms_i3s_v1_road2nd"/>
        <s v="3dms_pubapi_v1_PBSQueryBuilding"/>
        <s v="3dms_pubapi_v1_PBSStatus"/>
        <s v="3dms_pubapi_v1_PBSTRSelectByCircle"/>
        <s v="3dms_pubapi_v1_PBSTRSelectByPoint"/>
        <s v="3dms_pubapi_v1_PBSTRSelectByPolygon"/>
      </sharedItems>
    </cacheField>
    <cacheField name="坐標系統(OGC服務都是必填，請填EPSG:[EPSG代碼])" numFmtId="0">
      <sharedItems containsBlank="1" count="4">
        <s v="EPSG:3826"/>
        <s v="EPSG:3857"/>
        <s v="EPSG:4326"/>
        <m/>
      </sharedItems>
    </cacheField>
    <cacheField name="圖例網址" numFmtId="0">
      <sharedItems containsBlank="1" count="11">
        <s v="https://maps.nlsc.gov.tw/demo/105RGB色碼表.png"/>
        <s v="https://maps.nlsc.gov.tw/demo/109年版國土利用色碼表.png"/>
        <s v="https://maps.nlsc.gov.tw/demo/109年版國土利用色碼表.png ; https://maps.nlsc.gov.tw/demo/105RGB色碼表.png ; https://maps.nlsc.gov.tw/demo/95RGB色碼表.jpg"/>
        <s v="https://maps.nlsc.gov.tw/demo/20140924.png"/>
        <s v="https://maps.nlsc.gov.tw/demo/20140925.png"/>
        <s v="https://maps.nlsc.gov.tw/demo/95RGB色碼表.jpg"/>
        <s v="https://maps.nlsc.gov.tw/demo/坡向圖圖例.gif"/>
        <s v="https://maps.nlsc.gov.tw/demo/坡度分級圖例說明.png"/>
        <s v="https://maps.nlsc.gov.tw/demo/DEM各年度辦理範圍.jpg ; https://maps.nlsc.gov.tw/demo/地形變異圖例.png"/>
        <s v="https://maps.nlsc.gov.tw/demo/school.png"/>
        <m/>
      </sharedItems>
    </cacheField>
    <cacheField name="服務標準(只有OGC與非OGC，此欄已套用公式)" numFmtId="0">
      <sharedItems containsString="0" containsBlank="1" count="1">
        <m/>
      </sharedItems>
    </cacheField>
    <cacheField name="服務類別(中)" numFmtId="0">
      <sharedItems count="18">
        <s v="3D Tiles"/>
        <s v="3D建物屬性 API"/>
        <s v="一千分之一地形圖 WFS"/>
        <s v="地段外圍圖 WFS"/>
        <s v="地籍圖 API"/>
        <s v="地籍圖 WFS"/>
        <s v="地籍圖 WMS"/>
        <s v="地籍圖 WMTS"/>
        <s v="地籍屬性 API"/>
        <s v="國土利用現況調查成果圖 WFS"/>
        <s v="國土利用屬性 API"/>
        <s v="開放 API"/>
        <s v="路徑規劃 API"/>
        <s v="臺灣通用電子地圖 WFS"/>
        <s v="模糊檢索 API"/>
        <s v="I3S"/>
        <s v="WMS"/>
        <s v="WMTS"/>
      </sharedItems>
    </cacheField>
    <cacheField name="服務類別(英)" numFmtId="0">
      <sharedItems count="18">
        <s v="3dtile"/>
        <s v="addrm"/>
        <s v="bldg3d"/>
        <s v="cadapi"/>
        <s v="cadatt"/>
        <s v="cadwfs"/>
        <s v="cadwms"/>
        <s v="cadwmt"/>
        <s v="emwfs"/>
        <s v="i3s"/>
        <s v="luseat"/>
        <s v="luwfs"/>
        <s v="pubapi"/>
        <s v="route"/>
        <s v="secwfs"/>
        <s v="t1kwfs"/>
        <s v="wms"/>
        <s v="wmts"/>
      </sharedItems>
    </cacheField>
    <cacheField name="來源系統" numFmtId="0">
      <sharedItems count="2">
        <s v="2dms"/>
        <s v="3dms"/>
      </sharedItems>
    </cacheField>
    <cacheField name="提供機關(請填寫機關全名)" numFmtId="0">
      <sharedItems containsBlank="1" count="2">
        <s v="內政部國土測繪中心"/>
        <m/>
      </sharedItems>
    </cacheField>
    <cacheField name="服務資料更新頻率(每月/不定期 擇一填寫)" numFmtId="0">
      <sharedItems containsBlank="1" count="2">
        <s v="不定期"/>
        <m/>
      </sharedItems>
    </cacheField>
    <cacheField name="服務關鍵字(以半形逗號分隔)" numFmtId="0">
      <sharedItems containsBlank="1" count="35">
        <s v="API"/>
        <s v="API,地籍"/>
        <s v="API,地籍,行政區"/>
        <s v="API,地籍,行政區,幾何"/>
        <s v="API,地籍,幾何"/>
        <s v="API,行政區"/>
        <s v="API,行政區,幾何"/>
        <s v="API,門牌,地籍"/>
        <s v="API,門牌,行政區"/>
        <s v="API,門牌,幾何"/>
        <s v="API,門牌,路名,行政區"/>
        <s v="API,門牌,路名,巷弄"/>
        <s v="API,國土利用,行政區,幾何"/>
        <s v="API,國土利用,幾何"/>
        <s v="API,路名"/>
        <s v="API,路名,行政區"/>
        <s v="API,路名,行政區,幾何"/>
        <s v="API,路名,幾何"/>
        <s v="WFS"/>
        <s v="WFS,地形圖"/>
        <s v="WFS,地籍"/>
        <s v="WFS,國土利用"/>
        <s v="WMS"/>
        <s v="WMS,地籍"/>
        <s v="WMTS"/>
        <s v="WMTS,地形圖"/>
        <s v="WMTS,地形圖,航照"/>
        <s v="WMTS,地籍"/>
        <s v="WMTS,地籍,航照"/>
        <s v="WMTS,行政區"/>
        <s v="WMTS,門牌"/>
        <s v="WMTS,航照"/>
        <s v="WMTS,國土利用"/>
        <s v="WMTS,路名"/>
        <m/>
      </sharedItems>
    </cacheField>
    <cacheField name="OAS文本資訊位置(請給路徑，無需繳交實體json檔，訂閱網檢核通過後會改成訂閱網網域網址)" numFmtId="0">
      <sharedItems containsString="0" containsBlank="1" count="1">
        <m/>
      </sharedItems>
    </cacheField>
    <cacheField name="OAS文本更新時間(訂閱網審核後系統自統帶入審核日期)" numFmtId="0">
      <sharedItems containsString="0" containsBlank="1" count="1">
        <m/>
      </sharedItems>
    </cacheField>
    <cacheField name="OAS文本寫法規劃（對應Swagger Editor驗證，參考3）" numFmtId="0">
      <sharedItems count="2">
        <s v="有下拉選單"/>
        <s v="無下拉選單"/>
      </sharedItems>
    </cacheField>
    <cacheField name="更新資料用" numFmtId="0">
      <sharedItems count="2">
        <s v="有下拉選單"/>
        <s v="無下拉選單"/>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3" recordCount="1442" xr:uid="{00000000-000A-0000-FFFF-FFFF02000000}">
  <cacheSource type="worksheet">
    <worksheetSource ref="A1:T1443" sheet="API清冊0707"/>
  </cacheSource>
  <cacheFields count="20">
    <cacheField name="index用" numFmtId="0">
      <sharedItems count="1442">
        <s v="2dms_addrm_v1_LineQueryAddr"/>
        <s v="2dms_addrm_v1_ListRoad_A"/>
        <s v="2dms_addrm_v1_ListRoad_B"/>
        <s v="2dms_addrm_v1_ListRoad_C"/>
        <s v="2dms_addrm_v1_ListRoad_D"/>
        <s v="2dms_addrm_v1_ListRoad_E"/>
        <s v="2dms_addrm_v1_ListRoad_F"/>
        <s v="2dms_addrm_v1_ListRoad_G"/>
        <s v="2dms_addrm_v1_ListRoad_H"/>
        <s v="2dms_addrm_v1_ListRoad_I"/>
        <s v="2dms_addrm_v1_ListRoad_J"/>
        <s v="2dms_addrm_v1_ListRoad_K"/>
        <s v="2dms_addrm_v1_ListRoad_M"/>
        <s v="2dms_addrm_v1_ListRoad_N"/>
        <s v="2dms_addrm_v1_ListRoad_O"/>
        <s v="2dms_addrm_v1_ListRoad_P"/>
        <s v="2dms_addrm_v1_ListRoad_Q"/>
        <s v="2dms_addrm_v1_ListRoad_T"/>
        <s v="2dms_addrm_v1_ListRoad_U"/>
        <s v="2dms_addrm_v1_ListRoad_V"/>
        <s v="2dms_addrm_v1_ListRoad_W"/>
        <s v="2dms_addrm_v1_ListRoad_X"/>
        <s v="2dms_addrm_v1_ListRoad_Z"/>
        <s v="2dms_addrm_v1_ListRoadLaneAlley_A"/>
        <s v="2dms_addrm_v1_ListRoadLaneAlley_B"/>
        <s v="2dms_addrm_v1_ListRoadLaneAlley_C"/>
        <s v="2dms_addrm_v1_ListRoadLaneAlley_D"/>
        <s v="2dms_addrm_v1_ListRoadLaneAlley_E"/>
        <s v="2dms_addrm_v1_ListRoadLaneAlley_F"/>
        <s v="2dms_addrm_v1_ListRoadLaneAlley_G"/>
        <s v="2dms_addrm_v1_ListRoadLaneAlley_H"/>
        <s v="2dms_addrm_v1_ListRoadLaneAlley_I"/>
        <s v="2dms_addrm_v1_ListRoadLaneAlley_J"/>
        <s v="2dms_addrm_v1_ListRoadLaneAlley_K"/>
        <s v="2dms_addrm_v1_ListRoadLaneAlley_M"/>
        <s v="2dms_addrm_v1_ListRoadLaneAlley_N"/>
        <s v="2dms_addrm_v1_ListRoadLaneAlley_O"/>
        <s v="2dms_addrm_v1_ListRoadLaneAlley_P"/>
        <s v="2dms_addrm_v1_ListRoadLaneAlley_Q"/>
        <s v="2dms_addrm_v1_ListRoadLaneAlley_T"/>
        <s v="2dms_addrm_v1_ListRoadLaneAlley_U"/>
        <s v="2dms_addrm_v1_ListRoadLaneAlley_V"/>
        <s v="2dms_addrm_v1_ListRoadLaneAlley_W"/>
        <s v="2dms_addrm_v1_ListRoadLaneAlley_X"/>
        <s v="2dms_addrm_v1_ListRoadLaneAlley_Z"/>
        <s v="2dms_addrm_v1_PointQueryAddr"/>
        <s v="2dms_addrm_v1_PolygonQueryAddr"/>
        <s v="2dms_addrm_v1_TextQueryAddress"/>
        <s v="2dms_addrm_v1_TextQueryMap"/>
        <s v="2dms_cadapi_v1_CadasMapPointQuery"/>
        <s v="2dms_cadapi_v1_CadasMapQuery"/>
        <s v="2dms_cadatt_v1_AddressQueryLand"/>
        <s v="2dms_cadatt_v1_CadasAttrQuery_A"/>
        <s v="2dms_cadatt_v1_CadasAttrQuery_B"/>
        <s v="2dms_cadatt_v1_CadasAttrQuery_C"/>
        <s v="2dms_cadatt_v1_CadasAttrQuery_D"/>
        <s v="2dms_cadatt_v1_CadasAttrQuery_E"/>
        <s v="2dms_cadatt_v1_CadasAttrQuery_F"/>
        <s v="2dms_cadatt_v1_CadasAttrQuery_G"/>
        <s v="2dms_cadatt_v1_CadasAttrQuery_H"/>
        <s v="2dms_cadatt_v1_CadasAttrQuery_I"/>
        <s v="2dms_cadatt_v1_CadasAttrQuery_J"/>
        <s v="2dms_cadatt_v1_CadasAttrQuery_K"/>
        <s v="2dms_cadatt_v1_CadasAttrQuery_M"/>
        <s v="2dms_cadatt_v1_CadasAttrQuery_N"/>
        <s v="2dms_cadatt_v1_CadasAttrQuery_O"/>
        <s v="2dms_cadatt_v1_CadasAttrQuery_P"/>
        <s v="2dms_cadatt_v1_CadasAttrQuery_Q"/>
        <s v="2dms_cadatt_v1_CadasAttrQuery_T"/>
        <s v="2dms_cadatt_v1_CadasAttrQuery_U"/>
        <s v="2dms_cadatt_v1_CadasAttrQuery_V"/>
        <s v="2dms_cadatt_v1_CadasAttrQuery_W"/>
        <s v="2dms_cadatt_v1_CadasAttrQuery_X"/>
        <s v="2dms_cadatt_v1_CadasAttrQuery_Z"/>
        <s v="2dms_cadatt_v1_CadasLandInfo_A"/>
        <s v="2dms_cadatt_v1_CadasLandInfo_B"/>
        <s v="2dms_cadatt_v1_CadasLandInfo_C"/>
        <s v="2dms_cadatt_v1_CadasLandInfo_D"/>
        <s v="2dms_cadatt_v1_CadasLandInfo_E"/>
        <s v="2dms_cadatt_v1_CadasLandInfo_F"/>
        <s v="2dms_cadatt_v1_CadasLandInfo_G"/>
        <s v="2dms_cadatt_v1_CadasLandInfo_H"/>
        <s v="2dms_cadatt_v1_CadasLandInfo_I"/>
        <s v="2dms_cadatt_v1_CadasLandInfo_J"/>
        <s v="2dms_cadatt_v1_CadasLandInfo_K"/>
        <s v="2dms_cadatt_v1_CadasLandInfo_M"/>
        <s v="2dms_cadatt_v1_CadasLandInfo_N"/>
        <s v="2dms_cadatt_v1_CadasLandInfo_O"/>
        <s v="2dms_cadatt_v1_CadasLandInfo_P"/>
        <s v="2dms_cadatt_v1_CadasLandInfo_Q"/>
        <s v="2dms_cadatt_v1_CadasLandInfo_T"/>
        <s v="2dms_cadatt_v1_CadasLandInfo_U"/>
        <s v="2dms_cadatt_v1_CadasLandInfo_V"/>
        <s v="2dms_cadatt_v1_CadasLandInfo_W"/>
        <s v="2dms_cadatt_v1_CadasLandInfo_X"/>
        <s v="2dms_cadatt_v1_CadasLandInfo_Z"/>
        <s v="2dms_cadatt_v1_CadasLandNoQuery"/>
        <s v="2dms_cadatt_v1_CadasMapImage_A"/>
        <s v="2dms_cadatt_v1_CadasMapImage_B"/>
        <s v="2dms_cadatt_v1_CadasMapImage_C"/>
        <s v="2dms_cadatt_v1_CadasMapImage_D"/>
        <s v="2dms_cadatt_v1_CadasMapImage_E"/>
        <s v="2dms_cadatt_v1_CadasMapImage_F"/>
        <s v="2dms_cadatt_v1_CadasMapImage_G"/>
        <s v="2dms_cadatt_v1_CadasMapImage_H"/>
        <s v="2dms_cadatt_v1_CadasMapImage_I"/>
        <s v="2dms_cadatt_v1_CadasMapImage_J"/>
        <s v="2dms_cadatt_v1_CadasMapImage_K"/>
        <s v="2dms_cadatt_v1_CadasMapImage_M"/>
        <s v="2dms_cadatt_v1_CadasMapImage_N"/>
        <s v="2dms_cadatt_v1_CadasMapImage_O"/>
        <s v="2dms_cadatt_v1_CadasMapImage_P"/>
        <s v="2dms_cadatt_v1_CadasMapImage_Q"/>
        <s v="2dms_cadatt_v1_CadasMapImage_T"/>
        <s v="2dms_cadatt_v1_CadasMapImage_U"/>
        <s v="2dms_cadatt_v1_CadasMapImage_V"/>
        <s v="2dms_cadatt_v1_CadasMapImage_W"/>
        <s v="2dms_cadatt_v1_CadasMapImage_X"/>
        <s v="2dms_cadatt_v1_CadasMapImage_Z"/>
        <s v="2dms_cadatt_v1_CadasMapPosition_A"/>
        <s v="2dms_cadatt_v1_CadasMapPosition_B"/>
        <s v="2dms_cadatt_v1_CadasMapPosition_C"/>
        <s v="2dms_cadatt_v1_CadasMapPosition_D"/>
        <s v="2dms_cadatt_v1_CadasMapPosition_E"/>
        <s v="2dms_cadatt_v1_CadasMapPosition_F"/>
        <s v="2dms_cadatt_v1_CadasMapPosition_G"/>
        <s v="2dms_cadatt_v1_CadasMapPosition_H"/>
        <s v="2dms_cadatt_v1_CadasMapPosition_I"/>
        <s v="2dms_cadatt_v1_CadasMapPosition_J"/>
        <s v="2dms_cadatt_v1_CadasMapPosition_K"/>
        <s v="2dms_cadatt_v1_CadasMapPosition_M"/>
        <s v="2dms_cadatt_v1_CadasMapPosition_N"/>
        <s v="2dms_cadatt_v1_CadasMapPosition_O"/>
        <s v="2dms_cadatt_v1_CadasMapPosition_P"/>
        <s v="2dms_cadatt_v1_CadasMapPosition_Q"/>
        <s v="2dms_cadatt_v1_CadasMapPosition_T"/>
        <s v="2dms_cadatt_v1_CadasMapPosition_U"/>
        <s v="2dms_cadatt_v1_CadasMapPosition_V"/>
        <s v="2dms_cadatt_v1_CadasMapPosition_W"/>
        <s v="2dms_cadatt_v1_CadasMapPosition_X"/>
        <s v="2dms_cadatt_v1_CadasMapPosition_Z"/>
        <s v="2dms_cadatt_v1_GetLandNO"/>
        <s v="2dms_cadatt_v1_GetLandPositionLongitudeLatitude_A"/>
        <s v="2dms_cadatt_v1_GetLandPositionLongitudeLatitude_B"/>
        <s v="2dms_cadatt_v1_GetLandPositionLongitudeLatitude_C"/>
        <s v="2dms_cadatt_v1_GetLandPositionLongitudeLatitude_D"/>
        <s v="2dms_cadatt_v1_GetLandPositionLongitudeLatitude_E"/>
        <s v="2dms_cadatt_v1_GetLandPositionLongitudeLatitude_F"/>
        <s v="2dms_cadatt_v1_GetLandPositionLongitudeLatitude_G"/>
        <s v="2dms_cadatt_v1_GetLandPositionLongitudeLatitude_H"/>
        <s v="2dms_cadatt_v1_GetLandPositionLongitudeLatitude_I"/>
        <s v="2dms_cadatt_v1_GetLandPositionLongitudeLatitude_J"/>
        <s v="2dms_cadatt_v1_GetLandPositionLongitudeLatitude_K"/>
        <s v="2dms_cadatt_v1_GetLandPositionLongitudeLatitude_M"/>
        <s v="2dms_cadatt_v1_GetLandPositionLongitudeLatitude_N"/>
        <s v="2dms_cadatt_v1_GetLandPositionLongitudeLatitude_O"/>
        <s v="2dms_cadatt_v1_GetLandPositionLongitudeLatitude_P"/>
        <s v="2dms_cadatt_v1_GetLandPositionLongitudeLatitude_Q"/>
        <s v="2dms_cadatt_v1_GetLandPositionLongitudeLatitude_T"/>
        <s v="2dms_cadatt_v1_GetLandPositionLongitudeLatitude_U"/>
        <s v="2dms_cadatt_v1_GetLandPositionLongitudeLatitude_V"/>
        <s v="2dms_cadatt_v1_GetLandPositionLongitudeLatitude_W"/>
        <s v="2dms_cadatt_v1_GetLandPositionLongitudeLatitude_X"/>
        <s v="2dms_cadatt_v1_GetLandPositionLongitudeLatitude_Z"/>
        <s v="2dms_cadatt_v1_GetLandSecInfoNlsc_A"/>
        <s v="2dms_cadatt_v1_GetLandSecInfoNlsc_B"/>
        <s v="2dms_cadatt_v1_GetLandSecInfoNlsc_C"/>
        <s v="2dms_cadatt_v1_GetLandSecInfoNlsc_D"/>
        <s v="2dms_cadatt_v1_GetLandSecInfoNlsc_E"/>
        <s v="2dms_cadatt_v1_GetLandSecInfoNlsc_F"/>
        <s v="2dms_cadatt_v1_GetLandSecInfoNlsc_G"/>
        <s v="2dms_cadatt_v1_GetLandSecInfoNlsc_H"/>
        <s v="2dms_cadatt_v1_GetLandSecInfoNlsc_I"/>
        <s v="2dms_cadatt_v1_GetLandSecInfoNlsc_J"/>
        <s v="2dms_cadatt_v1_GetLandSecInfoNlsc_K"/>
        <s v="2dms_cadatt_v1_GetLandSecInfoNlsc_M"/>
        <s v="2dms_cadatt_v1_GetLandSecInfoNlsc_N"/>
        <s v="2dms_cadatt_v1_GetLandSecInfoNlsc_O"/>
        <s v="2dms_cadatt_v1_GetLandSecInfoNlsc_P"/>
        <s v="2dms_cadatt_v1_GetLandSecInfoNlsc_Q"/>
        <s v="2dms_cadatt_v1_GetLandSecInfoNlsc_T"/>
        <s v="2dms_cadatt_v1_GetLandSecInfoNlsc_U"/>
        <s v="2dms_cadatt_v1_GetLandSecInfoNlsc_V"/>
        <s v="2dms_cadatt_v1_GetLandSecInfoNlsc_W"/>
        <s v="2dms_cadatt_v1_GetLandSecInfoNlsc_X"/>
        <s v="2dms_cadatt_v1_GetLandSecInfoNlsc_Z"/>
        <s v="2dms_cadatt_v1_QryTileMapIndex1"/>
        <s v="2dms_cadatt_v1_QryTileMapIndex2"/>
        <s v="2dms_cadwfs_v1_CadasMerge"/>
        <s v="2dms_cadwms_v1_DMAPS"/>
        <s v="2dms_cadwmt_v1_DMAPS"/>
        <s v="2dms_emwfs_v1_BuildFrame"/>
        <s v="2dms_emwfs_v1_EMAP"/>
        <s v="2dms_luseat_v1_LandUseCompare"/>
        <s v="2dms_luseat_v1_LandUsePointYears"/>
        <s v="2dms_luwfs_v1_LuiMap"/>
        <s v="2dms_pubapi_v1_GetMapVillage"/>
        <s v="2dms_pubapi_v1_LandUsePointQuery"/>
        <s v="2dms_pubapi_v1_ListCounty"/>
        <s v="2dms_pubapi_v1_ListLandSection_A"/>
        <s v="2dms_pubapi_v1_ListLandSection_B"/>
        <s v="2dms_pubapi_v1_ListLandSection_C"/>
        <s v="2dms_pubapi_v1_ListLandSection_D"/>
        <s v="2dms_pubapi_v1_ListLandSection_E"/>
        <s v="2dms_pubapi_v1_ListLandSection_F"/>
        <s v="2dms_pubapi_v1_ListLandSection_G"/>
        <s v="2dms_pubapi_v1_ListLandSection_H"/>
        <s v="2dms_pubapi_v1_ListLandSection_I"/>
        <s v="2dms_pubapi_v1_ListLandSection_J"/>
        <s v="2dms_pubapi_v1_ListLandSection_K"/>
        <s v="2dms_pubapi_v1_ListLandSection_M"/>
        <s v="2dms_pubapi_v1_ListLandSection_N"/>
        <s v="2dms_pubapi_v1_ListLandSection_O"/>
        <s v="2dms_pubapi_v1_ListLandSection_P"/>
        <s v="2dms_pubapi_v1_ListLandSection_Q"/>
        <s v="2dms_pubapi_v1_ListLandSection_T"/>
        <s v="2dms_pubapi_v1_ListLandSection_U"/>
        <s v="2dms_pubapi_v1_ListLandSection_V"/>
        <s v="2dms_pubapi_v1_ListLandSection_W"/>
        <s v="2dms_pubapi_v1_ListLandSection_X"/>
        <s v="2dms_pubapi_v1_ListLandSection_Z"/>
        <s v="2dms_pubapi_v1_ListRoadCross_A"/>
        <s v="2dms_pubapi_v1_ListRoadCross_B"/>
        <s v="2dms_pubapi_v1_ListRoadCross_C"/>
        <s v="2dms_pubapi_v1_ListRoadCross_D"/>
        <s v="2dms_pubapi_v1_ListRoadCross_E"/>
        <s v="2dms_pubapi_v1_ListRoadCross_F"/>
        <s v="2dms_pubapi_v1_ListRoadCross_G"/>
        <s v="2dms_pubapi_v1_ListRoadCross_H"/>
        <s v="2dms_pubapi_v1_ListRoadCross_I"/>
        <s v="2dms_pubapi_v1_ListRoadCross_J"/>
        <s v="2dms_pubapi_v1_ListRoadCross_K"/>
        <s v="2dms_pubapi_v1_ListRoadCross_M"/>
        <s v="2dms_pubapi_v1_ListRoadCross_N"/>
        <s v="2dms_pubapi_v1_ListRoadCross_O"/>
        <s v="2dms_pubapi_v1_ListRoadCross_P"/>
        <s v="2dms_pubapi_v1_ListRoadCross_Q"/>
        <s v="2dms_pubapi_v1_ListRoadCross_T"/>
        <s v="2dms_pubapi_v1_ListRoadCross_U"/>
        <s v="2dms_pubapi_v1_ListRoadCross_V"/>
        <s v="2dms_pubapi_v1_ListRoadCross_W"/>
        <s v="2dms_pubapi_v1_ListRoadCross_X"/>
        <s v="2dms_pubapi_v1_ListRoadCross_Z"/>
        <s v="2dms_pubapi_v1_ListRoadM_A"/>
        <s v="2dms_pubapi_v1_ListRoadM_B"/>
        <s v="2dms_pubapi_v1_ListRoadM_C"/>
        <s v="2dms_pubapi_v1_ListRoadM_D"/>
        <s v="2dms_pubapi_v1_ListRoadM_E"/>
        <s v="2dms_pubapi_v1_ListRoadM_F"/>
        <s v="2dms_pubapi_v1_ListRoadM_G"/>
        <s v="2dms_pubapi_v1_ListRoadM_H"/>
        <s v="2dms_pubapi_v1_ListRoadM_I"/>
        <s v="2dms_pubapi_v1_ListRoadM_J"/>
        <s v="2dms_pubapi_v1_ListRoadM_K"/>
        <s v="2dms_pubapi_v1_ListRoadM_M"/>
        <s v="2dms_pubapi_v1_ListRoadM_N"/>
        <s v="2dms_pubapi_v1_ListRoadM_O"/>
        <s v="2dms_pubapi_v1_ListRoadM_P"/>
        <s v="2dms_pubapi_v1_ListRoadM_Q"/>
        <s v="2dms_pubapi_v1_ListRoadM_T"/>
        <s v="2dms_pubapi_v1_ListRoadM_U"/>
        <s v="2dms_pubapi_v1_ListRoadM_V"/>
        <s v="2dms_pubapi_v1_ListRoadM_W"/>
        <s v="2dms_pubapi_v1_ListRoadM_X"/>
        <s v="2dms_pubapi_v1_ListRoadM_Z"/>
        <s v="2dms_pubapi_v1_ListTown_A"/>
        <s v="2dms_pubapi_v1_ListTown_B"/>
        <s v="2dms_pubapi_v1_ListTown_C"/>
        <s v="2dms_pubapi_v1_ListTown_D"/>
        <s v="2dms_pubapi_v1_ListTown_E"/>
        <s v="2dms_pubapi_v1_ListTown_F"/>
        <s v="2dms_pubapi_v1_ListTown_G"/>
        <s v="2dms_pubapi_v1_ListTown_H"/>
        <s v="2dms_pubapi_v1_ListTown_I"/>
        <s v="2dms_pubapi_v1_ListTown_J"/>
        <s v="2dms_pubapi_v1_ListTown_K"/>
        <s v="2dms_pubapi_v1_ListTown_M"/>
        <s v="2dms_pubapi_v1_ListTown_N"/>
        <s v="2dms_pubapi_v1_ListTown_O"/>
        <s v="2dms_pubapi_v1_ListTown_P"/>
        <s v="2dms_pubapi_v1_ListTown_Q"/>
        <s v="2dms_pubapi_v1_ListTown_T"/>
        <s v="2dms_pubapi_v1_ListTown_U"/>
        <s v="2dms_pubapi_v1_ListTown_V"/>
        <s v="2dms_pubapi_v1_ListTown_W"/>
        <s v="2dms_pubapi_v1_ListTown_X"/>
        <s v="2dms_pubapi_v1_ListTown_Z"/>
        <s v="2dms_pubapi_v1_ListTown1_A"/>
        <s v="2dms_pubapi_v1_ListTown1_B"/>
        <s v="2dms_pubapi_v1_ListTown1_C"/>
        <s v="2dms_pubapi_v1_ListTown1_D"/>
        <s v="2dms_pubapi_v1_ListTown1_E"/>
        <s v="2dms_pubapi_v1_ListTown1_F"/>
        <s v="2dms_pubapi_v1_ListTown1_G"/>
        <s v="2dms_pubapi_v1_ListTown1_H"/>
        <s v="2dms_pubapi_v1_ListTown1_I"/>
        <s v="2dms_pubapi_v1_ListTown1_J"/>
        <s v="2dms_pubapi_v1_ListTown1_K"/>
        <s v="2dms_pubapi_v1_ListTown1_M"/>
        <s v="2dms_pubapi_v1_ListTown1_N"/>
        <s v="2dms_pubapi_v1_ListTown1_O"/>
        <s v="2dms_pubapi_v1_ListTown1_P"/>
        <s v="2dms_pubapi_v1_ListTown1_Q"/>
        <s v="2dms_pubapi_v1_ListTown1_T"/>
        <s v="2dms_pubapi_v1_ListTown1_U"/>
        <s v="2dms_pubapi_v1_ListTown1_V"/>
        <s v="2dms_pubapi_v1_ListTown1_W"/>
        <s v="2dms_pubapi_v1_ListTown1_X"/>
        <s v="2dms_pubapi_v1_ListTown1_Z"/>
        <s v="2dms_pubapi_v1_ListVillage_A"/>
        <s v="2dms_pubapi_v1_ListVillage_B"/>
        <s v="2dms_pubapi_v1_ListVillage_C"/>
        <s v="2dms_pubapi_v1_ListVillage_D"/>
        <s v="2dms_pubapi_v1_ListVillage_E"/>
        <s v="2dms_pubapi_v1_ListVillage_F"/>
        <s v="2dms_pubapi_v1_ListVillage_G"/>
        <s v="2dms_pubapi_v1_ListVillage_H"/>
        <s v="2dms_pubapi_v1_ListVillage_I"/>
        <s v="2dms_pubapi_v1_ListVillage_J"/>
        <s v="2dms_pubapi_v1_ListVillage_K"/>
        <s v="2dms_pubapi_v1_ListVillage_M"/>
        <s v="2dms_pubapi_v1_ListVillage_N"/>
        <s v="2dms_pubapi_v1_ListVillage_O"/>
        <s v="2dms_pubapi_v1_ListVillage_P"/>
        <s v="2dms_pubapi_v1_ListVillage_Q"/>
        <s v="2dms_pubapi_v1_ListVillage_T"/>
        <s v="2dms_pubapi_v1_ListVillage_U"/>
        <s v="2dms_pubapi_v1_ListVillage_V"/>
        <s v="2dms_pubapi_v1_ListVillage_W"/>
        <s v="2dms_pubapi_v1_ListVillage_X"/>
        <s v="2dms_pubapi_v1_ListVillage_Z"/>
        <s v="2dms_pubapi_v1_MarkBufferAnlysBus"/>
        <s v="2dms_pubapi_v1_MarkBufferAnlysDis"/>
        <s v="2dms_pubapi_v1_MarkBufferAnlysEdu"/>
        <s v="2dms_pubapi_v1_MarkBufferAnlysMed"/>
        <s v="2dms_pubapi_v1_TextQueryRoad_A"/>
        <s v="2dms_pubapi_v1_TextQueryRoad_B"/>
        <s v="2dms_pubapi_v1_TextQueryRoad_C"/>
        <s v="2dms_pubapi_v1_TextQueryRoad_D"/>
        <s v="2dms_pubapi_v1_TextQueryRoad_E"/>
        <s v="2dms_pubapi_v1_TextQueryRoad_F"/>
        <s v="2dms_pubapi_v1_TextQueryRoad_G"/>
        <s v="2dms_pubapi_v1_TextQueryRoad_H"/>
        <s v="2dms_pubapi_v1_TextQueryRoad_I"/>
        <s v="2dms_pubapi_v1_TextQueryRoad_J"/>
        <s v="2dms_pubapi_v1_TextQueryRoad_K"/>
        <s v="2dms_pubapi_v1_TextQueryRoad_M"/>
        <s v="2dms_pubapi_v1_TextQueryRoad_N"/>
        <s v="2dms_pubapi_v1_TextQueryRoad_O"/>
        <s v="2dms_pubapi_v1_TextQueryRoad_P"/>
        <s v="2dms_pubapi_v1_TextQueryRoad_Q"/>
        <s v="2dms_pubapi_v1_TextQueryRoad_T"/>
        <s v="2dms_pubapi_v1_TextQueryRoad_U"/>
        <s v="2dms_pubapi_v1_TextQueryRoad_V"/>
        <s v="2dms_pubapi_v1_TextQueryRoad_W"/>
        <s v="2dms_pubapi_v1_TextQueryRoad_X"/>
        <s v="2dms_pubapi_v1_TextQueryRoad_Z"/>
        <s v="2dms_pubapi_v1_TownVillagePointQuery"/>
        <s v="2dms_pubapi_v1_TownVillagePointQuery1"/>
        <s v="2dms_route_v1_RoutesNodes"/>
        <s v="2dms_route_v1_RoutesQueryByDist"/>
        <s v="2dms_route_v1_RoutesQueryByTime"/>
        <s v="2dms_secwfs_v1_LanSect"/>
        <s v="2dms_t1kwfs_v1_TOPON1K_B04"/>
        <s v="2dms_t1kwfs_v1_TOPON1K_B11"/>
        <s v="2dms_t1kwfs_v1_TOPON1K_B14"/>
        <s v="2dms_t1kwfs_v1_TOPON1K_B15"/>
        <s v="2dms_t1kwfs_v1_TOPON1K_B20"/>
        <s v="2dms_t1kwfs_v1_TOPON1K_B22"/>
        <s v="2dms_t1kwfs_v1_TOPON1K_B25"/>
        <s v="2dms_t1kwfs_v1_TOPON1K_D03"/>
        <s v="2dms_t1kwfs_v1_TOPON1K_D04"/>
        <s v="2dms_t1kwfs_v1_TOPON1K_D05"/>
        <s v="2dms_t1kwfs_v1_TOPON1K_D08"/>
        <s v="2dms_t1kwfs_v1_TOPON1K_D12"/>
        <s v="2dms_t1kwfs_v1_TOPON1K_E02"/>
        <s v="2dms_t1kwfs_v1_TOPON1K_E03"/>
        <s v="2dms_t1kwfs_v1_TOPON1K_E32"/>
        <s v="2dms_t1kwfs_v1_TOPON1K_G01"/>
        <s v="2dms_t1kwfs_v1_TOPON1K_G04"/>
        <s v="2dms_t1kwfs_v1_TOPON1K_G06"/>
        <s v="2dms_t1kwfs_v1_TOPON1K_G09"/>
        <s v="2dms_t1kwfs_v1_TOPON1K_G11"/>
        <s v="2dms_t1kwfs_v1_TOPON1K_G15"/>
        <s v="2dms_t1kwfs_v1_TOPON1K_G16"/>
        <s v="2dms_t1kwfs_v1_TOPON1K_G17"/>
        <s v="2dms_t1kwfs_v1_TOPON1K_G18"/>
        <s v="2dms_t1kwfs_v1_TOPON1K_G19"/>
        <s v="2dms_t1kwfs_v1_TOPON1K_G20"/>
        <s v="2dms_t1kwfs_v1_TOPON1K_H18"/>
        <s v="2dms_t1kwfs_v1_TOPON1K_H19"/>
        <s v="2dms_t1kwfs_v1_TOPON1K_H20"/>
        <s v="2dms_t1kwfs_v1_TOPON1K_H21"/>
        <s v="2dms_t1kwfs_v1_TOPON1K_H31"/>
        <s v="2dms_t1kwfs_v1_TOPON1K_J01"/>
        <s v="2dms_t1kwfs_v1_TOPON1K_J06"/>
        <s v="2dms_t1kwfs_v1_TOPON1K_J13"/>
        <s v="2dms_t1kwfs_v1_TOPON1K_J16"/>
        <s v="2dms_t1kwfs_v1_TOPON1K_J17"/>
        <s v="2dms_t1kwfs_v1_TOPON1K_K01"/>
        <s v="2dms_t1kwfs_v1_TOPON1K_K02"/>
        <s v="2dms_t1kwfs_v1_TOPON1K_K14"/>
        <s v="2dms_t1kwfs_v1_TOPON1K_M01"/>
        <s v="2dms_t1kwfs_v1_TOPON1K_M02"/>
        <s v="2dms_t1kwfs_v1_TOPON1K_M04"/>
        <s v="2dms_t1kwfs_v1_TOPON1K_N01"/>
        <s v="2dms_t1kwfs_v1_TOPON1K_N02"/>
        <s v="2dms_t1kwfs_v1_TOPON1K_P01"/>
        <s v="2dms_t1kwfs_v1_TOPON1K_P10"/>
        <s v="2dms_t1kwfs_v1_TOPON1K_P12"/>
        <s v="2dms_t1kwfs_v1_TOPON1K_P13"/>
        <s v="2dms_t1kwfs_v1_TOPON1K_P22"/>
        <s v="2dms_t1kwfs_v1_TOPON1K_P24"/>
        <s v="2dms_t1kwfs_v1_TOPON1K_P25"/>
        <s v="2dms_t1kwfs_v1_TOPON1K_Q02"/>
        <s v="2dms_t1kwfs_v1_TOPON1K_Q06"/>
        <s v="2dms_t1kwfs_v1_TOPON1K_Q07"/>
        <s v="2dms_t1kwfs_v1_TOPON1K_Q19"/>
        <s v="2dms_t1kwfs_v1_TOPON1K_Q21"/>
        <s v="2dms_t1kwfs_v1_TOPON1K_Q22"/>
        <s v="2dms_t1kwfs_v1_TOPON1K_Q26"/>
        <s v="2dms_t1kwfs_v1_TOPON1K_Q27"/>
        <s v="2dms_t1kwfs_v1_TOPON1K_Q28"/>
        <s v="2dms_t1kwfs_v1_TOPON1K_Q29"/>
        <s v="2dms_t1kwfs_v1_TOPON1K_Q30"/>
        <s v="2dms_t1kwfs_v1_TOPON1K_Q31"/>
        <s v="2dms_t1kwfs_v1_TOPON1K_T01"/>
        <s v="2dms_t1kwfs_v1_TOPON1K_T03"/>
        <s v="2dms_t1kwfs_v1_TOPON1K_T08"/>
        <s v="2dms_t1kwfs_v1_TOPON1K_T20"/>
        <s v="2dms_t1kwfs_v1_TOPON1K_T30"/>
        <s v="2dms_t1kwfs_v1_TOPON1K_U20"/>
        <s v="2dms_t1kwfs_v1_TOPON1K_V01"/>
        <s v="2dms_t1kwfs_v1_TOPON1K_V02"/>
        <s v="2dms_t1kwfs_v1_TOPON1K_X01"/>
        <s v="2dms_t1kwfs_v1_TOPON1K_X02"/>
        <s v="2dms_t1kwfs_v1_TOPON1K_X03"/>
        <s v="2dms_t1kwfs_v1_TOPON1K_X04"/>
        <s v="2dms_t1kwfs_v1_TOPON1K_X05"/>
        <s v="2dms_t1kwfs_v1_TOPON1K_X06"/>
        <s v="2dms_t1kwfs_v1_TOPON1K_X07"/>
        <s v="2dms_t1kwfs_v1_TOPON1K_X08"/>
        <s v="2dms_wms_v1_WMS"/>
        <s v="2dms_wmts_v1_AED"/>
        <s v="2dms_wmts_v1_Asrs202509251"/>
        <s v="2dms_wmts_v1_Asrs202509252"/>
        <s v="2dms_wmts_v1_Asrs202509253"/>
        <s v="2dms_wmts_v1_Asrs202509271"/>
        <s v="2dms_wmts_v1_Asrs202509272"/>
        <s v="2dms_wmts_v1_Asrs202509273"/>
        <s v="2dms_wmts_v1_Asrs202509281"/>
        <s v="2dms_wmts_v1_Asrs202509282"/>
        <s v="2dms_wmts_v1_Asrs202509291"/>
        <s v="2dms_wmts_v1_Asrs202509292"/>
        <s v="2dms_wmts_v1_Asrs202509301"/>
        <s v="2dms_wmts_v1_Asrs202509302"/>
        <s v="2dms_wmts_v1_Asrs202510011"/>
        <s v="2dms_wmts_v1_Asrs202510021"/>
        <s v="2dms_wmts_v1_Asrs202510022"/>
        <s v="2dms_wmts_v1_Asrs202510023"/>
        <s v="2dms_wmts_v1_Asrs202510031"/>
        <s v="2dms_wmts_v1_Asrs202510032"/>
        <s v="2dms_wmts_v1_Asrs202510033"/>
        <s v="2dms_wmts_v1_Asrs202510034"/>
        <s v="2dms_wmts_v1_Asrs202510035"/>
        <s v="2dms_wmts_v1_Asrs202510036"/>
        <s v="2dms_wmts_v1_Asrs202510037"/>
        <s v="2dms_wmts_v1_Asrs202510041"/>
        <s v="2dms_wmts_v1_Asrs202510042"/>
        <s v="2dms_wmts_v1_Asrs202510043"/>
        <s v="2dms_wmts_v1_Asrs202510051"/>
        <s v="2dms_wmts_v1_Asrs202510052"/>
        <s v="2dms_wmts_v1_Asrs202510053"/>
        <s v="2dms_wmts_v1_Asrs202510061"/>
        <s v="2dms_wmts_v1_Asrs202510062"/>
        <s v="2dms_wmts_v1_Asrs202510063"/>
        <s v="2dms_wmts_v1_Asrs202510071"/>
        <s v="2dms_wmts_v1_Asrs202510072"/>
        <s v="2dms_wmts_v1_Asrs202510073"/>
        <s v="2dms_wmts_v1_Asrs202510131"/>
        <s v="2dms_wmts_v1_Asrs202510132"/>
        <s v="2dms_wmts_v1_Asrs202510133"/>
        <s v="2dms_wmts_v1_Asrs202510134"/>
        <s v="2dms_wmts_v1_Asrs202510135"/>
        <s v="2dms_wmts_v1_Asrs202510136"/>
        <s v="2dms_wmts_v1_Asrs202510137"/>
        <s v="2dms_wmts_v1_Asrs202510138"/>
        <s v="2dms_wmts_v1_Asrs202510139"/>
        <s v="2dms_wmts_v1_Asrs202511161"/>
        <s v="2dms_wmts_v1_Asrs202511162"/>
        <s v="2dms_wmts_v1_Asrs202511163"/>
        <s v="2dms_wmts_v1_Asrs202511164"/>
        <s v="2dms_wmts_v1_Asrs202511165"/>
        <s v="2dms_wmts_v1_Asrs202511166"/>
        <s v="2dms_wmts_v1_Asrs202511167"/>
        <s v="2dms_wmts_v1_Asrs202511168"/>
        <s v="2dms_wmts_v1_Asrs2025ortho"/>
        <s v="2dms_wmts_v1_B100000"/>
        <s v="2dms_wmts_v1_B25000"/>
        <s v="2dms_wmts_v1_B5000"/>
        <s v="2dms_wmts_v1_B50000"/>
        <s v="2dms_wmts_v1_BUILDX"/>
        <s v="2dms_wmts_v1_CITY"/>
        <s v="2dms_wmts_v1_ConvenienceStore"/>
        <s v="2dms_wmts_v1_DDEM05"/>
        <s v="2dms_wmts_v1_EMAP"/>
        <s v="2dms_wmts_v1_EMAP01"/>
        <s v="2dms_wmts_v1_EMAP12"/>
        <s v="2dms_wmts_v1_EMAP15"/>
        <s v="2dms_wmts_v1_EMAP16"/>
        <s v="2dms_wmts_v1_EMAP2"/>
        <s v="2dms_wmts_v1_EMAP3825"/>
        <s v="2dms_wmts_v1_EMAP3826"/>
        <s v="2dms_wmts_v1_EMAP5"/>
        <s v="2dms_wmts_v1_EMAP5Opendata"/>
        <s v="2dms_wmts_v1_EMAP6"/>
        <s v="2dms_wmts_v1_EMAP6Opendata"/>
        <s v="2dms_wmts_v1_EMAP7"/>
        <s v="2dms_wmts_v1_EMAP8"/>
        <s v="2dms_wmts_v1_EMAP9"/>
        <s v="2dms_wmts_v1_EMAP96"/>
        <s v="2dms_wmts_v1_EMAP97"/>
        <s v="2dms_wmts_v1_EMAP98"/>
        <s v="2dms_wmts_v1_EMAPX99"/>
        <s v="2dms_wmts_v1_fireplug"/>
        <s v="2dms_wmts_v1_GeoSensitive"/>
        <s v="2dms_wmts_v1_GeoSensitive2"/>
        <s v="2dms_wmts_v1_LandOffice"/>
        <s v="2dms_wmts_v1_LandOpendata"/>
        <s v="2dms_wmts_v1_LANDSECT"/>
        <s v="2dms_wmts_v1_LANDSECT2"/>
        <s v="2dms_wmts_v1_LUIMAP"/>
        <s v="2dms_wmts_v1_LUIMAP01"/>
        <s v="2dms_wmts_v1_LUIMAP02"/>
        <s v="2dms_wmts_v1_LUIMAP03"/>
        <s v="2dms_wmts_v1_LUIMAP04"/>
        <s v="2dms_wmts_v1_LUIMAP05"/>
        <s v="2dms_wmts_v1_LUIMAP06"/>
        <s v="2dms_wmts_v1_LUIMAP07"/>
        <s v="2dms_wmts_v1_LUIMAP08"/>
        <s v="2dms_wmts_v1_LUIMAP09"/>
        <s v="2dms_wmts_v1_LUIMAP100"/>
        <s v="2dms_wmts_v1_LUIMAP101"/>
        <s v="2dms_wmts_v1_LUIMAP102"/>
        <s v="2dms_wmts_v1_LUIMAP103"/>
        <s v="2dms_wmts_v1_LUIMAP104"/>
        <s v="2dms_wmts_v1_LUIMAP105"/>
        <s v="2dms_wmts_v1_LUIMAP106"/>
        <s v="2dms_wmts_v1_LUIMAP107"/>
        <s v="2dms_wmts_v1_LUIMAP108"/>
        <s v="2dms_wmts_v1_LUIMAP109"/>
        <s v="2dms_wmts_v1_LUIMAP110"/>
        <s v="2dms_wmts_v1_LUIMAP111"/>
        <s v="2dms_wmts_v1_LUIMAP112"/>
        <s v="2dms_wmts_v1_LUIMAP113"/>
        <s v="2dms_wmts_v1_LUIMAP114"/>
        <s v="2dms_wmts_v1_LUIMAP82"/>
        <s v="2dms_wmts_v1_LUIMAP95"/>
        <s v="2dms_wmts_v1_LUIMAP98"/>
        <s v="2dms_wmts_v1_LUIMAP99"/>
        <s v="2dms_wmts_v1_MB5000"/>
        <s v="2dms_wmts_v1_MoiAspect"/>
        <s v="2dms_wmts_v1_MoiContour"/>
        <s v="2dms_wmts_v1_MoiContour2"/>
        <s v="2dms_wmts_v1_MoiHillshade"/>
        <s v="2dms_wmts_v1_MoiShadermap"/>
        <s v="2dms_wmts_v1_MoiSlopepGT30"/>
        <s v="2dms_wmts_v1_MoiSlopepGT302"/>
        <s v="2dms_wmts_v1_MoiSlopepLV7"/>
        <s v="2dms_wmts_v1_MoiSlopepLV72"/>
        <s v="2dms_wmts_v1_nURBAN1"/>
        <s v="2dms_wmts_v1_nURBAN2"/>
        <s v="2dms_wmts_v1_PHOTO1"/>
        <s v="2dms_wmts_v1_PHOTO2"/>
        <s v="2dms_wmts_v1_PHOTO2014"/>
        <s v="2dms_wmts_v1_PHOTO2015"/>
        <s v="2dms_wmts_v1_PHOTO2016"/>
        <s v="2dms_wmts_v1_PHOTO2017"/>
        <s v="2dms_wmts_v1_PHOTO2018"/>
        <s v="2dms_wmts_v1_PHOTO2019"/>
        <s v="2dms_wmts_v1_PHOTO2020"/>
        <s v="2dms_wmts_v1_PHOTO2021"/>
        <s v="2dms_wmts_v1_PHOTO2022"/>
        <s v="2dms_wmts_v1_PHOTO2023"/>
        <s v="2dms_wmts_v1_PHOTO2024"/>
        <s v="2dms_wmts_v1_PHOTO2025"/>
        <s v="2dms_wmts_v1_PHOTO3826"/>
        <s v="2dms_wmts_v1_PhotoMIX"/>
        <s v="2dms_wmts_v1_PhotoVA"/>
        <s v="2dms_wmts_v1_ROAD"/>
        <s v="2dms_wmts_v1_SCHOOL"/>
        <s v="2dms_wmts_v1_SHELTERS"/>
        <s v="2dms_wmts_v1_SoilLiquefaction"/>
        <s v="2dms_wmts_v1_SoilLiquefaction2"/>
        <s v="2dms_wmts_v1_TOPO01K_B01"/>
        <s v="2dms_wmts_v1_TOPO01K_B02"/>
        <s v="2dms_wmts_v1_TOPO01K_B03"/>
        <s v="2dms_wmts_v1_TOPO01K_B04"/>
        <s v="2dms_wmts_v1_TOPO01K_B05"/>
        <s v="2dms_wmts_v1_TOPO01K_B06"/>
        <s v="2dms_wmts_v1_TOPO01K_B07"/>
        <s v="2dms_wmts_v1_TOPO01K_B08"/>
        <s v="2dms_wmts_v1_TOPO01K_B09"/>
        <s v="2dms_wmts_v1_TOPO01K_B10"/>
        <s v="2dms_wmts_v1_TOPO01K_B11"/>
        <s v="2dms_wmts_v1_TOPO01K_B12"/>
        <s v="2dms_wmts_v1_TOPO01K_B13"/>
        <s v="2dms_wmts_v1_TOPO01K_B14"/>
        <s v="2dms_wmts_v1_TOPO01K_B15"/>
        <s v="2dms_wmts_v1_TOPO01K_B16"/>
        <s v="2dms_wmts_v1_TOPO01K_B17"/>
        <s v="2dms_wmts_v1_TOPO01K_B18"/>
        <s v="2dms_wmts_v1_TOPO01K_B19"/>
        <s v="2dms_wmts_v1_TOPO01K_B20"/>
        <s v="2dms_wmts_v1_TOPO01K_B21"/>
        <s v="2dms_wmts_v1_TOPO01K_B22"/>
        <s v="2dms_wmts_v1_TOPO01K_B23"/>
        <s v="2dms_wmts_v1_TOPO01K_B24"/>
        <s v="2dms_wmts_v1_TOPO01K_B25"/>
        <s v="2dms_wmts_v1_TOPO01K_B26"/>
        <s v="2dms_wmts_v1_TOPO01K_B27"/>
        <s v="2dms_wmts_v1_TOPO01K_B28"/>
        <s v="2dms_wmts_v1_TOPO01K_B29"/>
        <s v="2dms_wmts_v1_TOPO01K_B30"/>
        <s v="2dms_wmts_v1_TOPO01K_B31"/>
        <s v="2dms_wmts_v1_TOPO01K_B32"/>
        <s v="2dms_wmts_v1_TOPO01K_C01"/>
        <s v="2dms_wmts_v1_TOPO01K_C02"/>
        <s v="2dms_wmts_v1_TOPO01K_D93"/>
        <s v="2dms_wmts_v1_TOPO01K_D97"/>
        <s v="2dms_wmts_v1_TOPO01K_D99"/>
        <s v="2dms_wmts_v1_TOPO01K_DA0"/>
        <s v="2dms_wmts_v1_TOPO01K_DA1"/>
        <s v="2dms_wmts_v1_TOPO01K_DA2"/>
        <s v="2dms_wmts_v1_TOPO01K_E01"/>
        <s v="2dms_wmts_v1_TOPO01K_E02"/>
        <s v="2dms_wmts_v1_TOPO01K_E03"/>
        <s v="2dms_wmts_v1_TOPO01K_E04"/>
        <s v="2dms_wmts_v1_TOPO01K_E05"/>
        <s v="2dms_wmts_v1_TOPO01K_E06"/>
        <s v="2dms_wmts_v1_TOPO01K_E07"/>
        <s v="2dms_wmts_v1_TOPO01K_E08"/>
        <s v="2dms_wmts_v1_TOPO01K_E09"/>
        <s v="2dms_wmts_v1_TOPO01K_E10"/>
        <s v="2dms_wmts_v1_TOPO01K_E11"/>
        <s v="2dms_wmts_v1_TOPO01K_E12"/>
        <s v="2dms_wmts_v1_TOPO01K_E13"/>
        <s v="2dms_wmts_v1_TOPO01K_E14"/>
        <s v="2dms_wmts_v1_TOPO01K_E15"/>
        <s v="2dms_wmts_v1_TOPO01K_E16"/>
        <s v="2dms_wmts_v1_TOPO01K_E17"/>
        <s v="2dms_wmts_v1_TOPO01K_E18"/>
        <s v="2dms_wmts_v1_TOPO01K_E19"/>
        <s v="2dms_wmts_v1_TOPO01K_E20"/>
        <s v="2dms_wmts_v1_TOPO01K_E21"/>
        <s v="2dms_wmts_v1_TOPO01K_E22"/>
        <s v="2dms_wmts_v1_TOPO01K_E23"/>
        <s v="2dms_wmts_v1_TOPO01K_E24"/>
        <s v="2dms_wmts_v1_TOPO01K_E25"/>
        <s v="2dms_wmts_v1_TOPO01K_E26"/>
        <s v="2dms_wmts_v1_TOPO01K_E27"/>
        <s v="2dms_wmts_v1_TOPO01K_E28"/>
        <s v="2dms_wmts_v1_TOPO01K_E29"/>
        <s v="2dms_wmts_v1_TOPO01K_E30"/>
        <s v="2dms_wmts_v1_TOPO01K_E31"/>
        <s v="2dms_wmts_v1_TOPO01K_E32"/>
        <s v="2dms_wmts_v1_TOPO01K_E34"/>
        <s v="2dms_wmts_v1_TOPO01K_E35"/>
        <s v="2dms_wmts_v1_TOPO01K_E36"/>
        <s v="2dms_wmts_v1_TOPO01K_E37"/>
        <s v="2dms_wmts_v1_TOPO01K_E38"/>
        <s v="2dms_wmts_v1_TOPO01K_F01"/>
        <s v="2dms_wmts_v1_TOPO01K_F02"/>
        <s v="2dms_wmts_v1_TOPO01K_F03"/>
        <s v="2dms_wmts_v1_TOPO01K_F04"/>
        <s v="2dms_wmts_v1_TOPO01K_F05"/>
        <s v="2dms_wmts_v1_TOPO01K_F06"/>
        <s v="2dms_wmts_v1_TOPO01K_F07"/>
        <s v="2dms_wmts_v1_TOPO01K_F08"/>
        <s v="2dms_wmts_v1_TOPO01K_F09"/>
        <s v="2dms_wmts_v1_TOPO01K_F10"/>
        <s v="2dms_wmts_v1_TOPO01K_F11"/>
        <s v="2dms_wmts_v1_TOPO01K_F12"/>
        <s v="2dms_wmts_v1_TOPO01K_F13"/>
        <s v="2dms_wmts_v1_TOPO01K_F14"/>
        <s v="2dms_wmts_v1_TOPO01K_F15"/>
        <s v="2dms_wmts_v1_TOPO01K_F16"/>
        <s v="2dms_wmts_v1_TOPO01K_F17"/>
        <s v="2dms_wmts_v1_TOPO01K_F18"/>
        <s v="2dms_wmts_v1_TOPO01K_F19"/>
        <s v="2dms_wmts_v1_TOPO01K_F20"/>
        <s v="2dms_wmts_v1_TOPO01K_F21"/>
        <s v="2dms_wmts_v1_TOPO01K_F22"/>
        <s v="2dms_wmts_v1_TOPO01K_F23"/>
        <s v="2dms_wmts_v1_TOPO01K_F24"/>
        <s v="2dms_wmts_v1_TOPO01K_F25"/>
        <s v="2dms_wmts_v1_TOPO01K_F26"/>
        <s v="2dms_wmts_v1_TOPO01K_F27"/>
        <s v="2dms_wmts_v1_TOPO01K_F28"/>
        <s v="2dms_wmts_v1_TOPO01K_F29"/>
        <s v="2dms_wmts_v1_TOPO01K_F30"/>
        <s v="2dms_wmts_v1_TOPO01K_F31"/>
        <s v="2dms_wmts_v1_TOPO01K_F32"/>
        <s v="2dms_wmts_v1_TOPO01K_F33"/>
        <s v="2dms_wmts_v1_TOPO01K_F34"/>
        <s v="2dms_wmts_v1_TOPO01K_F35"/>
        <s v="2dms_wmts_v1_TOPO01K_F36"/>
        <s v="2dms_wmts_v1_TOPO01K_F37"/>
        <s v="2dms_wmts_v1_TOPO01K_F38"/>
        <s v="2dms_wmts_v1_TOPO01K_F39"/>
        <s v="2dms_wmts_v1_TOPO01K_F40"/>
        <s v="2dms_wmts_v1_TOPO01K_F41"/>
        <s v="2dms_wmts_v1_TOPO01K_F42"/>
        <s v="2dms_wmts_v1_TOPO01K_F43"/>
        <s v="2dms_wmts_v1_TOPO01K_F44"/>
        <s v="2dms_wmts_v1_TOPO01K_F45"/>
        <s v="2dms_wmts_v1_TOPO01K_F46"/>
        <s v="2dms_wmts_v1_TOPO01K_F47"/>
        <s v="2dms_wmts_v1_TOPO01K_F48"/>
        <s v="2dms_wmts_v1_TOPO01K_F49"/>
        <s v="2dms_wmts_v1_TOPO01K_F50"/>
        <s v="2dms_wmts_v1_TOPO01K_F51"/>
        <s v="2dms_wmts_v1_TOPO01K_F52"/>
        <s v="2dms_wmts_v1_TOPO01K_F53"/>
        <s v="2dms_wmts_v1_TOPO01K_F54"/>
        <s v="2dms_wmts_v1_TOPO01K_F55"/>
        <s v="2dms_wmts_v1_TOPO01K_F56"/>
        <s v="2dms_wmts_v1_TOPO01K_G01"/>
        <s v="2dms_wmts_v1_TOPO01K_G02"/>
        <s v="2dms_wmts_v1_TOPO01K_G03"/>
        <s v="2dms_wmts_v1_TOPO01K_G04"/>
        <s v="2dms_wmts_v1_TOPO01K_G05"/>
        <s v="2dms_wmts_v1_TOPO01K_G06"/>
        <s v="2dms_wmts_v1_TOPO01K_G07"/>
        <s v="2dms_wmts_v1_TOPO01K_G08"/>
        <s v="2dms_wmts_v1_TOPO01K_G09"/>
        <s v="2dms_wmts_v1_TOPO01K_G10"/>
        <s v="2dms_wmts_v1_TOPO01K_G11"/>
        <s v="2dms_wmts_v1_TOPO01K_G12"/>
        <s v="2dms_wmts_v1_TOPO01K_G13"/>
        <s v="2dms_wmts_v1_TOPO01K_G14"/>
        <s v="2dms_wmts_v1_TOPO01K_G15"/>
        <s v="2dms_wmts_v1_TOPO01K_H01"/>
        <s v="2dms_wmts_v1_TOPO01K_H02"/>
        <s v="2dms_wmts_v1_TOPO01K_H03"/>
        <s v="2dms_wmts_v1_TOPO01K_H04"/>
        <s v="2dms_wmts_v1_TOPO01K_H05"/>
        <s v="2dms_wmts_v1_TOPO01K_H06"/>
        <s v="2dms_wmts_v1_TOPO01K_H07"/>
        <s v="2dms_wmts_v1_TOPO01K_H08"/>
        <s v="2dms_wmts_v1_TOPO01K_H09"/>
        <s v="2dms_wmts_v1_TOPO01K_H10"/>
        <s v="2dms_wmts_v1_TOPO01K_H11"/>
        <s v="2dms_wmts_v1_TOPO01K_H12"/>
        <s v="2dms_wmts_v1_TOPO01K_H13"/>
        <s v="2dms_wmts_v1_TOPO01K_H14"/>
        <s v="2dms_wmts_v1_TOPO01K_H15"/>
        <s v="2dms_wmts_v1_TOPO01K_H16"/>
        <s v="2dms_wmts_v1_TOPO01K_H17"/>
        <s v="2dms_wmts_v1_TOPO01K_H18"/>
        <s v="2dms_wmts_v1_TOPO01K_H19"/>
        <s v="2dms_wmts_v1_TOPO01K_H20"/>
        <s v="2dms_wmts_v1_TOPO01K_H21"/>
        <s v="2dms_wmts_v1_TOPO01K_H22"/>
        <s v="2dms_wmts_v1_TOPO01K_H23"/>
        <s v="2dms_wmts_v1_TOPO01K_H24"/>
        <s v="2dms_wmts_v1_TOPO01K_H25"/>
        <s v="2dms_wmts_v1_TOPO01K_H26"/>
        <s v="2dms_wmts_v1_TOPO01K_H27"/>
        <s v="2dms_wmts_v1_TOPO01K_H28"/>
        <s v="2dms_wmts_v1_TOPO01K_H29"/>
        <s v="2dms_wmts_v1_TOPO01K_H30"/>
        <s v="2dms_wmts_v1_TOPO01K_H31"/>
        <s v="2dms_wmts_v1_TOPO01K_H32"/>
        <s v="2dms_wmts_v1_TOPO01K_H33"/>
        <s v="2dms_wmts_v1_TOPO01K_H34"/>
        <s v="2dms_wmts_v1_TOPO01K_H35"/>
        <s v="2dms_wmts_v1_TOPO01K_H36"/>
        <s v="2dms_wmts_v1_TOPO01K_H37"/>
        <s v="2dms_wmts_v1_TOPO01K_H38"/>
        <s v="2dms_wmts_v1_TOPO01K_H39"/>
        <s v="2dms_wmts_v1_TOPO01K_H40"/>
        <s v="2dms_wmts_v1_TOPO01K_H44"/>
        <s v="2dms_wmts_v1_TOPO01K_J01"/>
        <s v="2dms_wmts_v1_TOPO01K_J02"/>
        <s v="2dms_wmts_v1_TOPO01K_J03"/>
        <s v="2dms_wmts_v1_TOPO01K_J04"/>
        <s v="2dms_wmts_v1_TOPO01K_J05"/>
        <s v="2dms_wmts_v1_TOPO01K_J06"/>
        <s v="2dms_wmts_v1_TOPO01K_J07"/>
        <s v="2dms_wmts_v1_TOPO01K_J08"/>
        <s v="2dms_wmts_v1_TOPO01K_J09"/>
        <s v="2dms_wmts_v1_TOPO01K_J10"/>
        <s v="2dms_wmts_v1_TOPO01K_K01"/>
        <s v="2dms_wmts_v1_TOPO01K_K02"/>
        <s v="2dms_wmts_v1_TOPO01K_K03"/>
        <s v="2dms_wmts_v1_TOPO01K_K04"/>
        <s v="2dms_wmts_v1_TOPO01K_K05"/>
        <s v="2dms_wmts_v1_TOPO01K_K06"/>
        <s v="2dms_wmts_v1_TOPO01K_K07"/>
        <s v="2dms_wmts_v1_TOPO01K_K08"/>
        <s v="2dms_wmts_v1_TOPO01K_K09"/>
        <s v="2dms_wmts_v1_TOPO01K_K10"/>
        <s v="2dms_wmts_v1_TOPO01K_K11"/>
        <s v="2dms_wmts_v1_TOPO01K_K12"/>
        <s v="2dms_wmts_v1_TOPO01K_K13"/>
        <s v="2dms_wmts_v1_TOPO01K_K14"/>
        <s v="2dms_wmts_v1_TOPO01K_K15"/>
        <s v="2dms_wmts_v1_TOPO01K_K16"/>
        <s v="2dms_wmts_v1_TOPO01K_K17"/>
        <s v="2dms_wmts_v1_TOPO01K_K18"/>
        <s v="2dms_wmts_v1_TOPO01K_M01"/>
        <s v="2dms_wmts_v1_TOPO01K_M02"/>
        <s v="2dms_wmts_v1_TOPO01K_M03"/>
        <s v="2dms_wmts_v1_TOPO01K_M04"/>
        <s v="2dms_wmts_v1_TOPO01K_M05"/>
        <s v="2dms_wmts_v1_TOPO01K_M06"/>
        <s v="2dms_wmts_v1_TOPO01K_M07"/>
        <s v="2dms_wmts_v1_TOPO01K_M08"/>
        <s v="2dms_wmts_v1_TOPO01K_M09"/>
        <s v="2dms_wmts_v1_TOPO01K_M10"/>
        <s v="2dms_wmts_v1_TOPO01K_M11"/>
        <s v="2dms_wmts_v1_TOPO01K_M12"/>
        <s v="2dms_wmts_v1_TOPO01K_M13"/>
        <s v="2dms_wmts_v1_TOPO01K_M14"/>
        <s v="2dms_wmts_v1_TOPO01K_M15"/>
        <s v="2dms_wmts_v1_TOPO01K_M16"/>
        <s v="2dms_wmts_v1_TOPO01K_M17"/>
        <s v="2dms_wmts_v1_TOPO01K_M18"/>
        <s v="2dms_wmts_v1_TOPO01K_M19"/>
        <s v="2dms_wmts_v1_TOPO01K_M20"/>
        <s v="2dms_wmts_v1_TOPO01K_M21"/>
        <s v="2dms_wmts_v1_TOPO01K_M22"/>
        <s v="2dms_wmts_v1_TOPO01K_N01"/>
        <s v="2dms_wmts_v1_TOPO01K_N02"/>
        <s v="2dms_wmts_v1_TOPO01K_N03"/>
        <s v="2dms_wmts_v1_TOPO01K_N04"/>
        <s v="2dms_wmts_v1_TOPO01K_N05"/>
        <s v="2dms_wmts_v1_TOPO01K_N06"/>
        <s v="2dms_wmts_v1_TOPO01K_N07"/>
        <s v="2dms_wmts_v1_TOPO01K_N08"/>
        <s v="2dms_wmts_v1_TOPO01K_N09"/>
        <s v="2dms_wmts_v1_TOPO01K_N10"/>
        <s v="2dms_wmts_v1_TOPO01K_N11"/>
        <s v="2dms_wmts_v1_TOPO01K_N12"/>
        <s v="2dms_wmts_v1_TOPO01K_N13"/>
        <s v="2dms_wmts_v1_TOPO01K_N14"/>
        <s v="2dms_wmts_v1_TOPO01K_N15"/>
        <s v="2dms_wmts_v1_TOPO01K_N16"/>
        <s v="2dms_wmts_v1_TOPO01K_N17"/>
        <s v="2dms_wmts_v1_TOPO01K_N18"/>
        <s v="2dms_wmts_v1_TOPO01K_N19"/>
        <s v="2dms_wmts_v1_TOPO01K_N20"/>
        <s v="2dms_wmts_v1_TOPO01K_N21"/>
        <s v="2dms_wmts_v1_TOPO01K_N22"/>
        <s v="2dms_wmts_v1_TOPO01K_N23"/>
        <s v="2dms_wmts_v1_TOPO01K_N24"/>
        <s v="2dms_wmts_v1_TOPO01K_N25"/>
        <s v="2dms_wmts_v1_TOPO01K_N26"/>
        <s v="2dms_wmts_v1_TOPO01K_N27"/>
        <s v="2dms_wmts_v1_TOPO01K_N28"/>
        <s v="2dms_wmts_v1_TOPO01K_N29"/>
        <s v="2dms_wmts_v1_TOPO01K_N30"/>
        <s v="2dms_wmts_v1_TOPO01K_N31"/>
        <s v="2dms_wmts_v1_TOPO01K_N32"/>
        <s v="2dms_wmts_v1_TOPO01K_N33"/>
        <s v="2dms_wmts_v1_TOPO01K_N34"/>
        <s v="2dms_wmts_v1_TOPO01K_N35"/>
        <s v="2dms_wmts_v1_TOPO01K_O01"/>
        <s v="2dms_wmts_v1_TOPO01K_O03"/>
        <s v="2dms_wmts_v1_TOPO01K_O04"/>
        <s v="2dms_wmts_v1_TOPO01K_O05"/>
        <s v="2dms_wmts_v1_TOPO01K_O06"/>
        <s v="2dms_wmts_v1_TOPO01K_O07"/>
        <s v="2dms_wmts_v1_TOPO01K_O08"/>
        <s v="2dms_wmts_v1_TOPO01K_P01"/>
        <s v="2dms_wmts_v1_TOPO01K_P02"/>
        <s v="2dms_wmts_v1_TOPO01K_P03"/>
        <s v="2dms_wmts_v1_TOPO01K_P04"/>
        <s v="2dms_wmts_v1_TOPO01K_P05"/>
        <s v="2dms_wmts_v1_TOPO01K_P06"/>
        <s v="2dms_wmts_v1_TOPO01K_P07"/>
        <s v="2dms_wmts_v1_TOPO01K_P08"/>
        <s v="2dms_wmts_v1_TOPO01K_P09"/>
        <s v="2dms_wmts_v1_TOPO01K_P10"/>
        <s v="2dms_wmts_v1_TOPO01K_P11"/>
        <s v="2dms_wmts_v1_TOPO01K_P12"/>
        <s v="2dms_wmts_v1_TOPO01K_P13"/>
        <s v="2dms_wmts_v1_TOPO01K_P14"/>
        <s v="2dms_wmts_v1_TOPO01K_P15"/>
        <s v="2dms_wmts_v1_TOPO01K_Q01"/>
        <s v="2dms_wmts_v1_TOPO01K_Q02"/>
        <s v="2dms_wmts_v1_TOPO01K_Q03"/>
        <s v="2dms_wmts_v1_TOPO01K_Q04"/>
        <s v="2dms_wmts_v1_TOPO01K_Q05"/>
        <s v="2dms_wmts_v1_TOPO01K_Q06"/>
        <s v="2dms_wmts_v1_TOPO01K_Q07"/>
        <s v="2dms_wmts_v1_TOPO01K_Q08"/>
        <s v="2dms_wmts_v1_TOPO01K_Q09"/>
        <s v="2dms_wmts_v1_TOPO01K_Q10"/>
        <s v="2dms_wmts_v1_TOPO01K_Q11"/>
        <s v="2dms_wmts_v1_TOPO01K_Q12"/>
        <s v="2dms_wmts_v1_TOPO01K_Q13"/>
        <s v="2dms_wmts_v1_TOPO01K_Q14"/>
        <s v="2dms_wmts_v1_TOPO01K_Q15"/>
        <s v="2dms_wmts_v1_TOPO01K_Q16"/>
        <s v="2dms_wmts_v1_TOPO01K_Q17"/>
        <s v="2dms_wmts_v1_TOPO01K_Q18"/>
        <s v="2dms_wmts_v1_TOPO01K_Q19"/>
        <s v="2dms_wmts_v1_TOPO01K_Q20"/>
        <s v="2dms_wmts_v1_TOPO01K_Q21"/>
        <s v="2dms_wmts_v1_TOPO01K_Q22"/>
        <s v="2dms_wmts_v1_TOPO01K_Q23"/>
        <s v="2dms_wmts_v1_TOPO01K_Q24"/>
        <s v="2dms_wmts_v1_TOPO01K_Q25"/>
        <s v="2dms_wmts_v1_TOPO01K_Q26"/>
        <s v="2dms_wmts_v1_TOPO01K_Q27"/>
        <s v="2dms_wmts_v1_TOPO01K_Q29"/>
        <s v="2dms_wmts_v1_TOPO01K_T01"/>
        <s v="2dms_wmts_v1_TOPO01K_T02"/>
        <s v="2dms_wmts_v1_TOPO01K_T03"/>
        <s v="2dms_wmts_v1_TOPO01K_T04"/>
        <s v="2dms_wmts_v1_TOPO01K_T05"/>
        <s v="2dms_wmts_v1_TOPO01K_T06"/>
        <s v="2dms_wmts_v1_TOPO01K_T07"/>
        <s v="2dms_wmts_v1_TOPO01K_T08"/>
        <s v="2dms_wmts_v1_TOPO01K_T09"/>
        <s v="2dms_wmts_v1_TOPO01K_T10"/>
        <s v="2dms_wmts_v1_TOPO01K_T11"/>
        <s v="2dms_wmts_v1_TOPO01K_T12"/>
        <s v="2dms_wmts_v1_TOPO01K_T13"/>
        <s v="2dms_wmts_v1_TOPO01K_T14"/>
        <s v="2dms_wmts_v1_TOPO01K_T15"/>
        <s v="2dms_wmts_v1_TOPO01K_T16"/>
        <s v="2dms_wmts_v1_TOPO01K_T17"/>
        <s v="2dms_wmts_v1_TOPO01K_T18"/>
        <s v="2dms_wmts_v1_TOPO01K_T19"/>
        <s v="2dms_wmts_v1_TOPO01K_T20"/>
        <s v="2dms_wmts_v1_TOPO01K_T21"/>
        <s v="2dms_wmts_v1_TOPO01K_T22"/>
        <s v="2dms_wmts_v1_TOPO01K_T23"/>
        <s v="2dms_wmts_v1_TOPO01K_T24"/>
        <s v="2dms_wmts_v1_TOPO01K_T25"/>
        <s v="2dms_wmts_v1_TOPO01K_T26"/>
        <s v="2dms_wmts_v1_TOPO01K_T27"/>
        <s v="2dms_wmts_v1_TOPO01K_T28"/>
        <s v="2dms_wmts_v1_TOPO01K_T29"/>
        <s v="2dms_wmts_v1_TOPO01K_T30"/>
        <s v="2dms_wmts_v1_TOPO01K_T31"/>
        <s v="2dms_wmts_v1_TOPO01K_T32"/>
        <s v="2dms_wmts_v1_TOPO01K_U01"/>
        <s v="2dms_wmts_v1_TOPO01K_U02"/>
        <s v="2dms_wmts_v1_TOPO01K_U03"/>
        <s v="2dms_wmts_v1_TOPO01K_U04"/>
        <s v="2dms_wmts_v1_TOPO01K_U05"/>
        <s v="2dms_wmts_v1_TOPO01K_U06"/>
        <s v="2dms_wmts_v1_TOPO01K_U07"/>
        <s v="2dms_wmts_v1_TOPO01K_U08"/>
        <s v="2dms_wmts_v1_TOPO01K_U09"/>
        <s v="2dms_wmts_v1_TOPO01K_U10"/>
        <s v="2dms_wmts_v1_TOPO01K_U11"/>
        <s v="2dms_wmts_v1_TOPO01K_U12"/>
        <s v="2dms_wmts_v1_TOPO01K_U13"/>
        <s v="2dms_wmts_v1_TOPO01K_U14"/>
        <s v="2dms_wmts_v1_TOPO01K_U15"/>
        <s v="2dms_wmts_v1_TOPO01K_U16"/>
        <s v="2dms_wmts_v1_TOPO01K_U17"/>
        <s v="2dms_wmts_v1_TOPO01K_U18"/>
        <s v="2dms_wmts_v1_TOPO01K_U19"/>
        <s v="2dms_wmts_v1_TOPO01K_U20"/>
        <s v="2dms_wmts_v1_TOPO01K_U21"/>
        <s v="2dms_wmts_v1_TOPO01K_U22"/>
        <s v="2dms_wmts_v1_TOPO01K_U23"/>
        <s v="2dms_wmts_v1_TOPO01K_U24"/>
        <s v="2dms_wmts_v1_TOPO01K_U25"/>
        <s v="2dms_wmts_v1_TOPO01K_U26"/>
        <s v="2dms_wmts_v1_TOPO01K_V01"/>
        <s v="2dms_wmts_v1_TOPO01K_V02"/>
        <s v="2dms_wmts_v1_TOPO01K_V03"/>
        <s v="2dms_wmts_v1_TOPO01K_V04"/>
        <s v="2dms_wmts_v1_TOPO01K_V05"/>
        <s v="2dms_wmts_v1_TOPO01K_V06"/>
        <s v="2dms_wmts_v1_TOPO01K_V07"/>
        <s v="2dms_wmts_v1_TOPO01K_V08"/>
        <s v="2dms_wmts_v1_TOPO01K_V09"/>
        <s v="2dms_wmts_v1_TOPO01K_V10"/>
        <s v="2dms_wmts_v1_TOPO01K_V11"/>
        <s v="2dms_wmts_v1_TOPO01K_V12"/>
        <s v="2dms_wmts_v1_TOPO01K_V13"/>
        <s v="2dms_wmts_v1_TOPO01K_V14"/>
        <s v="2dms_wmts_v1_TOPO01K_V15"/>
        <s v="2dms_wmts_v1_TOPO01K_V16"/>
        <s v="2dms_wmts_v1_TOPO01K_V17"/>
        <s v="2dms_wmts_v1_TOPO01K_V18"/>
        <s v="2dms_wmts_v1_TOPO01K_V19"/>
        <s v="2dms_wmts_v1_TOPO01K_V20"/>
        <s v="2dms_wmts_v1_TOPO01K_W01"/>
        <s v="2dms_wmts_v1_TOPO01K_W02"/>
        <s v="2dms_wmts_v1_TOPO01K_X01"/>
        <s v="2dms_wmts_v1_TOPO01K_X02"/>
        <s v="2dms_wmts_v1_TOPO01K_X03"/>
        <s v="2dms_wmts_v1_TOPO01K_X04"/>
        <s v="2dms_wmts_v1_TOPO01K_X05"/>
        <s v="2dms_wmts_v1_TOPO01K_X06"/>
        <s v="2dms_wmts_v1_TOPO01K_X07"/>
        <s v="2dms_wmts_v1_TOPO01K_X08"/>
        <s v="2dms_wmts_v1_TOPO01K_Z01"/>
        <s v="2dms_wmts_v1_TOPO05K100"/>
        <s v="2dms_wmts_v1_TOPO05K101"/>
        <s v="2dms_wmts_v1_TOPO05K102"/>
        <s v="2dms_wmts_v1_TOPO05K103"/>
        <s v="2dms_wmts_v1_TOPO05K104"/>
        <s v="2dms_wmts_v1_TOPO05K105"/>
        <s v="2dms_wmts_v1_TOPO05K106"/>
        <s v="2dms_wmts_v1_TOPO05K107"/>
        <s v="2dms_wmts_v1_TOPO05K108"/>
        <s v="2dms_wmts_v1_TOPO05K109"/>
        <s v="2dms_wmts_v1_TOPO05K110"/>
        <s v="2dms_wmts_v1_TOPO05K111"/>
        <s v="2dms_wmts_v1_TOPO05K84"/>
        <s v="2dms_wmts_v1_TOPO05K86"/>
        <s v="2dms_wmts_v1_TOPO05K87"/>
        <s v="2dms_wmts_v1_TOPO05K88"/>
        <s v="2dms_wmts_v1_TOPO05K90"/>
        <s v="2dms_wmts_v1_TOPO05K91"/>
        <s v="2dms_wmts_v1_TOPO05K92"/>
        <s v="2dms_wmts_v1_TOPO05K96"/>
        <s v="2dms_wmts_v1_TOPO05K98"/>
        <s v="2dms_wmts_v1_TOPO05K99"/>
        <s v="2dms_wmts_v1_TOPO05KPHOTO065"/>
        <s v="2dms_wmts_v1_TOPO05KPHOTO066"/>
        <s v="2dms_wmts_v1_TOPO05KPHOTO067"/>
        <s v="2dms_wmts_v1_TOPO05KPHOTO068"/>
        <s v="2dms_wmts_v1_TOPO05KPHOTO069"/>
        <s v="2dms_wmts_v1_TOPO05KPHOTO070"/>
        <s v="2dms_wmts_v1_TOPO05KPHOTO071"/>
        <s v="2dms_wmts_v1_TOPO05KPHOTO072"/>
        <s v="2dms_wmts_v1_TOPO05KPHOTO073"/>
        <s v="2dms_wmts_v1_TOPO05KPHOTO074"/>
        <s v="2dms_wmts_v1_TOPO05KPHOTO075"/>
        <s v="2dms_wmts_v1_TOPO05KPHOTO076"/>
        <s v="2dms_wmts_v1_TOPO05KPHOTO078"/>
        <s v="2dms_wmts_v1_TOPO05KPHOTO079"/>
        <s v="2dms_wmts_v1_TOPO05KPHOTO080"/>
        <s v="2dms_wmts_v1_TOPO05KPHOTO081"/>
        <s v="2dms_wmts_v1_TOPO05KPHOTO083"/>
        <s v="2dms_wmts_v1_TOPO05KPHOTO084"/>
        <s v="2dms_wmts_v1_TOPO05KPHOTO086"/>
        <s v="2dms_wmts_v1_TOPO05KPHOTO087"/>
        <s v="2dms_wmts_v1_TOPO05KPHOTO088"/>
        <s v="2dms_wmts_v1_TOPO05KPHOTO089"/>
        <s v="2dms_wmts_v1_TOPO05KPHOTO090"/>
        <s v="2dms_wmts_v1_TOPO05KPHOTO091"/>
        <s v="2dms_wmts_v1_TOPO05KPHOTO092"/>
        <s v="2dms_wmts_v1_TOPO05KPHOTO093"/>
        <s v="2dms_wmts_v1_TOPO05KPHOTO094"/>
        <s v="2dms_wmts_v1_TOPO05KPHOTO095"/>
        <s v="2dms_wmts_v1_TOPO05KPHOTO096"/>
        <s v="2dms_wmts_v1_TOPO05KPHOTO097"/>
        <s v="2dms_wmts_v1_TOPO05KPHOTO098"/>
        <s v="2dms_wmts_v1_TOPO05KPHOTO099"/>
        <s v="2dms_wmts_v1_TOPO05KPHOTO100"/>
        <s v="2dms_wmts_v1_TOPO05KPHOTO101"/>
        <s v="2dms_wmts_v1_TOPO05KPHOTO102"/>
        <s v="2dms_wmts_v1_TOPO05KPHOTO103"/>
        <s v="2dms_wmts_v1_TOPO05KPHOTO104"/>
        <s v="2dms_wmts_v1_TOPO05KPHOTO105"/>
        <s v="2dms_wmts_v1_TOPO05KPHOTO106"/>
        <s v="2dms_wmts_v1_TOPO05KPHOTO107"/>
        <s v="2dms_wmts_v1_TOPO05KPHOTO108"/>
        <s v="2dms_wmts_v1_TOPO05KPHOTO109"/>
        <s v="2dms_wmts_v1_TOPO05KPHOTO110"/>
        <s v="2dms_wmts_v1_TOPO05KPHOTO111"/>
        <s v="2dms_wmts_v1_TOPO05KPHOTO112"/>
        <s v="2dms_wmts_v1_TOPO05KPHOTO113"/>
        <s v="2dms_wmts_v1_TOPO05KPHOTO114"/>
        <s v="2dms_wmts_v1_TOPO10KPHOTO"/>
        <s v="2dms_wmts_v1_TOPO10M107"/>
        <s v="2dms_wmts_v1_TOPO10M109"/>
        <s v="2dms_wmts_v1_TOPO10M110"/>
        <s v="2dms_wmts_v1_TOPO10M111"/>
        <s v="2dms_wmts_v1_TOPO10M112"/>
        <s v="2dms_wmts_v1_TOPO10M113"/>
        <s v="2dms_wmts_v1_TOPO10M114"/>
        <s v="2dms_wmts_v1_TOPO25K107"/>
        <s v="2dms_wmts_v1_TOPO25K108"/>
        <s v="2dms_wmts_v1_TOPO25K109"/>
        <s v="2dms_wmts_v1_TOPO25K110"/>
        <s v="2dms_wmts_v1_TOPO25K111"/>
        <s v="2dms_wmts_v1_TOPO25K112"/>
        <s v="2dms_wmts_v1_TOPO25K113"/>
        <s v="2dms_wmts_v1_TOPO25K114"/>
        <s v="2dms_wmts_v1_TOPO50K107"/>
        <s v="2dms_wmts_v1_TOPO50K109"/>
        <s v="2dms_wmts_v1_TOPO50K110"/>
        <s v="2dms_wmts_v1_TOPO50K111"/>
        <s v="2dms_wmts_v1_TOPO50K112"/>
        <s v="2dms_wmts_v1_TOPO50K113"/>
        <s v="2dms_wmts_v1_TOPON1K_B04"/>
        <s v="2dms_wmts_v1_TOPON1K_B11"/>
        <s v="2dms_wmts_v1_TOPON1K_B14"/>
        <s v="2dms_wmts_v1_TOPON1K_B15"/>
        <s v="2dms_wmts_v1_TOPON1K_B20"/>
        <s v="2dms_wmts_v1_TOPON1K_B22"/>
        <s v="2dms_wmts_v1_TOPON1K_B25"/>
        <s v="2dms_wmts_v1_TOPON1K_D03"/>
        <s v="2dms_wmts_v1_TOPON1K_D04"/>
        <s v="2dms_wmts_v1_TOPON1K_D05"/>
        <s v="2dms_wmts_v1_TOPON1K_D08"/>
        <s v="2dms_wmts_v1_TOPON1K_D12"/>
        <s v="2dms_wmts_v1_TOPON1K_E02"/>
        <s v="2dms_wmts_v1_TOPON1K_E03"/>
        <s v="2dms_wmts_v1_TOPON1K_E32"/>
        <s v="2dms_wmts_v1_TOPON1K_G01"/>
        <s v="2dms_wmts_v1_TOPON1K_G04"/>
        <s v="2dms_wmts_v1_TOPON1K_G06"/>
        <s v="2dms_wmts_v1_TOPON1K_G09"/>
        <s v="2dms_wmts_v1_TOPON1K_G11"/>
        <s v="2dms_wmts_v1_TOPON1K_G15"/>
        <s v="2dms_wmts_v1_TOPON1K_G16"/>
        <s v="2dms_wmts_v1_TOPON1K_G17"/>
        <s v="2dms_wmts_v1_TOPON1K_G18"/>
        <s v="2dms_wmts_v1_TOPON1K_G19"/>
        <s v="2dms_wmts_v1_TOPON1K_G20"/>
        <s v="2dms_wmts_v1_TOPON1K_H18"/>
        <s v="2dms_wmts_v1_TOPON1K_H19"/>
        <s v="2dms_wmts_v1_TOPON1K_H20"/>
        <s v="2dms_wmts_v1_TOPON1K_H21"/>
        <s v="2dms_wmts_v1_TOPON1K_H31"/>
        <s v="2dms_wmts_v1_TOPON1K_J01"/>
        <s v="2dms_wmts_v1_TOPON1K_J06"/>
        <s v="2dms_wmts_v1_TOPON1K_J13"/>
        <s v="2dms_wmts_v1_TOPON1K_J16"/>
        <s v="2dms_wmts_v1_TOPON1K_J17"/>
        <s v="2dms_wmts_v1_TOPON1K_K01"/>
        <s v="2dms_wmts_v1_TOPON1K_K02"/>
        <s v="2dms_wmts_v1_TOPON1K_K14"/>
        <s v="2dms_wmts_v1_TOPON1K_M01"/>
        <s v="2dms_wmts_v1_TOPON1K_M02"/>
        <s v="2dms_wmts_v1_TOPON1K_M04"/>
        <s v="2dms_wmts_v1_TOPON1K_N01"/>
        <s v="2dms_wmts_v1_TOPON1K_N02"/>
        <s v="2dms_wmts_v1_TOPON1K_P01"/>
        <s v="2dms_wmts_v1_TOPON1K_P10"/>
        <s v="2dms_wmts_v1_TOPON1K_P12"/>
        <s v="2dms_wmts_v1_TOPON1K_P13"/>
        <s v="2dms_wmts_v1_TOPON1K_P22"/>
        <s v="2dms_wmts_v1_TOPON1K_P24"/>
        <s v="2dms_wmts_v1_TOPON1K_P25"/>
        <s v="2dms_wmts_v1_TOPON1K_Q02"/>
        <s v="2dms_wmts_v1_TOPON1K_Q06"/>
        <s v="2dms_wmts_v1_TOPON1K_Q07"/>
        <s v="2dms_wmts_v1_TOPON1K_Q19"/>
        <s v="2dms_wmts_v1_TOPON1K_Q21"/>
        <s v="2dms_wmts_v1_TOPON1K_Q22"/>
        <s v="2dms_wmts_v1_TOPON1K_Q26"/>
        <s v="2dms_wmts_v1_TOPON1K_Q27"/>
        <s v="2dms_wmts_v1_TOPON1K_Q28"/>
        <s v="2dms_wmts_v1_TOPON1K_Q29"/>
        <s v="2dms_wmts_v1_TOPON1K_Q30"/>
        <s v="2dms_wmts_v1_TOPON1K_Q31"/>
        <s v="2dms_wmts_v1_TOPON1K_T01"/>
        <s v="2dms_wmts_v1_TOPON1K_T03"/>
        <s v="2dms_wmts_v1_TOPON1K_T08"/>
        <s v="2dms_wmts_v1_TOPON1K_T20"/>
        <s v="2dms_wmts_v1_TOPON1K_T30"/>
        <s v="2dms_wmts_v1_TOPON1K_U20"/>
        <s v="2dms_wmts_v1_TOPON1K_V01"/>
        <s v="2dms_wmts_v1_TOPON1K_V02"/>
        <s v="2dms_wmts_v1_TOPON1K_X01"/>
        <s v="2dms_wmts_v1_TOPON1K_X02"/>
        <s v="2dms_wmts_v1_TOPON1K_X03"/>
        <s v="2dms_wmts_v1_TOPON1K_X04"/>
        <s v="2dms_wmts_v1_TOPON1K_X05"/>
        <s v="2dms_wmts_v1_TOPON1K_X06"/>
        <s v="2dms_wmts_v1_TOPON1K_X07"/>
        <s v="2dms_wmts_v1_TOPON1K_X08"/>
        <s v="2dms_wmts_v1_TOPON1KPHOTO_B04"/>
        <s v="2dms_wmts_v1_TOPON1KPHOTO_B11"/>
        <s v="2dms_wmts_v1_TOPON1KPHOTO_B14"/>
        <s v="2dms_wmts_v1_TOPON1KPHOTO_B15"/>
        <s v="2dms_wmts_v1_TOPON1KPHOTO_B20"/>
        <s v="2dms_wmts_v1_TOPON1KPHOTO_B22"/>
        <s v="2dms_wmts_v1_TOPON1KPHOTO_B25"/>
        <s v="2dms_wmts_v1_TOPON1KPHOTO_D03"/>
        <s v="2dms_wmts_v1_TOPON1KPHOTO_D04"/>
        <s v="2dms_wmts_v1_TOPON1KPHOTO_D05"/>
        <s v="2dms_wmts_v1_TOPON1KPHOTO_D08"/>
        <s v="2dms_wmts_v1_TOPON1KPHOTO_D12"/>
        <s v="2dms_wmts_v1_TOPON1KPHOTO_E02"/>
        <s v="2dms_wmts_v1_TOPON1KPHOTO_E03"/>
        <s v="2dms_wmts_v1_TOPON1KPHOTO_E32"/>
        <s v="2dms_wmts_v1_TOPON1KPHOTO_G01"/>
        <s v="2dms_wmts_v1_TOPON1KPHOTO_G04"/>
        <s v="2dms_wmts_v1_TOPON1KPHOTO_G06"/>
        <s v="2dms_wmts_v1_TOPON1KPHOTO_G09"/>
        <s v="2dms_wmts_v1_TOPON1KPHOTO_G11"/>
        <s v="2dms_wmts_v1_TOPON1KPHOTO_G15"/>
        <s v="2dms_wmts_v1_TOPON1KPHOTO_G16"/>
        <s v="2dms_wmts_v1_TOPON1KPHOTO_G17"/>
        <s v="2dms_wmts_v1_TOPON1KPHOTO_G18"/>
        <s v="2dms_wmts_v1_TOPON1KPHOTO_G19"/>
        <s v="2dms_wmts_v1_TOPON1KPHOTO_G20"/>
        <s v="2dms_wmts_v1_TOPON1KPHOTO_H18"/>
        <s v="2dms_wmts_v1_TOPON1KPHOTO_H19"/>
        <s v="2dms_wmts_v1_TOPON1KPHOTO_H20"/>
        <s v="2dms_wmts_v1_TOPON1KPHOTO_H21"/>
        <s v="2dms_wmts_v1_TOPON1KPHOTO_H31"/>
        <s v="2dms_wmts_v1_TOPON1KPHOTO_J01"/>
        <s v="2dms_wmts_v1_TOPON1KPHOTO_J06"/>
        <s v="2dms_wmts_v1_TOPON1KPHOTO_J13"/>
        <s v="2dms_wmts_v1_TOPON1KPHOTO_J16"/>
        <s v="2dms_wmts_v1_TOPON1KPHOTO_J17"/>
        <s v="2dms_wmts_v1_TOPON1KPHOTO_K01"/>
        <s v="2dms_wmts_v1_TOPON1KPHOTO_K02"/>
        <s v="2dms_wmts_v1_TOPON1KPHOTO_K14"/>
        <s v="2dms_wmts_v1_TOPON1KPHOTO_M01"/>
        <s v="2dms_wmts_v1_TOPON1KPHOTO_M02"/>
        <s v="2dms_wmts_v1_TOPON1KPHOTO_M04"/>
        <s v="2dms_wmts_v1_TOPON1KPHOTO_N01"/>
        <s v="2dms_wmts_v1_TOPON1KPHOTO_N02"/>
        <s v="2dms_wmts_v1_TOPON1KPHOTO_P01"/>
        <s v="2dms_wmts_v1_TOPON1KPHOTO_P10"/>
        <s v="2dms_wmts_v1_TOPON1KPHOTO_P12"/>
        <s v="2dms_wmts_v1_TOPON1KPHOTO_P13"/>
        <s v="2dms_wmts_v1_TOPON1KPHOTO_P22"/>
        <s v="2dms_wmts_v1_TOPON1KPHOTO_P24"/>
        <s v="2dms_wmts_v1_TOPON1KPHOTO_P25"/>
        <s v="2dms_wmts_v1_TOPON1KPHOTO_Q02"/>
        <s v="2dms_wmts_v1_TOPON1KPHOTO_Q06"/>
        <s v="2dms_wmts_v1_TOPON1KPHOTO_Q07"/>
        <s v="2dms_wmts_v1_TOPON1KPHOTO_Q19"/>
        <s v="2dms_wmts_v1_TOPON1KPHOTO_Q21"/>
        <s v="2dms_wmts_v1_TOPON1KPHOTO_Q22"/>
        <s v="2dms_wmts_v1_TOPON1KPHOTO_Q26"/>
        <s v="2dms_wmts_v1_TOPON1KPHOTO_Q27"/>
        <s v="2dms_wmts_v1_TOPON1KPHOTO_Q28"/>
        <s v="2dms_wmts_v1_TOPON1KPHOTO_Q29"/>
        <s v="2dms_wmts_v1_TOPON1KPHOTO_Q30"/>
        <s v="2dms_wmts_v1_TOPON1KPHOTO_Q31"/>
        <s v="2dms_wmts_v1_TOPON1KPHOTO_T01"/>
        <s v="2dms_wmts_v1_TOPON1KPHOTO_T03"/>
        <s v="2dms_wmts_v1_TOPON1KPHOTO_T08"/>
        <s v="2dms_wmts_v1_TOPON1KPHOTO_T20"/>
        <s v="2dms_wmts_v1_TOPON1KPHOTO_T30"/>
        <s v="2dms_wmts_v1_TOPON1KPHOTO_U20"/>
        <s v="2dms_wmts_v1_TOPON1KPHOTO_V01"/>
        <s v="2dms_wmts_v1_TOPON1KPHOTO_V02"/>
        <s v="2dms_wmts_v1_TOPON1KPHOTO_X01"/>
        <s v="2dms_wmts_v1_TOPON1KPHOTO_X02"/>
        <s v="2dms_wmts_v1_TOPON1KPHOTO_X03"/>
        <s v="2dms_wmts_v1_TOPON1KPHOTO_X04"/>
        <s v="2dms_wmts_v1_TOPON1KPHOTO_X05"/>
        <s v="2dms_wmts_v1_TOPON1KPHOTO_X06"/>
        <s v="2dms_wmts_v1_TOPON1KPHOTO_X07"/>
        <s v="2dms_wmts_v1_TOPON1KPHOTO_X08"/>
        <s v="2dms_wmts_v1_TOWN"/>
        <s v="2dms_wmts_v1_UAV101D01"/>
        <s v="2dms_wmts_v1_UAV101D02"/>
        <s v="2dms_wmts_v1_UAV101K01"/>
        <s v="2dms_wmts_v1_UAV101K02"/>
        <s v="2dms_wmts_v1_UAV101Q01"/>
        <s v="2dms_wmts_v1_UAV101T01"/>
        <s v="2dms_wmts_v1_UAV101U01"/>
        <s v="2dms_wmts_v1_UAV101U02"/>
        <s v="2dms_wmts_v1_UAV101V01"/>
        <s v="2dms_wmts_v1_UAV102D01"/>
        <s v="2dms_wmts_v1_UAV102D02"/>
        <s v="2dms_wmts_v1_UAV102D03"/>
        <s v="2dms_wmts_v1_UAV102H01"/>
        <s v="2dms_wmts_v1_UAV102M01"/>
        <s v="2dms_wmts_v1_UAV102N01"/>
        <s v="2dms_wmts_v1_UAV102Q01"/>
        <s v="2dms_wmts_v1_UAV102Q02"/>
        <s v="2dms_wmts_v1_UAV102T01"/>
        <s v="2dms_wmts_v1_UAV102T02"/>
        <s v="2dms_wmts_v1_UAV102V01"/>
        <s v="2dms_wmts_v1_UAV103D01"/>
        <s v="2dms_wmts_v1_UAV103D03"/>
        <s v="2dms_wmts_v1_UAV103D04"/>
        <s v="2dms_wmts_v1_UAV103H01"/>
        <s v="2dms_wmts_v1_UAV103K01"/>
        <s v="2dms_wmts_v1_UAV103M01"/>
        <s v="2dms_wmts_v1_UAV103M02"/>
        <s v="2dms_wmts_v1_UAV103M03"/>
        <s v="2dms_wmts_v1_UAV103M04"/>
        <s v="2dms_wmts_v1_UAV103N01"/>
        <s v="2dms_wmts_v1_UAV103P01"/>
        <s v="2dms_wmts_v1_UAV103Q01"/>
        <s v="2dms_wmts_v1_UAV103T01"/>
        <s v="2dms_wmts_v1_UAV104D02"/>
        <s v="2dms_wmts_v1_UAV104D03"/>
        <s v="2dms_wmts_v1_UAV104D04"/>
        <s v="2dms_wmts_v1_UAV104E01"/>
        <s v="2dms_wmts_v1_UAV104E02"/>
        <s v="2dms_wmts_v1_UAV104E03"/>
        <s v="2dms_wmts_v1_UAV104K01"/>
        <s v="2dms_wmts_v1_UAV104K02"/>
        <s v="2dms_wmts_v1_UAV104N01"/>
        <s v="2dms_wmts_v1_UAV104P01"/>
        <s v="2dms_wmts_v1_UAV104T01"/>
        <s v="2dms_wmts_v1_UAV105A01"/>
        <s v="2dms_wmts_v1_UAV105A02"/>
        <s v="2dms_wmts_v1_UAV105A03"/>
        <s v="2dms_wmts_v1_UAV105B01"/>
        <s v="2dms_wmts_v1_UAV105B02"/>
        <s v="2dms_wmts_v1_UAV105B03"/>
        <s v="2dms_wmts_v1_UAV105B04"/>
        <s v="2dms_wmts_v1_UAV105B05"/>
        <s v="2dms_wmts_v1_UAV105B06"/>
        <s v="2dms_wmts_v1_UAV105B07"/>
        <s v="2dms_wmts_v1_UAV105B08"/>
        <s v="2dms_wmts_v1_UAV105B09"/>
        <s v="2dms_wmts_v1_UAV105B10"/>
        <s v="2dms_wmts_v1_UAV105B11"/>
        <s v="2dms_wmts_v1_UAV105B12"/>
        <s v="2dms_wmts_v1_UAV105B13"/>
        <s v="2dms_wmts_v1_UAV105B14"/>
        <s v="2dms_wmts_v1_UAV105B15"/>
        <s v="2dms_wmts_v1_UAV105H01"/>
        <s v="2dms_wmts_v1_UAV105H02"/>
        <s v="2dms_wmts_v1_UAV105H03"/>
        <s v="2dms_wmts_v1_UAV105H04"/>
        <s v="2dms_wmts_v1_UAV105M01"/>
        <s v="2dms_wmts_v1_UAV105M02"/>
        <s v="2dms_wmts_v1_UAV105N01"/>
        <s v="2dms_wmts_v1_UAV105O01"/>
        <s v="2dms_wmts_v1_UAV105P01"/>
        <s v="2dms_wmts_v1_UAV105P02"/>
        <s v="2dms_wmts_v1_UAV105P03"/>
        <s v="2dms_wmts_v1_UAV105U01"/>
        <s v="2dms_wmts_v1_UAV106A01"/>
        <s v="2dms_wmts_v1_UAV106A02"/>
        <s v="2dms_wmts_v1_UAV106A03"/>
        <s v="2dms_wmts_v1_UAV106D01"/>
        <s v="2dms_wmts_v1_UAV106D02"/>
        <s v="2dms_wmts_v1_UAV106D03"/>
        <s v="2dms_wmts_v1_UAV106F01"/>
        <s v="2dms_wmts_v1_UAV106F02"/>
        <s v="2dms_wmts_v1_UAV106H01"/>
        <s v="2dms_wmts_v1_UAV106H02"/>
        <s v="2dms_wmts_v1_UAV106H03"/>
        <s v="2dms_wmts_v1_UAV106I01"/>
        <s v="2dms_wmts_v1_UAV106I02"/>
        <s v="2dms_wmts_v1_UAV106K01"/>
        <s v="2dms_wmts_v1_UAV106M01"/>
        <s v="2dms_wmts_v1_UAV106N01"/>
        <s v="2dms_wmts_v1_UAV106O01"/>
        <s v="2dms_wmts_v1_UAV106P01"/>
        <s v="2dms_wmts_v1_UAV106U01"/>
        <s v="2dms_wmts_v1_UAV107A01"/>
        <s v="2dms_wmts_v1_UAV107A02"/>
        <s v="2dms_wmts_v1_UAV107A03"/>
        <s v="2dms_wmts_v1_UAV107B01"/>
        <s v="2dms_wmts_v1_UAV107B02"/>
        <s v="2dms_wmts_v1_UAV107D01"/>
        <s v="2dms_wmts_v1_UAV107F01"/>
        <s v="2dms_wmts_v1_UAV107G01"/>
        <s v="2dms_wmts_v1_UAV107J01"/>
        <s v="2dms_wmts_v1_UAV107J02"/>
        <s v="2dms_wmts_v1_UAV107K01"/>
        <s v="2dms_wmts_v1_UAV107K02"/>
        <s v="2dms_wmts_v1_UAV107O01"/>
        <s v="2dms_wmts_v1_UAV107T01"/>
        <s v="2dms_wmts_v1_UAV107T02"/>
        <s v="2dms_wmts_v1_UAV108A01"/>
        <s v="2dms_wmts_v1_UAV108A02"/>
        <s v="2dms_wmts_v1_UAV108A03"/>
        <s v="2dms_wmts_v1_UAV108B01"/>
        <s v="2dms_wmts_v1_UAV108D01"/>
        <s v="2dms_wmts_v1_UAV108D02"/>
        <s v="2dms_wmts_v1_UAV108D03"/>
        <s v="2dms_wmts_v1_UAV108D04"/>
        <s v="2dms_wmts_v1_UAV108D05"/>
        <s v="2dms_wmts_v1_UAV108E01"/>
        <s v="2dms_wmts_v1_UAV108G01"/>
        <s v="2dms_wmts_v1_UAV108Q01"/>
        <s v="2dms_wmts_v1_UAV108Q02"/>
        <s v="2dms_wmts_v1_UAV109A01"/>
        <s v="2dms_wmts_v1_UAV109B01"/>
        <s v="2dms_wmts_v1_UAV109D01"/>
        <s v="2dms_wmts_v1_UAV109E01"/>
        <s v="2dms_wmts_v1_UAV109K01"/>
        <s v="2dms_wmts_v1_UAV109K02"/>
        <s v="2dms_wmts_v1_UAV109P01"/>
        <s v="2dms_wmts_v1_UAV109Q01"/>
        <s v="2dms_wmts_v1_UAV109T01"/>
        <s v="2dms_wmts_v1_UAV109T02"/>
        <s v="2dms_wmts_v1_UAV109T03"/>
        <s v="2dms_wmts_v1_UAV109U01"/>
        <s v="2dms_wmts_v1_UAV109U02"/>
        <s v="2dms_wmts_v1_UAV109U03"/>
        <s v="2dms_wmts_v1_UAV110A01"/>
        <s v="2dms_wmts_v1_UAV110B01"/>
        <s v="2dms_wmts_v1_UAV110B02"/>
        <s v="2dms_wmts_v1_UAV110B03"/>
        <s v="2dms_wmts_v1_UAV110D01"/>
        <s v="2dms_wmts_v1_UAV110D02"/>
        <s v="2dms_wmts_v1_UAV110D03"/>
        <s v="2dms_wmts_v1_UAV110D04"/>
        <s v="2dms_wmts_v1_UAV110D05 "/>
        <s v="2dms_wmts_v1_UAV110D06"/>
        <s v="2dms_wmts_v1_UAV110D07 "/>
        <s v="2dms_wmts_v1_UAV110D08 "/>
        <s v="2dms_wmts_v1_UAV110E02"/>
        <s v="2dms_wmts_v1_UAV110N01 "/>
        <s v="2dms_wmts_v1_UAV110Q01"/>
        <s v="2dms_wmts_v1_UAV110Q02"/>
        <s v="2dms_wmts_v1_UAV111A02"/>
        <s v="2dms_wmts_v1_UAV111A03 "/>
        <s v="2dms_wmts_v1_UAV111A04"/>
        <s v="2dms_wmts_v1_UAV111A05"/>
        <s v="2dms_wmts_v1_UAV111A06 "/>
        <s v="2dms_wmts_v1_UAV111D01"/>
        <s v="2dms_wmts_v1_UAV111E01"/>
        <s v="2dms_wmts_v1_UAV111J01"/>
        <s v="2dms_wmts_v1_UAV111J02"/>
        <s v="2dms_wmts_v1_UAV111J03"/>
        <s v="2dms_wmts_v1_UAV111K01"/>
        <s v="2dms_wmts_v1_UAV111K02"/>
        <s v="2dms_wmts_v1_UAV111P01"/>
        <s v="2dms_wmts_v1_UAV111P02"/>
        <s v="2dms_wmts_v1_UAV111Q01"/>
        <s v="2dms_wmts_v1_Village"/>
        <s v="2dms_wmts_v1_Village201910"/>
        <s v="3dms_3dtile_v1_building"/>
        <s v="3dms_3dtile_v1_PBSService"/>
        <s v="3dms_3dtile_v1_road"/>
        <s v="3dms_3dtile_v1_road2nd"/>
        <s v="3dms_bldg3d_v1_BAQueryBuilding"/>
        <s v="3dms_bldg3d_v1_BAQueryBuildingAttributes"/>
        <s v="3dms_bldg3d_v1_BAQueryBuildingDataSource"/>
        <s v="3dms_bldg3d_v1_BAStatus"/>
        <s v="3dms_i3s_v1_building"/>
        <s v="3dms_i3s_v1_PBSService"/>
        <s v="3dms_i3s_v1_road"/>
        <s v="3dms_i3s_v1_road2nd"/>
        <s v="3dms_pubapi_v1_PBSQueryBuilding"/>
        <s v="3dms_pubapi_v1_PBSStatus"/>
        <s v="3dms_pubapi_v1_PBSTRSelectByCircle"/>
        <s v="3dms_pubapi_v1_PBSTRSelectByPoint"/>
        <s v="3dms_pubapi_v1_PBSTRSelectByPolygon"/>
      </sharedItems>
    </cacheField>
    <cacheField name="唯一識別碼" numFmtId="0">
      <sharedItems count="1442">
        <s v="2dms_addrm_v1_LineQueryAddr"/>
        <s v="2dms_addrm_v1_ListRoad_A"/>
        <s v="2dms_addrm_v1_ListRoad_B"/>
        <s v="2dms_addrm_v1_ListRoad_C"/>
        <s v="2dms_addrm_v1_ListRoad_D"/>
        <s v="2dms_addrm_v1_ListRoad_E"/>
        <s v="2dms_addrm_v1_ListRoad_F"/>
        <s v="2dms_addrm_v1_ListRoad_G"/>
        <s v="2dms_addrm_v1_ListRoad_H"/>
        <s v="2dms_addrm_v1_ListRoad_I"/>
        <s v="2dms_addrm_v1_ListRoad_J"/>
        <s v="2dms_addrm_v1_ListRoad_K"/>
        <s v="2dms_addrm_v1_ListRoad_M"/>
        <s v="2dms_addrm_v1_ListRoad_N"/>
        <s v="2dms_addrm_v1_ListRoad_O"/>
        <s v="2dms_addrm_v1_ListRoad_P"/>
        <s v="2dms_addrm_v1_ListRoad_Q"/>
        <s v="2dms_addrm_v1_ListRoad_T"/>
        <s v="2dms_addrm_v1_ListRoad_U"/>
        <s v="2dms_addrm_v1_ListRoad_V"/>
        <s v="2dms_addrm_v1_ListRoad_W"/>
        <s v="2dms_addrm_v1_ListRoad_X"/>
        <s v="2dms_addrm_v1_ListRoad_Z"/>
        <s v="2dms_addrm_v1_ListRoadLaneAlley_A"/>
        <s v="2dms_addrm_v1_ListRoadLaneAlley_B"/>
        <s v="2dms_addrm_v1_ListRoadLaneAlley_C"/>
        <s v="2dms_addrm_v1_ListRoadLaneAlley_D"/>
        <s v="2dms_addrm_v1_ListRoadLaneAlley_E"/>
        <s v="2dms_addrm_v1_ListRoadLaneAlley_F"/>
        <s v="2dms_addrm_v1_ListRoadLaneAlley_G"/>
        <s v="2dms_addrm_v1_ListRoadLaneAlley_H"/>
        <s v="2dms_addrm_v1_ListRoadLaneAlley_I"/>
        <s v="2dms_addrm_v1_ListRoadLaneAlley_J"/>
        <s v="2dms_addrm_v1_ListRoadLaneAlley_K"/>
        <s v="2dms_addrm_v1_ListRoadLaneAlley_M"/>
        <s v="2dms_addrm_v1_ListRoadLaneAlley_N"/>
        <s v="2dms_addrm_v1_ListRoadLaneAlley_O"/>
        <s v="2dms_addrm_v1_ListRoadLaneAlley_P"/>
        <s v="2dms_addrm_v1_ListRoadLaneAlley_Q"/>
        <s v="2dms_addrm_v1_ListRoadLaneAlley_T"/>
        <s v="2dms_addrm_v1_ListRoadLaneAlley_U"/>
        <s v="2dms_addrm_v1_ListRoadLaneAlley_V"/>
        <s v="2dms_addrm_v1_ListRoadLaneAlley_W"/>
        <s v="2dms_addrm_v1_ListRoadLaneAlley_X"/>
        <s v="2dms_addrm_v1_ListRoadLaneAlley_Z"/>
        <s v="2dms_addrm_v1_PointQueryAddr"/>
        <s v="2dms_addrm_v1_PolygonQueryAddr"/>
        <s v="2dms_addrm_v1_TextQueryAddress"/>
        <s v="2dms_addrm_v1_TextQueryMap"/>
        <s v="2dms_cadapi_v1_CadasMapPointQuery"/>
        <s v="2dms_cadapi_v1_CadasMapQuery"/>
        <s v="2dms_cadatt_v1_AddressQueryLand"/>
        <s v="2dms_cadatt_v1_CadasAttrQuery_A"/>
        <s v="2dms_cadatt_v1_CadasAttrQuery_B"/>
        <s v="2dms_cadatt_v1_CadasAttrQuery_C"/>
        <s v="2dms_cadatt_v1_CadasAttrQuery_D"/>
        <s v="2dms_cadatt_v1_CadasAttrQuery_E"/>
        <s v="2dms_cadatt_v1_CadasAttrQuery_F"/>
        <s v="2dms_cadatt_v1_CadasAttrQuery_G"/>
        <s v="2dms_cadatt_v1_CadasAttrQuery_H"/>
        <s v="2dms_cadatt_v1_CadasAttrQuery_I"/>
        <s v="2dms_cadatt_v1_CadasAttrQuery_J"/>
        <s v="2dms_cadatt_v1_CadasAttrQuery_K"/>
        <s v="2dms_cadatt_v1_CadasAttrQuery_M"/>
        <s v="2dms_cadatt_v1_CadasAttrQuery_N"/>
        <s v="2dms_cadatt_v1_CadasAttrQuery_O"/>
        <s v="2dms_cadatt_v1_CadasAttrQuery_P"/>
        <s v="2dms_cadatt_v1_CadasAttrQuery_Q"/>
        <s v="2dms_cadatt_v1_CadasAttrQuery_T"/>
        <s v="2dms_cadatt_v1_CadasAttrQuery_U"/>
        <s v="2dms_cadatt_v1_CadasAttrQuery_V"/>
        <s v="2dms_cadatt_v1_CadasAttrQuery_W"/>
        <s v="2dms_cadatt_v1_CadasAttrQuery_X"/>
        <s v="2dms_cadatt_v1_CadasAttrQuery_Z"/>
        <s v="2dms_cadatt_v1_CadasLandInfo_A"/>
        <s v="2dms_cadatt_v1_CadasLandInfo_B"/>
        <s v="2dms_cadatt_v1_CadasLandInfo_C"/>
        <s v="2dms_cadatt_v1_CadasLandInfo_D"/>
        <s v="2dms_cadatt_v1_CadasLandInfo_E"/>
        <s v="2dms_cadatt_v1_CadasLandInfo_F"/>
        <s v="2dms_cadatt_v1_CadasLandInfo_G"/>
        <s v="2dms_cadatt_v1_CadasLandInfo_H"/>
        <s v="2dms_cadatt_v1_CadasLandInfo_I"/>
        <s v="2dms_cadatt_v1_CadasLandInfo_J"/>
        <s v="2dms_cadatt_v1_CadasLandInfo_K"/>
        <s v="2dms_cadatt_v1_CadasLandInfo_M"/>
        <s v="2dms_cadatt_v1_CadasLandInfo_N"/>
        <s v="2dms_cadatt_v1_CadasLandInfo_O"/>
        <s v="2dms_cadatt_v1_CadasLandInfo_P"/>
        <s v="2dms_cadatt_v1_CadasLandInfo_Q"/>
        <s v="2dms_cadatt_v1_CadasLandInfo_T"/>
        <s v="2dms_cadatt_v1_CadasLandInfo_U"/>
        <s v="2dms_cadatt_v1_CadasLandInfo_V"/>
        <s v="2dms_cadatt_v1_CadasLandInfo_W"/>
        <s v="2dms_cadatt_v1_CadasLandInfo_X"/>
        <s v="2dms_cadatt_v1_CadasLandInfo_Z"/>
        <s v="2dms_cadatt_v1_CadasLandNoQuery"/>
        <s v="2dms_cadatt_v1_CadasMapImage_A"/>
        <s v="2dms_cadatt_v1_CadasMapImage_B"/>
        <s v="2dms_cadatt_v1_CadasMapImage_C"/>
        <s v="2dms_cadatt_v1_CadasMapImage_D"/>
        <s v="2dms_cadatt_v1_CadasMapImage_E"/>
        <s v="2dms_cadatt_v1_CadasMapImage_F"/>
        <s v="2dms_cadatt_v1_CadasMapImage_G"/>
        <s v="2dms_cadatt_v1_CadasMapImage_H"/>
        <s v="2dms_cadatt_v1_CadasMapImage_I"/>
        <s v="2dms_cadatt_v1_CadasMapImage_J"/>
        <s v="2dms_cadatt_v1_CadasMapImage_K"/>
        <s v="2dms_cadatt_v1_CadasMapImage_M"/>
        <s v="2dms_cadatt_v1_CadasMapImage_N"/>
        <s v="2dms_cadatt_v1_CadasMapImage_O"/>
        <s v="2dms_cadatt_v1_CadasMapImage_P"/>
        <s v="2dms_cadatt_v1_CadasMapImage_Q"/>
        <s v="2dms_cadatt_v1_CadasMapImage_T"/>
        <s v="2dms_cadatt_v1_CadasMapImage_U"/>
        <s v="2dms_cadatt_v1_CadasMapImage_V"/>
        <s v="2dms_cadatt_v1_CadasMapImage_W"/>
        <s v="2dms_cadatt_v1_CadasMapImage_X"/>
        <s v="2dms_cadatt_v1_CadasMapImage_Z"/>
        <s v="2dms_cadatt_v1_CadasMapPosition_A"/>
        <s v="2dms_cadatt_v1_CadasMapPosition_B"/>
        <s v="2dms_cadatt_v1_CadasMapPosition_C"/>
        <s v="2dms_cadatt_v1_CadasMapPosition_D"/>
        <s v="2dms_cadatt_v1_CadasMapPosition_E"/>
        <s v="2dms_cadatt_v1_CadasMapPosition_F"/>
        <s v="2dms_cadatt_v1_CadasMapPosition_G"/>
        <s v="2dms_cadatt_v1_CadasMapPosition_H"/>
        <s v="2dms_cadatt_v1_CadasMapPosition_I"/>
        <s v="2dms_cadatt_v1_CadasMapPosition_J"/>
        <s v="2dms_cadatt_v1_CadasMapPosition_K"/>
        <s v="2dms_cadatt_v1_CadasMapPosition_M"/>
        <s v="2dms_cadatt_v1_CadasMapPosition_N"/>
        <s v="2dms_cadatt_v1_CadasMapPosition_O"/>
        <s v="2dms_cadatt_v1_CadasMapPosition_P"/>
        <s v="2dms_cadatt_v1_CadasMapPosition_Q"/>
        <s v="2dms_cadatt_v1_CadasMapPosition_T"/>
        <s v="2dms_cadatt_v1_CadasMapPosition_U"/>
        <s v="2dms_cadatt_v1_CadasMapPosition_V"/>
        <s v="2dms_cadatt_v1_CadasMapPosition_W"/>
        <s v="2dms_cadatt_v1_CadasMapPosition_X"/>
        <s v="2dms_cadatt_v1_CadasMapPosition_Z"/>
        <s v="2dms_cadatt_v1_GetLandNO"/>
        <s v="2dms_cadatt_v1_GetLandPositionLongitudeLatitude_A"/>
        <s v="2dms_cadatt_v1_GetLandPositionLongitudeLatitude_B"/>
        <s v="2dms_cadatt_v1_GetLandPositionLongitudeLatitude_C"/>
        <s v="2dms_cadatt_v1_GetLandPositionLongitudeLatitude_D"/>
        <s v="2dms_cadatt_v1_GetLandPositionLongitudeLatitude_E"/>
        <s v="2dms_cadatt_v1_GetLandPositionLongitudeLatitude_F"/>
        <s v="2dms_cadatt_v1_GetLandPositionLongitudeLatitude_G"/>
        <s v="2dms_cadatt_v1_GetLandPositionLongitudeLatitude_H"/>
        <s v="2dms_cadatt_v1_GetLandPositionLongitudeLatitude_I"/>
        <s v="2dms_cadatt_v1_GetLandPositionLongitudeLatitude_J"/>
        <s v="2dms_cadatt_v1_GetLandPositionLongitudeLatitude_K"/>
        <s v="2dms_cadatt_v1_GetLandPositionLongitudeLatitude_M"/>
        <s v="2dms_cadatt_v1_GetLandPositionLongitudeLatitude_N"/>
        <s v="2dms_cadatt_v1_GetLandPositionLongitudeLatitude_O"/>
        <s v="2dms_cadatt_v1_GetLandPositionLongitudeLatitude_P"/>
        <s v="2dms_cadatt_v1_GetLandPositionLongitudeLatitude_Q"/>
        <s v="2dms_cadatt_v1_GetLandPositionLongitudeLatitude_T"/>
        <s v="2dms_cadatt_v1_GetLandPositionLongitudeLatitude_U"/>
        <s v="2dms_cadatt_v1_GetLandPositionLongitudeLatitude_V"/>
        <s v="2dms_cadatt_v1_GetLandPositionLongitudeLatitude_W"/>
        <s v="2dms_cadatt_v1_GetLandPositionLongitudeLatitude_X"/>
        <s v="2dms_cadatt_v1_GetLandPositionLongitudeLatitude_Z"/>
        <s v="2dms_cadatt_v1_GetLandSecInfoNlsc_A"/>
        <s v="2dms_cadatt_v1_GetLandSecInfoNlsc_B"/>
        <s v="2dms_cadatt_v1_GetLandSecInfoNlsc_C"/>
        <s v="2dms_cadatt_v1_GetLandSecInfoNlsc_D"/>
        <s v="2dms_cadatt_v1_GetLandSecInfoNlsc_E"/>
        <s v="2dms_cadatt_v1_GetLandSecInfoNlsc_F"/>
        <s v="2dms_cadatt_v1_GetLandSecInfoNlsc_G"/>
        <s v="2dms_cadatt_v1_GetLandSecInfoNlsc_H"/>
        <s v="2dms_cadatt_v1_GetLandSecInfoNlsc_I"/>
        <s v="2dms_cadatt_v1_GetLandSecInfoNlsc_J"/>
        <s v="2dms_cadatt_v1_GetLandSecInfoNlsc_K"/>
        <s v="2dms_cadatt_v1_GetLandSecInfoNlsc_M"/>
        <s v="2dms_cadatt_v1_GetLandSecInfoNlsc_N"/>
        <s v="2dms_cadatt_v1_GetLandSecInfoNlsc_O"/>
        <s v="2dms_cadatt_v1_GetLandSecInfoNlsc_P"/>
        <s v="2dms_cadatt_v1_GetLandSecInfoNlsc_Q"/>
        <s v="2dms_cadatt_v1_GetLandSecInfoNlsc_T"/>
        <s v="2dms_cadatt_v1_GetLandSecInfoNlsc_U"/>
        <s v="2dms_cadatt_v1_GetLandSecInfoNlsc_V"/>
        <s v="2dms_cadatt_v1_GetLandSecInfoNlsc_W"/>
        <s v="2dms_cadatt_v1_GetLandSecInfoNlsc_X"/>
        <s v="2dms_cadatt_v1_GetLandSecInfoNlsc_Z"/>
        <s v="2dms_cadatt_v1_QryTileMapIndex1"/>
        <s v="2dms_cadatt_v1_QryTileMapIndex2"/>
        <s v="2dms_cadwfs_v1_CadasMerge"/>
        <s v="2dms_cadwms_v1_DMAPS"/>
        <s v="2dms_cadwmt_v1_DMAPS"/>
        <s v="2dms_emwfs_v1_BuildFrame"/>
        <s v="2dms_emwfs_v1_EMAP"/>
        <s v="2dms_luseat_v1_LandUseCompare"/>
        <s v="2dms_luseat_v1_LandUsePointYears"/>
        <s v="2dms_luwfs_v1_LuiMap"/>
        <s v="2dms_pubapi_v1_GetMapVillage"/>
        <s v="2dms_pubapi_v1_LandUsePointQuery"/>
        <s v="2dms_pubapi_v1_ListCounty"/>
        <s v="2dms_pubapi_v1_ListLandSection_A"/>
        <s v="2dms_pubapi_v1_ListLandSection_B"/>
        <s v="2dms_pubapi_v1_ListLandSection_C"/>
        <s v="2dms_pubapi_v1_ListLandSection_D"/>
        <s v="2dms_pubapi_v1_ListLandSection_E"/>
        <s v="2dms_pubapi_v1_ListLandSection_F"/>
        <s v="2dms_pubapi_v1_ListLandSection_G"/>
        <s v="2dms_pubapi_v1_ListLandSection_H"/>
        <s v="2dms_pubapi_v1_ListLandSection_I"/>
        <s v="2dms_pubapi_v1_ListLandSection_J"/>
        <s v="2dms_pubapi_v1_ListLandSection_K"/>
        <s v="2dms_pubapi_v1_ListLandSection_M"/>
        <s v="2dms_pubapi_v1_ListLandSection_N"/>
        <s v="2dms_pubapi_v1_ListLandSection_O"/>
        <s v="2dms_pubapi_v1_ListLandSection_P"/>
        <s v="2dms_pubapi_v1_ListLandSection_Q"/>
        <s v="2dms_pubapi_v1_ListLandSection_T"/>
        <s v="2dms_pubapi_v1_ListLandSection_U"/>
        <s v="2dms_pubapi_v1_ListLandSection_V"/>
        <s v="2dms_pubapi_v1_ListLandSection_W"/>
        <s v="2dms_pubapi_v1_ListLandSection_X"/>
        <s v="2dms_pubapi_v1_ListLandSection_Z"/>
        <s v="2dms_pubapi_v1_ListRoadCross_A"/>
        <s v="2dms_pubapi_v1_ListRoadCross_B"/>
        <s v="2dms_pubapi_v1_ListRoadCross_C"/>
        <s v="2dms_pubapi_v1_ListRoadCross_D"/>
        <s v="2dms_pubapi_v1_ListRoadCross_E"/>
        <s v="2dms_pubapi_v1_ListRoadCross_F"/>
        <s v="2dms_pubapi_v1_ListRoadCross_G"/>
        <s v="2dms_pubapi_v1_ListRoadCross_H"/>
        <s v="2dms_pubapi_v1_ListRoadCross_I"/>
        <s v="2dms_pubapi_v1_ListRoadCross_J"/>
        <s v="2dms_pubapi_v1_ListRoadCross_K"/>
        <s v="2dms_pubapi_v1_ListRoadCross_M"/>
        <s v="2dms_pubapi_v1_ListRoadCross_N"/>
        <s v="2dms_pubapi_v1_ListRoadCross_O"/>
        <s v="2dms_pubapi_v1_ListRoadCross_P"/>
        <s v="2dms_pubapi_v1_ListRoadCross_Q"/>
        <s v="2dms_pubapi_v1_ListRoadCross_T"/>
        <s v="2dms_pubapi_v1_ListRoadCross_U"/>
        <s v="2dms_pubapi_v1_ListRoadCross_V"/>
        <s v="2dms_pubapi_v1_ListRoadCross_W"/>
        <s v="2dms_pubapi_v1_ListRoadCross_X"/>
        <s v="2dms_pubapi_v1_ListRoadCross_Z"/>
        <s v="2dms_pubapi_v1_ListRoadM_A"/>
        <s v="2dms_pubapi_v1_ListRoadM_B"/>
        <s v="2dms_pubapi_v1_ListRoadM_C"/>
        <s v="2dms_pubapi_v1_ListRoadM_D"/>
        <s v="2dms_pubapi_v1_ListRoadM_E"/>
        <s v="2dms_pubapi_v1_ListRoadM_F"/>
        <s v="2dms_pubapi_v1_ListRoadM_G"/>
        <s v="2dms_pubapi_v1_ListRoadM_H"/>
        <s v="2dms_pubapi_v1_ListRoadM_I"/>
        <s v="2dms_pubapi_v1_ListRoadM_J"/>
        <s v="2dms_pubapi_v1_ListRoadM_K"/>
        <s v="2dms_pubapi_v1_ListRoadM_M"/>
        <s v="2dms_pubapi_v1_ListRoadM_N"/>
        <s v="2dms_pubapi_v1_ListRoadM_O"/>
        <s v="2dms_pubapi_v1_ListRoadM_P"/>
        <s v="2dms_pubapi_v1_ListRoadM_Q"/>
        <s v="2dms_pubapi_v1_ListRoadM_T"/>
        <s v="2dms_pubapi_v1_ListRoadM_U"/>
        <s v="2dms_pubapi_v1_ListRoadM_V"/>
        <s v="2dms_pubapi_v1_ListRoadM_W"/>
        <s v="2dms_pubapi_v1_ListRoadM_X"/>
        <s v="2dms_pubapi_v1_ListRoadM_Z"/>
        <s v="2dms_pubapi_v1_ListTown_A"/>
        <s v="2dms_pubapi_v1_ListTown_B"/>
        <s v="2dms_pubapi_v1_ListTown_C"/>
        <s v="2dms_pubapi_v1_ListTown_D"/>
        <s v="2dms_pubapi_v1_ListTown_E"/>
        <s v="2dms_pubapi_v1_ListTown_F"/>
        <s v="2dms_pubapi_v1_ListTown_G"/>
        <s v="2dms_pubapi_v1_ListTown_H"/>
        <s v="2dms_pubapi_v1_ListTown_I"/>
        <s v="2dms_pubapi_v1_ListTown_J"/>
        <s v="2dms_pubapi_v1_ListTown_K"/>
        <s v="2dms_pubapi_v1_ListTown_M"/>
        <s v="2dms_pubapi_v1_ListTown_N"/>
        <s v="2dms_pubapi_v1_ListTown_O"/>
        <s v="2dms_pubapi_v1_ListTown_P"/>
        <s v="2dms_pubapi_v1_ListTown_Q"/>
        <s v="2dms_pubapi_v1_ListTown_T"/>
        <s v="2dms_pubapi_v1_ListTown_U"/>
        <s v="2dms_pubapi_v1_ListTown_V"/>
        <s v="2dms_pubapi_v1_ListTown_W"/>
        <s v="2dms_pubapi_v1_ListTown_X"/>
        <s v="2dms_pubapi_v1_ListTown_Z"/>
        <s v="2dms_pubapi_v1_ListTown1_A"/>
        <s v="2dms_pubapi_v1_ListTown1_B"/>
        <s v="2dms_pubapi_v1_ListTown1_C"/>
        <s v="2dms_pubapi_v1_ListTown1_D"/>
        <s v="2dms_pubapi_v1_ListTown1_E"/>
        <s v="2dms_pubapi_v1_ListTown1_F"/>
        <s v="2dms_pubapi_v1_ListTown1_G"/>
        <s v="2dms_pubapi_v1_ListTown1_H"/>
        <s v="2dms_pubapi_v1_ListTown1_I"/>
        <s v="2dms_pubapi_v1_ListTown1_J"/>
        <s v="2dms_pubapi_v1_ListTown1_K"/>
        <s v="2dms_pubapi_v1_ListTown1_M"/>
        <s v="2dms_pubapi_v1_ListTown1_N"/>
        <s v="2dms_pubapi_v1_ListTown1_O"/>
        <s v="2dms_pubapi_v1_ListTown1_P"/>
        <s v="2dms_pubapi_v1_ListTown1_Q"/>
        <s v="2dms_pubapi_v1_ListTown1_T"/>
        <s v="2dms_pubapi_v1_ListTown1_U"/>
        <s v="2dms_pubapi_v1_ListTown1_V"/>
        <s v="2dms_pubapi_v1_ListTown1_W"/>
        <s v="2dms_pubapi_v1_ListTown1_X"/>
        <s v="2dms_pubapi_v1_ListTown1_Z"/>
        <s v="2dms_pubapi_v1_ListVillage_A"/>
        <s v="2dms_pubapi_v1_ListVillage_B"/>
        <s v="2dms_pubapi_v1_ListVillage_C"/>
        <s v="2dms_pubapi_v1_ListVillage_D"/>
        <s v="2dms_pubapi_v1_ListVillage_E"/>
        <s v="2dms_pubapi_v1_ListVillage_F"/>
        <s v="2dms_pubapi_v1_ListVillage_G"/>
        <s v="2dms_pubapi_v1_ListVillage_H"/>
        <s v="2dms_pubapi_v1_ListVillage_I"/>
        <s v="2dms_pubapi_v1_ListVillage_J"/>
        <s v="2dms_pubapi_v1_ListVillage_K"/>
        <s v="2dms_pubapi_v1_ListVillage_M"/>
        <s v="2dms_pubapi_v1_ListVillage_N"/>
        <s v="2dms_pubapi_v1_ListVillage_O"/>
        <s v="2dms_pubapi_v1_ListVillage_P"/>
        <s v="2dms_pubapi_v1_ListVillage_Q"/>
        <s v="2dms_pubapi_v1_ListVillage_T"/>
        <s v="2dms_pubapi_v1_ListVillage_U"/>
        <s v="2dms_pubapi_v1_ListVillage_V"/>
        <s v="2dms_pubapi_v1_ListVillage_W"/>
        <s v="2dms_pubapi_v1_ListVillage_X"/>
        <s v="2dms_pubapi_v1_ListVillage_Z"/>
        <s v="2dms_pubapi_v1_MarkBufferAnlysBus"/>
        <s v="2dms_pubapi_v1_MarkBufferAnlysDis"/>
        <s v="2dms_pubapi_v1_MarkBufferAnlysEdu"/>
        <s v="2dms_pubapi_v1_MarkBufferAnlysMed"/>
        <s v="2dms_pubapi_v1_TextQueryRoad_A"/>
        <s v="2dms_pubapi_v1_TextQueryRoad_B"/>
        <s v="2dms_pubapi_v1_TextQueryRoad_C"/>
        <s v="2dms_pubapi_v1_TextQueryRoad_D"/>
        <s v="2dms_pubapi_v1_TextQueryRoad_E"/>
        <s v="2dms_pubapi_v1_TextQueryRoad_F"/>
        <s v="2dms_pubapi_v1_TextQueryRoad_G"/>
        <s v="2dms_pubapi_v1_TextQueryRoad_H"/>
        <s v="2dms_pubapi_v1_TextQueryRoad_I"/>
        <s v="2dms_pubapi_v1_TextQueryRoad_J"/>
        <s v="2dms_pubapi_v1_TextQueryRoad_K"/>
        <s v="2dms_pubapi_v1_TextQueryRoad_M"/>
        <s v="2dms_pubapi_v1_TextQueryRoad_N"/>
        <s v="2dms_pubapi_v1_TextQueryRoad_O"/>
        <s v="2dms_pubapi_v1_TextQueryRoad_P"/>
        <s v="2dms_pubapi_v1_TextQueryRoad_Q"/>
        <s v="2dms_pubapi_v1_TextQueryRoad_T"/>
        <s v="2dms_pubapi_v1_TextQueryRoad_U"/>
        <s v="2dms_pubapi_v1_TextQueryRoad_V"/>
        <s v="2dms_pubapi_v1_TextQueryRoad_W"/>
        <s v="2dms_pubapi_v1_TextQueryRoad_X"/>
        <s v="2dms_pubapi_v1_TextQueryRoad_Z"/>
        <s v="2dms_pubapi_v1_TownVillagePointQuery"/>
        <s v="2dms_pubapi_v1_TownVillagePointQuery1"/>
        <s v="2dms_route_v1_RoutesNodes"/>
        <s v="2dms_route_v1_RoutesQueryByDist"/>
        <s v="2dms_route_v1_RoutesQueryByTime"/>
        <s v="2dms_secwfs_v1_LanSect"/>
        <s v="2dms_t1kwfs_v1_TOPON1K_B04"/>
        <s v="2dms_t1kwfs_v1_TOPON1K_B11"/>
        <s v="2dms_t1kwfs_v1_TOPON1K_B14"/>
        <s v="2dms_t1kwfs_v1_TOPON1K_B15"/>
        <s v="2dms_t1kwfs_v1_TOPON1K_B20"/>
        <s v="2dms_t1kwfs_v1_TOPON1K_B22"/>
        <s v="2dms_t1kwfs_v1_TOPON1K_B25"/>
        <s v="2dms_t1kwfs_v1_TOPON1K_D03"/>
        <s v="2dms_t1kwfs_v1_TOPON1K_D04"/>
        <s v="2dms_t1kwfs_v1_TOPON1K_D05"/>
        <s v="2dms_t1kwfs_v1_TOPON1K_D08"/>
        <s v="2dms_t1kwfs_v1_TOPON1K_D12"/>
        <s v="2dms_t1kwfs_v1_TOPON1K_E02"/>
        <s v="2dms_t1kwfs_v1_TOPON1K_E03"/>
        <s v="2dms_t1kwfs_v1_TOPON1K_E32"/>
        <s v="2dms_t1kwfs_v1_TOPON1K_G01"/>
        <s v="2dms_t1kwfs_v1_TOPON1K_G04"/>
        <s v="2dms_t1kwfs_v1_TOPON1K_G06"/>
        <s v="2dms_t1kwfs_v1_TOPON1K_G09"/>
        <s v="2dms_t1kwfs_v1_TOPON1K_G11"/>
        <s v="2dms_t1kwfs_v1_TOPON1K_G15"/>
        <s v="2dms_t1kwfs_v1_TOPON1K_G16"/>
        <s v="2dms_t1kwfs_v1_TOPON1K_G17"/>
        <s v="2dms_t1kwfs_v1_TOPON1K_G18"/>
        <s v="2dms_t1kwfs_v1_TOPON1K_G19"/>
        <s v="2dms_t1kwfs_v1_TOPON1K_G20"/>
        <s v="2dms_t1kwfs_v1_TOPON1K_H18"/>
        <s v="2dms_t1kwfs_v1_TOPON1K_H19"/>
        <s v="2dms_t1kwfs_v1_TOPON1K_H20"/>
        <s v="2dms_t1kwfs_v1_TOPON1K_H21"/>
        <s v="2dms_t1kwfs_v1_TOPON1K_H31"/>
        <s v="2dms_t1kwfs_v1_TOPON1K_J01"/>
        <s v="2dms_t1kwfs_v1_TOPON1K_J06"/>
        <s v="2dms_t1kwfs_v1_TOPON1K_J13"/>
        <s v="2dms_t1kwfs_v1_TOPON1K_J16"/>
        <s v="2dms_t1kwfs_v1_TOPON1K_J17"/>
        <s v="2dms_t1kwfs_v1_TOPON1K_K01"/>
        <s v="2dms_t1kwfs_v1_TOPON1K_K02"/>
        <s v="2dms_t1kwfs_v1_TOPON1K_K14"/>
        <s v="2dms_t1kwfs_v1_TOPON1K_M01"/>
        <s v="2dms_t1kwfs_v1_TOPON1K_M02"/>
        <s v="2dms_t1kwfs_v1_TOPON1K_M04"/>
        <s v="2dms_t1kwfs_v1_TOPON1K_N01"/>
        <s v="2dms_t1kwfs_v1_TOPON1K_N02"/>
        <s v="2dms_t1kwfs_v1_TOPON1K_P01"/>
        <s v="2dms_t1kwfs_v1_TOPON1K_P10"/>
        <s v="2dms_t1kwfs_v1_TOPON1K_P12"/>
        <s v="2dms_t1kwfs_v1_TOPON1K_P13"/>
        <s v="2dms_t1kwfs_v1_TOPON1K_P22"/>
        <s v="2dms_t1kwfs_v1_TOPON1K_P24"/>
        <s v="2dms_t1kwfs_v1_TOPON1K_P25"/>
        <s v="2dms_t1kwfs_v1_TOPON1K_Q02"/>
        <s v="2dms_t1kwfs_v1_TOPON1K_Q06"/>
        <s v="2dms_t1kwfs_v1_TOPON1K_Q07"/>
        <s v="2dms_t1kwfs_v1_TOPON1K_Q19"/>
        <s v="2dms_t1kwfs_v1_TOPON1K_Q21"/>
        <s v="2dms_t1kwfs_v1_TOPON1K_Q22"/>
        <s v="2dms_t1kwfs_v1_TOPON1K_Q26"/>
        <s v="2dms_t1kwfs_v1_TOPON1K_Q27"/>
        <s v="2dms_t1kwfs_v1_TOPON1K_Q28"/>
        <s v="2dms_t1kwfs_v1_TOPON1K_Q29"/>
        <s v="2dms_t1kwfs_v1_TOPON1K_Q30"/>
        <s v="2dms_t1kwfs_v1_TOPON1K_Q31"/>
        <s v="2dms_t1kwfs_v1_TOPON1K_T01"/>
        <s v="2dms_t1kwfs_v1_TOPON1K_T03"/>
        <s v="2dms_t1kwfs_v1_TOPON1K_T08"/>
        <s v="2dms_t1kwfs_v1_TOPON1K_T20"/>
        <s v="2dms_t1kwfs_v1_TOPON1K_T30"/>
        <s v="2dms_t1kwfs_v1_TOPON1K_U20"/>
        <s v="2dms_t1kwfs_v1_TOPON1K_V01"/>
        <s v="2dms_t1kwfs_v1_TOPON1K_V02"/>
        <s v="2dms_t1kwfs_v1_TOPON1K_X01"/>
        <s v="2dms_t1kwfs_v1_TOPON1K_X02"/>
        <s v="2dms_t1kwfs_v1_TOPON1K_X03"/>
        <s v="2dms_t1kwfs_v1_TOPON1K_X04"/>
        <s v="2dms_t1kwfs_v1_TOPON1K_X05"/>
        <s v="2dms_t1kwfs_v1_TOPON1K_X06"/>
        <s v="2dms_t1kwfs_v1_TOPON1K_X07"/>
        <s v="2dms_t1kwfs_v1_TOPON1K_X08"/>
        <s v="2dms_wms_v1_WMS"/>
        <s v="2dms_wmts_v1_AED"/>
        <s v="2dms_wmts_v1_Asrs202509251"/>
        <s v="2dms_wmts_v1_Asrs202509252"/>
        <s v="2dms_wmts_v1_Asrs202509253"/>
        <s v="2dms_wmts_v1_Asrs202509271"/>
        <s v="2dms_wmts_v1_Asrs202509272"/>
        <s v="2dms_wmts_v1_Asrs202509273"/>
        <s v="2dms_wmts_v1_Asrs202509281"/>
        <s v="2dms_wmts_v1_Asrs202509282"/>
        <s v="2dms_wmts_v1_Asrs202509291"/>
        <s v="2dms_wmts_v1_Asrs202509292"/>
        <s v="2dms_wmts_v1_Asrs202509301"/>
        <s v="2dms_wmts_v1_Asrs202509302"/>
        <s v="2dms_wmts_v1_Asrs202510011"/>
        <s v="2dms_wmts_v1_Asrs202510021"/>
        <s v="2dms_wmts_v1_Asrs202510022"/>
        <s v="2dms_wmts_v1_Asrs202510023"/>
        <s v="2dms_wmts_v1_Asrs202510031"/>
        <s v="2dms_wmts_v1_Asrs202510032"/>
        <s v="2dms_wmts_v1_Asrs202510033"/>
        <s v="2dms_wmts_v1_Asrs202510034"/>
        <s v="2dms_wmts_v1_Asrs202510035"/>
        <s v="2dms_wmts_v1_Asrs202510036"/>
        <s v="2dms_wmts_v1_Asrs202510037"/>
        <s v="2dms_wmts_v1_Asrs202510041"/>
        <s v="2dms_wmts_v1_Asrs202510042"/>
        <s v="2dms_wmts_v1_Asrs202510043"/>
        <s v="2dms_wmts_v1_Asrs202510051"/>
        <s v="2dms_wmts_v1_Asrs202510052"/>
        <s v="2dms_wmts_v1_Asrs202510053"/>
        <s v="2dms_wmts_v1_Asrs202510061"/>
        <s v="2dms_wmts_v1_Asrs202510062"/>
        <s v="2dms_wmts_v1_Asrs202510063"/>
        <s v="2dms_wmts_v1_Asrs202510071"/>
        <s v="2dms_wmts_v1_Asrs202510072"/>
        <s v="2dms_wmts_v1_Asrs202510073"/>
        <s v="2dms_wmts_v1_Asrs202510131"/>
        <s v="2dms_wmts_v1_Asrs202510132"/>
        <s v="2dms_wmts_v1_Asrs202510133"/>
        <s v="2dms_wmts_v1_Asrs202510134"/>
        <s v="2dms_wmts_v1_Asrs202510135"/>
        <s v="2dms_wmts_v1_Asrs202510136"/>
        <s v="2dms_wmts_v1_Asrs202510137"/>
        <s v="2dms_wmts_v1_Asrs202510138"/>
        <s v="2dms_wmts_v1_Asrs202510139"/>
        <s v="2dms_wmts_v1_Asrs202511161"/>
        <s v="2dms_wmts_v1_Asrs202511162"/>
        <s v="2dms_wmts_v1_Asrs202511163"/>
        <s v="2dms_wmts_v1_Asrs202511164"/>
        <s v="2dms_wmts_v1_Asrs202511165"/>
        <s v="2dms_wmts_v1_Asrs202511166"/>
        <s v="2dms_wmts_v1_Asrs202511167"/>
        <s v="2dms_wmts_v1_Asrs202511168"/>
        <s v="2dms_wmts_v1_Asrs2025ortho"/>
        <s v="2dms_wmts_v1_B100000"/>
        <s v="2dms_wmts_v1_B25000"/>
        <s v="2dms_wmts_v1_B5000"/>
        <s v="2dms_wmts_v1_B50000"/>
        <s v="2dms_wmts_v1_BUILDX"/>
        <s v="2dms_wmts_v1_CITY"/>
        <s v="2dms_wmts_v1_ConvenienceStore"/>
        <s v="2dms_wmts_v1_DDEM05"/>
        <s v="2dms_wmts_v1_EMAP"/>
        <s v="2dms_wmts_v1_EMAP01"/>
        <s v="2dms_wmts_v1_EMAP12"/>
        <s v="2dms_wmts_v1_EMAP15"/>
        <s v="2dms_wmts_v1_EMAP16"/>
        <s v="2dms_wmts_v1_EMAP2"/>
        <s v="2dms_wmts_v1_EMAP3825"/>
        <s v="2dms_wmts_v1_EMAP3826"/>
        <s v="2dms_wmts_v1_EMAP5"/>
        <s v="2dms_wmts_v1_EMAP5Opendata"/>
        <s v="2dms_wmts_v1_EMAP6"/>
        <s v="2dms_wmts_v1_EMAP6Opendata"/>
        <s v="2dms_wmts_v1_EMAP7"/>
        <s v="2dms_wmts_v1_EMAP8"/>
        <s v="2dms_wmts_v1_EMAP9"/>
        <s v="2dms_wmts_v1_EMAP96"/>
        <s v="2dms_wmts_v1_EMAP97"/>
        <s v="2dms_wmts_v1_EMAP98"/>
        <s v="2dms_wmts_v1_EMAPX99"/>
        <s v="2dms_wmts_v1_fireplug"/>
        <s v="2dms_wmts_v1_GeoSensitive"/>
        <s v="2dms_wmts_v1_GeoSensitive2"/>
        <s v="2dms_wmts_v1_LandOffice"/>
        <s v="2dms_wmts_v1_LandOpendata"/>
        <s v="2dms_wmts_v1_LANDSECT"/>
        <s v="2dms_wmts_v1_LANDSECT2"/>
        <s v="2dms_wmts_v1_LUIMAP"/>
        <s v="2dms_wmts_v1_LUIMAP01"/>
        <s v="2dms_wmts_v1_LUIMAP02"/>
        <s v="2dms_wmts_v1_LUIMAP03"/>
        <s v="2dms_wmts_v1_LUIMAP04"/>
        <s v="2dms_wmts_v1_LUIMAP05"/>
        <s v="2dms_wmts_v1_LUIMAP06"/>
        <s v="2dms_wmts_v1_LUIMAP07"/>
        <s v="2dms_wmts_v1_LUIMAP08"/>
        <s v="2dms_wmts_v1_LUIMAP09"/>
        <s v="2dms_wmts_v1_LUIMAP100"/>
        <s v="2dms_wmts_v1_LUIMAP101"/>
        <s v="2dms_wmts_v1_LUIMAP102"/>
        <s v="2dms_wmts_v1_LUIMAP103"/>
        <s v="2dms_wmts_v1_LUIMAP104"/>
        <s v="2dms_wmts_v1_LUIMAP105"/>
        <s v="2dms_wmts_v1_LUIMAP106"/>
        <s v="2dms_wmts_v1_LUIMAP107"/>
        <s v="2dms_wmts_v1_LUIMAP108"/>
        <s v="2dms_wmts_v1_LUIMAP109"/>
        <s v="2dms_wmts_v1_LUIMAP110"/>
        <s v="2dms_wmts_v1_LUIMAP111"/>
        <s v="2dms_wmts_v1_LUIMAP112"/>
        <s v="2dms_wmts_v1_LUIMAP113"/>
        <s v="2dms_wmts_v1_LUIMAP114"/>
        <s v="2dms_wmts_v1_LUIMAP82"/>
        <s v="2dms_wmts_v1_LUIMAP95"/>
        <s v="2dms_wmts_v1_LUIMAP98"/>
        <s v="2dms_wmts_v1_LUIMAP99"/>
        <s v="2dms_wmts_v1_MB5000"/>
        <s v="2dms_wmts_v1_MoiAspect"/>
        <s v="2dms_wmts_v1_MoiContour"/>
        <s v="2dms_wmts_v1_MoiContour2"/>
        <s v="2dms_wmts_v1_MoiHillshade"/>
        <s v="2dms_wmts_v1_MoiShadermap"/>
        <s v="2dms_wmts_v1_MoiSlopepGT30"/>
        <s v="2dms_wmts_v1_MoiSlopepGT302"/>
        <s v="2dms_wmts_v1_MoiSlopepLV7"/>
        <s v="2dms_wmts_v1_MoiSlopepLV72"/>
        <s v="2dms_wmts_v1_nURBAN1"/>
        <s v="2dms_wmts_v1_nURBAN2"/>
        <s v="2dms_wmts_v1_PHOTO1"/>
        <s v="2dms_wmts_v1_PHOTO2"/>
        <s v="2dms_wmts_v1_PHOTO2014"/>
        <s v="2dms_wmts_v1_PHOTO2015"/>
        <s v="2dms_wmts_v1_PHOTO2016"/>
        <s v="2dms_wmts_v1_PHOTO2017"/>
        <s v="2dms_wmts_v1_PHOTO2018"/>
        <s v="2dms_wmts_v1_PHOTO2019"/>
        <s v="2dms_wmts_v1_PHOTO2020"/>
        <s v="2dms_wmts_v1_PHOTO2021"/>
        <s v="2dms_wmts_v1_PHOTO2022"/>
        <s v="2dms_wmts_v1_PHOTO2023"/>
        <s v="2dms_wmts_v1_PHOTO2024"/>
        <s v="2dms_wmts_v1_PHOTO2025"/>
        <s v="2dms_wmts_v1_PHOTO3826"/>
        <s v="2dms_wmts_v1_PhotoMIX"/>
        <s v="2dms_wmts_v1_PhotoVA"/>
        <s v="2dms_wmts_v1_ROAD"/>
        <s v="2dms_wmts_v1_SCHOOL"/>
        <s v="2dms_wmts_v1_SHELTERS"/>
        <s v="2dms_wmts_v1_SoilLiquefaction"/>
        <s v="2dms_wmts_v1_SoilLiquefaction2"/>
        <s v="2dms_wmts_v1_TOPO01K_B01"/>
        <s v="2dms_wmts_v1_TOPO01K_B02"/>
        <s v="2dms_wmts_v1_TOPO01K_B03"/>
        <s v="2dms_wmts_v1_TOPO01K_B04"/>
        <s v="2dms_wmts_v1_TOPO01K_B05"/>
        <s v="2dms_wmts_v1_TOPO01K_B06"/>
        <s v="2dms_wmts_v1_TOPO01K_B07"/>
        <s v="2dms_wmts_v1_TOPO01K_B08"/>
        <s v="2dms_wmts_v1_TOPO01K_B09"/>
        <s v="2dms_wmts_v1_TOPO01K_B10"/>
        <s v="2dms_wmts_v1_TOPO01K_B11"/>
        <s v="2dms_wmts_v1_TOPO01K_B12"/>
        <s v="2dms_wmts_v1_TOPO01K_B13"/>
        <s v="2dms_wmts_v1_TOPO01K_B14"/>
        <s v="2dms_wmts_v1_TOPO01K_B15"/>
        <s v="2dms_wmts_v1_TOPO01K_B16"/>
        <s v="2dms_wmts_v1_TOPO01K_B17"/>
        <s v="2dms_wmts_v1_TOPO01K_B18"/>
        <s v="2dms_wmts_v1_TOPO01K_B19"/>
        <s v="2dms_wmts_v1_TOPO01K_B20"/>
        <s v="2dms_wmts_v1_TOPO01K_B21"/>
        <s v="2dms_wmts_v1_TOPO01K_B22"/>
        <s v="2dms_wmts_v1_TOPO01K_B23"/>
        <s v="2dms_wmts_v1_TOPO01K_B24"/>
        <s v="2dms_wmts_v1_TOPO01K_B25"/>
        <s v="2dms_wmts_v1_TOPO01K_B26"/>
        <s v="2dms_wmts_v1_TOPO01K_B27"/>
        <s v="2dms_wmts_v1_TOPO01K_B28"/>
        <s v="2dms_wmts_v1_TOPO01K_B29"/>
        <s v="2dms_wmts_v1_TOPO01K_B30"/>
        <s v="2dms_wmts_v1_TOPO01K_B31"/>
        <s v="2dms_wmts_v1_TOPO01K_B32"/>
        <s v="2dms_wmts_v1_TOPO01K_C01"/>
        <s v="2dms_wmts_v1_TOPO01K_C02"/>
        <s v="2dms_wmts_v1_TOPO01K_D93"/>
        <s v="2dms_wmts_v1_TOPO01K_D97"/>
        <s v="2dms_wmts_v1_TOPO01K_D99"/>
        <s v="2dms_wmts_v1_TOPO01K_DA0"/>
        <s v="2dms_wmts_v1_TOPO01K_DA1"/>
        <s v="2dms_wmts_v1_TOPO01K_DA2"/>
        <s v="2dms_wmts_v1_TOPO01K_E01"/>
        <s v="2dms_wmts_v1_TOPO01K_E02"/>
        <s v="2dms_wmts_v1_TOPO01K_E03"/>
        <s v="2dms_wmts_v1_TOPO01K_E04"/>
        <s v="2dms_wmts_v1_TOPO01K_E05"/>
        <s v="2dms_wmts_v1_TOPO01K_E06"/>
        <s v="2dms_wmts_v1_TOPO01K_E07"/>
        <s v="2dms_wmts_v1_TOPO01K_E08"/>
        <s v="2dms_wmts_v1_TOPO01K_E09"/>
        <s v="2dms_wmts_v1_TOPO01K_E10"/>
        <s v="2dms_wmts_v1_TOPO01K_E11"/>
        <s v="2dms_wmts_v1_TOPO01K_E12"/>
        <s v="2dms_wmts_v1_TOPO01K_E13"/>
        <s v="2dms_wmts_v1_TOPO01K_E14"/>
        <s v="2dms_wmts_v1_TOPO01K_E15"/>
        <s v="2dms_wmts_v1_TOPO01K_E16"/>
        <s v="2dms_wmts_v1_TOPO01K_E17"/>
        <s v="2dms_wmts_v1_TOPO01K_E18"/>
        <s v="2dms_wmts_v1_TOPO01K_E19"/>
        <s v="2dms_wmts_v1_TOPO01K_E20"/>
        <s v="2dms_wmts_v1_TOPO01K_E21"/>
        <s v="2dms_wmts_v1_TOPO01K_E22"/>
        <s v="2dms_wmts_v1_TOPO01K_E23"/>
        <s v="2dms_wmts_v1_TOPO01K_E24"/>
        <s v="2dms_wmts_v1_TOPO01K_E25"/>
        <s v="2dms_wmts_v1_TOPO01K_E26"/>
        <s v="2dms_wmts_v1_TOPO01K_E27"/>
        <s v="2dms_wmts_v1_TOPO01K_E28"/>
        <s v="2dms_wmts_v1_TOPO01K_E29"/>
        <s v="2dms_wmts_v1_TOPO01K_E30"/>
        <s v="2dms_wmts_v1_TOPO01K_E31"/>
        <s v="2dms_wmts_v1_TOPO01K_E32"/>
        <s v="2dms_wmts_v1_TOPO01K_E34"/>
        <s v="2dms_wmts_v1_TOPO01K_E35"/>
        <s v="2dms_wmts_v1_TOPO01K_E36"/>
        <s v="2dms_wmts_v1_TOPO01K_E37"/>
        <s v="2dms_wmts_v1_TOPO01K_E38"/>
        <s v="2dms_wmts_v1_TOPO01K_F01"/>
        <s v="2dms_wmts_v1_TOPO01K_F02"/>
        <s v="2dms_wmts_v1_TOPO01K_F03"/>
        <s v="2dms_wmts_v1_TOPO01K_F04"/>
        <s v="2dms_wmts_v1_TOPO01K_F05"/>
        <s v="2dms_wmts_v1_TOPO01K_F06"/>
        <s v="2dms_wmts_v1_TOPO01K_F07"/>
        <s v="2dms_wmts_v1_TOPO01K_F08"/>
        <s v="2dms_wmts_v1_TOPO01K_F09"/>
        <s v="2dms_wmts_v1_TOPO01K_F10"/>
        <s v="2dms_wmts_v1_TOPO01K_F11"/>
        <s v="2dms_wmts_v1_TOPO01K_F12"/>
        <s v="2dms_wmts_v1_TOPO01K_F13"/>
        <s v="2dms_wmts_v1_TOPO01K_F14"/>
        <s v="2dms_wmts_v1_TOPO01K_F15"/>
        <s v="2dms_wmts_v1_TOPO01K_F16"/>
        <s v="2dms_wmts_v1_TOPO01K_F17"/>
        <s v="2dms_wmts_v1_TOPO01K_F18"/>
        <s v="2dms_wmts_v1_TOPO01K_F19"/>
        <s v="2dms_wmts_v1_TOPO01K_F20"/>
        <s v="2dms_wmts_v1_TOPO01K_F21"/>
        <s v="2dms_wmts_v1_TOPO01K_F22"/>
        <s v="2dms_wmts_v1_TOPO01K_F23"/>
        <s v="2dms_wmts_v1_TOPO01K_F24"/>
        <s v="2dms_wmts_v1_TOPO01K_F25"/>
        <s v="2dms_wmts_v1_TOPO01K_F26"/>
        <s v="2dms_wmts_v1_TOPO01K_F27"/>
        <s v="2dms_wmts_v1_TOPO01K_F28"/>
        <s v="2dms_wmts_v1_TOPO01K_F29"/>
        <s v="2dms_wmts_v1_TOPO01K_F30"/>
        <s v="2dms_wmts_v1_TOPO01K_F31"/>
        <s v="2dms_wmts_v1_TOPO01K_F32"/>
        <s v="2dms_wmts_v1_TOPO01K_F33"/>
        <s v="2dms_wmts_v1_TOPO01K_F34"/>
        <s v="2dms_wmts_v1_TOPO01K_F35"/>
        <s v="2dms_wmts_v1_TOPO01K_F36"/>
        <s v="2dms_wmts_v1_TOPO01K_F37"/>
        <s v="2dms_wmts_v1_TOPO01K_F38"/>
        <s v="2dms_wmts_v1_TOPO01K_F39"/>
        <s v="2dms_wmts_v1_TOPO01K_F40"/>
        <s v="2dms_wmts_v1_TOPO01K_F41"/>
        <s v="2dms_wmts_v1_TOPO01K_F42"/>
        <s v="2dms_wmts_v1_TOPO01K_F43"/>
        <s v="2dms_wmts_v1_TOPO01K_F44"/>
        <s v="2dms_wmts_v1_TOPO01K_F45"/>
        <s v="2dms_wmts_v1_TOPO01K_F46"/>
        <s v="2dms_wmts_v1_TOPO01K_F47"/>
        <s v="2dms_wmts_v1_TOPO01K_F48"/>
        <s v="2dms_wmts_v1_TOPO01K_F49"/>
        <s v="2dms_wmts_v1_TOPO01K_F50"/>
        <s v="2dms_wmts_v1_TOPO01K_F51"/>
        <s v="2dms_wmts_v1_TOPO01K_F52"/>
        <s v="2dms_wmts_v1_TOPO01K_F53"/>
        <s v="2dms_wmts_v1_TOPO01K_F54"/>
        <s v="2dms_wmts_v1_TOPO01K_F55"/>
        <s v="2dms_wmts_v1_TOPO01K_F56"/>
        <s v="2dms_wmts_v1_TOPO01K_G01"/>
        <s v="2dms_wmts_v1_TOPO01K_G02"/>
        <s v="2dms_wmts_v1_TOPO01K_G03"/>
        <s v="2dms_wmts_v1_TOPO01K_G04"/>
        <s v="2dms_wmts_v1_TOPO01K_G05"/>
        <s v="2dms_wmts_v1_TOPO01K_G06"/>
        <s v="2dms_wmts_v1_TOPO01K_G07"/>
        <s v="2dms_wmts_v1_TOPO01K_G08"/>
        <s v="2dms_wmts_v1_TOPO01K_G09"/>
        <s v="2dms_wmts_v1_TOPO01K_G10"/>
        <s v="2dms_wmts_v1_TOPO01K_G11"/>
        <s v="2dms_wmts_v1_TOPO01K_G12"/>
        <s v="2dms_wmts_v1_TOPO01K_G13"/>
        <s v="2dms_wmts_v1_TOPO01K_G14"/>
        <s v="2dms_wmts_v1_TOPO01K_G15"/>
        <s v="2dms_wmts_v1_TOPO01K_H01"/>
        <s v="2dms_wmts_v1_TOPO01K_H02"/>
        <s v="2dms_wmts_v1_TOPO01K_H03"/>
        <s v="2dms_wmts_v1_TOPO01K_H04"/>
        <s v="2dms_wmts_v1_TOPO01K_H05"/>
        <s v="2dms_wmts_v1_TOPO01K_H06"/>
        <s v="2dms_wmts_v1_TOPO01K_H07"/>
        <s v="2dms_wmts_v1_TOPO01K_H08"/>
        <s v="2dms_wmts_v1_TOPO01K_H09"/>
        <s v="2dms_wmts_v1_TOPO01K_H10"/>
        <s v="2dms_wmts_v1_TOPO01K_H11"/>
        <s v="2dms_wmts_v1_TOPO01K_H12"/>
        <s v="2dms_wmts_v1_TOPO01K_H13"/>
        <s v="2dms_wmts_v1_TOPO01K_H14"/>
        <s v="2dms_wmts_v1_TOPO01K_H15"/>
        <s v="2dms_wmts_v1_TOPO01K_H16"/>
        <s v="2dms_wmts_v1_TOPO01K_H17"/>
        <s v="2dms_wmts_v1_TOPO01K_H18"/>
        <s v="2dms_wmts_v1_TOPO01K_H19"/>
        <s v="2dms_wmts_v1_TOPO01K_H20"/>
        <s v="2dms_wmts_v1_TOPO01K_H21"/>
        <s v="2dms_wmts_v1_TOPO01K_H22"/>
        <s v="2dms_wmts_v1_TOPO01K_H23"/>
        <s v="2dms_wmts_v1_TOPO01K_H24"/>
        <s v="2dms_wmts_v1_TOPO01K_H25"/>
        <s v="2dms_wmts_v1_TOPO01K_H26"/>
        <s v="2dms_wmts_v1_TOPO01K_H27"/>
        <s v="2dms_wmts_v1_TOPO01K_H28"/>
        <s v="2dms_wmts_v1_TOPO01K_H29"/>
        <s v="2dms_wmts_v1_TOPO01K_H30"/>
        <s v="2dms_wmts_v1_TOPO01K_H31"/>
        <s v="2dms_wmts_v1_TOPO01K_H32"/>
        <s v="2dms_wmts_v1_TOPO01K_H33"/>
        <s v="2dms_wmts_v1_TOPO01K_H34"/>
        <s v="2dms_wmts_v1_TOPO01K_H35"/>
        <s v="2dms_wmts_v1_TOPO01K_H36"/>
        <s v="2dms_wmts_v1_TOPO01K_H37"/>
        <s v="2dms_wmts_v1_TOPO01K_H38"/>
        <s v="2dms_wmts_v1_TOPO01K_H39"/>
        <s v="2dms_wmts_v1_TOPO01K_H40"/>
        <s v="2dms_wmts_v1_TOPO01K_H44"/>
        <s v="2dms_wmts_v1_TOPO01K_J01"/>
        <s v="2dms_wmts_v1_TOPO01K_J02"/>
        <s v="2dms_wmts_v1_TOPO01K_J03"/>
        <s v="2dms_wmts_v1_TOPO01K_J04"/>
        <s v="2dms_wmts_v1_TOPO01K_J05"/>
        <s v="2dms_wmts_v1_TOPO01K_J06"/>
        <s v="2dms_wmts_v1_TOPO01K_J07"/>
        <s v="2dms_wmts_v1_TOPO01K_J08"/>
        <s v="2dms_wmts_v1_TOPO01K_J09"/>
        <s v="2dms_wmts_v1_TOPO01K_J10"/>
        <s v="2dms_wmts_v1_TOPO01K_K01"/>
        <s v="2dms_wmts_v1_TOPO01K_K02"/>
        <s v="2dms_wmts_v1_TOPO01K_K03"/>
        <s v="2dms_wmts_v1_TOPO01K_K04"/>
        <s v="2dms_wmts_v1_TOPO01K_K05"/>
        <s v="2dms_wmts_v1_TOPO01K_K06"/>
        <s v="2dms_wmts_v1_TOPO01K_K07"/>
        <s v="2dms_wmts_v1_TOPO01K_K08"/>
        <s v="2dms_wmts_v1_TOPO01K_K09"/>
        <s v="2dms_wmts_v1_TOPO01K_K10"/>
        <s v="2dms_wmts_v1_TOPO01K_K11"/>
        <s v="2dms_wmts_v1_TOPO01K_K12"/>
        <s v="2dms_wmts_v1_TOPO01K_K13"/>
        <s v="2dms_wmts_v1_TOPO01K_K14"/>
        <s v="2dms_wmts_v1_TOPO01K_K15"/>
        <s v="2dms_wmts_v1_TOPO01K_K16"/>
        <s v="2dms_wmts_v1_TOPO01K_K17"/>
        <s v="2dms_wmts_v1_TOPO01K_K18"/>
        <s v="2dms_wmts_v1_TOPO01K_M01"/>
        <s v="2dms_wmts_v1_TOPO01K_M02"/>
        <s v="2dms_wmts_v1_TOPO01K_M03"/>
        <s v="2dms_wmts_v1_TOPO01K_M04"/>
        <s v="2dms_wmts_v1_TOPO01K_M05"/>
        <s v="2dms_wmts_v1_TOPO01K_M06"/>
        <s v="2dms_wmts_v1_TOPO01K_M07"/>
        <s v="2dms_wmts_v1_TOPO01K_M08"/>
        <s v="2dms_wmts_v1_TOPO01K_M09"/>
        <s v="2dms_wmts_v1_TOPO01K_M10"/>
        <s v="2dms_wmts_v1_TOPO01K_M11"/>
        <s v="2dms_wmts_v1_TOPO01K_M12"/>
        <s v="2dms_wmts_v1_TOPO01K_M13"/>
        <s v="2dms_wmts_v1_TOPO01K_M14"/>
        <s v="2dms_wmts_v1_TOPO01K_M15"/>
        <s v="2dms_wmts_v1_TOPO01K_M16"/>
        <s v="2dms_wmts_v1_TOPO01K_M17"/>
        <s v="2dms_wmts_v1_TOPO01K_M18"/>
        <s v="2dms_wmts_v1_TOPO01K_M19"/>
        <s v="2dms_wmts_v1_TOPO01K_M20"/>
        <s v="2dms_wmts_v1_TOPO01K_M21"/>
        <s v="2dms_wmts_v1_TOPO01K_M22"/>
        <s v="2dms_wmts_v1_TOPO01K_N01"/>
        <s v="2dms_wmts_v1_TOPO01K_N02"/>
        <s v="2dms_wmts_v1_TOPO01K_N03"/>
        <s v="2dms_wmts_v1_TOPO01K_N04"/>
        <s v="2dms_wmts_v1_TOPO01K_N05"/>
        <s v="2dms_wmts_v1_TOPO01K_N06"/>
        <s v="2dms_wmts_v1_TOPO01K_N07"/>
        <s v="2dms_wmts_v1_TOPO01K_N08"/>
        <s v="2dms_wmts_v1_TOPO01K_N09"/>
        <s v="2dms_wmts_v1_TOPO01K_N10"/>
        <s v="2dms_wmts_v1_TOPO01K_N11"/>
        <s v="2dms_wmts_v1_TOPO01K_N12"/>
        <s v="2dms_wmts_v1_TOPO01K_N13"/>
        <s v="2dms_wmts_v1_TOPO01K_N14"/>
        <s v="2dms_wmts_v1_TOPO01K_N15"/>
        <s v="2dms_wmts_v1_TOPO01K_N16"/>
        <s v="2dms_wmts_v1_TOPO01K_N17"/>
        <s v="2dms_wmts_v1_TOPO01K_N18"/>
        <s v="2dms_wmts_v1_TOPO01K_N19"/>
        <s v="2dms_wmts_v1_TOPO01K_N20"/>
        <s v="2dms_wmts_v1_TOPO01K_N21"/>
        <s v="2dms_wmts_v1_TOPO01K_N22"/>
        <s v="2dms_wmts_v1_TOPO01K_N23"/>
        <s v="2dms_wmts_v1_TOPO01K_N24"/>
        <s v="2dms_wmts_v1_TOPO01K_N25"/>
        <s v="2dms_wmts_v1_TOPO01K_N26"/>
        <s v="2dms_wmts_v1_TOPO01K_N27"/>
        <s v="2dms_wmts_v1_TOPO01K_N28"/>
        <s v="2dms_wmts_v1_TOPO01K_N29"/>
        <s v="2dms_wmts_v1_TOPO01K_N30"/>
        <s v="2dms_wmts_v1_TOPO01K_N31"/>
        <s v="2dms_wmts_v1_TOPO01K_N32"/>
        <s v="2dms_wmts_v1_TOPO01K_N33"/>
        <s v="2dms_wmts_v1_TOPO01K_N34"/>
        <s v="2dms_wmts_v1_TOPO01K_N35"/>
        <s v="2dms_wmts_v1_TOPO01K_O01"/>
        <s v="2dms_wmts_v1_TOPO01K_O03"/>
        <s v="2dms_wmts_v1_TOPO01K_O04"/>
        <s v="2dms_wmts_v1_TOPO01K_O05"/>
        <s v="2dms_wmts_v1_TOPO01K_O06"/>
        <s v="2dms_wmts_v1_TOPO01K_O07"/>
        <s v="2dms_wmts_v1_TOPO01K_O08"/>
        <s v="2dms_wmts_v1_TOPO01K_P01"/>
        <s v="2dms_wmts_v1_TOPO01K_P02"/>
        <s v="2dms_wmts_v1_TOPO01K_P03"/>
        <s v="2dms_wmts_v1_TOPO01K_P04"/>
        <s v="2dms_wmts_v1_TOPO01K_P05"/>
        <s v="2dms_wmts_v1_TOPO01K_P06"/>
        <s v="2dms_wmts_v1_TOPO01K_P07"/>
        <s v="2dms_wmts_v1_TOPO01K_P08"/>
        <s v="2dms_wmts_v1_TOPO01K_P09"/>
        <s v="2dms_wmts_v1_TOPO01K_P10"/>
        <s v="2dms_wmts_v1_TOPO01K_P11"/>
        <s v="2dms_wmts_v1_TOPO01K_P12"/>
        <s v="2dms_wmts_v1_TOPO01K_P13"/>
        <s v="2dms_wmts_v1_TOPO01K_P14"/>
        <s v="2dms_wmts_v1_TOPO01K_P15"/>
        <s v="2dms_wmts_v1_TOPO01K_Q01"/>
        <s v="2dms_wmts_v1_TOPO01K_Q02"/>
        <s v="2dms_wmts_v1_TOPO01K_Q03"/>
        <s v="2dms_wmts_v1_TOPO01K_Q04"/>
        <s v="2dms_wmts_v1_TOPO01K_Q05"/>
        <s v="2dms_wmts_v1_TOPO01K_Q06"/>
        <s v="2dms_wmts_v1_TOPO01K_Q07"/>
        <s v="2dms_wmts_v1_TOPO01K_Q08"/>
        <s v="2dms_wmts_v1_TOPO01K_Q09"/>
        <s v="2dms_wmts_v1_TOPO01K_Q10"/>
        <s v="2dms_wmts_v1_TOPO01K_Q11"/>
        <s v="2dms_wmts_v1_TOPO01K_Q12"/>
        <s v="2dms_wmts_v1_TOPO01K_Q13"/>
        <s v="2dms_wmts_v1_TOPO01K_Q14"/>
        <s v="2dms_wmts_v1_TOPO01K_Q15"/>
        <s v="2dms_wmts_v1_TOPO01K_Q16"/>
        <s v="2dms_wmts_v1_TOPO01K_Q17"/>
        <s v="2dms_wmts_v1_TOPO01K_Q18"/>
        <s v="2dms_wmts_v1_TOPO01K_Q19"/>
        <s v="2dms_wmts_v1_TOPO01K_Q20"/>
        <s v="2dms_wmts_v1_TOPO01K_Q21"/>
        <s v="2dms_wmts_v1_TOPO01K_Q22"/>
        <s v="2dms_wmts_v1_TOPO01K_Q23"/>
        <s v="2dms_wmts_v1_TOPO01K_Q24"/>
        <s v="2dms_wmts_v1_TOPO01K_Q25"/>
        <s v="2dms_wmts_v1_TOPO01K_Q26"/>
        <s v="2dms_wmts_v1_TOPO01K_Q27"/>
        <s v="2dms_wmts_v1_TOPO01K_Q29"/>
        <s v="2dms_wmts_v1_TOPO01K_T01"/>
        <s v="2dms_wmts_v1_TOPO01K_T02"/>
        <s v="2dms_wmts_v1_TOPO01K_T03"/>
        <s v="2dms_wmts_v1_TOPO01K_T04"/>
        <s v="2dms_wmts_v1_TOPO01K_T05"/>
        <s v="2dms_wmts_v1_TOPO01K_T06"/>
        <s v="2dms_wmts_v1_TOPO01K_T07"/>
        <s v="2dms_wmts_v1_TOPO01K_T08"/>
        <s v="2dms_wmts_v1_TOPO01K_T09"/>
        <s v="2dms_wmts_v1_TOPO01K_T10"/>
        <s v="2dms_wmts_v1_TOPO01K_T11"/>
        <s v="2dms_wmts_v1_TOPO01K_T12"/>
        <s v="2dms_wmts_v1_TOPO01K_T13"/>
        <s v="2dms_wmts_v1_TOPO01K_T14"/>
        <s v="2dms_wmts_v1_TOPO01K_T15"/>
        <s v="2dms_wmts_v1_TOPO01K_T16"/>
        <s v="2dms_wmts_v1_TOPO01K_T17"/>
        <s v="2dms_wmts_v1_TOPO01K_T18"/>
        <s v="2dms_wmts_v1_TOPO01K_T19"/>
        <s v="2dms_wmts_v1_TOPO01K_T20"/>
        <s v="2dms_wmts_v1_TOPO01K_T21"/>
        <s v="2dms_wmts_v1_TOPO01K_T22"/>
        <s v="2dms_wmts_v1_TOPO01K_T23"/>
        <s v="2dms_wmts_v1_TOPO01K_T24"/>
        <s v="2dms_wmts_v1_TOPO01K_T25"/>
        <s v="2dms_wmts_v1_TOPO01K_T26"/>
        <s v="2dms_wmts_v1_TOPO01K_T27"/>
        <s v="2dms_wmts_v1_TOPO01K_T28"/>
        <s v="2dms_wmts_v1_TOPO01K_T29"/>
        <s v="2dms_wmts_v1_TOPO01K_T30"/>
        <s v="2dms_wmts_v1_TOPO01K_T31"/>
        <s v="2dms_wmts_v1_TOPO01K_T32"/>
        <s v="2dms_wmts_v1_TOPO01K_U01"/>
        <s v="2dms_wmts_v1_TOPO01K_U02"/>
        <s v="2dms_wmts_v1_TOPO01K_U03"/>
        <s v="2dms_wmts_v1_TOPO01K_U04"/>
        <s v="2dms_wmts_v1_TOPO01K_U05"/>
        <s v="2dms_wmts_v1_TOPO01K_U06"/>
        <s v="2dms_wmts_v1_TOPO01K_U07"/>
        <s v="2dms_wmts_v1_TOPO01K_U08"/>
        <s v="2dms_wmts_v1_TOPO01K_U09"/>
        <s v="2dms_wmts_v1_TOPO01K_U10"/>
        <s v="2dms_wmts_v1_TOPO01K_U11"/>
        <s v="2dms_wmts_v1_TOPO01K_U12"/>
        <s v="2dms_wmts_v1_TOPO01K_U13"/>
        <s v="2dms_wmts_v1_TOPO01K_U14"/>
        <s v="2dms_wmts_v1_TOPO01K_U15"/>
        <s v="2dms_wmts_v1_TOPO01K_U16"/>
        <s v="2dms_wmts_v1_TOPO01K_U17"/>
        <s v="2dms_wmts_v1_TOPO01K_U18"/>
        <s v="2dms_wmts_v1_TOPO01K_U19"/>
        <s v="2dms_wmts_v1_TOPO01K_U20"/>
        <s v="2dms_wmts_v1_TOPO01K_U21"/>
        <s v="2dms_wmts_v1_TOPO01K_U22"/>
        <s v="2dms_wmts_v1_TOPO01K_U23"/>
        <s v="2dms_wmts_v1_TOPO01K_U24"/>
        <s v="2dms_wmts_v1_TOPO01K_U25"/>
        <s v="2dms_wmts_v1_TOPO01K_U26"/>
        <s v="2dms_wmts_v1_TOPO01K_V01"/>
        <s v="2dms_wmts_v1_TOPO01K_V02"/>
        <s v="2dms_wmts_v1_TOPO01K_V03"/>
        <s v="2dms_wmts_v1_TOPO01K_V04"/>
        <s v="2dms_wmts_v1_TOPO01K_V05"/>
        <s v="2dms_wmts_v1_TOPO01K_V06"/>
        <s v="2dms_wmts_v1_TOPO01K_V07"/>
        <s v="2dms_wmts_v1_TOPO01K_V08"/>
        <s v="2dms_wmts_v1_TOPO01K_V09"/>
        <s v="2dms_wmts_v1_TOPO01K_V10"/>
        <s v="2dms_wmts_v1_TOPO01K_V11"/>
        <s v="2dms_wmts_v1_TOPO01K_V12"/>
        <s v="2dms_wmts_v1_TOPO01K_V13"/>
        <s v="2dms_wmts_v1_TOPO01K_V14"/>
        <s v="2dms_wmts_v1_TOPO01K_V15"/>
        <s v="2dms_wmts_v1_TOPO01K_V16"/>
        <s v="2dms_wmts_v1_TOPO01K_V17"/>
        <s v="2dms_wmts_v1_TOPO01K_V18"/>
        <s v="2dms_wmts_v1_TOPO01K_V19"/>
        <s v="2dms_wmts_v1_TOPO01K_V20"/>
        <s v="2dms_wmts_v1_TOPO01K_W01"/>
        <s v="2dms_wmts_v1_TOPO01K_W02"/>
        <s v="2dms_wmts_v1_TOPO01K_X01"/>
        <s v="2dms_wmts_v1_TOPO01K_X02"/>
        <s v="2dms_wmts_v1_TOPO01K_X03"/>
        <s v="2dms_wmts_v1_TOPO01K_X04"/>
        <s v="2dms_wmts_v1_TOPO01K_X05"/>
        <s v="2dms_wmts_v1_TOPO01K_X06"/>
        <s v="2dms_wmts_v1_TOPO01K_X07"/>
        <s v="2dms_wmts_v1_TOPO01K_X08"/>
        <s v="2dms_wmts_v1_TOPO01K_Z01"/>
        <s v="2dms_wmts_v1_TOPO05K100"/>
        <s v="2dms_wmts_v1_TOPO05K101"/>
        <s v="2dms_wmts_v1_TOPO05K102"/>
        <s v="2dms_wmts_v1_TOPO05K103"/>
        <s v="2dms_wmts_v1_TOPO05K104"/>
        <s v="2dms_wmts_v1_TOPO05K105"/>
        <s v="2dms_wmts_v1_TOPO05K106"/>
        <s v="2dms_wmts_v1_TOPO05K107"/>
        <s v="2dms_wmts_v1_TOPO05K108"/>
        <s v="2dms_wmts_v1_TOPO05K109"/>
        <s v="2dms_wmts_v1_TOPO05K110"/>
        <s v="2dms_wmts_v1_TOPO05K111"/>
        <s v="2dms_wmts_v1_TOPO05K84"/>
        <s v="2dms_wmts_v1_TOPO05K86"/>
        <s v="2dms_wmts_v1_TOPO05K87"/>
        <s v="2dms_wmts_v1_TOPO05K88"/>
        <s v="2dms_wmts_v1_TOPO05K90"/>
        <s v="2dms_wmts_v1_TOPO05K91"/>
        <s v="2dms_wmts_v1_TOPO05K92"/>
        <s v="2dms_wmts_v1_TOPO05K96"/>
        <s v="2dms_wmts_v1_TOPO05K98"/>
        <s v="2dms_wmts_v1_TOPO05K99"/>
        <s v="2dms_wmts_v1_TOPO05KPHOTO065"/>
        <s v="2dms_wmts_v1_TOPO05KPHOTO066"/>
        <s v="2dms_wmts_v1_TOPO05KPHOTO067"/>
        <s v="2dms_wmts_v1_TOPO05KPHOTO068"/>
        <s v="2dms_wmts_v1_TOPO05KPHOTO069"/>
        <s v="2dms_wmts_v1_TOPO05KPHOTO070"/>
        <s v="2dms_wmts_v1_TOPO05KPHOTO071"/>
        <s v="2dms_wmts_v1_TOPO05KPHOTO072"/>
        <s v="2dms_wmts_v1_TOPO05KPHOTO073"/>
        <s v="2dms_wmts_v1_TOPO05KPHOTO074"/>
        <s v="2dms_wmts_v1_TOPO05KPHOTO075"/>
        <s v="2dms_wmts_v1_TOPO05KPHOTO076"/>
        <s v="2dms_wmts_v1_TOPO05KPHOTO078"/>
        <s v="2dms_wmts_v1_TOPO05KPHOTO079"/>
        <s v="2dms_wmts_v1_TOPO05KPHOTO080"/>
        <s v="2dms_wmts_v1_TOPO05KPHOTO081"/>
        <s v="2dms_wmts_v1_TOPO05KPHOTO083"/>
        <s v="2dms_wmts_v1_TOPO05KPHOTO084"/>
        <s v="2dms_wmts_v1_TOPO05KPHOTO086"/>
        <s v="2dms_wmts_v1_TOPO05KPHOTO087"/>
        <s v="2dms_wmts_v1_TOPO05KPHOTO088"/>
        <s v="2dms_wmts_v1_TOPO05KPHOTO089"/>
        <s v="2dms_wmts_v1_TOPO05KPHOTO090"/>
        <s v="2dms_wmts_v1_TOPO05KPHOTO091"/>
        <s v="2dms_wmts_v1_TOPO05KPHOTO092"/>
        <s v="2dms_wmts_v1_TOPO05KPHOTO093"/>
        <s v="2dms_wmts_v1_TOPO05KPHOTO094"/>
        <s v="2dms_wmts_v1_TOPO05KPHOTO095"/>
        <s v="2dms_wmts_v1_TOPO05KPHOTO096"/>
        <s v="2dms_wmts_v1_TOPO05KPHOTO097"/>
        <s v="2dms_wmts_v1_TOPO05KPHOTO098"/>
        <s v="2dms_wmts_v1_TOPO05KPHOTO099"/>
        <s v="2dms_wmts_v1_TOPO05KPHOTO100"/>
        <s v="2dms_wmts_v1_TOPO05KPHOTO101"/>
        <s v="2dms_wmts_v1_TOPO05KPHOTO102"/>
        <s v="2dms_wmts_v1_TOPO05KPHOTO103"/>
        <s v="2dms_wmts_v1_TOPO05KPHOTO104"/>
        <s v="2dms_wmts_v1_TOPO05KPHOTO105"/>
        <s v="2dms_wmts_v1_TOPO05KPHOTO106"/>
        <s v="2dms_wmts_v1_TOPO05KPHOTO107"/>
        <s v="2dms_wmts_v1_TOPO05KPHOTO108"/>
        <s v="2dms_wmts_v1_TOPO05KPHOTO109"/>
        <s v="2dms_wmts_v1_TOPO05KPHOTO110"/>
        <s v="2dms_wmts_v1_TOPO05KPHOTO111"/>
        <s v="2dms_wmts_v1_TOPO05KPHOTO112"/>
        <s v="2dms_wmts_v1_TOPO05KPHOTO113"/>
        <s v="2dms_wmts_v1_TOPO05KPHOTO114"/>
        <s v="2dms_wmts_v1_TOPO10KPHOTO"/>
        <s v="2dms_wmts_v1_TOPO10M107"/>
        <s v="2dms_wmts_v1_TOPO10M109"/>
        <s v="2dms_wmts_v1_TOPO10M110"/>
        <s v="2dms_wmts_v1_TOPO10M111"/>
        <s v="2dms_wmts_v1_TOPO10M112"/>
        <s v="2dms_wmts_v1_TOPO10M113"/>
        <s v="2dms_wmts_v1_TOPO10M114"/>
        <s v="2dms_wmts_v1_TOPO25K107"/>
        <s v="2dms_wmts_v1_TOPO25K108"/>
        <s v="2dms_wmts_v1_TOPO25K109"/>
        <s v="2dms_wmts_v1_TOPO25K110"/>
        <s v="2dms_wmts_v1_TOPO25K111"/>
        <s v="2dms_wmts_v1_TOPO25K112"/>
        <s v="2dms_wmts_v1_TOPO25K113"/>
        <s v="2dms_wmts_v1_TOPO25K114"/>
        <s v="2dms_wmts_v1_TOPO50K107"/>
        <s v="2dms_wmts_v1_TOPO50K109"/>
        <s v="2dms_wmts_v1_TOPO50K110"/>
        <s v="2dms_wmts_v1_TOPO50K111"/>
        <s v="2dms_wmts_v1_TOPO50K112"/>
        <s v="2dms_wmts_v1_TOPO50K113"/>
        <s v="2dms_wmts_v1_TOPON1K_B04"/>
        <s v="2dms_wmts_v1_TOPON1K_B11"/>
        <s v="2dms_wmts_v1_TOPON1K_B14"/>
        <s v="2dms_wmts_v1_TOPON1K_B15"/>
        <s v="2dms_wmts_v1_TOPON1K_B20"/>
        <s v="2dms_wmts_v1_TOPON1K_B22"/>
        <s v="2dms_wmts_v1_TOPON1K_B25"/>
        <s v="2dms_wmts_v1_TOPON1K_D03"/>
        <s v="2dms_wmts_v1_TOPON1K_D04"/>
        <s v="2dms_wmts_v1_TOPON1K_D05"/>
        <s v="2dms_wmts_v1_TOPON1K_D08"/>
        <s v="2dms_wmts_v1_TOPON1K_D12"/>
        <s v="2dms_wmts_v1_TOPON1K_E02"/>
        <s v="2dms_wmts_v1_TOPON1K_E03"/>
        <s v="2dms_wmts_v1_TOPON1K_E32"/>
        <s v="2dms_wmts_v1_TOPON1K_G01"/>
        <s v="2dms_wmts_v1_TOPON1K_G04"/>
        <s v="2dms_wmts_v1_TOPON1K_G06"/>
        <s v="2dms_wmts_v1_TOPON1K_G09"/>
        <s v="2dms_wmts_v1_TOPON1K_G11"/>
        <s v="2dms_wmts_v1_TOPON1K_G15"/>
        <s v="2dms_wmts_v1_TOPON1K_G16"/>
        <s v="2dms_wmts_v1_TOPON1K_G17"/>
        <s v="2dms_wmts_v1_TOPON1K_G18"/>
        <s v="2dms_wmts_v1_TOPON1K_G19"/>
        <s v="2dms_wmts_v1_TOPON1K_G20"/>
        <s v="2dms_wmts_v1_TOPON1K_H18"/>
        <s v="2dms_wmts_v1_TOPON1K_H19"/>
        <s v="2dms_wmts_v1_TOPON1K_H20"/>
        <s v="2dms_wmts_v1_TOPON1K_H21"/>
        <s v="2dms_wmts_v1_TOPON1K_H31"/>
        <s v="2dms_wmts_v1_TOPON1K_J01"/>
        <s v="2dms_wmts_v1_TOPON1K_J06"/>
        <s v="2dms_wmts_v1_TOPON1K_J13"/>
        <s v="2dms_wmts_v1_TOPON1K_J16"/>
        <s v="2dms_wmts_v1_TOPON1K_J17"/>
        <s v="2dms_wmts_v1_TOPON1K_K01"/>
        <s v="2dms_wmts_v1_TOPON1K_K02"/>
        <s v="2dms_wmts_v1_TOPON1K_K14"/>
        <s v="2dms_wmts_v1_TOPON1K_M01"/>
        <s v="2dms_wmts_v1_TOPON1K_M02"/>
        <s v="2dms_wmts_v1_TOPON1K_M04"/>
        <s v="2dms_wmts_v1_TOPON1K_N01"/>
        <s v="2dms_wmts_v1_TOPON1K_N02"/>
        <s v="2dms_wmts_v1_TOPON1K_P01"/>
        <s v="2dms_wmts_v1_TOPON1K_P10"/>
        <s v="2dms_wmts_v1_TOPON1K_P12"/>
        <s v="2dms_wmts_v1_TOPON1K_P13"/>
        <s v="2dms_wmts_v1_TOPON1K_P22"/>
        <s v="2dms_wmts_v1_TOPON1K_P24"/>
        <s v="2dms_wmts_v1_TOPON1K_P25"/>
        <s v="2dms_wmts_v1_TOPON1K_Q02"/>
        <s v="2dms_wmts_v1_TOPON1K_Q06"/>
        <s v="2dms_wmts_v1_TOPON1K_Q07"/>
        <s v="2dms_wmts_v1_TOPON1K_Q19"/>
        <s v="2dms_wmts_v1_TOPON1K_Q21"/>
        <s v="2dms_wmts_v1_TOPON1K_Q22"/>
        <s v="2dms_wmts_v1_TOPON1K_Q26"/>
        <s v="2dms_wmts_v1_TOPON1K_Q27"/>
        <s v="2dms_wmts_v1_TOPON1K_Q28"/>
        <s v="2dms_wmts_v1_TOPON1K_Q29"/>
        <s v="2dms_wmts_v1_TOPON1K_Q30"/>
        <s v="2dms_wmts_v1_TOPON1K_Q31"/>
        <s v="2dms_wmts_v1_TOPON1K_T01"/>
        <s v="2dms_wmts_v1_TOPON1K_T03"/>
        <s v="2dms_wmts_v1_TOPON1K_T08"/>
        <s v="2dms_wmts_v1_TOPON1K_T20"/>
        <s v="2dms_wmts_v1_TOPON1K_T30"/>
        <s v="2dms_wmts_v1_TOPON1K_U20"/>
        <s v="2dms_wmts_v1_TOPON1K_V01"/>
        <s v="2dms_wmts_v1_TOPON1K_V02"/>
        <s v="2dms_wmts_v1_TOPON1K_X01"/>
        <s v="2dms_wmts_v1_TOPON1K_X02"/>
        <s v="2dms_wmts_v1_TOPON1K_X03"/>
        <s v="2dms_wmts_v1_TOPON1K_X04"/>
        <s v="2dms_wmts_v1_TOPON1K_X05"/>
        <s v="2dms_wmts_v1_TOPON1K_X06"/>
        <s v="2dms_wmts_v1_TOPON1K_X07"/>
        <s v="2dms_wmts_v1_TOPON1K_X08"/>
        <s v="2dms_wmts_v1_TOPON1KPHOTO_B04"/>
        <s v="2dms_wmts_v1_TOPON1KPHOTO_B11"/>
        <s v="2dms_wmts_v1_TOPON1KPHOTO_B14"/>
        <s v="2dms_wmts_v1_TOPON1KPHOTO_B15"/>
        <s v="2dms_wmts_v1_TOPON1KPHOTO_B20"/>
        <s v="2dms_wmts_v1_TOPON1KPHOTO_B22"/>
        <s v="2dms_wmts_v1_TOPON1KPHOTO_B25"/>
        <s v="2dms_wmts_v1_TOPON1KPHOTO_D03"/>
        <s v="2dms_wmts_v1_TOPON1KPHOTO_D04"/>
        <s v="2dms_wmts_v1_TOPON1KPHOTO_D05"/>
        <s v="2dms_wmts_v1_TOPON1KPHOTO_D08"/>
        <s v="2dms_wmts_v1_TOPON1KPHOTO_D12"/>
        <s v="2dms_wmts_v1_TOPON1KPHOTO_E02"/>
        <s v="2dms_wmts_v1_TOPON1KPHOTO_E03"/>
        <s v="2dms_wmts_v1_TOPON1KPHOTO_E32"/>
        <s v="2dms_wmts_v1_TOPON1KPHOTO_G01"/>
        <s v="2dms_wmts_v1_TOPON1KPHOTO_G04"/>
        <s v="2dms_wmts_v1_TOPON1KPHOTO_G06"/>
        <s v="2dms_wmts_v1_TOPON1KPHOTO_G09"/>
        <s v="2dms_wmts_v1_TOPON1KPHOTO_G11"/>
        <s v="2dms_wmts_v1_TOPON1KPHOTO_G15"/>
        <s v="2dms_wmts_v1_TOPON1KPHOTO_G16"/>
        <s v="2dms_wmts_v1_TOPON1KPHOTO_G17"/>
        <s v="2dms_wmts_v1_TOPON1KPHOTO_G18"/>
        <s v="2dms_wmts_v1_TOPON1KPHOTO_G19"/>
        <s v="2dms_wmts_v1_TOPON1KPHOTO_G20"/>
        <s v="2dms_wmts_v1_TOPON1KPHOTO_H18"/>
        <s v="2dms_wmts_v1_TOPON1KPHOTO_H19"/>
        <s v="2dms_wmts_v1_TOPON1KPHOTO_H20"/>
        <s v="2dms_wmts_v1_TOPON1KPHOTO_H21"/>
        <s v="2dms_wmts_v1_TOPON1KPHOTO_H31"/>
        <s v="2dms_wmts_v1_TOPON1KPHOTO_J01"/>
        <s v="2dms_wmts_v1_TOPON1KPHOTO_J06"/>
        <s v="2dms_wmts_v1_TOPON1KPHOTO_J13"/>
        <s v="2dms_wmts_v1_TOPON1KPHOTO_J16"/>
        <s v="2dms_wmts_v1_TOPON1KPHOTO_J17"/>
        <s v="2dms_wmts_v1_TOPON1KPHOTO_K01"/>
        <s v="2dms_wmts_v1_TOPON1KPHOTO_K02"/>
        <s v="2dms_wmts_v1_TOPON1KPHOTO_K14"/>
        <s v="2dms_wmts_v1_TOPON1KPHOTO_M01"/>
        <s v="2dms_wmts_v1_TOPON1KPHOTO_M02"/>
        <s v="2dms_wmts_v1_TOPON1KPHOTO_M04"/>
        <s v="2dms_wmts_v1_TOPON1KPHOTO_N01"/>
        <s v="2dms_wmts_v1_TOPON1KPHOTO_N02"/>
        <s v="2dms_wmts_v1_TOPON1KPHOTO_P01"/>
        <s v="2dms_wmts_v1_TOPON1KPHOTO_P10"/>
        <s v="2dms_wmts_v1_TOPON1KPHOTO_P12"/>
        <s v="2dms_wmts_v1_TOPON1KPHOTO_P13"/>
        <s v="2dms_wmts_v1_TOPON1KPHOTO_P22"/>
        <s v="2dms_wmts_v1_TOPON1KPHOTO_P24"/>
        <s v="2dms_wmts_v1_TOPON1KPHOTO_P25"/>
        <s v="2dms_wmts_v1_TOPON1KPHOTO_Q02"/>
        <s v="2dms_wmts_v1_TOPON1KPHOTO_Q06"/>
        <s v="2dms_wmts_v1_TOPON1KPHOTO_Q07"/>
        <s v="2dms_wmts_v1_TOPON1KPHOTO_Q19"/>
        <s v="2dms_wmts_v1_TOPON1KPHOTO_Q21"/>
        <s v="2dms_wmts_v1_TOPON1KPHOTO_Q22"/>
        <s v="2dms_wmts_v1_TOPON1KPHOTO_Q26"/>
        <s v="2dms_wmts_v1_TOPON1KPHOTO_Q27"/>
        <s v="2dms_wmts_v1_TOPON1KPHOTO_Q28"/>
        <s v="2dms_wmts_v1_TOPON1KPHOTO_Q29"/>
        <s v="2dms_wmts_v1_TOPON1KPHOTO_Q30"/>
        <s v="2dms_wmts_v1_TOPON1KPHOTO_Q31"/>
        <s v="2dms_wmts_v1_TOPON1KPHOTO_T01"/>
        <s v="2dms_wmts_v1_TOPON1KPHOTO_T03"/>
        <s v="2dms_wmts_v1_TOPON1KPHOTO_T08"/>
        <s v="2dms_wmts_v1_TOPON1KPHOTO_T20"/>
        <s v="2dms_wmts_v1_TOPON1KPHOTO_T30"/>
        <s v="2dms_wmts_v1_TOPON1KPHOTO_U20"/>
        <s v="2dms_wmts_v1_TOPON1KPHOTO_V01"/>
        <s v="2dms_wmts_v1_TOPON1KPHOTO_V02"/>
        <s v="2dms_wmts_v1_TOPON1KPHOTO_X01"/>
        <s v="2dms_wmts_v1_TOPON1KPHOTO_X02"/>
        <s v="2dms_wmts_v1_TOPON1KPHOTO_X03"/>
        <s v="2dms_wmts_v1_TOPON1KPHOTO_X04"/>
        <s v="2dms_wmts_v1_TOPON1KPHOTO_X05"/>
        <s v="2dms_wmts_v1_TOPON1KPHOTO_X06"/>
        <s v="2dms_wmts_v1_TOPON1KPHOTO_X07"/>
        <s v="2dms_wmts_v1_TOPON1KPHOTO_X08"/>
        <s v="2dms_wmts_v1_TOWN"/>
        <s v="2dms_wmts_v1_UAV101D01"/>
        <s v="2dms_wmts_v1_UAV101D02"/>
        <s v="2dms_wmts_v1_UAV101K01"/>
        <s v="2dms_wmts_v1_UAV101K02"/>
        <s v="2dms_wmts_v1_UAV101Q01"/>
        <s v="2dms_wmts_v1_UAV101T01"/>
        <s v="2dms_wmts_v1_UAV101U01"/>
        <s v="2dms_wmts_v1_UAV101U02"/>
        <s v="2dms_wmts_v1_UAV101V01"/>
        <s v="2dms_wmts_v1_UAV102D01"/>
        <s v="2dms_wmts_v1_UAV102D02"/>
        <s v="2dms_wmts_v1_UAV102D03"/>
        <s v="2dms_wmts_v1_UAV102H01"/>
        <s v="2dms_wmts_v1_UAV102M01"/>
        <s v="2dms_wmts_v1_UAV102N01"/>
        <s v="2dms_wmts_v1_UAV102Q01"/>
        <s v="2dms_wmts_v1_UAV102Q02"/>
        <s v="2dms_wmts_v1_UAV102T01"/>
        <s v="2dms_wmts_v1_UAV102T02"/>
        <s v="2dms_wmts_v1_UAV102V01"/>
        <s v="2dms_wmts_v1_UAV103D01"/>
        <s v="2dms_wmts_v1_UAV103D03"/>
        <s v="2dms_wmts_v1_UAV103D04"/>
        <s v="2dms_wmts_v1_UAV103H01"/>
        <s v="2dms_wmts_v1_UAV103K01"/>
        <s v="2dms_wmts_v1_UAV103M01"/>
        <s v="2dms_wmts_v1_UAV103M02"/>
        <s v="2dms_wmts_v1_UAV103M03"/>
        <s v="2dms_wmts_v1_UAV103M04"/>
        <s v="2dms_wmts_v1_UAV103N01"/>
        <s v="2dms_wmts_v1_UAV103P01"/>
        <s v="2dms_wmts_v1_UAV103Q01"/>
        <s v="2dms_wmts_v1_UAV103T01"/>
        <s v="2dms_wmts_v1_UAV104D02"/>
        <s v="2dms_wmts_v1_UAV104D03"/>
        <s v="2dms_wmts_v1_UAV104D04"/>
        <s v="2dms_wmts_v1_UAV104E01"/>
        <s v="2dms_wmts_v1_UAV104E02"/>
        <s v="2dms_wmts_v1_UAV104E03"/>
        <s v="2dms_wmts_v1_UAV104K01"/>
        <s v="2dms_wmts_v1_UAV104K02"/>
        <s v="2dms_wmts_v1_UAV104N01"/>
        <s v="2dms_wmts_v1_UAV104P01"/>
        <s v="2dms_wmts_v1_UAV104T01"/>
        <s v="2dms_wmts_v1_UAV105A01"/>
        <s v="2dms_wmts_v1_UAV105A02"/>
        <s v="2dms_wmts_v1_UAV105A03"/>
        <s v="2dms_wmts_v1_UAV105B01"/>
        <s v="2dms_wmts_v1_UAV105B02"/>
        <s v="2dms_wmts_v1_UAV105B03"/>
        <s v="2dms_wmts_v1_UAV105B04"/>
        <s v="2dms_wmts_v1_UAV105B05"/>
        <s v="2dms_wmts_v1_UAV105B06"/>
        <s v="2dms_wmts_v1_UAV105B07"/>
        <s v="2dms_wmts_v1_UAV105B08"/>
        <s v="2dms_wmts_v1_UAV105B09"/>
        <s v="2dms_wmts_v1_UAV105B10"/>
        <s v="2dms_wmts_v1_UAV105B11"/>
        <s v="2dms_wmts_v1_UAV105B12"/>
        <s v="2dms_wmts_v1_UAV105B13"/>
        <s v="2dms_wmts_v1_UAV105B14"/>
        <s v="2dms_wmts_v1_UAV105B15"/>
        <s v="2dms_wmts_v1_UAV105H01"/>
        <s v="2dms_wmts_v1_UAV105H02"/>
        <s v="2dms_wmts_v1_UAV105H03"/>
        <s v="2dms_wmts_v1_UAV105H04"/>
        <s v="2dms_wmts_v1_UAV105M01"/>
        <s v="2dms_wmts_v1_UAV105M02"/>
        <s v="2dms_wmts_v1_UAV105N01"/>
        <s v="2dms_wmts_v1_UAV105O01"/>
        <s v="2dms_wmts_v1_UAV105P01"/>
        <s v="2dms_wmts_v1_UAV105P02"/>
        <s v="2dms_wmts_v1_UAV105P03"/>
        <s v="2dms_wmts_v1_UAV105U01"/>
        <s v="2dms_wmts_v1_UAV106A01"/>
        <s v="2dms_wmts_v1_UAV106A02"/>
        <s v="2dms_wmts_v1_UAV106A03"/>
        <s v="2dms_wmts_v1_UAV106D01"/>
        <s v="2dms_wmts_v1_UAV106D02"/>
        <s v="2dms_wmts_v1_UAV106D03"/>
        <s v="2dms_wmts_v1_UAV106F01"/>
        <s v="2dms_wmts_v1_UAV106F02"/>
        <s v="2dms_wmts_v1_UAV106H01"/>
        <s v="2dms_wmts_v1_UAV106H02"/>
        <s v="2dms_wmts_v1_UAV106H03"/>
        <s v="2dms_wmts_v1_UAV106I01"/>
        <s v="2dms_wmts_v1_UAV106I02"/>
        <s v="2dms_wmts_v1_UAV106K01"/>
        <s v="2dms_wmts_v1_UAV106M01"/>
        <s v="2dms_wmts_v1_UAV106N01"/>
        <s v="2dms_wmts_v1_UAV106O01"/>
        <s v="2dms_wmts_v1_UAV106P01"/>
        <s v="2dms_wmts_v1_UAV106U01"/>
        <s v="2dms_wmts_v1_UAV107A01"/>
        <s v="2dms_wmts_v1_UAV107A02"/>
        <s v="2dms_wmts_v1_UAV107A03"/>
        <s v="2dms_wmts_v1_UAV107B01"/>
        <s v="2dms_wmts_v1_UAV107B02"/>
        <s v="2dms_wmts_v1_UAV107D01"/>
        <s v="2dms_wmts_v1_UAV107F01"/>
        <s v="2dms_wmts_v1_UAV107G01"/>
        <s v="2dms_wmts_v1_UAV107J01"/>
        <s v="2dms_wmts_v1_UAV107J02"/>
        <s v="2dms_wmts_v1_UAV107K01"/>
        <s v="2dms_wmts_v1_UAV107K02"/>
        <s v="2dms_wmts_v1_UAV107O01"/>
        <s v="2dms_wmts_v1_UAV107T01"/>
        <s v="2dms_wmts_v1_UAV107T02"/>
        <s v="2dms_wmts_v1_UAV108A01"/>
        <s v="2dms_wmts_v1_UAV108A02"/>
        <s v="2dms_wmts_v1_UAV108A03"/>
        <s v="2dms_wmts_v1_UAV108B01"/>
        <s v="2dms_wmts_v1_UAV108D01"/>
        <s v="2dms_wmts_v1_UAV108D02"/>
        <s v="2dms_wmts_v1_UAV108D03"/>
        <s v="2dms_wmts_v1_UAV108D04"/>
        <s v="2dms_wmts_v1_UAV108D05"/>
        <s v="2dms_wmts_v1_UAV108E01"/>
        <s v="2dms_wmts_v1_UAV108G01"/>
        <s v="2dms_wmts_v1_UAV108Q01"/>
        <s v="2dms_wmts_v1_UAV108Q02"/>
        <s v="2dms_wmts_v1_UAV109A01"/>
        <s v="2dms_wmts_v1_UAV109B01"/>
        <s v="2dms_wmts_v1_UAV109D01"/>
        <s v="2dms_wmts_v1_UAV109E01"/>
        <s v="2dms_wmts_v1_UAV109K01"/>
        <s v="2dms_wmts_v1_UAV109K02"/>
        <s v="2dms_wmts_v1_UAV109P01"/>
        <s v="2dms_wmts_v1_UAV109Q01"/>
        <s v="2dms_wmts_v1_UAV109T01"/>
        <s v="2dms_wmts_v1_UAV109T02"/>
        <s v="2dms_wmts_v1_UAV109T03"/>
        <s v="2dms_wmts_v1_UAV109U01"/>
        <s v="2dms_wmts_v1_UAV109U02"/>
        <s v="2dms_wmts_v1_UAV109U03"/>
        <s v="2dms_wmts_v1_UAV110A01"/>
        <s v="2dms_wmts_v1_UAV110B01"/>
        <s v="2dms_wmts_v1_UAV110B02"/>
        <s v="2dms_wmts_v1_UAV110B03"/>
        <s v="2dms_wmts_v1_UAV110D01"/>
        <s v="2dms_wmts_v1_UAV110D02"/>
        <s v="2dms_wmts_v1_UAV110D03"/>
        <s v="2dms_wmts_v1_UAV110D04"/>
        <s v="2dms_wmts_v1_UAV110D05 "/>
        <s v="2dms_wmts_v1_UAV110D06"/>
        <s v="2dms_wmts_v1_UAV110D07 "/>
        <s v="2dms_wmts_v1_UAV110D08 "/>
        <s v="2dms_wmts_v1_UAV110E02"/>
        <s v="2dms_wmts_v1_UAV110N01 "/>
        <s v="2dms_wmts_v1_UAV110Q01"/>
        <s v="2dms_wmts_v1_UAV110Q02"/>
        <s v="2dms_wmts_v1_UAV111A02"/>
        <s v="2dms_wmts_v1_UAV111A03 "/>
        <s v="2dms_wmts_v1_UAV111A04"/>
        <s v="2dms_wmts_v1_UAV111A05"/>
        <s v="2dms_wmts_v1_UAV111A06 "/>
        <s v="2dms_wmts_v1_UAV111D01"/>
        <s v="2dms_wmts_v1_UAV111E01"/>
        <s v="2dms_wmts_v1_UAV111J01"/>
        <s v="2dms_wmts_v1_UAV111J02"/>
        <s v="2dms_wmts_v1_UAV111J03"/>
        <s v="2dms_wmts_v1_UAV111K01"/>
        <s v="2dms_wmts_v1_UAV111K02"/>
        <s v="2dms_wmts_v1_UAV111P01"/>
        <s v="2dms_wmts_v1_UAV111P02"/>
        <s v="2dms_wmts_v1_UAV111Q01"/>
        <s v="2dms_wmts_v1_Village"/>
        <s v="2dms_wmts_v1_Village201910"/>
        <s v="3dms_3dtile_v1_building"/>
        <s v="3dms_3dtile_v1_PBSService"/>
        <s v="3dms_3dtile_v1_road"/>
        <s v="3dms_3dtile_v1_road2nd"/>
        <s v="3dms_bldg3d_v1_BAQueryBuilding"/>
        <s v="3dms_bldg3d_v1_BAQueryBuildingAttributes"/>
        <s v="3dms_bldg3d_v1_BAQueryBuildingDataSource"/>
        <s v="3dms_bldg3d_v1_BAStatus"/>
        <s v="3dms_i3s_v1_building"/>
        <s v="3dms_i3s_v1_PBSService"/>
        <s v="3dms_i3s_v1_road"/>
        <s v="3dms_i3s_v1_road2nd"/>
        <s v="3dms_pubapi_v1_PBSQueryBuilding"/>
        <s v="3dms_pubapi_v1_PBSStatus"/>
        <s v="3dms_pubapi_v1_PBSTRSelectByCircle"/>
        <s v="3dms_pubapi_v1_PBSTRSelectByPoint"/>
        <s v="3dms_pubapi_v1_PBSTRSelectByPolygon"/>
      </sharedItems>
    </cacheField>
    <cacheField name="服務版本" numFmtId="0">
      <sharedItems count="1">
        <s v="v1"/>
      </sharedItems>
    </cacheField>
    <cacheField name="來源系統" numFmtId="0">
      <sharedItems count="2">
        <s v="2dms"/>
        <s v="3dms"/>
      </sharedItems>
    </cacheField>
    <cacheField name="115服務類別(英)" numFmtId="0">
      <sharedItems count="18">
        <s v="3dtile"/>
        <s v="addrm"/>
        <s v="bldg3d"/>
        <s v="cadapi"/>
        <s v="cadatt"/>
        <s v="cadwfs"/>
        <s v="cadwms"/>
        <s v="cadwmt"/>
        <s v="emwfs"/>
        <s v="i3s"/>
        <s v="luseat"/>
        <s v="luwfs"/>
        <s v="pubapi"/>
        <s v="route"/>
        <s v="secwfs"/>
        <s v="t1kwfs"/>
        <s v="wms"/>
        <s v="wmts"/>
      </sharedItems>
    </cacheField>
    <cacheField name="代碼" numFmtId="0">
      <sharedItems count="1355">
        <s v="AddressQueryLand"/>
        <s v="AED"/>
        <s v="Asrs202509251"/>
        <s v="Asrs202509252"/>
        <s v="Asrs202509253"/>
        <s v="Asrs202509271"/>
        <s v="Asrs202509272"/>
        <s v="Asrs202509273"/>
        <s v="Asrs202509281"/>
        <s v="Asrs202509282"/>
        <s v="Asrs202509291"/>
        <s v="Asrs202509292"/>
        <s v="Asrs202509301"/>
        <s v="Asrs202509302"/>
        <s v="Asrs202510011"/>
        <s v="Asrs202510021"/>
        <s v="Asrs202510022"/>
        <s v="Asrs202510023"/>
        <s v="Asrs202510031"/>
        <s v="Asrs202510032"/>
        <s v="Asrs202510033"/>
        <s v="Asrs202510034"/>
        <s v="Asrs202510035"/>
        <s v="Asrs202510036"/>
        <s v="Asrs202510037"/>
        <s v="Asrs202510041"/>
        <s v="Asrs202510042"/>
        <s v="Asrs202510043"/>
        <s v="Asrs202510051"/>
        <s v="Asrs202510052"/>
        <s v="Asrs202510053"/>
        <s v="Asrs202510061"/>
        <s v="Asrs202510062"/>
        <s v="Asrs202510063"/>
        <s v="Asrs202510071"/>
        <s v="Asrs202510072"/>
        <s v="Asrs202510073"/>
        <s v="Asrs202510131"/>
        <s v="Asrs202510132"/>
        <s v="Asrs202510133"/>
        <s v="Asrs202510134"/>
        <s v="Asrs202510135"/>
        <s v="Asrs202510136"/>
        <s v="Asrs202510137"/>
        <s v="Asrs202510138"/>
        <s v="Asrs202510139"/>
        <s v="Asrs202511161"/>
        <s v="Asrs202511162"/>
        <s v="Asrs202511163"/>
        <s v="Asrs202511164"/>
        <s v="Asrs202511165"/>
        <s v="Asrs202511166"/>
        <s v="Asrs202511167"/>
        <s v="Asrs202511168"/>
        <s v="Asrs2025ortho"/>
        <s v="B100000"/>
        <s v="B25000"/>
        <s v="B5000"/>
        <s v="B50000"/>
        <s v="BAQueryBuilding"/>
        <s v="BAQueryBuildingAttributes"/>
        <s v="BAQueryBuildingDataSource"/>
        <s v="BAStatus"/>
        <s v="BuildFrame"/>
        <s v="building"/>
        <s v="BUILDX"/>
        <s v="CadasAttrQuery_A"/>
        <s v="CadasAttrQuery_B"/>
        <s v="CadasAttrQuery_C"/>
        <s v="CadasAttrQuery_D"/>
        <s v="CadasAttrQuery_E"/>
        <s v="CadasAttrQuery_F"/>
        <s v="CadasAttrQuery_G"/>
        <s v="CadasAttrQuery_H"/>
        <s v="CadasAttrQuery_I"/>
        <s v="CadasAttrQuery_J"/>
        <s v="CadasAttrQuery_K"/>
        <s v="CadasAttrQuery_M"/>
        <s v="CadasAttrQuery_N"/>
        <s v="CadasAttrQuery_O"/>
        <s v="CadasAttrQuery_P"/>
        <s v="CadasAttrQuery_Q"/>
        <s v="CadasAttrQuery_T"/>
        <s v="CadasAttrQuery_U"/>
        <s v="CadasAttrQuery_V"/>
        <s v="CadasAttrQuery_W"/>
        <s v="CadasAttrQuery_X"/>
        <s v="CadasAttrQuery_Z"/>
        <s v="CadasLandInfo_A"/>
        <s v="CadasLandInfo_B"/>
        <s v="CadasLandInfo_C"/>
        <s v="CadasLandInfo_D"/>
        <s v="CadasLandInfo_E"/>
        <s v="CadasLandInfo_F"/>
        <s v="CadasLandInfo_G"/>
        <s v="CadasLandInfo_H"/>
        <s v="CadasLandInfo_I"/>
        <s v="CadasLandInfo_J"/>
        <s v="CadasLandInfo_K"/>
        <s v="CadasLandInfo_M"/>
        <s v="CadasLandInfo_N"/>
        <s v="CadasLandInfo_O"/>
        <s v="CadasLandInfo_P"/>
        <s v="CadasLandInfo_Q"/>
        <s v="CadasLandInfo_T"/>
        <s v="CadasLandInfo_U"/>
        <s v="CadasLandInfo_V"/>
        <s v="CadasLandInfo_W"/>
        <s v="CadasLandInfo_X"/>
        <s v="CadasLandInfo_Z"/>
        <s v="CadasLandNoQuery"/>
        <s v="CadasMapImage_A"/>
        <s v="CadasMapImage_B"/>
        <s v="CadasMapImage_C"/>
        <s v="CadasMapImage_D"/>
        <s v="CadasMapImage_E"/>
        <s v="CadasMapImage_F"/>
        <s v="CadasMapImage_G"/>
        <s v="CadasMapImage_H"/>
        <s v="CadasMapImage_I"/>
        <s v="CadasMapImage_J"/>
        <s v="CadasMapImage_K"/>
        <s v="CadasMapImage_M"/>
        <s v="CadasMapImage_N"/>
        <s v="CadasMapImage_O"/>
        <s v="CadasMapImage_P"/>
        <s v="CadasMapImage_Q"/>
        <s v="CadasMapImage_T"/>
        <s v="CadasMapImage_U"/>
        <s v="CadasMapImage_V"/>
        <s v="CadasMapImage_W"/>
        <s v="CadasMapImage_X"/>
        <s v="CadasMapImage_Z"/>
        <s v="CadasMapPointQuery"/>
        <s v="CadasMapPosition_A"/>
        <s v="CadasMapPosition_B"/>
        <s v="CadasMapPosition_C"/>
        <s v="CadasMapPosition_D"/>
        <s v="CadasMapPosition_E"/>
        <s v="CadasMapPosition_F"/>
        <s v="CadasMapPosition_G"/>
        <s v="CadasMapPosition_H"/>
        <s v="CadasMapPosition_I"/>
        <s v="CadasMapPosition_J"/>
        <s v="CadasMapPosition_K"/>
        <s v="CadasMapPosition_M"/>
        <s v="CadasMapPosition_N"/>
        <s v="CadasMapPosition_O"/>
        <s v="CadasMapPosition_P"/>
        <s v="CadasMapPosition_Q"/>
        <s v="CadasMapPosition_T"/>
        <s v="CadasMapPosition_U"/>
        <s v="CadasMapPosition_V"/>
        <s v="CadasMapPosition_W"/>
        <s v="CadasMapPosition_X"/>
        <s v="CadasMapPosition_Z"/>
        <s v="CadasMapQuery"/>
        <s v="CadasMerge"/>
        <s v="CITY"/>
        <s v="ConvenienceStore"/>
        <s v="DDEM05"/>
        <s v="DMAPS"/>
        <s v="EMAP"/>
        <s v="EMAP01"/>
        <s v="EMAP12"/>
        <s v="EMAP15"/>
        <s v="EMAP16"/>
        <s v="EMAP2"/>
        <s v="EMAP3825"/>
        <s v="EMAP3826"/>
        <s v="EMAP5"/>
        <s v="EMAP5Opendata"/>
        <s v="EMAP6"/>
        <s v="EMAP6Opendata"/>
        <s v="EMAP7"/>
        <s v="EMAP8"/>
        <s v="EMAP9"/>
        <s v="EMAP96"/>
        <s v="EMAP97"/>
        <s v="EMAP98"/>
        <s v="EMAPX99"/>
        <s v="fireplug"/>
        <s v="GeoSensitive"/>
        <s v="GeoSensitive2"/>
        <s v="GetLandNO"/>
        <s v="GetLandPositionLongitudeLatitude_A"/>
        <s v="GetLandPositionLongitudeLatitude_B"/>
        <s v="GetLandPositionLongitudeLatitude_C"/>
        <s v="GetLandPositionLongitudeLatitude_D"/>
        <s v="GetLandPositionLongitudeLatitude_E"/>
        <s v="GetLandPositionLongitudeLatitude_F"/>
        <s v="GetLandPositionLongitudeLatitude_G"/>
        <s v="GetLandPositionLongitudeLatitude_H"/>
        <s v="GetLandPositionLongitudeLatitude_I"/>
        <s v="GetLandPositionLongitudeLatitude_J"/>
        <s v="GetLandPositionLongitudeLatitude_K"/>
        <s v="GetLandPositionLongitudeLatitude_M"/>
        <s v="GetLandPositionLongitudeLatitude_N"/>
        <s v="GetLandPositionLongitudeLatitude_O"/>
        <s v="GetLandPositionLongitudeLatitude_P"/>
        <s v="GetLandPositionLongitudeLatitude_Q"/>
        <s v="GetLandPositionLongitudeLatitude_T"/>
        <s v="GetLandPositionLongitudeLatitude_U"/>
        <s v="GetLandPositionLongitudeLatitude_V"/>
        <s v="GetLandPositionLongitudeLatitude_W"/>
        <s v="GetLandPositionLongitudeLatitude_X"/>
        <s v="GetLandPositionLongitudeLatitude_Z"/>
        <s v="GetLandSecInfoNlsc_A"/>
        <s v="GetLandSecInfoNlsc_B"/>
        <s v="GetLandSecInfoNlsc_C"/>
        <s v="GetLandSecInfoNlsc_D"/>
        <s v="GetLandSecInfoNlsc_E"/>
        <s v="GetLandSecInfoNlsc_F"/>
        <s v="GetLandSecInfoNlsc_G"/>
        <s v="GetLandSecInfoNlsc_H"/>
        <s v="GetLandSecInfoNlsc_I"/>
        <s v="GetLandSecInfoNlsc_J"/>
        <s v="GetLandSecInfoNlsc_K"/>
        <s v="GetLandSecInfoNlsc_M"/>
        <s v="GetLandSecInfoNlsc_N"/>
        <s v="GetLandSecInfoNlsc_O"/>
        <s v="GetLandSecInfoNlsc_P"/>
        <s v="GetLandSecInfoNlsc_Q"/>
        <s v="GetLandSecInfoNlsc_T"/>
        <s v="GetLandSecInfoNlsc_U"/>
        <s v="GetLandSecInfoNlsc_V"/>
        <s v="GetLandSecInfoNlsc_W"/>
        <s v="GetLandSecInfoNlsc_X"/>
        <s v="GetLandSecInfoNlsc_Z"/>
        <s v="GetMapVillage"/>
        <s v="LandOffice"/>
        <s v="LandOpendata"/>
        <s v="LANDSECT"/>
        <s v="LANDSECT2"/>
        <s v="LandUseCompare"/>
        <s v="LandUsePointQuery"/>
        <s v="LandUsePointYears"/>
        <s v="LanSect"/>
        <s v="LineQueryAddr"/>
        <s v="ListCounty"/>
        <s v="ListLandSection_A"/>
        <s v="ListLandSection_B"/>
        <s v="ListLandSection_C"/>
        <s v="ListLandSection_D"/>
        <s v="ListLandSection_E"/>
        <s v="ListLandSection_F"/>
        <s v="ListLandSection_G"/>
        <s v="ListLandSection_H"/>
        <s v="ListLandSection_I"/>
        <s v="ListLandSection_J"/>
        <s v="ListLandSection_K"/>
        <s v="ListLandSection_M"/>
        <s v="ListLandSection_N"/>
        <s v="ListLandSection_O"/>
        <s v="ListLandSection_P"/>
        <s v="ListLandSection_Q"/>
        <s v="ListLandSection_T"/>
        <s v="ListLandSection_U"/>
        <s v="ListLandSection_V"/>
        <s v="ListLandSection_W"/>
        <s v="ListLandSection_X"/>
        <s v="ListLandSection_Z"/>
        <s v="ListRoad_A"/>
        <s v="ListRoad_B"/>
        <s v="ListRoad_C"/>
        <s v="ListRoad_D"/>
        <s v="ListRoad_E"/>
        <s v="ListRoad_F"/>
        <s v="ListRoad_G"/>
        <s v="ListRoad_H"/>
        <s v="ListRoad_I"/>
        <s v="ListRoad_J"/>
        <s v="ListRoad_K"/>
        <s v="ListRoad_M"/>
        <s v="ListRoad_N"/>
        <s v="ListRoad_O"/>
        <s v="ListRoad_P"/>
        <s v="ListRoad_Q"/>
        <s v="ListRoad_T"/>
        <s v="ListRoad_U"/>
        <s v="ListRoad_V"/>
        <s v="ListRoad_W"/>
        <s v="ListRoad_X"/>
        <s v="ListRoad_Z"/>
        <s v="ListRoadCross_A"/>
        <s v="ListRoadCross_B"/>
        <s v="ListRoadCross_C"/>
        <s v="ListRoadCross_D"/>
        <s v="ListRoadCross_E"/>
        <s v="ListRoadCross_F"/>
        <s v="ListRoadCross_G"/>
        <s v="ListRoadCross_H"/>
        <s v="ListRoadCross_I"/>
        <s v="ListRoadCross_J"/>
        <s v="ListRoadCross_K"/>
        <s v="ListRoadCross_M"/>
        <s v="ListRoadCross_N"/>
        <s v="ListRoadCross_O"/>
        <s v="ListRoadCross_P"/>
        <s v="ListRoadCross_Q"/>
        <s v="ListRoadCross_T"/>
        <s v="ListRoadCross_U"/>
        <s v="ListRoadCross_V"/>
        <s v="ListRoadCross_W"/>
        <s v="ListRoadCross_X"/>
        <s v="ListRoadCross_Z"/>
        <s v="ListRoadLaneAlley_A"/>
        <s v="ListRoadLaneAlley_B"/>
        <s v="ListRoadLaneAlley_C"/>
        <s v="ListRoadLaneAlley_D"/>
        <s v="ListRoadLaneAlley_E"/>
        <s v="ListRoadLaneAlley_F"/>
        <s v="ListRoadLaneAlley_G"/>
        <s v="ListRoadLaneAlley_H"/>
        <s v="ListRoadLaneAlley_I"/>
        <s v="ListRoadLaneAlley_J"/>
        <s v="ListRoadLaneAlley_K"/>
        <s v="ListRoadLaneAlley_M"/>
        <s v="ListRoadLaneAlley_N"/>
        <s v="ListRoadLaneAlley_O"/>
        <s v="ListRoadLaneAlley_P"/>
        <s v="ListRoadLaneAlley_Q"/>
        <s v="ListRoadLaneAlley_T"/>
        <s v="ListRoadLaneAlley_U"/>
        <s v="ListRoadLaneAlley_V"/>
        <s v="ListRoadLaneAlley_W"/>
        <s v="ListRoadLaneAlley_X"/>
        <s v="ListRoadLaneAlley_Z"/>
        <s v="ListRoadM_A"/>
        <s v="ListRoadM_B"/>
        <s v="ListRoadM_C"/>
        <s v="ListRoadM_D"/>
        <s v="ListRoadM_E"/>
        <s v="ListRoadM_F"/>
        <s v="ListRoadM_G"/>
        <s v="ListRoadM_H"/>
        <s v="ListRoadM_I"/>
        <s v="ListRoadM_J"/>
        <s v="ListRoadM_K"/>
        <s v="ListRoadM_M"/>
        <s v="ListRoadM_N"/>
        <s v="ListRoadM_O"/>
        <s v="ListRoadM_P"/>
        <s v="ListRoadM_Q"/>
        <s v="ListRoadM_T"/>
        <s v="ListRoadM_U"/>
        <s v="ListRoadM_V"/>
        <s v="ListRoadM_W"/>
        <s v="ListRoadM_X"/>
        <s v="ListRoadM_Z"/>
        <s v="ListTown_A"/>
        <s v="ListTown_B"/>
        <s v="ListTown_C"/>
        <s v="ListTown_D"/>
        <s v="ListTown_E"/>
        <s v="ListTown_F"/>
        <s v="ListTown_G"/>
        <s v="ListTown_H"/>
        <s v="ListTown_I"/>
        <s v="ListTown_J"/>
        <s v="ListTown_K"/>
        <s v="ListTown_M"/>
        <s v="ListTown_N"/>
        <s v="ListTown_O"/>
        <s v="ListTown_P"/>
        <s v="ListTown_Q"/>
        <s v="ListTown_T"/>
        <s v="ListTown_U"/>
        <s v="ListTown_V"/>
        <s v="ListTown_W"/>
        <s v="ListTown_X"/>
        <s v="ListTown_Z"/>
        <s v="ListTown1_A"/>
        <s v="ListTown1_B"/>
        <s v="ListTown1_C"/>
        <s v="ListTown1_D"/>
        <s v="ListTown1_E"/>
        <s v="ListTown1_F"/>
        <s v="ListTown1_G"/>
        <s v="ListTown1_H"/>
        <s v="ListTown1_I"/>
        <s v="ListTown1_J"/>
        <s v="ListTown1_K"/>
        <s v="ListTown1_M"/>
        <s v="ListTown1_N"/>
        <s v="ListTown1_O"/>
        <s v="ListTown1_P"/>
        <s v="ListTown1_Q"/>
        <s v="ListTown1_T"/>
        <s v="ListTown1_U"/>
        <s v="ListTown1_V"/>
        <s v="ListTown1_W"/>
        <s v="ListTown1_X"/>
        <s v="ListTown1_Z"/>
        <s v="ListVillage_A"/>
        <s v="ListVillage_B"/>
        <s v="ListVillage_C"/>
        <s v="ListVillage_D"/>
        <s v="ListVillage_E"/>
        <s v="ListVillage_F"/>
        <s v="ListVillage_G"/>
        <s v="ListVillage_H"/>
        <s v="ListVillage_I"/>
        <s v="ListVillage_J"/>
        <s v="ListVillage_K"/>
        <s v="ListVillage_M"/>
        <s v="ListVillage_N"/>
        <s v="ListVillage_O"/>
        <s v="ListVillage_P"/>
        <s v="ListVillage_Q"/>
        <s v="ListVillage_T"/>
        <s v="ListVillage_U"/>
        <s v="ListVillage_V"/>
        <s v="ListVillage_W"/>
        <s v="ListVillage_X"/>
        <s v="ListVillage_Z"/>
        <s v="LuiMap"/>
        <s v="LUIMAP01"/>
        <s v="LUIMAP02"/>
        <s v="LUIMAP03"/>
        <s v="LUIMAP04"/>
        <s v="LUIMAP05"/>
        <s v="LUIMAP06"/>
        <s v="LUIMAP07"/>
        <s v="LUIMAP08"/>
        <s v="LUIMAP09"/>
        <s v="LUIMAP100"/>
        <s v="LUIMAP101"/>
        <s v="LUIMAP102"/>
        <s v="LUIMAP103"/>
        <s v="LUIMAP104"/>
        <s v="LUIMAP105"/>
        <s v="LUIMAP106"/>
        <s v="LUIMAP107"/>
        <s v="LUIMAP108"/>
        <s v="LUIMAP109"/>
        <s v="LUIMAP110"/>
        <s v="LUIMAP111"/>
        <s v="LUIMAP112"/>
        <s v="LUIMAP113"/>
        <s v="LUIMAP114"/>
        <s v="LUIMAP82"/>
        <s v="LUIMAP95"/>
        <s v="LUIMAP98"/>
        <s v="LUIMAP99"/>
        <s v="MarkBufferAnlysBus"/>
        <s v="MarkBufferAnlysDis"/>
        <s v="MarkBufferAnlysEdu"/>
        <s v="MarkBufferAnlysMed"/>
        <s v="MB5000"/>
        <s v="MoiAspect"/>
        <s v="MoiContour"/>
        <s v="MoiContour2"/>
        <s v="MoiHillshade"/>
        <s v="MoiShadermap"/>
        <s v="MoiSlopepGT30"/>
        <s v="MoiSlopepGT302"/>
        <s v="MoiSlopepLV7"/>
        <s v="MoiSlopepLV72"/>
        <s v="nURBAN1"/>
        <s v="nURBAN2"/>
        <s v="PBSQueryBuilding"/>
        <s v="PBSService"/>
        <s v="PBSStatus"/>
        <s v="PBSTRSelectByCircle"/>
        <s v="PBSTRSelectByPoint"/>
        <s v="PBSTRSelectByPolygon"/>
        <s v="PHOTO1"/>
        <s v="PHOTO2"/>
        <s v="PHOTO2014"/>
        <s v="PHOTO2015"/>
        <s v="PHOTO2016"/>
        <s v="PHOTO2017"/>
        <s v="PHOTO2018"/>
        <s v="PHOTO2019"/>
        <s v="PHOTO2020"/>
        <s v="PHOTO2021"/>
        <s v="PHOTO2022"/>
        <s v="PHOTO2023"/>
        <s v="PHOTO2024"/>
        <s v="PHOTO2025"/>
        <s v="PHOTO3826"/>
        <s v="PhotoMIX"/>
        <s v="PhotoVA"/>
        <s v="PointQueryAddr"/>
        <s v="PolygonQueryAddr"/>
        <s v="QryTileMapIndex1"/>
        <s v="QryTileMapIndex2"/>
        <s v="road"/>
        <s v="road2nd"/>
        <s v="RoutesNodes"/>
        <s v="RoutesQueryByDist"/>
        <s v="RoutesQueryByTime"/>
        <s v="SCHOOL"/>
        <s v="SHELTERS"/>
        <s v="SoilLiquefaction"/>
        <s v="SoilLiquefaction2"/>
        <s v="TextQueryAddress"/>
        <s v="TextQueryMap"/>
        <s v="TextQueryRoad_A"/>
        <s v="TextQueryRoad_B"/>
        <s v="TextQueryRoad_C"/>
        <s v="TextQueryRoad_D"/>
        <s v="TextQueryRoad_E"/>
        <s v="TextQueryRoad_F"/>
        <s v="TextQueryRoad_G"/>
        <s v="TextQueryRoad_H"/>
        <s v="TextQueryRoad_I"/>
        <s v="TextQueryRoad_J"/>
        <s v="TextQueryRoad_K"/>
        <s v="TextQueryRoad_M"/>
        <s v="TextQueryRoad_N"/>
        <s v="TextQueryRoad_O"/>
        <s v="TextQueryRoad_P"/>
        <s v="TextQueryRoad_Q"/>
        <s v="TextQueryRoad_T"/>
        <s v="TextQueryRoad_U"/>
        <s v="TextQueryRoad_V"/>
        <s v="TextQueryRoad_W"/>
        <s v="TextQueryRoad_X"/>
        <s v="TextQueryRoad_Z"/>
        <s v="TOPO01K_B01"/>
        <s v="TOPO01K_B02"/>
        <s v="TOPO01K_B03"/>
        <s v="TOPO01K_B04"/>
        <s v="TOPO01K_B05"/>
        <s v="TOPO01K_B06"/>
        <s v="TOPO01K_B07"/>
        <s v="TOPO01K_B08"/>
        <s v="TOPO01K_B09"/>
        <s v="TOPO01K_B10"/>
        <s v="TOPO01K_B11"/>
        <s v="TOPO01K_B12"/>
        <s v="TOPO01K_B13"/>
        <s v="TOPO01K_B14"/>
        <s v="TOPO01K_B15"/>
        <s v="TOPO01K_B16"/>
        <s v="TOPO01K_B17"/>
        <s v="TOPO01K_B18"/>
        <s v="TOPO01K_B19"/>
        <s v="TOPO01K_B20"/>
        <s v="TOPO01K_B21"/>
        <s v="TOPO01K_B22"/>
        <s v="TOPO01K_B23"/>
        <s v="TOPO01K_B24"/>
        <s v="TOPO01K_B25"/>
        <s v="TOPO01K_B26"/>
        <s v="TOPO01K_B27"/>
        <s v="TOPO01K_B28"/>
        <s v="TOPO01K_B29"/>
        <s v="TOPO01K_B30"/>
        <s v="TOPO01K_B31"/>
        <s v="TOPO01K_B32"/>
        <s v="TOPO01K_C01"/>
        <s v="TOPO01K_C02"/>
        <s v="TOPO01K_D93"/>
        <s v="TOPO01K_D97"/>
        <s v="TOPO01K_D99"/>
        <s v="TOPO01K_DA0"/>
        <s v="TOPO01K_DA1"/>
        <s v="TOPO01K_DA2"/>
        <s v="TOPO01K_E01"/>
        <s v="TOPO01K_E02"/>
        <s v="TOPO01K_E03"/>
        <s v="TOPO01K_E04"/>
        <s v="TOPO01K_E05"/>
        <s v="TOPO01K_E06"/>
        <s v="TOPO01K_E07"/>
        <s v="TOPO01K_E08"/>
        <s v="TOPO01K_E09"/>
        <s v="TOPO01K_E10"/>
        <s v="TOPO01K_E11"/>
        <s v="TOPO01K_E12"/>
        <s v="TOPO01K_E13"/>
        <s v="TOPO01K_E14"/>
        <s v="TOPO01K_E15"/>
        <s v="TOPO01K_E16"/>
        <s v="TOPO01K_E17"/>
        <s v="TOPO01K_E18"/>
        <s v="TOPO01K_E19"/>
        <s v="TOPO01K_E20"/>
        <s v="TOPO01K_E21"/>
        <s v="TOPO01K_E22"/>
        <s v="TOPO01K_E23"/>
        <s v="TOPO01K_E24"/>
        <s v="TOPO01K_E25"/>
        <s v="TOPO01K_E26"/>
        <s v="TOPO01K_E27"/>
        <s v="TOPO01K_E28"/>
        <s v="TOPO01K_E29"/>
        <s v="TOPO01K_E30"/>
        <s v="TOPO01K_E31"/>
        <s v="TOPO01K_E32"/>
        <s v="TOPO01K_E34"/>
        <s v="TOPO01K_E35"/>
        <s v="TOPO01K_E36"/>
        <s v="TOPO01K_E37"/>
        <s v="TOPO01K_E38"/>
        <s v="TOPO01K_F01"/>
        <s v="TOPO01K_F02"/>
        <s v="TOPO01K_F03"/>
        <s v="TOPO01K_F04"/>
        <s v="TOPO01K_F05"/>
        <s v="TOPO01K_F06"/>
        <s v="TOPO01K_F07"/>
        <s v="TOPO01K_F08"/>
        <s v="TOPO01K_F09"/>
        <s v="TOPO01K_F10"/>
        <s v="TOPO01K_F11"/>
        <s v="TOPO01K_F12"/>
        <s v="TOPO01K_F13"/>
        <s v="TOPO01K_F14"/>
        <s v="TOPO01K_F15"/>
        <s v="TOPO01K_F16"/>
        <s v="TOPO01K_F17"/>
        <s v="TOPO01K_F18"/>
        <s v="TOPO01K_F19"/>
        <s v="TOPO01K_F20"/>
        <s v="TOPO01K_F21"/>
        <s v="TOPO01K_F22"/>
        <s v="TOPO01K_F23"/>
        <s v="TOPO01K_F24"/>
        <s v="TOPO01K_F25"/>
        <s v="TOPO01K_F26"/>
        <s v="TOPO01K_F27"/>
        <s v="TOPO01K_F28"/>
        <s v="TOPO01K_F29"/>
        <s v="TOPO01K_F30"/>
        <s v="TOPO01K_F31"/>
        <s v="TOPO01K_F32"/>
        <s v="TOPO01K_F33"/>
        <s v="TOPO01K_F34"/>
        <s v="TOPO01K_F35"/>
        <s v="TOPO01K_F36"/>
        <s v="TOPO01K_F37"/>
        <s v="TOPO01K_F38"/>
        <s v="TOPO01K_F39"/>
        <s v="TOPO01K_F40"/>
        <s v="TOPO01K_F41"/>
        <s v="TOPO01K_F42"/>
        <s v="TOPO01K_F43"/>
        <s v="TOPO01K_F44"/>
        <s v="TOPO01K_F45"/>
        <s v="TOPO01K_F46"/>
        <s v="TOPO01K_F47"/>
        <s v="TOPO01K_F48"/>
        <s v="TOPO01K_F49"/>
        <s v="TOPO01K_F50"/>
        <s v="TOPO01K_F51"/>
        <s v="TOPO01K_F52"/>
        <s v="TOPO01K_F53"/>
        <s v="TOPO01K_F54"/>
        <s v="TOPO01K_F55"/>
        <s v="TOPO01K_F56"/>
        <s v="TOPO01K_G01"/>
        <s v="TOPO01K_G02"/>
        <s v="TOPO01K_G03"/>
        <s v="TOPO01K_G04"/>
        <s v="TOPO01K_G05"/>
        <s v="TOPO01K_G06"/>
        <s v="TOPO01K_G07"/>
        <s v="TOPO01K_G08"/>
        <s v="TOPO01K_G09"/>
        <s v="TOPO01K_G10"/>
        <s v="TOPO01K_G11"/>
        <s v="TOPO01K_G12"/>
        <s v="TOPO01K_G13"/>
        <s v="TOPO01K_G14"/>
        <s v="TOPO01K_G15"/>
        <s v="TOPO01K_H01"/>
        <s v="TOPO01K_H02"/>
        <s v="TOPO01K_H03"/>
        <s v="TOPO01K_H04"/>
        <s v="TOPO01K_H05"/>
        <s v="TOPO01K_H06"/>
        <s v="TOPO01K_H07"/>
        <s v="TOPO01K_H08"/>
        <s v="TOPO01K_H09"/>
        <s v="TOPO01K_H10"/>
        <s v="TOPO01K_H11"/>
        <s v="TOPO01K_H12"/>
        <s v="TOPO01K_H13"/>
        <s v="TOPO01K_H14"/>
        <s v="TOPO01K_H15"/>
        <s v="TOPO01K_H16"/>
        <s v="TOPO01K_H17"/>
        <s v="TOPO01K_H18"/>
        <s v="TOPO01K_H19"/>
        <s v="TOPO01K_H20"/>
        <s v="TOPO01K_H21"/>
        <s v="TOPO01K_H22"/>
        <s v="TOPO01K_H23"/>
        <s v="TOPO01K_H24"/>
        <s v="TOPO01K_H25"/>
        <s v="TOPO01K_H26"/>
        <s v="TOPO01K_H27"/>
        <s v="TOPO01K_H28"/>
        <s v="TOPO01K_H29"/>
        <s v="TOPO01K_H30"/>
        <s v="TOPO01K_H31"/>
        <s v="TOPO01K_H32"/>
        <s v="TOPO01K_H33"/>
        <s v="TOPO01K_H34"/>
        <s v="TOPO01K_H35"/>
        <s v="TOPO01K_H36"/>
        <s v="TOPO01K_H37"/>
        <s v="TOPO01K_H38"/>
        <s v="TOPO01K_H39"/>
        <s v="TOPO01K_H40"/>
        <s v="TOPO01K_H44"/>
        <s v="TOPO01K_J01"/>
        <s v="TOPO01K_J02"/>
        <s v="TOPO01K_J03"/>
        <s v="TOPO01K_J04"/>
        <s v="TOPO01K_J05"/>
        <s v="TOPO01K_J06"/>
        <s v="TOPO01K_J07"/>
        <s v="TOPO01K_J08"/>
        <s v="TOPO01K_J09"/>
        <s v="TOPO01K_J10"/>
        <s v="TOPO01K_K01"/>
        <s v="TOPO01K_K02"/>
        <s v="TOPO01K_K03"/>
        <s v="TOPO01K_K04"/>
        <s v="TOPO01K_K05"/>
        <s v="TOPO01K_K06"/>
        <s v="TOPO01K_K07"/>
        <s v="TOPO01K_K08"/>
        <s v="TOPO01K_K09"/>
        <s v="TOPO01K_K10"/>
        <s v="TOPO01K_K11"/>
        <s v="TOPO01K_K12"/>
        <s v="TOPO01K_K13"/>
        <s v="TOPO01K_K14"/>
        <s v="TOPO01K_K15"/>
        <s v="TOPO01K_K16"/>
        <s v="TOPO01K_K17"/>
        <s v="TOPO01K_K18"/>
        <s v="TOPO01K_M01"/>
        <s v="TOPO01K_M02"/>
        <s v="TOPO01K_M03"/>
        <s v="TOPO01K_M04"/>
        <s v="TOPO01K_M05"/>
        <s v="TOPO01K_M06"/>
        <s v="TOPO01K_M07"/>
        <s v="TOPO01K_M08"/>
        <s v="TOPO01K_M09"/>
        <s v="TOPO01K_M10"/>
        <s v="TOPO01K_M11"/>
        <s v="TOPO01K_M12"/>
        <s v="TOPO01K_M13"/>
        <s v="TOPO01K_M14"/>
        <s v="TOPO01K_M15"/>
        <s v="TOPO01K_M16"/>
        <s v="TOPO01K_M17"/>
        <s v="TOPO01K_M18"/>
        <s v="TOPO01K_M19"/>
        <s v="TOPO01K_M20"/>
        <s v="TOPO01K_M21"/>
        <s v="TOPO01K_M22"/>
        <s v="TOPO01K_N01"/>
        <s v="TOPO01K_N02"/>
        <s v="TOPO01K_N03"/>
        <s v="TOPO01K_N04"/>
        <s v="TOPO01K_N05"/>
        <s v="TOPO01K_N06"/>
        <s v="TOPO01K_N07"/>
        <s v="TOPO01K_N08"/>
        <s v="TOPO01K_N09"/>
        <s v="TOPO01K_N10"/>
        <s v="TOPO01K_N11"/>
        <s v="TOPO01K_N12"/>
        <s v="TOPO01K_N13"/>
        <s v="TOPO01K_N14"/>
        <s v="TOPO01K_N15"/>
        <s v="TOPO01K_N16"/>
        <s v="TOPO01K_N17"/>
        <s v="TOPO01K_N18"/>
        <s v="TOPO01K_N19"/>
        <s v="TOPO01K_N20"/>
        <s v="TOPO01K_N21"/>
        <s v="TOPO01K_N22"/>
        <s v="TOPO01K_N23"/>
        <s v="TOPO01K_N24"/>
        <s v="TOPO01K_N25"/>
        <s v="TOPO01K_N26"/>
        <s v="TOPO01K_N27"/>
        <s v="TOPO01K_N28"/>
        <s v="TOPO01K_N29"/>
        <s v="TOPO01K_N30"/>
        <s v="TOPO01K_N31"/>
        <s v="TOPO01K_N32"/>
        <s v="TOPO01K_N33"/>
        <s v="TOPO01K_N34"/>
        <s v="TOPO01K_N35"/>
        <s v="TOPO01K_O01"/>
        <s v="TOPO01K_O03"/>
        <s v="TOPO01K_O04"/>
        <s v="TOPO01K_O05"/>
        <s v="TOPO01K_O06"/>
        <s v="TOPO01K_O07"/>
        <s v="TOPO01K_O08"/>
        <s v="TOPO01K_P01"/>
        <s v="TOPO01K_P02"/>
        <s v="TOPO01K_P03"/>
        <s v="TOPO01K_P04"/>
        <s v="TOPO01K_P05"/>
        <s v="TOPO01K_P06"/>
        <s v="TOPO01K_P07"/>
        <s v="TOPO01K_P08"/>
        <s v="TOPO01K_P09"/>
        <s v="TOPO01K_P10"/>
        <s v="TOPO01K_P11"/>
        <s v="TOPO01K_P12"/>
        <s v="TOPO01K_P13"/>
        <s v="TOPO01K_P14"/>
        <s v="TOPO01K_P15"/>
        <s v="TOPO01K_Q01"/>
        <s v="TOPO01K_Q02"/>
        <s v="TOPO01K_Q03"/>
        <s v="TOPO01K_Q04"/>
        <s v="TOPO01K_Q05"/>
        <s v="TOPO01K_Q06"/>
        <s v="TOPO01K_Q07"/>
        <s v="TOPO01K_Q08"/>
        <s v="TOPO01K_Q09"/>
        <s v="TOPO01K_Q10"/>
        <s v="TOPO01K_Q11"/>
        <s v="TOPO01K_Q12"/>
        <s v="TOPO01K_Q13"/>
        <s v="TOPO01K_Q14"/>
        <s v="TOPO01K_Q15"/>
        <s v="TOPO01K_Q16"/>
        <s v="TOPO01K_Q17"/>
        <s v="TOPO01K_Q18"/>
        <s v="TOPO01K_Q19"/>
        <s v="TOPO01K_Q20"/>
        <s v="TOPO01K_Q21"/>
        <s v="TOPO01K_Q22"/>
        <s v="TOPO01K_Q23"/>
        <s v="TOPO01K_Q24"/>
        <s v="TOPO01K_Q25"/>
        <s v="TOPO01K_Q26"/>
        <s v="TOPO01K_Q27"/>
        <s v="TOPO01K_Q29"/>
        <s v="TOPO01K_T01"/>
        <s v="TOPO01K_T02"/>
        <s v="TOPO01K_T03"/>
        <s v="TOPO01K_T04"/>
        <s v="TOPO01K_T05"/>
        <s v="TOPO01K_T06"/>
        <s v="TOPO01K_T07"/>
        <s v="TOPO01K_T08"/>
        <s v="TOPO01K_T09"/>
        <s v="TOPO01K_T10"/>
        <s v="TOPO01K_T11"/>
        <s v="TOPO01K_T12"/>
        <s v="TOPO01K_T13"/>
        <s v="TOPO01K_T14"/>
        <s v="TOPO01K_T15"/>
        <s v="TOPO01K_T16"/>
        <s v="TOPO01K_T17"/>
        <s v="TOPO01K_T18"/>
        <s v="TOPO01K_T19"/>
        <s v="TOPO01K_T20"/>
        <s v="TOPO01K_T21"/>
        <s v="TOPO01K_T22"/>
        <s v="TOPO01K_T23"/>
        <s v="TOPO01K_T24"/>
        <s v="TOPO01K_T25"/>
        <s v="TOPO01K_T26"/>
        <s v="TOPO01K_T27"/>
        <s v="TOPO01K_T28"/>
        <s v="TOPO01K_T29"/>
        <s v="TOPO01K_T30"/>
        <s v="TOPO01K_T31"/>
        <s v="TOPO01K_T32"/>
        <s v="TOPO01K_U01"/>
        <s v="TOPO01K_U02"/>
        <s v="TOPO01K_U03"/>
        <s v="TOPO01K_U04"/>
        <s v="TOPO01K_U05"/>
        <s v="TOPO01K_U06"/>
        <s v="TOPO01K_U07"/>
        <s v="TOPO01K_U08"/>
        <s v="TOPO01K_U09"/>
        <s v="TOPO01K_U10"/>
        <s v="TOPO01K_U11"/>
        <s v="TOPO01K_U12"/>
        <s v="TOPO01K_U13"/>
        <s v="TOPO01K_U14"/>
        <s v="TOPO01K_U15"/>
        <s v="TOPO01K_U16"/>
        <s v="TOPO01K_U17"/>
        <s v="TOPO01K_U18"/>
        <s v="TOPO01K_U19"/>
        <s v="TOPO01K_U20"/>
        <s v="TOPO01K_U21"/>
        <s v="TOPO01K_U22"/>
        <s v="TOPO01K_U23"/>
        <s v="TOPO01K_U24"/>
        <s v="TOPO01K_U25"/>
        <s v="TOPO01K_U26"/>
        <s v="TOPO01K_V01"/>
        <s v="TOPO01K_V02"/>
        <s v="TOPO01K_V03"/>
        <s v="TOPO01K_V04"/>
        <s v="TOPO01K_V05"/>
        <s v="TOPO01K_V06"/>
        <s v="TOPO01K_V07"/>
        <s v="TOPO01K_V08"/>
        <s v="TOPO01K_V09"/>
        <s v="TOPO01K_V10"/>
        <s v="TOPO01K_V11"/>
        <s v="TOPO01K_V12"/>
        <s v="TOPO01K_V13"/>
        <s v="TOPO01K_V14"/>
        <s v="TOPO01K_V15"/>
        <s v="TOPO01K_V16"/>
        <s v="TOPO01K_V17"/>
        <s v="TOPO01K_V18"/>
        <s v="TOPO01K_V19"/>
        <s v="TOPO01K_V20"/>
        <s v="TOPO01K_W01"/>
        <s v="TOPO01K_W02"/>
        <s v="TOPO01K_X01"/>
        <s v="TOPO01K_X02"/>
        <s v="TOPO01K_X03"/>
        <s v="TOPO01K_X04"/>
        <s v="TOPO01K_X05"/>
        <s v="TOPO01K_X06"/>
        <s v="TOPO01K_X07"/>
        <s v="TOPO01K_X08"/>
        <s v="TOPO01K_Z01"/>
        <s v="TOPO05K100"/>
        <s v="TOPO05K101"/>
        <s v="TOPO05K102"/>
        <s v="TOPO05K103"/>
        <s v="TOPO05K104"/>
        <s v="TOPO05K105"/>
        <s v="TOPO05K106"/>
        <s v="TOPO05K107"/>
        <s v="TOPO05K108"/>
        <s v="TOPO05K109"/>
        <s v="TOPO05K110"/>
        <s v="TOPO05K111"/>
        <s v="TOPO05K84"/>
        <s v="TOPO05K86"/>
        <s v="TOPO05K87"/>
        <s v="TOPO05K88"/>
        <s v="TOPO05K90"/>
        <s v="TOPO05K91"/>
        <s v="TOPO05K92"/>
        <s v="TOPO05K96"/>
        <s v="TOPO05K98"/>
        <s v="TOPO05K99"/>
        <s v="TOPO05KPHOTO065"/>
        <s v="TOPO05KPHOTO066"/>
        <s v="TOPO05KPHOTO067"/>
        <s v="TOPO05KPHOTO068"/>
        <s v="TOPO05KPHOTO069"/>
        <s v="TOPO05KPHOTO070"/>
        <s v="TOPO05KPHOTO071"/>
        <s v="TOPO05KPHOTO072"/>
        <s v="TOPO05KPHOTO073"/>
        <s v="TOPO05KPHOTO074"/>
        <s v="TOPO05KPHOTO075"/>
        <s v="TOPO05KPHOTO076"/>
        <s v="TOPO05KPHOTO078"/>
        <s v="TOPO05KPHOTO079"/>
        <s v="TOPO05KPHOTO080"/>
        <s v="TOPO05KPHOTO081"/>
        <s v="TOPO05KPHOTO083"/>
        <s v="TOPO05KPHOTO084"/>
        <s v="TOPO05KPHOTO086"/>
        <s v="TOPO05KPHOTO087"/>
        <s v="TOPO05KPHOTO088"/>
        <s v="TOPO05KPHOTO089"/>
        <s v="TOPO05KPHOTO090"/>
        <s v="TOPO05KPHOTO091"/>
        <s v="TOPO05KPHOTO092"/>
        <s v="TOPO05KPHOTO093"/>
        <s v="TOPO05KPHOTO094"/>
        <s v="TOPO05KPHOTO095"/>
        <s v="TOPO05KPHOTO096"/>
        <s v="TOPO05KPHOTO097"/>
        <s v="TOPO05KPHOTO098"/>
        <s v="TOPO05KPHOTO099"/>
        <s v="TOPO05KPHOTO100"/>
        <s v="TOPO05KPHOTO101"/>
        <s v="TOPO05KPHOTO102"/>
        <s v="TOPO05KPHOTO103"/>
        <s v="TOPO05KPHOTO104"/>
        <s v="TOPO05KPHOTO105"/>
        <s v="TOPO05KPHOTO106"/>
        <s v="TOPO05KPHOTO107"/>
        <s v="TOPO05KPHOTO108"/>
        <s v="TOPO05KPHOTO109"/>
        <s v="TOPO05KPHOTO110"/>
        <s v="TOPO05KPHOTO111"/>
        <s v="TOPO05KPHOTO112"/>
        <s v="TOPO05KPHOTO113"/>
        <s v="TOPO05KPHOTO114"/>
        <s v="TOPO10KPHOTO"/>
        <s v="TOPO10M107"/>
        <s v="TOPO10M109"/>
        <s v="TOPO10M110"/>
        <s v="TOPO10M111"/>
        <s v="TOPO10M112"/>
        <s v="TOPO10M113"/>
        <s v="TOPO10M114"/>
        <s v="TOPO25K107"/>
        <s v="TOPO25K108"/>
        <s v="TOPO25K109"/>
        <s v="TOPO25K110"/>
        <s v="TOPO25K111"/>
        <s v="TOPO25K112"/>
        <s v="TOPO25K113"/>
        <s v="TOPO25K114"/>
        <s v="TOPO50K107"/>
        <s v="TOPO50K109"/>
        <s v="TOPO50K110"/>
        <s v="TOPO50K111"/>
        <s v="TOPO50K112"/>
        <s v="TOPO50K113"/>
        <s v="TOPON1K_B04"/>
        <s v="TOPON1K_B11"/>
        <s v="TOPON1K_B14"/>
        <s v="TOPON1K_B15"/>
        <s v="TOPON1K_B20"/>
        <s v="TOPON1K_B22"/>
        <s v="TOPON1K_B25"/>
        <s v="TOPON1K_D03"/>
        <s v="TOPON1K_D04"/>
        <s v="TOPON1K_D05"/>
        <s v="TOPON1K_D08"/>
        <s v="TOPON1K_D12"/>
        <s v="TOPON1K_E02"/>
        <s v="TOPON1K_E03"/>
        <s v="TOPON1K_E32"/>
        <s v="TOPON1K_G01"/>
        <s v="TOPON1K_G04"/>
        <s v="TOPON1K_G06"/>
        <s v="TOPON1K_G09"/>
        <s v="TOPON1K_G11"/>
        <s v="TOPON1K_G15"/>
        <s v="TOPON1K_G16"/>
        <s v="TOPON1K_G17"/>
        <s v="TOPON1K_G18"/>
        <s v="TOPON1K_G19"/>
        <s v="TOPON1K_G20"/>
        <s v="TOPON1K_H18"/>
        <s v="TOPON1K_H19"/>
        <s v="TOPON1K_H20"/>
        <s v="TOPON1K_H21"/>
        <s v="TOPON1K_H31"/>
        <s v="TOPON1K_J01"/>
        <s v="TOPON1K_J06"/>
        <s v="TOPON1K_J13"/>
        <s v="TOPON1K_J16"/>
        <s v="TOPON1K_J17"/>
        <s v="TOPON1K_K01"/>
        <s v="TOPON1K_K02"/>
        <s v="TOPON1K_K14"/>
        <s v="TOPON1K_M01"/>
        <s v="TOPON1K_M02"/>
        <s v="TOPON1K_M04"/>
        <s v="TOPON1K_N01"/>
        <s v="TOPON1K_N02"/>
        <s v="TOPON1K_P01"/>
        <s v="TOPON1K_P10"/>
        <s v="TOPON1K_P12"/>
        <s v="TOPON1K_P13"/>
        <s v="TOPON1K_P22"/>
        <s v="TOPON1K_P24"/>
        <s v="TOPON1K_P25"/>
        <s v="TOPON1K_Q02"/>
        <s v="TOPON1K_Q06"/>
        <s v="TOPON1K_Q07"/>
        <s v="TOPON1K_Q19"/>
        <s v="TOPON1K_Q21"/>
        <s v="TOPON1K_Q22"/>
        <s v="TOPON1K_Q26"/>
        <s v="TOPON1K_Q27"/>
        <s v="TOPON1K_Q28"/>
        <s v="TOPON1K_Q29"/>
        <s v="TOPON1K_Q30"/>
        <s v="TOPON1K_Q31"/>
        <s v="TOPON1K_T01"/>
        <s v="TOPON1K_T03"/>
        <s v="TOPON1K_T08"/>
        <s v="TOPON1K_T20"/>
        <s v="TOPON1K_T30"/>
        <s v="TOPON1K_U20"/>
        <s v="TOPON1K_V01"/>
        <s v="TOPON1K_V02"/>
        <s v="TOPON1K_X01"/>
        <s v="TOPON1K_X02"/>
        <s v="TOPON1K_X03"/>
        <s v="TOPON1K_X04"/>
        <s v="TOPON1K_X05"/>
        <s v="TOPON1K_X06"/>
        <s v="TOPON1K_X07"/>
        <s v="TOPON1K_X08"/>
        <s v="TOPON1KPHOTO_B04"/>
        <s v="TOPON1KPHOTO_B11"/>
        <s v="TOPON1KPHOTO_B14"/>
        <s v="TOPON1KPHOTO_B15"/>
        <s v="TOPON1KPHOTO_B20"/>
        <s v="TOPON1KPHOTO_B22"/>
        <s v="TOPON1KPHOTO_B25"/>
        <s v="TOPON1KPHOTO_D03"/>
        <s v="TOPON1KPHOTO_D04"/>
        <s v="TOPON1KPHOTO_D05"/>
        <s v="TOPON1KPHOTO_D08"/>
        <s v="TOPON1KPHOTO_D12"/>
        <s v="TOPON1KPHOTO_E02"/>
        <s v="TOPON1KPHOTO_E03"/>
        <s v="TOPON1KPHOTO_E32"/>
        <s v="TOPON1KPHOTO_G01"/>
        <s v="TOPON1KPHOTO_G04"/>
        <s v="TOPON1KPHOTO_G06"/>
        <s v="TOPON1KPHOTO_G09"/>
        <s v="TOPON1KPHOTO_G11"/>
        <s v="TOPON1KPHOTO_G15"/>
        <s v="TOPON1KPHOTO_G16"/>
        <s v="TOPON1KPHOTO_G17"/>
        <s v="TOPON1KPHOTO_G18"/>
        <s v="TOPON1KPHOTO_G19"/>
        <s v="TOPON1KPHOTO_G20"/>
        <s v="TOPON1KPHOTO_H18"/>
        <s v="TOPON1KPHOTO_H19"/>
        <s v="TOPON1KPHOTO_H20"/>
        <s v="TOPON1KPHOTO_H21"/>
        <s v="TOPON1KPHOTO_H31"/>
        <s v="TOPON1KPHOTO_J01"/>
        <s v="TOPON1KPHOTO_J06"/>
        <s v="TOPON1KPHOTO_J13"/>
        <s v="TOPON1KPHOTO_J16"/>
        <s v="TOPON1KPHOTO_J17"/>
        <s v="TOPON1KPHOTO_K01"/>
        <s v="TOPON1KPHOTO_K02"/>
        <s v="TOPON1KPHOTO_K14"/>
        <s v="TOPON1KPHOTO_M01"/>
        <s v="TOPON1KPHOTO_M02"/>
        <s v="TOPON1KPHOTO_M04"/>
        <s v="TOPON1KPHOTO_N01"/>
        <s v="TOPON1KPHOTO_N02"/>
        <s v="TOPON1KPHOTO_P01"/>
        <s v="TOPON1KPHOTO_P10"/>
        <s v="TOPON1KPHOTO_P12"/>
        <s v="TOPON1KPHOTO_P13"/>
        <s v="TOPON1KPHOTO_P22"/>
        <s v="TOPON1KPHOTO_P24"/>
        <s v="TOPON1KPHOTO_P25"/>
        <s v="TOPON1KPHOTO_Q02"/>
        <s v="TOPON1KPHOTO_Q06"/>
        <s v="TOPON1KPHOTO_Q07"/>
        <s v="TOPON1KPHOTO_Q19"/>
        <s v="TOPON1KPHOTO_Q21"/>
        <s v="TOPON1KPHOTO_Q22"/>
        <s v="TOPON1KPHOTO_Q26"/>
        <s v="TOPON1KPHOTO_Q27"/>
        <s v="TOPON1KPHOTO_Q28"/>
        <s v="TOPON1KPHOTO_Q29"/>
        <s v="TOPON1KPHOTO_Q30"/>
        <s v="TOPON1KPHOTO_Q31"/>
        <s v="TOPON1KPHOTO_T01"/>
        <s v="TOPON1KPHOTO_T03"/>
        <s v="TOPON1KPHOTO_T08"/>
        <s v="TOPON1KPHOTO_T20"/>
        <s v="TOPON1KPHOTO_T30"/>
        <s v="TOPON1KPHOTO_U20"/>
        <s v="TOPON1KPHOTO_V01"/>
        <s v="TOPON1KPHOTO_V02"/>
        <s v="TOPON1KPHOTO_X01"/>
        <s v="TOPON1KPHOTO_X02"/>
        <s v="TOPON1KPHOTO_X03"/>
        <s v="TOPON1KPHOTO_X04"/>
        <s v="TOPON1KPHOTO_X05"/>
        <s v="TOPON1KPHOTO_X06"/>
        <s v="TOPON1KPHOTO_X07"/>
        <s v="TOPON1KPHOTO_X08"/>
        <s v="TOWN"/>
        <s v="TownVillagePointQuery"/>
        <s v="TownVillagePointQuery1"/>
        <s v="UAV101D01"/>
        <s v="UAV101D02"/>
        <s v="UAV101K01"/>
        <s v="UAV101K02"/>
        <s v="UAV101Q01"/>
        <s v="UAV101T01"/>
        <s v="UAV101U01"/>
        <s v="UAV101U02"/>
        <s v="UAV101V01"/>
        <s v="UAV102D01"/>
        <s v="UAV102D02"/>
        <s v="UAV102D03"/>
        <s v="UAV102H01"/>
        <s v="UAV102M01"/>
        <s v="UAV102N01"/>
        <s v="UAV102Q01"/>
        <s v="UAV102Q02"/>
        <s v="UAV102T01"/>
        <s v="UAV102T02"/>
        <s v="UAV102V01"/>
        <s v="UAV103D01"/>
        <s v="UAV103D03"/>
        <s v="UAV103D04"/>
        <s v="UAV103H01"/>
        <s v="UAV103K01"/>
        <s v="UAV103M01"/>
        <s v="UAV103M02"/>
        <s v="UAV103M03"/>
        <s v="UAV103M04"/>
        <s v="UAV103N01"/>
        <s v="UAV103P01"/>
        <s v="UAV103Q01"/>
        <s v="UAV103T01"/>
        <s v="UAV104D02"/>
        <s v="UAV104D03"/>
        <s v="UAV104D04"/>
        <s v="UAV104E01"/>
        <s v="UAV104E02"/>
        <s v="UAV104E03"/>
        <s v="UAV104K01"/>
        <s v="UAV104K02"/>
        <s v="UAV104N01"/>
        <s v="UAV104P01"/>
        <s v="UAV104T01"/>
        <s v="UAV105A01"/>
        <s v="UAV105A02"/>
        <s v="UAV105A03"/>
        <s v="UAV105B01"/>
        <s v="UAV105B02"/>
        <s v="UAV105B03"/>
        <s v="UAV105B04"/>
        <s v="UAV105B05"/>
        <s v="UAV105B06"/>
        <s v="UAV105B07"/>
        <s v="UAV105B08"/>
        <s v="UAV105B09"/>
        <s v="UAV105B10"/>
        <s v="UAV105B11"/>
        <s v="UAV105B12"/>
        <s v="UAV105B13"/>
        <s v="UAV105B14"/>
        <s v="UAV105B15"/>
        <s v="UAV105H01"/>
        <s v="UAV105H02"/>
        <s v="UAV105H03"/>
        <s v="UAV105H04"/>
        <s v="UAV105M01"/>
        <s v="UAV105M02"/>
        <s v="UAV105N01"/>
        <s v="UAV105O01"/>
        <s v="UAV105P01"/>
        <s v="UAV105P02"/>
        <s v="UAV105P03"/>
        <s v="UAV105U01"/>
        <s v="UAV106A01"/>
        <s v="UAV106A02"/>
        <s v="UAV106A03"/>
        <s v="UAV106D01"/>
        <s v="UAV106D02"/>
        <s v="UAV106D03"/>
        <s v="UAV106F01"/>
        <s v="UAV106F02"/>
        <s v="UAV106H01"/>
        <s v="UAV106H02"/>
        <s v="UAV106H03"/>
        <s v="UAV106I01"/>
        <s v="UAV106I02"/>
        <s v="UAV106K01"/>
        <s v="UAV106M01"/>
        <s v="UAV106N01"/>
        <s v="UAV106O01"/>
        <s v="UAV106P01"/>
        <s v="UAV106U01"/>
        <s v="UAV107A01"/>
        <s v="UAV107A02"/>
        <s v="UAV107A03"/>
        <s v="UAV107B01"/>
        <s v="UAV107B02"/>
        <s v="UAV107D01"/>
        <s v="UAV107F01"/>
        <s v="UAV107G01"/>
        <s v="UAV107J01"/>
        <s v="UAV107J02"/>
        <s v="UAV107K01"/>
        <s v="UAV107K02"/>
        <s v="UAV107O01"/>
        <s v="UAV107T01"/>
        <s v="UAV107T02"/>
        <s v="UAV108A01"/>
        <s v="UAV108A02"/>
        <s v="UAV108A03"/>
        <s v="UAV108B01"/>
        <s v="UAV108D01"/>
        <s v="UAV108D02"/>
        <s v="UAV108D03"/>
        <s v="UAV108D04"/>
        <s v="UAV108D05"/>
        <s v="UAV108E01"/>
        <s v="UAV108G01"/>
        <s v="UAV108Q01"/>
        <s v="UAV108Q02"/>
        <s v="UAV109A01"/>
        <s v="UAV109B01"/>
        <s v="UAV109D01"/>
        <s v="UAV109E01"/>
        <s v="UAV109K01"/>
        <s v="UAV109K02"/>
        <s v="UAV109P01"/>
        <s v="UAV109Q01"/>
        <s v="UAV109T01"/>
        <s v="UAV109T02"/>
        <s v="UAV109T03"/>
        <s v="UAV109U01"/>
        <s v="UAV109U02"/>
        <s v="UAV109U03"/>
        <s v="UAV110A01"/>
        <s v="UAV110B01"/>
        <s v="UAV110B02"/>
        <s v="UAV110B03"/>
        <s v="UAV110D01"/>
        <s v="UAV110D02"/>
        <s v="UAV110D03"/>
        <s v="UAV110D04"/>
        <s v="UAV110D05 "/>
        <s v="UAV110D06"/>
        <s v="UAV110D07 "/>
        <s v="UAV110D08 "/>
        <s v="UAV110E02"/>
        <s v="UAV110N01 "/>
        <s v="UAV110Q01"/>
        <s v="UAV110Q02"/>
        <s v="UAV111A02"/>
        <s v="UAV111A03 "/>
        <s v="UAV111A04"/>
        <s v="UAV111A05"/>
        <s v="UAV111A06 "/>
        <s v="UAV111D01"/>
        <s v="UAV111E01"/>
        <s v="UAV111J01"/>
        <s v="UAV111J02"/>
        <s v="UAV111J03"/>
        <s v="UAV111K01"/>
        <s v="UAV111K02"/>
        <s v="UAV111P01"/>
        <s v="UAV111P02"/>
        <s v="UAV111Q01"/>
        <s v="Village"/>
        <s v="Village201910"/>
        <s v="WMS"/>
      </sharedItems>
    </cacheField>
    <cacheField name="domain" numFmtId="0">
      <sharedItems count="8">
        <s v="3dtiles.nlsc.gov.tw"/>
        <s v="api.nlsc.gov.tw"/>
        <s v="download03.nlsc.gov.tw"/>
        <s v="i3s.nlsc.gov.tw"/>
        <s v="landmaps.nlsc.gov.tw"/>
        <s v="wfs.nlsc.gov.tw"/>
        <s v="wms.nlsc.gov.tw"/>
        <s v="wmts.nlsc.gov.tw"/>
      </sharedItems>
    </cacheField>
    <cacheField name="URL" numFmtId="0">
      <sharedItems count="1442">
        <s v="http://wmts.nlsc.gov.tw/wmts/TOPON1K_B04/{Style}/{TileMatrixSet}/{TileMatrix}/{TileRow}/{TileCol}"/>
        <s v="http://wmts.nlsc.gov.tw/wmts/TOPON1K_B11/{Style}/{TileMatrixSet}/{TileMatrix}/{TileRow}/{TileCol}"/>
        <s v="http://wmts.nlsc.gov.tw/wmts/TOPON1K_B14/{Style}/{TileMatrixSet}/{TileMatrix}/{TileRow}/{TileCol}"/>
        <s v="http://wmts.nlsc.gov.tw/wmts/TOPON1K_B15/{Style}/{TileMatrixSet}/{TileMatrix}/{TileRow}/{TileCol}"/>
        <s v="http://wmts.nlsc.gov.tw/wmts/TOPON1K_B20/{Style}/{TileMatrixSet}/{TileMatrix}/{TileRow}/{TileCol}"/>
        <s v="http://wmts.nlsc.gov.tw/wmts/TOPON1K_B22/{Style}/{TileMatrixSet}/{TileMatrix}/{TileRow}/{TileCol}"/>
        <s v="http://wmts.nlsc.gov.tw/wmts/TOPON1K_B25/{Style}/{TileMatrixSet}/{TileMatrix}/{TileRow}/{TileCol}"/>
        <s v="http://wmts.nlsc.gov.tw/wmts/TOPON1K_D03/{Style}/{TileMatrixSet}/{TileMatrix}/{TileRow}/{TileCol}"/>
        <s v="http://wmts.nlsc.gov.tw/wmts/TOPON1K_D04/{Style}/{TileMatrixSet}/{TileMatrix}/{TileRow}/{TileCol}"/>
        <s v="http://wmts.nlsc.gov.tw/wmts/TOPON1K_D05/{Style}/{TileMatrixSet}/{TileMatrix}/{TileRow}/{TileCol}"/>
        <s v="http://wmts.nlsc.gov.tw/wmts/TOPON1K_D08/{Style}/{TileMatrixSet}/{TileMatrix}/{TileRow}/{TileCol}"/>
        <s v="http://wmts.nlsc.gov.tw/wmts/TOPON1K_D12/{Style}/{TileMatrixSet}/{TileMatrix}/{TileRow}/{TileCol}"/>
        <s v="http://wmts.nlsc.gov.tw/wmts/TOPON1K_E02/{Style}/{TileMatrixSet}/{TileMatrix}/{TileRow}/{TileCol}"/>
        <s v="http://wmts.nlsc.gov.tw/wmts/TOPON1K_E03/{Style}/{TileMatrixSet}/{TileMatrix}/{TileRow}/{TileCol}"/>
        <s v="http://wmts.nlsc.gov.tw/wmts/TOPON1K_E32/{Style}/{TileMatrixSet}/{TileMatrix}/{TileRow}/{TileCol}"/>
        <s v="http://wmts.nlsc.gov.tw/wmts/TOPON1K_G01/{Style}/{TileMatrixSet}/{TileMatrix}/{TileRow}/{TileCol}"/>
        <s v="http://wmts.nlsc.gov.tw/wmts/TOPON1K_G04/{Style}/{TileMatrixSet}/{TileMatrix}/{TileRow}/{TileCol}"/>
        <s v="http://wmts.nlsc.gov.tw/wmts/TOPON1K_G06/{Style}/{TileMatrixSet}/{TileMatrix}/{TileRow}/{TileCol}"/>
        <s v="http://wmts.nlsc.gov.tw/wmts/TOPON1K_G09/{Style}/{TileMatrixSet}/{TileMatrix}/{TileRow}/{TileCol}"/>
        <s v="http://wmts.nlsc.gov.tw/wmts/TOPON1K_G11/{Style}/{TileMatrixSet}/{TileMatrix}/{TileRow}/{TileCol}"/>
        <s v="http://wmts.nlsc.gov.tw/wmts/TOPON1K_G15/{Style}/{TileMatrixSet}/{TileMatrix}/{TileRow}/{TileCol}"/>
        <s v="http://wmts.nlsc.gov.tw/wmts/TOPON1K_G16/{Style}/{TileMatrixSet}/{TileMatrix}/{TileRow}/{TileCol}"/>
        <s v="http://wmts.nlsc.gov.tw/wmts/TOPON1K_G17/{Style}/{TileMatrixSet}/{TileMatrix}/{TileRow}/{TileCol}"/>
        <s v="http://wmts.nlsc.gov.tw/wmts/TOPON1K_G18/{Style}/{TileMatrixSet}/{TileMatrix}/{TileRow}/{TileCol}"/>
        <s v="http://wmts.nlsc.gov.tw/wmts/TOPON1K_G19/{Style}/{TileMatrixSet}/{TileMatrix}/{TileRow}/{TileCol}"/>
        <s v="http://wmts.nlsc.gov.tw/wmts/TOPON1K_G20/{Style}/{TileMatrixSet}/{TileMatrix}/{TileRow}/{TileCol}"/>
        <s v="http://wmts.nlsc.gov.tw/wmts/TOPON1K_H18/{Style}/{TileMatrixSet}/{TileMatrix}/{TileRow}/{TileCol}"/>
        <s v="http://wmts.nlsc.gov.tw/wmts/TOPON1K_H19/{Style}/{TileMatrixSet}/{TileMatrix}/{TileRow}/{TileCol}"/>
        <s v="http://wmts.nlsc.gov.tw/wmts/TOPON1K_H20/{Style}/{TileMatrixSet}/{TileMatrix}/{TileRow}/{TileCol}"/>
        <s v="http://wmts.nlsc.gov.tw/wmts/TOPON1K_H21/{Style}/{TileMatrixSet}/{TileMatrix}/{TileRow}/{TileCol}"/>
        <s v="http://wmts.nlsc.gov.tw/wmts/TOPON1K_H31/{Style}/{TileMatrixSet}/{TileMatrix}/{TileRow}/{TileCol}"/>
        <s v="http://wmts.nlsc.gov.tw/wmts/TOPON1K_J01/{Style}/{TileMatrixSet}/{TileMatrix}/{TileRow}/{TileCol}"/>
        <s v="http://wmts.nlsc.gov.tw/wmts/TOPON1K_J06/{Style}/{TileMatrixSet}/{TileMatrix}/{TileRow}/{TileCol}"/>
        <s v="http://wmts.nlsc.gov.tw/wmts/TOPON1K_J13/{Style}/{TileMatrixSet}/{TileMatrix}/{TileRow}/{TileCol}"/>
        <s v="http://wmts.nlsc.gov.tw/wmts/TOPON1K_J16/{Style}/{TileMatrixSet}/{TileMatrix}/{TileRow}/{TileCol}"/>
        <s v="http://wmts.nlsc.gov.tw/wmts/TOPON1K_J17/{Style}/{TileMatrixSet}/{TileMatrix}/{TileRow}/{TileCol}"/>
        <s v="http://wmts.nlsc.gov.tw/wmts/TOPON1K_K01/{Style}/{TileMatrixSet}/{TileMatrix}/{TileRow}/{TileCol}"/>
        <s v="http://wmts.nlsc.gov.tw/wmts/TOPON1K_K02/{Style}/{TileMatrixSet}/{TileMatrix}/{TileRow}/{TileCol}"/>
        <s v="http://wmts.nlsc.gov.tw/wmts/TOPON1K_K14/{Style}/{TileMatrixSet}/{TileMatrix}/{TileRow}/{TileCol}"/>
        <s v="http://wmts.nlsc.gov.tw/wmts/TOPON1K_M01/{Style}/{TileMatrixSet}/{TileMatrix}/{TileRow}/{TileCol}"/>
        <s v="http://wmts.nlsc.gov.tw/wmts/TOPON1K_M02/{Style}/{TileMatrixSet}/{TileMatrix}/{TileRow}/{TileCol}"/>
        <s v="http://wmts.nlsc.gov.tw/wmts/TOPON1K_M04/{Style}/{TileMatrixSet}/{TileMatrix}/{TileRow}/{TileCol}"/>
        <s v="http://wmts.nlsc.gov.tw/wmts/TOPON1K_N01/{Style}/{TileMatrixSet}/{TileMatrix}/{TileRow}/{TileCol}"/>
        <s v="http://wmts.nlsc.gov.tw/wmts/TOPON1K_N02/{Style}/{TileMatrixSet}/{TileMatrix}/{TileRow}/{TileCol}"/>
        <s v="http://wmts.nlsc.gov.tw/wmts/TOPON1K_P01/{Style}/{TileMatrixSet}/{TileMatrix}/{TileRow}/{TileCol}"/>
        <s v="http://wmts.nlsc.gov.tw/wmts/TOPON1K_P10/{Style}/{TileMatrixSet}/{TileMatrix}/{TileRow}/{TileCol}"/>
        <s v="http://wmts.nlsc.gov.tw/wmts/TOPON1K_P12/{Style}/{TileMatrixSet}/{TileMatrix}/{TileRow}/{TileCol}"/>
        <s v="http://wmts.nlsc.gov.tw/wmts/TOPON1K_P13/{Style}/{TileMatrixSet}/{TileMatrix}/{TileRow}/{TileCol}"/>
        <s v="http://wmts.nlsc.gov.tw/wmts/TOPON1K_P22/{Style}/{TileMatrixSet}/{TileMatrix}/{TileRow}/{TileCol}"/>
        <s v="http://wmts.nlsc.gov.tw/wmts/TOPON1K_P24/{Style}/{TileMatrixSet}/{TileMatrix}/{TileRow}/{TileCol}"/>
        <s v="http://wmts.nlsc.gov.tw/wmts/TOPON1K_P25/{Style}/{TileMatrixSet}/{TileMatrix}/{TileRow}/{TileCol}"/>
        <s v="http://wmts.nlsc.gov.tw/wmts/TOPON1K_Q02/{Style}/{TileMatrixSet}/{TileMatrix}/{TileRow}/{TileCol}"/>
        <s v="http://wmts.nlsc.gov.tw/wmts/TOPON1K_Q06/{Style}/{TileMatrixSet}/{TileMatrix}/{TileRow}/{TileCol}"/>
        <s v="http://wmts.nlsc.gov.tw/wmts/TOPON1K_Q07/{Style}/{TileMatrixSet}/{TileMatrix}/{TileRow}/{TileCol}"/>
        <s v="http://wmts.nlsc.gov.tw/wmts/TOPON1K_Q19/{Style}/{TileMatrixSet}/{TileMatrix}/{TileRow}/{TileCol}"/>
        <s v="http://wmts.nlsc.gov.tw/wmts/TOPON1K_Q21/{Style}/{TileMatrixSet}/{TileMatrix}/{TileRow}/{TileCol}"/>
        <s v="http://wmts.nlsc.gov.tw/wmts/TOPON1K_Q22/{Style}/{TileMatrixSet}/{TileMatrix}/{TileRow}/{TileCol}"/>
        <s v="http://wmts.nlsc.gov.tw/wmts/TOPON1K_Q26/{Style}/{TileMatrixSet}/{TileMatrix}/{TileRow}/{TileCol}"/>
        <s v="http://wmts.nlsc.gov.tw/wmts/TOPON1K_Q27/{Style}/{TileMatrixSet}/{TileMatrix}/{TileRow}/{TileCol}"/>
        <s v="http://wmts.nlsc.gov.tw/wmts/TOPON1K_Q28/{Style}/{TileMatrixSet}/{TileMatrix}/{TileRow}/{TileCol}"/>
        <s v="http://wmts.nlsc.gov.tw/wmts/TOPON1K_Q29/{Style}/{TileMatrixSet}/{TileMatrix}/{TileRow}/{TileCol}"/>
        <s v="http://wmts.nlsc.gov.tw/wmts/TOPON1K_Q30/{Style}/{TileMatrixSet}/{TileMatrix}/{TileRow}/{TileCol}"/>
        <s v="http://wmts.nlsc.gov.tw/wmts/TOPON1K_Q31/{Style}/{TileMatrixSet}/{TileMatrix}/{TileRow}/{TileCol}"/>
        <s v="http://wmts.nlsc.gov.tw/wmts/TOPON1K_T01/{Style}/{TileMatrixSet}/{TileMatrix}/{TileRow}/{TileCol}"/>
        <s v="http://wmts.nlsc.gov.tw/wmts/TOPON1K_T03/{Style}/{TileMatrixSet}/{TileMatrix}/{TileRow}/{TileCol}"/>
        <s v="http://wmts.nlsc.gov.tw/wmts/TOPON1K_T08/{Style}/{TileMatrixSet}/{TileMatrix}/{TileRow}/{TileCol}"/>
        <s v="http://wmts.nlsc.gov.tw/wmts/TOPON1K_T20/{Style}/{TileMatrixSet}/{TileMatrix}/{TileRow}/{TileCol}"/>
        <s v="http://wmts.nlsc.gov.tw/wmts/TOPON1K_T30/{Style}/{TileMatrixSet}/{TileMatrix}/{TileRow}/{TileCol}"/>
        <s v="http://wmts.nlsc.gov.tw/wmts/TOPON1K_U20/{Style}/{TileMatrixSet}/{TileMatrix}/{TileRow}/{TileCol}"/>
        <s v="http://wmts.nlsc.gov.tw/wmts/TOPON1K_V01/{Style}/{TileMatrixSet}/{TileMatrix}/{TileRow}/{TileCol}"/>
        <s v="http://wmts.nlsc.gov.tw/wmts/TOPON1K_V02/{Style}/{TileMatrixSet}/{TileMatrix}/{TileRow}/{TileCol}"/>
        <s v="http://wmts.nlsc.gov.tw/wmts/TOPON1K_X01/{Style}/{TileMatrixSet}/{TileMatrix}/{TileRow}/{TileCol}"/>
        <s v="http://wmts.nlsc.gov.tw/wmts/TOPON1K_X02/{Style}/{TileMatrixSet}/{TileMatrix}/{TileRow}/{TileCol}"/>
        <s v="http://wmts.nlsc.gov.tw/wmts/TOPON1K_X03/{Style}/{TileMatrixSet}/{TileMatrix}/{TileRow}/{TileCol}"/>
        <s v="http://wmts.nlsc.gov.tw/wmts/TOPON1K_X04/{Style}/{TileMatrixSet}/{TileMatrix}/{TileRow}/{TileCol}"/>
        <s v="http://wmts.nlsc.gov.tw/wmts/TOPON1K_X05/{Style}/{TileMatrixSet}/{TileMatrix}/{TileRow}/{TileCol}"/>
        <s v="http://wmts.nlsc.gov.tw/wmts/TOPON1K_X06/{Style}/{TileMatrixSet}/{TileMatrix}/{TileRow}/{TileCol}"/>
        <s v="http://wmts.nlsc.gov.tw/wmts/TOPON1K_X07/{Style}/{TileMatrixSet}/{TileMatrix}/{TileRow}/{TileCol}"/>
        <s v="http://wmts.nlsc.gov.tw/wmts/TOPON1K_X08/{Style}/{TileMatrixSet}/{TileMatrix}/{TileRow}/{TileCol}"/>
        <s v="https://3dtiles.nlsc.gov.tw/building/tiles3d/{建物服務代碼}/tileset.json"/>
        <s v="https://3dtiles.nlsc.gov.tw/road/tiles3d/{道路服務代碼}/tileset.json"/>
        <s v="https://3dtiles.nlsc.gov.tw/road2nd/tiles3d/{道路服務代碼}/tileset.json"/>
        <s v="https://api.nlsc.gov.tw/dmaps/CadasAttrQuery/A/{地段代碼}/{地號(8碼或簡式)}"/>
        <s v="https://api.nlsc.gov.tw/dmaps/CadasAttrQuery/B/{地段代碼}/{地號(8碼或簡式)}"/>
        <s v="https://api.nlsc.gov.tw/dmaps/CadasAttrQuery/C/{地段代碼}/{地號(8碼或簡式)}"/>
        <s v="https://api.nlsc.gov.tw/dmaps/CadasAttrQuery/D/{地段代碼}/{地號(8碼或簡式)}"/>
        <s v="https://api.nlsc.gov.tw/dmaps/CadasAttrQuery/E/{地段代碼}/{地號(8碼或簡式)}"/>
        <s v="https://api.nlsc.gov.tw/dmaps/CadasAttrQuery/F/{地段代碼}/{地號(8碼或簡式)}"/>
        <s v="https://api.nlsc.gov.tw/dmaps/CadasAttrQuery/G/{地段代碼}/{地號(8碼或簡式)}"/>
        <s v="https://api.nlsc.gov.tw/dmaps/CadasAttrQuery/H/{地段代碼}/{地號(8碼或簡式)}"/>
        <s v="https://api.nlsc.gov.tw/dmaps/CadasAttrQuery/I/{地段代碼}/{地號(8碼或簡式)}"/>
        <s v="https://api.nlsc.gov.tw/dmaps/CadasAttrQuery/J/{地段代碼}/{地號(8碼或簡式)}"/>
        <s v="https://api.nlsc.gov.tw/dmaps/CadasAttrQuery/K/{地段代碼}/{地號(8碼或簡式)}"/>
        <s v="https://api.nlsc.gov.tw/dmaps/CadasAttrQuery/M/{地段代碼}/{地號(8碼或簡式)}"/>
        <s v="https://api.nlsc.gov.tw/dmaps/CadasAttrQuery/N/{地段代碼}/{地號(8碼或簡式)}"/>
        <s v="https://api.nlsc.gov.tw/dmaps/CadasAttrQuery/O/{地段代碼}/{地號(8碼或簡式)}"/>
        <s v="https://api.nlsc.gov.tw/dmaps/CadasAttrQuery/P/{地段代碼}/{地號(8碼或簡式)}"/>
        <s v="https://api.nlsc.gov.tw/dmaps/CadasAttrQuery/Q/{地段代碼}/{地號(8碼或簡式)}"/>
        <s v="https://api.nlsc.gov.tw/dmaps/CadasAttrQuery/T/{地段代碼}/{地號(8碼或簡式)}"/>
        <s v="https://api.nlsc.gov.tw/dmaps/CadasAttrQuery/U/{地段代碼}/{地號(8碼或簡式)}"/>
        <s v="https://api.nlsc.gov.tw/dmaps/CadasAttrQuery/V/{地段代碼}/{地號(8碼或簡式)}"/>
        <s v="https://api.nlsc.gov.tw/dmaps/CadasAttrQuery/W/{地段代碼}/{地號(8碼或簡式)}"/>
        <s v="https://api.nlsc.gov.tw/dmaps/CadasAttrQuery/X/{地段代碼}/{地號(8碼或簡式)}"/>
        <s v="https://api.nlsc.gov.tw/dmaps/CadasAttrQuery/Z/{地段代碼}/{地號(8碼或簡式)}"/>
        <s v="https://api.nlsc.gov.tw/dmaps/CadasLandInfo/A/{段代碼}/{地號(8碼或簡式)}"/>
        <s v="https://api.nlsc.gov.tw/dmaps/CadasLandInfo/B/{段代碼}/{地號(8碼或簡式)}"/>
        <s v="https://api.nlsc.gov.tw/dmaps/CadasLandInfo/C/{段代碼}/{地號(8碼或簡式)}"/>
        <s v="https://api.nlsc.gov.tw/dmaps/CadasLandInfo/D/{段代碼}/{地號(8碼或簡式)}"/>
        <s v="https://api.nlsc.gov.tw/dmaps/CadasLandInfo/E/{段代碼}/{地號(8碼或簡式)}"/>
        <s v="https://api.nlsc.gov.tw/dmaps/CadasLandInfo/F/{段代碼}/{地號(8碼或簡式)}"/>
        <s v="https://api.nlsc.gov.tw/dmaps/CadasLandInfo/G/{段代碼}/{地號(8碼或簡式)}"/>
        <s v="https://api.nlsc.gov.tw/dmaps/CadasLandInfo/H/{段代碼}/{地號(8碼或簡式)}"/>
        <s v="https://api.nlsc.gov.tw/dmaps/CadasLandInfo/I/{段代碼}/{地號(8碼或簡式)}"/>
        <s v="https://api.nlsc.gov.tw/dmaps/CadasLandInfo/J/{段代碼}/{地號(8碼或簡式)}"/>
        <s v="https://api.nlsc.gov.tw/dmaps/CadasLandInfo/K/{段代碼}/{地號(8碼或簡式)}"/>
        <s v="https://api.nlsc.gov.tw/dmaps/CadasLandInfo/M/{段代碼}/{地號(8碼或簡式)}"/>
        <s v="https://api.nlsc.gov.tw/dmaps/CadasLandInfo/N/{段代碼}/{地號(8碼或簡式)}"/>
        <s v="https://api.nlsc.gov.tw/dmaps/CadasLandInfo/O/{段代碼}/{地號(8碼或簡式)}"/>
        <s v="https://api.nlsc.gov.tw/dmaps/CadasLandInfo/P/{段代碼}/{地號(8碼或簡式)}"/>
        <s v="https://api.nlsc.gov.tw/dmaps/CadasLandInfo/Q/{段代碼}/{地號(8碼或簡式)}"/>
        <s v="https://api.nlsc.gov.tw/dmaps/CadasLandInfo/T/{段代碼}/{地號(8碼或簡式)}"/>
        <s v="https://api.nlsc.gov.tw/dmaps/CadasLandInfo/U/{段代碼}/{地號(8碼或簡式)}"/>
        <s v="https://api.nlsc.gov.tw/dmaps/CadasLandInfo/V/{段代碼}/{地號(8碼或簡式)}"/>
        <s v="https://api.nlsc.gov.tw/dmaps/CadasLandInfo/W/{段代碼}/{地號(8碼或簡式)}"/>
        <s v="https://api.nlsc.gov.tw/dmaps/CadasLandInfo/X/{段代碼}/{地號(8碼或簡式)}"/>
        <s v="https://api.nlsc.gov.tw/dmaps/CadasLandInfo/Z/{段代碼}/{地號(8碼或簡式)}"/>
        <s v="https://api.nlsc.gov.tw/dmaps/CadasLandNoQuery/{多邊形坐標(x1,y1,x2,y2,x3,y3...)}[/坐標類別代碼(4326為預設、3825、3826)/判定方式(預設未填為相交，填WithIn為內含)]"/>
        <s v="https://api.nlsc.gov.tw/dmaps/CadasMapImage/A/{地段代碼}/{地號(8碼)}"/>
        <s v="https://api.nlsc.gov.tw/dmaps/CadasMapImage/B/{地段代碼}/{地號(8碼)}"/>
        <s v="https://api.nlsc.gov.tw/dmaps/CadasMapImage/C/{地段代碼}/{地號(8碼)}"/>
        <s v="https://api.nlsc.gov.tw/dmaps/CadasMapImage/D/{地段代碼}/{地號(8碼)}"/>
        <s v="https://api.nlsc.gov.tw/dmaps/CadasMapImage/E/{地段代碼}/{地號(8碼)}"/>
        <s v="https://api.nlsc.gov.tw/dmaps/CadasMapImage/F/{地段代碼}/{地號(8碼)}"/>
        <s v="https://api.nlsc.gov.tw/dmaps/CadasMapImage/G/{地段代碼}/{地號(8碼)}"/>
        <s v="https://api.nlsc.gov.tw/dmaps/CadasMapImage/H/{地段代碼}/{地號(8碼)}"/>
        <s v="https://api.nlsc.gov.tw/dmaps/CadasMapImage/I/{地段代碼}/{地號(8碼)}"/>
        <s v="https://api.nlsc.gov.tw/dmaps/CadasMapImage/J/{地段代碼}/{地號(8碼)}"/>
        <s v="https://api.nlsc.gov.tw/dmaps/CadasMapImage/K/{地段代碼}/{地號(8碼)}"/>
        <s v="https://api.nlsc.gov.tw/dmaps/CadasMapImage/M/{地段代碼}/{地號(8碼)}"/>
        <s v="https://api.nlsc.gov.tw/dmaps/CadasMapImage/N/{地段代碼}/{地號(8碼)}"/>
        <s v="https://api.nlsc.gov.tw/dmaps/CadasMapImage/O/{地段代碼}/{地號(8碼)}"/>
        <s v="https://api.nlsc.gov.tw/dmaps/CadasMapImage/P/{地段代碼}/{地號(8碼)}"/>
        <s v="https://api.nlsc.gov.tw/dmaps/CadasMapImage/Q/{地段代碼}/{地號(8碼)}"/>
        <s v="https://api.nlsc.gov.tw/dmaps/CadasMapImage/T/{地段代碼}/{地號(8碼)}"/>
        <s v="https://api.nlsc.gov.tw/dmaps/CadasMapImage/U/{地段代碼}/{地號(8碼)}"/>
        <s v="https://api.nlsc.gov.tw/dmaps/CadasMapImage/V/{地段代碼}/{地號(8碼)}"/>
        <s v="https://api.nlsc.gov.tw/dmaps/CadasMapImage/W/{地段代碼}/{地號(8碼)}"/>
        <s v="https://api.nlsc.gov.tw/dmaps/CadasMapImage/X/{地段代碼}/{地號(8碼)}"/>
        <s v="https://api.nlsc.gov.tw/dmaps/CadasMapImage/Z/{地段代碼}/{地號(8碼)}"/>
        <s v="https://api.nlsc.gov.tw/dmaps/CadasMapPointQuery/{X坐標}/{Y坐標}[/坐標類別代碼(4326、3826，預設將使用經緯度)/檔案格式(GML,KML,SHP)]"/>
        <s v="https://api.nlsc.gov.tw/dmaps/CadasMapPosition/A/{地段代碼}/{地號(8碼)}[/坐標類別代碼(4326、3826，預設將使用經緯度)]"/>
        <s v="https://api.nlsc.gov.tw/dmaps/CadasMapPosition/B/{地段代碼}/{地號(8碼)}[/坐標類別代碼(4326、3826，預設將使用經緯度)]"/>
        <s v="https://api.nlsc.gov.tw/dmaps/CadasMapPosition/C/{地段代碼}/{地號(8碼)}[/坐標類別代碼(4326、3826，預設將使用經緯度)]"/>
        <s v="https://api.nlsc.gov.tw/dmaps/CadasMapPosition/D/{地段代碼}/{地號(8碼)}[/坐標類別代碼(4326、3826，預設將使用經緯度)]"/>
        <s v="https://api.nlsc.gov.tw/dmaps/CadasMapPosition/E/{地段代碼}/{地號(8碼)}[/坐標類別代碼(4326、3826，預設將使用經緯度)]"/>
        <s v="https://api.nlsc.gov.tw/dmaps/CadasMapPosition/F/{地段代碼}/{地號(8碼)}[/坐標類別代碼(4326、3826，預設將使用經緯度)]"/>
        <s v="https://api.nlsc.gov.tw/dmaps/CadasMapPosition/G/{地段代碼}/{地號(8碼)}[/坐標類別代碼(4326、3826，預設將使用經緯度)]"/>
        <s v="https://api.nlsc.gov.tw/dmaps/CadasMapPosition/H/{地段代碼}/{地號(8碼)}[/坐標類別代碼(4326、3826，預設將使用經緯度)]"/>
        <s v="https://api.nlsc.gov.tw/dmaps/CadasMapPosition/I/{地段代碼}/{地號(8碼)}[/坐標類別代碼(4326、3826，預設將使用經緯度)]"/>
        <s v="https://api.nlsc.gov.tw/dmaps/CadasMapPosition/J/{地段代碼}/{地號(8碼)}[/坐標類別代碼(4326、3826，預設將使用經緯度)]"/>
        <s v="https://api.nlsc.gov.tw/dmaps/CadasMapPosition/K/{地段代碼}/{地號(8碼)}[/坐標類別代碼(4326、3826，預設將使用經緯度)]"/>
        <s v="https://api.nlsc.gov.tw/dmaps/CadasMapPosition/M/{地段代碼}/{地號(8碼)}[/坐標類別代碼(4326、3826，預設將使用經緯度)]"/>
        <s v="https://api.nlsc.gov.tw/dmaps/CadasMapPosition/N/{地段代碼}/{地號(8碼)}[/坐標類別代碼(4326、3826，預設將使用經緯度)]"/>
        <s v="https://api.nlsc.gov.tw/dmaps/CadasMapPosition/O/{地段代碼}/{地號(8碼)}[/坐標類別代碼(4326、3826，預設將使用經緯度)]"/>
        <s v="https://api.nlsc.gov.tw/dmaps/CadasMapPosition/P/{地段代碼}/{地號(8碼)}[/坐標類別代碼(4326、3826，預設將使用經緯度)]"/>
        <s v="https://api.nlsc.gov.tw/dmaps/CadasMapPosition/Q/{地段代碼}/{地號(8碼)}[/坐標類別代碼(4326、3826，預設將使用經緯度)]"/>
        <s v="https://api.nlsc.gov.tw/dmaps/CadasMapPosition/T/{地段代碼}/{地號(8碼)}[/坐標類別代碼(4326、3826，預設將使用經緯度)]"/>
        <s v="https://api.nlsc.gov.tw/dmaps/CadasMapPosition/U/{地段代碼}/{地號(8碼)}[/坐標類別代碼(4326、3826，預設將使用經緯度)]"/>
        <s v="https://api.nlsc.gov.tw/dmaps/CadasMapPosition/V/{地段代碼}/{地號(8碼)}[/坐標類別代碼(4326、3826，預設將使用經緯度)]"/>
        <s v="https://api.nlsc.gov.tw/dmaps/CadasMapPosition/W/{地段代碼}/{地號(8碼)}[/坐標類別代碼(4326、3826，預設將使用經緯度)]"/>
        <s v="https://api.nlsc.gov.tw/dmaps/CadasMapPosition/X/{地段代碼}/{地號(8碼)}[/坐標類別代碼(4326、3826，預設將使用經緯度)]"/>
        <s v="https://api.nlsc.gov.tw/dmaps/CadasMapPosition/Z/{地段代碼}/{地號(8碼)}[/坐標類別代碼(4326、3826，預設將使用經緯度)]"/>
        <s v="https://api.nlsc.gov.tw/dmaps/CadasMapQuery/{縣市代碼}/{地段代碼}[/地號(8碼)/檔案格式(gml, kml, shp)/坐標類別代碼(4326、3826，預設將使用經緯度)]"/>
        <s v="https://api.nlsc.gov.tw/idc/AddressQueryLand/{搜尋字串}[/回傳數量(預設為1)]"/>
        <s v="https://api.nlsc.gov.tw/idc/LineQueryAddr"/>
        <s v="https://api.nlsc.gov.tw/idc/ListRoad/A/{鄉鎮市區代碼-地政}"/>
        <s v="https://api.nlsc.gov.tw/idc/ListRoad/B/{鄉鎮市區代碼-地政}"/>
        <s v="https://api.nlsc.gov.tw/idc/ListRoad/C/{鄉鎮市區代碼-地政}"/>
        <s v="https://api.nlsc.gov.tw/idc/ListRoad/D/{鄉鎮市區代碼-地政}"/>
        <s v="https://api.nlsc.gov.tw/idc/ListRoad/E/{鄉鎮市區代碼-地政}"/>
        <s v="https://api.nlsc.gov.tw/idc/ListRoad/F/{鄉鎮市區代碼-地政}"/>
        <s v="https://api.nlsc.gov.tw/idc/ListRoad/G/{鄉鎮市區代碼-地政}"/>
        <s v="https://api.nlsc.gov.tw/idc/ListRoad/H/{鄉鎮市區代碼-地政}"/>
        <s v="https://api.nlsc.gov.tw/idc/ListRoad/I/{鄉鎮市區代碼-地政}"/>
        <s v="https://api.nlsc.gov.tw/idc/ListRoad/J/{鄉鎮市區代碼-地政}"/>
        <s v="https://api.nlsc.gov.tw/idc/ListRoad/K/{鄉鎮市區代碼-地政}"/>
        <s v="https://api.nlsc.gov.tw/idc/ListRoad/M/{鄉鎮市區代碼-地政}"/>
        <s v="https://api.nlsc.gov.tw/idc/ListRoad/N/{鄉鎮市區代碼-地政}"/>
        <s v="https://api.nlsc.gov.tw/idc/ListRoad/O/{鄉鎮市區代碼-地政}"/>
        <s v="https://api.nlsc.gov.tw/idc/ListRoad/P/{鄉鎮市區代碼-地政}"/>
        <s v="https://api.nlsc.gov.tw/idc/ListRoad/Q/{鄉鎮市區代碼-地政}"/>
        <s v="https://api.nlsc.gov.tw/idc/ListRoad/T/{鄉鎮市區代碼-地政}"/>
        <s v="https://api.nlsc.gov.tw/idc/ListRoad/U/{鄉鎮市區代碼-地政}"/>
        <s v="https://api.nlsc.gov.tw/idc/ListRoad/V/{鄉鎮市區代碼-地政}"/>
        <s v="https://api.nlsc.gov.tw/idc/ListRoad/W/{鄉鎮市區代碼-地政}"/>
        <s v="https://api.nlsc.gov.tw/idc/ListRoad/X/{鄉鎮市區代碼-地政}"/>
        <s v="https://api.nlsc.gov.tw/idc/ListRoad/Z/{鄉鎮市區代碼-地政}"/>
        <s v="https://api.nlsc.gov.tw/idc/ListRoadCross/A/{鄉鎮市區代碼-地政}/{主要道路名稱}"/>
        <s v="https://api.nlsc.gov.tw/idc/ListRoadCross/B/{鄉鎮市區代碼-地政}/{主要道路名稱}"/>
        <s v="https://api.nlsc.gov.tw/idc/ListRoadCross/C/{鄉鎮市區代碼-地政}/{主要道路名稱}"/>
        <s v="https://api.nlsc.gov.tw/idc/ListRoadCross/D/{鄉鎮市區代碼-地政}/{主要道路名稱}"/>
        <s v="https://api.nlsc.gov.tw/idc/ListRoadCross/E/{鄉鎮市區代碼-地政}/{主要道路名稱}"/>
        <s v="https://api.nlsc.gov.tw/idc/ListRoadCross/F/{鄉鎮市區代碼-地政}/{主要道路名稱}"/>
        <s v="https://api.nlsc.gov.tw/idc/ListRoadCross/G/{鄉鎮市區代碼-地政}/{主要道路名稱}"/>
        <s v="https://api.nlsc.gov.tw/idc/ListRoadCross/H/{鄉鎮市區代碼-地政}/{主要道路名稱}"/>
        <s v="https://api.nlsc.gov.tw/idc/ListRoadCross/I/{鄉鎮市區代碼-地政}/{主要道路名稱}"/>
        <s v="https://api.nlsc.gov.tw/idc/ListRoadCross/J/{鄉鎮市區代碼-地政}/{主要道路名稱}"/>
        <s v="https://api.nlsc.gov.tw/idc/ListRoadCross/K/{鄉鎮市區代碼-地政}/{主要道路名稱}"/>
        <s v="https://api.nlsc.gov.tw/idc/ListRoadCross/M/{鄉鎮市區代碼-地政}/{主要道路名稱}"/>
        <s v="https://api.nlsc.gov.tw/idc/ListRoadCross/N/{鄉鎮市區代碼-地政}/{主要道路名稱}"/>
        <s v="https://api.nlsc.gov.tw/idc/ListRoadCross/O/{鄉鎮市區代碼-地政}/{主要道路名稱}"/>
        <s v="https://api.nlsc.gov.tw/idc/ListRoadCross/P/{鄉鎮市區代碼-地政}/{主要道路名稱}"/>
        <s v="https://api.nlsc.gov.tw/idc/ListRoadCross/Q/{鄉鎮市區代碼-地政}/{主要道路名稱}"/>
        <s v="https://api.nlsc.gov.tw/idc/ListRoadCross/T/{鄉鎮市區代碼-地政}/{主要道路名稱}"/>
        <s v="https://api.nlsc.gov.tw/idc/ListRoadCross/U/{鄉鎮市區代碼-地政}/{主要道路名稱}"/>
        <s v="https://api.nlsc.gov.tw/idc/ListRoadCross/V/{鄉鎮市區代碼-地政}/{主要道路名稱}"/>
        <s v="https://api.nlsc.gov.tw/idc/ListRoadCross/W/{鄉鎮市區代碼-地政}/{主要道路名稱}"/>
        <s v="https://api.nlsc.gov.tw/idc/ListRoadCross/X/{鄉鎮市區代碼-地政}/{主要道路名稱}"/>
        <s v="https://api.nlsc.gov.tw/idc/ListRoadCross/Z/{鄉鎮市區代碼-地政}/{主要道路名稱}"/>
        <s v="https://api.nlsc.gov.tw/idc/ListRoadLaneAlley/A/{鄉鎮市區代碼-地政}/{道路名稱}"/>
        <s v="https://api.nlsc.gov.tw/idc/ListRoadLaneAlley/B/{鄉鎮市區代碼-地政}/{道路名稱}"/>
        <s v="https://api.nlsc.gov.tw/idc/ListRoadLaneAlley/C/{鄉鎮市區代碼-地政}/{道路名稱}"/>
        <s v="https://api.nlsc.gov.tw/idc/ListRoadLaneAlley/D/{鄉鎮市區代碼-地政}/{道路名稱}"/>
        <s v="https://api.nlsc.gov.tw/idc/ListRoadLaneAlley/E/{鄉鎮市區代碼-地政}/{道路名稱}"/>
        <s v="https://api.nlsc.gov.tw/idc/ListRoadLaneAlley/F/{鄉鎮市區代碼-地政}/{道路名稱}"/>
        <s v="https://api.nlsc.gov.tw/idc/ListRoadLaneAlley/G/{鄉鎮市區代碼-地政}/{道路名稱}"/>
        <s v="https://api.nlsc.gov.tw/idc/ListRoadLaneAlley/H/{鄉鎮市區代碼-地政}/{道路名稱}"/>
        <s v="https://api.nlsc.gov.tw/idc/ListRoadLaneAlley/I/{鄉鎮市區代碼-地政}/{道路名稱}"/>
        <s v="https://api.nlsc.gov.tw/idc/ListRoadLaneAlley/J/{鄉鎮市區代碼-地政}/{道路名稱}"/>
        <s v="https://api.nlsc.gov.tw/idc/ListRoadLaneAlley/K/{鄉鎮市區代碼-地政}/{道路名稱}"/>
        <s v="https://api.nlsc.gov.tw/idc/ListRoadLaneAlley/M/{鄉鎮市區代碼-地政}/{道路名稱}"/>
        <s v="https://api.nlsc.gov.tw/idc/ListRoadLaneAlley/N/{鄉鎮市區代碼-地政}/{道路名稱}"/>
        <s v="https://api.nlsc.gov.tw/idc/ListRoadLaneAlley/O/{鄉鎮市區代碼-地政}/{道路名稱}"/>
        <s v="https://api.nlsc.gov.tw/idc/ListRoadLaneAlley/P/{鄉鎮市區代碼-地政}/{道路名稱}"/>
        <s v="https://api.nlsc.gov.tw/idc/ListRoadLaneAlley/Q/{鄉鎮市區代碼-地政}/{道路名稱}"/>
        <s v="https://api.nlsc.gov.tw/idc/ListRoadLaneAlley/T/{鄉鎮市區代碼-地政}/{道路名稱}"/>
        <s v="https://api.nlsc.gov.tw/idc/ListRoadLaneAlley/U/{鄉鎮市區代碼-地政}/{道路名稱}"/>
        <s v="https://api.nlsc.gov.tw/idc/ListRoadLaneAlley/V/{鄉鎮市區代碼-地政}/{道路名稱}"/>
        <s v="https://api.nlsc.gov.tw/idc/ListRoadLaneAlley/W/{鄉鎮市區代碼-地政}/{道路名稱}"/>
        <s v="https://api.nlsc.gov.tw/idc/ListRoadLaneAlley/X/{鄉鎮市區代碼-地政}/{道路名稱}"/>
        <s v="https://api.nlsc.gov.tw/idc/ListRoadLaneAlley/Z/{鄉鎮市區代碼-地政}/{道路名稱}"/>
        <s v="https://api.nlsc.gov.tw/idc/ListRoadM/A/{鄉鎮市區代碼-地政}"/>
        <s v="https://api.nlsc.gov.tw/idc/ListRoadM/B/{鄉鎮市區代碼-地政}"/>
        <s v="https://api.nlsc.gov.tw/idc/ListRoadM/C/{鄉鎮市區代碼-地政}"/>
        <s v="https://api.nlsc.gov.tw/idc/ListRoadM/D/{鄉鎮市區代碼-地政}"/>
        <s v="https://api.nlsc.gov.tw/idc/ListRoadM/E/{鄉鎮市區代碼-地政}"/>
        <s v="https://api.nlsc.gov.tw/idc/ListRoadM/F/{鄉鎮市區代碼-地政}"/>
        <s v="https://api.nlsc.gov.tw/idc/ListRoadM/G/{鄉鎮市區代碼-地政}"/>
        <s v="https://api.nlsc.gov.tw/idc/ListRoadM/H/{鄉鎮市區代碼-地政}"/>
        <s v="https://api.nlsc.gov.tw/idc/ListRoadM/I/{鄉鎮市區代碼-地政}"/>
        <s v="https://api.nlsc.gov.tw/idc/ListRoadM/J/{鄉鎮市區代碼-地政}"/>
        <s v="https://api.nlsc.gov.tw/idc/ListRoadM/K/{鄉鎮市區代碼-地政}"/>
        <s v="https://api.nlsc.gov.tw/idc/ListRoadM/M/{鄉鎮市區代碼-地政}"/>
        <s v="https://api.nlsc.gov.tw/idc/ListRoadM/N/{鄉鎮市區代碼-地政}"/>
        <s v="https://api.nlsc.gov.tw/idc/ListRoadM/O/{鄉鎮市區代碼-地政}"/>
        <s v="https://api.nlsc.gov.tw/idc/ListRoadM/P/{鄉鎮市區代碼-地政}"/>
        <s v="https://api.nlsc.gov.tw/idc/ListRoadM/Q/{鄉鎮市區代碼-地政}"/>
        <s v="https://api.nlsc.gov.tw/idc/ListRoadM/T/{鄉鎮市區代碼-地政}"/>
        <s v="https://api.nlsc.gov.tw/idc/ListRoadM/U/{鄉鎮市區代碼-地政}"/>
        <s v="https://api.nlsc.gov.tw/idc/ListRoadM/V/{鄉鎮市區代碼-地政}"/>
        <s v="https://api.nlsc.gov.tw/idc/ListRoadM/W/{鄉鎮市區代碼-地政}"/>
        <s v="https://api.nlsc.gov.tw/idc/ListRoadM/X/{鄉鎮市區代碼-地政}"/>
        <s v="https://api.nlsc.gov.tw/idc/ListRoadM/Z/{鄉鎮市區代碼-地政}"/>
        <s v="https://api.nlsc.gov.tw/idc/PointQueryAddr"/>
        <s v="https://api.nlsc.gov.tw/idc/PolygonQueryAddr"/>
        <s v="https://api.nlsc.gov.tw/idc/TextQueryAddress/{搜尋字串}[/回傳數量(預設為10)/縣市代碼]"/>
        <s v="https://api.nlsc.gov.tw/idc/TextQueryMap/{搜尋字串}[/回傳數量(預設為10)/輔助條件(縣市代碼 或 參考點WGS84)]"/>
        <s v="https://api.nlsc.gov.tw/idc/TextQueryRoad/A/{道路關鍵字}"/>
        <s v="https://api.nlsc.gov.tw/idc/TextQueryRoad/B/{道路關鍵字}"/>
        <s v="https://api.nlsc.gov.tw/idc/TextQueryRoad/C/{道路關鍵字}"/>
        <s v="https://api.nlsc.gov.tw/idc/TextQueryRoad/D/{道路關鍵字}"/>
        <s v="https://api.nlsc.gov.tw/idc/TextQueryRoad/E/{道路關鍵字}"/>
        <s v="https://api.nlsc.gov.tw/idc/TextQueryRoad/F/{道路關鍵字}"/>
        <s v="https://api.nlsc.gov.tw/idc/TextQueryRoad/G/{道路關鍵字}"/>
        <s v="https://api.nlsc.gov.tw/idc/TextQueryRoad/H/{道路關鍵字}"/>
        <s v="https://api.nlsc.gov.tw/idc/TextQueryRoad/I/{道路關鍵字}"/>
        <s v="https://api.nlsc.gov.tw/idc/TextQueryRoad/J/{道路關鍵字}"/>
        <s v="https://api.nlsc.gov.tw/idc/TextQueryRoad/K/{道路關鍵字}"/>
        <s v="https://api.nlsc.gov.tw/idc/TextQueryRoad/M/{道路關鍵字}"/>
        <s v="https://api.nlsc.gov.tw/idc/TextQueryRoad/N/{道路關鍵字}"/>
        <s v="https://api.nlsc.gov.tw/idc/TextQueryRoad/O/{道路關鍵字}"/>
        <s v="https://api.nlsc.gov.tw/idc/TextQueryRoad/P/{道路關鍵字}"/>
        <s v="https://api.nlsc.gov.tw/idc/TextQueryRoad/Q/{道路關鍵字}"/>
        <s v="https://api.nlsc.gov.tw/idc/TextQueryRoad/T/{道路關鍵字}"/>
        <s v="https://api.nlsc.gov.tw/idc/TextQueryRoad/U/{道路關鍵字}"/>
        <s v="https://api.nlsc.gov.tw/idc/TextQueryRoad/V/{道路關鍵字}"/>
        <s v="https://api.nlsc.gov.tw/idc/TextQueryRoad/W/{道路關鍵字}"/>
        <s v="https://api.nlsc.gov.tw/idc/TextQueryRoad/X/{道路關鍵字}"/>
        <s v="https://api.nlsc.gov.tw/idc/TextQueryRoad/Z/{道路關鍵字}"/>
        <s v="https://api.nlsc.gov.tw/other/GetLandSecInfoNlsc/A/{地段代碼}/[段延伸碼]"/>
        <s v="https://api.nlsc.gov.tw/other/GetLandSecInfoNlsc/B/{地段代碼}/[段延伸碼]"/>
        <s v="https://api.nlsc.gov.tw/other/GetLandSecInfoNlsc/C/{地段代碼}/[段延伸碼]"/>
        <s v="https://api.nlsc.gov.tw/other/GetLandSecInfoNlsc/D/{地段代碼}/[段延伸碼]"/>
        <s v="https://api.nlsc.gov.tw/other/GetLandSecInfoNlsc/E/{地段代碼}/[段延伸碼]"/>
        <s v="https://api.nlsc.gov.tw/other/GetLandSecInfoNlsc/F/{地段代碼}/[段延伸碼]"/>
        <s v="https://api.nlsc.gov.tw/other/GetLandSecInfoNlsc/G/{地段代碼}/[段延伸碼]"/>
        <s v="https://api.nlsc.gov.tw/other/GetLandSecInfoNlsc/H/{地段代碼}/[段延伸碼]"/>
        <s v="https://api.nlsc.gov.tw/other/GetLandSecInfoNlsc/I/{地段代碼}/[段延伸碼]"/>
        <s v="https://api.nlsc.gov.tw/other/GetLandSecInfoNlsc/J/{地段代碼}/[段延伸碼]"/>
        <s v="https://api.nlsc.gov.tw/other/GetLandSecInfoNlsc/K/{地段代碼}/[段延伸碼]"/>
        <s v="https://api.nlsc.gov.tw/other/GetLandSecInfoNlsc/M/{地段代碼}/[段延伸碼]"/>
        <s v="https://api.nlsc.gov.tw/other/GetLandSecInfoNlsc/N/{地段代碼}/[段延伸碼]"/>
        <s v="https://api.nlsc.gov.tw/other/GetLandSecInfoNlsc/O/{地段代碼}/[段延伸碼]"/>
        <s v="https://api.nlsc.gov.tw/other/GetLandSecInfoNlsc/P/{地段代碼}/[段延伸碼]"/>
        <s v="https://api.nlsc.gov.tw/other/GetLandSecInfoNlsc/Q/{地段代碼}/[段延伸碼]"/>
        <s v="https://api.nlsc.gov.tw/other/GetLandSecInfoNlsc/T/{地段代碼}/[段延伸碼]"/>
        <s v="https://api.nlsc.gov.tw/other/GetLandSecInfoNlsc/U/{地段代碼}/[段延伸碼]"/>
        <s v="https://api.nlsc.gov.tw/other/GetLandSecInfoNlsc/V/{地段代碼}/[段延伸碼]"/>
        <s v="https://api.nlsc.gov.tw/other/GetLandSecInfoNlsc/W/{地段代碼}/[段延伸碼]"/>
        <s v="https://api.nlsc.gov.tw/other/GetLandSecInfoNlsc/X/{地段代碼}/[段延伸碼]"/>
        <s v="https://api.nlsc.gov.tw/other/GetLandSecInfoNlsc/Z/{地段代碼}/[段延伸碼]"/>
        <s v="https://api.nlsc.gov.tw/other/GetMapVillage/{縣市代碼（可填空值或NULL）}/{鄉鎮市區代碼（可填空值或NULL）}/{村里代碼（戶役政資訊系統資料代碼）}[/坐標類別代碼(4326、3826，預設使用經緯度4326)]"/>
        <s v="https://api.nlsc.gov.tw/other/LandUseCompare/{新年度}/{舊年度}/{範圍參數(鄉鎮市區代碼 或 範圍矩框的WGS84坐標)}"/>
        <s v="https://api.nlsc.gov.tw/other/LandUsePointQuery/{X坐標}/{Y坐標}[/坐標類別代碼(4326、3826，預設將使用經緯度)]"/>
        <s v="https://api.nlsc.gov.tw/other/LandUsePointYears/{指定民國年(0為歷年)}/{X坐標}/{Y坐標}[/坐標類別代碼(4326、3826，預設將使用經緯度)]"/>
        <s v="https://api.nlsc.gov.tw/other/ListCounty"/>
        <s v="https://api.nlsc.gov.tw/other/ListLandSection/A/{鄉鎮市區代碼-地政}"/>
        <s v="https://api.nlsc.gov.tw/other/ListLandSection/B/{鄉鎮市區代碼-地政}"/>
        <s v="https://api.nlsc.gov.tw/other/ListLandSection/C/{鄉鎮市區代碼-地政}"/>
        <s v="https://api.nlsc.gov.tw/other/ListLandSection/D/{鄉鎮市區代碼-地政}"/>
        <s v="https://api.nlsc.gov.tw/other/ListLandSection/E/{鄉鎮市區代碼-地政}"/>
        <s v="https://api.nlsc.gov.tw/other/ListLandSection/F/{鄉鎮市區代碼-地政}"/>
        <s v="https://api.nlsc.gov.tw/other/ListLandSection/G/{鄉鎮市區代碼-地政}"/>
        <s v="https://api.nlsc.gov.tw/other/ListLandSection/H/{鄉鎮市區代碼-地政}"/>
        <s v="https://api.nlsc.gov.tw/other/ListLandSection/I/{鄉鎮市區代碼-地政}"/>
        <s v="https://api.nlsc.gov.tw/other/ListLandSection/J/{鄉鎮市區代碼-地政}"/>
        <s v="https://api.nlsc.gov.tw/other/ListLandSection/K/{鄉鎮市區代碼-地政}"/>
        <s v="https://api.nlsc.gov.tw/other/ListLandSection/M/{鄉鎮市區代碼-地政}"/>
        <s v="https://api.nlsc.gov.tw/other/ListLandSection/N/{鄉鎮市區代碼-地政}"/>
        <s v="https://api.nlsc.gov.tw/other/ListLandSection/O/{鄉鎮市區代碼-地政}"/>
        <s v="https://api.nlsc.gov.tw/other/ListLandSection/P/{鄉鎮市區代碼-地政}"/>
        <s v="https://api.nlsc.gov.tw/other/ListLandSection/Q/{鄉鎮市區代碼-地政}"/>
        <s v="https://api.nlsc.gov.tw/other/ListLandSection/T/{鄉鎮市區代碼-地政}"/>
        <s v="https://api.nlsc.gov.tw/other/ListLandSection/U/{鄉鎮市區代碼-地政}"/>
        <s v="https://api.nlsc.gov.tw/other/ListLandSection/V/{鄉鎮市區代碼-地政}"/>
        <s v="https://api.nlsc.gov.tw/other/ListLandSection/W/{鄉鎮市區代碼-地政}"/>
        <s v="https://api.nlsc.gov.tw/other/ListLandSection/X/{鄉鎮市區代碼-地政}"/>
        <s v="https://api.nlsc.gov.tw/other/ListLandSection/Z/{鄉鎮市區代碼-地政}"/>
        <s v="https://api.nlsc.gov.tw/other/ListTown/A"/>
        <s v="https://api.nlsc.gov.tw/other/ListTown/B"/>
        <s v="https://api.nlsc.gov.tw/other/ListTown/C"/>
        <s v="https://api.nlsc.gov.tw/other/ListTown/D"/>
        <s v="https://api.nlsc.gov.tw/other/ListTown/E"/>
        <s v="https://api.nlsc.gov.tw/other/ListTown/F"/>
        <s v="https://api.nlsc.gov.tw/other/ListTown/G"/>
        <s v="https://api.nlsc.gov.tw/other/ListTown/H"/>
        <s v="https://api.nlsc.gov.tw/other/ListTown/I"/>
        <s v="https://api.nlsc.gov.tw/other/ListTown/J"/>
        <s v="https://api.nlsc.gov.tw/other/ListTown/K"/>
        <s v="https://api.nlsc.gov.tw/other/ListTown/M"/>
        <s v="https://api.nlsc.gov.tw/other/ListTown/N"/>
        <s v="https://api.nlsc.gov.tw/other/ListTown/O"/>
        <s v="https://api.nlsc.gov.tw/other/ListTown/P"/>
        <s v="https://api.nlsc.gov.tw/other/ListTown/Q"/>
        <s v="https://api.nlsc.gov.tw/other/ListTown/T"/>
        <s v="https://api.nlsc.gov.tw/other/ListTown/U"/>
        <s v="https://api.nlsc.gov.tw/other/ListTown/V"/>
        <s v="https://api.nlsc.gov.tw/other/ListTown/W"/>
        <s v="https://api.nlsc.gov.tw/other/ListTown/X"/>
        <s v="https://api.nlsc.gov.tw/other/ListTown/Z"/>
        <s v="https://api.nlsc.gov.tw/other/ListTown1/A"/>
        <s v="https://api.nlsc.gov.tw/other/ListTown1/B"/>
        <s v="https://api.nlsc.gov.tw/other/ListTown1/C"/>
        <s v="https://api.nlsc.gov.tw/other/ListTown1/D"/>
        <s v="https://api.nlsc.gov.tw/other/ListTown1/E"/>
        <s v="https://api.nlsc.gov.tw/other/ListTown1/F"/>
        <s v="https://api.nlsc.gov.tw/other/ListTown1/G"/>
        <s v="https://api.nlsc.gov.tw/other/ListTown1/H"/>
        <s v="https://api.nlsc.gov.tw/other/ListTown1/I"/>
        <s v="https://api.nlsc.gov.tw/other/ListTown1/J"/>
        <s v="https://api.nlsc.gov.tw/other/ListTown1/K"/>
        <s v="https://api.nlsc.gov.tw/other/ListTown1/M"/>
        <s v="https://api.nlsc.gov.tw/other/ListTown1/N"/>
        <s v="https://api.nlsc.gov.tw/other/ListTown1/O"/>
        <s v="https://api.nlsc.gov.tw/other/ListTown1/P"/>
        <s v="https://api.nlsc.gov.tw/other/ListTown1/Q"/>
        <s v="https://api.nlsc.gov.tw/other/ListTown1/T"/>
        <s v="https://api.nlsc.gov.tw/other/ListTown1/U"/>
        <s v="https://api.nlsc.gov.tw/other/ListTown1/V"/>
        <s v="https://api.nlsc.gov.tw/other/ListTown1/W"/>
        <s v="https://api.nlsc.gov.tw/other/ListTown1/X"/>
        <s v="https://api.nlsc.gov.tw/other/ListTown1/Z"/>
        <s v="https://api.nlsc.gov.tw/other/ListVillage/A/{鄉鎮市區代碼-地政}"/>
        <s v="https://api.nlsc.gov.tw/other/ListVillage/B/{鄉鎮市區代碼-地政}"/>
        <s v="https://api.nlsc.gov.tw/other/ListVillage/C/{鄉鎮市區代碼-地政}"/>
        <s v="https://api.nlsc.gov.tw/other/ListVillage/D/{鄉鎮市區代碼-地政}"/>
        <s v="https://api.nlsc.gov.tw/other/ListVillage/E/{鄉鎮市區代碼-地政}"/>
        <s v="https://api.nlsc.gov.tw/other/ListVillage/F/{鄉鎮市區代碼-地政}"/>
        <s v="https://api.nlsc.gov.tw/other/ListVillage/G/{鄉鎮市區代碼-地政}"/>
        <s v="https://api.nlsc.gov.tw/other/ListVillage/H/{鄉鎮市區代碼-地政}"/>
        <s v="https://api.nlsc.gov.tw/other/ListVillage/I/{鄉鎮市區代碼-地政}"/>
        <s v="https://api.nlsc.gov.tw/other/ListVillage/J/{鄉鎮市區代碼-地政}"/>
        <s v="https://api.nlsc.gov.tw/other/ListVillage/K/{鄉鎮市區代碼-地政}"/>
        <s v="https://api.nlsc.gov.tw/other/ListVillage/M/{鄉鎮市區代碼-地政}"/>
        <s v="https://api.nlsc.gov.tw/other/ListVillage/N/{鄉鎮市區代碼-地政}"/>
        <s v="https://api.nlsc.gov.tw/other/ListVillage/O/{鄉鎮市區代碼-地政}"/>
        <s v="https://api.nlsc.gov.tw/other/ListVillage/P/{鄉鎮市區代碼-地政}"/>
        <s v="https://api.nlsc.gov.tw/other/ListVillage/Q/{鄉鎮市區代碼-地政}"/>
        <s v="https://api.nlsc.gov.tw/other/ListVillage/T/{鄉鎮市區代碼-地政}"/>
        <s v="https://api.nlsc.gov.tw/other/ListVillage/U/{鄉鎮市區代碼-地政}"/>
        <s v="https://api.nlsc.gov.tw/other/ListVillage/V/{鄉鎮市區代碼-地政}"/>
        <s v="https://api.nlsc.gov.tw/other/ListVillage/W/{鄉鎮市區代碼-地政}"/>
        <s v="https://api.nlsc.gov.tw/other/ListVillage/X/{鄉鎮市區代碼-地政}"/>
        <s v="https://api.nlsc.gov.tw/other/ListVillage/Z/{鄉鎮市區代碼-地政}"/>
        <s v="https://api.nlsc.gov.tw/other/MarkBufferAnlys/bus/{經度}/{緯度}/{半徑範圍(公尺)}"/>
        <s v="https://api.nlsc.gov.tw/other/MarkBufferAnlys/dis/{經度}/{緯度}/{半徑範圍(公尺)}"/>
        <s v="https://api.nlsc.gov.tw/other/MarkBufferAnlys/edu/{經度}/{緯度}/{半徑範圍(公尺)}"/>
        <s v="https://api.nlsc.gov.tw/other/MarkBufferAnlys/med/{經度}/{緯度}/{半徑範圍(公尺)}"/>
        <s v="https://api.nlsc.gov.tw/other/RoutesNodes/{查詢點(支援WGS84及TWD97坐標系統)}[/坐標代碼(EPSG:4326或EPSG:3826)/檢索範圍(公尺)]"/>
        <s v="https://api.nlsc.gov.tw/other/RoutesQueryByDist/{起點(WGS84)}/{終點(WGS84)}[/車種(汽車 car、步行 foot、汽車避開高速公路 avoid_highways，預設為汽車)/ 檔案格式(預設kmz、json、kml)?barrier=障礙點1,障礙點2,障礙點3(WGS84，可輸入多筆)]"/>
        <s v="https://api.nlsc.gov.tw/other/RoutesQueryByTime/{起點(WGS84)}/{終點(WGS84)}[/車種(汽車 car、步行 foot、汽車避開高速公路 avoid_highways，預設為汽車)/ 檔案格式(預設kmz、json、kml)?barrier=障礙點1,障礙點2,障礙點3(WGS84，可輸入多筆)]"/>
        <s v="https://api.nlsc.gov.tw/other/TownVillagePointQuery/{X坐標}/{Y坐標}[/坐標類別代碼(4326、3826，預設使用經緯度4326)]"/>
        <s v="https://api.nlsc.gov.tw/other/TownVillagePointQuery1/{X坐標}/{Y坐標}[/坐標類別代碼(4326、3826，預設使用經緯度4326)]"/>
        <s v="https://api.nlsc.gov.tw/S_Maps_WebService/qryLand/GetLandNO/{經度}/{緯度}"/>
        <s v="https://api.nlsc.gov.tw/S_Maps_WebService/qryLand/GetLandPositionLongitudeLatitude/A/{地段代碼}/{地號(8碼)}"/>
        <s v="https://api.nlsc.gov.tw/S_Maps_WebService/qryLand/GetLandPositionLongitudeLatitude/B/{地段代碼}/{地號(8碼)}"/>
        <s v="https://api.nlsc.gov.tw/S_Maps_WebService/qryLand/GetLandPositionLongitudeLatitude/C/{地段代碼}/{地號(8碼)}"/>
        <s v="https://api.nlsc.gov.tw/S_Maps_WebService/qryLand/GetLandPositionLongitudeLatitude/D/{地段代碼}/{地號(8碼)}"/>
        <s v="https://api.nlsc.gov.tw/S_Maps_WebService/qryLand/GetLandPositionLongitudeLatitude/E/{地段代碼}/{地號(8碼)}"/>
        <s v="https://api.nlsc.gov.tw/S_Maps_WebService/qryLand/GetLandPositionLongitudeLatitude/F/{地段代碼}/{地號(8碼)}"/>
        <s v="https://api.nlsc.gov.tw/S_Maps_WebService/qryLand/GetLandPositionLongitudeLatitude/G/{地段代碼}/{地號(8碼)}"/>
        <s v="https://api.nlsc.gov.tw/S_Maps_WebService/qryLand/GetLandPositionLongitudeLatitude/H/{地段代碼}/{地號(8碼)}"/>
        <s v="https://api.nlsc.gov.tw/S_Maps_WebService/qryLand/GetLandPositionLongitudeLatitude/I/{地段代碼}/{地號(8碼)}"/>
        <s v="https://api.nlsc.gov.tw/S_Maps_WebService/qryLand/GetLandPositionLongitudeLatitude/J/{地段代碼}/{地號(8碼)}"/>
        <s v="https://api.nlsc.gov.tw/S_Maps_WebService/qryLand/GetLandPositionLongitudeLatitude/K/{地段代碼}/{地號(8碼)}"/>
        <s v="https://api.nlsc.gov.tw/S_Maps_WebService/qryLand/GetLandPositionLongitudeLatitude/M/{地段代碼}/{地號(8碼)}"/>
        <s v="https://api.nlsc.gov.tw/S_Maps_WebService/qryLand/GetLandPositionLongitudeLatitude/N/{地段代碼}/{地號(8碼)}"/>
        <s v="https://api.nlsc.gov.tw/S_Maps_WebService/qryLand/GetLandPositionLongitudeLatitude/O/{地段代碼}/{地號(8碼)}"/>
        <s v="https://api.nlsc.gov.tw/S_Maps_WebService/qryLand/GetLandPositionLongitudeLatitude/P/{地段代碼}/{地號(8碼)}"/>
        <s v="https://api.nlsc.gov.tw/S_Maps_WebService/qryLand/GetLandPositionLongitudeLatitude/Q/{地段代碼}/{地號(8碼)}"/>
        <s v="https://api.nlsc.gov.tw/S_Maps_WebService/qryLand/GetLandPositionLongitudeLatitude/T/{地段代碼}/{地號(8碼)}"/>
        <s v="https://api.nlsc.gov.tw/S_Maps_WebService/qryLand/GetLandPositionLongitudeLatitude/U/{地段代碼}/{地號(8碼)}"/>
        <s v="https://api.nlsc.gov.tw/S_Maps_WebService/qryLand/GetLandPositionLongitudeLatitude/V/{地段代碼}/{地號(8碼)}"/>
        <s v="https://api.nlsc.gov.tw/S_Maps_WebService/qryLand/GetLandPositionLongitudeLatitude/W/{地段代碼}/{地號(8碼)}"/>
        <s v="https://api.nlsc.gov.tw/S_Maps_WebService/qryLand/GetLandPositionLongitudeLatitude/X/{地段代碼}/{地號(8碼)}"/>
        <s v="https://api.nlsc.gov.tw/S_Maps_WebService/qryLand/GetLandPositionLongitudeLatitude/Z/{地段代碼}/{地號(8碼)}"/>
        <s v="https://api.nlsc.gov.tw/S_Maps/qryTileMapIndex?type=2&amp;flag=1&amp;city=B&amp;x=120.634413&amp;y=24.153282"/>
        <s v="https://api.nlsc.gov.tw/S_Maps/qryTileMapIndex?type=2&amp;flag=2&amp;office=BC&amp;sect=2013&amp;landno=03420000"/>
        <s v="https://download03.nlsc.gov.tw/WebApi/BuildingAttributes/QueryBuilding"/>
        <s v="https://download03.nlsc.gov.tw/WebApi/BuildingAttributes/QueryBuildingAttributes/{Type}"/>
        <s v="https://download03.nlsc.gov.tw/WebApi/BuildingAttributes/QueryBuildingDataSource"/>
        <s v="https://download03.nlsc.gov.tw/WebApi/BuildingAttributes/Status"/>
        <s v="https://download03.nlsc.gov.tw/WebApi/PartialBuildingService/3DT_Service/{參數1}/tileset.json"/>
        <s v="https://download03.nlsc.gov.tw/WebApi/PartialBuildingService/I3S_Service/i3s/rest/services/{參數1}/SceneServer/layers/0"/>
        <s v="https://download03.nlsc.gov.tw/WebApi/PartialBuildingService/QueryBuilding"/>
        <s v="https://download03.nlsc.gov.tw/WebApi/PartialBuildingService/Status"/>
        <s v="https://download03.nlsc.gov.tw/WebApi/PartialBuildingService/Transfer_Request/SelectByCircle/{serviceType}"/>
        <s v="https://download03.nlsc.gov.tw/WebApi/PartialBuildingService/Transfer_Request/SelectByPoint/{serviceType}"/>
        <s v="https://download03.nlsc.gov.tw/WebApi/PartialBuildingService/Transfer_Request/SelectByPolygon/{serviceType}"/>
        <s v="https://i3s.nlsc.gov.tw/building/i3s/SceneServer/layers/{建物服務代碼}"/>
        <s v="https://i3s.nlsc.gov.tw/road/i3s/SceneServer/layers/{道路服務代碼}"/>
        <s v="https://i3s.nlsc.gov.tw/road2nd/i3s/SceneServer/layers/{道路服務代碼}"/>
        <s v="https://landmaps.nlsc.gov.tw/S_Maps/wms"/>
        <s v="https://landmaps.nlsc.gov.tw/S_Maps/wmts/DMAPS"/>
        <s v="https://wfs.nlsc.gov.tw/WFS/BUILDFRAME(請光特調整路徑)"/>
        <s v="https://wfs.nlsc.gov.tw/WFS/CADASMERGE(請光特調整路徑)"/>
        <s v="https://wfs.nlsc.gov.tw/WFS/EMAP"/>
        <s v="https://wfs.nlsc.gov.tw/WFS/LANDSECT(請光特調整路徑)"/>
        <s v="https://wfs.nlsc.gov.tw/WFS/LUIMAP(請光特調整路徑)"/>
        <s v="https://wfs.nlsc.gov.tw/WFS/TOPON1K/TOPON1K_B04"/>
        <s v="https://wfs.nlsc.gov.tw/WFS/TOPON1K/TOPON1K_B11"/>
        <s v="https://wfs.nlsc.gov.tw/WFS/TOPON1K/TOPON1K_B14"/>
        <s v="https://wfs.nlsc.gov.tw/WFS/TOPON1K/TOPON1K_B15"/>
        <s v="https://wfs.nlsc.gov.tw/WFS/TOPON1K/TOPON1K_B20"/>
        <s v="https://wfs.nlsc.gov.tw/WFS/TOPON1K/TOPON1K_B22"/>
        <s v="https://wfs.nlsc.gov.tw/WFS/TOPON1K/TOPON1K_B25"/>
        <s v="https://wfs.nlsc.gov.tw/WFS/TOPON1K/TOPON1K_D03"/>
        <s v="https://wfs.nlsc.gov.tw/WFS/TOPON1K/TOPON1K_D04"/>
        <s v="https://wfs.nlsc.gov.tw/WFS/TOPON1K/TOPON1K_D05"/>
        <s v="https://wfs.nlsc.gov.tw/WFS/TOPON1K/TOPON1K_D08"/>
        <s v="https://wfs.nlsc.gov.tw/WFS/TOPON1K/TOPON1K_D12"/>
        <s v="https://wfs.nlsc.gov.tw/WFS/TOPON1K/TOPON1K_E02"/>
        <s v="https://wfs.nlsc.gov.tw/WFS/TOPON1K/TOPON1K_E03"/>
        <s v="https://wfs.nlsc.gov.tw/WFS/TOPON1K/TOPON1K_E32"/>
        <s v="https://wfs.nlsc.gov.tw/WFS/TOPON1K/TOPON1K_G01"/>
        <s v="https://wfs.nlsc.gov.tw/WFS/TOPON1K/TOPON1K_G04"/>
        <s v="https://wfs.nlsc.gov.tw/WFS/TOPON1K/TOPON1K_G06"/>
        <s v="https://wfs.nlsc.gov.tw/WFS/TOPON1K/TOPON1K_G09"/>
        <s v="https://wfs.nlsc.gov.tw/WFS/TOPON1K/TOPON1K_G11"/>
        <s v="https://wfs.nlsc.gov.tw/WFS/TOPON1K/TOPON1K_G15"/>
        <s v="https://wfs.nlsc.gov.tw/WFS/TOPON1K/TOPON1K_G16"/>
        <s v="https://wfs.nlsc.gov.tw/WFS/TOPON1K/TOPON1K_G17"/>
        <s v="https://wfs.nlsc.gov.tw/WFS/TOPON1K/TOPON1K_G18"/>
        <s v="https://wfs.nlsc.gov.tw/WFS/TOPON1K/TOPON1K_G19"/>
        <s v="https://wfs.nlsc.gov.tw/WFS/TOPON1K/TOPON1K_G20"/>
        <s v="https://wfs.nlsc.gov.tw/WFS/TOPON1K/TOPON1K_H18"/>
        <s v="https://wfs.nlsc.gov.tw/WFS/TOPON1K/TOPON1K_H19"/>
        <s v="https://wfs.nlsc.gov.tw/WFS/TOPON1K/TOPON1K_H20"/>
        <s v="https://wfs.nlsc.gov.tw/WFS/TOPON1K/TOPON1K_H21"/>
        <s v="https://wfs.nlsc.gov.tw/WFS/TOPON1K/TOPON1K_H31"/>
        <s v="https://wfs.nlsc.gov.tw/WFS/TOPON1K/TOPON1K_J01"/>
        <s v="https://wfs.nlsc.gov.tw/WFS/TOPON1K/TOPON1K_J06"/>
        <s v="https://wfs.nlsc.gov.tw/WFS/TOPON1K/TOPON1K_J13"/>
        <s v="https://wfs.nlsc.gov.tw/WFS/TOPON1K/TOPON1K_J16"/>
        <s v="https://wfs.nlsc.gov.tw/WFS/TOPON1K/TOPON1K_J17"/>
        <s v="https://wfs.nlsc.gov.tw/WFS/TOPON1K/TOPON1K_K01"/>
        <s v="https://wfs.nlsc.gov.tw/WFS/TOPON1K/TOPON1K_K02"/>
        <s v="https://wfs.nlsc.gov.tw/WFS/TOPON1K/TOPON1K_K14"/>
        <s v="https://wfs.nlsc.gov.tw/WFS/TOPON1K/TOPON1K_M01"/>
        <s v="https://wfs.nlsc.gov.tw/WFS/TOPON1K/TOPON1K_M02"/>
        <s v="https://wfs.nlsc.gov.tw/WFS/TOPON1K/TOPON1K_M04"/>
        <s v="https://wfs.nlsc.gov.tw/WFS/TOPON1K/TOPON1K_N01"/>
        <s v="https://wfs.nlsc.gov.tw/WFS/TOPON1K/TOPON1K_N02"/>
        <s v="https://wfs.nlsc.gov.tw/WFS/TOPON1K/TOPON1K_P01"/>
        <s v="https://wfs.nlsc.gov.tw/WFS/TOPON1K/TOPON1K_P10"/>
        <s v="https://wfs.nlsc.gov.tw/WFS/TOPON1K/TOPON1K_P12"/>
        <s v="https://wfs.nlsc.gov.tw/WFS/TOPON1K/TOPON1K_P13"/>
        <s v="https://wfs.nlsc.gov.tw/WFS/TOPON1K/TOPON1K_P22"/>
        <s v="https://wfs.nlsc.gov.tw/WFS/TOPON1K/TOPON1K_P24"/>
        <s v="https://wfs.nlsc.gov.tw/WFS/TOPON1K/TOPON1K_P25"/>
        <s v="https://wfs.nlsc.gov.tw/WFS/TOPON1K/TOPON1K_Q02"/>
        <s v="https://wfs.nlsc.gov.tw/WFS/TOPON1K/TOPON1K_Q06"/>
        <s v="https://wfs.nlsc.gov.tw/WFS/TOPON1K/TOPON1K_Q07"/>
        <s v="https://wfs.nlsc.gov.tw/WFS/TOPON1K/TOPON1K_Q19"/>
        <s v="https://wfs.nlsc.gov.tw/WFS/TOPON1K/TOPON1K_Q21"/>
        <s v="https://wfs.nlsc.gov.tw/WFS/TOPON1K/TOPON1K_Q22"/>
        <s v="https://wfs.nlsc.gov.tw/WFS/TOPON1K/TOPON1K_Q26"/>
        <s v="https://wfs.nlsc.gov.tw/WFS/TOPON1K/TOPON1K_Q27"/>
        <s v="https://wfs.nlsc.gov.tw/WFS/TOPON1K/TOPON1K_Q28"/>
        <s v="https://wfs.nlsc.gov.tw/WFS/TOPON1K/TOPON1K_Q29"/>
        <s v="https://wfs.nlsc.gov.tw/WFS/TOPON1K/TOPON1K_Q30"/>
        <s v="https://wfs.nlsc.gov.tw/WFS/TOPON1K/TOPON1K_Q31"/>
        <s v="https://wfs.nlsc.gov.tw/WFS/TOPON1K/TOPON1K_T01"/>
        <s v="https://wfs.nlsc.gov.tw/WFS/TOPON1K/TOPON1K_T03"/>
        <s v="https://wfs.nlsc.gov.tw/WFS/TOPON1K/TOPON1K_T08"/>
        <s v="https://wfs.nlsc.gov.tw/WFS/TOPON1K/TOPON1K_T20"/>
        <s v="https://wfs.nlsc.gov.tw/WFS/TOPON1K/TOPON1K_T30"/>
        <s v="https://wfs.nlsc.gov.tw/WFS/TOPON1K/TOPON1K_U20"/>
        <s v="https://wfs.nlsc.gov.tw/WFS/TOPON1K/TOPON1K_V01"/>
        <s v="https://wfs.nlsc.gov.tw/WFS/TOPON1K/TOPON1K_V02"/>
        <s v="https://wfs.nlsc.gov.tw/WFS/TOPON1K/TOPON1K_X01"/>
        <s v="https://wfs.nlsc.gov.tw/WFS/TOPON1K/TOPON1K_X02"/>
        <s v="https://wfs.nlsc.gov.tw/WFS/TOPON1K/TOPON1K_X03"/>
        <s v="https://wfs.nlsc.gov.tw/WFS/TOPON1K/TOPON1K_X04"/>
        <s v="https://wfs.nlsc.gov.tw/WFS/TOPON1K/TOPON1K_X05"/>
        <s v="https://wfs.nlsc.gov.tw/WFS/TOPON1K/TOPON1K_X06"/>
        <s v="https://wfs.nlsc.gov.tw/WFS/TOPON1K/TOPON1K_X07"/>
        <s v="https://wfs.nlsc.gov.tw/WFS/TOPON1K/TOPON1K_X08"/>
        <s v="https://wms.nlsc.gov.tw/wms"/>
        <s v="https://wmts.nlsc.gov.tw/97/wmts/EMAP3825/{Style}/{TileMatrixSet}/{TileMatrix}/{TileRow}/{TileCol}"/>
        <s v="https://wmts.nlsc.gov.tw/97/wmts/EMAP3826/{Style}/{TileMatrixSet}/{TileMatrix}/{TileRow}/{TileCol}"/>
        <s v="https://wmts.nlsc.gov.tw/97/wmts/PHOTO3826/{Style}/{TileMatrixSet}/{TileMatrix}/{TileRow}/{TileCol}"/>
        <s v="https://wmts.nlsc.gov.tw/wmts/AED/{Style}/{TileMatrixSet}/{TileMatrix}/{TileRow}/{TileCol}"/>
        <s v="https://wmts.nlsc.gov.tw/wmts/Asrs_2025_ortho/{Style}/{TileMatrixSet}/{TileMatrix}/{TileRow}/{TileCol}"/>
        <s v="https://wmts.nlsc.gov.tw/wmts/Asrs_20250925_1/{Style}/{TileMatrixSet}/{TileMatrix}/{TileRow}/{TileCol}"/>
        <s v="https://wmts.nlsc.gov.tw/wmts/Asrs_20250925_2/{Style}/{TileMatrixSet}/{TileMatrix}/{TileRow}/{TileCol}"/>
        <s v="https://wmts.nlsc.gov.tw/wmts/Asrs_20250925_3/{Style}/{TileMatrixSet}/{TileMatrix}/{TileRow}/{TileCol}"/>
        <s v="https://wmts.nlsc.gov.tw/wmts/Asrs_20250927_1/{Style}/{TileMatrixSet}/{TileMatrix}/{TileRow}/{TileCol}"/>
        <s v="https://wmts.nlsc.gov.tw/wmts/Asrs_20250927_2/{Style}/{TileMatrixSet}/{TileMatrix}/{TileRow}/{TileCol}"/>
        <s v="https://wmts.nlsc.gov.tw/wmts/Asrs_20250927_3/{Style}/{TileMatrixSet}/{TileMatrix}/{TileRow}/{TileCol}"/>
        <s v="https://wmts.nlsc.gov.tw/wmts/Asrs_20250928_1/{Style}/{TileMatrixSet}/{TileMatrix}/{TileRow}/{TileCol}"/>
        <s v="https://wmts.nlsc.gov.tw/wmts/Asrs_20250928_2/{Style}/{TileMatrixSet}/{TileMatrix}/{TileRow}/{TileCol}"/>
        <s v="https://wmts.nlsc.gov.tw/wmts/Asrs_20250929_1/{Style}/{TileMatrixSet}/{TileMatrix}/{TileRow}/{TileCol}"/>
        <s v="https://wmts.nlsc.gov.tw/wmts/Asrs_20250929_2/{Style}/{TileMatrixSet}/{TileMatrix}/{TileRow}/{TileCol}"/>
        <s v="https://wmts.nlsc.gov.tw/wmts/Asrs_20250930_1/{Style}/{TileMatrixSet}/{TileMatrix}/{TileRow}/{TileCol}"/>
        <s v="https://wmts.nlsc.gov.tw/wmts/Asrs_20250930_2/{Style}/{TileMatrixSet}/{TileMatrix}/{TileRow}/{TileCol}"/>
        <s v="https://wmts.nlsc.gov.tw/wmts/Asrs_20251001_1/{Style}/{TileMatrixSet}/{TileMatrix}/{TileRow}/{TileCol}"/>
        <s v="https://wmts.nlsc.gov.tw/wmts/Asrs_20251002_1/{Style}/{TileMatrixSet}/{TileMatrix}/{TileRow}/{TileCol}"/>
        <s v="https://wmts.nlsc.gov.tw/wmts/Asrs_20251002_2/{Style}/{TileMatrixSet}/{TileMatrix}/{TileRow}/{TileCol}"/>
        <s v="https://wmts.nlsc.gov.tw/wmts/Asrs_20251002_3/{Style}/{TileMatrixSet}/{TileMatrix}/{TileRow}/{TileCol}"/>
        <s v="https://wmts.nlsc.gov.tw/wmts/Asrs_20251003_1/{Style}/{TileMatrixSet}/{TileMatrix}/{TileRow}/{TileCol}"/>
        <s v="https://wmts.nlsc.gov.tw/wmts/Asrs_20251003_2/{Style}/{TileMatrixSet}/{TileMatrix}/{TileRow}/{TileCol}"/>
        <s v="https://wmts.nlsc.gov.tw/wmts/Asrs_20251003_3/{Style}/{TileMatrixSet}/{TileMatrix}/{TileRow}/{TileCol}"/>
        <s v="https://wmts.nlsc.gov.tw/wmts/Asrs_20251003_4/{Style}/{TileMatrixSet}/{TileMatrix}/{TileRow}/{TileCol}"/>
        <s v="https://wmts.nlsc.gov.tw/wmts/Asrs_20251003_5/{Style}/{TileMatrixSet}/{TileMatrix}/{TileRow}/{TileCol}"/>
        <s v="https://wmts.nlsc.gov.tw/wmts/Asrs_20251003_6/{Style}/{TileMatrixSet}/{TileMatrix}/{TileRow}/{TileCol}"/>
        <s v="https://wmts.nlsc.gov.tw/wmts/Asrs_20251003_7/{Style}/{TileMatrixSet}/{TileMatrix}/{TileRow}/{TileCol}"/>
        <s v="https://wmts.nlsc.gov.tw/wmts/Asrs_20251004_1/{Style}/{TileMatrixSet}/{TileMatrix}/{TileRow}/{TileCol}"/>
        <s v="https://wmts.nlsc.gov.tw/wmts/Asrs_20251004_2/{Style}/{TileMatrixSet}/{TileMatrix}/{TileRow}/{TileCol}"/>
        <s v="https://wmts.nlsc.gov.tw/wmts/Asrs_20251004_3/{Style}/{TileMatrixSet}/{TileMatrix}/{TileRow}/{TileCol}"/>
        <s v="https://wmts.nlsc.gov.tw/wmts/Asrs_20251005_1/{Style}/{TileMatrixSet}/{TileMatrix}/{TileRow}/{TileCol}"/>
        <s v="https://wmts.nlsc.gov.tw/wmts/Asrs_20251005_2/{Style}/{TileMatrixSet}/{TileMatrix}/{TileRow}/{TileCol}"/>
        <s v="https://wmts.nlsc.gov.tw/wmts/Asrs_20251005_3/{Style}/{TileMatrixSet}/{TileMatrix}/{TileRow}/{TileCol}"/>
        <s v="https://wmts.nlsc.gov.tw/wmts/Asrs_20251006_1/{Style}/{TileMatrixSet}/{TileMatrix}/{TileRow}/{TileCol}"/>
        <s v="https://wmts.nlsc.gov.tw/wmts/Asrs_20251006_2/{Style}/{TileMatrixSet}/{TileMatrix}/{TileRow}/{TileCol}"/>
        <s v="https://wmts.nlsc.gov.tw/wmts/Asrs_20251006_3/{Style}/{TileMatrixSet}/{TileMatrix}/{TileRow}/{TileCol}"/>
        <s v="https://wmts.nlsc.gov.tw/wmts/Asrs_20251007_1/{Style}/{TileMatrixSet}/{TileMatrix}/{TileRow}/{TileCol}"/>
        <s v="https://wmts.nlsc.gov.tw/wmts/Asrs_20251007_2/{Style}/{TileMatrixSet}/{TileMatrix}/{TileRow}/{TileCol}"/>
        <s v="https://wmts.nlsc.gov.tw/wmts/Asrs_20251007_3/{Style}/{TileMatrixSet}/{TileMatrix}/{TileRow}/{TileCol}"/>
        <s v="https://wmts.nlsc.gov.tw/wmts/Asrs_20251013_1/{Style}/{TileMatrixSet}/{TileMatrix}/{TileRow}/{TileCol}"/>
        <s v="https://wmts.nlsc.gov.tw/wmts/Asrs_20251013_2/{Style}/{TileMatrixSet}/{TileMatrix}/{TileRow}/{TileCol}"/>
        <s v="https://wmts.nlsc.gov.tw/wmts/Asrs_20251013_3/{Style}/{TileMatrixSet}/{TileMatrix}/{TileRow}/{TileCol}"/>
        <s v="https://wmts.nlsc.gov.tw/wmts/Asrs_20251013_4/{Style}/{TileMatrixSet}/{TileMatrix}/{TileRow}/{TileCol}"/>
        <s v="https://wmts.nlsc.gov.tw/wmts/Asrs_20251013_5/{Style}/{TileMatrixSet}/{TileMatrix}/{TileRow}/{TileCol}"/>
        <s v="https://wmts.nlsc.gov.tw/wmts/Asrs_20251013_6/{Style}/{TileMatrixSet}/{TileMatrix}/{TileRow}/{TileCol}"/>
        <s v="https://wmts.nlsc.gov.tw/wmts/Asrs_20251013_7/{Style}/{TileMatrixSet}/{TileMatrix}/{TileRow}/{TileCol}"/>
        <s v="https://wmts.nlsc.gov.tw/wmts/Asrs_20251013_8/{Style}/{TileMatrixSet}/{TileMatrix}/{TileRow}/{TileCol}"/>
        <s v="https://wmts.nlsc.gov.tw/wmts/Asrs_20251013_9/{Style}/{TileMatrixSet}/{TileMatrix}/{TileRow}/{TileCol}"/>
        <s v="https://wmts.nlsc.gov.tw/wmts/Asrs_20251116_1/{Style}/{TileMatrixSet}/{TileMatrix}/{TileRow}/{TileCol}"/>
        <s v="https://wmts.nlsc.gov.tw/wmts/Asrs_20251116_2/{Style}/{TileMatrixSet}/{TileMatrix}/{TileRow}/{TileCol}"/>
        <s v="https://wmts.nlsc.gov.tw/wmts/Asrs_20251116_3/{Style}/{TileMatrixSet}/{TileMatrix}/{TileRow}/{TileCol}"/>
        <s v="https://wmts.nlsc.gov.tw/wmts/Asrs_20251116_4/{Style}/{TileMatrixSet}/{TileMatrix}/{TileRow}/{TileCol}"/>
        <s v="https://wmts.nlsc.gov.tw/wmts/Asrs_20251116_5/{Style}/{TileMatrixSet}/{TileMatrix}/{TileRow}/{TileCol}"/>
        <s v="https://wmts.nlsc.gov.tw/wmts/Asrs_20251116_6/{Style}/{TileMatrixSet}/{TileMatrix}/{TileRow}/{TileCol}"/>
        <s v="https://wmts.nlsc.gov.tw/wmts/Asrs_20251116_7/{Style}/{TileMatrixSet}/{TileMatrix}/{TileRow}/{TileCol}"/>
        <s v="https://wmts.nlsc.gov.tw/wmts/Asrs_20251116_8/{Style}/{TileMatrixSet}/{TileMatrix}/{TileRow}/{TileCol}"/>
        <s v="https://wmts.nlsc.gov.tw/wmts/B100000/{Style}/{TileMatrixSet}/{TileMatrix}/{TileRow}/{TileCol}"/>
        <s v="https://wmts.nlsc.gov.tw/wmts/B25000/{Style}/{TileMatrixSet}/{TileMatrix}/{TileRow}/{TileCol}"/>
        <s v="https://wmts.nlsc.gov.tw/wmts/B5000/{Style}/{TileMatrixSet}/{TileMatrix}/{TileRow}/{TileCol}"/>
        <s v="https://wmts.nlsc.gov.tw/wmts/B50000/{Style}/{TileMatrixSet}/{TileMatrix}/{TileRow}/{TileCol}"/>
        <s v="https://wmts.nlsc.gov.tw/wmts/BUILDX/{Style}/{TileMatrixSet}/{TileMatrix}/{TileRow}/{TileCol}"/>
        <s v="https://wmts.nlsc.gov.tw/wmts/CITY/{Style}/{TileMatrixSet}/{TileMatrix}/{TileRow}/{TileCol}"/>
        <s v="https://wmts.nlsc.gov.tw/wmts/ConvenienceStore/{Style}/{TileMatrixSet}/{TileMatrix}/{TileRow}/{TileCol}"/>
        <s v="https://wmts.nlsc.gov.tw/wmts/DDEM05/{Style}/{TileMatrixSet}/{TileMatrix}/{TileRow}/{TileCol}"/>
        <s v="https://wmts.nlsc.gov.tw/wmts/EMAP/{Style}/{TileMatrixSet}/{TileMatrix}/{TileRow}/{TileCol}"/>
        <s v="https://wmts.nlsc.gov.tw/wmts/EMAP01/{Style}/{TileMatrixSet}/{TileMatrix}/{TileRow}/{TileCol}"/>
        <s v="https://wmts.nlsc.gov.tw/wmts/EMAP12/{Style}/{TileMatrixSet}/{TileMatrix}/{TileRow}/{TileCol}"/>
        <s v="https://wmts.nlsc.gov.tw/wmts/EMAP15/{Style}/{TileMatrixSet}/{TileMatrix}/{TileRow}/{TileCol}"/>
        <s v="https://wmts.nlsc.gov.tw/wmts/EMAP16/{Style}/{TileMatrixSet}/{TileMatrix}/{TileRow}/{TileCol}"/>
        <s v="https://wmts.nlsc.gov.tw/wmts/EMAP2/{Style}/{TileMatrixSet}/{TileMatrix}/{TileRow}/{TileCol}"/>
        <s v="https://wmts.nlsc.gov.tw/wmts/EMAP5_OPENDATA/{Style}/{TileMatrixSet}/{TileMatrix}/{TileRow}/{TileCol}"/>
        <s v="https://wmts.nlsc.gov.tw/wmts/EMAP5/{Style}/{TileMatrixSet}/{TileMatrix}/{TileRow}/{TileCol}"/>
        <s v="https://wmts.nlsc.gov.tw/wmts/EMAP6_OPENDATA/{Style}/{TileMatrixSet}/{TileMatrix}/{TileRow}/{TileCol}"/>
        <s v="https://wmts.nlsc.gov.tw/wmts/EMAP6/{Style}/{TileMatrixSet}/{TileMatrix}/{TileRow}/{TileCol}"/>
        <s v="https://wmts.nlsc.gov.tw/wmts/EMAP7/{Style}/{TileMatrixSet}/{TileMatrix}/{TileRow}/{TileCol}"/>
        <s v="https://wmts.nlsc.gov.tw/wmts/EMAP8/{Style}/{TileMatrixSet}/{TileMatrix}/{TileRow}/{TileCol}"/>
        <s v="https://wmts.nlsc.gov.tw/wmts/EMAP9/{Style}/{TileMatrixSet}/{TileMatrix}/{TileRow}/{TileCol}"/>
        <s v="https://wmts.nlsc.gov.tw/wmts/EMAP96/{Style}/{TileMatrixSet}/{TileMatrix}/{TileRow}/{TileCol}"/>
        <s v="https://wmts.nlsc.gov.tw/wmts/EMAP97/{Style}/{TileMatrixSet}/{TileMatrix}/{TileRow}/{TileCol}"/>
        <s v="https://wmts.nlsc.gov.tw/wmts/EMAP98/{Style}/{TileMatrixSet}/{TileMatrix}/{TileRow}/{TileCol}"/>
        <s v="https://wmts.nlsc.gov.tw/wmts/EMAPX99/{Style}/{TileMatrixSet}/{TileMatrix}/{TileRow}/{TileCol}"/>
        <s v="https://wmts.nlsc.gov.tw/wmts/fireplug/{Style}/{TileMatrixSet}/{TileMatrix}/{TileRow}/{TileCol}"/>
        <s v="https://wmts.nlsc.gov.tw/wmts/GeoSensitive/{Style}/{TileMatrixSet}/{TileMatrix}/{TileRow}/{TileCol}"/>
        <s v="https://wmts.nlsc.gov.tw/wmts/GeoSensitive2/{Style}/{TileMatrixSet}/{TileMatrix}/{TileRow}/{TileCol}"/>
        <s v="https://wmts.nlsc.gov.tw/wmts/LAND_OPENDATA/{Style}/{TileMatrixSet}/{TileMatrix}/{TileRow}/{TileCol}"/>
        <s v="https://wmts.nlsc.gov.tw/wmts/LandOffice/{Style}/{TileMatrixSet}/{TileMatrix}/{TileRow}/{TileCol}"/>
        <s v="https://wmts.nlsc.gov.tw/wmts/LANDSECT/{Style}/{TileMatrixSet}/{TileMatrix}/{TileRow}/{TileCol}"/>
        <s v="https://wmts.nlsc.gov.tw/wmts/LANDSECT2/{Style}/{TileMatrixSet}/{TileMatrix}/{TileRow}/{TileCol}"/>
        <s v="https://wmts.nlsc.gov.tw/wmts/LUIMAP/{Style}/{TileMatrixSet}/{TileMatrix}/{TileRow}/{TileCol}"/>
        <s v="https://wmts.nlsc.gov.tw/wmts/LUIMAP01/{Style}/{TileMatrixSet}/{TileMatrix}/{TileRow}/{TileCol}"/>
        <s v="https://wmts.nlsc.gov.tw/wmts/LUIMAP02/{Style}/{TileMatrixSet}/{TileMatrix}/{TileRow}/{TileCol}"/>
        <s v="https://wmts.nlsc.gov.tw/wmts/LUIMAP03/{Style}/{TileMatrixSet}/{TileMatrix}/{TileRow}/{TileCol}"/>
        <s v="https://wmts.nlsc.gov.tw/wmts/LUIMAP04/{Style}/{TileMatrixSet}/{TileMatrix}/{TileRow}/{TileCol}"/>
        <s v="https://wmts.nlsc.gov.tw/wmts/LUIMAP05/{Style}/{TileMatrixSet}/{TileMatrix}/{TileRow}/{TileCol}"/>
        <s v="https://wmts.nlsc.gov.tw/wmts/LUIMAP06/{Style}/{TileMatrixSet}/{TileMatrix}/{TileRow}/{TileCol}"/>
        <s v="https://wmts.nlsc.gov.tw/wmts/LUIMAP07/{Style}/{TileMatrixSet}/{TileMatrix}/{TileRow}/{TileCol}"/>
        <s v="https://wmts.nlsc.gov.tw/wmts/LUIMAP08/{Style}/{TileMatrixSet}/{TileMatrix}/{TileRow}/{TileCol}"/>
        <s v="https://wmts.nlsc.gov.tw/wmts/LUIMAP09/{Style}/{TileMatrixSet}/{TileMatrix}/{TileRow}/{TileCol}"/>
        <s v="https://wmts.nlsc.gov.tw/wmts/LUIMAP100/{Style}/{TileMatrixSet}/{TileMatrix}/{TileRow}/{TileCol}"/>
        <s v="https://wmts.nlsc.gov.tw/wmts/LUIMAP101/{Style}/{TileMatrixSet}/{TileMatrix}/{TileRow}/{TileCol}"/>
        <s v="https://wmts.nlsc.gov.tw/wmts/LUIMAP102/{Style}/{TileMatrixSet}/{TileMatrix}/{TileRow}/{TileCol}"/>
        <s v="https://wmts.nlsc.gov.tw/wmts/LUIMAP103/{Style}/{TileMatrixSet}/{TileMatrix}/{TileRow}/{TileCol}"/>
        <s v="https://wmts.nlsc.gov.tw/wmts/LUIMAP104/{Style}/{TileMatrixSet}/{TileMatrix}/{TileRow}/{TileCol}"/>
        <s v="https://wmts.nlsc.gov.tw/wmts/LUIMAP105/{Style}/{TileMatrixSet}/{TileMatrix}/{TileRow}/{TileCol}"/>
        <s v="https://wmts.nlsc.gov.tw/wmts/LUIMAP106/{Style}/{TileMatrixSet}/{TileMatrix}/{TileRow}/{TileCol}"/>
        <s v="https://wmts.nlsc.gov.tw/wmts/LUIMAP107/{Style}/{TileMatrixSet}/{TileMatrix}/{TileRow}/{TileCol}"/>
        <s v="https://wmts.nlsc.gov.tw/wmts/LUIMAP108/{Style}/{TileMatrixSet}/{TileMatrix}/{TileRow}/{TileCol}"/>
        <s v="https://wmts.nlsc.gov.tw/wmts/LUIMAP109/{Style}/{TileMatrixSet}/{TileMatrix}/{TileRow}/{TileCol}"/>
        <s v="https://wmts.nlsc.gov.tw/wmts/LUIMAP110/{Style}/{TileMatrixSet}/{TileMatrix}/{TileRow}/{TileCol}"/>
        <s v="https://wmts.nlsc.gov.tw/wmts/LUIMAP111/{Style}/{TileMatrixSet}/{TileMatrix}/{TileRow}/{TileCol}"/>
        <s v="https://wmts.nlsc.gov.tw/wmts/LUIMAP112/{Style}/{TileMatrixSet}/{TileMatrix}/{TileRow}/{TileCol}"/>
        <s v="https://wmts.nlsc.gov.tw/wmts/LUIMAP113/{Style}/{TileMatrixSet}/{TileMatrix}/{TileRow}/{TileCol}"/>
        <s v="https://wmts.nlsc.gov.tw/wmts/LUIMAP114/{Style}/{TileMatrixSet}/{TileMatrix}/{TileRow}/{TileCol}"/>
        <s v="https://wmts.nlsc.gov.tw/wmts/LUIMAP82/{Style}/{TileMatrixSet}/{TileMatrix}/{TileRow}/{TileCol}"/>
        <s v="https://wmts.nlsc.gov.tw/wmts/LUIMAP95/{Style}/{TileMatrixSet}/{TileMatrix}/{TileRow}/{TileCol}"/>
        <s v="https://wmts.nlsc.gov.tw/wmts/LUIMAP98/{Style}/{TileMatrixSet}/{TileMatrix}/{TileRow}/{TileCol}"/>
        <s v="https://wmts.nlsc.gov.tw/wmts/LUIMAP99/{Style}/{TileMatrixSet}/{TileMatrix}/{TileRow}/{TileCol}"/>
        <s v="https://wmts.nlsc.gov.tw/wmts/MB5000/{Style}/{TileMatrixSet}/{TileMatrix}/{TileRow}/{TileCol}"/>
        <s v="https://wmts.nlsc.gov.tw/wmts/MOI_ASPECT/{Style}/{TileMatrixSet}/{TileMatrix}/{TileRow}/{TileCol}"/>
        <s v="https://wmts.nlsc.gov.tw/wmts/MOI_CONTOUR_2/{Style}/{TileMatrixSet}/{TileMatrix}/{TileRow}/{TileCol}"/>
        <s v="https://wmts.nlsc.gov.tw/wmts/MOI_CONTOUR/{Style}/{TileMatrixSet}/{TileMatrix}/{TileRow}/{TileCol}"/>
        <s v="https://wmts.nlsc.gov.tw/wmts/MOI_HILLSHADE/{Style}/{TileMatrixSet}/{TileMatrix}/{TileRow}/{TileCol}"/>
        <s v="https://wmts.nlsc.gov.tw/wmts/MOI_SHADERMAP/{Style}/{TileMatrixSet}/{TileMatrix}/{TileRow}/{TileCol}"/>
        <s v="https://wmts.nlsc.gov.tw/wmts/MOI_SLOPEP_GT30_2/{Style}/{TileMatrixSet}/{TileMatrix}/{TileRow}/{TileCol}"/>
        <s v="https://wmts.nlsc.gov.tw/wmts/MOI_SLOPEP_GT30/{Style}/{TileMatrixSet}/{TileMatrix}/{TileRow}/{TileCol}"/>
        <s v="https://wmts.nlsc.gov.tw/wmts/MOI_SLOPEP_LV7_2/{Style}/{TileMatrixSet}/{TileMatrix}/{TileRow}/{TileCol}"/>
        <s v="https://wmts.nlsc.gov.tw/wmts/MOI_SLOPEP_LV7/{Style}/{TileMatrixSet}/{TileMatrix}/{TileRow}/{TileCol}"/>
        <s v="https://wmts.nlsc.gov.tw/wmts/nURBAN1/{Style}/{TileMatrixSet}/{TileMatrix}/{TileRow}/{TileCol}"/>
        <s v="https://wmts.nlsc.gov.tw/wmts/nURBAN2/{Style}/{TileMatrixSet}/{TileMatrix}/{TileRow}/{TileCol}"/>
        <s v="https://wmts.nlsc.gov.tw/wmts/PHOTO_MIX/{Style}/{TileMatrixSet}/{TileMatrix}/{TileRow}/{TileCol}"/>
        <s v="https://wmts.nlsc.gov.tw/wmts/PHOTO_VA/{Style}/{TileMatrixSet}/{TileMatrix}/{TileRow}/{TileCol}"/>
        <s v="https://wmts.nlsc.gov.tw/wmts/PHOTO1/{Style}/{TileMatrixSet}/{TileMatrix}/{TileRow}/{TileCol}"/>
        <s v="https://wmts.nlsc.gov.tw/wmts/PHOTO2/{Style}/{TileMatrixSet}/{TileMatrix}/{TileRow}/{TileCol}"/>
        <s v="https://wmts.nlsc.gov.tw/wmts/PHOTO2014/{Style}/{TileMatrixSet}/{TileMatrix}/{TileRow}/{TileCol}"/>
        <s v="https://wmts.nlsc.gov.tw/wmts/PHOTO2015/{Style}/{TileMatrixSet}/{TileMatrix}/{TileRow}/{TileCol}"/>
        <s v="https://wmts.nlsc.gov.tw/wmts/PHOTO2016/{Style}/{TileMatrixSet}/{TileMatrix}/{TileRow}/{TileCol}"/>
        <s v="https://wmts.nlsc.gov.tw/wmts/PHOTO2017/{Style}/{TileMatrixSet}/{TileMatrix}/{TileRow}/{TileCol}"/>
        <s v="https://wmts.nlsc.gov.tw/wmts/PHOTO2018/{Style}/{TileMatrixSet}/{TileMatrix}/{TileRow}/{TileCol}"/>
        <s v="https://wmts.nlsc.gov.tw/wmts/PHOTO2019/{Style}/{TileMatrixSet}/{TileMatrix}/{TileRow}/{TileCol}"/>
        <s v="https://wmts.nlsc.gov.tw/wmts/PHOTO2020/{Style}/{TileMatrixSet}/{TileMatrix}/{TileRow}/{TileCol}"/>
        <s v="https://wmts.nlsc.gov.tw/wmts/PHOTO2021/{Style}/{TileMatrixSet}/{TileMatrix}/{TileRow}/{TileCol}"/>
        <s v="https://wmts.nlsc.gov.tw/wmts/PHOTO2022/{Style}/{TileMatrixSet}/{TileMatrix}/{TileRow}/{TileCol}"/>
        <s v="https://wmts.nlsc.gov.tw/wmts/PHOTO2023/{Style}/{TileMatrixSet}/{TileMatrix}/{TileRow}/{TileCol}"/>
        <s v="https://wmts.nlsc.gov.tw/wmts/PHOTO2024/{Style}/{TileMatrixSet}/{TileMatrix}/{TileRow}/{TileCol}"/>
        <s v="https://wmts.nlsc.gov.tw/wmts/PHOTO2025/{Style}/{TileMatrixSet}/{TileMatrix}/{TileRow}/{TileCol}"/>
        <s v="https://wmts.nlsc.gov.tw/wmts/ROAD/{Style}/{TileMatrixSet}/{TileMatrix}/{TileRow}/{TileCol}"/>
        <s v="https://wmts.nlsc.gov.tw/wmts/SCHOOL/{Style}/{TileMatrixSet}/{TileMatrix}/{TileRow}/{TileCol}"/>
        <s v="https://wmts.nlsc.gov.tw/wmts/SHELTERS/{Style}/{TileMatrixSet}/{TileMatrix}/{TileRow}/{TileCol}"/>
        <s v="https://wmts.nlsc.gov.tw/wmts/SoilLiquefaction/{Style}/{TileMatrixSet}/{TileMatrix}/{TileRow}/{TileCol}"/>
        <s v="https://wmts.nlsc.gov.tw/wmts/SoilLiquefaction2/{Style}/{TileMatrixSet}/{TileMatrix}/{TileRow}/{TileCol}"/>
        <s v="https://wmts.nlsc.gov.tw/wmts/TOPO01K_B01/{Style}/{TileMatrixSet}/{TileMatrix}/{TileRow}/{TileCol}"/>
        <s v="https://wmts.nlsc.gov.tw/wmts/TOPO01K_B02/{Style}/{TileMatrixSet}/{TileMatrix}/{TileRow}/{TileCol}"/>
        <s v="https://wmts.nlsc.gov.tw/wmts/TOPO01K_B03/{Style}/{TileMatrixSet}/{TileMatrix}/{TileRow}/{TileCol}"/>
        <s v="https://wmts.nlsc.gov.tw/wmts/TOPO01K_B04/{Style}/{TileMatrixSet}/{TileMatrix}/{TileRow}/{TileCol}"/>
        <s v="https://wmts.nlsc.gov.tw/wmts/TOPO01K_B05/{Style}/{TileMatrixSet}/{TileMatrix}/{TileRow}/{TileCol}"/>
        <s v="https://wmts.nlsc.gov.tw/wmts/TOPO01K_B06/{Style}/{TileMatrixSet}/{TileMatrix}/{TileRow}/{TileCol}"/>
        <s v="https://wmts.nlsc.gov.tw/wmts/TOPO01K_B07/{Style}/{TileMatrixSet}/{TileMatrix}/{TileRow}/{TileCol}"/>
        <s v="https://wmts.nlsc.gov.tw/wmts/TOPO01K_B08/{Style}/{TileMatrixSet}/{TileMatrix}/{TileRow}/{TileCol}"/>
        <s v="https://wmts.nlsc.gov.tw/wmts/TOPO01K_B09/{Style}/{TileMatrixSet}/{TileMatrix}/{TileRow}/{TileCol}"/>
        <s v="https://wmts.nlsc.gov.tw/wmts/TOPO01K_B10/{Style}/{TileMatrixSet}/{TileMatrix}/{TileRow}/{TileCol}"/>
        <s v="https://wmts.nlsc.gov.tw/wmts/TOPO01K_B11/{Style}/{TileMatrixSet}/{TileMatrix}/{TileRow}/{TileCol}"/>
        <s v="https://wmts.nlsc.gov.tw/wmts/TOPO01K_B12/{Style}/{TileMatrixSet}/{TileMatrix}/{TileRow}/{TileCol}"/>
        <s v="https://wmts.nlsc.gov.tw/wmts/TOPO01K_B13/{Style}/{TileMatrixSet}/{TileMatrix}/{TileRow}/{TileCol}"/>
        <s v="https://wmts.nlsc.gov.tw/wmts/TOPO01K_B14/{Style}/{TileMatrixSet}/{TileMatrix}/{TileRow}/{TileCol}"/>
        <s v="https://wmts.nlsc.gov.tw/wmts/TOPO01K_B15/{Style}/{TileMatrixSet}/{TileMatrix}/{TileRow}/{TileCol}"/>
        <s v="https://wmts.nlsc.gov.tw/wmts/TOPO01K_B16/{Style}/{TileMatrixSet}/{TileMatrix}/{TileRow}/{TileCol}"/>
        <s v="https://wmts.nlsc.gov.tw/wmts/TOPO01K_B17/{Style}/{TileMatrixSet}/{TileMatrix}/{TileRow}/{TileCol}"/>
        <s v="https://wmts.nlsc.gov.tw/wmts/TOPO01K_B18/{Style}/{TileMatrixSet}/{TileMatrix}/{TileRow}/{TileCol}"/>
        <s v="https://wmts.nlsc.gov.tw/wmts/TOPO01K_B19/{Style}/{TileMatrixSet}/{TileMatrix}/{TileRow}/{TileCol}"/>
        <s v="https://wmts.nlsc.gov.tw/wmts/TOPO01K_B20/{Style}/{TileMatrixSet}/{TileMatrix}/{TileRow}/{TileCol}"/>
        <s v="https://wmts.nlsc.gov.tw/wmts/TOPO01K_B21/{Style}/{TileMatrixSet}/{TileMatrix}/{TileRow}/{TileCol}"/>
        <s v="https://wmts.nlsc.gov.tw/wmts/TOPO01K_B22/{Style}/{TileMatrixSet}/{TileMatrix}/{TileRow}/{TileCol}"/>
        <s v="https://wmts.nlsc.gov.tw/wmts/TOPO01K_B23/{Style}/{TileMatrixSet}/{TileMatrix}/{TileRow}/{TileCol}"/>
        <s v="https://wmts.nlsc.gov.tw/wmts/TOPO01K_B24/{Style}/{TileMatrixSet}/{TileMatrix}/{TileRow}/{TileCol}"/>
        <s v="https://wmts.nlsc.gov.tw/wmts/TOPO01K_B25/{Style}/{TileMatrixSet}/{TileMatrix}/{TileRow}/{TileCol}"/>
        <s v="https://wmts.nlsc.gov.tw/wmts/TOPO01K_B26/{Style}/{TileMatrixSet}/{TileMatrix}/{TileRow}/{TileCol}"/>
        <s v="https://wmts.nlsc.gov.tw/wmts/TOPO01K_B27/{Style}/{TileMatrixSet}/{TileMatrix}/{TileRow}/{TileCol}"/>
        <s v="https://wmts.nlsc.gov.tw/wmts/TOPO01K_B28/{Style}/{TileMatrixSet}/{TileMatrix}/{TileRow}/{TileCol}"/>
        <s v="https://wmts.nlsc.gov.tw/wmts/TOPO01K_B29/{Style}/{TileMatrixSet}/{TileMatrix}/{TileRow}/{TileCol}"/>
        <s v="https://wmts.nlsc.gov.tw/wmts/TOPO01K_B30/{Style}/{TileMatrixSet}/{TileMatrix}/{TileRow}/{TileCol}"/>
        <s v="https://wmts.nlsc.gov.tw/wmts/TOPO01K_B31/{Style}/{TileMatrixSet}/{TileMatrix}/{TileRow}/{TileCol}"/>
        <s v="https://wmts.nlsc.gov.tw/wmts/TOPO01K_B32/{Style}/{TileMatrixSet}/{TileMatrix}/{TileRow}/{TileCol}"/>
        <s v="https://wmts.nlsc.gov.tw/wmts/TOPO01K_C01/{Style}/{TileMatrixSet}/{TileMatrix}/{TileRow}/{TileCol}"/>
        <s v="https://wmts.nlsc.gov.tw/wmts/TOPO01K_C02/{Style}/{TileMatrixSet}/{TileMatrix}/{TileRow}/{TileCol}"/>
        <s v="https://wmts.nlsc.gov.tw/wmts/TOPO01K_D93/{Style}/{TileMatrixSet}/{TileMatrix}/{TileRow}/{TileCol}"/>
        <s v="https://wmts.nlsc.gov.tw/wmts/TOPO01K_D97/{Style}/{TileMatrixSet}/{TileMatrix}/{TileRow}/{TileCol}"/>
        <s v="https://wmts.nlsc.gov.tw/wmts/TOPO01K_D99/{Style}/{TileMatrixSet}/{TileMatrix}/{TileRow}/{TileCol}"/>
        <s v="https://wmts.nlsc.gov.tw/wmts/TOPO01K_DA0/{Style}/{TileMatrixSet}/{TileMatrix}/{TileRow}/{TileCol}"/>
        <s v="https://wmts.nlsc.gov.tw/wmts/TOPO01K_DA1/{Style}/{TileMatrixSet}/{TileMatrix}/{TileRow}/{TileCol}"/>
        <s v="https://wmts.nlsc.gov.tw/wmts/TOPO01K_DA2/{Style}/{TileMatrixSet}/{TileMatrix}/{TileRow}/{TileCol}"/>
        <s v="https://wmts.nlsc.gov.tw/wmts/TOPO01K_E01/{Style}/{TileMatrixSet}/{TileMatrix}/{TileRow}/{TileCol}"/>
        <s v="https://wmts.nlsc.gov.tw/wmts/TOPO01K_E02/{Style}/{TileMatrixSet}/{TileMatrix}/{TileRow}/{TileCol}"/>
        <s v="https://wmts.nlsc.gov.tw/wmts/TOPO01K_E03/{Style}/{TileMatrixSet}/{TileMatrix}/{TileRow}/{TileCol}"/>
        <s v="https://wmts.nlsc.gov.tw/wmts/TOPO01K_E04/{Style}/{TileMatrixSet}/{TileMatrix}/{TileRow}/{TileCol}"/>
        <s v="https://wmts.nlsc.gov.tw/wmts/TOPO01K_E05/{Style}/{TileMatrixSet}/{TileMatrix}/{TileRow}/{TileCol}"/>
        <s v="https://wmts.nlsc.gov.tw/wmts/TOPO01K_E06/{Style}/{TileMatrixSet}/{TileMatrix}/{TileRow}/{TileCol}"/>
        <s v="https://wmts.nlsc.gov.tw/wmts/TOPO01K_E07/{Style}/{TileMatrixSet}/{TileMatrix}/{TileRow}/{TileCol}"/>
        <s v="https://wmts.nlsc.gov.tw/wmts/TOPO01K_E08/{Style}/{TileMatrixSet}/{TileMatrix}/{TileRow}/{TileCol}"/>
        <s v="https://wmts.nlsc.gov.tw/wmts/TOPO01K_E09/{Style}/{TileMatrixSet}/{TileMatrix}/{TileRow}/{TileCol}"/>
        <s v="https://wmts.nlsc.gov.tw/wmts/TOPO01K_E10/{Style}/{TileMatrixSet}/{TileMatrix}/{TileRow}/{TileCol}"/>
        <s v="https://wmts.nlsc.gov.tw/wmts/TOPO01K_E11/{Style}/{TileMatrixSet}/{TileMatrix}/{TileRow}/{TileCol}"/>
        <s v="https://wmts.nlsc.gov.tw/wmts/TOPO01K_E12/{Style}/{TileMatrixSet}/{TileMatrix}/{TileRow}/{TileCol}"/>
        <s v="https://wmts.nlsc.gov.tw/wmts/TOPO01K_E13/{Style}/{TileMatrixSet}/{TileMatrix}/{TileRow}/{TileCol}"/>
        <s v="https://wmts.nlsc.gov.tw/wmts/TOPO01K_E14/{Style}/{TileMatrixSet}/{TileMatrix}/{TileRow}/{TileCol}"/>
        <s v="https://wmts.nlsc.gov.tw/wmts/TOPO01K_E15/{Style}/{TileMatrixSet}/{TileMatrix}/{TileRow}/{TileCol}"/>
        <s v="https://wmts.nlsc.gov.tw/wmts/TOPO01K_E16/{Style}/{TileMatrixSet}/{TileMatrix}/{TileRow}/{TileCol}"/>
        <s v="https://wmts.nlsc.gov.tw/wmts/TOPO01K_E17/{Style}/{TileMatrixSet}/{TileMatrix}/{TileRow}/{TileCol}"/>
        <s v="https://wmts.nlsc.gov.tw/wmts/TOPO01K_E18/{Style}/{TileMatrixSet}/{TileMatrix}/{TileRow}/{TileCol}"/>
        <s v="https://wmts.nlsc.gov.tw/wmts/TOPO01K_E19/{Style}/{TileMatrixSet}/{TileMatrix}/{TileRow}/{TileCol}"/>
        <s v="https://wmts.nlsc.gov.tw/wmts/TOPO01K_E20/{Style}/{TileMatrixSet}/{TileMatrix}/{TileRow}/{TileCol}"/>
        <s v="https://wmts.nlsc.gov.tw/wmts/TOPO01K_E21/{Style}/{TileMatrixSet}/{TileMatrix}/{TileRow}/{TileCol}"/>
        <s v="https://wmts.nlsc.gov.tw/wmts/TOPO01K_E22/{Style}/{TileMatrixSet}/{TileMatrix}/{TileRow}/{TileCol}"/>
        <s v="https://wmts.nlsc.gov.tw/wmts/TOPO01K_E23/{Style}/{TileMatrixSet}/{TileMatrix}/{TileRow}/{TileCol}"/>
        <s v="https://wmts.nlsc.gov.tw/wmts/TOPO01K_E24/{Style}/{TileMatrixSet}/{TileMatrix}/{TileRow}/{TileCol}"/>
        <s v="https://wmts.nlsc.gov.tw/wmts/TOPO01K_E25/{Style}/{TileMatrixSet}/{TileMatrix}/{TileRow}/{TileCol}"/>
        <s v="https://wmts.nlsc.gov.tw/wmts/TOPO01K_E26/{Style}/{TileMatrixSet}/{TileMatrix}/{TileRow}/{TileCol}"/>
        <s v="https://wmts.nlsc.gov.tw/wmts/TOPO01K_E27/{Style}/{TileMatrixSet}/{TileMatrix}/{TileRow}/{TileCol}"/>
        <s v="https://wmts.nlsc.gov.tw/wmts/TOPO01K_E28/{Style}/{TileMatrixSet}/{TileMatrix}/{TileRow}/{TileCol}"/>
        <s v="https://wmts.nlsc.gov.tw/wmts/TOPO01K_E29/{Style}/{TileMatrixSet}/{TileMatrix}/{TileRow}/{TileCol}"/>
        <s v="https://wmts.nlsc.gov.tw/wmts/TOPO01K_E30/{Style}/{TileMatrixSet}/{TileMatrix}/{TileRow}/{TileCol}"/>
        <s v="https://wmts.nlsc.gov.tw/wmts/TOPO01K_E31/{Style}/{TileMatrixSet}/{TileMatrix}/{TileRow}/{TileCol}"/>
        <s v="https://wmts.nlsc.gov.tw/wmts/TOPO01K_E32/{Style}/{TileMatrixSet}/{TileMatrix}/{TileRow}/{TileCol}"/>
        <s v="https://wmts.nlsc.gov.tw/wmts/TOPO01K_E34/{Style}/{TileMatrixSet}/{TileMatrix}/{TileRow}/{TileCol}"/>
        <s v="https://wmts.nlsc.gov.tw/wmts/TOPO01K_E35/{Style}/{TileMatrixSet}/{TileMatrix}/{TileRow}/{TileCol}"/>
        <s v="https://wmts.nlsc.gov.tw/wmts/TOPO01K_E36/{Style}/{TileMatrixSet}/{TileMatrix}/{TileRow}/{TileCol}"/>
        <s v="https://wmts.nlsc.gov.tw/wmts/TOPO01K_E37/{Style}/{TileMatrixSet}/{TileMatrix}/{TileRow}/{TileCol}"/>
        <s v="https://wmts.nlsc.gov.tw/wmts/TOPO01K_E38/{Style}/{TileMatrixSet}/{TileMatrix}/{TileRow}/{TileCol}"/>
        <s v="https://wmts.nlsc.gov.tw/wmts/TOPO01K_F01/{Style}/{TileMatrixSet}/{TileMatrix}/{TileRow}/{TileCol}"/>
        <s v="https://wmts.nlsc.gov.tw/wmts/TOPO01K_F02/{Style}/{TileMatrixSet}/{TileMatrix}/{TileRow}/{TileCol}"/>
        <s v="https://wmts.nlsc.gov.tw/wmts/TOPO01K_F03/{Style}/{TileMatrixSet}/{TileMatrix}/{TileRow}/{TileCol}"/>
        <s v="https://wmts.nlsc.gov.tw/wmts/TOPO01K_F04/{Style}/{TileMatrixSet}/{TileMatrix}/{TileRow}/{TileCol}"/>
        <s v="https://wmts.nlsc.gov.tw/wmts/TOPO01K_F05/{Style}/{TileMatrixSet}/{TileMatrix}/{TileRow}/{TileCol}"/>
        <s v="https://wmts.nlsc.gov.tw/wmts/TOPO01K_F06/{Style}/{TileMatrixSet}/{TileMatrix}/{TileRow}/{TileCol}"/>
        <s v="https://wmts.nlsc.gov.tw/wmts/TOPO01K_F07/{Style}/{TileMatrixSet}/{TileMatrix}/{TileRow}/{TileCol}"/>
        <s v="https://wmts.nlsc.gov.tw/wmts/TOPO01K_F08/{Style}/{TileMatrixSet}/{TileMatrix}/{TileRow}/{TileCol}"/>
        <s v="https://wmts.nlsc.gov.tw/wmts/TOPO01K_F09/{Style}/{TileMatrixSet}/{TileMatrix}/{TileRow}/{TileCol}"/>
        <s v="https://wmts.nlsc.gov.tw/wmts/TOPO01K_F10/{Style}/{TileMatrixSet}/{TileMatrix}/{TileRow}/{TileCol}"/>
        <s v="https://wmts.nlsc.gov.tw/wmts/TOPO01K_F11/{Style}/{TileMatrixSet}/{TileMatrix}/{TileRow}/{TileCol}"/>
        <s v="https://wmts.nlsc.gov.tw/wmts/TOPO01K_F12/{Style}/{TileMatrixSet}/{TileMatrix}/{TileRow}/{TileCol}"/>
        <s v="https://wmts.nlsc.gov.tw/wmts/TOPO01K_F13/{Style}/{TileMatrixSet}/{TileMatrix}/{TileRow}/{TileCol}"/>
        <s v="https://wmts.nlsc.gov.tw/wmts/TOPO01K_F14/{Style}/{TileMatrixSet}/{TileMatrix}/{TileRow}/{TileCol}"/>
        <s v="https://wmts.nlsc.gov.tw/wmts/TOPO01K_F15/{Style}/{TileMatrixSet}/{TileMatrix}/{TileRow}/{TileCol}"/>
        <s v="https://wmts.nlsc.gov.tw/wmts/TOPO01K_F16/{Style}/{TileMatrixSet}/{TileMatrix}/{TileRow}/{TileCol}"/>
        <s v="https://wmts.nlsc.gov.tw/wmts/TOPO01K_F17/{Style}/{TileMatrixSet}/{TileMatrix}/{TileRow}/{TileCol}"/>
        <s v="https://wmts.nlsc.gov.tw/wmts/TOPO01K_F18/{Style}/{TileMatrixSet}/{TileMatrix}/{TileRow}/{TileCol}"/>
        <s v="https://wmts.nlsc.gov.tw/wmts/TOPO01K_F19/{Style}/{TileMatrixSet}/{TileMatrix}/{TileRow}/{TileCol}"/>
        <s v="https://wmts.nlsc.gov.tw/wmts/TOPO01K_F20/{Style}/{TileMatrixSet}/{TileMatrix}/{TileRow}/{TileCol}"/>
        <s v="https://wmts.nlsc.gov.tw/wmts/TOPO01K_F21/{Style}/{TileMatrixSet}/{TileMatrix}/{TileRow}/{TileCol}"/>
        <s v="https://wmts.nlsc.gov.tw/wmts/TOPO01K_F22/{Style}/{TileMatrixSet}/{TileMatrix}/{TileRow}/{TileCol}"/>
        <s v="https://wmts.nlsc.gov.tw/wmts/TOPO01K_F23/{Style}/{TileMatrixSet}/{TileMatrix}/{TileRow}/{TileCol}"/>
        <s v="https://wmts.nlsc.gov.tw/wmts/TOPO01K_F24/{Style}/{TileMatrixSet}/{TileMatrix}/{TileRow}/{TileCol}"/>
        <s v="https://wmts.nlsc.gov.tw/wmts/TOPO01K_F25/{Style}/{TileMatrixSet}/{TileMatrix}/{TileRow}/{TileCol}"/>
        <s v="https://wmts.nlsc.gov.tw/wmts/TOPO01K_F26/{Style}/{TileMatrixSet}/{TileMatrix}/{TileRow}/{TileCol}"/>
        <s v="https://wmts.nlsc.gov.tw/wmts/TOPO01K_F27/{Style}/{TileMatrixSet}/{TileMatrix}/{TileRow}/{TileCol}"/>
        <s v="https://wmts.nlsc.gov.tw/wmts/TOPO01K_F28/{Style}/{TileMatrixSet}/{TileMatrix}/{TileRow}/{TileCol}"/>
        <s v="https://wmts.nlsc.gov.tw/wmts/TOPO01K_F29/{Style}/{TileMatrixSet}/{TileMatrix}/{TileRow}/{TileCol}"/>
        <s v="https://wmts.nlsc.gov.tw/wmts/TOPO01K_F30/{Style}/{TileMatrixSet}/{TileMatrix}/{TileRow}/{TileCol}"/>
        <s v="https://wmts.nlsc.gov.tw/wmts/TOPO01K_F31/{Style}/{TileMatrixSet}/{TileMatrix}/{TileRow}/{TileCol}"/>
        <s v="https://wmts.nlsc.gov.tw/wmts/TOPO01K_F32/{Style}/{TileMatrixSet}/{TileMatrix}/{TileRow}/{TileCol}"/>
        <s v="https://wmts.nlsc.gov.tw/wmts/TOPO01K_F33/{Style}/{TileMatrixSet}/{TileMatrix}/{TileRow}/{TileCol}"/>
        <s v="https://wmts.nlsc.gov.tw/wmts/TOPO01K_F34/{Style}/{TileMatrixSet}/{TileMatrix}/{TileRow}/{TileCol}"/>
        <s v="https://wmts.nlsc.gov.tw/wmts/TOPO01K_F35/{Style}/{TileMatrixSet}/{TileMatrix}/{TileRow}/{TileCol}"/>
        <s v="https://wmts.nlsc.gov.tw/wmts/TOPO01K_F36/{Style}/{TileMatrixSet}/{TileMatrix}/{TileRow}/{TileCol}"/>
        <s v="https://wmts.nlsc.gov.tw/wmts/TOPO01K_F37/{Style}/{TileMatrixSet}/{TileMatrix}/{TileRow}/{TileCol}"/>
        <s v="https://wmts.nlsc.gov.tw/wmts/TOPO01K_F38/{Style}/{TileMatrixSet}/{TileMatrix}/{TileRow}/{TileCol}"/>
        <s v="https://wmts.nlsc.gov.tw/wmts/TOPO01K_F39/{Style}/{TileMatrixSet}/{TileMatrix}/{TileRow}/{TileCol}"/>
        <s v="https://wmts.nlsc.gov.tw/wmts/TOPO01K_F40/{Style}/{TileMatrixSet}/{TileMatrix}/{TileRow}/{TileCol}"/>
        <s v="https://wmts.nlsc.gov.tw/wmts/TOPO01K_F41/{Style}/{TileMatrixSet}/{TileMatrix}/{TileRow}/{TileCol}"/>
        <s v="https://wmts.nlsc.gov.tw/wmts/TOPO01K_F42/{Style}/{TileMatrixSet}/{TileMatrix}/{TileRow}/{TileCol}"/>
        <s v="https://wmts.nlsc.gov.tw/wmts/TOPO01K_F43/{Style}/{TileMatrixSet}/{TileMatrix}/{TileRow}/{TileCol}"/>
        <s v="https://wmts.nlsc.gov.tw/wmts/TOPO01K_F44/{Style}/{TileMatrixSet}/{TileMatrix}/{TileRow}/{TileCol}"/>
        <s v="https://wmts.nlsc.gov.tw/wmts/TOPO01K_F45/{Style}/{TileMatrixSet}/{TileMatrix}/{TileRow}/{TileCol}"/>
        <s v="https://wmts.nlsc.gov.tw/wmts/TOPO01K_F46/{Style}/{TileMatrixSet}/{TileMatrix}/{TileRow}/{TileCol}"/>
        <s v="https://wmts.nlsc.gov.tw/wmts/TOPO01K_F47/{Style}/{TileMatrixSet}/{TileMatrix}/{TileRow}/{TileCol}"/>
        <s v="https://wmts.nlsc.gov.tw/wmts/TOPO01K_F48/{Style}/{TileMatrixSet}/{TileMatrix}/{TileRow}/{TileCol}"/>
        <s v="https://wmts.nlsc.gov.tw/wmts/TOPO01K_F49/{Style}/{TileMatrixSet}/{TileMatrix}/{TileRow}/{TileCol}"/>
        <s v="https://wmts.nlsc.gov.tw/wmts/TOPO01K_F50/{Style}/{TileMatrixSet}/{TileMatrix}/{TileRow}/{TileCol}"/>
        <s v="https://wmts.nlsc.gov.tw/wmts/TOPO01K_F51/{Style}/{TileMatrixSet}/{TileMatrix}/{TileRow}/{TileCol}"/>
        <s v="https://wmts.nlsc.gov.tw/wmts/TOPO01K_F52/{Style}/{TileMatrixSet}/{TileMatrix}/{TileRow}/{TileCol}"/>
        <s v="https://wmts.nlsc.gov.tw/wmts/TOPO01K_F53/{Style}/{TileMatrixSet}/{TileMatrix}/{TileRow}/{TileCol}"/>
        <s v="https://wmts.nlsc.gov.tw/wmts/TOPO01K_F54/{Style}/{TileMatrixSet}/{TileMatrix}/{TileRow}/{TileCol}"/>
        <s v="https://wmts.nlsc.gov.tw/wmts/TOPO01K_F55/{Style}/{TileMatrixSet}/{TileMatrix}/{TileRow}/{TileCol}"/>
        <s v="https://wmts.nlsc.gov.tw/wmts/TOPO01K_F56/{Style}/{TileMatrixSet}/{TileMatrix}/{TileRow}/{TileCol}"/>
        <s v="https://wmts.nlsc.gov.tw/wmts/TOPO01K_G01/{Style}/{TileMatrixSet}/{TileMatrix}/{TileRow}/{TileCol}"/>
        <s v="https://wmts.nlsc.gov.tw/wmts/TOPO01K_G02/{Style}/{TileMatrixSet}/{TileMatrix}/{TileRow}/{TileCol}"/>
        <s v="https://wmts.nlsc.gov.tw/wmts/TOPO01K_G03/{Style}/{TileMatrixSet}/{TileMatrix}/{TileRow}/{TileCol}"/>
        <s v="https://wmts.nlsc.gov.tw/wmts/TOPO01K_G04/{Style}/{TileMatrixSet}/{TileMatrix}/{TileRow}/{TileCol}"/>
        <s v="https://wmts.nlsc.gov.tw/wmts/TOPO01K_G05/{Style}/{TileMatrixSet}/{TileMatrix}/{TileRow}/{TileCol}"/>
        <s v="https://wmts.nlsc.gov.tw/wmts/TOPO01K_G06/{Style}/{TileMatrixSet}/{TileMatrix}/{TileRow}/{TileCol}"/>
        <s v="https://wmts.nlsc.gov.tw/wmts/TOPO01K_G07/{Style}/{TileMatrixSet}/{TileMatrix}/{TileRow}/{TileCol}"/>
        <s v="https://wmts.nlsc.gov.tw/wmts/TOPO01K_G08/{Style}/{TileMatrixSet}/{TileMatrix}/{TileRow}/{TileCol}"/>
        <s v="https://wmts.nlsc.gov.tw/wmts/TOPO01K_G09/{Style}/{TileMatrixSet}/{TileMatrix}/{TileRow}/{TileCol}"/>
        <s v="https://wmts.nlsc.gov.tw/wmts/TOPO01K_G10/{Style}/{TileMatrixSet}/{TileMatrix}/{TileRow}/{TileCol}"/>
        <s v="https://wmts.nlsc.gov.tw/wmts/TOPO01K_G11/{Style}/{TileMatrixSet}/{TileMatrix}/{TileRow}/{TileCol}"/>
        <s v="https://wmts.nlsc.gov.tw/wmts/TOPO01K_G12/{Style}/{TileMatrixSet}/{TileMatrix}/{TileRow}/{TileCol}"/>
        <s v="https://wmts.nlsc.gov.tw/wmts/TOPO01K_G13/{Style}/{TileMatrixSet}/{TileMatrix}/{TileRow}/{TileCol}"/>
        <s v="https://wmts.nlsc.gov.tw/wmts/TOPO01K_G14/{Style}/{TileMatrixSet}/{TileMatrix}/{TileRow}/{TileCol}"/>
        <s v="https://wmts.nlsc.gov.tw/wmts/TOPO01K_G15/{Style}/{TileMatrixSet}/{TileMatrix}/{TileRow}/{TileCol}"/>
        <s v="https://wmts.nlsc.gov.tw/wmts/TOPO01K_H01/{Style}/{TileMatrixSet}/{TileMatrix}/{TileRow}/{TileCol}"/>
        <s v="https://wmts.nlsc.gov.tw/wmts/TOPO01K_H02/{Style}/{TileMatrixSet}/{TileMatrix}/{TileRow}/{TileCol}"/>
        <s v="https://wmts.nlsc.gov.tw/wmts/TOPO01K_H03/{Style}/{TileMatrixSet}/{TileMatrix}/{TileRow}/{TileCol}"/>
        <s v="https://wmts.nlsc.gov.tw/wmts/TOPO01K_H04/{Style}/{TileMatrixSet}/{TileMatrix}/{TileRow}/{TileCol}"/>
        <s v="https://wmts.nlsc.gov.tw/wmts/TOPO01K_H05/{Style}/{TileMatrixSet}/{TileMatrix}/{TileRow}/{TileCol}"/>
        <s v="https://wmts.nlsc.gov.tw/wmts/TOPO01K_H06/{Style}/{TileMatrixSet}/{TileMatrix}/{TileRow}/{TileCol}"/>
        <s v="https://wmts.nlsc.gov.tw/wmts/TOPO01K_H07/{Style}/{TileMatrixSet}/{TileMatrix}/{TileRow}/{TileCol}"/>
        <s v="https://wmts.nlsc.gov.tw/wmts/TOPO01K_H08/{Style}/{TileMatrixSet}/{TileMatrix}/{TileRow}/{TileCol}"/>
        <s v="https://wmts.nlsc.gov.tw/wmts/TOPO01K_H09/{Style}/{TileMatrixSet}/{TileMatrix}/{TileRow}/{TileCol}"/>
        <s v="https://wmts.nlsc.gov.tw/wmts/TOPO01K_H10/{Style}/{TileMatrixSet}/{TileMatrix}/{TileRow}/{TileCol}"/>
        <s v="https://wmts.nlsc.gov.tw/wmts/TOPO01K_H11/{Style}/{TileMatrixSet}/{TileMatrix}/{TileRow}/{TileCol}"/>
        <s v="https://wmts.nlsc.gov.tw/wmts/TOPO01K_H12/{Style}/{TileMatrixSet}/{TileMatrix}/{TileRow}/{TileCol}"/>
        <s v="https://wmts.nlsc.gov.tw/wmts/TOPO01K_H13/{Style}/{TileMatrixSet}/{TileMatrix}/{TileRow}/{TileCol}"/>
        <s v="https://wmts.nlsc.gov.tw/wmts/TOPO01K_H14/{Style}/{TileMatrixSet}/{TileMatrix}/{TileRow}/{TileCol}"/>
        <s v="https://wmts.nlsc.gov.tw/wmts/TOPO01K_H15/{Style}/{TileMatrixSet}/{TileMatrix}/{TileRow}/{TileCol}"/>
        <s v="https://wmts.nlsc.gov.tw/wmts/TOPO01K_H16/{Style}/{TileMatrixSet}/{TileMatrix}/{TileRow}/{TileCol}"/>
        <s v="https://wmts.nlsc.gov.tw/wmts/TOPO01K_H17/{Style}/{TileMatrixSet}/{TileMatrix}/{TileRow}/{TileCol}"/>
        <s v="https://wmts.nlsc.gov.tw/wmts/TOPO01K_H18/{Style}/{TileMatrixSet}/{TileMatrix}/{TileRow}/{TileCol}"/>
        <s v="https://wmts.nlsc.gov.tw/wmts/TOPO01K_H19/{Style}/{TileMatrixSet}/{TileMatrix}/{TileRow}/{TileCol}"/>
        <s v="https://wmts.nlsc.gov.tw/wmts/TOPO01K_H20/{Style}/{TileMatrixSet}/{TileMatrix}/{TileRow}/{TileCol}"/>
        <s v="https://wmts.nlsc.gov.tw/wmts/TOPO01K_H21/{Style}/{TileMatrixSet}/{TileMatrix}/{TileRow}/{TileCol}"/>
        <s v="https://wmts.nlsc.gov.tw/wmts/TOPO01K_H22/{Style}/{TileMatrixSet}/{TileMatrix}/{TileRow}/{TileCol}"/>
        <s v="https://wmts.nlsc.gov.tw/wmts/TOPO01K_H23/{Style}/{TileMatrixSet}/{TileMatrix}/{TileRow}/{TileCol}"/>
        <s v="https://wmts.nlsc.gov.tw/wmts/TOPO01K_H24/{Style}/{TileMatrixSet}/{TileMatrix}/{TileRow}/{TileCol}"/>
        <s v="https://wmts.nlsc.gov.tw/wmts/TOPO01K_H25/{Style}/{TileMatrixSet}/{TileMatrix}/{TileRow}/{TileCol}"/>
        <s v="https://wmts.nlsc.gov.tw/wmts/TOPO01K_H26/{Style}/{TileMatrixSet}/{TileMatrix}/{TileRow}/{TileCol}"/>
        <s v="https://wmts.nlsc.gov.tw/wmts/TOPO01K_H27/{Style}/{TileMatrixSet}/{TileMatrix}/{TileRow}/{TileCol}"/>
        <s v="https://wmts.nlsc.gov.tw/wmts/TOPO01K_H28/{Style}/{TileMatrixSet}/{TileMatrix}/{TileRow}/{TileCol}"/>
        <s v="https://wmts.nlsc.gov.tw/wmts/TOPO01K_H29/{Style}/{TileMatrixSet}/{TileMatrix}/{TileRow}/{TileCol}"/>
        <s v="https://wmts.nlsc.gov.tw/wmts/TOPO01K_H30/{Style}/{TileMatrixSet}/{TileMatrix}/{TileRow}/{TileCol}"/>
        <s v="https://wmts.nlsc.gov.tw/wmts/TOPO01K_H31/{Style}/{TileMatrixSet}/{TileMatrix}/{TileRow}/{TileCol}"/>
        <s v="https://wmts.nlsc.gov.tw/wmts/TOPO01K_H32/{Style}/{TileMatrixSet}/{TileMatrix}/{TileRow}/{TileCol}"/>
        <s v="https://wmts.nlsc.gov.tw/wmts/TOPO01K_H33/{Style}/{TileMatrixSet}/{TileMatrix}/{TileRow}/{TileCol}"/>
        <s v="https://wmts.nlsc.gov.tw/wmts/TOPO01K_H34/{Style}/{TileMatrixSet}/{TileMatrix}/{TileRow}/{TileCol}"/>
        <s v="https://wmts.nlsc.gov.tw/wmts/TOPO01K_H35/{Style}/{TileMatrixSet}/{TileMatrix}/{TileRow}/{TileCol}"/>
        <s v="https://wmts.nlsc.gov.tw/wmts/TOPO01K_H36/{Style}/{TileMatrixSet}/{TileMatrix}/{TileRow}/{TileCol}"/>
        <s v="https://wmts.nlsc.gov.tw/wmts/TOPO01K_H37/{Style}/{TileMatrixSet}/{TileMatrix}/{TileRow}/{TileCol}"/>
        <s v="https://wmts.nlsc.gov.tw/wmts/TOPO01K_H38/{Style}/{TileMatrixSet}/{TileMatrix}/{TileRow}/{TileCol}"/>
        <s v="https://wmts.nlsc.gov.tw/wmts/TOPO01K_H39/{Style}/{TileMatrixSet}/{TileMatrix}/{TileRow}/{TileCol}"/>
        <s v="https://wmts.nlsc.gov.tw/wmts/TOPO01K_H40/{Style}/{TileMatrixSet}/{TileMatrix}/{TileRow}/{TileCol}"/>
        <s v="https://wmts.nlsc.gov.tw/wmts/TOPO01K_H44/{Style}/{TileMatrixSet}/{TileMatrix}/{TileRow}/{TileCol}"/>
        <s v="https://wmts.nlsc.gov.tw/wmts/TOPO01K_J01/{Style}/{TileMatrixSet}/{TileMatrix}/{TileRow}/{TileCol}"/>
        <s v="https://wmts.nlsc.gov.tw/wmts/TOPO01K_J02/{Style}/{TileMatrixSet}/{TileMatrix}/{TileRow}/{TileCol}"/>
        <s v="https://wmts.nlsc.gov.tw/wmts/TOPO01K_J03/{Style}/{TileMatrixSet}/{TileMatrix}/{TileRow}/{TileCol}"/>
        <s v="https://wmts.nlsc.gov.tw/wmts/TOPO01K_J04/{Style}/{TileMatrixSet}/{TileMatrix}/{TileRow}/{TileCol}"/>
        <s v="https://wmts.nlsc.gov.tw/wmts/TOPO01K_J05/{Style}/{TileMatrixSet}/{TileMatrix}/{TileRow}/{TileCol}"/>
        <s v="https://wmts.nlsc.gov.tw/wmts/TOPO01K_J06/{Style}/{TileMatrixSet}/{TileMatrix}/{TileRow}/{TileCol}"/>
        <s v="https://wmts.nlsc.gov.tw/wmts/TOPO01K_J07/{Style}/{TileMatrixSet}/{TileMatrix}/{TileRow}/{TileCol}"/>
        <s v="https://wmts.nlsc.gov.tw/wmts/TOPO01K_J08/{Style}/{TileMatrixSet}/{TileMatrix}/{TileRow}/{TileCol}"/>
        <s v="https://wmts.nlsc.gov.tw/wmts/TOPO01K_J09/{Style}/{TileMatrixSet}/{TileMatrix}/{TileRow}/{TileCol}"/>
        <s v="https://wmts.nlsc.gov.tw/wmts/TOPO01K_J10/{Style}/{TileMatrixSet}/{TileMatrix}/{TileRow}/{TileCol}"/>
        <s v="https://wmts.nlsc.gov.tw/wmts/TOPO01K_K01/{Style}/{TileMatrixSet}/{TileMatrix}/{TileRow}/{TileCol}"/>
        <s v="https://wmts.nlsc.gov.tw/wmts/TOPO01K_K02/{Style}/{TileMatrixSet}/{TileMatrix}/{TileRow}/{TileCol}"/>
        <s v="https://wmts.nlsc.gov.tw/wmts/TOPO01K_K03/{Style}/{TileMatrixSet}/{TileMatrix}/{TileRow}/{TileCol}"/>
        <s v="https://wmts.nlsc.gov.tw/wmts/TOPO01K_K04/{Style}/{TileMatrixSet}/{TileMatrix}/{TileRow}/{TileCol}"/>
        <s v="https://wmts.nlsc.gov.tw/wmts/TOPO01K_K05/{Style}/{TileMatrixSet}/{TileMatrix}/{TileRow}/{TileCol}"/>
        <s v="https://wmts.nlsc.gov.tw/wmts/TOPO01K_K06/{Style}/{TileMatrixSet}/{TileMatrix}/{TileRow}/{TileCol}"/>
        <s v="https://wmts.nlsc.gov.tw/wmts/TOPO01K_K07/{Style}/{TileMatrixSet}/{TileMatrix}/{TileRow}/{TileCol}"/>
        <s v="https://wmts.nlsc.gov.tw/wmts/TOPO01K_K08/{Style}/{TileMatrixSet}/{TileMatrix}/{TileRow}/{TileCol}"/>
        <s v="https://wmts.nlsc.gov.tw/wmts/TOPO01K_K09/{Style}/{TileMatrixSet}/{TileMatrix}/{TileRow}/{TileCol}"/>
        <s v="https://wmts.nlsc.gov.tw/wmts/TOPO01K_K10/{Style}/{TileMatrixSet}/{TileMatrix}/{TileRow}/{TileCol}"/>
        <s v="https://wmts.nlsc.gov.tw/wmts/TOPO01K_K11/{Style}/{TileMatrixSet}/{TileMatrix}/{TileRow}/{TileCol}"/>
        <s v="https://wmts.nlsc.gov.tw/wmts/TOPO01K_K12/{Style}/{TileMatrixSet}/{TileMatrix}/{TileRow}/{TileCol}"/>
        <s v="https://wmts.nlsc.gov.tw/wmts/TOPO01K_K13/{Style}/{TileMatrixSet}/{TileMatrix}/{TileRow}/{TileCol}"/>
        <s v="https://wmts.nlsc.gov.tw/wmts/TOPO01K_K14/{Style}/{TileMatrixSet}/{TileMatrix}/{TileRow}/{TileCol}"/>
        <s v="https://wmts.nlsc.gov.tw/wmts/TOPO01K_K15/{Style}/{TileMatrixSet}/{TileMatrix}/{TileRow}/{TileCol}"/>
        <s v="https://wmts.nlsc.gov.tw/wmts/TOPO01K_K16/{Style}/{TileMatrixSet}/{TileMatrix}/{TileRow}/{TileCol}"/>
        <s v="https://wmts.nlsc.gov.tw/wmts/TOPO01K_K17/{Style}/{TileMatrixSet}/{TileMatrix}/{TileRow}/{TileCol}"/>
        <s v="https://wmts.nlsc.gov.tw/wmts/TOPO01K_K18/{Style}/{TileMatrixSet}/{TileMatrix}/{TileRow}/{TileCol}"/>
        <s v="https://wmts.nlsc.gov.tw/wmts/TOPO01K_M01/{Style}/{TileMatrixSet}/{TileMatrix}/{TileRow}/{TileCol}"/>
        <s v="https://wmts.nlsc.gov.tw/wmts/TOPO01K_M02/{Style}/{TileMatrixSet}/{TileMatrix}/{TileRow}/{TileCol}"/>
        <s v="https://wmts.nlsc.gov.tw/wmts/TOPO01K_M03/{Style}/{TileMatrixSet}/{TileMatrix}/{TileRow}/{TileCol}"/>
        <s v="https://wmts.nlsc.gov.tw/wmts/TOPO01K_M04/{Style}/{TileMatrixSet}/{TileMatrix}/{TileRow}/{TileCol}"/>
        <s v="https://wmts.nlsc.gov.tw/wmts/TOPO01K_M05/{Style}/{TileMatrixSet}/{TileMatrix}/{TileRow}/{TileCol}"/>
        <s v="https://wmts.nlsc.gov.tw/wmts/TOPO01K_M06/{Style}/{TileMatrixSet}/{TileMatrix}/{TileRow}/{TileCol}"/>
        <s v="https://wmts.nlsc.gov.tw/wmts/TOPO01K_M07/{Style}/{TileMatrixSet}/{TileMatrix}/{TileRow}/{TileCol}"/>
        <s v="https://wmts.nlsc.gov.tw/wmts/TOPO01K_M08/{Style}/{TileMatrixSet}/{TileMatrix}/{TileRow}/{TileCol}"/>
        <s v="https://wmts.nlsc.gov.tw/wmts/TOPO01K_M09/{Style}/{TileMatrixSet}/{TileMatrix}/{TileRow}/{TileCol}"/>
        <s v="https://wmts.nlsc.gov.tw/wmts/TOPO01K_M10/{Style}/{TileMatrixSet}/{TileMatrix}/{TileRow}/{TileCol}"/>
        <s v="https://wmts.nlsc.gov.tw/wmts/TOPO01K_M11/{Style}/{TileMatrixSet}/{TileMatrix}/{TileRow}/{TileCol}"/>
        <s v="https://wmts.nlsc.gov.tw/wmts/TOPO01K_M12/{Style}/{TileMatrixSet}/{TileMatrix}/{TileRow}/{TileCol}"/>
        <s v="https://wmts.nlsc.gov.tw/wmts/TOPO01K_M13/{Style}/{TileMatrixSet}/{TileMatrix}/{TileRow}/{TileCol}"/>
        <s v="https://wmts.nlsc.gov.tw/wmts/TOPO01K_M14/{Style}/{TileMatrixSet}/{TileMatrix}/{TileRow}/{TileCol}"/>
        <s v="https://wmts.nlsc.gov.tw/wmts/TOPO01K_M15/{Style}/{TileMatrixSet}/{TileMatrix}/{TileRow}/{TileCol}"/>
        <s v="https://wmts.nlsc.gov.tw/wmts/TOPO01K_M16/{Style}/{TileMatrixSet}/{TileMatrix}/{TileRow}/{TileCol}"/>
        <s v="https://wmts.nlsc.gov.tw/wmts/TOPO01K_M17/{Style}/{TileMatrixSet}/{TileMatrix}/{TileRow}/{TileCol}"/>
        <s v="https://wmts.nlsc.gov.tw/wmts/TOPO01K_M18/{Style}/{TileMatrixSet}/{TileMatrix}/{TileRow}/{TileCol}"/>
        <s v="https://wmts.nlsc.gov.tw/wmts/TOPO01K_M19/{Style}/{TileMatrixSet}/{TileMatrix}/{TileRow}/{TileCol}"/>
        <s v="https://wmts.nlsc.gov.tw/wmts/TOPO01K_M20/{Style}/{TileMatrixSet}/{TileMatrix}/{TileRow}/{TileCol}"/>
        <s v="https://wmts.nlsc.gov.tw/wmts/TOPO01K_M21/{Style}/{TileMatrixSet}/{TileMatrix}/{TileRow}/{TileCol}"/>
        <s v="https://wmts.nlsc.gov.tw/wmts/TOPO01K_M22/{Style}/{TileMatrixSet}/{TileMatrix}/{TileRow}/{TileCol}"/>
        <s v="https://wmts.nlsc.gov.tw/wmts/TOPO01K_N01/{Style}/{TileMatrixSet}/{TileMatrix}/{TileRow}/{TileCol}"/>
        <s v="https://wmts.nlsc.gov.tw/wmts/TOPO01K_N02/{Style}/{TileMatrixSet}/{TileMatrix}/{TileRow}/{TileCol}"/>
        <s v="https://wmts.nlsc.gov.tw/wmts/TOPO01K_N03/{Style}/{TileMatrixSet}/{TileMatrix}/{TileRow}/{TileCol}"/>
        <s v="https://wmts.nlsc.gov.tw/wmts/TOPO01K_N04/{Style}/{TileMatrixSet}/{TileMatrix}/{TileRow}/{TileCol}"/>
        <s v="https://wmts.nlsc.gov.tw/wmts/TOPO01K_N05/{Style}/{TileMatrixSet}/{TileMatrix}/{TileRow}/{TileCol}"/>
        <s v="https://wmts.nlsc.gov.tw/wmts/TOPO01K_N06/{Style}/{TileMatrixSet}/{TileMatrix}/{TileRow}/{TileCol}"/>
        <s v="https://wmts.nlsc.gov.tw/wmts/TOPO01K_N07/{Style}/{TileMatrixSet}/{TileMatrix}/{TileRow}/{TileCol}"/>
        <s v="https://wmts.nlsc.gov.tw/wmts/TOPO01K_N08/{Style}/{TileMatrixSet}/{TileMatrix}/{TileRow}/{TileCol}"/>
        <s v="https://wmts.nlsc.gov.tw/wmts/TOPO01K_N09/{Style}/{TileMatrixSet}/{TileMatrix}/{TileRow}/{TileCol}"/>
        <s v="https://wmts.nlsc.gov.tw/wmts/TOPO01K_N10/{Style}/{TileMatrixSet}/{TileMatrix}/{TileRow}/{TileCol}"/>
        <s v="https://wmts.nlsc.gov.tw/wmts/TOPO01K_N11/{Style}/{TileMatrixSet}/{TileMatrix}/{TileRow}/{TileCol}"/>
        <s v="https://wmts.nlsc.gov.tw/wmts/TOPO01K_N12/{Style}/{TileMatrixSet}/{TileMatrix}/{TileRow}/{TileCol}"/>
        <s v="https://wmts.nlsc.gov.tw/wmts/TOPO01K_N13/{Style}/{TileMatrixSet}/{TileMatrix}/{TileRow}/{TileCol}"/>
        <s v="https://wmts.nlsc.gov.tw/wmts/TOPO01K_N14/{Style}/{TileMatrixSet}/{TileMatrix}/{TileRow}/{TileCol}"/>
        <s v="https://wmts.nlsc.gov.tw/wmts/TOPO01K_N15/{Style}/{TileMatrixSet}/{TileMatrix}/{TileRow}/{TileCol}"/>
        <s v="https://wmts.nlsc.gov.tw/wmts/TOPO01K_N16/{Style}/{TileMatrixSet}/{TileMatrix}/{TileRow}/{TileCol}"/>
        <s v="https://wmts.nlsc.gov.tw/wmts/TOPO01K_N17/{Style}/{TileMatrixSet}/{TileMatrix}/{TileRow}/{TileCol}"/>
        <s v="https://wmts.nlsc.gov.tw/wmts/TOPO01K_N18/{Style}/{TileMatrixSet}/{TileMatrix}/{TileRow}/{TileCol}"/>
        <s v="https://wmts.nlsc.gov.tw/wmts/TOPO01K_N19/{Style}/{TileMatrixSet}/{TileMatrix}/{TileRow}/{TileCol}"/>
        <s v="https://wmts.nlsc.gov.tw/wmts/TOPO01K_N20/{Style}/{TileMatrixSet}/{TileMatrix}/{TileRow}/{TileCol}"/>
        <s v="https://wmts.nlsc.gov.tw/wmts/TOPO01K_N21/{Style}/{TileMatrixSet}/{TileMatrix}/{TileRow}/{TileCol}"/>
        <s v="https://wmts.nlsc.gov.tw/wmts/TOPO01K_N22/{Style}/{TileMatrixSet}/{TileMatrix}/{TileRow}/{TileCol}"/>
        <s v="https://wmts.nlsc.gov.tw/wmts/TOPO01K_N23/{Style}/{TileMatrixSet}/{TileMatrix}/{TileRow}/{TileCol}"/>
        <s v="https://wmts.nlsc.gov.tw/wmts/TOPO01K_N24/{Style}/{TileMatrixSet}/{TileMatrix}/{TileRow}/{TileCol}"/>
        <s v="https://wmts.nlsc.gov.tw/wmts/TOPO01K_N25/{Style}/{TileMatrixSet}/{TileMatrix}/{TileRow}/{TileCol}"/>
        <s v="https://wmts.nlsc.gov.tw/wmts/TOPO01K_N26/{Style}/{TileMatrixSet}/{TileMatrix}/{TileRow}/{TileCol}"/>
        <s v="https://wmts.nlsc.gov.tw/wmts/TOPO01K_N27/{Style}/{TileMatrixSet}/{TileMatrix}/{TileRow}/{TileCol}"/>
        <s v="https://wmts.nlsc.gov.tw/wmts/TOPO01K_N28/{Style}/{TileMatrixSet}/{TileMatrix}/{TileRow}/{TileCol}"/>
        <s v="https://wmts.nlsc.gov.tw/wmts/TOPO01K_N29/{Style}/{TileMatrixSet}/{TileMatrix}/{TileRow}/{TileCol}"/>
        <s v="https://wmts.nlsc.gov.tw/wmts/TOPO01K_N30/{Style}/{TileMatrixSet}/{TileMatrix}/{TileRow}/{TileCol}"/>
        <s v="https://wmts.nlsc.gov.tw/wmts/TOPO01K_N31/{Style}/{TileMatrixSet}/{TileMatrix}/{TileRow}/{TileCol}"/>
        <s v="https://wmts.nlsc.gov.tw/wmts/TOPO01K_N32/{Style}/{TileMatrixSet}/{TileMatrix}/{TileRow}/{TileCol}"/>
        <s v="https://wmts.nlsc.gov.tw/wmts/TOPO01K_N33/{Style}/{TileMatrixSet}/{TileMatrix}/{TileRow}/{TileCol}"/>
        <s v="https://wmts.nlsc.gov.tw/wmts/TOPO01K_N34/{Style}/{TileMatrixSet}/{TileMatrix}/{TileRow}/{TileCol}"/>
        <s v="https://wmts.nlsc.gov.tw/wmts/TOPO01K_N35/{Style}/{TileMatrixSet}/{TileMatrix}/{TileRow}/{TileCol}"/>
        <s v="https://wmts.nlsc.gov.tw/wmts/TOPO01K_O01/{Style}/{TileMatrixSet}/{TileMatrix}/{TileRow}/{TileCol}"/>
        <s v="https://wmts.nlsc.gov.tw/wmts/TOPO01K_O03/{Style}/{TileMatrixSet}/{TileMatrix}/{TileRow}/{TileCol}"/>
        <s v="https://wmts.nlsc.gov.tw/wmts/TOPO01K_O04/{Style}/{TileMatrixSet}/{TileMatrix}/{TileRow}/{TileCol}"/>
        <s v="https://wmts.nlsc.gov.tw/wmts/TOPO01K_O05/{Style}/{TileMatrixSet}/{TileMatrix}/{TileRow}/{TileCol}"/>
        <s v="https://wmts.nlsc.gov.tw/wmts/TOPO01K_O06/{Style}/{TileMatrixSet}/{TileMatrix}/{TileRow}/{TileCol}"/>
        <s v="https://wmts.nlsc.gov.tw/wmts/TOPO01K_O07/{Style}/{TileMatrixSet}/{TileMatrix}/{TileRow}/{TileCol}"/>
        <s v="https://wmts.nlsc.gov.tw/wmts/TOPO01K_O08/{Style}/{TileMatrixSet}/{TileMatrix}/{TileRow}/{TileCol}"/>
        <s v="https://wmts.nlsc.gov.tw/wmts/TOPO01K_P01/{Style}/{TileMatrixSet}/{TileMatrix}/{TileRow}/{TileCol}"/>
        <s v="https://wmts.nlsc.gov.tw/wmts/TOPO01K_P02/{Style}/{TileMatrixSet}/{TileMatrix}/{TileRow}/{TileCol}"/>
        <s v="https://wmts.nlsc.gov.tw/wmts/TOPO01K_P03/{Style}/{TileMatrixSet}/{TileMatrix}/{TileRow}/{TileCol}"/>
        <s v="https://wmts.nlsc.gov.tw/wmts/TOPO01K_P04/{Style}/{TileMatrixSet}/{TileMatrix}/{TileRow}/{TileCol}"/>
        <s v="https://wmts.nlsc.gov.tw/wmts/TOPO01K_P05/{Style}/{TileMatrixSet}/{TileMatrix}/{TileRow}/{TileCol}"/>
        <s v="https://wmts.nlsc.gov.tw/wmts/TOPO01K_P06/{Style}/{TileMatrixSet}/{TileMatrix}/{TileRow}/{TileCol}"/>
        <s v="https://wmts.nlsc.gov.tw/wmts/TOPO01K_P07/{Style}/{TileMatrixSet}/{TileMatrix}/{TileRow}/{TileCol}"/>
        <s v="https://wmts.nlsc.gov.tw/wmts/TOPO01K_P08/{Style}/{TileMatrixSet}/{TileMatrix}/{TileRow}/{TileCol}"/>
        <s v="https://wmts.nlsc.gov.tw/wmts/TOPO01K_P09/{Style}/{TileMatrixSet}/{TileMatrix}/{TileRow}/{TileCol}"/>
        <s v="https://wmts.nlsc.gov.tw/wmts/TOPO01K_P10/{Style}/{TileMatrixSet}/{TileMatrix}/{TileRow}/{TileCol}"/>
        <s v="https://wmts.nlsc.gov.tw/wmts/TOPO01K_P11/{Style}/{TileMatrixSet}/{TileMatrix}/{TileRow}/{TileCol}"/>
        <s v="https://wmts.nlsc.gov.tw/wmts/TOPO01K_P12/{Style}/{TileMatrixSet}/{TileMatrix}/{TileRow}/{TileCol}"/>
        <s v="https://wmts.nlsc.gov.tw/wmts/TOPO01K_P13/{Style}/{TileMatrixSet}/{TileMatrix}/{TileRow}/{TileCol}"/>
        <s v="https://wmts.nlsc.gov.tw/wmts/TOPO01K_P14/{Style}/{TileMatrixSet}/{TileMatrix}/{TileRow}/{TileCol}"/>
        <s v="https://wmts.nlsc.gov.tw/wmts/TOPO01K_P15/{Style}/{TileMatrixSet}/{TileMatrix}/{TileRow}/{TileCol}"/>
        <s v="https://wmts.nlsc.gov.tw/wmts/TOPO01K_Q01/{Style}/{TileMatrixSet}/{TileMatrix}/{TileRow}/{TileCol}"/>
        <s v="https://wmts.nlsc.gov.tw/wmts/TOPO01K_Q02/{Style}/{TileMatrixSet}/{TileMatrix}/{TileRow}/{TileCol}"/>
        <s v="https://wmts.nlsc.gov.tw/wmts/TOPO01K_Q03/{Style}/{TileMatrixSet}/{TileMatrix}/{TileRow}/{TileCol}"/>
        <s v="https://wmts.nlsc.gov.tw/wmts/TOPO01K_Q04/{Style}/{TileMatrixSet}/{TileMatrix}/{TileRow}/{TileCol}"/>
        <s v="https://wmts.nlsc.gov.tw/wmts/TOPO01K_Q05/{Style}/{TileMatrixSet}/{TileMatrix}/{TileRow}/{TileCol}"/>
        <s v="https://wmts.nlsc.gov.tw/wmts/TOPO01K_Q06/{Style}/{TileMatrixSet}/{TileMatrix}/{TileRow}/{TileCol}"/>
        <s v="https://wmts.nlsc.gov.tw/wmts/TOPO01K_Q07/{Style}/{TileMatrixSet}/{TileMatrix}/{TileRow}/{TileCol}"/>
        <s v="https://wmts.nlsc.gov.tw/wmts/TOPO01K_Q08/{Style}/{TileMatrixSet}/{TileMatrix}/{TileRow}/{TileCol}"/>
        <s v="https://wmts.nlsc.gov.tw/wmts/TOPO01K_Q09/{Style}/{TileMatrixSet}/{TileMatrix}/{TileRow}/{TileCol}"/>
        <s v="https://wmts.nlsc.gov.tw/wmts/TOPO01K_Q10/{Style}/{TileMatrixSet}/{TileMatrix}/{TileRow}/{TileCol}"/>
        <s v="https://wmts.nlsc.gov.tw/wmts/TOPO01K_Q11/{Style}/{TileMatrixSet}/{TileMatrix}/{TileRow}/{TileCol}"/>
        <s v="https://wmts.nlsc.gov.tw/wmts/TOPO01K_Q12/{Style}/{TileMatrixSet}/{TileMatrix}/{TileRow}/{TileCol}"/>
        <s v="https://wmts.nlsc.gov.tw/wmts/TOPO01K_Q13/{Style}/{TileMatrixSet}/{TileMatrix}/{TileRow}/{TileCol}"/>
        <s v="https://wmts.nlsc.gov.tw/wmts/TOPO01K_Q14/{Style}/{TileMatrixSet}/{TileMatrix}/{TileRow}/{TileCol}"/>
        <s v="https://wmts.nlsc.gov.tw/wmts/TOPO01K_Q15/{Style}/{TileMatrixSet}/{TileMatrix}/{TileRow}/{TileCol}"/>
        <s v="https://wmts.nlsc.gov.tw/wmts/TOPO01K_Q16/{Style}/{TileMatrixSet}/{TileMatrix}/{TileRow}/{TileCol}"/>
        <s v="https://wmts.nlsc.gov.tw/wmts/TOPO01K_Q17/{Style}/{TileMatrixSet}/{TileMatrix}/{TileRow}/{TileCol}"/>
        <s v="https://wmts.nlsc.gov.tw/wmts/TOPO01K_Q18/{Style}/{TileMatrixSet}/{TileMatrix}/{TileRow}/{TileCol}"/>
        <s v="https://wmts.nlsc.gov.tw/wmts/TOPO01K_Q19/{Style}/{TileMatrixSet}/{TileMatrix}/{TileRow}/{TileCol}"/>
        <s v="https://wmts.nlsc.gov.tw/wmts/TOPO01K_Q20/{Style}/{TileMatrixSet}/{TileMatrix}/{TileRow}/{TileCol}"/>
        <s v="https://wmts.nlsc.gov.tw/wmts/TOPO01K_Q21/{Style}/{TileMatrixSet}/{TileMatrix}/{TileRow}/{TileCol}"/>
        <s v="https://wmts.nlsc.gov.tw/wmts/TOPO01K_Q22/{Style}/{TileMatrixSet}/{TileMatrix}/{TileRow}/{TileCol}"/>
        <s v="https://wmts.nlsc.gov.tw/wmts/TOPO01K_Q23/{Style}/{TileMatrixSet}/{TileMatrix}/{TileRow}/{TileCol}"/>
        <s v="https://wmts.nlsc.gov.tw/wmts/TOPO01K_Q24/{Style}/{TileMatrixSet}/{TileMatrix}/{TileRow}/{TileCol}"/>
        <s v="https://wmts.nlsc.gov.tw/wmts/TOPO01K_Q25/{Style}/{TileMatrixSet}/{TileMatrix}/{TileRow}/{TileCol}"/>
        <s v="https://wmts.nlsc.gov.tw/wmts/TOPO01K_Q26/{Style}/{TileMatrixSet}/{TileMatrix}/{TileRow}/{TileCol}"/>
        <s v="https://wmts.nlsc.gov.tw/wmts/TOPO01K_Q27/{Style}/{TileMatrixSet}/{TileMatrix}/{TileRow}/{TileCol}"/>
        <s v="https://wmts.nlsc.gov.tw/wmts/TOPO01K_Q29/{Style}/{TileMatrixSet}/{TileMatrix}/{TileRow}/{TileCol}"/>
        <s v="https://wmts.nlsc.gov.tw/wmts/TOPO01K_T01/{Style}/{TileMatrixSet}/{TileMatrix}/{TileRow}/{TileCol}"/>
        <s v="https://wmts.nlsc.gov.tw/wmts/TOPO01K_T02/{Style}/{TileMatrixSet}/{TileMatrix}/{TileRow}/{TileCol}"/>
        <s v="https://wmts.nlsc.gov.tw/wmts/TOPO01K_T03/{Style}/{TileMatrixSet}/{TileMatrix}/{TileRow}/{TileCol}"/>
        <s v="https://wmts.nlsc.gov.tw/wmts/TOPO01K_T04/{Style}/{TileMatrixSet}/{TileMatrix}/{TileRow}/{TileCol}"/>
        <s v="https://wmts.nlsc.gov.tw/wmts/TOPO01K_T05/{Style}/{TileMatrixSet}/{TileMatrix}/{TileRow}/{TileCol}"/>
        <s v="https://wmts.nlsc.gov.tw/wmts/TOPO01K_T06/{Style}/{TileMatrixSet}/{TileMatrix}/{TileRow}/{TileCol}"/>
        <s v="https://wmts.nlsc.gov.tw/wmts/TOPO01K_T07/{Style}/{TileMatrixSet}/{TileMatrix}/{TileRow}/{TileCol}"/>
        <s v="https://wmts.nlsc.gov.tw/wmts/TOPO01K_T08/{Style}/{TileMatrixSet}/{TileMatrix}/{TileRow}/{TileCol}"/>
        <s v="https://wmts.nlsc.gov.tw/wmts/TOPO01K_T09/{Style}/{TileMatrixSet}/{TileMatrix}/{TileRow}/{TileCol}"/>
        <s v="https://wmts.nlsc.gov.tw/wmts/TOPO01K_T10/{Style}/{TileMatrixSet}/{TileMatrix}/{TileRow}/{TileCol}"/>
        <s v="https://wmts.nlsc.gov.tw/wmts/TOPO01K_T11/{Style}/{TileMatrixSet}/{TileMatrix}/{TileRow}/{TileCol}"/>
        <s v="https://wmts.nlsc.gov.tw/wmts/TOPO01K_T12/{Style}/{TileMatrixSet}/{TileMatrix}/{TileRow}/{TileCol}"/>
        <s v="https://wmts.nlsc.gov.tw/wmts/TOPO01K_T13/{Style}/{TileMatrixSet}/{TileMatrix}/{TileRow}/{TileCol}"/>
        <s v="https://wmts.nlsc.gov.tw/wmts/TOPO01K_T14/{Style}/{TileMatrixSet}/{TileMatrix}/{TileRow}/{TileCol}"/>
        <s v="https://wmts.nlsc.gov.tw/wmts/TOPO01K_T15/{Style}/{TileMatrixSet}/{TileMatrix}/{TileRow}/{TileCol}"/>
        <s v="https://wmts.nlsc.gov.tw/wmts/TOPO01K_T16/{Style}/{TileMatrixSet}/{TileMatrix}/{TileRow}/{TileCol}"/>
        <s v="https://wmts.nlsc.gov.tw/wmts/TOPO01K_T17/{Style}/{TileMatrixSet}/{TileMatrix}/{TileRow}/{TileCol}"/>
        <s v="https://wmts.nlsc.gov.tw/wmts/TOPO01K_T18/{Style}/{TileMatrixSet}/{TileMatrix}/{TileRow}/{TileCol}"/>
        <s v="https://wmts.nlsc.gov.tw/wmts/TOPO01K_T19/{Style}/{TileMatrixSet}/{TileMatrix}/{TileRow}/{TileCol}"/>
        <s v="https://wmts.nlsc.gov.tw/wmts/TOPO01K_T20/{Style}/{TileMatrixSet}/{TileMatrix}/{TileRow}/{TileCol}"/>
        <s v="https://wmts.nlsc.gov.tw/wmts/TOPO01K_T21/{Style}/{TileMatrixSet}/{TileMatrix}/{TileRow}/{TileCol}"/>
        <s v="https://wmts.nlsc.gov.tw/wmts/TOPO01K_T22/{Style}/{TileMatrixSet}/{TileMatrix}/{TileRow}/{TileCol}"/>
        <s v="https://wmts.nlsc.gov.tw/wmts/TOPO01K_T23/{Style}/{TileMatrixSet}/{TileMatrix}/{TileRow}/{TileCol}"/>
        <s v="https://wmts.nlsc.gov.tw/wmts/TOPO01K_T24/{Style}/{TileMatrixSet}/{TileMatrix}/{TileRow}/{TileCol}"/>
        <s v="https://wmts.nlsc.gov.tw/wmts/TOPO01K_T25/{Style}/{TileMatrixSet}/{TileMatrix}/{TileRow}/{TileCol}"/>
        <s v="https://wmts.nlsc.gov.tw/wmts/TOPO01K_T26/{Style}/{TileMatrixSet}/{TileMatrix}/{TileRow}/{TileCol}"/>
        <s v="https://wmts.nlsc.gov.tw/wmts/TOPO01K_T27/{Style}/{TileMatrixSet}/{TileMatrix}/{TileRow}/{TileCol}"/>
        <s v="https://wmts.nlsc.gov.tw/wmts/TOPO01K_T28/{Style}/{TileMatrixSet}/{TileMatrix}/{TileRow}/{TileCol}"/>
        <s v="https://wmts.nlsc.gov.tw/wmts/TOPO01K_T29/{Style}/{TileMatrixSet}/{TileMatrix}/{TileRow}/{TileCol}"/>
        <s v="https://wmts.nlsc.gov.tw/wmts/TOPO01K_T30/{Style}/{TileMatrixSet}/{TileMatrix}/{TileRow}/{TileCol}"/>
        <s v="https://wmts.nlsc.gov.tw/wmts/TOPO01K_T31/{Style}/{TileMatrixSet}/{TileMatrix}/{TileRow}/{TileCol}"/>
        <s v="https://wmts.nlsc.gov.tw/wmts/TOPO01K_T32/{Style}/{TileMatrixSet}/{TileMatrix}/{TileRow}/{TileCol}"/>
        <s v="https://wmts.nlsc.gov.tw/wmts/TOPO01K_U01/{Style}/{TileMatrixSet}/{TileMatrix}/{TileRow}/{TileCol}"/>
        <s v="https://wmts.nlsc.gov.tw/wmts/TOPO01K_U02/{Style}/{TileMatrixSet}/{TileMatrix}/{TileRow}/{TileCol}"/>
        <s v="https://wmts.nlsc.gov.tw/wmts/TOPO01K_U03/{Style}/{TileMatrixSet}/{TileMatrix}/{TileRow}/{TileCol}"/>
        <s v="https://wmts.nlsc.gov.tw/wmts/TOPO01K_U04/{Style}/{TileMatrixSet}/{TileMatrix}/{TileRow}/{TileCol}"/>
        <s v="https://wmts.nlsc.gov.tw/wmts/TOPO01K_U05/{Style}/{TileMatrixSet}/{TileMatrix}/{TileRow}/{TileCol}"/>
        <s v="https://wmts.nlsc.gov.tw/wmts/TOPO01K_U06/{Style}/{TileMatrixSet}/{TileMatrix}/{TileRow}/{TileCol}"/>
        <s v="https://wmts.nlsc.gov.tw/wmts/TOPO01K_U07/{Style}/{TileMatrixSet}/{TileMatrix}/{TileRow}/{TileCol}"/>
        <s v="https://wmts.nlsc.gov.tw/wmts/TOPO01K_U08/{Style}/{TileMatrixSet}/{TileMatrix}/{TileRow}/{TileCol}"/>
        <s v="https://wmts.nlsc.gov.tw/wmts/TOPO01K_U09/{Style}/{TileMatrixSet}/{TileMatrix}/{TileRow}/{TileCol}"/>
        <s v="https://wmts.nlsc.gov.tw/wmts/TOPO01K_U10/{Style}/{TileMatrixSet}/{TileMatrix}/{TileRow}/{TileCol}"/>
        <s v="https://wmts.nlsc.gov.tw/wmts/TOPO01K_U11/{Style}/{TileMatrixSet}/{TileMatrix}/{TileRow}/{TileCol}"/>
        <s v="https://wmts.nlsc.gov.tw/wmts/TOPO01K_U12/{Style}/{TileMatrixSet}/{TileMatrix}/{TileRow}/{TileCol}"/>
        <s v="https://wmts.nlsc.gov.tw/wmts/TOPO01K_U13/{Style}/{TileMatrixSet}/{TileMatrix}/{TileRow}/{TileCol}"/>
        <s v="https://wmts.nlsc.gov.tw/wmts/TOPO01K_U14/{Style}/{TileMatrixSet}/{TileMatrix}/{TileRow}/{TileCol}"/>
        <s v="https://wmts.nlsc.gov.tw/wmts/TOPO01K_U15/{Style}/{TileMatrixSet}/{TileMatrix}/{TileRow}/{TileCol}"/>
        <s v="https://wmts.nlsc.gov.tw/wmts/TOPO01K_U16/{Style}/{TileMatrixSet}/{TileMatrix}/{TileRow}/{TileCol}"/>
        <s v="https://wmts.nlsc.gov.tw/wmts/TOPO01K_U17/{Style}/{TileMatrixSet}/{TileMatrix}/{TileRow}/{TileCol}"/>
        <s v="https://wmts.nlsc.gov.tw/wmts/TOPO01K_U18/{Style}/{TileMatrixSet}/{TileMatrix}/{TileRow}/{TileCol}"/>
        <s v="https://wmts.nlsc.gov.tw/wmts/TOPO01K_U19/{Style}/{TileMatrixSet}/{TileMatrix}/{TileRow}/{TileCol}"/>
        <s v="https://wmts.nlsc.gov.tw/wmts/TOPO01K_U20/{Style}/{TileMatrixSet}/{TileMatrix}/{TileRow}/{TileCol}"/>
        <s v="https://wmts.nlsc.gov.tw/wmts/TOPO01K_U21/{Style}/{TileMatrixSet}/{TileMatrix}/{TileRow}/{TileCol}"/>
        <s v="https://wmts.nlsc.gov.tw/wmts/TOPO01K_U22/{Style}/{TileMatrixSet}/{TileMatrix}/{TileRow}/{TileCol}"/>
        <s v="https://wmts.nlsc.gov.tw/wmts/TOPO01K_U23/{Style}/{TileMatrixSet}/{TileMatrix}/{TileRow}/{TileCol}"/>
        <s v="https://wmts.nlsc.gov.tw/wmts/TOPO01K_U24/{Style}/{TileMatrixSet}/{TileMatrix}/{TileRow}/{TileCol}"/>
        <s v="https://wmts.nlsc.gov.tw/wmts/TOPO01K_U25/{Style}/{TileMatrixSet}/{TileMatrix}/{TileRow}/{TileCol}"/>
        <s v="https://wmts.nlsc.gov.tw/wmts/TOPO01K_U26/{Style}/{TileMatrixSet}/{TileMatrix}/{TileRow}/{TileCol}"/>
        <s v="https://wmts.nlsc.gov.tw/wmts/TOPO01K_V01/{Style}/{TileMatrixSet}/{TileMatrix}/{TileRow}/{TileCol}"/>
        <s v="https://wmts.nlsc.gov.tw/wmts/TOPO01K_V02/{Style}/{TileMatrixSet}/{TileMatrix}/{TileRow}/{TileCol}"/>
        <s v="https://wmts.nlsc.gov.tw/wmts/TOPO01K_V03/{Style}/{TileMatrixSet}/{TileMatrix}/{TileRow}/{TileCol}"/>
        <s v="https://wmts.nlsc.gov.tw/wmts/TOPO01K_V04/{Style}/{TileMatrixSet}/{TileMatrix}/{TileRow}/{TileCol}"/>
        <s v="https://wmts.nlsc.gov.tw/wmts/TOPO01K_V05/{Style}/{TileMatrixSet}/{TileMatrix}/{TileRow}/{TileCol}"/>
        <s v="https://wmts.nlsc.gov.tw/wmts/TOPO01K_V06/{Style}/{TileMatrixSet}/{TileMatrix}/{TileRow}/{TileCol}"/>
        <s v="https://wmts.nlsc.gov.tw/wmts/TOPO01K_V07/{Style}/{TileMatrixSet}/{TileMatrix}/{TileRow}/{TileCol}"/>
        <s v="https://wmts.nlsc.gov.tw/wmts/TOPO01K_V08/{Style}/{TileMatrixSet}/{TileMatrix}/{TileRow}/{TileCol}"/>
        <s v="https://wmts.nlsc.gov.tw/wmts/TOPO01K_V09/{Style}/{TileMatrixSet}/{TileMatrix}/{TileRow}/{TileCol}"/>
        <s v="https://wmts.nlsc.gov.tw/wmts/TOPO01K_V10/{Style}/{TileMatrixSet}/{TileMatrix}/{TileRow}/{TileCol}"/>
        <s v="https://wmts.nlsc.gov.tw/wmts/TOPO01K_V11/{Style}/{TileMatrixSet}/{TileMatrix}/{TileRow}/{TileCol}"/>
        <s v="https://wmts.nlsc.gov.tw/wmts/TOPO01K_V12/{Style}/{TileMatrixSet}/{TileMatrix}/{TileRow}/{TileCol}"/>
        <s v="https://wmts.nlsc.gov.tw/wmts/TOPO01K_V13/{Style}/{TileMatrixSet}/{TileMatrix}/{TileRow}/{TileCol}"/>
        <s v="https://wmts.nlsc.gov.tw/wmts/TOPO01K_V14/{Style}/{TileMatrixSet}/{TileMatrix}/{TileRow}/{TileCol}"/>
        <s v="https://wmts.nlsc.gov.tw/wmts/TOPO01K_V15/{Style}/{TileMatrixSet}/{TileMatrix}/{TileRow}/{TileCol}"/>
        <s v="https://wmts.nlsc.gov.tw/wmts/TOPO01K_V16/{Style}/{TileMatrixSet}/{TileMatrix}/{TileRow}/{TileCol}"/>
        <s v="https://wmts.nlsc.gov.tw/wmts/TOPO01K_V17/{Style}/{TileMatrixSet}/{TileMatrix}/{TileRow}/{TileCol}"/>
        <s v="https://wmts.nlsc.gov.tw/wmts/TOPO01K_V18/{Style}/{TileMatrixSet}/{TileMatrix}/{TileRow}/{TileCol}"/>
        <s v="https://wmts.nlsc.gov.tw/wmts/TOPO01K_V19/{Style}/{TileMatrixSet}/{TileMatrix}/{TileRow}/{TileCol}"/>
        <s v="https://wmts.nlsc.gov.tw/wmts/TOPO01K_V20/{Style}/{TileMatrixSet}/{TileMatrix}/{TileRow}/{TileCol}"/>
        <s v="https://wmts.nlsc.gov.tw/wmts/TOPO01K_W01/{Style}/{TileMatrixSet}/{TileMatrix}/{TileRow}/{TileCol}"/>
        <s v="https://wmts.nlsc.gov.tw/wmts/TOPO01K_W02/{Style}/{TileMatrixSet}/{TileMatrix}/{TileRow}/{TileCol}"/>
        <s v="https://wmts.nlsc.gov.tw/wmts/TOPO01K_X01/{Style}/{TileMatrixSet}/{TileMatrix}/{TileRow}/{TileCol}"/>
        <s v="https://wmts.nlsc.gov.tw/wmts/TOPO01K_X02/{Style}/{TileMatrixSet}/{TileMatrix}/{TileRow}/{TileCol}"/>
        <s v="https://wmts.nlsc.gov.tw/wmts/TOPO01K_X03/{Style}/{TileMatrixSet}/{TileMatrix}/{TileRow}/{TileCol}"/>
        <s v="https://wmts.nlsc.gov.tw/wmts/TOPO01K_X04/{Style}/{TileMatrixSet}/{TileMatrix}/{TileRow}/{TileCol}"/>
        <s v="https://wmts.nlsc.gov.tw/wmts/TOPO01K_X05/{Style}/{TileMatrixSet}/{TileMatrix}/{TileRow}/{TileCol}"/>
        <s v="https://wmts.nlsc.gov.tw/wmts/TOPO01K_X06/{Style}/{TileMatrixSet}/{TileMatrix}/{TileRow}/{TileCol}"/>
        <s v="https://wmts.nlsc.gov.tw/wmts/TOPO01K_X07/{Style}/{TileMatrixSet}/{TileMatrix}/{TileRow}/{TileCol}"/>
        <s v="https://wmts.nlsc.gov.tw/wmts/TOPO01K_X08/{Style}/{TileMatrixSet}/{TileMatrix}/{TileRow}/{TileCol}"/>
        <s v="https://wmts.nlsc.gov.tw/wmts/TOPO01K_Z01/{Style}/{TileMatrixSet}/{TileMatrix}/{TileRow}/{TileCol}"/>
        <s v="https://wmts.nlsc.gov.tw/wmts/TOPO05K_100/{Style}/{TileMatrixSet}/{TileMatrix}/{TileRow}/{TileCol}"/>
        <s v="https://wmts.nlsc.gov.tw/wmts/TOPO05K_101/{Style}/{TileMatrixSet}/{TileMatrix}/{TileRow}/{TileCol}"/>
        <s v="https://wmts.nlsc.gov.tw/wmts/TOPO05K_102/{Style}/{TileMatrixSet}/{TileMatrix}/{TileRow}/{TileCol}"/>
        <s v="https://wmts.nlsc.gov.tw/wmts/TOPO05K_103/{Style}/{TileMatrixSet}/{TileMatrix}/{TileRow}/{TileCol}"/>
        <s v="https://wmts.nlsc.gov.tw/wmts/TOPO05K_104/{Style}/{TileMatrixSet}/{TileMatrix}/{TileRow}/{TileCol}"/>
        <s v="https://wmts.nlsc.gov.tw/wmts/TOPO05K_105/{Style}/{TileMatrixSet}/{TileMatrix}/{TileRow}/{TileCol}"/>
        <s v="https://wmts.nlsc.gov.tw/wmts/TOPO05K_106/{Style}/{TileMatrixSet}/{TileMatrix}/{TileRow}/{TileCol}"/>
        <s v="https://wmts.nlsc.gov.tw/wmts/TOPO05K_107/{Style}/{TileMatrixSet}/{TileMatrix}/{TileRow}/{TileCol}"/>
        <s v="https://wmts.nlsc.gov.tw/wmts/TOPO05K_108/{Style}/{TileMatrixSet}/{TileMatrix}/{TileRow}/{TileCol}"/>
        <s v="https://wmts.nlsc.gov.tw/wmts/TOPO05K_109/{Style}/{TileMatrixSet}/{TileMatrix}/{TileRow}/{TileCol}"/>
        <s v="https://wmts.nlsc.gov.tw/wmts/TOPO05K_110/{Style}/{TileMatrixSet}/{TileMatrix}/{TileRow}/{TileCol}"/>
        <s v="https://wmts.nlsc.gov.tw/wmts/TOPO05K_111/{Style}/{TileMatrixSet}/{TileMatrix}/{TileRow}/{TileCol}"/>
        <s v="https://wmts.nlsc.gov.tw/wmts/TOPO05K_84/{Style}/{TileMatrixSet}/{TileMatrix}/{TileRow}/{TileCol}"/>
        <s v="https://wmts.nlsc.gov.tw/wmts/TOPO05K_86/{Style}/{TileMatrixSet}/{TileMatrix}/{TileRow}/{TileCol}"/>
        <s v="https://wmts.nlsc.gov.tw/wmts/TOPO05K_87/{Style}/{TileMatrixSet}/{TileMatrix}/{TileRow}/{TileCol}"/>
        <s v="https://wmts.nlsc.gov.tw/wmts/TOPO05K_88/{Style}/{TileMatrixSet}/{TileMatrix}/{TileRow}/{TileCol}"/>
        <s v="https://wmts.nlsc.gov.tw/wmts/TOPO05K_90/{Style}/{TileMatrixSet}/{TileMatrix}/{TileRow}/{TileCol}"/>
        <s v="https://wmts.nlsc.gov.tw/wmts/TOPO05K_91/{Style}/{TileMatrixSet}/{TileMatrix}/{TileRow}/{TileCol}"/>
        <s v="https://wmts.nlsc.gov.tw/wmts/TOPO05K_92/{Style}/{TileMatrixSet}/{TileMatrix}/{TileRow}/{TileCol}"/>
        <s v="https://wmts.nlsc.gov.tw/wmts/TOPO05K_96/{Style}/{TileMatrixSet}/{TileMatrix}/{TileRow}/{TileCol}"/>
        <s v="https://wmts.nlsc.gov.tw/wmts/TOPO05K_98/{Style}/{TileMatrixSet}/{TileMatrix}/{TileRow}/{TileCol}"/>
        <s v="https://wmts.nlsc.gov.tw/wmts/TOPO05K_99/{Style}/{TileMatrixSet}/{TileMatrix}/{TileRow}/{TileCol}"/>
        <s v="https://wmts.nlsc.gov.tw/wmts/TOPO05KPHOTO_065/{Style}/{TileMatrixSet}/{TileMatrix}/{TileRow}/{TileCol}"/>
        <s v="https://wmts.nlsc.gov.tw/wmts/TOPO05KPHOTO_066/{Style}/{TileMatrixSet}/{TileMatrix}/{TileRow}/{TileCol}"/>
        <s v="https://wmts.nlsc.gov.tw/wmts/TOPO05KPHOTO_067/{Style}/{TileMatrixSet}/{TileMatrix}/{TileRow}/{TileCol}"/>
        <s v="https://wmts.nlsc.gov.tw/wmts/TOPO05KPHOTO_068/{Style}/{TileMatrixSet}/{TileMatrix}/{TileRow}/{TileCol}"/>
        <s v="https://wmts.nlsc.gov.tw/wmts/TOPO05KPHOTO_069/{Style}/{TileMatrixSet}/{TileMatrix}/{TileRow}/{TileCol}"/>
        <s v="https://wmts.nlsc.gov.tw/wmts/TOPO05KPHOTO_070/{Style}/{TileMatrixSet}/{TileMatrix}/{TileRow}/{TileCol}"/>
        <s v="https://wmts.nlsc.gov.tw/wmts/TOPO05KPHOTO_071/{Style}/{TileMatrixSet}/{TileMatrix}/{TileRow}/{TileCol}"/>
        <s v="https://wmts.nlsc.gov.tw/wmts/TOPO05KPHOTO_072/{Style}/{TileMatrixSet}/{TileMatrix}/{TileRow}/{TileCol}"/>
        <s v="https://wmts.nlsc.gov.tw/wmts/TOPO05KPHOTO_073/{Style}/{TileMatrixSet}/{TileMatrix}/{TileRow}/{TileCol}"/>
        <s v="https://wmts.nlsc.gov.tw/wmts/TOPO05KPHOTO_074/{Style}/{TileMatrixSet}/{TileMatrix}/{TileRow}/{TileCol}"/>
        <s v="https://wmts.nlsc.gov.tw/wmts/TOPO05KPHOTO_075/{Style}/{TileMatrixSet}/{TileMatrix}/{TileRow}/{TileCol}"/>
        <s v="https://wmts.nlsc.gov.tw/wmts/TOPO05KPHOTO_076/{Style}/{TileMatrixSet}/{TileMatrix}/{TileRow}/{TileCol}"/>
        <s v="https://wmts.nlsc.gov.tw/wmts/TOPO05KPHOTO_078/{Style}/{TileMatrixSet}/{TileMatrix}/{TileRow}/{TileCol}"/>
        <s v="https://wmts.nlsc.gov.tw/wmts/TOPO05KPHOTO_079/{Style}/{TileMatrixSet}/{TileMatrix}/{TileRow}/{TileCol}"/>
        <s v="https://wmts.nlsc.gov.tw/wmts/TOPO05KPHOTO_080/{Style}/{TileMatrixSet}/{TileMatrix}/{TileRow}/{TileCol}"/>
        <s v="https://wmts.nlsc.gov.tw/wmts/TOPO05KPHOTO_081/{Style}/{TileMatrixSet}/{TileMatrix}/{TileRow}/{TileCol}"/>
        <s v="https://wmts.nlsc.gov.tw/wmts/TOPO05KPHOTO_083/{Style}/{TileMatrixSet}/{TileMatrix}/{TileRow}/{TileCol}"/>
        <s v="https://wmts.nlsc.gov.tw/wmts/TOPO05KPHOTO_084/{Style}/{TileMatrixSet}/{TileMatrix}/{TileRow}/{TileCol}"/>
        <s v="https://wmts.nlsc.gov.tw/wmts/TOPO05KPHOTO_086/{Style}/{TileMatrixSet}/{TileMatrix}/{TileRow}/{TileCol}"/>
        <s v="https://wmts.nlsc.gov.tw/wmts/TOPO05KPHOTO_087/{Style}/{TileMatrixSet}/{TileMatrix}/{TileRow}/{TileCol}"/>
        <s v="https://wmts.nlsc.gov.tw/wmts/TOPO05KPHOTO_088/{Style}/{TileMatrixSet}/{TileMatrix}/{TileRow}/{TileCol}"/>
        <s v="https://wmts.nlsc.gov.tw/wmts/TOPO05KPHOTO_089/{Style}/{TileMatrixSet}/{TileMatrix}/{TileRow}/{TileCol}"/>
        <s v="https://wmts.nlsc.gov.tw/wmts/TOPO05KPHOTO_090/{Style}/{TileMatrixSet}/{TileMatrix}/{TileRow}/{TileCol}"/>
        <s v="https://wmts.nlsc.gov.tw/wmts/TOPO05KPHOTO_091/{Style}/{TileMatrixSet}/{TileMatrix}/{TileRow}/{TileCol}"/>
        <s v="https://wmts.nlsc.gov.tw/wmts/TOPO05KPHOTO_092/{Style}/{TileMatrixSet}/{TileMatrix}/{TileRow}/{TileCol}"/>
        <s v="https://wmts.nlsc.gov.tw/wmts/TOPO05KPHOTO_093/{Style}/{TileMatrixSet}/{TileMatrix}/{TileRow}/{TileCol}"/>
        <s v="https://wmts.nlsc.gov.tw/wmts/TOPO05KPHOTO_094/{Style}/{TileMatrixSet}/{TileMatrix}/{TileRow}/{TileCol}"/>
        <s v="https://wmts.nlsc.gov.tw/wmts/TOPO05KPHOTO_095/{Style}/{TileMatrixSet}/{TileMatrix}/{TileRow}/{TileCol}"/>
        <s v="https://wmts.nlsc.gov.tw/wmts/TOPO05KPHOTO_096/{Style}/{TileMatrixSet}/{TileMatrix}/{TileRow}/{TileCol}"/>
        <s v="https://wmts.nlsc.gov.tw/wmts/TOPO05KPHOTO_097/{Style}/{TileMatrixSet}/{TileMatrix}/{TileRow}/{TileCol}"/>
        <s v="https://wmts.nlsc.gov.tw/wmts/TOPO05KPHOTO_098/{Style}/{TileMatrixSet}/{TileMatrix}/{TileRow}/{TileCol}"/>
        <s v="https://wmts.nlsc.gov.tw/wmts/TOPO05KPHOTO_099/{Style}/{TileMatrixSet}/{TileMatrix}/{TileRow}/{TileCol}"/>
        <s v="https://wmts.nlsc.gov.tw/wmts/TOPO05KPHOTO_100/{Style}/{TileMatrixSet}/{TileMatrix}/{TileRow}/{TileCol}"/>
        <s v="https://wmts.nlsc.gov.tw/wmts/TOPO05KPHOTO_101/{Style}/{TileMatrixSet}/{TileMatrix}/{TileRow}/{TileCol}"/>
        <s v="https://wmts.nlsc.gov.tw/wmts/TOPO05KPHOTO_102/{Style}/{TileMatrixSet}/{TileMatrix}/{TileRow}/{TileCol}"/>
        <s v="https://wmts.nlsc.gov.tw/wmts/TOPO05KPHOTO_103/{Style}/{TileMatrixSet}/{TileMatrix}/{TileRow}/{TileCol}"/>
        <s v="https://wmts.nlsc.gov.tw/wmts/TOPO05KPHOTO_104/{Style}/{TileMatrixSet}/{TileMatrix}/{TileRow}/{TileCol}"/>
        <s v="https://wmts.nlsc.gov.tw/wmts/TOPO05KPHOTO_105/{Style}/{TileMatrixSet}/{TileMatrix}/{TileRow}/{TileCol}"/>
        <s v="https://wmts.nlsc.gov.tw/wmts/TOPO05KPHOTO_106/{Style}/{TileMatrixSet}/{TileMatrix}/{TileRow}/{TileCol}"/>
        <s v="https://wmts.nlsc.gov.tw/wmts/TOPO05KPHOTO_107/{Style}/{TileMatrixSet}/{TileMatrix}/{TileRow}/{TileCol}"/>
        <s v="https://wmts.nlsc.gov.tw/wmts/TOPO05KPHOTO_108/{Style}/{TileMatrixSet}/{TileMatrix}/{TileRow}/{TileCol}"/>
        <s v="https://wmts.nlsc.gov.tw/wmts/TOPO05KPHOTO_109/{Style}/{TileMatrixSet}/{TileMatrix}/{TileRow}/{TileCol}"/>
        <s v="https://wmts.nlsc.gov.tw/wmts/TOPO05KPHOTO_110/{Style}/{TileMatrixSet}/{TileMatrix}/{TileRow}/{TileCol}"/>
        <s v="https://wmts.nlsc.gov.tw/wmts/TOPO05KPHOTO_111/{Style}/{TileMatrixSet}/{TileMatrix}/{TileRow}/{TileCol}"/>
        <s v="https://wmts.nlsc.gov.tw/wmts/TOPO05KPHOTO_112/{Style}/{TileMatrixSet}/{TileMatrix}/{TileRow}/{TileCol}"/>
        <s v="https://wmts.nlsc.gov.tw/wmts/TOPO05KPHOTO_113/{Style}/{TileMatrixSet}/{TileMatrix}/{TileRow}/{TileCol}"/>
        <s v="https://wmts.nlsc.gov.tw/wmts/TOPO05KPHOTO_114/{Style}/{TileMatrixSet}/{TileMatrix}/{TileRow}/{TileCol}"/>
        <s v="https://wmts.nlsc.gov.tw/wmts/TOPO10KPHOTO/{Style}/{TileMatrixSet}/{TileMatrix}/{TileRow}/{TileCol}"/>
        <s v="https://wmts.nlsc.gov.tw/wmts/TOPO10M_107/{Style}/{TileMatrixSet}/{TileMatrix}/{TileRow}/{TileCol}"/>
        <s v="https://wmts.nlsc.gov.tw/wmts/TOPO10M_109/{Style}/{TileMatrixSet}/{TileMatrix}/{TileRow}/{TileCol}"/>
        <s v="https://wmts.nlsc.gov.tw/wmts/TOPO10M_110/{Style}/{TileMatrixSet}/{TileMatrix}/{TileRow}/{TileCol}"/>
        <s v="https://wmts.nlsc.gov.tw/wmts/TOPO10M_111/{Style}/{TileMatrixSet}/{TileMatrix}/{TileRow}/{TileCol}"/>
        <s v="https://wmts.nlsc.gov.tw/wmts/TOPO10M_112/{Style}/{TileMatrixSet}/{TileMatrix}/{TileRow}/{TileCol}"/>
        <s v="https://wmts.nlsc.gov.tw/wmts/TOPO10M_113/{Style}/{TileMatrixSet}/{TileMatrix}/{TileRow}/{TileCol}"/>
        <s v="https://wmts.nlsc.gov.tw/wmts/TOPO10M_114/{Style}/{TileMatrixSet}/{TileMatrix}/{TileRow}/{TileCol}"/>
        <s v="https://wmts.nlsc.gov.tw/wmts/TOPO25K_107/{Style}/{TileMatrixSet}/{TileMatrix}/{TileRow}/{TileCol}"/>
        <s v="https://wmts.nlsc.gov.tw/wmts/TOPO25K_108/{Style}/{TileMatrixSet}/{TileMatrix}/{TileRow}/{TileCol}"/>
        <s v="https://wmts.nlsc.gov.tw/wmts/TOPO25K_109/{Style}/{TileMatrixSet}/{TileMatrix}/{TileRow}/{TileCol}"/>
        <s v="https://wmts.nlsc.gov.tw/wmts/TOPO25K_110/{Style}/{TileMatrixSet}/{TileMatrix}/{TileRow}/{TileCol}"/>
        <s v="https://wmts.nlsc.gov.tw/wmts/TOPO25K_111/{Style}/{TileMatrixSet}/{TileMatrix}/{TileRow}/{TileCol}"/>
        <s v="https://wmts.nlsc.gov.tw/wmts/TOPO25K_112/{Style}/{TileMatrixSet}/{TileMatrix}/{TileRow}/{TileCol}"/>
        <s v="https://wmts.nlsc.gov.tw/wmts/TOPO25K_113/{Style}/{TileMatrixSet}/{TileMatrix}/{TileRow}/{TileCol}"/>
        <s v="https://wmts.nlsc.gov.tw/wmts/TOPO25K_114/{Style}/{TileMatrixSet}/{TileMatrix}/{TileRow}/{TileCol}"/>
        <s v="https://wmts.nlsc.gov.tw/wmts/TOPO50K_107/{Style}/{TileMatrixSet}/{TileMatrix}/{TileRow}/{TileCol}"/>
        <s v="https://wmts.nlsc.gov.tw/wmts/TOPO50K_109/{Style}/{TileMatrixSet}/{TileMatrix}/{TileRow}/{TileCol}"/>
        <s v="https://wmts.nlsc.gov.tw/wmts/TOPO50K_110/{Style}/{TileMatrixSet}/{TileMatrix}/{TileRow}/{TileCol}"/>
        <s v="https://wmts.nlsc.gov.tw/wmts/TOPO50K_111/{Style}/{TileMatrixSet}/{TileMatrix}/{TileRow}/{TileCol}"/>
        <s v="https://wmts.nlsc.gov.tw/wmts/TOPO50K_112/{Style}/{TileMatrixSet}/{TileMatrix}/{TileRow}/{TileCol}"/>
        <s v="https://wmts.nlsc.gov.tw/wmts/TOPO50K_113/{Style}/{TileMatrixSet}/{TileMatrix}/{TileRow}/{TileCol}"/>
        <s v="https://wmts.nlsc.gov.tw/wmts/TOPON1KPHOTO_B04/{Style}/{TileMatrixSet}/{TileMatrix}/{TileRow}/{TileCol}"/>
        <s v="https://wmts.nlsc.gov.tw/wmts/TOPON1KPHOTO_B11/{Style}/{TileMatrixSet}/{TileMatrix}/{TileRow}/{TileCol}"/>
        <s v="https://wmts.nlsc.gov.tw/wmts/TOPON1KPHOTO_B14/{Style}/{TileMatrixSet}/{TileMatrix}/{TileRow}/{TileCol}"/>
        <s v="https://wmts.nlsc.gov.tw/wmts/TOPON1KPHOTO_B15/{Style}/{TileMatrixSet}/{TileMatrix}/{TileRow}/{TileCol}"/>
        <s v="https://wmts.nlsc.gov.tw/wmts/TOPON1KPHOTO_B20/{Style}/{TileMatrixSet}/{TileMatrix}/{TileRow}/{TileCol}"/>
        <s v="https://wmts.nlsc.gov.tw/wmts/TOPON1KPHOTO_B22/{Style}/{TileMatrixSet}/{TileMatrix}/{TileRow}/{TileCol}"/>
        <s v="https://wmts.nlsc.gov.tw/wmts/TOPON1KPHOTO_B25/{Style}/{TileMatrixSet}/{TileMatrix}/{TileRow}/{TileCol}"/>
        <s v="https://wmts.nlsc.gov.tw/wmts/TOPON1KPHOTO_D03/{Style}/{TileMatrixSet}/{TileMatrix}/{TileRow}/{TileCol}"/>
        <s v="https://wmts.nlsc.gov.tw/wmts/TOPON1KPHOTO_D04/{Style}/{TileMatrixSet}/{TileMatrix}/{TileRow}/{TileCol}"/>
        <s v="https://wmts.nlsc.gov.tw/wmts/TOPON1KPHOTO_D05/{Style}/{TileMatrixSet}/{TileMatrix}/{TileRow}/{TileCol}"/>
        <s v="https://wmts.nlsc.gov.tw/wmts/TOPON1KPHOTO_D08/{Style}/{TileMatrixSet}/{TileMatrix}/{TileRow}/{TileCol}"/>
        <s v="https://wmts.nlsc.gov.tw/wmts/TOPON1KPHOTO_D12/{Style}/{TileMatrixSet}/{TileMatrix}/{TileRow}/{TileCol}"/>
        <s v="https://wmts.nlsc.gov.tw/wmts/TOPON1KPHOTO_E02/{Style}/{TileMatrixSet}/{TileMatrix}/{TileRow}/{TileCol}"/>
        <s v="https://wmts.nlsc.gov.tw/wmts/TOPON1KPHOTO_E03/{Style}/{TileMatrixSet}/{TileMatrix}/{TileRow}/{TileCol}"/>
        <s v="https://wmts.nlsc.gov.tw/wmts/TOPON1KPHOTO_E32/{Style}/{TileMatrixSet}/{TileMatrix}/{TileRow}/{TileCol}"/>
        <s v="https://wmts.nlsc.gov.tw/wmts/TOPON1KPHOTO_G01/{Style}/{TileMatrixSet}/{TileMatrix}/{TileRow}/{TileCol}"/>
        <s v="https://wmts.nlsc.gov.tw/wmts/TOPON1KPHOTO_G04/{Style}/{TileMatrixSet}/{TileMatrix}/{TileRow}/{TileCol}"/>
        <s v="https://wmts.nlsc.gov.tw/wmts/TOPON1KPHOTO_G06/{Style}/{TileMatrixSet}/{TileMatrix}/{TileRow}/{TileCol}"/>
        <s v="https://wmts.nlsc.gov.tw/wmts/TOPON1KPHOTO_G09/{Style}/{TileMatrixSet}/{TileMatrix}/{TileRow}/{TileCol}"/>
        <s v="https://wmts.nlsc.gov.tw/wmts/TOPON1KPHOTO_G11/{Style}/{TileMatrixSet}/{TileMatrix}/{TileRow}/{TileCol}"/>
        <s v="https://wmts.nlsc.gov.tw/wmts/TOPON1KPHOTO_G15/{Style}/{TileMatrixSet}/{TileMatrix}/{TileRow}/{TileCol}"/>
        <s v="https://wmts.nlsc.gov.tw/wmts/TOPON1KPHOTO_G16/{Style}/{TileMatrixSet}/{TileMatrix}/{TileRow}/{TileCol}"/>
        <s v="https://wmts.nlsc.gov.tw/wmts/TOPON1KPHOTO_G17/{Style}/{TileMatrixSet}/{TileMatrix}/{TileRow}/{TileCol}"/>
        <s v="https://wmts.nlsc.gov.tw/wmts/TOPON1KPHOTO_G18/{Style}/{TileMatrixSet}/{TileMatrix}/{TileRow}/{TileCol}"/>
        <s v="https://wmts.nlsc.gov.tw/wmts/TOPON1KPHOTO_G19/{Style}/{TileMatrixSet}/{TileMatrix}/{TileRow}/{TileCol}"/>
        <s v="https://wmts.nlsc.gov.tw/wmts/TOPON1KPHOTO_G20/{Style}/{TileMatrixSet}/{TileMatrix}/{TileRow}/{TileCol}"/>
        <s v="https://wmts.nlsc.gov.tw/wmts/TOPON1KPHOTO_H18/{Style}/{TileMatrixSet}/{TileMatrix}/{TileRow}/{TileCol}"/>
        <s v="https://wmts.nlsc.gov.tw/wmts/TOPON1KPHOTO_H19/{Style}/{TileMatrixSet}/{TileMatrix}/{TileRow}/{TileCol}"/>
        <s v="https://wmts.nlsc.gov.tw/wmts/TOPON1KPHOTO_H20/{Style}/{TileMatrixSet}/{TileMatrix}/{TileRow}/{TileCol}"/>
        <s v="https://wmts.nlsc.gov.tw/wmts/TOPON1KPHOTO_H21/{Style}/{TileMatrixSet}/{TileMatrix}/{TileRow}/{TileCol}"/>
        <s v="https://wmts.nlsc.gov.tw/wmts/TOPON1KPHOTO_H31/{Style}/{TileMatrixSet}/{TileMatrix}/{TileRow}/{TileCol}"/>
        <s v="https://wmts.nlsc.gov.tw/wmts/TOPON1KPHOTO_J01/{Style}/{TileMatrixSet}/{TileMatrix}/{TileRow}/{TileCol}"/>
        <s v="https://wmts.nlsc.gov.tw/wmts/TOPON1KPHOTO_J06/{Style}/{TileMatrixSet}/{TileMatrix}/{TileRow}/{TileCol}"/>
        <s v="https://wmts.nlsc.gov.tw/wmts/TOPON1KPHOTO_J13/{Style}/{TileMatrixSet}/{TileMatrix}/{TileRow}/{TileCol}"/>
        <s v="https://wmts.nlsc.gov.tw/wmts/TOPON1KPHOTO_J16/{Style}/{TileMatrixSet}/{TileMatrix}/{TileRow}/{TileCol}"/>
        <s v="https://wmts.nlsc.gov.tw/wmts/TOPON1KPHOTO_J17/{Style}/{TileMatrixSet}/{TileMatrix}/{TileRow}/{TileCol}"/>
        <s v="https://wmts.nlsc.gov.tw/wmts/TOPON1KPHOTO_K01/{Style}/{TileMatrixSet}/{TileMatrix}/{TileRow}/{TileCol}"/>
        <s v="https://wmts.nlsc.gov.tw/wmts/TOPON1KPHOTO_K02/{Style}/{TileMatrixSet}/{TileMatrix}/{TileRow}/{TileCol}"/>
        <s v="https://wmts.nlsc.gov.tw/wmts/TOPON1KPHOTO_K14/{Style}/{TileMatrixSet}/{TileMatrix}/{TileRow}/{TileCol}"/>
        <s v="https://wmts.nlsc.gov.tw/wmts/TOPON1KPHOTO_M01/{Style}/{TileMatrixSet}/{TileMatrix}/{TileRow}/{TileCol}"/>
        <s v="https://wmts.nlsc.gov.tw/wmts/TOPON1KPHOTO_M02/{Style}/{TileMatrixSet}/{TileMatrix}/{TileRow}/{TileCol}"/>
        <s v="https://wmts.nlsc.gov.tw/wmts/TOPON1KPHOTO_M04/{Style}/{TileMatrixSet}/{TileMatrix}/{TileRow}/{TileCol}"/>
        <s v="https://wmts.nlsc.gov.tw/wmts/TOPON1KPHOTO_N01/{Style}/{TileMatrixSet}/{TileMatrix}/{TileRow}/{TileCol}"/>
        <s v="https://wmts.nlsc.gov.tw/wmts/TOPON1KPHOTO_N02/{Style}/{TileMatrixSet}/{TileMatrix}/{TileRow}/{TileCol}"/>
        <s v="https://wmts.nlsc.gov.tw/wmts/TOPON1KPHOTO_P01/{Style}/{TileMatrixSet}/{TileMatrix}/{TileRow}/{TileCol}"/>
        <s v="https://wmts.nlsc.gov.tw/wmts/TOPON1KPHOTO_P10/{Style}/{TileMatrixSet}/{TileMatrix}/{TileRow}/{TileCol}"/>
        <s v="https://wmts.nlsc.gov.tw/wmts/TOPON1KPHOTO_P12/{Style}/{TileMatrixSet}/{TileMatrix}/{TileRow}/{TileCol}"/>
        <s v="https://wmts.nlsc.gov.tw/wmts/TOPON1KPHOTO_P13/{Style}/{TileMatrixSet}/{TileMatrix}/{TileRow}/{TileCol}"/>
        <s v="https://wmts.nlsc.gov.tw/wmts/TOPON1KPHOTO_P22/{Style}/{TileMatrixSet}/{TileMatrix}/{TileRow}/{TileCol}"/>
        <s v="https://wmts.nlsc.gov.tw/wmts/TOPON1KPHOTO_P24/{Style}/{TileMatrixSet}/{TileMatrix}/{TileRow}/{TileCol}"/>
        <s v="https://wmts.nlsc.gov.tw/wmts/TOPON1KPHOTO_P25/{Style}/{TileMatrixSet}/{TileMatrix}/{TileRow}/{TileCol}"/>
        <s v="https://wmts.nlsc.gov.tw/wmts/TOPON1KPHOTO_Q02/{Style}/{TileMatrixSet}/{TileMatrix}/{TileRow}/{TileCol}"/>
        <s v="https://wmts.nlsc.gov.tw/wmts/TOPON1KPHOTO_Q06/{Style}/{TileMatrixSet}/{TileMatrix}/{TileRow}/{TileCol}"/>
        <s v="https://wmts.nlsc.gov.tw/wmts/TOPON1KPHOTO_Q07/{Style}/{TileMatrixSet}/{TileMatrix}/{TileRow}/{TileCol}"/>
        <s v="https://wmts.nlsc.gov.tw/wmts/TOPON1KPHOTO_Q19/{Style}/{TileMatrixSet}/{TileMatrix}/{TileRow}/{TileCol}"/>
        <s v="https://wmts.nlsc.gov.tw/wmts/TOPON1KPHOTO_Q21/{Style}/{TileMatrixSet}/{TileMatrix}/{TileRow}/{TileCol}"/>
        <s v="https://wmts.nlsc.gov.tw/wmts/TOPON1KPHOTO_Q22/{Style}/{TileMatrixSet}/{TileMatrix}/{TileRow}/{TileCol}"/>
        <s v="https://wmts.nlsc.gov.tw/wmts/TOPON1KPHOTO_Q26/{Style}/{TileMatrixSet}/{TileMatrix}/{TileRow}/{TileCol}"/>
        <s v="https://wmts.nlsc.gov.tw/wmts/TOPON1KPHOTO_Q27/{Style}/{TileMatrixSet}/{TileMatrix}/{TileRow}/{TileCol}"/>
        <s v="https://wmts.nlsc.gov.tw/wmts/TOPON1KPHOTO_Q28/{Style}/{TileMatrixSet}/{TileMatrix}/{TileRow}/{TileCol}"/>
        <s v="https://wmts.nlsc.gov.tw/wmts/TOPON1KPHOTO_Q29/{Style}/{TileMatrixSet}/{TileMatrix}/{TileRow}/{TileCol}"/>
        <s v="https://wmts.nlsc.gov.tw/wmts/TOPON1KPHOTO_Q30/{Style}/{TileMatrixSet}/{TileMatrix}/{TileRow}/{TileCol}"/>
        <s v="https://wmts.nlsc.gov.tw/wmts/TOPON1KPHOTO_Q31/{Style}/{TileMatrixSet}/{TileMatrix}/{TileRow}/{TileCol}"/>
        <s v="https://wmts.nlsc.gov.tw/wmts/TOPON1KPHOTO_T01/{Style}/{TileMatrixSet}/{TileMatrix}/{TileRow}/{TileCol}"/>
        <s v="https://wmts.nlsc.gov.tw/wmts/TOPON1KPHOTO_T03/{Style}/{TileMatrixSet}/{TileMatrix}/{TileRow}/{TileCol}"/>
        <s v="https://wmts.nlsc.gov.tw/wmts/TOPON1KPHOTO_T08/{Style}/{TileMatrixSet}/{TileMatrix}/{TileRow}/{TileCol}"/>
        <s v="https://wmts.nlsc.gov.tw/wmts/TOPON1KPHOTO_T20/{Style}/{TileMatrixSet}/{TileMatrix}/{TileRow}/{TileCol}"/>
        <s v="https://wmts.nlsc.gov.tw/wmts/TOPON1KPHOTO_T30/{Style}/{TileMatrixSet}/{TileMatrix}/{TileRow}/{TileCol}"/>
        <s v="https://wmts.nlsc.gov.tw/wmts/TOPON1KPHOTO_U20/{Style}/{TileMatrixSet}/{TileMatrix}/{TileRow}/{TileCol}"/>
        <s v="https://wmts.nlsc.gov.tw/wmts/TOPON1KPHOTO_V01/{Style}/{TileMatrixSet}/{TileMatrix}/{TileRow}/{TileCol}"/>
        <s v="https://wmts.nlsc.gov.tw/wmts/TOPON1KPHOTO_V02/{Style}/{TileMatrixSet}/{TileMatrix}/{TileRow}/{TileCol}"/>
        <s v="https://wmts.nlsc.gov.tw/wmts/TOPON1KPHOTO_X01/{Style}/{TileMatrixSet}/{TileMatrix}/{TileRow}/{TileCol}"/>
        <s v="https://wmts.nlsc.gov.tw/wmts/TOPON1KPHOTO_X02/{Style}/{TileMatrixSet}/{TileMatrix}/{TileRow}/{TileCol}"/>
        <s v="https://wmts.nlsc.gov.tw/wmts/TOPON1KPHOTO_X03/{Style}/{TileMatrixSet}/{TileMatrix}/{TileRow}/{TileCol}"/>
        <s v="https://wmts.nlsc.gov.tw/wmts/TOPON1KPHOTO_X04/{Style}/{TileMatrixSet}/{TileMatrix}/{TileRow}/{TileCol}"/>
        <s v="https://wmts.nlsc.gov.tw/wmts/TOPON1KPHOTO_X05/{Style}/{TileMatrixSet}/{TileMatrix}/{TileRow}/{TileCol}"/>
        <s v="https://wmts.nlsc.gov.tw/wmts/TOPON1KPHOTO_X06/{Style}/{TileMatrixSet}/{TileMatrix}/{TileRow}/{TileCol}"/>
        <s v="https://wmts.nlsc.gov.tw/wmts/TOPON1KPHOTO_X07/{Style}/{TileMatrixSet}/{TileMatrix}/{TileRow}/{TileCol}"/>
        <s v="https://wmts.nlsc.gov.tw/wmts/TOPON1KPHOTO_X08/{Style}/{TileMatrixSet}/{TileMatrix}/{TileRow}/{TileCol}"/>
        <s v="https://wmts.nlsc.gov.tw/wmts/TOWN/{Style}/{TileMatrixSet}/{TileMatrix}/{TileRow}/{TileCol}"/>
        <s v="https://wmts.nlsc.gov.tw/wmts/UAV101D01/{Style}/{TileMatrixSet}/{TileMatrix}/{TileRow}/{TileCol}"/>
        <s v="https://wmts.nlsc.gov.tw/wmts/UAV101D02/{Style}/{TileMatrixSet}/{TileMatrix}/{TileRow}/{TileCol}"/>
        <s v="https://wmts.nlsc.gov.tw/wmts/UAV101K01/{Style}/{TileMatrixSet}/{TileMatrix}/{TileRow}/{TileCol}"/>
        <s v="https://wmts.nlsc.gov.tw/wmts/UAV101K02/{Style}/{TileMatrixSet}/{TileMatrix}/{TileRow}/{TileCol}"/>
        <s v="https://wmts.nlsc.gov.tw/wmts/UAV101Q01/{Style}/{TileMatrixSet}/{TileMatrix}/{TileRow}/{TileCol}"/>
        <s v="https://wmts.nlsc.gov.tw/wmts/UAV101T01/{Style}/{TileMatrixSet}/{TileMatrix}/{TileRow}/{TileCol}"/>
        <s v="https://wmts.nlsc.gov.tw/wmts/UAV101U01/{Style}/{TileMatrixSet}/{TileMatrix}/{TileRow}/{TileCol}"/>
        <s v="https://wmts.nlsc.gov.tw/wmts/UAV101U02/{Style}/{TileMatrixSet}/{TileMatrix}/{TileRow}/{TileCol}"/>
        <s v="https://wmts.nlsc.gov.tw/wmts/UAV101V01/{Style}/{TileMatrixSet}/{TileMatrix}/{TileRow}/{TileCol}"/>
        <s v="https://wmts.nlsc.gov.tw/wmts/UAV102D01/{Style}/{TileMatrixSet}/{TileMatrix}/{TileRow}/{TileCol}"/>
        <s v="https://wmts.nlsc.gov.tw/wmts/UAV102D02/{Style}/{TileMatrixSet}/{TileMatrix}/{TileRow}/{TileCol}"/>
        <s v="https://wmts.nlsc.gov.tw/wmts/UAV102D03/{Style}/{TileMatrixSet}/{TileMatrix}/{TileRow}/{TileCol}"/>
        <s v="https://wmts.nlsc.gov.tw/wmts/UAV102H01/{Style}/{TileMatrixSet}/{TileMatrix}/{TileRow}/{TileCol}"/>
        <s v="https://wmts.nlsc.gov.tw/wmts/UAV102M01/{Style}/{TileMatrixSet}/{TileMatrix}/{TileRow}/{TileCol}"/>
        <s v="https://wmts.nlsc.gov.tw/wmts/UAV102N01/{Style}/{TileMatrixSet}/{TileMatrix}/{TileRow}/{TileCol}"/>
        <s v="https://wmts.nlsc.gov.tw/wmts/UAV102Q01/{Style}/{TileMatrixSet}/{TileMatrix}/{TileRow}/{TileCol}"/>
        <s v="https://wmts.nlsc.gov.tw/wmts/UAV102Q02/{Style}/{TileMatrixSet}/{TileMatrix}/{TileRow}/{TileCol}"/>
        <s v="https://wmts.nlsc.gov.tw/wmts/UAV102T01/{Style}/{TileMatrixSet}/{TileMatrix}/{TileRow}/{TileCol}"/>
        <s v="https://wmts.nlsc.gov.tw/wmts/UAV102T02/{Style}/{TileMatrixSet}/{TileMatrix}/{TileRow}/{TileCol}"/>
        <s v="https://wmts.nlsc.gov.tw/wmts/UAV102V01/{Style}/{TileMatrixSet}/{TileMatrix}/{TileRow}/{TileCol}"/>
        <s v="https://wmts.nlsc.gov.tw/wmts/UAV103D01/{Style}/{TileMatrixSet}/{TileMatrix}/{TileRow}/{TileCol}"/>
        <s v="https://wmts.nlsc.gov.tw/wmts/UAV103D03/{Style}/{TileMatrixSet}/{TileMatrix}/{TileRow}/{TileCol}"/>
        <s v="https://wmts.nlsc.gov.tw/wmts/UAV103D04/{Style}/{TileMatrixSet}/{TileMatrix}/{TileRow}/{TileCol}"/>
        <s v="https://wmts.nlsc.gov.tw/wmts/UAV103H01/{Style}/{TileMatrixSet}/{TileMatrix}/{TileRow}/{TileCol}"/>
        <s v="https://wmts.nlsc.gov.tw/wmts/UAV103K01/{Style}/{TileMatrixSet}/{TileMatrix}/{TileRow}/{TileCol}"/>
        <s v="https://wmts.nlsc.gov.tw/wmts/UAV103M01/{Style}/{TileMatrixSet}/{TileMatrix}/{TileRow}/{TileCol}"/>
        <s v="https://wmts.nlsc.gov.tw/wmts/UAV103M02/{Style}/{TileMatrixSet}/{TileMatrix}/{TileRow}/{TileCol}"/>
        <s v="https://wmts.nlsc.gov.tw/wmts/UAV103M03/{Style}/{TileMatrixSet}/{TileMatrix}/{TileRow}/{TileCol}"/>
        <s v="https://wmts.nlsc.gov.tw/wmts/UAV103M04/{Style}/{TileMatrixSet}/{TileMatrix}/{TileRow}/{TileCol}"/>
        <s v="https://wmts.nlsc.gov.tw/wmts/UAV103N01/{Style}/{TileMatrixSet}/{TileMatrix}/{TileRow}/{TileCol}"/>
        <s v="https://wmts.nlsc.gov.tw/wmts/UAV103P01/{Style}/{TileMatrixSet}/{TileMatrix}/{TileRow}/{TileCol}"/>
        <s v="https://wmts.nlsc.gov.tw/wmts/UAV103Q01/{Style}/{TileMatrixSet}/{TileMatrix}/{TileRow}/{TileCol}"/>
        <s v="https://wmts.nlsc.gov.tw/wmts/UAV103T01/{Style}/{TileMatrixSet}/{TileMatrix}/{TileRow}/{TileCol}"/>
        <s v="https://wmts.nlsc.gov.tw/wmts/UAV104D02/{Style}/{TileMatrixSet}/{TileMatrix}/{TileRow}/{TileCol}"/>
        <s v="https://wmts.nlsc.gov.tw/wmts/UAV104D03/{Style}/{TileMatrixSet}/{TileMatrix}/{TileRow}/{TileCol}"/>
        <s v="https://wmts.nlsc.gov.tw/wmts/UAV104D04/{Style}/{TileMatrixSet}/{TileMatrix}/{TileRow}/{TileCol}"/>
        <s v="https://wmts.nlsc.gov.tw/wmts/UAV104E01/{Style}/{TileMatrixSet}/{TileMatrix}/{TileRow}/{TileCol}"/>
        <s v="https://wmts.nlsc.gov.tw/wmts/UAV104E02/{Style}/{TileMatrixSet}/{TileMatrix}/{TileRow}/{TileCol}"/>
        <s v="https://wmts.nlsc.gov.tw/wmts/UAV104E03/{Style}/{TileMatrixSet}/{TileMatrix}/{TileRow}/{TileCol}"/>
        <s v="https://wmts.nlsc.gov.tw/wmts/UAV104K01/{Style}/{TileMatrixSet}/{TileMatrix}/{TileRow}/{TileCol}"/>
        <s v="https://wmts.nlsc.gov.tw/wmts/UAV104K02/{Style}/{TileMatrixSet}/{TileMatrix}/{TileRow}/{TileCol}"/>
        <s v="https://wmts.nlsc.gov.tw/wmts/UAV104N01/{Style}/{TileMatrixSet}/{TileMatrix}/{TileRow}/{TileCol}"/>
        <s v="https://wmts.nlsc.gov.tw/wmts/UAV104P01/{Style}/{TileMatrixSet}/{TileMatrix}/{TileRow}/{TileCol}"/>
        <s v="https://wmts.nlsc.gov.tw/wmts/UAV104T01/{Style}/{TileMatrixSet}/{TileMatrix}/{TileRow}/{TileCol}"/>
        <s v="https://wmts.nlsc.gov.tw/wmts/UAV105A01/{Style}/{TileMatrixSet}/{TileMatrix}/{TileRow}/{TileCol}"/>
        <s v="https://wmts.nlsc.gov.tw/wmts/UAV105A02/{Style}/{TileMatrixSet}/{TileMatrix}/{TileRow}/{TileCol}"/>
        <s v="https://wmts.nlsc.gov.tw/wmts/UAV105A03/{Style}/{TileMatrixSet}/{TileMatrix}/{TileRow}/{TileCol}"/>
        <s v="https://wmts.nlsc.gov.tw/wmts/UAV105B01/{Style}/{TileMatrixSet}/{TileMatrix}/{TileRow}/{TileCol}"/>
        <s v="https://wmts.nlsc.gov.tw/wmts/UAV105B02/{Style}/{TileMatrixSet}/{TileMatrix}/{TileRow}/{TileCol}"/>
        <s v="https://wmts.nlsc.gov.tw/wmts/UAV105B03/{Style}/{TileMatrixSet}/{TileMatrix}/{TileRow}/{TileCol}"/>
        <s v="https://wmts.nlsc.gov.tw/wmts/UAV105B04/{Style}/{TileMatrixSet}/{TileMatrix}/{TileRow}/{TileCol}"/>
        <s v="https://wmts.nlsc.gov.tw/wmts/UAV105B05/{Style}/{TileMatrixSet}/{TileMatrix}/{TileRow}/{TileCol}"/>
        <s v="https://wmts.nlsc.gov.tw/wmts/UAV105B06/{Style}/{TileMatrixSet}/{TileMatrix}/{TileRow}/{TileCol}"/>
        <s v="https://wmts.nlsc.gov.tw/wmts/UAV105B07/{Style}/{TileMatrixSet}/{TileMatrix}/{TileRow}/{TileCol}"/>
        <s v="https://wmts.nlsc.gov.tw/wmts/UAV105B08/{Style}/{TileMatrixSet}/{TileMatrix}/{TileRow}/{TileCol}"/>
        <s v="https://wmts.nlsc.gov.tw/wmts/UAV105B09/{Style}/{TileMatrixSet}/{TileMatrix}/{TileRow}/{TileCol}"/>
        <s v="https://wmts.nlsc.gov.tw/wmts/UAV105B10/{Style}/{TileMatrixSet}/{TileMatrix}/{TileRow}/{TileCol}"/>
        <s v="https://wmts.nlsc.gov.tw/wmts/UAV105B11/{Style}/{TileMatrixSet}/{TileMatrix}/{TileRow}/{TileCol}"/>
        <s v="https://wmts.nlsc.gov.tw/wmts/UAV105B12/{Style}/{TileMatrixSet}/{TileMatrix}/{TileRow}/{TileCol}"/>
        <s v="https://wmts.nlsc.gov.tw/wmts/UAV105B13/{Style}/{TileMatrixSet}/{TileMatrix}/{TileRow}/{TileCol}"/>
        <s v="https://wmts.nlsc.gov.tw/wmts/UAV105B14/{Style}/{TileMatrixSet}/{TileMatrix}/{TileRow}/{TileCol}"/>
        <s v="https://wmts.nlsc.gov.tw/wmts/UAV105B15/{Style}/{TileMatrixSet}/{TileMatrix}/{TileRow}/{TileCol}"/>
        <s v="https://wmts.nlsc.gov.tw/wmts/UAV105H01/{Style}/{TileMatrixSet}/{TileMatrix}/{TileRow}/{TileCol}"/>
        <s v="https://wmts.nlsc.gov.tw/wmts/UAV105H02/{Style}/{TileMatrixSet}/{TileMatrix}/{TileRow}/{TileCol}"/>
        <s v="https://wmts.nlsc.gov.tw/wmts/UAV105H03/{Style}/{TileMatrixSet}/{TileMatrix}/{TileRow}/{TileCol}"/>
        <s v="https://wmts.nlsc.gov.tw/wmts/UAV105H04/{Style}/{TileMatrixSet}/{TileMatrix}/{TileRow}/{TileCol}"/>
        <s v="https://wmts.nlsc.gov.tw/wmts/UAV105M01/{Style}/{TileMatrixSet}/{TileMatrix}/{TileRow}/{TileCol}"/>
        <s v="https://wmts.nlsc.gov.tw/wmts/UAV105M02/{Style}/{TileMatrixSet}/{TileMatrix}/{TileRow}/{TileCol}"/>
        <s v="https://wmts.nlsc.gov.tw/wmts/UAV105N01/{Style}/{TileMatrixSet}/{TileMatrix}/{TileRow}/{TileCol}"/>
        <s v="https://wmts.nlsc.gov.tw/wmts/UAV105O01/{Style}/{TileMatrixSet}/{TileMatrix}/{TileRow}/{TileCol}"/>
        <s v="https://wmts.nlsc.gov.tw/wmts/UAV105P01/{Style}/{TileMatrixSet}/{TileMatrix}/{TileRow}/{TileCol}"/>
        <s v="https://wmts.nlsc.gov.tw/wmts/UAV105P02/{Style}/{TileMatrixSet}/{TileMatrix}/{TileRow}/{TileCol}"/>
        <s v="https://wmts.nlsc.gov.tw/wmts/UAV105P03/{Style}/{TileMatrixSet}/{TileMatrix}/{TileRow}/{TileCol}"/>
        <s v="https://wmts.nlsc.gov.tw/wmts/UAV105U01/{Style}/{TileMatrixSet}/{TileMatrix}/{TileRow}/{TileCol}"/>
        <s v="https://wmts.nlsc.gov.tw/wmts/UAV106A01/{Style}/{TileMatrixSet}/{TileMatrix}/{TileRow}/{TileCol}"/>
        <s v="https://wmts.nlsc.gov.tw/wmts/UAV106A02/{Style}/{TileMatrixSet}/{TileMatrix}/{TileRow}/{TileCol}"/>
        <s v="https://wmts.nlsc.gov.tw/wmts/UAV106A03/{Style}/{TileMatrixSet}/{TileMatrix}/{TileRow}/{TileCol}"/>
        <s v="https://wmts.nlsc.gov.tw/wmts/UAV106D01/{Style}/{TileMatrixSet}/{TileMatrix}/{TileRow}/{TileCol}"/>
        <s v="https://wmts.nlsc.gov.tw/wmts/UAV106D02/{Style}/{TileMatrixSet}/{TileMatrix}/{TileRow}/{TileCol}"/>
        <s v="https://wmts.nlsc.gov.tw/wmts/UAV106D03/{Style}/{TileMatrixSet}/{TileMatrix}/{TileRow}/{TileCol}"/>
        <s v="https://wmts.nlsc.gov.tw/wmts/UAV106F01/{Style}/{TileMatrixSet}/{TileMatrix}/{TileRow}/{TileCol}"/>
        <s v="https://wmts.nlsc.gov.tw/wmts/UAV106F02/{Style}/{TileMatrixSet}/{TileMatrix}/{TileRow}/{TileCol}"/>
        <s v="https://wmts.nlsc.gov.tw/wmts/UAV106H01/{Style}/{TileMatrixSet}/{TileMatrix}/{TileRow}/{TileCol}"/>
        <s v="https://wmts.nlsc.gov.tw/wmts/UAV106H02/{Style}/{TileMatrixSet}/{TileMatrix}/{TileRow}/{TileCol}"/>
        <s v="https://wmts.nlsc.gov.tw/wmts/UAV106H03/{Style}/{TileMatrixSet}/{TileMatrix}/{TileRow}/{TileCol}"/>
        <s v="https://wmts.nlsc.gov.tw/wmts/UAV106I01/{Style}/{TileMatrixSet}/{TileMatrix}/{TileRow}/{TileCol}"/>
        <s v="https://wmts.nlsc.gov.tw/wmts/UAV106I02/{Style}/{TileMatrixSet}/{TileMatrix}/{TileRow}/{TileCol}"/>
        <s v="https://wmts.nlsc.gov.tw/wmts/UAV106K01/{Style}/{TileMatrixSet}/{TileMatrix}/{TileRow}/{TileCol}"/>
        <s v="https://wmts.nlsc.gov.tw/wmts/UAV106M01/{Style}/{TileMatrixSet}/{TileMatrix}/{TileRow}/{TileCol}"/>
        <s v="https://wmts.nlsc.gov.tw/wmts/UAV106N01/{Style}/{TileMatrixSet}/{TileMatrix}/{TileRow}/{TileCol}"/>
        <s v="https://wmts.nlsc.gov.tw/wmts/UAV106O01/{Style}/{TileMatrixSet}/{TileMatrix}/{TileRow}/{TileCol}"/>
        <s v="https://wmts.nlsc.gov.tw/wmts/UAV106P01/{Style}/{TileMatrixSet}/{TileMatrix}/{TileRow}/{TileCol}"/>
        <s v="https://wmts.nlsc.gov.tw/wmts/UAV106U01/{Style}/{TileMatrixSet}/{TileMatrix}/{TileRow}/{TileCol}"/>
        <s v="https://wmts.nlsc.gov.tw/wmts/UAV107A01/{Style}/{TileMatrixSet}/{TileMatrix}/{TileRow}/{TileCol}"/>
        <s v="https://wmts.nlsc.gov.tw/wmts/UAV107A02/{Style}/{TileMatrixSet}/{TileMatrix}/{TileRow}/{TileCol}"/>
        <s v="https://wmts.nlsc.gov.tw/wmts/UAV107A03/{Style}/{TileMatrixSet}/{TileMatrix}/{TileRow}/{TileCol}"/>
        <s v="https://wmts.nlsc.gov.tw/wmts/UAV107B01/{Style}/{TileMatrixSet}/{TileMatrix}/{TileRow}/{TileCol}"/>
        <s v="https://wmts.nlsc.gov.tw/wmts/UAV107B02/{Style}/{TileMatrixSet}/{TileMatrix}/{TileRow}/{TileCol}"/>
        <s v="https://wmts.nlsc.gov.tw/wmts/UAV107D01/{Style}/{TileMatrixSet}/{TileMatrix}/{TileRow}/{TileCol}"/>
        <s v="https://wmts.nlsc.gov.tw/wmts/UAV107F01/{Style}/{TileMatrixSet}/{TileMatrix}/{TileRow}/{TileCol}"/>
        <s v="https://wmts.nlsc.gov.tw/wmts/UAV107G01/{Style}/{TileMatrixSet}/{TileMatrix}/{TileRow}/{TileCol}"/>
        <s v="https://wmts.nlsc.gov.tw/wmts/UAV107J01/{Style}/{TileMatrixSet}/{TileMatrix}/{TileRow}/{TileCol}"/>
        <s v="https://wmts.nlsc.gov.tw/wmts/UAV107J02/{Style}/{TileMatrixSet}/{TileMatrix}/{TileRow}/{TileCol}"/>
        <s v="https://wmts.nlsc.gov.tw/wmts/UAV107K01/{Style}/{TileMatrixSet}/{TileMatrix}/{TileRow}/{TileCol}"/>
        <s v="https://wmts.nlsc.gov.tw/wmts/UAV107K02/{Style}/{TileMatrixSet}/{TileMatrix}/{TileRow}/{TileCol}"/>
        <s v="https://wmts.nlsc.gov.tw/wmts/UAV107O01/{Style}/{TileMatrixSet}/{TileMatrix}/{TileRow}/{TileCol}"/>
        <s v="https://wmts.nlsc.gov.tw/wmts/UAV107T01/{Style}/{TileMatrixSet}/{TileMatrix}/{TileRow}/{TileCol}"/>
        <s v="https://wmts.nlsc.gov.tw/wmts/UAV107T02/{Style}/{TileMatrixSet}/{TileMatrix}/{TileRow}/{TileCol}"/>
        <s v="https://wmts.nlsc.gov.tw/wmts/UAV108A01/{Style}/{TileMatrixSet}/{TileMatrix}/{TileRow}/{TileCol}"/>
        <s v="https://wmts.nlsc.gov.tw/wmts/UAV108A02/{Style}/{TileMatrixSet}/{TileMatrix}/{TileRow}/{TileCol}"/>
        <s v="https://wmts.nlsc.gov.tw/wmts/UAV108A03/{Style}/{TileMatrixSet}/{TileMatrix}/{TileRow}/{TileCol}"/>
        <s v="https://wmts.nlsc.gov.tw/wmts/UAV108B01/{Style}/{TileMatrixSet}/{TileMatrix}/{TileRow}/{TileCol}"/>
        <s v="https://wmts.nlsc.gov.tw/wmts/UAV108D01/{Style}/{TileMatrixSet}/{TileMatrix}/{TileRow}/{TileCol}"/>
        <s v="https://wmts.nlsc.gov.tw/wmts/UAV108D02/{Style}/{TileMatrixSet}/{TileMatrix}/{TileRow}/{TileCol}"/>
        <s v="https://wmts.nlsc.gov.tw/wmts/UAV108D03/{Style}/{TileMatrixSet}/{TileMatrix}/{TileRow}/{TileCol}"/>
        <s v="https://wmts.nlsc.gov.tw/wmts/UAV108D04/{Style}/{TileMatrixSet}/{TileMatrix}/{TileRow}/{TileCol}"/>
        <s v="https://wmts.nlsc.gov.tw/wmts/UAV108D05/{Style}/{TileMatrixSet}/{TileMatrix}/{TileRow}/{TileCol}"/>
        <s v="https://wmts.nlsc.gov.tw/wmts/UAV108E01/{Style}/{TileMatrixSet}/{TileMatrix}/{TileRow}/{TileCol}"/>
        <s v="https://wmts.nlsc.gov.tw/wmts/UAV108G01/{Style}/{TileMatrixSet}/{TileMatrix}/{TileRow}/{TileCol}"/>
        <s v="https://wmts.nlsc.gov.tw/wmts/UAV108Q01/{Style}/{TileMatrixSet}/{TileMatrix}/{TileRow}/{TileCol}"/>
        <s v="https://wmts.nlsc.gov.tw/wmts/UAV108Q02/{Style}/{TileMatrixSet}/{TileMatrix}/{TileRow}/{TileCol}"/>
        <s v="https://wmts.nlsc.gov.tw/wmts/UAV109A01/{Style}/{TileMatrixSet}/{TileMatrix}/{TileRow}/{TileCol}"/>
        <s v="https://wmts.nlsc.gov.tw/wmts/UAV109B01/{Style}/{TileMatrixSet}/{TileMatrix}/{TileRow}/{TileCol}"/>
        <s v="https://wmts.nlsc.gov.tw/wmts/UAV109D01/{Style}/{TileMatrixSet}/{TileMatrix}/{TileRow}/{TileCol}"/>
        <s v="https://wmts.nlsc.gov.tw/wmts/UAV109E01/{Style}/{TileMatrixSet}/{TileMatrix}/{TileRow}/{TileCol}"/>
        <s v="https://wmts.nlsc.gov.tw/wmts/UAV109K01/{Style}/{TileMatrixSet}/{TileMatrix}/{TileRow}/{TileCol}"/>
        <s v="https://wmts.nlsc.gov.tw/wmts/UAV109K02/{Style}/{TileMatrixSet}/{TileMatrix}/{TileRow}/{TileCol}"/>
        <s v="https://wmts.nlsc.gov.tw/wmts/UAV109P01/{Style}/{TileMatrixSet}/{TileMatrix}/{TileRow}/{TileCol}"/>
        <s v="https://wmts.nlsc.gov.tw/wmts/UAV109Q01/{Style}/{TileMatrixSet}/{TileMatrix}/{TileRow}/{TileCol}"/>
        <s v="https://wmts.nlsc.gov.tw/wmts/UAV109T01/{Style}/{TileMatrixSet}/{TileMatrix}/{TileRow}/{TileCol}"/>
        <s v="https://wmts.nlsc.gov.tw/wmts/UAV109T02/{Style}/{TileMatrixSet}/{TileMatrix}/{TileRow}/{TileCol}"/>
        <s v="https://wmts.nlsc.gov.tw/wmts/UAV109T03/{Style}/{TileMatrixSet}/{TileMatrix}/{TileRow}/{TileCol}"/>
        <s v="https://wmts.nlsc.gov.tw/wmts/UAV109U01/{Style}/{TileMatrixSet}/{TileMatrix}/{TileRow}/{TileCol}"/>
        <s v="https://wmts.nlsc.gov.tw/wmts/UAV109U02/{Style}/{TileMatrixSet}/{TileMatrix}/{TileRow}/{TileCol}"/>
        <s v="https://wmts.nlsc.gov.tw/wmts/UAV109U03/{Style}/{TileMatrixSet}/{TileMatrix}/{TileRow}/{TileCol}"/>
        <s v="https://wmts.nlsc.gov.tw/wmts/UAV110A01/{Style}/{TileMatrixSet}/{TileMatrix}/{TileRow}/{TileCol}"/>
        <s v="https://wmts.nlsc.gov.tw/wmts/UAV110B01/{Style}/{TileMatrixSet}/{TileMatrix}/{TileRow}/{TileCol}"/>
        <s v="https://wmts.nlsc.gov.tw/wmts/UAV110B02/{Style}/{TileMatrixSet}/{TileMatrix}/{TileRow}/{TileCol}"/>
        <s v="https://wmts.nlsc.gov.tw/wmts/UAV110B03/{Style}/{TileMatrixSet}/{TileMatrix}/{TileRow}/{TileCol}"/>
        <s v="https://wmts.nlsc.gov.tw/wmts/UAV110D01/{Style}/{TileMatrixSet}/{TileMatrix}/{TileRow}/{TileCol}"/>
        <s v="https://wmts.nlsc.gov.tw/wmts/UAV110D02/{Style}/{TileMatrixSet}/{TileMatrix}/{TileRow}/{TileCol}"/>
        <s v="https://wmts.nlsc.gov.tw/wmts/UAV110D03/{Style}/{TileMatrixSet}/{TileMatrix}/{TileRow}/{TileCol}"/>
        <s v="https://wmts.nlsc.gov.tw/wmts/UAV110D04/{Style}/{TileMatrixSet}/{TileMatrix}/{TileRow}/{TileCol}"/>
        <s v="https://wmts.nlsc.gov.tw/wmts/UAV110D05 /{Style}/{TileMatrixSet}/{TileMatrix}/{TileRow}/{TileCol}"/>
        <s v="https://wmts.nlsc.gov.tw/wmts/UAV110D06/{Style}/{TileMatrixSet}/{TileMatrix}/{TileRow}/{TileCol}"/>
        <s v="https://wmts.nlsc.gov.tw/wmts/UAV110D07 /{Style}/{TileMatrixSet}/{TileMatrix}/{TileRow}/{TileCol}"/>
        <s v="https://wmts.nlsc.gov.tw/wmts/UAV110D08 /{Style}/{TileMatrixSet}/{TileMatrix}/{TileRow}/{TileCol}"/>
        <s v="https://wmts.nlsc.gov.tw/wmts/UAV110E02/{Style}/{TileMatrixSet}/{TileMatrix}/{TileRow}/{TileCol}"/>
        <s v="https://wmts.nlsc.gov.tw/wmts/UAV110N01 /{Style}/{TileMatrixSet}/{TileMatrix}/{TileRow}/{TileCol}"/>
        <s v="https://wmts.nlsc.gov.tw/wmts/UAV110Q01/{Style}/{TileMatrixSet}/{TileMatrix}/{TileRow}/{TileCol}"/>
        <s v="https://wmts.nlsc.gov.tw/wmts/UAV110Q02/{Style}/{TileMatrixSet}/{TileMatrix}/{TileRow}/{TileCol}"/>
        <s v="https://wmts.nlsc.gov.tw/wmts/UAV111A02/{Style}/{TileMatrixSet}/{TileMatrix}/{TileRow}/{TileCol}"/>
        <s v="https://wmts.nlsc.gov.tw/wmts/UAV111A03 /{Style}/{TileMatrixSet}/{TileMatrix}/{TileRow}/{TileCol}"/>
        <s v="https://wmts.nlsc.gov.tw/wmts/UAV111A04/{Style}/{TileMatrixSet}/{TileMatrix}/{TileRow}/{TileCol}"/>
        <s v="https://wmts.nlsc.gov.tw/wmts/UAV111A05/{Style}/{TileMatrixSet}/{TileMatrix}/{TileRow}/{TileCol}"/>
        <s v="https://wmts.nlsc.gov.tw/wmts/UAV111A06 /{Style}/{TileMatrixSet}/{TileMatrix}/{TileRow}/{TileCol}"/>
        <s v="https://wmts.nlsc.gov.tw/wmts/UAV111D01/{Style}/{TileMatrixSet}/{TileMatrix}/{TileRow}/{TileCol}"/>
        <s v="https://wmts.nlsc.gov.tw/wmts/UAV111E01/{Style}/{TileMatrixSet}/{TileMatrix}/{TileRow}/{TileCol}"/>
        <s v="https://wmts.nlsc.gov.tw/wmts/UAV111J01/{Style}/{TileMatrixSet}/{TileMatrix}/{TileRow}/{TileCol}"/>
        <s v="https://wmts.nlsc.gov.tw/wmts/UAV111J02/{Style}/{TileMatrixSet}/{TileMatrix}/{TileRow}/{TileCol}"/>
        <s v="https://wmts.nlsc.gov.tw/wmts/UAV111J03/{Style}/{TileMatrixSet}/{TileMatrix}/{TileRow}/{TileCol}"/>
        <s v="https://wmts.nlsc.gov.tw/wmts/UAV111K01/{Style}/{TileMatrixSet}/{TileMatrix}/{TileRow}/{TileCol}"/>
        <s v="https://wmts.nlsc.gov.tw/wmts/UAV111K02/{Style}/{TileMatrixSet}/{TileMatrix}/{TileRow}/{TileCol}"/>
        <s v="https://wmts.nlsc.gov.tw/wmts/UAV111P01/{Style}/{TileMatrixSet}/{TileMatrix}/{TileRow}/{TileCol}"/>
        <s v="https://wmts.nlsc.gov.tw/wmts/UAV111P02/{Style}/{TileMatrixSet}/{TileMatrix}/{TileRow}/{TileCol}"/>
        <s v="https://wmts.nlsc.gov.tw/wmts/UAV111Q01/{Style}/{TileMatrixSet}/{TileMatrix}/{TileRow}/{TileCol}"/>
        <s v="https://wmts.nlsc.gov.tw/wmts/Village/{Style}/{TileMatrixSet}/{TileMatrix}/{TileRow}/{TileCol}"/>
        <s v="https://wmts.nlsc.gov.tw/wmts/Village201910/{Style}/{TileMatrixSet}/{TileMatrix}/{TileRow}/{TileCol}"/>
      </sharedItems>
    </cacheField>
    <cacheField name="URL需把{}換成英文的V" numFmtId="0">
      <sharedItems containsBlank="1" count="2">
        <s v="V"/>
        <m/>
      </sharedItems>
    </cacheField>
    <cacheField name="URL參數英文名稱" numFmtId="0">
      <sharedItems containsBlank="1" count="4">
        <s v="{3dbuildcode}"/>
        <s v="{3droadcode-orig}"/>
        <s v="{3droadcode-terfit}"/>
        <m/>
      </sharedItems>
    </cacheField>
    <cacheField name="列舉值需要代碼中文對照" numFmtId="0">
      <sharedItems containsBlank="1" count="2">
        <s v="V"/>
        <m/>
      </sharedItems>
    </cacheField>
    <cacheField name="服務代碼" numFmtId="0">
      <sharedItems count="1355">
        <s v="AddressQueryLand"/>
        <s v="AED"/>
        <s v="Asrs_2025_ortho"/>
        <s v="Asrs_20250925_1"/>
        <s v="Asrs_20250925_2"/>
        <s v="Asrs_20250925_3"/>
        <s v="Asrs_20250927_1"/>
        <s v="Asrs_20250927_2"/>
        <s v="Asrs_20250927_3"/>
        <s v="Asrs_20250928_1"/>
        <s v="Asrs_20250928_2"/>
        <s v="Asrs_20250929_1"/>
        <s v="Asrs_20250929_2"/>
        <s v="Asrs_20250930_1"/>
        <s v="Asrs_20250930_2"/>
        <s v="Asrs_20251001_1"/>
        <s v="Asrs_20251002_1"/>
        <s v="Asrs_20251002_2"/>
        <s v="Asrs_20251002_3"/>
        <s v="Asrs_20251003_1"/>
        <s v="Asrs_20251003_2"/>
        <s v="Asrs_20251003_3"/>
        <s v="Asrs_20251003_4"/>
        <s v="Asrs_20251003_5"/>
        <s v="Asrs_20251003_6"/>
        <s v="Asrs_20251003_7"/>
        <s v="Asrs_20251004_1"/>
        <s v="Asrs_20251004_2"/>
        <s v="Asrs_20251004_3"/>
        <s v="Asrs_20251005_1"/>
        <s v="Asrs_20251005_2"/>
        <s v="Asrs_20251005_3"/>
        <s v="Asrs_20251006_1"/>
        <s v="Asrs_20251006_2"/>
        <s v="Asrs_20251006_3"/>
        <s v="Asrs_20251007_1"/>
        <s v="Asrs_20251007_2"/>
        <s v="Asrs_20251007_3"/>
        <s v="Asrs_20251013_1"/>
        <s v="Asrs_20251013_2"/>
        <s v="Asrs_20251013_3"/>
        <s v="Asrs_20251013_4"/>
        <s v="Asrs_20251013_5"/>
        <s v="Asrs_20251013_6"/>
        <s v="Asrs_20251013_7"/>
        <s v="Asrs_20251013_8"/>
        <s v="Asrs_20251013_9"/>
        <s v="Asrs_20251116_1"/>
        <s v="Asrs_20251116_2"/>
        <s v="Asrs_20251116_3"/>
        <s v="Asrs_20251116_4"/>
        <s v="Asrs_20251116_5"/>
        <s v="Asrs_20251116_6"/>
        <s v="Asrs_20251116_7"/>
        <s v="Asrs_20251116_8"/>
        <s v="B100000"/>
        <s v="B25000"/>
        <s v="B5000"/>
        <s v="B50000"/>
        <s v="BAQueryBuilding"/>
        <s v="BAQueryBuildingAttributes"/>
        <s v="BAQueryBuildingDataSource"/>
        <s v="BAStatus"/>
        <s v="building"/>
        <s v="BUILDX"/>
        <s v="CadasAttrQuery_A"/>
        <s v="CadasAttrQuery_B"/>
        <s v="CadasAttrQuery_C"/>
        <s v="CadasAttrQuery_D"/>
        <s v="CadasAttrQuery_E"/>
        <s v="CadasAttrQuery_F"/>
        <s v="CadasAttrQuery_G"/>
        <s v="CadasAttrQuery_H"/>
        <s v="CadasAttrQuery_I"/>
        <s v="CadasAttrQuery_J"/>
        <s v="CadasAttrQuery_K"/>
        <s v="CadasAttrQuery_M"/>
        <s v="CadasAttrQuery_N"/>
        <s v="CadasAttrQuery_O"/>
        <s v="CadasAttrQuery_P"/>
        <s v="CadasAttrQuery_Q"/>
        <s v="CadasAttrQuery_T"/>
        <s v="CadasAttrQuery_U"/>
        <s v="CadasAttrQuery_V"/>
        <s v="CadasAttrQuery_W"/>
        <s v="CadasAttrQuery_X"/>
        <s v="CadasAttrQuery_Z"/>
        <s v="CadasLandInfo_A"/>
        <s v="CadasLandInfo_B"/>
        <s v="CadasLandInfo_C"/>
        <s v="CadasLandInfo_D"/>
        <s v="CadasLandInfo_E"/>
        <s v="CadasLandInfo_F"/>
        <s v="CadasLandInfo_G"/>
        <s v="CadasLandInfo_H"/>
        <s v="CadasLandInfo_I"/>
        <s v="CadasLandInfo_J"/>
        <s v="CadasLandInfo_K"/>
        <s v="CadasLandInfo_M"/>
        <s v="CadasLandInfo_N"/>
        <s v="CadasLandInfo_O"/>
        <s v="CadasLandInfo_P"/>
        <s v="CadasLandInfo_Q"/>
        <s v="CadasLandInfo_T"/>
        <s v="CadasLandInfo_U"/>
        <s v="CadasLandInfo_V"/>
        <s v="CadasLandInfo_W"/>
        <s v="CadasLandInfo_X"/>
        <s v="CadasLandInfo_Z"/>
        <s v="CadasLandNoQuery"/>
        <s v="CadasMapImage_A"/>
        <s v="CadasMapImage_B"/>
        <s v="CadasMapImage_C"/>
        <s v="CadasMapImage_D"/>
        <s v="CadasMapImage_E"/>
        <s v="CadasMapImage_F"/>
        <s v="CadasMapImage_G"/>
        <s v="CadasMapImage_H"/>
        <s v="CadasMapImage_I"/>
        <s v="CadasMapImage_J"/>
        <s v="CadasMapImage_K"/>
        <s v="CadasMapImage_M"/>
        <s v="CadasMapImage_N"/>
        <s v="CadasMapImage_O"/>
        <s v="CadasMapImage_P"/>
        <s v="CadasMapImage_Q"/>
        <s v="CadasMapImage_T"/>
        <s v="CadasMapImage_U"/>
        <s v="CadasMapImage_V"/>
        <s v="CadasMapImage_W"/>
        <s v="CadasMapImage_X"/>
        <s v="CadasMapImage_Z"/>
        <s v="CadasMapPointQuery"/>
        <s v="CadasMapPosition_A"/>
        <s v="CadasMapPosition_B"/>
        <s v="CadasMapPosition_C"/>
        <s v="CadasMapPosition_D"/>
        <s v="CadasMapPosition_E"/>
        <s v="CadasMapPosition_F"/>
        <s v="CadasMapPosition_G"/>
        <s v="CadasMapPosition_H"/>
        <s v="CadasMapPosition_I"/>
        <s v="CadasMapPosition_J"/>
        <s v="CadasMapPosition_K"/>
        <s v="CadasMapPosition_M"/>
        <s v="CadasMapPosition_N"/>
        <s v="CadasMapPosition_O"/>
        <s v="CadasMapPosition_P"/>
        <s v="CadasMapPosition_Q"/>
        <s v="CadasMapPosition_T"/>
        <s v="CadasMapPosition_U"/>
        <s v="CadasMapPosition_V"/>
        <s v="CadasMapPosition_W"/>
        <s v="CadasMapPosition_X"/>
        <s v="CadasMapPosition_Z"/>
        <s v="CadasMapQuery"/>
        <s v="CadasMerge"/>
        <s v="CITY"/>
        <s v="ConvenienceStore"/>
        <s v="DDEM05"/>
        <s v="DMAPS"/>
        <s v="EMAP"/>
        <s v="EMAP01"/>
        <s v="EMAP12"/>
        <s v="EMAP15"/>
        <s v="EMAP16"/>
        <s v="EMAP2"/>
        <s v="EMAP3825"/>
        <s v="EMAP3826"/>
        <s v="EMAP5"/>
        <s v="EMAP5_OPENDATA"/>
        <s v="EMAP6"/>
        <s v="EMAP6_OPENDATA"/>
        <s v="EMAP7"/>
        <s v="EMAP8"/>
        <s v="EMAP9"/>
        <s v="EMAP96"/>
        <s v="EMAP97"/>
        <s v="EMAP98"/>
        <s v="EMAPX99"/>
        <s v="fireplug"/>
        <s v="GeoSensitive"/>
        <s v="GeoSensitive2"/>
        <s v="GetLandNO"/>
        <s v="GetLandPositionLongitudeLatitude_A"/>
        <s v="GetLandPositionLongitudeLatitude_B"/>
        <s v="GetLandPositionLongitudeLatitude_C"/>
        <s v="GetLandPositionLongitudeLatitude_D"/>
        <s v="GetLandPositionLongitudeLatitude_E"/>
        <s v="GetLandPositionLongitudeLatitude_F"/>
        <s v="GetLandPositionLongitudeLatitude_G"/>
        <s v="GetLandPositionLongitudeLatitude_H"/>
        <s v="GetLandPositionLongitudeLatitude_I"/>
        <s v="GetLandPositionLongitudeLatitude_J"/>
        <s v="GetLandPositionLongitudeLatitude_K"/>
        <s v="GetLandPositionLongitudeLatitude_M"/>
        <s v="GetLandPositionLongitudeLatitude_N"/>
        <s v="GetLandPositionLongitudeLatitude_O"/>
        <s v="GetLandPositionLongitudeLatitude_P"/>
        <s v="GetLandPositionLongitudeLatitude_Q"/>
        <s v="GetLandPositionLongitudeLatitude_T"/>
        <s v="GetLandPositionLongitudeLatitude_U"/>
        <s v="GetLandPositionLongitudeLatitude_V"/>
        <s v="GetLandPositionLongitudeLatitude_W"/>
        <s v="GetLandPositionLongitudeLatitude_X"/>
        <s v="GetLandPositionLongitudeLatitude_Z"/>
        <s v="GetLandSecInfoNlsc_A"/>
        <s v="GetLandSecInfoNlsc_B"/>
        <s v="GetLandSecInfoNlsc_C"/>
        <s v="GetLandSecInfoNlsc_D"/>
        <s v="GetLandSecInfoNlsc_E"/>
        <s v="GetLandSecInfoNlsc_F"/>
        <s v="GetLandSecInfoNlsc_G"/>
        <s v="GetLandSecInfoNlsc_H"/>
        <s v="GetLandSecInfoNlsc_I"/>
        <s v="GetLandSecInfoNlsc_J"/>
        <s v="GetLandSecInfoNlsc_K"/>
        <s v="GetLandSecInfoNlsc_M"/>
        <s v="GetLandSecInfoNlsc_N"/>
        <s v="GetLandSecInfoNlsc_O"/>
        <s v="GetLandSecInfoNlsc_P"/>
        <s v="GetLandSecInfoNlsc_Q"/>
        <s v="GetLandSecInfoNlsc_T"/>
        <s v="GetLandSecInfoNlsc_U"/>
        <s v="GetLandSecInfoNlsc_V"/>
        <s v="GetLandSecInfoNlsc_W"/>
        <s v="GetLandSecInfoNlsc_X"/>
        <s v="GetLandSecInfoNlsc_Z"/>
        <s v="GetMapVillage"/>
        <s v="LAND_OPENDATA"/>
        <s v="LandOffice"/>
        <s v="LANDSECT"/>
        <s v="LANDSECT2"/>
        <s v="LandUseCompare"/>
        <s v="LandUsePointQuery"/>
        <s v="LandUsePointYears"/>
        <s v="LanSect"/>
        <s v="LineQueryAddr"/>
        <s v="ListCounty"/>
        <s v="ListLandSection_A"/>
        <s v="ListLandSection_B"/>
        <s v="ListLandSection_C"/>
        <s v="ListLandSection_D"/>
        <s v="ListLandSection_E"/>
        <s v="ListLandSection_F"/>
        <s v="ListLandSection_G"/>
        <s v="ListLandSection_H"/>
        <s v="ListLandSection_I"/>
        <s v="ListLandSection_J"/>
        <s v="ListLandSection_K"/>
        <s v="ListLandSection_M"/>
        <s v="ListLandSection_N"/>
        <s v="ListLandSection_O"/>
        <s v="ListLandSection_P"/>
        <s v="ListLandSection_Q"/>
        <s v="ListLandSection_T"/>
        <s v="ListLandSection_U"/>
        <s v="ListLandSection_V"/>
        <s v="ListLandSection_W"/>
        <s v="ListLandSection_X"/>
        <s v="ListLandSection_Z"/>
        <s v="ListRoad_A"/>
        <s v="ListRoad_B"/>
        <s v="ListRoad_C"/>
        <s v="ListRoad_D"/>
        <s v="ListRoad_E"/>
        <s v="ListRoad_F"/>
        <s v="ListRoad_G"/>
        <s v="ListRoad_H"/>
        <s v="ListRoad_I"/>
        <s v="ListRoad_J"/>
        <s v="ListRoad_K"/>
        <s v="ListRoad_M"/>
        <s v="ListRoad_N"/>
        <s v="ListRoad_O"/>
        <s v="ListRoad_P"/>
        <s v="ListRoad_Q"/>
        <s v="ListRoad_T"/>
        <s v="ListRoad_U"/>
        <s v="ListRoad_V"/>
        <s v="ListRoad_W"/>
        <s v="ListRoad_X"/>
        <s v="ListRoad_Z"/>
        <s v="ListRoadCross_A"/>
        <s v="ListRoadCross_B"/>
        <s v="ListRoadCross_C"/>
        <s v="ListRoadCross_D"/>
        <s v="ListRoadCross_E"/>
        <s v="ListRoadCross_F"/>
        <s v="ListRoadCross_G"/>
        <s v="ListRoadCross_H"/>
        <s v="ListRoadCross_I"/>
        <s v="ListRoadCross_J"/>
        <s v="ListRoadCross_K"/>
        <s v="ListRoadCross_M"/>
        <s v="ListRoadCross_N"/>
        <s v="ListRoadCross_O"/>
        <s v="ListRoadCross_P"/>
        <s v="ListRoadCross_Q"/>
        <s v="ListRoadCross_T"/>
        <s v="ListRoadCross_U"/>
        <s v="ListRoadCross_V"/>
        <s v="ListRoadCross_W"/>
        <s v="ListRoadCross_X"/>
        <s v="ListRoadCross_Z"/>
        <s v="ListRoadLaneAlley_A"/>
        <s v="ListRoadLaneAlley_B"/>
        <s v="ListRoadLaneAlley_C"/>
        <s v="ListRoadLaneAlley_D"/>
        <s v="ListRoadLaneAlley_E"/>
        <s v="ListRoadLaneAlley_F"/>
        <s v="ListRoadLaneAlley_G"/>
        <s v="ListRoadLaneAlley_H"/>
        <s v="ListRoadLaneAlley_I"/>
        <s v="ListRoadLaneAlley_J"/>
        <s v="ListRoadLaneAlley_K"/>
        <s v="ListRoadLaneAlley_M"/>
        <s v="ListRoadLaneAlley_N"/>
        <s v="ListRoadLaneAlley_O"/>
        <s v="ListRoadLaneAlley_P"/>
        <s v="ListRoadLaneAlley_Q"/>
        <s v="ListRoadLaneAlley_T"/>
        <s v="ListRoadLaneAlley_U"/>
        <s v="ListRoadLaneAlley_V"/>
        <s v="ListRoadLaneAlley_W"/>
        <s v="ListRoadLaneAlley_X"/>
        <s v="ListRoadLaneAlley_Z"/>
        <s v="ListRoadM_A"/>
        <s v="ListRoadM_B"/>
        <s v="ListRoadM_C"/>
        <s v="ListRoadM_D"/>
        <s v="ListRoadM_E"/>
        <s v="ListRoadM_F"/>
        <s v="ListRoadM_G"/>
        <s v="ListRoadM_H"/>
        <s v="ListRoadM_I"/>
        <s v="ListRoadM_J"/>
        <s v="ListRoadM_K"/>
        <s v="ListRoadM_M"/>
        <s v="ListRoadM_N"/>
        <s v="ListRoadM_O"/>
        <s v="ListRoadM_P"/>
        <s v="ListRoadM_Q"/>
        <s v="ListRoadM_T"/>
        <s v="ListRoadM_U"/>
        <s v="ListRoadM_V"/>
        <s v="ListRoadM_W"/>
        <s v="ListRoadM_X"/>
        <s v="ListRoadM_Z"/>
        <s v="ListTown_A"/>
        <s v="ListTown_B"/>
        <s v="ListTown_C"/>
        <s v="ListTown_D"/>
        <s v="ListTown_E"/>
        <s v="ListTown_F"/>
        <s v="ListTown_G"/>
        <s v="ListTown_H"/>
        <s v="ListTown_I"/>
        <s v="ListTown_J"/>
        <s v="ListTown_K"/>
        <s v="ListTown_M"/>
        <s v="ListTown_N"/>
        <s v="ListTown_O"/>
        <s v="ListTown_P"/>
        <s v="ListTown_Q"/>
        <s v="ListTown_T"/>
        <s v="ListTown_U"/>
        <s v="ListTown_V"/>
        <s v="ListTown_W"/>
        <s v="ListTown_X"/>
        <s v="ListTown_Z"/>
        <s v="ListTown1_A"/>
        <s v="ListTown1_B"/>
        <s v="ListTown1_C"/>
        <s v="ListTown1_D"/>
        <s v="ListTown1_E"/>
        <s v="ListTown1_F"/>
        <s v="ListTown1_G"/>
        <s v="ListTown1_H"/>
        <s v="ListTown1_I"/>
        <s v="ListTown1_J"/>
        <s v="ListTown1_K"/>
        <s v="ListTown1_M"/>
        <s v="ListTown1_N"/>
        <s v="ListTown1_O"/>
        <s v="ListTown1_P"/>
        <s v="ListTown1_Q"/>
        <s v="ListTown1_T"/>
        <s v="ListTown1_U"/>
        <s v="ListTown1_V"/>
        <s v="ListTown1_W"/>
        <s v="ListTown1_X"/>
        <s v="ListTown1_Z"/>
        <s v="ListVillage_A"/>
        <s v="ListVillage_B"/>
        <s v="ListVillage_C"/>
        <s v="ListVillage_D"/>
        <s v="ListVillage_E"/>
        <s v="ListVillage_F"/>
        <s v="ListVillage_G"/>
        <s v="ListVillage_H"/>
        <s v="ListVillage_I"/>
        <s v="ListVillage_J"/>
        <s v="ListVillage_K"/>
        <s v="ListVillage_M"/>
        <s v="ListVillage_N"/>
        <s v="ListVillage_O"/>
        <s v="ListVillage_P"/>
        <s v="ListVillage_Q"/>
        <s v="ListVillage_T"/>
        <s v="ListVillage_U"/>
        <s v="ListVillage_V"/>
        <s v="ListVillage_W"/>
        <s v="ListVillage_X"/>
        <s v="ListVillage_Z"/>
        <s v="LUIMAP"/>
        <s v="LUIMAP01"/>
        <s v="LUIMAP02"/>
        <s v="LUIMAP03"/>
        <s v="LUIMAP04"/>
        <s v="LUIMAP05"/>
        <s v="LUIMAP06"/>
        <s v="LUIMAP07"/>
        <s v="LUIMAP08"/>
        <s v="LUIMAP09"/>
        <s v="LUIMAP100"/>
        <s v="LUIMAP101"/>
        <s v="LUIMAP102"/>
        <s v="LUIMAP103"/>
        <s v="LUIMAP104"/>
        <s v="LUIMAP105"/>
        <s v="LUIMAP106"/>
        <s v="LUIMAP107"/>
        <s v="LUIMAP108"/>
        <s v="LUIMAP109"/>
        <s v="LUIMAP110"/>
        <s v="LUIMAP111"/>
        <s v="LUIMAP112"/>
        <s v="LUIMAP113"/>
        <s v="LUIMAP114"/>
        <s v="LUIMAP82"/>
        <s v="LUIMAP95"/>
        <s v="LUIMAP98"/>
        <s v="LUIMAP99"/>
        <s v="MarkBufferAnlysBus"/>
        <s v="MarkBufferAnlysDis"/>
        <s v="MarkBufferAnlysEdu"/>
        <s v="MarkBufferAnlysMed"/>
        <s v="MB5000"/>
        <s v="MOI_ASPECT"/>
        <s v="MOI_CONTOUR"/>
        <s v="MOI_CONTOUR_2"/>
        <s v="MOI_HILLSHADE"/>
        <s v="MOI_SHADERMAP"/>
        <s v="MOI_SLOPEP_GT30"/>
        <s v="MOI_SLOPEP_GT30_2"/>
        <s v="MOI_SLOPEP_LV7"/>
        <s v="MOI_SLOPEP_LV7_2"/>
        <s v="nURBAN1"/>
        <s v="nURBAN2"/>
        <s v="PBSQueryBuilding"/>
        <s v="PBSService"/>
        <s v="PBSStatus"/>
        <s v="PBSTRSelectByCircle"/>
        <s v="PBSTRSelectByPoint"/>
        <s v="PBSTRSelectByPolygon"/>
        <s v="PHOTO_MIX"/>
        <s v="PHOTO_VA"/>
        <s v="PHOTO1"/>
        <s v="PHOTO2"/>
        <s v="PHOTO2014"/>
        <s v="PHOTO2015"/>
        <s v="PHOTO2016"/>
        <s v="PHOTO2017"/>
        <s v="PHOTO2018"/>
        <s v="PHOTO2019"/>
        <s v="PHOTO2020"/>
        <s v="PHOTO2021"/>
        <s v="PHOTO2022"/>
        <s v="PHOTO2023"/>
        <s v="PHOTO2024"/>
        <s v="PHOTO2025"/>
        <s v="PHOTO3826"/>
        <s v="PointQueryAddr"/>
        <s v="PolygonQueryAddr"/>
        <s v="QryTileMapIndex1"/>
        <s v="QryTileMapIndex2"/>
        <s v="road"/>
        <s v="road2nd"/>
        <s v="RoutesNodes"/>
        <s v="RoutesQueryByDist"/>
        <s v="RoutesQueryByTime"/>
        <s v="SCHOOL"/>
        <s v="SHELTERS"/>
        <s v="SoilLiquefaction"/>
        <s v="SoilLiquefaction2"/>
        <s v="TextQueryAddress"/>
        <s v="TextQueryMap"/>
        <s v="TextQueryRoad_A"/>
        <s v="TextQueryRoad_B"/>
        <s v="TextQueryRoad_C"/>
        <s v="TextQueryRoad_D"/>
        <s v="TextQueryRoad_E"/>
        <s v="TextQueryRoad_F"/>
        <s v="TextQueryRoad_G"/>
        <s v="TextQueryRoad_H"/>
        <s v="TextQueryRoad_I"/>
        <s v="TextQueryRoad_J"/>
        <s v="TextQueryRoad_K"/>
        <s v="TextQueryRoad_M"/>
        <s v="TextQueryRoad_N"/>
        <s v="TextQueryRoad_O"/>
        <s v="TextQueryRoad_P"/>
        <s v="TextQueryRoad_Q"/>
        <s v="TextQueryRoad_T"/>
        <s v="TextQueryRoad_U"/>
        <s v="TextQueryRoad_V"/>
        <s v="TextQueryRoad_W"/>
        <s v="TextQueryRoad_X"/>
        <s v="TextQueryRoad_Z"/>
        <s v="TOPO01K_B01"/>
        <s v="TOPO01K_B02"/>
        <s v="TOPO01K_B03"/>
        <s v="TOPO01K_B04"/>
        <s v="TOPO01K_B05"/>
        <s v="TOPO01K_B06"/>
        <s v="TOPO01K_B07"/>
        <s v="TOPO01K_B08"/>
        <s v="TOPO01K_B09"/>
        <s v="TOPO01K_B10"/>
        <s v="TOPO01K_B11"/>
        <s v="TOPO01K_B12"/>
        <s v="TOPO01K_B13"/>
        <s v="TOPO01K_B14"/>
        <s v="TOPO01K_B15"/>
        <s v="TOPO01K_B16"/>
        <s v="TOPO01K_B17"/>
        <s v="TOPO01K_B18"/>
        <s v="TOPO01K_B19"/>
        <s v="TOPO01K_B20"/>
        <s v="TOPO01K_B21"/>
        <s v="TOPO01K_B22"/>
        <s v="TOPO01K_B23"/>
        <s v="TOPO01K_B24"/>
        <s v="TOPO01K_B25"/>
        <s v="TOPO01K_B26"/>
        <s v="TOPO01K_B27"/>
        <s v="TOPO01K_B28"/>
        <s v="TOPO01K_B29"/>
        <s v="TOPO01K_B30"/>
        <s v="TOPO01K_B31"/>
        <s v="TOPO01K_B32"/>
        <s v="TOPO01K_C01"/>
        <s v="TOPO01K_C02"/>
        <s v="TOPO01K_D93"/>
        <s v="TOPO01K_D97"/>
        <s v="TOPO01K_D99"/>
        <s v="TOPO01K_DA0"/>
        <s v="TOPO01K_DA1"/>
        <s v="TOPO01K_DA2"/>
        <s v="TOPO01K_E01"/>
        <s v="TOPO01K_E02"/>
        <s v="TOPO01K_E03"/>
        <s v="TOPO01K_E04"/>
        <s v="TOPO01K_E05"/>
        <s v="TOPO01K_E06"/>
        <s v="TOPO01K_E07"/>
        <s v="TOPO01K_E08"/>
        <s v="TOPO01K_E09"/>
        <s v="TOPO01K_E10"/>
        <s v="TOPO01K_E11"/>
        <s v="TOPO01K_E12"/>
        <s v="TOPO01K_E13"/>
        <s v="TOPO01K_E14"/>
        <s v="TOPO01K_E15"/>
        <s v="TOPO01K_E16"/>
        <s v="TOPO01K_E17"/>
        <s v="TOPO01K_E18"/>
        <s v="TOPO01K_E19"/>
        <s v="TOPO01K_E20"/>
        <s v="TOPO01K_E21"/>
        <s v="TOPO01K_E22"/>
        <s v="TOPO01K_E23"/>
        <s v="TOPO01K_E24"/>
        <s v="TOPO01K_E25"/>
        <s v="TOPO01K_E26"/>
        <s v="TOPO01K_E27"/>
        <s v="TOPO01K_E28"/>
        <s v="TOPO01K_E29"/>
        <s v="TOPO01K_E30"/>
        <s v="TOPO01K_E31"/>
        <s v="TOPO01K_E32"/>
        <s v="TOPO01K_E34"/>
        <s v="TOPO01K_E35"/>
        <s v="TOPO01K_E36"/>
        <s v="TOPO01K_E37"/>
        <s v="TOPO01K_E38"/>
        <s v="TOPO01K_F01"/>
        <s v="TOPO01K_F02"/>
        <s v="TOPO01K_F03"/>
        <s v="TOPO01K_F04"/>
        <s v="TOPO01K_F05"/>
        <s v="TOPO01K_F06"/>
        <s v="TOPO01K_F07"/>
        <s v="TOPO01K_F08"/>
        <s v="TOPO01K_F09"/>
        <s v="TOPO01K_F10"/>
        <s v="TOPO01K_F11"/>
        <s v="TOPO01K_F12"/>
        <s v="TOPO01K_F13"/>
        <s v="TOPO01K_F14"/>
        <s v="TOPO01K_F15"/>
        <s v="TOPO01K_F16"/>
        <s v="TOPO01K_F17"/>
        <s v="TOPO01K_F18"/>
        <s v="TOPO01K_F19"/>
        <s v="TOPO01K_F20"/>
        <s v="TOPO01K_F21"/>
        <s v="TOPO01K_F22"/>
        <s v="TOPO01K_F23"/>
        <s v="TOPO01K_F24"/>
        <s v="TOPO01K_F25"/>
        <s v="TOPO01K_F26"/>
        <s v="TOPO01K_F27"/>
        <s v="TOPO01K_F28"/>
        <s v="TOPO01K_F29"/>
        <s v="TOPO01K_F30"/>
        <s v="TOPO01K_F31"/>
        <s v="TOPO01K_F32"/>
        <s v="TOPO01K_F33"/>
        <s v="TOPO01K_F34"/>
        <s v="TOPO01K_F35"/>
        <s v="TOPO01K_F36"/>
        <s v="TOPO01K_F37"/>
        <s v="TOPO01K_F38"/>
        <s v="TOPO01K_F39"/>
        <s v="TOPO01K_F40"/>
        <s v="TOPO01K_F41"/>
        <s v="TOPO01K_F42"/>
        <s v="TOPO01K_F43"/>
        <s v="TOPO01K_F44"/>
        <s v="TOPO01K_F45"/>
        <s v="TOPO01K_F46"/>
        <s v="TOPO01K_F47"/>
        <s v="TOPO01K_F48"/>
        <s v="TOPO01K_F49"/>
        <s v="TOPO01K_F50"/>
        <s v="TOPO01K_F51"/>
        <s v="TOPO01K_F52"/>
        <s v="TOPO01K_F53"/>
        <s v="TOPO01K_F54"/>
        <s v="TOPO01K_F55"/>
        <s v="TOPO01K_F56"/>
        <s v="TOPO01K_G01"/>
        <s v="TOPO01K_G02"/>
        <s v="TOPO01K_G03"/>
        <s v="TOPO01K_G04"/>
        <s v="TOPO01K_G05"/>
        <s v="TOPO01K_G06"/>
        <s v="TOPO01K_G07"/>
        <s v="TOPO01K_G08"/>
        <s v="TOPO01K_G09"/>
        <s v="TOPO01K_G10"/>
        <s v="TOPO01K_G11"/>
        <s v="TOPO01K_G12"/>
        <s v="TOPO01K_G13"/>
        <s v="TOPO01K_G14"/>
        <s v="TOPO01K_G15"/>
        <s v="TOPO01K_H01"/>
        <s v="TOPO01K_H02"/>
        <s v="TOPO01K_H03"/>
        <s v="TOPO01K_H04"/>
        <s v="TOPO01K_H05"/>
        <s v="TOPO01K_H06"/>
        <s v="TOPO01K_H07"/>
        <s v="TOPO01K_H08"/>
        <s v="TOPO01K_H09"/>
        <s v="TOPO01K_H10"/>
        <s v="TOPO01K_H11"/>
        <s v="TOPO01K_H12"/>
        <s v="TOPO01K_H13"/>
        <s v="TOPO01K_H14"/>
        <s v="TOPO01K_H15"/>
        <s v="TOPO01K_H16"/>
        <s v="TOPO01K_H17"/>
        <s v="TOPO01K_H18"/>
        <s v="TOPO01K_H19"/>
        <s v="TOPO01K_H20"/>
        <s v="TOPO01K_H21"/>
        <s v="TOPO01K_H22"/>
        <s v="TOPO01K_H23"/>
        <s v="TOPO01K_H24"/>
        <s v="TOPO01K_H25"/>
        <s v="TOPO01K_H26"/>
        <s v="TOPO01K_H27"/>
        <s v="TOPO01K_H28"/>
        <s v="TOPO01K_H29"/>
        <s v="TOPO01K_H30"/>
        <s v="TOPO01K_H31"/>
        <s v="TOPO01K_H32"/>
        <s v="TOPO01K_H33"/>
        <s v="TOPO01K_H34"/>
        <s v="TOPO01K_H35"/>
        <s v="TOPO01K_H36"/>
        <s v="TOPO01K_H37"/>
        <s v="TOPO01K_H38"/>
        <s v="TOPO01K_H39"/>
        <s v="TOPO01K_H40"/>
        <s v="TOPO01K_H44"/>
        <s v="TOPO01K_J01"/>
        <s v="TOPO01K_J02"/>
        <s v="TOPO01K_J03"/>
        <s v="TOPO01K_J04"/>
        <s v="TOPO01K_J05"/>
        <s v="TOPO01K_J06"/>
        <s v="TOPO01K_J07"/>
        <s v="TOPO01K_J08"/>
        <s v="TOPO01K_J09"/>
        <s v="TOPO01K_J10"/>
        <s v="TOPO01K_K01"/>
        <s v="TOPO01K_K02"/>
        <s v="TOPO01K_K03"/>
        <s v="TOPO01K_K04"/>
        <s v="TOPO01K_K05"/>
        <s v="TOPO01K_K06"/>
        <s v="TOPO01K_K07"/>
        <s v="TOPO01K_K08"/>
        <s v="TOPO01K_K09"/>
        <s v="TOPO01K_K10"/>
        <s v="TOPO01K_K11"/>
        <s v="TOPO01K_K12"/>
        <s v="TOPO01K_K13"/>
        <s v="TOPO01K_K14"/>
        <s v="TOPO01K_K15"/>
        <s v="TOPO01K_K16"/>
        <s v="TOPO01K_K17"/>
        <s v="TOPO01K_K18"/>
        <s v="TOPO01K_M01"/>
        <s v="TOPO01K_M02"/>
        <s v="TOPO01K_M03"/>
        <s v="TOPO01K_M04"/>
        <s v="TOPO01K_M05"/>
        <s v="TOPO01K_M06"/>
        <s v="TOPO01K_M07"/>
        <s v="TOPO01K_M08"/>
        <s v="TOPO01K_M09"/>
        <s v="TOPO01K_M10"/>
        <s v="TOPO01K_M11"/>
        <s v="TOPO01K_M12"/>
        <s v="TOPO01K_M13"/>
        <s v="TOPO01K_M14"/>
        <s v="TOPO01K_M15"/>
        <s v="TOPO01K_M16"/>
        <s v="TOPO01K_M17"/>
        <s v="TOPO01K_M18"/>
        <s v="TOPO01K_M19"/>
        <s v="TOPO01K_M20"/>
        <s v="TOPO01K_M21"/>
        <s v="TOPO01K_M22"/>
        <s v="TOPO01K_N01"/>
        <s v="TOPO01K_N02"/>
        <s v="TOPO01K_N03"/>
        <s v="TOPO01K_N04"/>
        <s v="TOPO01K_N05"/>
        <s v="TOPO01K_N06"/>
        <s v="TOPO01K_N07"/>
        <s v="TOPO01K_N08"/>
        <s v="TOPO01K_N09"/>
        <s v="TOPO01K_N10"/>
        <s v="TOPO01K_N11"/>
        <s v="TOPO01K_N12"/>
        <s v="TOPO01K_N13"/>
        <s v="TOPO01K_N14"/>
        <s v="TOPO01K_N15"/>
        <s v="TOPO01K_N16"/>
        <s v="TOPO01K_N17"/>
        <s v="TOPO01K_N18"/>
        <s v="TOPO01K_N19"/>
        <s v="TOPO01K_N20"/>
        <s v="TOPO01K_N21"/>
        <s v="TOPO01K_N22"/>
        <s v="TOPO01K_N23"/>
        <s v="TOPO01K_N24"/>
        <s v="TOPO01K_N25"/>
        <s v="TOPO01K_N26"/>
        <s v="TOPO01K_N27"/>
        <s v="TOPO01K_N28"/>
        <s v="TOPO01K_N29"/>
        <s v="TOPO01K_N30"/>
        <s v="TOPO01K_N31"/>
        <s v="TOPO01K_N32"/>
        <s v="TOPO01K_N33"/>
        <s v="TOPO01K_N34"/>
        <s v="TOPO01K_N35"/>
        <s v="TOPO01K_O01"/>
        <s v="TOPO01K_O03"/>
        <s v="TOPO01K_O04"/>
        <s v="TOPO01K_O05"/>
        <s v="TOPO01K_O06"/>
        <s v="TOPO01K_O07"/>
        <s v="TOPO01K_O08"/>
        <s v="TOPO01K_P01"/>
        <s v="TOPO01K_P02"/>
        <s v="TOPO01K_P03"/>
        <s v="TOPO01K_P04"/>
        <s v="TOPO01K_P05"/>
        <s v="TOPO01K_P06"/>
        <s v="TOPO01K_P07"/>
        <s v="TOPO01K_P08"/>
        <s v="TOPO01K_P09"/>
        <s v="TOPO01K_P10"/>
        <s v="TOPO01K_P11"/>
        <s v="TOPO01K_P12"/>
        <s v="TOPO01K_P13"/>
        <s v="TOPO01K_P14"/>
        <s v="TOPO01K_P15"/>
        <s v="TOPO01K_Q01"/>
        <s v="TOPO01K_Q02"/>
        <s v="TOPO01K_Q03"/>
        <s v="TOPO01K_Q04"/>
        <s v="TOPO01K_Q05"/>
        <s v="TOPO01K_Q06"/>
        <s v="TOPO01K_Q07"/>
        <s v="TOPO01K_Q08"/>
        <s v="TOPO01K_Q09"/>
        <s v="TOPO01K_Q10"/>
        <s v="TOPO01K_Q11"/>
        <s v="TOPO01K_Q12"/>
        <s v="TOPO01K_Q13"/>
        <s v="TOPO01K_Q14"/>
        <s v="TOPO01K_Q15"/>
        <s v="TOPO01K_Q16"/>
        <s v="TOPO01K_Q17"/>
        <s v="TOPO01K_Q18"/>
        <s v="TOPO01K_Q19"/>
        <s v="TOPO01K_Q20"/>
        <s v="TOPO01K_Q21"/>
        <s v="TOPO01K_Q22"/>
        <s v="TOPO01K_Q23"/>
        <s v="TOPO01K_Q24"/>
        <s v="TOPO01K_Q25"/>
        <s v="TOPO01K_Q26"/>
        <s v="TOPO01K_Q27"/>
        <s v="TOPO01K_Q29"/>
        <s v="TOPO01K_T01"/>
        <s v="TOPO01K_T02"/>
        <s v="TOPO01K_T03"/>
        <s v="TOPO01K_T04"/>
        <s v="TOPO01K_T05"/>
        <s v="TOPO01K_T06"/>
        <s v="TOPO01K_T07"/>
        <s v="TOPO01K_T08"/>
        <s v="TOPO01K_T09"/>
        <s v="TOPO01K_T10"/>
        <s v="TOPO01K_T11"/>
        <s v="TOPO01K_T12"/>
        <s v="TOPO01K_T13"/>
        <s v="TOPO01K_T14"/>
        <s v="TOPO01K_T15"/>
        <s v="TOPO01K_T16"/>
        <s v="TOPO01K_T17"/>
        <s v="TOPO01K_T18"/>
        <s v="TOPO01K_T19"/>
        <s v="TOPO01K_T20"/>
        <s v="TOPO01K_T21"/>
        <s v="TOPO01K_T22"/>
        <s v="TOPO01K_T23"/>
        <s v="TOPO01K_T24"/>
        <s v="TOPO01K_T25"/>
        <s v="TOPO01K_T26"/>
        <s v="TOPO01K_T27"/>
        <s v="TOPO01K_T28"/>
        <s v="TOPO01K_T29"/>
        <s v="TOPO01K_T30"/>
        <s v="TOPO01K_T31"/>
        <s v="TOPO01K_T32"/>
        <s v="TOPO01K_U01"/>
        <s v="TOPO01K_U02"/>
        <s v="TOPO01K_U03"/>
        <s v="TOPO01K_U04"/>
        <s v="TOPO01K_U05"/>
        <s v="TOPO01K_U06"/>
        <s v="TOPO01K_U07"/>
        <s v="TOPO01K_U08"/>
        <s v="TOPO01K_U09"/>
        <s v="TOPO01K_U10"/>
        <s v="TOPO01K_U11"/>
        <s v="TOPO01K_U12"/>
        <s v="TOPO01K_U13"/>
        <s v="TOPO01K_U14"/>
        <s v="TOPO01K_U15"/>
        <s v="TOPO01K_U16"/>
        <s v="TOPO01K_U17"/>
        <s v="TOPO01K_U18"/>
        <s v="TOPO01K_U19"/>
        <s v="TOPO01K_U20"/>
        <s v="TOPO01K_U21"/>
        <s v="TOPO01K_U22"/>
        <s v="TOPO01K_U23"/>
        <s v="TOPO01K_U24"/>
        <s v="TOPO01K_U25"/>
        <s v="TOPO01K_U26"/>
        <s v="TOPO01K_V01"/>
        <s v="TOPO01K_V02"/>
        <s v="TOPO01K_V03"/>
        <s v="TOPO01K_V04"/>
        <s v="TOPO01K_V05"/>
        <s v="TOPO01K_V06"/>
        <s v="TOPO01K_V07"/>
        <s v="TOPO01K_V08"/>
        <s v="TOPO01K_V09"/>
        <s v="TOPO01K_V10"/>
        <s v="TOPO01K_V11"/>
        <s v="TOPO01K_V12"/>
        <s v="TOPO01K_V13"/>
        <s v="TOPO01K_V14"/>
        <s v="TOPO01K_V15"/>
        <s v="TOPO01K_V16"/>
        <s v="TOPO01K_V17"/>
        <s v="TOPO01K_V18"/>
        <s v="TOPO01K_V19"/>
        <s v="TOPO01K_V20"/>
        <s v="TOPO01K_W01"/>
        <s v="TOPO01K_W02"/>
        <s v="TOPO01K_X01"/>
        <s v="TOPO01K_X02"/>
        <s v="TOPO01K_X03"/>
        <s v="TOPO01K_X04"/>
        <s v="TOPO01K_X05"/>
        <s v="TOPO01K_X06"/>
        <s v="TOPO01K_X07"/>
        <s v="TOPO01K_X08"/>
        <s v="TOPO01K_Z01"/>
        <s v="TOPO05K_100"/>
        <s v="TOPO05K_101"/>
        <s v="TOPO05K_102"/>
        <s v="TOPO05K_103"/>
        <s v="TOPO05K_104"/>
        <s v="TOPO05K_105"/>
        <s v="TOPO05K_106"/>
        <s v="TOPO05K_107"/>
        <s v="TOPO05K_108"/>
        <s v="TOPO05K_109"/>
        <s v="TOPO05K_110"/>
        <s v="TOPO05K_111"/>
        <s v="TOPO05K_84"/>
        <s v="TOPO05K_86"/>
        <s v="TOPO05K_87"/>
        <s v="TOPO05K_88"/>
        <s v="TOPO05K_90"/>
        <s v="TOPO05K_91"/>
        <s v="TOPO05K_92"/>
        <s v="TOPO05K_96"/>
        <s v="TOPO05K_98"/>
        <s v="TOPO05K_99"/>
        <s v="TOPO05KPHOTO_065"/>
        <s v="TOPO05KPHOTO_066"/>
        <s v="TOPO05KPHOTO_067"/>
        <s v="TOPO05KPHOTO_068"/>
        <s v="TOPO05KPHOTO_069"/>
        <s v="TOPO05KPHOTO_070"/>
        <s v="TOPO05KPHOTO_071"/>
        <s v="TOPO05KPHOTO_072"/>
        <s v="TOPO05KPHOTO_073"/>
        <s v="TOPO05KPHOTO_074"/>
        <s v="TOPO05KPHOTO_075"/>
        <s v="TOPO05KPHOTO_076"/>
        <s v="TOPO05KPHOTO_078"/>
        <s v="TOPO05KPHOTO_079"/>
        <s v="TOPO05KPHOTO_080"/>
        <s v="TOPO05KPHOTO_081"/>
        <s v="TOPO05KPHOTO_083"/>
        <s v="TOPO05KPHOTO_084"/>
        <s v="TOPO05KPHOTO_086"/>
        <s v="TOPO05KPHOTO_087"/>
        <s v="TOPO05KPHOTO_088"/>
        <s v="TOPO05KPHOTO_089"/>
        <s v="TOPO05KPHOTO_090"/>
        <s v="TOPO05KPHOTO_091"/>
        <s v="TOPO05KPHOTO_092"/>
        <s v="TOPO05KPHOTO_093"/>
        <s v="TOPO05KPHOTO_094"/>
        <s v="TOPO05KPHOTO_095"/>
        <s v="TOPO05KPHOTO_096"/>
        <s v="TOPO05KPHOTO_097"/>
        <s v="TOPO05KPHOTO_098"/>
        <s v="TOPO05KPHOTO_099"/>
        <s v="TOPO05KPHOTO_100"/>
        <s v="TOPO05KPHOTO_101"/>
        <s v="TOPO05KPHOTO_102"/>
        <s v="TOPO05KPHOTO_103"/>
        <s v="TOPO05KPHOTO_104"/>
        <s v="TOPO05KPHOTO_105"/>
        <s v="TOPO05KPHOTO_106"/>
        <s v="TOPO05KPHOTO_107"/>
        <s v="TOPO05KPHOTO_108"/>
        <s v="TOPO05KPHOTO_109"/>
        <s v="TOPO05KPHOTO_110"/>
        <s v="TOPO05KPHOTO_111"/>
        <s v="TOPO05KPHOTO_112"/>
        <s v="TOPO05KPHOTO_113"/>
        <s v="TOPO05KPHOTO_114"/>
        <s v="TOPO10KPHOTO"/>
        <s v="TOPO10M_107"/>
        <s v="TOPO10M_109"/>
        <s v="TOPO10M_110"/>
        <s v="TOPO10M_111"/>
        <s v="TOPO10M_112"/>
        <s v="TOPO10M_113"/>
        <s v="TOPO10M_114"/>
        <s v="TOPO25K_107"/>
        <s v="TOPO25K_108"/>
        <s v="TOPO25K_109"/>
        <s v="TOPO25K_110"/>
        <s v="TOPO25K_111"/>
        <s v="TOPO25K_112"/>
        <s v="TOPO25K_113"/>
        <s v="TOPO25K_114"/>
        <s v="TOPO50K_107"/>
        <s v="TOPO50K_109"/>
        <s v="TOPO50K_110"/>
        <s v="TOPO50K_111"/>
        <s v="TOPO50K_112"/>
        <s v="TOPO50K_113"/>
        <s v="TOPON1K_B04"/>
        <s v="TOPON1K_B11"/>
        <s v="TOPON1K_B14"/>
        <s v="TOPON1K_B15"/>
        <s v="TOPON1K_B20"/>
        <s v="TOPON1K_B22"/>
        <s v="TOPON1K_B25"/>
        <s v="TOPON1K_D03"/>
        <s v="TOPON1K_D04"/>
        <s v="TOPON1K_D05"/>
        <s v="TOPON1K_D08"/>
        <s v="TOPON1K_D12"/>
        <s v="TOPON1K_E02"/>
        <s v="TOPON1K_E03"/>
        <s v="TOPON1K_E32"/>
        <s v="TOPON1K_G01"/>
        <s v="TOPON1K_G04"/>
        <s v="TOPON1K_G06"/>
        <s v="TOPON1K_G09"/>
        <s v="TOPON1K_G11"/>
        <s v="TOPON1K_G15"/>
        <s v="TOPON1K_G16"/>
        <s v="TOPON1K_G17"/>
        <s v="TOPON1K_G18"/>
        <s v="TOPON1K_G19"/>
        <s v="TOPON1K_G20"/>
        <s v="TOPON1K_H18"/>
        <s v="TOPON1K_H19"/>
        <s v="TOPON1K_H20"/>
        <s v="TOPON1K_H21"/>
        <s v="TOPON1K_H31"/>
        <s v="TOPON1K_J01"/>
        <s v="TOPON1K_J06"/>
        <s v="TOPON1K_J13"/>
        <s v="TOPON1K_J16"/>
        <s v="TOPON1K_J17"/>
        <s v="TOPON1K_K01"/>
        <s v="TOPON1K_K02"/>
        <s v="TOPON1K_K14"/>
        <s v="TOPON1K_M01"/>
        <s v="TOPON1K_M02"/>
        <s v="TOPON1K_M04"/>
        <s v="TOPON1K_N01"/>
        <s v="TOPON1K_N02"/>
        <s v="TOPON1K_P01"/>
        <s v="TOPON1K_P10"/>
        <s v="TOPON1K_P12"/>
        <s v="TOPON1K_P13"/>
        <s v="TOPON1K_P22"/>
        <s v="TOPON1K_P24"/>
        <s v="TOPON1K_P25"/>
        <s v="TOPON1K_Q02"/>
        <s v="TOPON1K_Q06"/>
        <s v="TOPON1K_Q07"/>
        <s v="TOPON1K_Q19"/>
        <s v="TOPON1K_Q21"/>
        <s v="TOPON1K_Q22"/>
        <s v="TOPON1K_Q26"/>
        <s v="TOPON1K_Q27"/>
        <s v="TOPON1K_Q28"/>
        <s v="TOPON1K_Q29"/>
        <s v="TOPON1K_Q30"/>
        <s v="TOPON1K_Q31"/>
        <s v="TOPON1K_T01"/>
        <s v="TOPON1K_T03"/>
        <s v="TOPON1K_T08"/>
        <s v="TOPON1K_T20"/>
        <s v="TOPON1K_T30"/>
        <s v="TOPON1K_U20"/>
        <s v="TOPON1K_V01"/>
        <s v="TOPON1K_V02"/>
        <s v="TOPON1K_X01"/>
        <s v="TOPON1K_X02"/>
        <s v="TOPON1K_X03"/>
        <s v="TOPON1K_X04"/>
        <s v="TOPON1K_X05"/>
        <s v="TOPON1K_X06"/>
        <s v="TOPON1K_X07"/>
        <s v="TOPON1K_X08"/>
        <s v="TOPON1KPHOTO_B04"/>
        <s v="TOPON1KPHOTO_B11"/>
        <s v="TOPON1KPHOTO_B14"/>
        <s v="TOPON1KPHOTO_B15"/>
        <s v="TOPON1KPHOTO_B20"/>
        <s v="TOPON1KPHOTO_B22"/>
        <s v="TOPON1KPHOTO_B25"/>
        <s v="TOPON1KPHOTO_D03"/>
        <s v="TOPON1KPHOTO_D04"/>
        <s v="TOPON1KPHOTO_D05"/>
        <s v="TOPON1KPHOTO_D08"/>
        <s v="TOPON1KPHOTO_D12"/>
        <s v="TOPON1KPHOTO_E02"/>
        <s v="TOPON1KPHOTO_E03"/>
        <s v="TOPON1KPHOTO_E32"/>
        <s v="TOPON1KPHOTO_G01"/>
        <s v="TOPON1KPHOTO_G04"/>
        <s v="TOPON1KPHOTO_G06"/>
        <s v="TOPON1KPHOTO_G09"/>
        <s v="TOPON1KPHOTO_G11"/>
        <s v="TOPON1KPHOTO_G15"/>
        <s v="TOPON1KPHOTO_G16"/>
        <s v="TOPON1KPHOTO_G17"/>
        <s v="TOPON1KPHOTO_G18"/>
        <s v="TOPON1KPHOTO_G19"/>
        <s v="TOPON1KPHOTO_G20"/>
        <s v="TOPON1KPHOTO_H18"/>
        <s v="TOPON1KPHOTO_H19"/>
        <s v="TOPON1KPHOTO_H20"/>
        <s v="TOPON1KPHOTO_H21"/>
        <s v="TOPON1KPHOTO_H31"/>
        <s v="TOPON1KPHOTO_J01"/>
        <s v="TOPON1KPHOTO_J06"/>
        <s v="TOPON1KPHOTO_J13"/>
        <s v="TOPON1KPHOTO_J16"/>
        <s v="TOPON1KPHOTO_J17"/>
        <s v="TOPON1KPHOTO_K01"/>
        <s v="TOPON1KPHOTO_K02"/>
        <s v="TOPON1KPHOTO_K14"/>
        <s v="TOPON1KPHOTO_M01"/>
        <s v="TOPON1KPHOTO_M02"/>
        <s v="TOPON1KPHOTO_M04"/>
        <s v="TOPON1KPHOTO_N01"/>
        <s v="TOPON1KPHOTO_N02"/>
        <s v="TOPON1KPHOTO_P01"/>
        <s v="TOPON1KPHOTO_P10"/>
        <s v="TOPON1KPHOTO_P12"/>
        <s v="TOPON1KPHOTO_P13"/>
        <s v="TOPON1KPHOTO_P22"/>
        <s v="TOPON1KPHOTO_P24"/>
        <s v="TOPON1KPHOTO_P25"/>
        <s v="TOPON1KPHOTO_Q02"/>
        <s v="TOPON1KPHOTO_Q06"/>
        <s v="TOPON1KPHOTO_Q07"/>
        <s v="TOPON1KPHOTO_Q19"/>
        <s v="TOPON1KPHOTO_Q21"/>
        <s v="TOPON1KPHOTO_Q22"/>
        <s v="TOPON1KPHOTO_Q26"/>
        <s v="TOPON1KPHOTO_Q27"/>
        <s v="TOPON1KPHOTO_Q28"/>
        <s v="TOPON1KPHOTO_Q29"/>
        <s v="TOPON1KPHOTO_Q30"/>
        <s v="TOPON1KPHOTO_Q31"/>
        <s v="TOPON1KPHOTO_T01"/>
        <s v="TOPON1KPHOTO_T03"/>
        <s v="TOPON1KPHOTO_T08"/>
        <s v="TOPON1KPHOTO_T20"/>
        <s v="TOPON1KPHOTO_T30"/>
        <s v="TOPON1KPHOTO_U20"/>
        <s v="TOPON1KPHOTO_V01"/>
        <s v="TOPON1KPHOTO_V02"/>
        <s v="TOPON1KPHOTO_X01"/>
        <s v="TOPON1KPHOTO_X02"/>
        <s v="TOPON1KPHOTO_X03"/>
        <s v="TOPON1KPHOTO_X04"/>
        <s v="TOPON1KPHOTO_X05"/>
        <s v="TOPON1KPHOTO_X06"/>
        <s v="TOPON1KPHOTO_X07"/>
        <s v="TOPON1KPHOTO_X08"/>
        <s v="TOWN"/>
        <s v="TownVillagePointQuery"/>
        <s v="TownVillagePointQuery1"/>
        <s v="UAV101D01"/>
        <s v="UAV101D02"/>
        <s v="UAV101K01"/>
        <s v="UAV101K02"/>
        <s v="UAV101Q01"/>
        <s v="UAV101T01"/>
        <s v="UAV101U01"/>
        <s v="UAV101U02"/>
        <s v="UAV101V01"/>
        <s v="UAV102D01"/>
        <s v="UAV102D02"/>
        <s v="UAV102D03"/>
        <s v="UAV102H01"/>
        <s v="UAV102M01"/>
        <s v="UAV102N01"/>
        <s v="UAV102Q01"/>
        <s v="UAV102Q02"/>
        <s v="UAV102T01"/>
        <s v="UAV102T02"/>
        <s v="UAV102V01"/>
        <s v="UAV103D01"/>
        <s v="UAV103D03"/>
        <s v="UAV103D04"/>
        <s v="UAV103H01"/>
        <s v="UAV103K01"/>
        <s v="UAV103M01"/>
        <s v="UAV103M02"/>
        <s v="UAV103M03"/>
        <s v="UAV103M04"/>
        <s v="UAV103N01"/>
        <s v="UAV103P01"/>
        <s v="UAV103Q01"/>
        <s v="UAV103T01"/>
        <s v="UAV104D02"/>
        <s v="UAV104D03"/>
        <s v="UAV104D04"/>
        <s v="UAV104E01"/>
        <s v="UAV104E02"/>
        <s v="UAV104E03"/>
        <s v="UAV104K01"/>
        <s v="UAV104K02"/>
        <s v="UAV104N01"/>
        <s v="UAV104P01"/>
        <s v="UAV104T01"/>
        <s v="UAV105A01"/>
        <s v="UAV105A02"/>
        <s v="UAV105A03"/>
        <s v="UAV105B01"/>
        <s v="UAV105B02"/>
        <s v="UAV105B03"/>
        <s v="UAV105B04"/>
        <s v="UAV105B05"/>
        <s v="UAV105B06"/>
        <s v="UAV105B07"/>
        <s v="UAV105B08"/>
        <s v="UAV105B09"/>
        <s v="UAV105B10"/>
        <s v="UAV105B11"/>
        <s v="UAV105B12"/>
        <s v="UAV105B13"/>
        <s v="UAV105B14"/>
        <s v="UAV105B15"/>
        <s v="UAV105H01"/>
        <s v="UAV105H02"/>
        <s v="UAV105H03"/>
        <s v="UAV105H04"/>
        <s v="UAV105M01"/>
        <s v="UAV105M02"/>
        <s v="UAV105N01"/>
        <s v="UAV105O01"/>
        <s v="UAV105P01"/>
        <s v="UAV105P02"/>
        <s v="UAV105P03"/>
        <s v="UAV105U01"/>
        <s v="UAV106A01"/>
        <s v="UAV106A02"/>
        <s v="UAV106A03"/>
        <s v="UAV106D01"/>
        <s v="UAV106D02"/>
        <s v="UAV106D03"/>
        <s v="UAV106F01"/>
        <s v="UAV106F02"/>
        <s v="UAV106H01"/>
        <s v="UAV106H02"/>
        <s v="UAV106H03"/>
        <s v="UAV106I01"/>
        <s v="UAV106I02"/>
        <s v="UAV106K01"/>
        <s v="UAV106M01"/>
        <s v="UAV106N01"/>
        <s v="UAV106O01"/>
        <s v="UAV106P01"/>
        <s v="UAV106U01"/>
        <s v="UAV107A01"/>
        <s v="UAV107A02"/>
        <s v="UAV107A03"/>
        <s v="UAV107B01"/>
        <s v="UAV107B02"/>
        <s v="UAV107D01"/>
        <s v="UAV107F01"/>
        <s v="UAV107G01"/>
        <s v="UAV107J01"/>
        <s v="UAV107J02"/>
        <s v="UAV107K01"/>
        <s v="UAV107K02"/>
        <s v="UAV107O01"/>
        <s v="UAV107T01"/>
        <s v="UAV107T02"/>
        <s v="UAV108A01"/>
        <s v="UAV108A02"/>
        <s v="UAV108A03"/>
        <s v="UAV108B01"/>
        <s v="UAV108D01"/>
        <s v="UAV108D02"/>
        <s v="UAV108D03"/>
        <s v="UAV108D04"/>
        <s v="UAV108D05"/>
        <s v="UAV108E01"/>
        <s v="UAV108G01"/>
        <s v="UAV108Q01"/>
        <s v="UAV108Q02"/>
        <s v="UAV109A01"/>
        <s v="UAV109B01"/>
        <s v="UAV109D01"/>
        <s v="UAV109E01"/>
        <s v="UAV109K01"/>
        <s v="UAV109K02"/>
        <s v="UAV109P01"/>
        <s v="UAV109Q01"/>
        <s v="UAV109T01"/>
        <s v="UAV109T02"/>
        <s v="UAV109T03"/>
        <s v="UAV109U01"/>
        <s v="UAV109U02"/>
        <s v="UAV109U03"/>
        <s v="UAV110A01"/>
        <s v="UAV110B01"/>
        <s v="UAV110B02"/>
        <s v="UAV110B03"/>
        <s v="UAV110D01"/>
        <s v="UAV110D02"/>
        <s v="UAV110D03"/>
        <s v="UAV110D04"/>
        <s v="UAV110D05 "/>
        <s v="UAV110D06"/>
        <s v="UAV110D07 "/>
        <s v="UAV110D08 "/>
        <s v="UAV110E02"/>
        <s v="UAV110N01 "/>
        <s v="UAV110Q01"/>
        <s v="UAV110Q02"/>
        <s v="UAV111A02"/>
        <s v="UAV111A03 "/>
        <s v="UAV111A04"/>
        <s v="UAV111A05"/>
        <s v="UAV111A06 "/>
        <s v="UAV111D01"/>
        <s v="UAV111E01"/>
        <s v="UAV111J01"/>
        <s v="UAV111J02"/>
        <s v="UAV111J03"/>
        <s v="UAV111K01"/>
        <s v="UAV111K02"/>
        <s v="UAV111P01"/>
        <s v="UAV111P02"/>
        <s v="UAV111Q01"/>
        <s v="Village"/>
        <s v="Village201910"/>
        <s v="WFS:BUILDFRAME"/>
        <s v="WMS"/>
      </sharedItems>
    </cacheField>
    <cacheField name="API代碼" numFmtId="0">
      <sharedItems containsBlank="1" count="366">
        <s v="AddressQueryLand"/>
        <s v="BAQueryBuilding"/>
        <s v="BAQueryBuildingAttributes"/>
        <s v="BAQueryBuildingDataSource"/>
        <s v="BAStatus"/>
        <s v="CadasAttrQuery_A"/>
        <s v="CadasAttrQuery_B"/>
        <s v="CadasAttrQuery_C"/>
        <s v="CadasAttrQuery_D"/>
        <s v="CadasAttrQuery_E"/>
        <s v="CadasAttrQuery_F"/>
        <s v="CadasAttrQuery_G"/>
        <s v="CadasAttrQuery_H"/>
        <s v="CadasAttrQuery_I"/>
        <s v="CadasAttrQuery_J"/>
        <s v="CadasAttrQuery_K"/>
        <s v="CadasAttrQuery_M"/>
        <s v="CadasAttrQuery_N"/>
        <s v="CadasAttrQuery_O"/>
        <s v="CadasAttrQuery_P"/>
        <s v="CadasAttrQuery_Q"/>
        <s v="CadasAttrQuery_T"/>
        <s v="CadasAttrQuery_U"/>
        <s v="CadasAttrQuery_V"/>
        <s v="CadasAttrQuery_W"/>
        <s v="CadasAttrQuery_X"/>
        <s v="CadasAttrQuery_Z"/>
        <s v="CadasLandInfo_A"/>
        <s v="CadasLandInfo_B"/>
        <s v="CadasLandInfo_C"/>
        <s v="CadasLandInfo_D"/>
        <s v="CadasLandInfo_E"/>
        <s v="CadasLandInfo_F"/>
        <s v="CadasLandInfo_G"/>
        <s v="CadasLandInfo_H"/>
        <s v="CadasLandInfo_I"/>
        <s v="CadasLandInfo_J"/>
        <s v="CadasLandInfo_K"/>
        <s v="CadasLandInfo_M"/>
        <s v="CadasLandInfo_N"/>
        <s v="CadasLandInfo_O"/>
        <s v="CadasLandInfo_P"/>
        <s v="CadasLandInfo_Q"/>
        <s v="CadasLandInfo_T"/>
        <s v="CadasLandInfo_U"/>
        <s v="CadasLandInfo_V"/>
        <s v="CadasLandInfo_W"/>
        <s v="CadasLandInfo_X"/>
        <s v="CadasLandInfo_Z"/>
        <s v="CadasLandNoQuery"/>
        <s v="CadasMapImage_A"/>
        <s v="CadasMapImage_B"/>
        <s v="CadasMapImage_C"/>
        <s v="CadasMapImage_D"/>
        <s v="CadasMapImage_E"/>
        <s v="CadasMapImage_F"/>
        <s v="CadasMapImage_G"/>
        <s v="CadasMapImage_H"/>
        <s v="CadasMapImage_I"/>
        <s v="CadasMapImage_J"/>
        <s v="CadasMapImage_K"/>
        <s v="CadasMapImage_M"/>
        <s v="CadasMapImage_N"/>
        <s v="CadasMapImage_O"/>
        <s v="CadasMapImage_P"/>
        <s v="CadasMapImage_Q"/>
        <s v="CadasMapImage_T"/>
        <s v="CadasMapImage_U"/>
        <s v="CadasMapImage_V"/>
        <s v="CadasMapImage_W"/>
        <s v="CadasMapImage_X"/>
        <s v="CadasMapImage_Z"/>
        <s v="CadasMapPointQuery"/>
        <s v="CadasMapPosition_A"/>
        <s v="CadasMapPosition_B"/>
        <s v="CadasMapPosition_C"/>
        <s v="CadasMapPosition_D"/>
        <s v="CadasMapPosition_E"/>
        <s v="CadasMapPosition_F"/>
        <s v="CadasMapPosition_G"/>
        <s v="CadasMapPosition_H"/>
        <s v="CadasMapPosition_I"/>
        <s v="CadasMapPosition_J"/>
        <s v="CadasMapPosition_K"/>
        <s v="CadasMapPosition_M"/>
        <s v="CadasMapPosition_N"/>
        <s v="CadasMapPosition_O"/>
        <s v="CadasMapPosition_P"/>
        <s v="CadasMapPosition_Q"/>
        <s v="CadasMapPosition_T"/>
        <s v="CadasMapPosition_U"/>
        <s v="CadasMapPosition_V"/>
        <s v="CadasMapPosition_W"/>
        <s v="CadasMapPosition_X"/>
        <s v="CadasMapPosition_Z"/>
        <s v="CadasMapQuery"/>
        <s v="GetLandNO"/>
        <s v="GetLandPositionLongitudeLatitude_A"/>
        <s v="GetLandPositionLongitudeLatitude_B"/>
        <s v="GetLandPositionLongitudeLatitude_C"/>
        <s v="GetLandPositionLongitudeLatitude_D"/>
        <s v="GetLandPositionLongitudeLatitude_E"/>
        <s v="GetLandPositionLongitudeLatitude_F"/>
        <s v="GetLandPositionLongitudeLatitude_G"/>
        <s v="GetLandPositionLongitudeLatitude_H"/>
        <s v="GetLandPositionLongitudeLatitude_I"/>
        <s v="GetLandPositionLongitudeLatitude_J"/>
        <s v="GetLandPositionLongitudeLatitude_K"/>
        <s v="GetLandPositionLongitudeLatitude_M"/>
        <s v="GetLandPositionLongitudeLatitude_N"/>
        <s v="GetLandPositionLongitudeLatitude_O"/>
        <s v="GetLandPositionLongitudeLatitude_P"/>
        <s v="GetLandPositionLongitudeLatitude_Q"/>
        <s v="GetLandPositionLongitudeLatitude_T"/>
        <s v="GetLandPositionLongitudeLatitude_U"/>
        <s v="GetLandPositionLongitudeLatitude_V"/>
        <s v="GetLandPositionLongitudeLatitude_W"/>
        <s v="GetLandPositionLongitudeLatitude_X"/>
        <s v="GetLandPositionLongitudeLatitude_Z"/>
        <s v="GetLandSecInfoNlsc_A"/>
        <s v="GetLandSecInfoNlsc_B"/>
        <s v="GetLandSecInfoNlsc_C"/>
        <s v="GetLandSecInfoNlsc_D"/>
        <s v="GetLandSecInfoNlsc_E"/>
        <s v="GetLandSecInfoNlsc_F"/>
        <s v="GetLandSecInfoNlsc_G"/>
        <s v="GetLandSecInfoNlsc_H"/>
        <s v="GetLandSecInfoNlsc_I"/>
        <s v="GetLandSecInfoNlsc_J"/>
        <s v="GetLandSecInfoNlsc_K"/>
        <s v="GetLandSecInfoNlsc_M"/>
        <s v="GetLandSecInfoNlsc_N"/>
        <s v="GetLandSecInfoNlsc_O"/>
        <s v="GetLandSecInfoNlsc_P"/>
        <s v="GetLandSecInfoNlsc_Q"/>
        <s v="GetLandSecInfoNlsc_T"/>
        <s v="GetLandSecInfoNlsc_U"/>
        <s v="GetLandSecInfoNlsc_V"/>
        <s v="GetLandSecInfoNlsc_W"/>
        <s v="GetLandSecInfoNlsc_X"/>
        <s v="GetLandSecInfoNlsc_Z"/>
        <s v="GetMapVillage"/>
        <s v="LandUseCompare"/>
        <s v="LandUsePointQuery"/>
        <s v="LandUsePointYears"/>
        <s v="LineQueryAddr"/>
        <s v="ListCounty"/>
        <s v="ListLandSection_A"/>
        <s v="ListLandSection_B"/>
        <s v="ListLandSection_C"/>
        <s v="ListLandSection_D"/>
        <s v="ListLandSection_E"/>
        <s v="ListLandSection_F"/>
        <s v="ListLandSection_G"/>
        <s v="ListLandSection_H"/>
        <s v="ListLandSection_I"/>
        <s v="ListLandSection_J"/>
        <s v="ListLandSection_K"/>
        <s v="ListLandSection_M"/>
        <s v="ListLandSection_N"/>
        <s v="ListLandSection_O"/>
        <s v="ListLandSection_P"/>
        <s v="ListLandSection_Q"/>
        <s v="ListLandSection_T"/>
        <s v="ListLandSection_U"/>
        <s v="ListLandSection_V"/>
        <s v="ListLandSection_W"/>
        <s v="ListLandSection_X"/>
        <s v="ListLandSection_Z"/>
        <s v="ListRoad_A"/>
        <s v="ListRoad_B"/>
        <s v="ListRoad_C"/>
        <s v="ListRoad_D"/>
        <s v="ListRoad_E"/>
        <s v="ListRoad_F"/>
        <s v="ListRoad_G"/>
        <s v="ListRoad_H"/>
        <s v="ListRoad_I"/>
        <s v="ListRoad_J"/>
        <s v="ListRoad_K"/>
        <s v="ListRoad_M"/>
        <s v="ListRoad_N"/>
        <s v="ListRoad_O"/>
        <s v="ListRoad_P"/>
        <s v="ListRoad_Q"/>
        <s v="ListRoad_T"/>
        <s v="ListRoad_U"/>
        <s v="ListRoad_V"/>
        <s v="ListRoad_W"/>
        <s v="ListRoad_X"/>
        <s v="ListRoad_Z"/>
        <s v="ListRoadCross_A"/>
        <s v="ListRoadCross_B"/>
        <s v="ListRoadCross_C"/>
        <s v="ListRoadCross_D"/>
        <s v="ListRoadCross_E"/>
        <s v="ListRoadCross_F"/>
        <s v="ListRoadCross_G"/>
        <s v="ListRoadCross_H"/>
        <s v="ListRoadCross_I"/>
        <s v="ListRoadCross_J"/>
        <s v="ListRoadCross_K"/>
        <s v="ListRoadCross_M"/>
        <s v="ListRoadCross_N"/>
        <s v="ListRoadCross_O"/>
        <s v="ListRoadCross_P"/>
        <s v="ListRoadCross_Q"/>
        <s v="ListRoadCross_T"/>
        <s v="ListRoadCross_U"/>
        <s v="ListRoadCross_V"/>
        <s v="ListRoadCross_W"/>
        <s v="ListRoadCross_X"/>
        <s v="ListRoadCross_Z"/>
        <s v="ListRoadLaneAlley_A"/>
        <s v="ListRoadLaneAlley_B"/>
        <s v="ListRoadLaneAlley_C"/>
        <s v="ListRoadLaneAlley_D"/>
        <s v="ListRoadLaneAlley_E"/>
        <s v="ListRoadLaneAlley_F"/>
        <s v="ListRoadLaneAlley_G"/>
        <s v="ListRoadLaneAlley_H"/>
        <s v="ListRoadLaneAlley_I"/>
        <s v="ListRoadLaneAlley_J"/>
        <s v="ListRoadLaneAlley_K"/>
        <s v="ListRoadLaneAlley_M"/>
        <s v="ListRoadLaneAlley_N"/>
        <s v="ListRoadLaneAlley_O"/>
        <s v="ListRoadLaneAlley_P"/>
        <s v="ListRoadLaneAlley_Q"/>
        <s v="ListRoadLaneAlley_T"/>
        <s v="ListRoadLaneAlley_U"/>
        <s v="ListRoadLaneAlley_V"/>
        <s v="ListRoadLaneAlley_W"/>
        <s v="ListRoadLaneAlley_X"/>
        <s v="ListRoadLaneAlley_Z"/>
        <s v="ListRoadM_A"/>
        <s v="ListRoadM_B"/>
        <s v="ListRoadM_C"/>
        <s v="ListRoadM_D"/>
        <s v="ListRoadM_E"/>
        <s v="ListRoadM_F"/>
        <s v="ListRoadM_G"/>
        <s v="ListRoadM_H"/>
        <s v="ListRoadM_I"/>
        <s v="ListRoadM_J"/>
        <s v="ListRoadM_K"/>
        <s v="ListRoadM_M"/>
        <s v="ListRoadM_N"/>
        <s v="ListRoadM_O"/>
        <s v="ListRoadM_P"/>
        <s v="ListRoadM_Q"/>
        <s v="ListRoadM_T"/>
        <s v="ListRoadM_U"/>
        <s v="ListRoadM_V"/>
        <s v="ListRoadM_W"/>
        <s v="ListRoadM_X"/>
        <s v="ListRoadM_Z"/>
        <s v="ListTown_A"/>
        <s v="ListTown_B"/>
        <s v="ListTown_C"/>
        <s v="ListTown_D"/>
        <s v="ListTown_E"/>
        <s v="ListTown_F"/>
        <s v="ListTown_G"/>
        <s v="ListTown_H"/>
        <s v="ListTown_I"/>
        <s v="ListTown_J"/>
        <s v="ListTown_K"/>
        <s v="ListTown_M"/>
        <s v="ListTown_N"/>
        <s v="ListTown_O"/>
        <s v="ListTown_P"/>
        <s v="ListTown_Q"/>
        <s v="ListTown_T"/>
        <s v="ListTown_U"/>
        <s v="ListTown_V"/>
        <s v="ListTown_W"/>
        <s v="ListTown_X"/>
        <s v="ListTown_Z"/>
        <s v="ListTown1_A"/>
        <s v="ListTown1_B"/>
        <s v="ListTown1_C"/>
        <s v="ListTown1_D"/>
        <s v="ListTown1_E"/>
        <s v="ListTown1_F"/>
        <s v="ListTown1_G"/>
        <s v="ListTown1_H"/>
        <s v="ListTown1_I"/>
        <s v="ListTown1_J"/>
        <s v="ListTown1_K"/>
        <s v="ListTown1_M"/>
        <s v="ListTown1_N"/>
        <s v="ListTown1_O"/>
        <s v="ListTown1_P"/>
        <s v="ListTown1_Q"/>
        <s v="ListTown1_T"/>
        <s v="ListTown1_U"/>
        <s v="ListTown1_V"/>
        <s v="ListTown1_W"/>
        <s v="ListTown1_X"/>
        <s v="ListTown1_Z"/>
        <s v="ListVillage_A"/>
        <s v="ListVillage_B"/>
        <s v="ListVillage_C"/>
        <s v="ListVillage_D"/>
        <s v="ListVillage_E"/>
        <s v="ListVillage_F"/>
        <s v="ListVillage_G"/>
        <s v="ListVillage_H"/>
        <s v="ListVillage_I"/>
        <s v="ListVillage_J"/>
        <s v="ListVillage_K"/>
        <s v="ListVillage_M"/>
        <s v="ListVillage_N"/>
        <s v="ListVillage_O"/>
        <s v="ListVillage_P"/>
        <s v="ListVillage_Q"/>
        <s v="ListVillage_T"/>
        <s v="ListVillage_U"/>
        <s v="ListVillage_V"/>
        <s v="ListVillage_W"/>
        <s v="ListVillage_X"/>
        <s v="ListVillage_Z"/>
        <s v="MarkBufferAnlysBus"/>
        <s v="MarkBufferAnlysDis"/>
        <s v="MarkBufferAnlysEdu"/>
        <s v="MarkBufferAnlysMed"/>
        <s v="PBSQueryBuilding"/>
        <s v="PBSStatus"/>
        <s v="PBSTRSelectByCircle"/>
        <s v="PBSTRSelectByPoint"/>
        <s v="PBSTRSelectByPolygon"/>
        <s v="PointQueryAddr"/>
        <s v="PolygonQueryAddr"/>
        <s v="QryTileMapIndex1"/>
        <s v="QryTileMapIndex2"/>
        <s v="RoutesNodes"/>
        <s v="RoutesQueryByDist"/>
        <s v="RoutesQueryByTime"/>
        <s v="TextQueryAddress"/>
        <s v="TextQueryMap"/>
        <s v="TextQueryRoad_A"/>
        <s v="TextQueryRoad_B"/>
        <s v="TextQueryRoad_C"/>
        <s v="TextQueryRoad_D"/>
        <s v="TextQueryRoad_E"/>
        <s v="TextQueryRoad_F"/>
        <s v="TextQueryRoad_G"/>
        <s v="TextQueryRoad_H"/>
        <s v="TextQueryRoad_I"/>
        <s v="TextQueryRoad_J"/>
        <s v="TextQueryRoad_K"/>
        <s v="TextQueryRoad_M"/>
        <s v="TextQueryRoad_N"/>
        <s v="TextQueryRoad_O"/>
        <s v="TextQueryRoad_P"/>
        <s v="TextQueryRoad_Q"/>
        <s v="TextQueryRoad_T"/>
        <s v="TextQueryRoad_U"/>
        <s v="TextQueryRoad_V"/>
        <s v="TextQueryRoad_W"/>
        <s v="TextQueryRoad_X"/>
        <s v="TextQueryRoad_Z"/>
        <s v="TownVillagePointQuery"/>
        <s v="TownVillagePointQuery1"/>
        <m/>
      </sharedItems>
    </cacheField>
    <cacheField name="介接代號" numFmtId="0">
      <sharedItems containsBlank="1" count="991">
        <s v="AED"/>
        <s v="Asrs_2025_ortho"/>
        <s v="Asrs_20250925_1"/>
        <s v="Asrs_20250925_2"/>
        <s v="Asrs_20250925_3"/>
        <s v="Asrs_20250927_1"/>
        <s v="Asrs_20250927_2"/>
        <s v="Asrs_20250927_3"/>
        <s v="Asrs_20250928_1"/>
        <s v="Asrs_20250928_2"/>
        <s v="Asrs_20250929_1"/>
        <s v="Asrs_20250929_2"/>
        <s v="Asrs_20250930_1"/>
        <s v="Asrs_20250930_2"/>
        <s v="Asrs_20251001_1"/>
        <s v="Asrs_20251002_1"/>
        <s v="Asrs_20251002_2"/>
        <s v="Asrs_20251002_3"/>
        <s v="Asrs_20251003_1"/>
        <s v="Asrs_20251003_2"/>
        <s v="Asrs_20251003_3"/>
        <s v="Asrs_20251003_4"/>
        <s v="Asrs_20251003_5"/>
        <s v="Asrs_20251003_6"/>
        <s v="Asrs_20251003_7"/>
        <s v="Asrs_20251004_1"/>
        <s v="Asrs_20251004_2"/>
        <s v="Asrs_20251004_3"/>
        <s v="Asrs_20251005_1"/>
        <s v="Asrs_20251005_2"/>
        <s v="Asrs_20251005_3"/>
        <s v="Asrs_20251006_1"/>
        <s v="Asrs_20251006_2"/>
        <s v="Asrs_20251006_3"/>
        <s v="Asrs_20251007_1"/>
        <s v="Asrs_20251007_2"/>
        <s v="Asrs_20251007_3"/>
        <s v="Asrs_20251013_1"/>
        <s v="Asrs_20251013_2"/>
        <s v="Asrs_20251013_3"/>
        <s v="Asrs_20251013_4"/>
        <s v="Asrs_20251013_5"/>
        <s v="Asrs_20251013_6"/>
        <s v="Asrs_20251013_7"/>
        <s v="Asrs_20251013_8"/>
        <s v="Asrs_20251013_9"/>
        <s v="Asrs_20251116_1"/>
        <s v="Asrs_20251116_2"/>
        <s v="Asrs_20251116_3"/>
        <s v="Asrs_20251116_4"/>
        <s v="Asrs_20251116_5"/>
        <s v="Asrs_20251116_6"/>
        <s v="Asrs_20251116_7"/>
        <s v="Asrs_20251116_8"/>
        <s v="B100000"/>
        <s v="B25000"/>
        <s v="B5000"/>
        <s v="B50000"/>
        <s v="building"/>
        <s v="BUILDX"/>
        <s v="CadasMerge"/>
        <s v="CITY"/>
        <s v="ConvenienceStore"/>
        <s v="DDEM05"/>
        <s v="DMAPS"/>
        <s v="EMAP"/>
        <s v="EMAP01"/>
        <s v="EMAP12"/>
        <s v="EMAP15"/>
        <s v="EMAP16"/>
        <s v="EMAP2"/>
        <s v="EMAP3825"/>
        <s v="EMAP3826"/>
        <s v="EMAP5"/>
        <s v="EMAP5_OPENDATA"/>
        <s v="EMAP6"/>
        <s v="EMAP6_OPENDATA"/>
        <s v="EMAP7"/>
        <s v="EMAP8"/>
        <s v="EMAP9"/>
        <s v="EMAP96"/>
        <s v="EMAP97"/>
        <s v="EMAP98"/>
        <s v="EMAPX99"/>
        <s v="fireplug"/>
        <s v="GeoSensitive"/>
        <s v="GeoSensitive2"/>
        <s v="LAND_OPENDATA"/>
        <s v="LandOffice"/>
        <s v="LANDSECT"/>
        <s v="LANDSECT2"/>
        <s v="LanSect"/>
        <s v="LuiMap"/>
        <s v="LUIMAP01"/>
        <s v="LUIMAP02"/>
        <s v="LUIMAP03"/>
        <s v="LUIMAP04"/>
        <s v="LUIMAP05"/>
        <s v="LUIMAP06"/>
        <s v="LUIMAP07"/>
        <s v="LUIMAP08"/>
        <s v="LUIMAP09"/>
        <s v="LUIMAP100"/>
        <s v="LUIMAP101"/>
        <s v="LUIMAP102"/>
        <s v="LUIMAP103"/>
        <s v="LUIMAP104"/>
        <s v="LUIMAP105"/>
        <s v="LUIMAP106"/>
        <s v="LUIMAP107"/>
        <s v="LUIMAP108"/>
        <s v="LUIMAP109"/>
        <s v="LUIMAP110"/>
        <s v="LUIMAP111"/>
        <s v="LUIMAP112"/>
        <s v="LUIMAP113"/>
        <s v="LUIMAP114"/>
        <s v="LUIMAP82"/>
        <s v="LUIMAP95"/>
        <s v="LUIMAP98"/>
        <s v="LUIMAP99"/>
        <s v="MB5000"/>
        <s v="MOI_ASPECT"/>
        <s v="MOI_CONTOUR"/>
        <s v="MOI_CONTOUR_2"/>
        <s v="MOI_HILLSHADE"/>
        <s v="MOI_SHADERMAP"/>
        <s v="MOI_SLOPEP_GT30"/>
        <s v="MOI_SLOPEP_GT30_2"/>
        <s v="MOI_SLOPEP_LV7"/>
        <s v="MOI_SLOPEP_LV7_2"/>
        <s v="nURBAN1"/>
        <s v="nURBAN2"/>
        <s v="PBSService"/>
        <s v="PHOTO_MIX"/>
        <s v="PHOTO_VA"/>
        <s v="PHOTO1"/>
        <s v="PHOTO2"/>
        <s v="PHOTO2014"/>
        <s v="PHOTO2015"/>
        <s v="PHOTO2016"/>
        <s v="PHOTO2017"/>
        <s v="PHOTO2018"/>
        <s v="PHOTO2019"/>
        <s v="PHOTO2020"/>
        <s v="PHOTO2021"/>
        <s v="PHOTO2022"/>
        <s v="PHOTO2023"/>
        <s v="PHOTO2024"/>
        <s v="PHOTO2025"/>
        <s v="PHOTO3826"/>
        <s v="road"/>
        <s v="road2nd"/>
        <s v="SCHOOL"/>
        <s v="SHELTERS"/>
        <s v="SoilLiquefaction"/>
        <s v="SoilLiquefaction2"/>
        <s v="TOPO01K_B01"/>
        <s v="TOPO01K_B02"/>
        <s v="TOPO01K_B03"/>
        <s v="TOPO01K_B04"/>
        <s v="TOPO01K_B05"/>
        <s v="TOPO01K_B06"/>
        <s v="TOPO01K_B07"/>
        <s v="TOPO01K_B08"/>
        <s v="TOPO01K_B09"/>
        <s v="TOPO01K_B10"/>
        <s v="TOPO01K_B11"/>
        <s v="TOPO01K_B12"/>
        <s v="TOPO01K_B13"/>
        <s v="TOPO01K_B14"/>
        <s v="TOPO01K_B15"/>
        <s v="TOPO01K_B16"/>
        <s v="TOPO01K_B17"/>
        <s v="TOPO01K_B18"/>
        <s v="TOPO01K_B19"/>
        <s v="TOPO01K_B20"/>
        <s v="TOPO01K_B21"/>
        <s v="TOPO01K_B22"/>
        <s v="TOPO01K_B23"/>
        <s v="TOPO01K_B24"/>
        <s v="TOPO01K_B25"/>
        <s v="TOPO01K_B26"/>
        <s v="TOPO01K_B27"/>
        <s v="TOPO01K_B28"/>
        <s v="TOPO01K_B29"/>
        <s v="TOPO01K_B30"/>
        <s v="TOPO01K_B31"/>
        <s v="TOPO01K_B32"/>
        <s v="TOPO01K_C01"/>
        <s v="TOPO01K_C02"/>
        <s v="TOPO01K_D93"/>
        <s v="TOPO01K_D97"/>
        <s v="TOPO01K_D99"/>
        <s v="TOPO01K_DA0"/>
        <s v="TOPO01K_DA1"/>
        <s v="TOPO01K_DA2"/>
        <s v="TOPO01K_E01"/>
        <s v="TOPO01K_E02"/>
        <s v="TOPO01K_E03"/>
        <s v="TOPO01K_E04"/>
        <s v="TOPO01K_E05"/>
        <s v="TOPO01K_E06"/>
        <s v="TOPO01K_E07"/>
        <s v="TOPO01K_E08"/>
        <s v="TOPO01K_E09"/>
        <s v="TOPO01K_E10"/>
        <s v="TOPO01K_E11"/>
        <s v="TOPO01K_E12"/>
        <s v="TOPO01K_E13"/>
        <s v="TOPO01K_E14"/>
        <s v="TOPO01K_E15"/>
        <s v="TOPO01K_E16"/>
        <s v="TOPO01K_E17"/>
        <s v="TOPO01K_E18"/>
        <s v="TOPO01K_E19"/>
        <s v="TOPO01K_E20"/>
        <s v="TOPO01K_E21"/>
        <s v="TOPO01K_E22"/>
        <s v="TOPO01K_E23"/>
        <s v="TOPO01K_E24"/>
        <s v="TOPO01K_E25"/>
        <s v="TOPO01K_E26"/>
        <s v="TOPO01K_E27"/>
        <s v="TOPO01K_E28"/>
        <s v="TOPO01K_E29"/>
        <s v="TOPO01K_E30"/>
        <s v="TOPO01K_E31"/>
        <s v="TOPO01K_E32"/>
        <s v="TOPO01K_E34"/>
        <s v="TOPO01K_E35"/>
        <s v="TOPO01K_E36"/>
        <s v="TOPO01K_E37"/>
        <s v="TOPO01K_E38"/>
        <s v="TOPO01K_F01"/>
        <s v="TOPO01K_F02"/>
        <s v="TOPO01K_F03"/>
        <s v="TOPO01K_F04"/>
        <s v="TOPO01K_F05"/>
        <s v="TOPO01K_F06"/>
        <s v="TOPO01K_F07"/>
        <s v="TOPO01K_F08"/>
        <s v="TOPO01K_F09"/>
        <s v="TOPO01K_F10"/>
        <s v="TOPO01K_F11"/>
        <s v="TOPO01K_F12"/>
        <s v="TOPO01K_F13"/>
        <s v="TOPO01K_F14"/>
        <s v="TOPO01K_F15"/>
        <s v="TOPO01K_F16"/>
        <s v="TOPO01K_F17"/>
        <s v="TOPO01K_F18"/>
        <s v="TOPO01K_F19"/>
        <s v="TOPO01K_F20"/>
        <s v="TOPO01K_F21"/>
        <s v="TOPO01K_F22"/>
        <s v="TOPO01K_F23"/>
        <s v="TOPO01K_F24"/>
        <s v="TOPO01K_F25"/>
        <s v="TOPO01K_F26"/>
        <s v="TOPO01K_F27"/>
        <s v="TOPO01K_F28"/>
        <s v="TOPO01K_F29"/>
        <s v="TOPO01K_F30"/>
        <s v="TOPO01K_F31"/>
        <s v="TOPO01K_F32"/>
        <s v="TOPO01K_F33"/>
        <s v="TOPO01K_F34"/>
        <s v="TOPO01K_F35"/>
        <s v="TOPO01K_F36"/>
        <s v="TOPO01K_F37"/>
        <s v="TOPO01K_F38"/>
        <s v="TOPO01K_F39"/>
        <s v="TOPO01K_F40"/>
        <s v="TOPO01K_F41"/>
        <s v="TOPO01K_F42"/>
        <s v="TOPO01K_F43"/>
        <s v="TOPO01K_F44"/>
        <s v="TOPO01K_F45"/>
        <s v="TOPO01K_F46"/>
        <s v="TOPO01K_F47"/>
        <s v="TOPO01K_F48"/>
        <s v="TOPO01K_F49"/>
        <s v="TOPO01K_F50"/>
        <s v="TOPO01K_F51"/>
        <s v="TOPO01K_F52"/>
        <s v="TOPO01K_F53"/>
        <s v="TOPO01K_F54"/>
        <s v="TOPO01K_F55"/>
        <s v="TOPO01K_F56"/>
        <s v="TOPO01K_G01"/>
        <s v="TOPO01K_G02"/>
        <s v="TOPO01K_G03"/>
        <s v="TOPO01K_G04"/>
        <s v="TOPO01K_G05"/>
        <s v="TOPO01K_G06"/>
        <s v="TOPO01K_G07"/>
        <s v="TOPO01K_G08"/>
        <s v="TOPO01K_G09"/>
        <s v="TOPO01K_G10"/>
        <s v="TOPO01K_G11"/>
        <s v="TOPO01K_G12"/>
        <s v="TOPO01K_G13"/>
        <s v="TOPO01K_G14"/>
        <s v="TOPO01K_G15"/>
        <s v="TOPO01K_H01"/>
        <s v="TOPO01K_H02"/>
        <s v="TOPO01K_H03"/>
        <s v="TOPO01K_H04"/>
        <s v="TOPO01K_H05"/>
        <s v="TOPO01K_H06"/>
        <s v="TOPO01K_H07"/>
        <s v="TOPO01K_H08"/>
        <s v="TOPO01K_H09"/>
        <s v="TOPO01K_H10"/>
        <s v="TOPO01K_H11"/>
        <s v="TOPO01K_H12"/>
        <s v="TOPO01K_H13"/>
        <s v="TOPO01K_H14"/>
        <s v="TOPO01K_H15"/>
        <s v="TOPO01K_H16"/>
        <s v="TOPO01K_H17"/>
        <s v="TOPO01K_H18"/>
        <s v="TOPO01K_H19"/>
        <s v="TOPO01K_H20"/>
        <s v="TOPO01K_H21"/>
        <s v="TOPO01K_H22"/>
        <s v="TOPO01K_H23"/>
        <s v="TOPO01K_H24"/>
        <s v="TOPO01K_H25"/>
        <s v="TOPO01K_H26"/>
        <s v="TOPO01K_H27"/>
        <s v="TOPO01K_H28"/>
        <s v="TOPO01K_H29"/>
        <s v="TOPO01K_H30"/>
        <s v="TOPO01K_H31"/>
        <s v="TOPO01K_H32"/>
        <s v="TOPO01K_H33"/>
        <s v="TOPO01K_H34"/>
        <s v="TOPO01K_H35"/>
        <s v="TOPO01K_H36"/>
        <s v="TOPO01K_H37"/>
        <s v="TOPO01K_H38"/>
        <s v="TOPO01K_H39"/>
        <s v="TOPO01K_H40"/>
        <s v="TOPO01K_H44"/>
        <s v="TOPO01K_J01"/>
        <s v="TOPO01K_J02"/>
        <s v="TOPO01K_J03"/>
        <s v="TOPO01K_J04"/>
        <s v="TOPO01K_J05"/>
        <s v="TOPO01K_J06"/>
        <s v="TOPO01K_J07"/>
        <s v="TOPO01K_J08"/>
        <s v="TOPO01K_J09"/>
        <s v="TOPO01K_J10"/>
        <s v="TOPO01K_K01"/>
        <s v="TOPO01K_K02"/>
        <s v="TOPO01K_K03"/>
        <s v="TOPO01K_K04"/>
        <s v="TOPO01K_K05"/>
        <s v="TOPO01K_K06"/>
        <s v="TOPO01K_K07"/>
        <s v="TOPO01K_K08"/>
        <s v="TOPO01K_K09"/>
        <s v="TOPO01K_K10"/>
        <s v="TOPO01K_K11"/>
        <s v="TOPO01K_K12"/>
        <s v="TOPO01K_K13"/>
        <s v="TOPO01K_K14"/>
        <s v="TOPO01K_K15"/>
        <s v="TOPO01K_K16"/>
        <s v="TOPO01K_K17"/>
        <s v="TOPO01K_K18"/>
        <s v="TOPO01K_M01"/>
        <s v="TOPO01K_M02"/>
        <s v="TOPO01K_M03"/>
        <s v="TOPO01K_M04"/>
        <s v="TOPO01K_M05"/>
        <s v="TOPO01K_M06"/>
        <s v="TOPO01K_M07"/>
        <s v="TOPO01K_M08"/>
        <s v="TOPO01K_M09"/>
        <s v="TOPO01K_M10"/>
        <s v="TOPO01K_M11"/>
        <s v="TOPO01K_M12"/>
        <s v="TOPO01K_M13"/>
        <s v="TOPO01K_M14"/>
        <s v="TOPO01K_M15"/>
        <s v="TOPO01K_M16"/>
        <s v="TOPO01K_M17"/>
        <s v="TOPO01K_M18"/>
        <s v="TOPO01K_M19"/>
        <s v="TOPO01K_M20"/>
        <s v="TOPO01K_M21"/>
        <s v="TOPO01K_M22"/>
        <s v="TOPO01K_N01"/>
        <s v="TOPO01K_N02"/>
        <s v="TOPO01K_N03"/>
        <s v="TOPO01K_N04"/>
        <s v="TOPO01K_N05"/>
        <s v="TOPO01K_N06"/>
        <s v="TOPO01K_N07"/>
        <s v="TOPO01K_N08"/>
        <s v="TOPO01K_N09"/>
        <s v="TOPO01K_N10"/>
        <s v="TOPO01K_N11"/>
        <s v="TOPO01K_N12"/>
        <s v="TOPO01K_N13"/>
        <s v="TOPO01K_N14"/>
        <s v="TOPO01K_N15"/>
        <s v="TOPO01K_N16"/>
        <s v="TOPO01K_N17"/>
        <s v="TOPO01K_N18"/>
        <s v="TOPO01K_N19"/>
        <s v="TOPO01K_N20"/>
        <s v="TOPO01K_N21"/>
        <s v="TOPO01K_N22"/>
        <s v="TOPO01K_N23"/>
        <s v="TOPO01K_N24"/>
        <s v="TOPO01K_N25"/>
        <s v="TOPO01K_N26"/>
        <s v="TOPO01K_N27"/>
        <s v="TOPO01K_N28"/>
        <s v="TOPO01K_N29"/>
        <s v="TOPO01K_N30"/>
        <s v="TOPO01K_N31"/>
        <s v="TOPO01K_N32"/>
        <s v="TOPO01K_N33"/>
        <s v="TOPO01K_N34"/>
        <s v="TOPO01K_N35"/>
        <s v="TOPO01K_O01"/>
        <s v="TOPO01K_O03"/>
        <s v="TOPO01K_O04"/>
        <s v="TOPO01K_O05"/>
        <s v="TOPO01K_O06"/>
        <s v="TOPO01K_O07"/>
        <s v="TOPO01K_O08"/>
        <s v="TOPO01K_P01"/>
        <s v="TOPO01K_P02"/>
        <s v="TOPO01K_P03"/>
        <s v="TOPO01K_P04"/>
        <s v="TOPO01K_P05"/>
        <s v="TOPO01K_P06"/>
        <s v="TOPO01K_P07"/>
        <s v="TOPO01K_P08"/>
        <s v="TOPO01K_P09"/>
        <s v="TOPO01K_P10"/>
        <s v="TOPO01K_P11"/>
        <s v="TOPO01K_P12"/>
        <s v="TOPO01K_P13"/>
        <s v="TOPO01K_P14"/>
        <s v="TOPO01K_P15"/>
        <s v="TOPO01K_Q01"/>
        <s v="TOPO01K_Q02"/>
        <s v="TOPO01K_Q03"/>
        <s v="TOPO01K_Q04"/>
        <s v="TOPO01K_Q05"/>
        <s v="TOPO01K_Q06"/>
        <s v="TOPO01K_Q07"/>
        <s v="TOPO01K_Q08"/>
        <s v="TOPO01K_Q09"/>
        <s v="TOPO01K_Q10"/>
        <s v="TOPO01K_Q11"/>
        <s v="TOPO01K_Q12"/>
        <s v="TOPO01K_Q13"/>
        <s v="TOPO01K_Q14"/>
        <s v="TOPO01K_Q15"/>
        <s v="TOPO01K_Q16"/>
        <s v="TOPO01K_Q17"/>
        <s v="TOPO01K_Q18"/>
        <s v="TOPO01K_Q19"/>
        <s v="TOPO01K_Q20"/>
        <s v="TOPO01K_Q21"/>
        <s v="TOPO01K_Q22"/>
        <s v="TOPO01K_Q23"/>
        <s v="TOPO01K_Q24"/>
        <s v="TOPO01K_Q25"/>
        <s v="TOPO01K_Q26"/>
        <s v="TOPO01K_Q27"/>
        <s v="TOPO01K_Q29"/>
        <s v="TOPO01K_T01"/>
        <s v="TOPO01K_T02"/>
        <s v="TOPO01K_T03"/>
        <s v="TOPO01K_T04"/>
        <s v="TOPO01K_T05"/>
        <s v="TOPO01K_T06"/>
        <s v="TOPO01K_T07"/>
        <s v="TOPO01K_T08"/>
        <s v="TOPO01K_T09"/>
        <s v="TOPO01K_T10"/>
        <s v="TOPO01K_T11"/>
        <s v="TOPO01K_T12"/>
        <s v="TOPO01K_T13"/>
        <s v="TOPO01K_T14"/>
        <s v="TOPO01K_T15"/>
        <s v="TOPO01K_T16"/>
        <s v="TOPO01K_T17"/>
        <s v="TOPO01K_T18"/>
        <s v="TOPO01K_T19"/>
        <s v="TOPO01K_T20"/>
        <s v="TOPO01K_T21"/>
        <s v="TOPO01K_T22"/>
        <s v="TOPO01K_T23"/>
        <s v="TOPO01K_T24"/>
        <s v="TOPO01K_T25"/>
        <s v="TOPO01K_T26"/>
        <s v="TOPO01K_T27"/>
        <s v="TOPO01K_T28"/>
        <s v="TOPO01K_T29"/>
        <s v="TOPO01K_T30"/>
        <s v="TOPO01K_T31"/>
        <s v="TOPO01K_T32"/>
        <s v="TOPO01K_U01"/>
        <s v="TOPO01K_U02"/>
        <s v="TOPO01K_U03"/>
        <s v="TOPO01K_U04"/>
        <s v="TOPO01K_U05"/>
        <s v="TOPO01K_U06"/>
        <s v="TOPO01K_U07"/>
        <s v="TOPO01K_U08"/>
        <s v="TOPO01K_U09"/>
        <s v="TOPO01K_U10"/>
        <s v="TOPO01K_U11"/>
        <s v="TOPO01K_U12"/>
        <s v="TOPO01K_U13"/>
        <s v="TOPO01K_U14"/>
        <s v="TOPO01K_U15"/>
        <s v="TOPO01K_U16"/>
        <s v="TOPO01K_U17"/>
        <s v="TOPO01K_U18"/>
        <s v="TOPO01K_U19"/>
        <s v="TOPO01K_U20"/>
        <s v="TOPO01K_U21"/>
        <s v="TOPO01K_U22"/>
        <s v="TOPO01K_U23"/>
        <s v="TOPO01K_U24"/>
        <s v="TOPO01K_U25"/>
        <s v="TOPO01K_U26"/>
        <s v="TOPO01K_V01"/>
        <s v="TOPO01K_V02"/>
        <s v="TOPO01K_V03"/>
        <s v="TOPO01K_V04"/>
        <s v="TOPO01K_V05"/>
        <s v="TOPO01K_V06"/>
        <s v="TOPO01K_V07"/>
        <s v="TOPO01K_V08"/>
        <s v="TOPO01K_V09"/>
        <s v="TOPO01K_V10"/>
        <s v="TOPO01K_V11"/>
        <s v="TOPO01K_V12"/>
        <s v="TOPO01K_V13"/>
        <s v="TOPO01K_V14"/>
        <s v="TOPO01K_V15"/>
        <s v="TOPO01K_V16"/>
        <s v="TOPO01K_V17"/>
        <s v="TOPO01K_V18"/>
        <s v="TOPO01K_V19"/>
        <s v="TOPO01K_V20"/>
        <s v="TOPO01K_W01"/>
        <s v="TOPO01K_W02"/>
        <s v="TOPO01K_X01"/>
        <s v="TOPO01K_X02"/>
        <s v="TOPO01K_X03"/>
        <s v="TOPO01K_X04"/>
        <s v="TOPO01K_X05"/>
        <s v="TOPO01K_X06"/>
        <s v="TOPO01K_X07"/>
        <s v="TOPO01K_X08"/>
        <s v="TOPO01K_Z01"/>
        <s v="TOPO05K_100"/>
        <s v="TOPO05K_101"/>
        <s v="TOPO05K_102"/>
        <s v="TOPO05K_103"/>
        <s v="TOPO05K_104"/>
        <s v="TOPO05K_105"/>
        <s v="TOPO05K_106"/>
        <s v="TOPO05K_107"/>
        <s v="TOPO05K_108"/>
        <s v="TOPO05K_109"/>
        <s v="TOPO05K_110"/>
        <s v="TOPO05K_111"/>
        <s v="TOPO05K_84"/>
        <s v="TOPO05K_86"/>
        <s v="TOPO05K_87"/>
        <s v="TOPO05K_88"/>
        <s v="TOPO05K_90"/>
        <s v="TOPO05K_91"/>
        <s v="TOPO05K_92"/>
        <s v="TOPO05K_96"/>
        <s v="TOPO05K_98"/>
        <s v="TOPO05K_99"/>
        <s v="TOPO05KPHOTO_065"/>
        <s v="TOPO05KPHOTO_066"/>
        <s v="TOPO05KPHOTO_067"/>
        <s v="TOPO05KPHOTO_068"/>
        <s v="TOPO05KPHOTO_069"/>
        <s v="TOPO05KPHOTO_070"/>
        <s v="TOPO05KPHOTO_071"/>
        <s v="TOPO05KPHOTO_072"/>
        <s v="TOPO05KPHOTO_073"/>
        <s v="TOPO05KPHOTO_074"/>
        <s v="TOPO05KPHOTO_075"/>
        <s v="TOPO05KPHOTO_076"/>
        <s v="TOPO05KPHOTO_078"/>
        <s v="TOPO05KPHOTO_079"/>
        <s v="TOPO05KPHOTO_080"/>
        <s v="TOPO05KPHOTO_081"/>
        <s v="TOPO05KPHOTO_083"/>
        <s v="TOPO05KPHOTO_084"/>
        <s v="TOPO05KPHOTO_086"/>
        <s v="TOPO05KPHOTO_087"/>
        <s v="TOPO05KPHOTO_088"/>
        <s v="TOPO05KPHOTO_089"/>
        <s v="TOPO05KPHOTO_090"/>
        <s v="TOPO05KPHOTO_091"/>
        <s v="TOPO05KPHOTO_092"/>
        <s v="TOPO05KPHOTO_093"/>
        <s v="TOPO05KPHOTO_094"/>
        <s v="TOPO05KPHOTO_095"/>
        <s v="TOPO05KPHOTO_096"/>
        <s v="TOPO05KPHOTO_097"/>
        <s v="TOPO05KPHOTO_098"/>
        <s v="TOPO05KPHOTO_099"/>
        <s v="TOPO05KPHOTO_100"/>
        <s v="TOPO05KPHOTO_101"/>
        <s v="TOPO05KPHOTO_102"/>
        <s v="TOPO05KPHOTO_103"/>
        <s v="TOPO05KPHOTO_104"/>
        <s v="TOPO05KPHOTO_105"/>
        <s v="TOPO05KPHOTO_106"/>
        <s v="TOPO05KPHOTO_107"/>
        <s v="TOPO05KPHOTO_108"/>
        <s v="TOPO05KPHOTO_109"/>
        <s v="TOPO05KPHOTO_110"/>
        <s v="TOPO05KPHOTO_111"/>
        <s v="TOPO05KPHOTO_112"/>
        <s v="TOPO05KPHOTO_113"/>
        <s v="TOPO05KPHOTO_114"/>
        <s v="TOPO10KPHOTO"/>
        <s v="TOPO10M_107"/>
        <s v="TOPO10M_109"/>
        <s v="TOPO10M_110"/>
        <s v="TOPO10M_111"/>
        <s v="TOPO10M_112"/>
        <s v="TOPO10M_113"/>
        <s v="TOPO10M_114"/>
        <s v="TOPO25K_107"/>
        <s v="TOPO25K_108"/>
        <s v="TOPO25K_109"/>
        <s v="TOPO25K_110"/>
        <s v="TOPO25K_111"/>
        <s v="TOPO25K_112"/>
        <s v="TOPO25K_113"/>
        <s v="TOPO25K_114"/>
        <s v="TOPO50K_107"/>
        <s v="TOPO50K_109"/>
        <s v="TOPO50K_110"/>
        <s v="TOPO50K_111"/>
        <s v="TOPO50K_112"/>
        <s v="TOPO50K_113"/>
        <s v="TOPON1K_B04"/>
        <s v="TOPON1K_B11"/>
        <s v="TOPON1K_B14"/>
        <s v="TOPON1K_B15"/>
        <s v="TOPON1K_B20"/>
        <s v="TOPON1K_B22"/>
        <s v="TOPON1K_B25"/>
        <s v="TOPON1K_D03"/>
        <s v="TOPON1K_D04"/>
        <s v="TOPON1K_D05"/>
        <s v="TOPON1K_D08"/>
        <s v="TOPON1K_D12"/>
        <s v="TOPON1K_E02"/>
        <s v="TOPON1K_E03"/>
        <s v="TOPON1K_E32"/>
        <s v="TOPON1K_G01"/>
        <s v="TOPON1K_G04"/>
        <s v="TOPON1K_G06"/>
        <s v="TOPON1K_G09"/>
        <s v="TOPON1K_G11"/>
        <s v="TOPON1K_G15"/>
        <s v="TOPON1K_G16"/>
        <s v="TOPON1K_G17"/>
        <s v="TOPON1K_G18"/>
        <s v="TOPON1K_G19"/>
        <s v="TOPON1K_G20"/>
        <s v="TOPON1K_H18"/>
        <s v="TOPON1K_H19"/>
        <s v="TOPON1K_H20"/>
        <s v="TOPON1K_H21"/>
        <s v="TOPON1K_H31"/>
        <s v="TOPON1K_J01"/>
        <s v="TOPON1K_J06"/>
        <s v="TOPON1K_J13"/>
        <s v="TOPON1K_J16"/>
        <s v="TOPON1K_J17"/>
        <s v="TOPON1K_K01"/>
        <s v="TOPON1K_K02"/>
        <s v="TOPON1K_K14"/>
        <s v="TOPON1K_M01"/>
        <s v="TOPON1K_M02"/>
        <s v="TOPON1K_M04"/>
        <s v="TOPON1K_N01"/>
        <s v="TOPON1K_N02"/>
        <s v="TOPON1K_P01"/>
        <s v="TOPON1K_P10"/>
        <s v="TOPON1K_P12"/>
        <s v="TOPON1K_P13"/>
        <s v="TOPON1K_P22"/>
        <s v="TOPON1K_P24"/>
        <s v="TOPON1K_P25"/>
        <s v="TOPON1K_Q02"/>
        <s v="TOPON1K_Q06"/>
        <s v="TOPON1K_Q07"/>
        <s v="TOPON1K_Q19"/>
        <s v="TOPON1K_Q21"/>
        <s v="TOPON1K_Q22"/>
        <s v="TOPON1K_Q26"/>
        <s v="TOPON1K_Q27"/>
        <s v="TOPON1K_Q28"/>
        <s v="TOPON1K_Q29"/>
        <s v="TOPON1K_Q30"/>
        <s v="TOPON1K_Q31"/>
        <s v="TOPON1K_T01"/>
        <s v="TOPON1K_T03"/>
        <s v="TOPON1K_T08"/>
        <s v="TOPON1K_T20"/>
        <s v="TOPON1K_T30"/>
        <s v="TOPON1K_U20"/>
        <s v="TOPON1K_V01"/>
        <s v="TOPON1K_V02"/>
        <s v="TOPON1K_X01"/>
        <s v="TOPON1K_X02"/>
        <s v="TOPON1K_X03"/>
        <s v="TOPON1K_X04"/>
        <s v="TOPON1K_X05"/>
        <s v="TOPON1K_X06"/>
        <s v="TOPON1K_X07"/>
        <s v="TOPON1K_X08"/>
        <s v="TOPON1KPHOTO_B04"/>
        <s v="TOPON1KPHOTO_B11"/>
        <s v="TOPON1KPHOTO_B14"/>
        <s v="TOPON1KPHOTO_B15"/>
        <s v="TOPON1KPHOTO_B20"/>
        <s v="TOPON1KPHOTO_B22"/>
        <s v="TOPON1KPHOTO_B25"/>
        <s v="TOPON1KPHOTO_D03"/>
        <s v="TOPON1KPHOTO_D04"/>
        <s v="TOPON1KPHOTO_D05"/>
        <s v="TOPON1KPHOTO_D08"/>
        <s v="TOPON1KPHOTO_D12"/>
        <s v="TOPON1KPHOTO_E02"/>
        <s v="TOPON1KPHOTO_E03"/>
        <s v="TOPON1KPHOTO_E32"/>
        <s v="TOPON1KPHOTO_G01"/>
        <s v="TOPON1KPHOTO_G04"/>
        <s v="TOPON1KPHOTO_G06"/>
        <s v="TOPON1KPHOTO_G09"/>
        <s v="TOPON1KPHOTO_G11"/>
        <s v="TOPON1KPHOTO_G15"/>
        <s v="TOPON1KPHOTO_G16"/>
        <s v="TOPON1KPHOTO_G17"/>
        <s v="TOPON1KPHOTO_G18"/>
        <s v="TOPON1KPHOTO_G19"/>
        <s v="TOPON1KPHOTO_G20"/>
        <s v="TOPON1KPHOTO_H18"/>
        <s v="TOPON1KPHOTO_H19"/>
        <s v="TOPON1KPHOTO_H20"/>
        <s v="TOPON1KPHOTO_H21"/>
        <s v="TOPON1KPHOTO_H31"/>
        <s v="TOPON1KPHOTO_J01"/>
        <s v="TOPON1KPHOTO_J06"/>
        <s v="TOPON1KPHOTO_J13"/>
        <s v="TOPON1KPHOTO_J16"/>
        <s v="TOPON1KPHOTO_J17"/>
        <s v="TOPON1KPHOTO_K01"/>
        <s v="TOPON1KPHOTO_K02"/>
        <s v="TOPON1KPHOTO_K14"/>
        <s v="TOPON1KPHOTO_M01"/>
        <s v="TOPON1KPHOTO_M02"/>
        <s v="TOPON1KPHOTO_M04"/>
        <s v="TOPON1KPHOTO_N01"/>
        <s v="TOPON1KPHOTO_N02"/>
        <s v="TOPON1KPHOTO_P01"/>
        <s v="TOPON1KPHOTO_P10"/>
        <s v="TOPON1KPHOTO_P12"/>
        <s v="TOPON1KPHOTO_P13"/>
        <s v="TOPON1KPHOTO_P22"/>
        <s v="TOPON1KPHOTO_P24"/>
        <s v="TOPON1KPHOTO_P25"/>
        <s v="TOPON1KPHOTO_Q02"/>
        <s v="TOPON1KPHOTO_Q06"/>
        <s v="TOPON1KPHOTO_Q07"/>
        <s v="TOPON1KPHOTO_Q19"/>
        <s v="TOPON1KPHOTO_Q21"/>
        <s v="TOPON1KPHOTO_Q22"/>
        <s v="TOPON1KPHOTO_Q26"/>
        <s v="TOPON1KPHOTO_Q27"/>
        <s v="TOPON1KPHOTO_Q28"/>
        <s v="TOPON1KPHOTO_Q29"/>
        <s v="TOPON1KPHOTO_Q30"/>
        <s v="TOPON1KPHOTO_Q31"/>
        <s v="TOPON1KPHOTO_T01"/>
        <s v="TOPON1KPHOTO_T03"/>
        <s v="TOPON1KPHOTO_T08"/>
        <s v="TOPON1KPHOTO_T20"/>
        <s v="TOPON1KPHOTO_T30"/>
        <s v="TOPON1KPHOTO_U20"/>
        <s v="TOPON1KPHOTO_V01"/>
        <s v="TOPON1KPHOTO_V02"/>
        <s v="TOPON1KPHOTO_X01"/>
        <s v="TOPON1KPHOTO_X02"/>
        <s v="TOPON1KPHOTO_X03"/>
        <s v="TOPON1KPHOTO_X04"/>
        <s v="TOPON1KPHOTO_X05"/>
        <s v="TOPON1KPHOTO_X06"/>
        <s v="TOPON1KPHOTO_X07"/>
        <s v="TOPON1KPHOTO_X08"/>
        <s v="TOWN"/>
        <s v="UAV101D01"/>
        <s v="UAV101D02"/>
        <s v="UAV101K01"/>
        <s v="UAV101K02"/>
        <s v="UAV101Q01"/>
        <s v="UAV101T01"/>
        <s v="UAV101U01"/>
        <s v="UAV101U02"/>
        <s v="UAV101V01"/>
        <s v="UAV102D01"/>
        <s v="UAV102D02"/>
        <s v="UAV102D03"/>
        <s v="UAV102H01"/>
        <s v="UAV102M01"/>
        <s v="UAV102N01"/>
        <s v="UAV102Q01"/>
        <s v="UAV102Q02"/>
        <s v="UAV102T01"/>
        <s v="UAV102T02"/>
        <s v="UAV102V01"/>
        <s v="UAV103D01"/>
        <s v="UAV103D03"/>
        <s v="UAV103D04"/>
        <s v="UAV103H01"/>
        <s v="UAV103K01"/>
        <s v="UAV103M01"/>
        <s v="UAV103M02"/>
        <s v="UAV103M03"/>
        <s v="UAV103M04"/>
        <s v="UAV103N01"/>
        <s v="UAV103P01"/>
        <s v="UAV103Q01"/>
        <s v="UAV103T01"/>
        <s v="UAV104D02"/>
        <s v="UAV104D03"/>
        <s v="UAV104D04"/>
        <s v="UAV104E01"/>
        <s v="UAV104E02"/>
        <s v="UAV104E03"/>
        <s v="UAV104K01"/>
        <s v="UAV104K02"/>
        <s v="UAV104N01"/>
        <s v="UAV104P01"/>
        <s v="UAV104T01"/>
        <s v="UAV105A01"/>
        <s v="UAV105A02"/>
        <s v="UAV105A03"/>
        <s v="UAV105B01"/>
        <s v="UAV105B02"/>
        <s v="UAV105B03"/>
        <s v="UAV105B04"/>
        <s v="UAV105B05"/>
        <s v="UAV105B06"/>
        <s v="UAV105B07"/>
        <s v="UAV105B08"/>
        <s v="UAV105B09"/>
        <s v="UAV105B10"/>
        <s v="UAV105B11"/>
        <s v="UAV105B12"/>
        <s v="UAV105B13"/>
        <s v="UAV105B14"/>
        <s v="UAV105B15"/>
        <s v="UAV105H01"/>
        <s v="UAV105H02"/>
        <s v="UAV105H03"/>
        <s v="UAV105H04"/>
        <s v="UAV105M01"/>
        <s v="UAV105M02"/>
        <s v="UAV105N01"/>
        <s v="UAV105O01"/>
        <s v="UAV105P01"/>
        <s v="UAV105P02"/>
        <s v="UAV105P03"/>
        <s v="UAV105U01"/>
        <s v="UAV106A01"/>
        <s v="UAV106A02"/>
        <s v="UAV106A03"/>
        <s v="UAV106D01"/>
        <s v="UAV106D02"/>
        <s v="UAV106D03"/>
        <s v="UAV106F01"/>
        <s v="UAV106F02"/>
        <s v="UAV106H01"/>
        <s v="UAV106H02"/>
        <s v="UAV106H03"/>
        <s v="UAV106I01"/>
        <s v="UAV106I02"/>
        <s v="UAV106K01"/>
        <s v="UAV106M01"/>
        <s v="UAV106N01"/>
        <s v="UAV106O01"/>
        <s v="UAV106P01"/>
        <s v="UAV106U01"/>
        <s v="UAV107A01"/>
        <s v="UAV107A02"/>
        <s v="UAV107A03"/>
        <s v="UAV107B01"/>
        <s v="UAV107B02"/>
        <s v="UAV107D01"/>
        <s v="UAV107F01"/>
        <s v="UAV107G01"/>
        <s v="UAV107J01"/>
        <s v="UAV107J02"/>
        <s v="UAV107K01"/>
        <s v="UAV107K02"/>
        <s v="UAV107O01"/>
        <s v="UAV107T01"/>
        <s v="UAV107T02"/>
        <s v="UAV108A01"/>
        <s v="UAV108A02"/>
        <s v="UAV108A03"/>
        <s v="UAV108B01"/>
        <s v="UAV108D01"/>
        <s v="UAV108D02"/>
        <s v="UAV108D03"/>
        <s v="UAV108D04"/>
        <s v="UAV108D05"/>
        <s v="UAV108E01"/>
        <s v="UAV108G01"/>
        <s v="UAV108Q01"/>
        <s v="UAV108Q02"/>
        <s v="UAV109A01"/>
        <s v="UAV109B01"/>
        <s v="UAV109D01"/>
        <s v="UAV109E01"/>
        <s v="UAV109K01"/>
        <s v="UAV109K02"/>
        <s v="UAV109P01"/>
        <s v="UAV109Q01"/>
        <s v="UAV109T01"/>
        <s v="UAV109T02"/>
        <s v="UAV109T03"/>
        <s v="UAV109U01"/>
        <s v="UAV109U02"/>
        <s v="UAV109U03"/>
        <s v="UAV110A01"/>
        <s v="UAV110B01"/>
        <s v="UAV110B02"/>
        <s v="UAV110B03"/>
        <s v="UAV110D01"/>
        <s v="UAV110D02"/>
        <s v="UAV110D03"/>
        <s v="UAV110D04"/>
        <s v="UAV110D05 "/>
        <s v="UAV110D06"/>
        <s v="UAV110D07 "/>
        <s v="UAV110D08 "/>
        <s v="UAV110E02"/>
        <s v="UAV110N01 "/>
        <s v="UAV110Q01"/>
        <s v="UAV110Q02"/>
        <s v="UAV111A02"/>
        <s v="UAV111A03 "/>
        <s v="UAV111A04"/>
        <s v="UAV111A05"/>
        <s v="UAV111A06 "/>
        <s v="UAV111D01"/>
        <s v="UAV111E01"/>
        <s v="UAV111J01"/>
        <s v="UAV111J02"/>
        <s v="UAV111J03"/>
        <s v="UAV111K01"/>
        <s v="UAV111K02"/>
        <s v="UAV111P01"/>
        <s v="UAV111P02"/>
        <s v="UAV111Q01"/>
        <s v="Village"/>
        <s v="Village201910"/>
        <s v="WFS:BUILDFRAME"/>
        <s v="WMS"/>
        <m/>
      </sharedItems>
    </cacheField>
    <cacheField name="115服務類別" numFmtId="0">
      <sharedItems count="18">
        <s v="3D Tiles"/>
        <s v="3D建物屬性 API"/>
        <s v="一千分之一地形圖 WFS"/>
        <s v="地段外圍圖 WFS"/>
        <s v="地籍圖 API"/>
        <s v="地籍圖 WFS"/>
        <s v="地籍圖 WMS"/>
        <s v="地籍圖 WMTS"/>
        <s v="地籍屬性 API"/>
        <s v="國土利用現況調查成果圖 WFS"/>
        <s v="國土利用屬性 API"/>
        <s v="開放 API"/>
        <s v="路徑規劃 API"/>
        <s v="臺灣通用電子地圖 WFS"/>
        <s v="模糊檢索 API"/>
        <s v="I3S"/>
        <s v="WMS"/>
        <s v="WMTS"/>
      </sharedItems>
    </cacheField>
    <cacheField name="服務名稱（中）" numFmtId="0">
      <sharedItems count="1358">
        <s v="1/100000 地形圖"/>
        <s v="1/100000地形圖107"/>
        <s v="1/100000地形圖109"/>
        <s v="1/100000地形圖110"/>
        <s v="1/100000地形圖111"/>
        <s v="1/100000地形圖112"/>
        <s v="1/100000地形圖113"/>
        <s v="1/100000地形圖114"/>
        <s v="1/10000像片基本圖"/>
        <s v="1/25000 地形圖"/>
        <s v="1/25000地形圖107"/>
        <s v="1/25000地形圖108"/>
        <s v="1/25000地形圖109"/>
        <s v="1/25000地形圖110"/>
        <s v="1/25000地形圖111"/>
        <s v="1/25000地形圖112"/>
        <s v="1/25000地形圖113"/>
        <s v="1/25000地形圖114"/>
        <s v="1/50000 地形圖"/>
        <s v="1/50000地形圖107"/>
        <s v="1/50000地形圖109"/>
        <s v="1/50000地形圖110"/>
        <s v="1/50000地形圖111"/>
        <s v="1/50000地形圖112"/>
        <s v="1/50000地形圖113"/>
        <s v="1/5000基本地形圖"/>
        <s v="1/5000基本地形圖_100年"/>
        <s v="1/5000基本地形圖_101年"/>
        <s v="1/5000基本地形圖_102年"/>
        <s v="1/5000基本地形圖_103年"/>
        <s v="1/5000基本地形圖_104年"/>
        <s v="1/5000基本地形圖_105年"/>
        <s v="1/5000基本地形圖_106年"/>
        <s v="1/5000基本地形圖_107年"/>
        <s v="1/5000基本地形圖_108年"/>
        <s v="1/5000基本地形圖_109年"/>
        <s v="1/5000基本地形圖_110年"/>
        <s v="1/5000基本地形圖_111年"/>
        <s v="1/5000基本地形圖_84年"/>
        <s v="1/5000基本地形圖_86年"/>
        <s v="1/5000基本地形圖_87年"/>
        <s v="1/5000基本地形圖_88年"/>
        <s v="1/5000基本地形圖_90年"/>
        <s v="1/5000基本地形圖_91年"/>
        <s v="1/5000基本地形圖_92年"/>
        <s v="1/5000基本地形圖_96年"/>
        <s v="1/5000基本地形圖_98年"/>
        <s v="1/5000基本地形圖_99年"/>
        <s v="1/5000像片基本圖100"/>
        <s v="1/5000像片基本圖101"/>
        <s v="1/5000像片基本圖102"/>
        <s v="1/5000像片基本圖103"/>
        <s v="1/5000像片基本圖104"/>
        <s v="1/5000像片基本圖105"/>
        <s v="1/5000像片基本圖106"/>
        <s v="1/5000像片基本圖107"/>
        <s v="1/5000像片基本圖108"/>
        <s v="1/5000像片基本圖109"/>
        <s v="1/5000像片基本圖110"/>
        <s v="1/5000像片基本圖111"/>
        <s v="1/5000像片基本圖112年"/>
        <s v="1/5000像片基本圖113年"/>
        <s v="1/5000像片基本圖114年"/>
        <s v="1/5000像片基本圖65"/>
        <s v="1/5000像片基本圖66"/>
        <s v="1/5000像片基本圖67"/>
        <s v="1/5000像片基本圖68"/>
        <s v="1/5000像片基本圖69"/>
        <s v="1/5000像片基本圖70"/>
        <s v="1/5000像片基本圖71"/>
        <s v="1/5000像片基本圖72"/>
        <s v="1/5000像片基本圖73"/>
        <s v="1/5000像片基本圖74"/>
        <s v="1/5000像片基本圖75"/>
        <s v="1/5000像片基本圖76"/>
        <s v="1/5000像片基本圖78"/>
        <s v="1/5000像片基本圖79"/>
        <s v="1/5000像片基本圖80"/>
        <s v="1/5000像片基本圖81"/>
        <s v="1/5000像片基本圖83"/>
        <s v="1/5000像片基本圖84"/>
        <s v="1/5000像片基本圖86"/>
        <s v="1/5000像片基本圖87"/>
        <s v="1/5000像片基本圖88"/>
        <s v="1/5000像片基本圖89"/>
        <s v="1/5000像片基本圖90"/>
        <s v="1/5000像片基本圖91"/>
        <s v="1/5000像片基本圖92"/>
        <s v="1/5000像片基本圖93"/>
        <s v="1/5000像片基本圖94"/>
        <s v="1/5000像片基本圖95"/>
        <s v="1/5000像片基本圖96"/>
        <s v="1/5000像片基本圖97"/>
        <s v="1/5000像片基本圖98"/>
        <s v="1/5000像片基本圖99"/>
        <s v="1/5000圖幅框"/>
        <s v="103年正射影像圖"/>
        <s v="104年正射影像圖"/>
        <s v="105年正射影像圖"/>
        <s v="106年正射影像圖"/>
        <s v="107年正射影像圖"/>
        <s v="108年正射影像圖"/>
        <s v="109年正射影像圖"/>
        <s v="110年正射影像圖"/>
        <s v="111年正射影像圖"/>
        <s v="112年正射影像圖"/>
        <s v="113年正射影像圖"/>
        <s v="114年正射影像圖"/>
        <s v="三維建物單棟或區域式服務發布3DTiles"/>
        <s v="三維建物單棟或區域式服務發布I3S"/>
        <s v="土壤液化潛勢_中級"/>
        <s v="土壤液化潛勢_初級"/>
        <s v="公有土地地籍圖"/>
        <s v="化縣八卦山脈_八卦山地區_98年"/>
        <s v="正射影像(混合)"/>
        <s v="正射影像圖(92-94)"/>
        <s v="正射影像圖(通用)"/>
        <s v="正射影像圖(通用)_3826"/>
        <s v="各級學校範圍圖"/>
        <s v="地政事務所轄區圖"/>
        <s v="地段外圍圖"/>
        <s v="地段外圍圖(段籍圖)"/>
        <s v="地段外圍圖(段籍圖)(類別)"/>
        <s v="地質敏感區"/>
        <s v="地質敏感區(山崩與地滑)"/>
        <s v="地籍圖"/>
        <s v="地籍圖磚"/>
        <s v="村里界"/>
        <s v="村里界(108年10月)"/>
        <s v="坡向圖"/>
        <s v="坡度圖-30%坡(2003-2005)"/>
        <s v="坡度圖-30%坡(2010-2015)"/>
        <s v="坡度圖-7級(2003-2005)"/>
        <s v="坡度圖-7級(2010-2015)"/>
        <s v="宜蘭縣三星都市計畫"/>
        <s v="宜蘭縣大湖風景特定區"/>
        <s v="宜蘭縣大湖風景特定區計畫_正射影像(112年)"/>
        <s v="宜蘭縣大湖風景特定區計畫(112年)"/>
        <s v="宜蘭縣五峰旗及礁溪都市計畫"/>
        <s v="宜蘭縣五峰旗風景特定區計畫_正射影像(112年)"/>
        <s v="宜蘭縣五峰旗風景特定區計畫(112年)"/>
        <s v="宜蘭縣五結_學進地區都市計畫"/>
        <s v="宜蘭縣五結鄉108年UAS(UAV)"/>
        <s v="宜蘭縣冬山_順安地區都市計畫"/>
        <s v="宜蘭縣冬山(順安地區)都市計畫_正射影像(112年)"/>
        <s v="宜蘭縣冬山(順安地區)都市計畫(112年)"/>
        <s v="宜蘭縣冬山及蘇澳_含新馬_都市計畫"/>
        <s v="宜蘭縣壯圍都市計畫"/>
        <s v="宜蘭縣宜蘭市都市計畫"/>
        <s v="宜蘭縣宜蘭市都市計畫_正射影像(113年)"/>
        <s v="宜蘭縣宜蘭市都市計畫(113年)"/>
        <s v="宜蘭縣東北角暨宜蘭海岸國家風景區"/>
        <s v="宜蘭縣南澳南強都市計畫"/>
        <s v="宜蘭縣南澳南強都市計畫_正射影像(112年)"/>
        <s v="宜蘭縣南澳南強都市計畫(112年)"/>
        <s v="宜蘭縣南澳鄉107年UAS(UAV)"/>
        <s v="宜蘭縣政中心地區都市計畫_正射影像(112年)"/>
        <s v="宜蘭縣政中心地區都市計畫(112年)"/>
        <s v="宜蘭縣員山都市計畫"/>
        <s v="宜蘭縣員山都市計畫_正射影像(112年)"/>
        <s v="宜蘭縣員山都市計畫(112年)"/>
        <s v="宜蘭縣梅花湖風景特定區"/>
        <s v="宜蘭縣梅花湖風景特定區計畫_正射影像(112年)"/>
        <s v="宜蘭縣梅花湖風景特定區計畫(112年)"/>
        <s v="宜蘭縣頭城都市計畫"/>
        <s v="宜蘭縣龍潭湖風景特定區計畫_正射影像(112年)"/>
        <s v="宜蘭縣龍潭湖風景特定區計畫(112年)"/>
        <s v="宜蘭縣龍潭湖特定區及四城地區"/>
        <s v="宜蘭縣礁溪都市計畫_正射影像(112年)"/>
        <s v="宜蘭縣礁溪都市計畫(112年)"/>
        <s v="宜蘭縣羅東都市計畫"/>
        <s v="宜蘭縣蘇澳(新馬地區)都市計畫_正射影像(112年)"/>
        <s v="宜蘭縣蘇澳(新馬地區)都市計畫(112年)"/>
        <s v="空載光達數值地形變異分析圖(0.5M門檻)"/>
        <s v="花蓮縣大花蓮都市計畫_111年"/>
        <s v="花蓮縣玉里都市計畫_106年"/>
        <s v="花蓮縣玉里都市計畫_111年"/>
        <s v="花蓮縣石梯秀姑巒風景特定區_107年"/>
        <s v="花蓮縣光復109年UAS(UAV)"/>
        <s v="花蓮縣光復都市計畫_104年"/>
        <s v="花蓮縣光復都市計畫_109年"/>
        <s v="花蓮縣光復鄉_正射影像(113年)"/>
        <s v="花蓮縣光復鄉(113年)"/>
        <s v="花蓮縣吉安(鄉公所)都市計畫_104年"/>
        <s v="花蓮縣吉安(鄉公所)都市計畫_109年"/>
        <s v="花蓮縣吉安都市計畫_104年"/>
        <s v="花蓮縣吉安都市計畫_109年"/>
        <s v="花蓮縣秀林(和平地區)都市計畫_107年"/>
        <s v="花蓮縣秀林(崇德地區)都市計畫_107年"/>
        <s v="花蓮縣卓溪①109年UAS(UAV)"/>
        <s v="花蓮縣卓溪②109年UAS(UAV)"/>
        <s v="花蓮縣卓溪鄉106年UAS(UAV)"/>
        <s v="花蓮縣東華大學城特定區_105年"/>
        <s v="花蓮縣花蓮市105年UAS(UAV)"/>
        <s v="花蓮縣花蓮吉安新城都市計畫_109年"/>
        <s v="花蓮縣花蓮都市計畫_104年"/>
        <s v="花蓮縣花蓮都市計畫_109年"/>
        <s v="花蓮縣富里都市計畫_106年"/>
        <s v="花蓮縣新城(北埔地區)都市計畫_109年"/>
        <s v="花蓮縣新城北埔都市計畫_104年"/>
        <s v="花蓮縣新城秀林都市計畫_107年"/>
        <s v="花蓮縣瑞穗都市計畫_106年"/>
        <s v="花蓮縣壽豐都市計畫_106年"/>
        <s v="花蓮縣壽豐鄉101年UAS(UAV)"/>
        <s v="花蓮縣壽豐鄉豐平大橋101年UAS(UAV)"/>
        <s v="花蓮縣鳳林都市計畫_104年"/>
        <s v="花蓮縣鳳林都市計畫_109年"/>
        <s v="花蓮縣磯崎風景特定區_107年"/>
        <s v="花蓮縣鯉魚潭風景特定區_106年"/>
        <s v="金門縣_112年"/>
        <s v="金門縣都市計畫"/>
        <s v="非都市土地使用分區圖"/>
        <s v="非都市土地使用地類別圖"/>
        <s v="便利商店(超商)"/>
        <s v="南投縣八卦山脈"/>
        <s v="南投縣中寮都市計畫"/>
        <s v="南投縣中興新村"/>
        <s v="南投縣中興新村(含南內轆地區)都市計畫_正射影像(112年)"/>
        <s v="南投縣中興新村(含南內轆地區)都市計畫(112年)"/>
        <s v="南投縣仁愛鄉(清境農場)103年UAS(UAV)"/>
        <s v="南投縣日月潭特定區"/>
        <s v="南投縣水里都市計畫"/>
        <s v="南投縣名間都市計畫"/>
        <s v="南投縣竹山都市計畫_竹山"/>
        <s v="南投縣竹山都市計畫_延平"/>
        <s v="南投縣竹山鎮105年UAS(UAV)"/>
        <s v="南投縣東埔風景區"/>
        <s v="南投縣南投(含南崗地區)都市計畫_正射影像(112年)"/>
        <s v="南投縣南投(含南崗地區)都市計畫(112年)"/>
        <s v="南投縣南投市(航遙測校正場)102年UAS(UAV)"/>
        <s v="南投縣南投市(航遙測校正場)103年UAS(UAV)"/>
        <s v="南投縣南投市(國3南投交流道)103年UAS(UAV)"/>
        <s v="南投縣南投都市計畫_南投"/>
        <s v="南投縣南投都市計畫_南崗"/>
        <s v="南投縣埔里都市計畫"/>
        <s v="南投縣草屯都市計畫"/>
        <s v="南投縣草屯都市計畫_正射影像(112年)"/>
        <s v="南投縣草屯都市計畫(112年)"/>
        <s v="南投縣草屯鎮(九九峰)106年UAS(UAV)"/>
        <s v="南投縣草屯鎮105年UAS(UAV)"/>
        <s v="南投縣國姓都市計畫"/>
        <s v="南投縣國姓鄉(國6北山交流道)103年UAS(UAV)"/>
        <s v="南投縣魚池都市計畫"/>
        <s v="南投縣鹿谷都市計畫"/>
        <s v="南投縣集集都市計畫"/>
        <s v="南投縣溪頭森林遊樂區"/>
        <s v="南投縣翠峰風景區"/>
        <s v="南投縣鳳凰谷風景區"/>
        <s v="南投縣廬山風景區"/>
        <s v="南投縣霧社都市計畫"/>
        <s v="屏東交流道107年UAS(UAV)"/>
        <s v="屏東東港109年UAS(UAV)"/>
        <s v="屏東海豐外環道107年UAS(UAV)"/>
        <s v="屏東縣九如都市計畫(100年)"/>
        <s v="屏東縣大鵬灣風景特定區(102年)"/>
        <s v="屏東縣小琉球風景特定區(102年)"/>
        <s v="屏東縣內埔都市計畫(100年)"/>
        <s v="屏東縣內埔龍泉都市計畫(100年)"/>
        <s v="屏東縣內埔豐田都市計畫(100年)"/>
        <s v="屏東縣竹田都市計畫(101年)"/>
        <s v="屏東縣車城都市計畫(101年)"/>
        <s v="屏東縣里港都市計畫_正射影像(113年)"/>
        <s v="屏東縣里港都市計畫(100年)"/>
        <s v="屏東縣里港都市計畫(113年)"/>
        <s v="屏東縣里港鄉(國10里港交流道)104年UAS(UAV)"/>
        <s v="屏東縣里港鄉102年UAS(UAV)"/>
        <s v="屏東縣佳冬都市計畫(100年)"/>
        <s v="屏東縣東港都市計畫_正射影像(113年)"/>
        <s v="屏東縣東港都市計畫(113年)"/>
        <s v="屏東縣東港都市計畫(99年)"/>
        <s v="屏東縣枋寮水底寮都市計畫(100年)"/>
        <s v="屏東縣枋寮都市計畫(100年)"/>
        <s v="屏東縣林邊都市計畫(100年)"/>
        <s v="屏東縣林邊都市計畫(99年)"/>
        <s v="屏東縣長治都市計畫(100年)"/>
        <s v="屏東縣南州都市計畫(101年)"/>
        <s v="屏東縣屏東109年UAS(UAV)"/>
        <s v="屏東縣屏東都市計畫_正射影像(112年)"/>
        <s v="屏東縣屏東都市計畫(112年)"/>
        <s v="屏東縣屏東都市計畫(93-94年)"/>
        <s v="屏東縣恆春都市計畫(100年)"/>
        <s v="屏東縣崁頂都市計畫(101年)"/>
        <s v="屏東縣高樹109年UAS(UAV)"/>
        <s v="屏東縣高樹都市計畫(100年)"/>
        <s v="屏東縣新埤都市計畫(100年)"/>
        <s v="屏東縣新園(烏龍地區)都市計畫_正射影像(113年)"/>
        <s v="屏東縣新園(烏龍地區)都市計畫(113年)"/>
        <s v="屏東縣新園烏龍都市計畫(100年)"/>
        <s v="屏東縣新園都市計畫(100年)"/>
        <s v="屏東縣萬丹都市計畫(100年)"/>
        <s v="屏東縣萬巒都市計畫(101年)"/>
        <s v="屏東縣滿州都市計畫(101年)"/>
        <s v="屏東縣滿州鄉101年UAS(UAV)"/>
        <s v="屏東縣滿州鄉102年UAS(UAV)"/>
        <s v="屏東縣潮州都市計畫(98年)"/>
        <s v="屏東縣霧台鄉(台24谷川大橋)103年UAS(UAV)"/>
        <s v="屏東縣麟洛都市計畫(100年)"/>
        <s v="屏東縣鹽埔都市計畫(100年)"/>
        <s v="屏東縣鹽埔漁港特定區(102年)"/>
        <s v="屏東縣鹽埔漁港特定區計畫_正射影像(113年)"/>
        <s v="屏東縣鹽埔漁港特定區計畫(113年)"/>
        <s v="建物模型"/>
        <s v="建物屬性查詢(查詢建物資料來源清單)"/>
        <s v="建物屬性查詢(查詢建物圖層名稱清單)"/>
        <s v="建物屬性查詢(查詢建物屬性)"/>
        <s v="建物屬性查詢(查詢建物屬性API服務狀態)"/>
        <s v="苗栗縣三義都市計畫"/>
        <s v="苗栗縣大湖都市計畫"/>
        <s v="苗栗縣公館都市計畫"/>
        <s v="苗栗縣竹南頭份都市計畫"/>
        <s v="苗栗縣西湖109年UAS(UAV)"/>
        <s v="苗栗縣卓蘭都市計畫"/>
        <s v="苗栗縣卓蘭鎮101年UAS(UAV)"/>
        <s v="苗栗縣明德水庫特定區"/>
        <s v="苗栗縣南庄都市計畫"/>
        <s v="苗栗縣後龍外埔漁港"/>
        <s v="苗栗縣後龍都市計畫"/>
        <s v="苗栗縣後龍鎮101年UAS(UAV)"/>
        <s v="苗栗縣苑裡都市計畫"/>
        <s v="苗栗縣苑裡鎮(火炎山)106年UAS(UAV)"/>
        <s v="苗栗縣苗栗109年UAS(UAV)"/>
        <s v="苗栗縣苗栗高鐵車站"/>
        <s v="苗栗縣苗栗都市計畫"/>
        <s v="苗栗縣苗栗都市計畫_正射影像(112年)"/>
        <s v="苗栗縣苗栗都市計畫(112年)"/>
        <s v="苗栗縣泰安鄉雪見111年UAS(UAV)"/>
        <s v="苗栗縣泰安鄉觀霧111年UAS(UAV)"/>
        <s v="苗栗縣高速公路苗栗交流道附近特定區計畫_正射影像(112年)"/>
        <s v="苗栗縣高速公路苗栗交流道附近特定區計畫(112年)"/>
        <s v="苗栗縣通霄都市計畫"/>
        <s v="苗栗縣通霄鎮107年UAS(UAV)"/>
        <s v="苗栗縣造橋都市計畫"/>
        <s v="苗栗縣造橋鄉(台13甲線)104年UAS(UAV)"/>
        <s v="苗栗縣新竹科學園區"/>
        <s v="苗栗縣獅潭鄉(汶水橋)104年UAS(UAV)"/>
        <s v="苗栗縣銅鑼都市計畫"/>
        <s v="苗栗縣銅鑼鄉(銅鑼科學園區)103年UAS(UAV)"/>
        <s v="苗栗縣銅鑼鎮107年UAS(UAV)"/>
        <s v="苗栗縣頭份交流道"/>
        <s v="苗栗縣頭屋都市計畫"/>
        <s v="苗栗縣頭屋都市計畫_正射影像(112年)"/>
        <s v="苗栗縣頭屋都市計畫(112年)"/>
        <s v="桃園市(中路計畫區段徵收)103年UAS(UAV)"/>
        <s v="桃園市八德(八德地區)都市計畫_111年"/>
        <s v="桃園市八德(大湳地區)都市計畫_111年"/>
        <s v="桃園市八德大湳都市計畫_92年"/>
        <s v="桃園市大園(菓林)都市計畫_107年"/>
        <s v="桃園市大園果林都市計畫_98年"/>
        <s v="桃園市大園都市計畫_108年"/>
        <s v="桃園市大園都市計畫_98年"/>
        <s v="桃園市大溪(埔頂地區)都市計畫_111年"/>
        <s v="桃園市大溪埔頂都市計畫_102年"/>
        <s v="桃園市大溪都市計畫_93年"/>
        <s v="桃園市小烏來風景特定區_100年"/>
        <s v="桃園市中壢(龍岡地區)都市計畫_111年"/>
        <s v="桃園市中壢及內壢交流道特定區_100年"/>
        <s v="桃園市中壢平鎮都市計畫_100年"/>
        <s v="桃園市中壢平鎮都市計畫_111年"/>
        <s v="桃園市中壢過嶺地區等都市計畫_100年"/>
        <s v="桃園市中壢龍岡都市計畫_95年"/>
        <s v="桃園市巴陵達觀山風景特定區_100年"/>
        <s v="桃園市平鎮(山子頂地區)都市計畫_正射影像(112年)"/>
        <s v="桃園市平鎮(山子頂地區)都市計畫(112年)"/>
        <s v="桃園市平鎮山子頂都市計畫_96年"/>
        <s v="桃園市平鎮區105年UAS(UAV)"/>
        <s v="桃園市平鎮區106年UAS(UAV)"/>
        <s v="桃園市石門水庫水源特定區_100年"/>
        <s v="桃園市石門都市計畫_102年"/>
        <s v="桃園市林口特定區_101年"/>
        <s v="桃園市南崁地區都市計畫_107年"/>
        <s v="桃園市南崁都市計畫_94年"/>
        <s v="桃園市桃園市都市計畫_103_105年"/>
        <s v="桃園市航空城_大園南港特定區_98年"/>
        <s v="桃園市高鐵桃園車站特定區_98年"/>
        <s v="桃園市高鐵特定區都市計畫_105年"/>
        <s v="桃園市復興都市計畫_94年"/>
        <s v="桃園市新屋區105年UAS(UAV)"/>
        <s v="桃園市新屋區106年UAS(UAV)"/>
        <s v="桃園市新屋都市計畫_100年"/>
        <s v="桃園市新屋都市計畫_正射影像(113年)"/>
        <s v="桃園市新屋都市計畫(113年)"/>
        <s v="桃園市楊梅都市計畫_102年"/>
        <s v="桃園市楊梅富岡豐野都市計畫_100年"/>
        <s v="桃園市龍壽迴龍都市計畫_98年"/>
        <s v="桃園市龍潭都市計畫_97年"/>
        <s v="桃園市龍潭都市計畫_正射影像(113年)"/>
        <s v="桃園市龍潭都市計畫(113年)"/>
        <s v="桃園市龜山區102年UAS(UAV)"/>
        <s v="桃園市龜山都市計畫_98年"/>
        <s v="桃園市縱貫公路內壢間都市計畫_100年"/>
        <s v="桃園市蘆竹大竹都市計畫_98年"/>
        <s v="桃園市蘆竹區105年UAS(UAV)"/>
        <s v="桃園市觀音(新坡地區)都市計畫_正射影像(113年)"/>
        <s v="桃園市觀音(新坡地區)都市計畫(113年)"/>
        <s v="桃園市觀音草漯都市計畫_100年"/>
        <s v="桃園市觀音區105年UAS(UAV)"/>
        <s v="桃園市觀音區106年UAS(UAV)"/>
        <s v="桃園市觀音都市計畫_94年"/>
        <s v="桃園市觀音都市計畫_正射影像(113年)"/>
        <s v="桃園市觀音都市計畫(113年)"/>
        <s v="桃園市觀音新坡都市計畫_94年"/>
        <s v="桃園航空城特定區_110年"/>
        <s v="消防栓"/>
        <s v="馬太鞍溪事件_2024_2025_災前航照圖"/>
        <s v="馬太鞍溪事件_20250925_航照圖1"/>
        <s v="馬太鞍溪事件_20250925_航照圖2"/>
        <s v="馬太鞍溪事件_20250925_航照圖3"/>
        <s v="馬太鞍溪事件_20250927_航照圖1"/>
        <s v="馬太鞍溪事件_20250927_航照圖2"/>
        <s v="馬太鞍溪事件_20250927_航照圖3"/>
        <s v="馬太鞍溪事件_20250928_航照圖1"/>
        <s v="馬太鞍溪事件_20250928_航照圖2"/>
        <s v="馬太鞍溪事件_20250929_航照圖1"/>
        <s v="馬太鞍溪事件_20250929_航照圖2"/>
        <s v="馬太鞍溪事件_20250930_航照圖1"/>
        <s v="馬太鞍溪事件_20250930_航照圖2"/>
        <s v="馬太鞍溪事件_20251001_航照圖1"/>
        <s v="馬太鞍溪事件_20251002_航照圖1"/>
        <s v="馬太鞍溪事件_20251002_航照圖2"/>
        <s v="馬太鞍溪事件_20251002_航照圖3"/>
        <s v="馬太鞍溪事件_20251003_航照圖1"/>
        <s v="馬太鞍溪事件_20251003_航照圖2"/>
        <s v="馬太鞍溪事件_20251003_航照圖3"/>
        <s v="馬太鞍溪事件_20251003_航照圖4"/>
        <s v="馬太鞍溪事件_20251003_航照圖5"/>
        <s v="馬太鞍溪事件_20251003_航照圖6"/>
        <s v="馬太鞍溪事件_20251003_航照圖7"/>
        <s v="馬太鞍溪事件_20251004_航照圖1"/>
        <s v="馬太鞍溪事件_20251004_航照圖2"/>
        <s v="馬太鞍溪事件_20251004_航照圖3"/>
        <s v="馬太鞍溪事件_20251005_航照圖1"/>
        <s v="馬太鞍溪事件_20251005_航照圖2"/>
        <s v="馬太鞍溪事件_20251005_航照圖3"/>
        <s v="馬太鞍溪事件_20251006_航照圖1"/>
        <s v="馬太鞍溪事件_20251006_航照圖2"/>
        <s v="馬太鞍溪事件_20251006_航照圖3"/>
        <s v="馬太鞍溪事件_20251007_航照圖1"/>
        <s v="馬太鞍溪事件_20251007_航照圖2"/>
        <s v="馬太鞍溪事件_20251007_航照圖3"/>
        <s v="馬太鞍溪事件_20251013_航照圖1"/>
        <s v="馬太鞍溪事件_20251013_航照圖2"/>
        <s v="馬太鞍溪事件_20251013_航照圖3"/>
        <s v="馬太鞍溪事件_20251013_航照圖4"/>
        <s v="馬太鞍溪事件_20251013_航照圖5"/>
        <s v="馬太鞍溪事件_20251013_航照圖6"/>
        <s v="馬太鞍溪事件_20251013_航照圖7"/>
        <s v="馬太鞍溪事件_20251013_航照圖8"/>
        <s v="馬太鞍溪事件_20251013_航照圖9"/>
        <s v="馬太鞍溪事件_20251116_航照圖1"/>
        <s v="馬太鞍溪事件_20251116_航照圖2"/>
        <s v="馬太鞍溪事件_20251116_航照圖3"/>
        <s v="馬太鞍溪事件_20251116_航照圖4"/>
        <s v="馬太鞍溪事件_20251116_航照圖5"/>
        <s v="馬太鞍溪事件_20251116_航照圖6"/>
        <s v="馬太鞍溪事件_20251116_航照圖7"/>
        <s v="馬太鞍溪事件_20251116_航照圖8"/>
        <s v="高雄市(三民.苓雅.前金.新興.前鎮.鹽埕)都市計畫_正射影像(113年)"/>
        <s v="高雄市(三民.苓雅.前金.新興.前鎮.鹽埕)都市計畫(113年)"/>
        <s v="高雄市大坪頂以東地區88以北_93年"/>
        <s v="高雄市大坪頂以東地區88以北_94年"/>
        <s v="高雄市大坪頂以東地區88以南_97年"/>
        <s v="高雄市大坪頂特定區_99年"/>
        <s v="高雄市大社110年UAS(UAV)"/>
        <s v="高雄市大社都市計畫_105年"/>
        <s v="高雄市大寮區108年UAS(UAV)"/>
        <s v="高雄市大寮都市計畫_105年"/>
        <s v="高雄市大樹九曲堂都市計畫_106年"/>
        <s v="高雄市大樹都市計畫_92年"/>
        <s v="高雄市大樹都市計畫區_107年"/>
        <s v="高雄市仁武區(國1鼎金交流道)104年UAS(UAV)"/>
        <s v="高雄市仁武都市計畫_100年"/>
        <s v="高雄市六龜彩蝶谷風景特定區_99年"/>
        <s v="高雄市月世界風景特定區_99年"/>
        <s v="高雄市左營鼓山地區_113年"/>
        <s v="高雄市永安111年UAS(UAV)"/>
        <s v="高雄市甲仙都市計畫_99年"/>
        <s v="高雄市岡山109年UAS(UAV)"/>
        <s v="高雄市岡山交流道特定區_99年"/>
        <s v="高雄市岡山都市計畫_98年"/>
        <s v="高雄市岡山都市計畫_正射影像(112年)"/>
        <s v="高雄市岡山都市計畫(112年)"/>
        <s v="高雄市阿蓮都市計畫_104年"/>
        <s v="高雄市前鎮區(氣爆災點)104年UAS(UAV)"/>
        <s v="高雄市前鎮區(經貿園區65期)104年UAS(UAV)"/>
        <s v="高雄市美濃中正湖風景特定區_101年"/>
        <s v="高雄市美濃都市計畫_105年"/>
        <s v="高雄市茄萣都市計畫及興達港漁業特定區_101年"/>
        <s v="高雄市梓官都市計畫_101年"/>
        <s v="高雄市梓官都市計畫_109年"/>
        <s v="高雄市蚵仔寮近海漁業特定區_101年"/>
        <s v="高雄市都市計畫_102年"/>
        <s v="高雄市鳥松(仁美地區)都市計畫區_108年"/>
        <s v="高雄市鳥松仁美地區都市計畫_101年"/>
        <s v="高雄市湖內含大湖都市計畫_101年"/>
        <s v="高雄市新市鎮特定區_102年"/>
        <s v="高雄市新市鎮特定區_97年"/>
        <s v="高雄市楠梓交流道特定區鳳山厝_106年"/>
        <s v="高雄市楠梓區_113年"/>
        <s v="高雄市路竹都市計畫_106年"/>
        <s v="高雄市旗山都市計畫_99年"/>
        <s v="高雄市鳳山主要計畫_正射影像(113年)"/>
        <s v="高雄市鳳山主要計畫(113年)"/>
        <s v="高雄市鳳山都市計畫_100年"/>
        <s v="高雄市燕巢都市計畫_104年"/>
        <s v="高雄市興達港漁業特定區_109年"/>
        <s v="高雄市彌陀都市計畫_101年"/>
        <s v="國土利用現況調查-1類農業"/>
        <s v="國土利用現況調查-2類森林"/>
        <s v="國土利用現況調查-3類交通"/>
        <s v="國土利用現況調查-4類水利"/>
        <s v="國土利用現況調查-5類建築"/>
        <s v="國土利用現況調查-6類公共"/>
        <s v="國土利用現況調查-7類遊憩"/>
        <s v="國土利用現況調查-8類礦鹽"/>
        <s v="國土利用現況調查-9類其他"/>
        <s v="國土利用現況調查098年更新區"/>
        <s v="國土利用現況調查099年更新區"/>
        <s v="國土利用現況調查100年更新區"/>
        <s v="國土利用現況調查101年更新區"/>
        <s v="國土利用現況調查102年更新區"/>
        <s v="國土利用現況調查103年更新區"/>
        <s v="國土利用現況調查104年更新區"/>
        <s v="國土利用現況調查105年更新區"/>
        <s v="國土利用現況調查106年更新區"/>
        <s v="國土利用現況調查107年更新區"/>
        <s v="國土利用現況調查108年更新區"/>
        <s v="國土利用現況調查109年更新區"/>
        <s v="國土利用現況調查110年更新區"/>
        <s v="國土利用現況調查111年更新區"/>
        <s v="國土利用現況調查112年更新區"/>
        <s v="國土利用現況調查113年更新區"/>
        <s v="國土利用現況調查114年更新區"/>
        <s v="國土利用現況調查成果圖"/>
        <s v="國土利用調查成果圖"/>
        <s v="國土利用調查成果圖82年"/>
        <s v="國土利用調查成果圖95-97年"/>
        <s v="基隆市_111年"/>
        <s v="基隆市都市計畫"/>
        <s v="連江縣都市計畫"/>
        <s v="陰影圖"/>
        <s v="渲染圖"/>
        <s v="等高線圖(2003-2005)"/>
        <s v="等高線圖(2010-2015)"/>
        <s v="鄉鎮區界"/>
        <s v="雲林古坑109年UAS(UAV)"/>
        <s v="雲林縣二崙都市計畫_正射影像(112年)"/>
        <s v="雲林縣二崙都市計畫(112年)"/>
        <s v="雲林縣二崙都市計畫(99年)"/>
        <s v="雲林縣口湖111年UAS(UAV)"/>
        <s v="雲林縣大埤都市計畫(97年)"/>
        <s v="雲林縣元長都市計畫(100年)"/>
        <s v="雲林縣斗六(含大潭地區)都市計畫_正射影像(113年)"/>
        <s v="雲林縣斗六(含大潭地區)都市計畫(113年)"/>
        <s v="雲林縣斗六市(湖山水庫)106年UAS(UAV)"/>
        <s v="雲林縣斗六都市計畫(99年)"/>
        <s v="雲林縣斗六嘉東地區特定區計畫_正射影像(112年)"/>
        <s v="雲林縣斗六嘉東地區特定區計畫(112年)"/>
        <s v="雲林縣斗六嘉東特定區(97年)"/>
        <s v="雲林縣斗南交流道特定區(98年)"/>
        <s v="雲林縣古坑都市計畫(100年)"/>
        <s v="雲林縣古坑鄉(崁頭厝)105年UAS(UAV)"/>
        <s v="雲林縣古坑鄉(國3古坑交流道)105年UAS(UAV)"/>
        <s v="雲林縣古坑鄉(樟湖)105年UAS(UAV)"/>
        <s v="雲林縣台西都市計畫(97年)"/>
        <s v="雲林縣四湖都市計畫(97年)"/>
        <s v="雲林縣東勢都市計畫(97年)"/>
        <s v="雲林縣林內都市計畫(97年)"/>
        <s v="雲林縣虎尾鎮(雲林高鐵站)104年UAS(UAV)"/>
        <s v="雲林縣草嶺都市計畫(97年)"/>
        <s v="雲林縣高速鐵路雲林車站特定區計畫_正射影像(113年)"/>
        <s v="雲林縣高速鐵路雲林車站特定區計畫(113年)"/>
        <s v="雲林縣崙背都市計畫_正射影像(112年)"/>
        <s v="雲林縣崙背都市計畫(112年)"/>
        <s v="雲林縣崙背都市計畫(97年)"/>
        <s v="雲林縣麥寮鄉(台61線)103年UAS(UAV)"/>
        <s v="雲林縣莿桐都市計畫_正射影像(113年)"/>
        <s v="雲林縣莿桐都市計畫(113年)"/>
        <s v="雲林縣箔子寮漁港特定區(97年)"/>
        <s v="雲林縣箔子寮漁港特定區計畫_正射影像(112年)"/>
        <s v="雲林縣箔子寮漁港特定區計畫(112年)"/>
        <s v="雲林縣臺西111年UAS(UAV)"/>
        <s v="雲林縣褒忠都市計畫(97年)"/>
        <s v="新北市八里區(107年修測)"/>
        <s v="新北市八里都市計畫_101年"/>
        <s v="新北市三芝區(109年修測)"/>
        <s v="新北市三芝都市計畫_104年"/>
        <s v="新北市三重區(110年修測)"/>
        <s v="新北市三重都市計畫_103年"/>
        <s v="新北市三峽區(111年修測)"/>
        <s v="新北市三峽都市計畫_105年"/>
        <s v="新北市土城區(109年修測)"/>
        <s v="新北市土城都市計畫_103年"/>
        <s v="新北市中和區(112年修測)"/>
        <s v="新北市中和都市計畫_104年"/>
        <s v="新北市五股區(107年修測)"/>
        <s v="新北市五股都市計畫_101年"/>
        <s v="新北市平溪區(110年修測)"/>
        <s v="新北市平溪都市計畫_103年"/>
        <s v="新北市永和區(112年修測)"/>
        <s v="新北市永和都市計畫_104年"/>
        <s v="新北市石門區(110年修測)"/>
        <s v="新北市石門都市計畫_104年"/>
        <s v="新北市石碇區(110年修測)"/>
        <s v="新北市石碇都市計畫_104年"/>
        <s v="新北市汐止區(108年修測)"/>
        <s v="新北市汐止都市計畫_102年"/>
        <s v="新北市坪林區(110年修測)"/>
        <s v="新北市坪林都市計畫_104年"/>
        <s v="新北市板橋區(109年修測)"/>
        <s v="新北市板橋都市計畫_103年"/>
        <s v="新北市林口區(107年修測)"/>
        <s v="新北市林口都市計畫_101年"/>
        <s v="新北市金山區(109年修測)"/>
        <s v="新北市金山區107年UAS(UAV)"/>
        <s v="新北市金山都市計畫_103年"/>
        <s v="新北市泰山都市計畫_105年"/>
        <s v="新北市烏來區(112年修測)"/>
        <s v="新北市烏來區106年UAS(UAV)"/>
        <s v="新北市烏來都市計畫_104年"/>
        <s v="新北市貢寮區(108年修測)"/>
        <s v="新北市貢寮區(112年修測)"/>
        <s v="新北市貢寮都市計畫_100年"/>
        <s v="新北市淡水區(110年修測)"/>
        <s v="新北市淡水都市計畫_105年"/>
        <s v="新北市深坑區(110年修測)"/>
        <s v="新北市深坑都市計畫_104年"/>
        <s v="新北市新店區(111年修測)"/>
        <s v="新北市新店都市計畫_104年"/>
        <s v="新北市新莊都市計畫_105年"/>
        <s v="新北市瑞芳區(111年修測)"/>
        <s v="新北市瑞芳都市計畫_105年"/>
        <s v="新北市萬里區(109年修測)"/>
        <s v="新北市萬里都市計畫_103年"/>
        <s v="新北市樹林區(國3樹林交流道)106年UAS(UAV)"/>
        <s v="新北市樹林都市計畫_105年"/>
        <s v="新北市雙溪區(112年修測)"/>
        <s v="新北市雙溪都市計畫_103年"/>
        <s v="新北市蘆洲區(110年修測)"/>
        <s v="新北市蘆洲都市計畫_104年"/>
        <s v="新北市鶯歌區(111年修測)"/>
        <s v="新北市鶯歌都市計畫_105年"/>
        <s v="新竹市107年UAS(UAV)"/>
        <s v="新竹市北區_110年"/>
        <s v="新竹市北區_113年"/>
        <s v="新竹市北區(台68線)106年UAS(UAV)"/>
        <s v="新竹市東區_109年"/>
        <s v="新竹市東區_112年"/>
        <s v="新竹市香山區_108年"/>
        <s v="新竹市香山區_111年"/>
        <s v="新竹市香山區105年UAS(UAV)"/>
        <s v="新竹市都市計畫"/>
        <s v="新竹科學工業園區特定區計畫(竹東部分)_正射影像(112年)"/>
        <s v="新竹科學工業園區特定區計畫(竹東部分)(112年)"/>
        <s v="新竹科學工業園區特定區計畫(寶山部分)_正射影像(112年)"/>
        <s v="新竹科學工業園區特定區計畫(寶山部分)(112年)"/>
        <s v="新竹縣北埔都市計畫"/>
        <s v="新竹縣尖石鄉107年UAS(UAV)"/>
        <s v="新竹縣竹北(含斗崙地區)都市計畫_正射影像(113年)"/>
        <s v="新竹縣竹北(含斗崙地區)都市計畫(113年)"/>
        <s v="新竹縣竹北①111年UAS(UAV)"/>
        <s v="新竹縣竹北②111年UAS(UAV)"/>
        <s v="新竹縣竹北③111年UAS(UAV)"/>
        <s v="新竹縣竹北都市計畫"/>
        <s v="新竹縣竹東都市計畫"/>
        <s v="新竹縣芎林都市計畫"/>
        <s v="新竹縣高速鐵路新竹車站特定區計畫_正射影像(113年)"/>
        <s v="新竹縣高速鐵路新竹車站特定區計畫(113年)"/>
        <s v="新竹縣湖口都市計畫"/>
        <s v="新竹縣新埔都市計畫"/>
        <s v="新竹縣新豐山崎仔都市計畫"/>
        <s v="新竹縣新豐鄉107年UAS(UAV)"/>
        <s v="新竹縣新豐新庄子都市計畫"/>
        <s v="新竹縣關西都市計畫"/>
        <s v="新竹縣寶山都市計畫"/>
        <s v="新竹縣寶山都市計畫_正射影像(112年)"/>
        <s v="新竹縣寶山都市計畫(112年)"/>
        <s v="道路_地形貼合版"/>
        <s v="道路_原始成果版"/>
        <s v="道路路網"/>
        <s v="嘉義市西區(湖子內區段徵收)106年UAS(UAV)"/>
        <s v="嘉義市東區(彌陀路拓寬工程)106年UAS(UAV)"/>
        <s v="嘉義縣大林都市計畫_97年"/>
        <s v="嘉義縣大林都市計畫_正射影像(112年)"/>
        <s v="嘉義縣大林都市計畫(112年)"/>
        <s v="嘉義縣大林鎮(大埔美重劃區)103年UAS(UAV)"/>
        <s v="嘉義縣大埔都市計畫_101年"/>
        <s v="嘉義縣中正大學特定區_97年"/>
        <s v="嘉義縣中埔和睦地區都市計畫_99年"/>
        <s v="嘉義縣中埔都市計畫_99年"/>
        <s v="嘉義縣中崙風景特定區_99年"/>
        <s v="嘉義縣仁義潭風景特定區_99年"/>
        <s v="嘉義縣仁義潭風景特定區計畫(嘉義縣部分)_正射影像(112年)"/>
        <s v="嘉義縣仁義潭風景特定區計畫(嘉義縣部分)(112年)"/>
        <s v="嘉義縣六腳蒜頭都市計畫_98年"/>
        <s v="嘉義縣太保都市計畫_94年"/>
        <s v="嘉義縣太保都市計畫_正射影像(112年)"/>
        <s v="嘉義縣太保都市計畫(112年)"/>
        <s v="嘉義縣水上北回都市計畫_98年"/>
        <s v="嘉義縣水上都市計畫_98年"/>
        <s v="嘉義縣布袋都市計畫_98年"/>
        <s v="嘉義縣布袋鎮①108年UAS(UAV)"/>
        <s v="嘉義縣布袋鎮②108年UAS(UAV)"/>
        <s v="嘉義縣民雄(頭橋地區)都市計畫_正射影像(113年)"/>
        <s v="嘉義縣民雄(頭橋地區)都市計畫(113年)"/>
        <s v="嘉義縣民雄111年UAS(UAV)"/>
        <s v="嘉義縣民雄都市計畫_97年"/>
        <s v="嘉義縣民雄都市計畫_正射影像(113年)"/>
        <s v="嘉義縣民雄都市計畫(113年)"/>
        <s v="嘉義縣民雄頭橋地區都市計畫_97年"/>
        <s v="嘉義縣朴子110年UAS(UAV)"/>
        <s v="嘉義縣朴子都市計畫_94年"/>
        <s v="嘉義縣竹崎都市計畫_99年"/>
        <s v="嘉義縣竹崎鄉_正射影像(113年)"/>
        <s v="嘉義縣竹崎鄉(113年)"/>
        <s v="嘉義縣吳鳳廟特定區_99年"/>
        <s v="嘉義縣吳鳳廟特定區計畫_正射影像(112年)"/>
        <s v="嘉義縣吳鳳廟特定區計畫(112年)"/>
        <s v="嘉義縣東石鄉101年UAS(UAV)"/>
        <s v="嘉義縣治都市計畫_正射影像(112年)"/>
        <s v="嘉義縣治都市計畫(112年)"/>
        <s v="嘉義縣阿里山風景區_110年"/>
        <s v="嘉義縣阿里山鄉_正射影像(113年)"/>
        <s v="嘉義縣阿里山鄉(113年)"/>
        <s v="嘉義縣阿里山鄉102年UAS(UAV)"/>
        <s v="嘉義縣阿里山達邦地區都市計畫_99年"/>
        <s v="嘉義縣高速公路嘉義交流道特定區_98年"/>
        <s v="嘉義縣高速鐵路嘉義車站特定區_94年"/>
        <s v="嘉義縣高速鐵路嘉義車站特定區計畫_正射影像(112年)"/>
        <s v="嘉義縣高速鐵路嘉義車站特定區計畫(112年)"/>
        <s v="嘉義縣國立中正大學特定區主要計畫_正射影像(112年)"/>
        <s v="嘉義縣國立中正大學特定區主要計畫(112年)"/>
        <s v="嘉義縣梅山都市計畫_97年"/>
        <s v="嘉義縣鹿草110年UAS(UAV)"/>
        <s v="嘉義縣鹿草都市計畫_99年"/>
        <s v="嘉義縣曾文水庫特定區_101年"/>
        <s v="嘉義縣番路鄉_正射影像(113年)"/>
        <s v="嘉義縣番路鄉(113年)"/>
        <s v="嘉義縣番路鄉102年UAS(UAV)"/>
        <s v="嘉義縣新港都市計畫_97年"/>
        <s v="嘉義縣溪口都市計畫_97年"/>
        <s v="嘉義縣義竹109年UAS(UAV)"/>
        <s v="嘉義縣義竹都市計畫_98年"/>
        <s v="嘉義縣縣治所在地都市計畫_94年"/>
        <s v="圖資服務雲 WMS服務"/>
        <s v="彰化縣二水都市計畫_97年"/>
        <s v="彰化縣二林都市計畫_97年"/>
        <s v="彰化縣八卦山脈_文山橫山地區_98年"/>
        <s v="彰化縣八卦山脈_各區道路_98年"/>
        <s v="彰化縣八卦山脈_百果山地區_98年"/>
        <s v="彰化縣八卦山脈_東源地區_98年"/>
        <s v="彰化縣八卦山脈_松柏嶺地區_98年"/>
        <s v="彰化縣大村都市計畫_97年"/>
        <s v="彰化縣大城都市計畫_98年"/>
        <s v="彰化縣大城鄉(152線)106年UAS(UAV)"/>
        <s v="彰化縣北斗都市計畫_97年"/>
        <s v="彰化縣永靖都市計畫_98年"/>
        <s v="彰化縣田中都市計畫_100年"/>
        <s v="彰化縣田中鎮105年UAS(UAV)"/>
        <s v="彰化縣田尾都市計畫_102年"/>
        <s v="彰化縣田尾園藝特定區_102年"/>
        <s v="彰化縣竹塘都市計畫_98年"/>
        <s v="彰化縣伸港都市計畫_97年"/>
        <s v="彰化縣伸港鄉102年UAS(UAV)"/>
        <s v="彰化縣秀水都市計畫_98年"/>
        <s v="彰化縣和美都市計畫_102年"/>
        <s v="彰化縣社頭都市計畫_97年"/>
        <s v="彰化縣芬園都市計畫_98年"/>
        <s v="彰化縣花壇都市計畫_98年"/>
        <s v="彰化縣芳苑110年UAS(UAV)"/>
        <s v="彰化縣芳苑都市計畫_98年"/>
        <s v="彰化縣芳苑鄉(台61線)104年UAS(UAV)"/>
        <s v="彰化縣員林都市計畫_99年"/>
        <s v="彰化縣埔心都市計畫_100年"/>
        <s v="彰化縣埔鹽都市計畫_97年"/>
        <s v="彰化縣高速公路員林交流道_98年"/>
        <s v="彰化縣高速公路彰化交流道_100年"/>
        <s v="彰化縣高速公路彰化交流道附近特定區計畫_正射影像(112年)"/>
        <s v="彰化縣高速公路彰化交流道附近特定區計畫(112年)"/>
        <s v="彰化縣高速鐵路彰化車站_102年"/>
        <s v="彰化縣埤頭都市計畫_100年"/>
        <s v="彰化縣鹿港福興都市計畫_97年"/>
        <s v="彰化縣溪州都市計畫_97年"/>
        <s v="彰化縣溪湖都市計畫_102年"/>
        <s v="彰化縣彰化市都市計畫_99年"/>
        <s v="彰化縣彰化都市計畫_正射影像(112年)"/>
        <s v="彰化縣彰化都市計畫(112年)"/>
        <s v="彰化縣福興鄉(台61線)103年UAS(UAV)"/>
        <s v="彰化縣線西都市計畫_97年"/>
        <s v="臺中市(大慶車站)105年UAS(UAV)"/>
        <s v="臺中市(太平新光地區)105年UAS(UAV)"/>
        <s v="臺中市(太原車站)105年UAS(UAV)"/>
        <s v="臺中市(水湳機場)105年UAS(UAV)"/>
        <s v="臺中市(台中車站)105年UAS(UAV)"/>
        <s v="臺中市(振興路以南)105年UAS(UAV)"/>
        <s v="臺中市(捷運北屯機廠)105年UAS(UAV)"/>
        <s v="臺中市(第13期)105年UAS(UAV)"/>
        <s v="臺中市(第14期)105年UAS(UAV)"/>
        <s v="臺中市(廍子地區)105年UAS(UAV)"/>
        <s v="臺中市(潭子車站)105年UAS(UAV)"/>
        <s v="臺中市(豐原車站)105年UAS(UAV)"/>
        <s v="臺中市大甲(日南)都市計畫(100年)"/>
        <s v="臺中市大甲都市計畫(98年)"/>
        <s v="臺中市大安區107年UAS(UAV)"/>
        <s v="臺中市大安都市計畫(100年)"/>
        <s v="臺中市大肚都市計畫_正射影像(112年)"/>
        <s v="臺中市大肚都市計畫(112年)"/>
        <s v="臺中市大肚都市計畫(98年)"/>
        <s v="臺中市大里(草湖)都市計畫(91年)"/>
        <s v="臺中市大里都市計畫(96年)"/>
        <s v="臺中市大雅都市計畫(97年)"/>
        <s v="臺中市中部科學工業園區(93年)"/>
        <s v="臺中市中部科學工業園區台中基地附近特定區計畫_正射影像(113年)"/>
        <s v="臺中市中部科學工業園區台中基地附近特定區計畫(113年)"/>
        <s v="臺中市太平(新光)都市計畫(90年)"/>
        <s v="臺中市太平區(坪林森林公園)105年UAS(UAV)"/>
        <s v="臺中市太平都市計畫(90年)"/>
        <s v="臺中市日南都市計畫(100年)"/>
        <s v="臺中市王田交流道特定區(95年)"/>
        <s v="臺中市外埔都市計畫(100年)"/>
        <s v="臺中市石岡水壩都市計畫(91年)"/>
        <s v="臺中市后里區108年UAS(UAV)"/>
        <s v="臺中市后里都市計畫(98年)"/>
        <s v="臺中市谷關都市計畫(96年)"/>
        <s v="臺中市和平區107年UAS(UAV)"/>
        <s v="臺中市東勢都市計畫_正射影像(112年)"/>
        <s v="臺中市東勢都市計畫(112年)"/>
        <s v="臺中市東勢都市計畫(91年)"/>
        <s v="臺中市烏日110年UAS(UAV) "/>
        <s v="臺中市烏日都市計畫_正射影像(112年)"/>
        <s v="臺中市烏日都市計畫(112年)"/>
        <s v="臺中市烏日都市計畫(91年)"/>
        <s v="臺中市高速公路王田交流道附近特定區計畫_正射影像(112年)"/>
        <s v="臺中市高速公路王田交流道附近特定區計畫(112年)"/>
        <s v="臺中市梧棲109年UAS(UAV)"/>
        <s v="臺中市梨山(松茂)都市計畫(96年)"/>
        <s v="臺中市梨山(新佳陽)都市計畫(96年)"/>
        <s v="臺中市梨山(環山)都市計畫(96年)"/>
        <s v="臺中市梨山都市計畫(96年)"/>
        <s v="臺中市都市計畫(107年修測)"/>
        <s v="臺中市新社都市計畫_正射影像(112年)"/>
        <s v="臺中市新社都市計畫(112年)"/>
        <s v="臺中市新社都市計畫(91年)"/>
        <s v="臺中市臺中港特定區(95年)"/>
        <s v="臺中市潭子區105年UAS(UAV)"/>
        <s v="臺中市潭子都市計畫(94年)"/>
        <s v="臺中市龍井區及彰化縣伸港鄉107年UAS(UAV)"/>
        <s v="臺中市豐原110年UAS(UAV)"/>
        <s v="臺中市豐原交流道特定區(94年)"/>
        <s v="臺中市豐原都市計畫(94年)"/>
        <s v="臺中市豐潭雅神都市計畫_正射影像(113年)"/>
        <s v="臺中市豐潭雅神都市計畫(113年)"/>
        <s v="臺中市霧峰110年UAS(UAV) "/>
        <s v="臺中市霧峰區105年UAS(UAV)"/>
        <s v="臺中市霧峰都市計畫(92年)"/>
        <s v="臺中市鐵砧山風景特定區(93年)"/>
        <s v="臺中市鐵砧山都市計畫(93年)"/>
        <s v="臺北市士林(大油坑)105年UAS(UAV)"/>
        <s v="臺北市士林(大油坑)106年UAS(UAV)"/>
        <s v="臺北市士林(馬槽)105年UAS(UAV)"/>
        <s v="臺北市士林109年UAS(UAV)"/>
        <s v="臺北市士林110年UAS(UAV)"/>
        <s v="臺北市士林區大油坑107年UAS(UAV)"/>
        <s v="臺北市士林區大油坑108年UAS(UAV)"/>
        <s v="臺北市士林區馬槽106年UAS(UAV)"/>
        <s v="臺北市士林區馬槽107年UAS(UAV)"/>
        <s v="臺北市士林區馬槽108年UAS(UAV)"/>
        <s v="臺北市士林區夢幻湖107年UAS(UAV)"/>
        <s v="臺北市士林區夢幻湖108年UAS(UAV)"/>
        <s v="臺北市士林陽明山大油坑111年UAS(UAV)"/>
        <s v="臺北市士林陽明山馬槽111年UAS(UAV)"/>
        <s v="臺北市士林陽明山夢幻湖111年UAS(UAV)"/>
        <s v="臺北市北投(夢幻湖)105年UAS(UAV)"/>
        <s v="臺北市北投(夢幻湖)106年UAS(UAV)"/>
        <s v="臺北市北投111年UAS(UAV)"/>
        <s v="臺北市萬華111年UAS(UAV)"/>
        <s v="臺東市都市計畫(100年)"/>
        <s v="臺東縣八仙洞風景特定區(101年)"/>
        <s v="臺東縣三仙台風景特定區(101年)"/>
        <s v="臺東縣大武都市計畫(99年)"/>
        <s v="臺東縣大武鄉102年UAS(UAV)"/>
        <s v="臺東縣小野柳風景特定區(94年)"/>
        <s v="臺東縣太麻里都市計畫(98年)"/>
        <s v="臺東縣太麻里鄉101年UAS(UAV)"/>
        <s v="臺東縣成功都市計畫(98年)"/>
        <s v="臺東縣池上都市計畫(99年)"/>
        <s v="臺東縣卑南南王都市計畫(99年)"/>
        <s v="臺東縣東河都市計畫(100年)"/>
        <s v="臺東縣知本溫泉風景特定區(100年)"/>
        <s v="臺東縣知本鐵路車站地區(94年)"/>
        <s v="臺東縣長濱都市計畫(101年)"/>
        <s v="臺東縣紅葉溫泉風景特定區(99年)"/>
        <s v="臺東縣鹿野都市計畫(98年)"/>
        <s v="臺東縣綠島_111年"/>
        <s v="臺東縣綠島風景特定區(101年)"/>
        <s v="臺東縣臺東市都市計畫_正射影像(112年)"/>
        <s v="臺東縣臺東市都市計畫(112年)"/>
        <s v="臺東縣臺東鐵路新站附近地區都市計畫_正射影像(113年)"/>
        <s v="臺東縣臺東鐵路新站附近地區都市計畫(113年)"/>
        <s v="臺東縣關山都市計畫(98年)"/>
        <s v="臺東縣蘭嶼(109年)"/>
        <s v="臺東鐵路新站附近地區(94年)"/>
        <s v="臺南市七股區(台61線)102年UAS(UAV)"/>
        <s v="臺南市七股區(台江國家公園)102年UAS(UAV)"/>
        <s v="臺南市七股區(西濱公路)106年UAS(UAV)"/>
        <s v="臺南市七股區108年UAS(UAV)"/>
        <s v="臺南市下營區108年UAS(UAV)"/>
        <s v="臺南市永康110年②UAS(UAV) "/>
        <s v="臺南市永康110年UAS(UAV)"/>
        <s v="臺南市永康區108年UAS(UAV)"/>
        <s v="臺南市永康區都市計畫97年"/>
        <s v="臺南市安平區104年UAS(UAV)"/>
        <s v="臺南市安南110年UAS(UAV)"/>
        <s v="臺南市安南區(九份子重劃區)104年UAS(UAV)"/>
        <s v="臺南市安南區(台江大道)106年UAS(UAV)"/>
        <s v="臺南市安南區101年UAS(UAV)"/>
        <s v="臺南市安南區102年UAS(UAV)"/>
        <s v="臺南市安南區108年UAS(UAV)"/>
        <s v="臺南市西港110年UAS(UAV)"/>
        <s v="臺南市佳里都市計畫_正射影像(113年)"/>
        <s v="臺南市佳里都市計畫(113年)"/>
        <s v="臺南市東區(平實市地重劃)106年UAS(UAV)"/>
        <s v="臺南市南化110年UAS(UAV)"/>
        <s v="臺南市南區(台86線)103年UAS(UAV)"/>
        <s v="臺南市柳營111年UAS(UAV)"/>
        <s v="臺南市柳營都市計畫_正射影像(112年)"/>
        <s v="臺南市柳營都市計畫(112年)"/>
        <s v="臺南市高速公路新營交流道附近特定區計畫_正射影像(112年)"/>
        <s v="臺南市高速公路新營交流道附近特定區計畫(112年)"/>
        <s v="臺南市都市計畫100年"/>
        <s v="臺南市都市計畫101年"/>
        <s v="臺南市都市計畫102年"/>
        <s v="臺南市都市計畫93年"/>
        <s v="臺南市都市計畫99年"/>
        <s v="臺南市麻豆109年UAS(UAV)"/>
        <s v="臺南市麻豆區103年UAS(UAV)"/>
        <s v="臺南市新市區(新和重劃區)104年UAS(UAV)"/>
        <s v="臺南市新營110年UAS(UAV)"/>
        <s v="臺南市新營都市計畫_正射影像(112年)"/>
        <s v="臺南市新營都市計畫(112年)"/>
        <s v="臺南市學甲區(台84線)103年UAS(UAV)"/>
        <s v="臺南市歸仁110年①UAS(UAV) "/>
        <s v="臺南市歸仁110年②UAS(UAV) "/>
        <s v="臺南市關廟區101年UAS(UAV)"/>
        <s v="臺南市關廟區108年UAS(UAV)"/>
        <s v="臺南市鹽水都市計畫_正射影像(112年)"/>
        <s v="臺南市鹽水都市計畫(112年)"/>
        <s v="臺灣通用電子地圖"/>
        <s v="臺灣通用電子地圖 WFS"/>
        <s v="臺灣通用電子地圖_3825"/>
        <s v="臺灣通用電子地圖_3826"/>
        <s v="臺灣通用電子地圖(不含等高線)OpenData, 最大比例尺一萬八千分之一"/>
        <s v="臺灣通用電子地圖(灰階)"/>
        <s v="臺灣通用電子地圖(套疊等高線)OpenData, 最大比例尺一萬八千分之一"/>
        <s v="臺灣通用電子地圖(高DPI字)"/>
        <s v="臺灣通用電子地圖(無文字)"/>
        <s v="臺灣通用電子地圖(無等高線)"/>
        <s v="臺灣通用電子地圖(無等高線及門牌)"/>
        <s v="臺灣通用電子地圖(無鐵公路)"/>
        <s v="臺灣通用電子地圖(等高線+門牌)"/>
        <s v="臺灣通用電子地圖(等高線無門牌)"/>
        <s v="臺灣通用電子地圖(新)"/>
        <s v="臺灣通用電子地圖分棟建物框"/>
        <s v="臺灣通用電子地圖加值分棟建物框"/>
        <s v="臺灣通用電子地圖透明"/>
        <s v="臺灣通用電子地圖透明(無門牌)"/>
        <s v="澎湖南方四島國家公園_104年"/>
        <s v="澎湖縣二崁都市計畫_104年"/>
        <s v="澎湖縣二崁傳統聚落特定區計畫_正射影像(112年)"/>
        <s v="澎湖縣二崁傳統聚落特定區計畫(112年)"/>
        <s v="澎湖縣白沙通梁地區都市計畫_正射影像(112年)"/>
        <s v="澎湖縣白沙通梁地區都市計畫(112年)"/>
        <s v="澎湖縣白沙鄉都市計畫_99年"/>
        <s v="澎湖縣西嶼西台古蹟特定區計畫_正射影像(112年)"/>
        <s v="澎湖縣西嶼西台古蹟特定區計畫(112年)"/>
        <s v="澎湖縣西嶼西台都市計畫_95年"/>
        <s v="澎湖縣林投風景特定區計畫_正射影像(112年)"/>
        <s v="澎湖縣林投風景特定區計畫(112年)"/>
        <s v="澎湖縣林投都市計畫_96年"/>
        <s v="澎湖縣花宅聚落_103年"/>
        <s v="澎湖縣馬公市_正射影像(113年)"/>
        <s v="澎湖縣馬公市(113年)"/>
        <s v="澎湖縣馬公都市計畫_97-98年"/>
        <s v="澎湖縣馬公都市計畫_正射影像(112年)"/>
        <s v="澎湖縣馬公都市計畫(112年)"/>
        <s v="澎湖縣湖西鄉_正射影像(113年)"/>
        <s v="澎湖縣湖西鄉(113年)"/>
        <s v="澎湖縣鎖港地區都市計畫_正射影像(112年)"/>
        <s v="澎湖縣鎖港地區都市計畫(112年)"/>
        <s v="澎湖縣鎖港都市計畫_104年"/>
        <s v="墾丁國家公園_104年"/>
        <s v="縣市界"/>
        <s v="避難收容所"/>
        <s v="轉檔服務(三維建物單棟或區域式發布服務API服務狀態)"/>
        <s v="轉檔服務(三維建物單棟或區域式發布服務API圖層名稱清單)"/>
        <s v="轉檔服務(多邊形選取建物轉檔)"/>
        <s v="轉檔服務(指定點位選取建物轉檔)"/>
        <s v="轉檔服務(圓形範圍選取建物轉檔)"/>
        <s v="蘭嶼鄉正射影像109年"/>
        <s v="ADR_001模糊檢索(含通用電子地圖地標、門牌等)"/>
        <s v="ADR_002門牌服務–模糊檢索"/>
        <s v="ADR_003門牌服務–路名清單_宜蘭縣"/>
        <s v="ADR_003門牌服務–路名清單_花蓮縣"/>
        <s v="ADR_003門牌服務–路名清單_金門縣"/>
        <s v="ADR_003門牌服務–路名清單_南投縣"/>
        <s v="ADR_003門牌服務–路名清單_屏東縣"/>
        <s v="ADR_003門牌服務–路名清單_苗栗縣"/>
        <s v="ADR_003門牌服務–路名清單_桃園市"/>
        <s v="ADR_003門牌服務–路名清單_高雄市"/>
        <s v="ADR_003門牌服務–路名清單_基隆市"/>
        <s v="ADR_003門牌服務–路名清單_連江縣"/>
        <s v="ADR_003門牌服務–路名清單_雲林縣"/>
        <s v="ADR_003門牌服務–路名清單_新北市"/>
        <s v="ADR_003門牌服務–路名清單_新竹市"/>
        <s v="ADR_003門牌服務–路名清單_新竹縣"/>
        <s v="ADR_003門牌服務–路名清單_嘉義市"/>
        <s v="ADR_003門牌服務–路名清單_嘉義縣"/>
        <s v="ADR_003門牌服務–路名清單_彰化縣"/>
        <s v="ADR_003門牌服務–路名清單_臺中市"/>
        <s v="ADR_003門牌服務–路名清單_臺北市"/>
        <s v="ADR_003門牌服務–路名清單_臺東縣"/>
        <s v="ADR_003門牌服務–路名清單_臺南市"/>
        <s v="ADR_003門牌服務–路名清單_澎湖縣"/>
        <s v="ADR_004門牌服務–巷弄清單_宜蘭縣"/>
        <s v="ADR_004門牌服務–巷弄清單_花蓮縣"/>
        <s v="ADR_004門牌服務–巷弄清單_金門縣"/>
        <s v="ADR_004門牌服務–巷弄清單_南投縣"/>
        <s v="ADR_004門牌服務–巷弄清單_屏東縣"/>
        <s v="ADR_004門牌服務–巷弄清單_苗栗縣"/>
        <s v="ADR_004門牌服務–巷弄清單_桃園市"/>
        <s v="ADR_004門牌服務–巷弄清單_高雄市"/>
        <s v="ADR_004門牌服務–巷弄清單_基隆市"/>
        <s v="ADR_004門牌服務–巷弄清單_連江縣"/>
        <s v="ADR_004門牌服務–巷弄清單_雲林縣"/>
        <s v="ADR_004門牌服務–巷弄清單_新北市"/>
        <s v="ADR_004門牌服務–巷弄清單_新竹市"/>
        <s v="ADR_004門牌服務–巷弄清單_新竹縣"/>
        <s v="ADR_004門牌服務–巷弄清單_嘉義市"/>
        <s v="ADR_004門牌服務–巷弄清單_嘉義縣"/>
        <s v="ADR_004門牌服務–巷弄清單_彰化縣"/>
        <s v="ADR_004門牌服務–巷弄清單_臺中市"/>
        <s v="ADR_004門牌服務–巷弄清單_臺北市"/>
        <s v="ADR_004門牌服務–巷弄清單_臺東縣"/>
        <s v="ADR_004門牌服務–巷弄清單_臺南市"/>
        <s v="ADR_004門牌服務–巷弄清單_澎湖縣"/>
        <s v="ADR_005坐標回傳門牌服務－點坐標"/>
        <s v="ADR_006坐標回傳門牌服務－線坐標"/>
        <s v="ADR_007坐標回傳門牌服務－面坐標"/>
        <s v="AED位置"/>
        <s v="CAD_001指定地號查詢位置_宜蘭縣"/>
        <s v="CAD_001指定地號查詢位置_花蓮縣"/>
        <s v="CAD_001指定地號查詢位置_金門縣"/>
        <s v="CAD_001指定地號查詢位置_南投縣"/>
        <s v="CAD_001指定地號查詢位置_屏東縣"/>
        <s v="CAD_001指定地號查詢位置_苗栗縣"/>
        <s v="CAD_001指定地號查詢位置_桃園市"/>
        <s v="CAD_001指定地號查詢位置_高雄市"/>
        <s v="CAD_001指定地號查詢位置_基隆市"/>
        <s v="CAD_001指定地號查詢位置_連江縣"/>
        <s v="CAD_001指定地號查詢位置_雲林縣"/>
        <s v="CAD_001指定地號查詢位置_新北市"/>
        <s v="CAD_001指定地號查詢位置_新竹市"/>
        <s v="CAD_001指定地號查詢位置_新竹縣"/>
        <s v="CAD_001指定地號查詢位置_嘉義市"/>
        <s v="CAD_001指定地號查詢位置_嘉義縣"/>
        <s v="CAD_001指定地號查詢位置_彰化縣"/>
        <s v="CAD_001指定地號查詢位置_臺中市"/>
        <s v="CAD_001指定地號查詢位置_臺北市"/>
        <s v="CAD_001指定地號查詢位置_臺東縣"/>
        <s v="CAD_001指定地號查詢位置_臺南市"/>
        <s v="CAD_001指定地號查詢位置_澎湖縣"/>
        <s v="CAD_002指定地號查詢著色圖_宜蘭縣"/>
        <s v="CAD_002指定地號查詢著色圖_花蓮縣"/>
        <s v="CAD_002指定地號查詢著色圖_金門縣"/>
        <s v="CAD_002指定地號查詢著色圖_南投縣"/>
        <s v="CAD_002指定地號查詢著色圖_屏東縣"/>
        <s v="CAD_002指定地號查詢著色圖_苗栗縣"/>
        <s v="CAD_002指定地號查詢著色圖_桃園市"/>
        <s v="CAD_002指定地號查詢著色圖_高雄市"/>
        <s v="CAD_002指定地號查詢著色圖_基隆市"/>
        <s v="CAD_002指定地號查詢著色圖_連江縣"/>
        <s v="CAD_002指定地號查詢著色圖_雲林縣"/>
        <s v="CAD_002指定地號查詢著色圖_新北市"/>
        <s v="CAD_002指定地號查詢著色圖_新竹市"/>
        <s v="CAD_002指定地號查詢著色圖_新竹縣"/>
        <s v="CAD_002指定地號查詢著色圖_嘉義市"/>
        <s v="CAD_002指定地號查詢著色圖_嘉義縣"/>
        <s v="CAD_002指定地號查詢著色圖_彰化縣"/>
        <s v="CAD_002指定地號查詢著色圖_臺中市"/>
        <s v="CAD_002指定地號查詢著色圖_臺北市"/>
        <s v="CAD_002指定地號查詢著色圖_臺東縣"/>
        <s v="CAD_002指定地號查詢著色圖_臺南市"/>
        <s v="CAD_002指定地號查詢著色圖_澎湖縣"/>
        <s v="CAD_003單點坐標查詢地段號"/>
        <s v="CAD_004地段號查詢坐標_宜蘭縣"/>
        <s v="CAD_004地段號查詢坐標_花蓮縣"/>
        <s v="CAD_004地段號查詢坐標_金門縣"/>
        <s v="CAD_004地段號查詢坐標_南投縣"/>
        <s v="CAD_004地段號查詢坐標_屏東縣"/>
        <s v="CAD_004地段號查詢坐標_苗栗縣"/>
        <s v="CAD_004地段號查詢坐標_桃園市"/>
        <s v="CAD_004地段號查詢坐標_高雄市"/>
        <s v="CAD_004地段號查詢坐標_基隆市"/>
        <s v="CAD_004地段號查詢坐標_連江縣"/>
        <s v="CAD_004地段號查詢坐標_雲林縣"/>
        <s v="CAD_004地段號查詢坐標_新北市"/>
        <s v="CAD_004地段號查詢坐標_新竹市"/>
        <s v="CAD_004地段號查詢坐標_新竹縣"/>
        <s v="CAD_004地段號查詢坐標_嘉義市"/>
        <s v="CAD_004地段號查詢坐標_嘉義縣"/>
        <s v="CAD_004地段號查詢坐標_彰化縣"/>
        <s v="CAD_004地段號查詢坐標_臺中市"/>
        <s v="CAD_004地段號查詢坐標_臺北市"/>
        <s v="CAD_004地段號查詢坐標_臺東縣"/>
        <s v="CAD_004地段號查詢坐標_臺南市"/>
        <s v="CAD_004地段號查詢坐標_澎湖縣"/>
        <s v="CAD_005坐標查地段號"/>
        <s v="CAD_006地段號宗地定位"/>
        <s v="CAD_007指定地號查詢土地標示資料_宜蘭縣"/>
        <s v="CAD_007指定地號查詢土地標示資料_花蓮縣"/>
        <s v="CAD_007指定地號查詢土地標示資料_金門縣"/>
        <s v="CAD_007指定地號查詢土地標示資料_南投縣"/>
        <s v="CAD_007指定地號查詢土地標示資料_屏東縣"/>
        <s v="CAD_007指定地號查詢土地標示資料_苗栗縣"/>
        <s v="CAD_007指定地號查詢土地標示資料_桃園市"/>
        <s v="CAD_007指定地號查詢土地標示資料_高雄市"/>
        <s v="CAD_007指定地號查詢土地標示資料_基隆市"/>
        <s v="CAD_007指定地號查詢土地標示資料_連江縣"/>
        <s v="CAD_007指定地號查詢土地標示資料_雲林縣"/>
        <s v="CAD_007指定地號查詢土地標示資料_新北市"/>
        <s v="CAD_007指定地號查詢土地標示資料_新竹市"/>
        <s v="CAD_007指定地號查詢土地標示資料_新竹縣"/>
        <s v="CAD_007指定地號查詢土地標示資料_嘉義市"/>
        <s v="CAD_007指定地號查詢土地標示資料_嘉義縣"/>
        <s v="CAD_007指定地號查詢土地標示資料_彰化縣"/>
        <s v="CAD_007指定地號查詢土地標示資料_臺中市"/>
        <s v="CAD_007指定地號查詢土地標示資料_臺北市"/>
        <s v="CAD_007指定地號查詢土地標示資料_臺東縣"/>
        <s v="CAD_007指定地號查詢土地標示資料_臺南市"/>
        <s v="CAD_007指定地號查詢土地標示資料_澎湖縣"/>
        <s v="CAD_008地段代碼回傳測繪段籍屬性_宜蘭縣"/>
        <s v="CAD_008地段代碼回傳測繪段籍屬性_花蓮縣"/>
        <s v="CAD_008地段代碼回傳測繪段籍屬性_金門縣"/>
        <s v="CAD_008地段代碼回傳測繪段籍屬性_南投縣"/>
        <s v="CAD_008地段代碼回傳測繪段籍屬性_屏東縣"/>
        <s v="CAD_008地段代碼回傳測繪段籍屬性_苗栗縣"/>
        <s v="CAD_008地段代碼回傳測繪段籍屬性_桃園市"/>
        <s v="CAD_008地段代碼回傳測繪段籍屬性_高雄市"/>
        <s v="CAD_008地段代碼回傳測繪段籍屬性_基隆市"/>
        <s v="CAD_008地段代碼回傳測繪段籍屬性_連江縣"/>
        <s v="CAD_008地段代碼回傳測繪段籍屬性_雲林縣"/>
        <s v="CAD_008地段代碼回傳測繪段籍屬性_新北市"/>
        <s v="CAD_008地段代碼回傳測繪段籍屬性_新竹市"/>
        <s v="CAD_008地段代碼回傳測繪段籍屬性_新竹縣"/>
        <s v="CAD_008地段代碼回傳測繪段籍屬性_嘉義市"/>
        <s v="CAD_008地段代碼回傳測繪段籍屬性_嘉義縣"/>
        <s v="CAD_008地段代碼回傳測繪段籍屬性_彰化縣"/>
        <s v="CAD_008地段代碼回傳測繪段籍屬性_臺中市"/>
        <s v="CAD_008地段代碼回傳測繪段籍屬性_臺北市"/>
        <s v="CAD_008地段代碼回傳測繪段籍屬性_臺東縣"/>
        <s v="CAD_008地段代碼回傳測繪段籍屬性_臺南市"/>
        <s v="CAD_008地段代碼回傳測繪段籍屬性_澎湖縣"/>
        <s v="CAD_009指定門牌查詢地號"/>
        <s v="CAD_010指定範圍查詢地號清單"/>
        <s v="CAD_011指定地號查詢建號列表與土地權利人類別_宜蘭縣"/>
        <s v="CAD_011指定地號查詢建號列表與土地權利人類別_花蓮縣"/>
        <s v="CAD_011指定地號查詢建號列表與土地權利人類別_金門縣"/>
        <s v="CAD_011指定地號查詢建號列表與土地權利人類別_南投縣"/>
        <s v="CAD_011指定地號查詢建號列表與土地權利人類別_屏東縣"/>
        <s v="CAD_011指定地號查詢建號列表與土地權利人類別_苗栗縣"/>
        <s v="CAD_011指定地號查詢建號列表與土地權利人類別_桃園市"/>
        <s v="CAD_011指定地號查詢建號列表與土地權利人類別_高雄市"/>
        <s v="CAD_011指定地號查詢建號列表與土地權利人類別_基隆市"/>
        <s v="CAD_011指定地號查詢建號列表與土地權利人類別_連江縣"/>
        <s v="CAD_011指定地號查詢建號列表與土地權利人類別_雲林縣"/>
        <s v="CAD_011指定地號查詢建號列表與土地權利人類別_新北市"/>
        <s v="CAD_011指定地號查詢建號列表與土地權利人類別_新竹市"/>
        <s v="CAD_011指定地號查詢建號列表與土地權利人類別_新竹縣"/>
        <s v="CAD_011指定地號查詢建號列表與土地權利人類別_嘉義市"/>
        <s v="CAD_011指定地號查詢建號列表與土地權利人類別_嘉義縣"/>
        <s v="CAD_011指定地號查詢建號列表與土地權利人類別_彰化縣"/>
        <s v="CAD_011指定地號查詢建號列表與土地權利人類別_臺中市"/>
        <s v="CAD_011指定地號查詢建號列表與土地權利人類別_臺北市"/>
        <s v="CAD_011指定地號查詢建號列表與土地權利人類別_臺東縣"/>
        <s v="CAD_011指定地號查詢建號列表與土地權利人類別_臺南市"/>
        <s v="CAD_011指定地號查詢建號列表與土地權利人類別_澎湖縣"/>
        <s v="COM_001單點坐標回傳行政區(地政)"/>
        <s v="COM_002單點坐標回傳行政區(戶政)"/>
        <s v="COM_003代碼服務－縣市清單"/>
        <s v="COM_004代碼服務－鄉鎮市區清單(地政)_宜蘭縣"/>
        <s v="COM_004代碼服務－鄉鎮市區清單(地政)_花蓮縣"/>
        <s v="COM_004代碼服務－鄉鎮市區清單(地政)_金門縣"/>
        <s v="COM_004代碼服務－鄉鎮市區清單(地政)_南投縣"/>
        <s v="COM_004代碼服務－鄉鎮市區清單(地政)_屏東縣"/>
        <s v="COM_004代碼服務－鄉鎮市區清單(地政)_苗栗縣"/>
        <s v="COM_004代碼服務－鄉鎮市區清單(地政)_桃園市"/>
        <s v="COM_004代碼服務－鄉鎮市區清單(地政)_高雄市"/>
        <s v="COM_004代碼服務－鄉鎮市區清單(地政)_基隆市"/>
        <s v="COM_004代碼服務－鄉鎮市區清單(地政)_連江縣"/>
        <s v="COM_004代碼服務－鄉鎮市區清單(地政)_雲林縣"/>
        <s v="COM_004代碼服務－鄉鎮市區清單(地政)_新北市"/>
        <s v="COM_004代碼服務－鄉鎮市區清單(地政)_新竹市"/>
        <s v="COM_004代碼服務－鄉鎮市區清單(地政)_新竹縣"/>
        <s v="COM_004代碼服務－鄉鎮市區清單(地政)_嘉義市"/>
        <s v="COM_004代碼服務－鄉鎮市區清單(地政)_嘉義縣"/>
        <s v="COM_004代碼服務－鄉鎮市區清單(地政)_彰化縣"/>
        <s v="COM_004代碼服務－鄉鎮市區清單(地政)_臺中市"/>
        <s v="COM_004代碼服務－鄉鎮市區清單(地政)_臺北市"/>
        <s v="COM_004代碼服務－鄉鎮市區清單(地政)_臺東縣"/>
        <s v="COM_004代碼服務－鄉鎮市區清單(地政)_臺南市"/>
        <s v="COM_004代碼服務－鄉鎮市區清單(地政)_澎湖縣"/>
        <s v="COM_005代碼服務－鄉鎮市區清單(戶政)_宜蘭縣"/>
        <s v="COM_005代碼服務－鄉鎮市區清單(戶政)_花蓮縣"/>
        <s v="COM_005代碼服務－鄉鎮市區清單(戶政)_金門縣"/>
        <s v="COM_005代碼服務－鄉鎮市區清單(戶政)_南投縣"/>
        <s v="COM_005代碼服務－鄉鎮市區清單(戶政)_屏東縣"/>
        <s v="COM_005代碼服務－鄉鎮市區清單(戶政)_苗栗縣"/>
        <s v="COM_005代碼服務－鄉鎮市區清單(戶政)_桃園市"/>
        <s v="COM_005代碼服務－鄉鎮市區清單(戶政)_高雄市"/>
        <s v="COM_005代碼服務－鄉鎮市區清單(戶政)_基隆市"/>
        <s v="COM_005代碼服務－鄉鎮市區清單(戶政)_連江縣"/>
        <s v="COM_005代碼服務－鄉鎮市區清單(戶政)_雲林縣"/>
        <s v="COM_005代碼服務－鄉鎮市區清單(戶政)_新北市"/>
        <s v="COM_005代碼服務－鄉鎮市區清單(戶政)_新竹市"/>
        <s v="COM_005代碼服務－鄉鎮市區清單(戶政)_新竹縣"/>
        <s v="COM_005代碼服務－鄉鎮市區清單(戶政)_嘉義市"/>
        <s v="COM_005代碼服務－鄉鎮市區清單(戶政)_嘉義縣"/>
        <s v="COM_005代碼服務－鄉鎮市區清單(戶政)_彰化縣"/>
        <s v="COM_005代碼服務－鄉鎮市區清單(戶政)_臺中市"/>
        <s v="COM_005代碼服務－鄉鎮市區清單(戶政)_臺北市"/>
        <s v="COM_005代碼服務－鄉鎮市區清單(戶政)_臺東縣"/>
        <s v="COM_005代碼服務－鄉鎮市區清單(戶政)_臺南市"/>
        <s v="COM_005代碼服務－鄉鎮市區清單(戶政)_澎湖縣"/>
        <s v="COM_006代碼服務－地段清單_宜蘭縣"/>
        <s v="COM_006代碼服務－地段清單_花蓮縣"/>
        <s v="COM_006代碼服務－地段清單_金門縣"/>
        <s v="COM_006代碼服務－地段清單_南投縣"/>
        <s v="COM_006代碼服務－地段清單_屏東縣"/>
        <s v="COM_006代碼服務－地段清單_苗栗縣"/>
        <s v="COM_006代碼服務－地段清單_桃園市"/>
        <s v="COM_006代碼服務－地段清單_高雄市"/>
        <s v="COM_006代碼服務－地段清單_基隆市"/>
        <s v="COM_006代碼服務－地段清單_連江縣"/>
        <s v="COM_006代碼服務－地段清單_雲林縣"/>
        <s v="COM_006代碼服務－地段清單_新北市"/>
        <s v="COM_006代碼服務－地段清單_新竹市"/>
        <s v="COM_006代碼服務－地段清單_新竹縣"/>
        <s v="COM_006代碼服務－地段清單_嘉義市"/>
        <s v="COM_006代碼服務－地段清單_嘉義縣"/>
        <s v="COM_006代碼服務－地段清單_彰化縣"/>
        <s v="COM_006代碼服務－地段清單_臺中市"/>
        <s v="COM_006代碼服務－地段清單_臺北市"/>
        <s v="COM_006代碼服務－地段清單_臺東縣"/>
        <s v="COM_006代碼服務－地段清單_臺南市"/>
        <s v="COM_006代碼服務－地段清單_澎湖縣"/>
        <s v="COM_007代碼服務－村里清單_宜蘭縣"/>
        <s v="COM_007代碼服務－村里清單_花蓮縣"/>
        <s v="COM_007代碼服務－村里清單_金門縣"/>
        <s v="COM_007代碼服務－村里清單_南投縣"/>
        <s v="COM_007代碼服務－村里清單_屏東縣"/>
        <s v="COM_007代碼服務－村里清單_苗栗縣"/>
        <s v="COM_007代碼服務－村里清單_桃園市"/>
        <s v="COM_007代碼服務－村里清單_高雄市"/>
        <s v="COM_007代碼服務－村里清單_基隆市"/>
        <s v="COM_007代碼服務－村里清單_連江縣"/>
        <s v="COM_007代碼服務－村里清單_雲林縣"/>
        <s v="COM_007代碼服務－村里清單_新北市"/>
        <s v="COM_007代碼服務－村里清單_新竹市"/>
        <s v="COM_007代碼服務－村里清單_新竹縣"/>
        <s v="COM_007代碼服務－村里清單_嘉義市"/>
        <s v="COM_007代碼服務－村里清單_嘉義縣"/>
        <s v="COM_007代碼服務－村里清單_彰化縣"/>
        <s v="COM_007代碼服務－村里清單_臺中市"/>
        <s v="COM_007代碼服務－村里清單_臺北市"/>
        <s v="COM_007代碼服務－村里清單_臺東縣"/>
        <s v="COM_007代碼服務－村里清單_臺南市"/>
        <s v="COM_007代碼服務－村里清單_澎湖縣"/>
        <s v="COM_008代碼服務－村里圖形(戶政)"/>
        <s v="COM_009查詢文教設施"/>
        <s v="COM_010查詢醫療設施"/>
        <s v="COM_011查詢工商設施"/>
        <s v="COM_012查詢鄰避設施"/>
        <s v="COM_014交叉路口-鄉鎮市區查詢道路列表_宜蘭縣"/>
        <s v="COM_014交叉路口-鄉鎮市區查詢道路列表_花蓮縣"/>
        <s v="COM_014交叉路口-鄉鎮市區查詢道路列表_金門縣"/>
        <s v="COM_014交叉路口-鄉鎮市區查詢道路列表_南投縣"/>
        <s v="COM_014交叉路口-鄉鎮市區查詢道路列表_屏東縣"/>
        <s v="COM_014交叉路口-鄉鎮市區查詢道路列表_苗栗縣"/>
        <s v="COM_014交叉路口-鄉鎮市區查詢道路列表_桃園市"/>
        <s v="COM_014交叉路口-鄉鎮市區查詢道路列表_高雄市"/>
        <s v="COM_014交叉路口-鄉鎮市區查詢道路列表_基隆市"/>
        <s v="COM_014交叉路口-鄉鎮市區查詢道路列表_連江縣"/>
        <s v="COM_014交叉路口-鄉鎮市區查詢道路列表_雲林縣"/>
        <s v="COM_014交叉路口-鄉鎮市區查詢道路列表_新北市"/>
        <s v="COM_014交叉路口-鄉鎮市區查詢道路列表_新竹市"/>
        <s v="COM_014交叉路口-鄉鎮市區查詢道路列表_新竹縣"/>
        <s v="COM_014交叉路口-鄉鎮市區查詢道路列表_嘉義市"/>
        <s v="COM_014交叉路口-鄉鎮市區查詢道路列表_嘉義縣"/>
        <s v="COM_014交叉路口-鄉鎮市區查詢道路列表_彰化縣"/>
        <s v="COM_014交叉路口-鄉鎮市區查詢道路列表_臺中市"/>
        <s v="COM_014交叉路口-鄉鎮市區查詢道路列表_臺北市"/>
        <s v="COM_014交叉路口-鄉鎮市區查詢道路列表_臺東縣"/>
        <s v="COM_014交叉路口-鄉鎮市區查詢道路列表_臺南市"/>
        <s v="COM_014交叉路口-鄉鎮市區查詢道路列表_澎湖縣"/>
        <s v="COM_015 交叉路口-縣市道路關鍵字查詢主要道路-宜蘭縣"/>
        <s v="COM_015 交叉路口-縣市道路關鍵字查詢主要道路-花蓮縣"/>
        <s v="COM_015 交叉路口-縣市道路關鍵字查詢主要道路-金門縣"/>
        <s v="COM_015 交叉路口-縣市道路關鍵字查詢主要道路-南投縣"/>
        <s v="COM_015 交叉路口-縣市道路關鍵字查詢主要道路-屏東縣"/>
        <s v="COM_015 交叉路口-縣市道路關鍵字查詢主要道路-苗栗縣"/>
        <s v="COM_015 交叉路口-縣市道路關鍵字查詢主要道路-桃園市"/>
        <s v="COM_015 交叉路口-縣市道路關鍵字查詢主要道路-高雄市"/>
        <s v="COM_015 交叉路口-縣市道路關鍵字查詢主要道路-基隆市"/>
        <s v="COM_015 交叉路口-縣市道路關鍵字查詢主要道路-連江縣"/>
        <s v="COM_015 交叉路口-縣市道路關鍵字查詢主要道路-雲林縣"/>
        <s v="COM_015 交叉路口-縣市道路關鍵字查詢主要道路-新北市"/>
        <s v="COM_015 交叉路口-縣市道路關鍵字查詢主要道路-新竹市"/>
        <s v="COM_015 交叉路口-縣市道路關鍵字查詢主要道路-新竹縣"/>
        <s v="COM_015 交叉路口-縣市道路關鍵字查詢主要道路-嘉義市"/>
        <s v="COM_015 交叉路口-縣市道路關鍵字查詢主要道路-嘉義縣"/>
        <s v="COM_015 交叉路口-縣市道路關鍵字查詢主要道路-彰化縣"/>
        <s v="COM_015 交叉路口-縣市道路關鍵字查詢主要道路-臺中市"/>
        <s v="COM_015 交叉路口-縣市道路關鍵字查詢主要道路-臺北市"/>
        <s v="COM_015 交叉路口-縣市道路關鍵字查詢主要道路-臺東縣"/>
        <s v="COM_015 交叉路口-縣市道路關鍵字查詢主要道路-臺南市"/>
        <s v="COM_015 交叉路口-縣市道路關鍵字查詢主要道路-澎湖縣"/>
        <s v="COM_016交叉路口-鄉鎮市區路名查詢交叉路口及坐標_宜蘭縣"/>
        <s v="COM_016交叉路口-鄉鎮市區路名查詢交叉路口及坐標_花蓮縣"/>
        <s v="COM_016交叉路口-鄉鎮市區路名查詢交叉路口及坐標_金門縣"/>
        <s v="COM_016交叉路口-鄉鎮市區路名查詢交叉路口及坐標_南投縣"/>
        <s v="COM_016交叉路口-鄉鎮市區路名查詢交叉路口及坐標_屏東縣"/>
        <s v="COM_016交叉路口-鄉鎮市區路名查詢交叉路口及坐標_苗栗縣"/>
        <s v="COM_016交叉路口-鄉鎮市區路名查詢交叉路口及坐標_桃園市"/>
        <s v="COM_016交叉路口-鄉鎮市區路名查詢交叉路口及坐標_高雄市"/>
        <s v="COM_016交叉路口-鄉鎮市區路名查詢交叉路口及坐標_基隆市"/>
        <s v="COM_016交叉路口-鄉鎮市區路名查詢交叉路口及坐標_連江縣"/>
        <s v="COM_016交叉路口-鄉鎮市區路名查詢交叉路口及坐標_雲林縣"/>
        <s v="COM_016交叉路口-鄉鎮市區路名查詢交叉路口及坐標_新北市"/>
        <s v="COM_016交叉路口-鄉鎮市區路名查詢交叉路口及坐標_新竹市"/>
        <s v="COM_016交叉路口-鄉鎮市區路名查詢交叉路口及坐標_新竹縣"/>
        <s v="COM_016交叉路口-鄉鎮市區路名查詢交叉路口及坐標_嘉義市"/>
        <s v="COM_016交叉路口-鄉鎮市區路名查詢交叉路口及坐標_嘉義縣"/>
        <s v="COM_016交叉路口-鄉鎮市區路名查詢交叉路口及坐標_彰化縣"/>
        <s v="COM_016交叉路口-鄉鎮市區路名查詢交叉路口及坐標_臺中市"/>
        <s v="COM_016交叉路口-鄉鎮市區路名查詢交叉路口及坐標_臺北市"/>
        <s v="COM_016交叉路口-鄉鎮市區路名查詢交叉路口及坐標_臺東縣"/>
        <s v="COM_016交叉路口-鄉鎮市區路名查詢交叉路口及坐標_臺南市"/>
        <s v="COM_016交叉路口-鄉鎮市區路名查詢交叉路口及坐標_澎湖縣"/>
        <s v="COM_017指定坐標回傳國土利用現況調查成果圖的屬性"/>
        <s v="LUI_001指定國土利用現況調查成果圖比較"/>
        <s v="LUI_002歷年(或指定年分)國土利用現況調查成果圖屬性"/>
        <s v="MAP_001指定地號查詢「地籍圖」"/>
        <s v="MAP_002指定座標查詢「地籍圖」"/>
        <s v="ROU_001路徑規劃服務–距離最短路線"/>
        <s v="ROU_002路徑規劃服務–時間最短路線"/>
        <s v="ROU_003路徑規劃服務–節點查詢"/>
        <s v="Taiwan e-Map(new)"/>
        <s v="TaiwanE-Map(EN)"/>
        <s v="TaiwanE-Map(Transparent)"/>
      </sharedItems>
    </cacheField>
    <cacheField name="服務名稱(中)_正規化" numFmtId="0">
      <sharedItems count="1429">
        <s v="??"/>
        <s v="3D Tiles_三維建物服務_指定範圍呼叫"/>
        <s v="3D Tiles_三維建物模型_融合版及分棟版"/>
        <s v="3D Tiles_三維道路模型_地形貼合版"/>
        <s v="3D Tiles_三維道路模型_原始成果版"/>
        <s v="土壤液化潛勢_中級WMTS服務"/>
        <s v="土壤液化潛勢_初級WMTS服務"/>
        <s v="正射影像(套疊交通路網)WMTS服務"/>
        <s v="刪掉?"/>
        <s v="坡向圖(20公尺DEM產製)"/>
        <s v="坡度圖-30%坡(2003-2005年20公尺DEM成果產製)"/>
        <s v="坡度圖-7級(2003-2005年20公尺DEM成果產製)"/>
        <s v="坡度圖-7級(2010-2015年20公尺DEM成果產製)"/>
        <s v="待確認(查無資料)WMTS服務"/>
        <s v="陰影圖(20公尺DEM產製)"/>
        <s v="渲染圖(20公尺DEM產製)"/>
        <s v="等高線圖(2003-2005年20公尺DEM產製)"/>
        <s v="等高線圖(2010-2015年20公尺DEM產製)"/>
        <s v="臺灣通用電子地圖_各級學校範圍圖WMTS服務"/>
        <s v="臺灣通用電子地圖_道路圖層(無文字)WMTS服務"/>
        <s v="蘭嶼鄉正射影像(109年)WMTS服務"/>
        <s v="API_地籍圖_指定地號查詢_全國"/>
        <s v="API_地籍圖_指定坐標查詢_全國"/>
        <s v="API_地籍屬性_地段代碼回傳測繪段籍屬性_宜蘭縣"/>
        <s v="API_地籍屬性_地段代碼回傳測繪段籍屬性_花蓮縣"/>
        <s v="API_地籍屬性_地段代碼回傳測繪段籍屬性_金門縣"/>
        <s v="API_地籍屬性_地段代碼回傳測繪段籍屬性_南投縣"/>
        <s v="API_地籍屬性_地段代碼回傳測繪段籍屬性_屏東縣"/>
        <s v="API_地籍屬性_地段代碼回傳測繪段籍屬性_苗栗縣"/>
        <s v="API_地籍屬性_地段代碼回傳測繪段籍屬性_桃園市"/>
        <s v="API_地籍屬性_地段代碼回傳測繪段籍屬性_高雄市"/>
        <s v="API_地籍屬性_地段代碼回傳測繪段籍屬性_基隆市"/>
        <s v="API_地籍屬性_地段代碼回傳測繪段籍屬性_連江縣"/>
        <s v="API_地籍屬性_地段代碼回傳測繪段籍屬性_雲林縣"/>
        <s v="API_地籍屬性_地段代碼回傳測繪段籍屬性_新北市"/>
        <s v="API_地籍屬性_地段代碼回傳測繪段籍屬性_新竹市"/>
        <s v="API_地籍屬性_地段代碼回傳測繪段籍屬性_新竹縣"/>
        <s v="API_地籍屬性_地段代碼回傳測繪段籍屬性_嘉義市"/>
        <s v="API_地籍屬性_地段代碼回傳測繪段籍屬性_嘉義縣"/>
        <s v="API_地籍屬性_地段代碼回傳測繪段籍屬性_彰化縣"/>
        <s v="API_地籍屬性_地段代碼回傳測繪段籍屬性_臺中市"/>
        <s v="API_地籍屬性_地段代碼回傳測繪段籍屬性_臺北市"/>
        <s v="API_地籍屬性_地段代碼回傳測繪段籍屬性_臺東縣"/>
        <s v="API_地籍屬性_地段代碼回傳測繪段籍屬性_臺南市"/>
        <s v="API_地籍屬性_地段代碼回傳測繪段籍屬性_澎湖縣"/>
        <s v="API_地籍屬性_地段號宗地定位_全國"/>
        <s v="API_地籍屬性_地段號查詢坐標_宜蘭縣"/>
        <s v="API_地籍屬性_地段號查詢坐標_花蓮縣"/>
        <s v="API_地籍屬性_地段號查詢坐標_金門縣"/>
        <s v="API_地籍屬性_地段號查詢坐標_南投縣"/>
        <s v="API_地籍屬性_地段號查詢坐標_屏東縣"/>
        <s v="API_地籍屬性_地段號查詢坐標_苗栗縣"/>
        <s v="API_地籍屬性_地段號查詢坐標_桃園市"/>
        <s v="API_地籍屬性_地段號查詢坐標_高雄市"/>
        <s v="API_地籍屬性_地段號查詢坐標_基隆市"/>
        <s v="API_地籍屬性_地段號查詢坐標_連江縣"/>
        <s v="API_地籍屬性_地段號查詢坐標_雲林縣"/>
        <s v="API_地籍屬性_地段號查詢坐標_新北市"/>
        <s v="API_地籍屬性_地段號查詢坐標_新竹市"/>
        <s v="API_地籍屬性_地段號查詢坐標_新竹縣"/>
        <s v="API_地籍屬性_地段號查詢坐標_嘉義市"/>
        <s v="API_地籍屬性_地段號查詢坐標_嘉義縣"/>
        <s v="API_地籍屬性_地段號查詢坐標_彰化縣"/>
        <s v="API_地籍屬性_地段號查詢坐標_臺中市"/>
        <s v="API_地籍屬性_地段號查詢坐標_臺北市"/>
        <s v="API_地籍屬性_地段號查詢坐標_臺東縣"/>
        <s v="API_地籍屬性_地段號查詢坐標_臺南市"/>
        <s v="API_地籍屬性_地段號查詢坐標_澎湖縣"/>
        <s v="API_地籍屬性_坐標查地段號_全國"/>
        <s v="API_地籍屬性_指定地號查詢位置_宜蘭縣"/>
        <s v="API_地籍屬性_指定地號查詢位置_花蓮縣"/>
        <s v="API_地籍屬性_指定地號查詢位置_金門縣"/>
        <s v="API_地籍屬性_指定地號查詢位置_南投縣"/>
        <s v="API_地籍屬性_指定地號查詢位置_屏東縣"/>
        <s v="API_地籍屬性_指定地號查詢位置_苗栗縣"/>
        <s v="API_地籍屬性_指定地號查詢位置_桃園市"/>
        <s v="API_地籍屬性_指定地號查詢位置_高雄市"/>
        <s v="API_地籍屬性_指定地號查詢位置_基隆市"/>
        <s v="API_地籍屬性_指定地號查詢位置_連江縣"/>
        <s v="API_地籍屬性_指定地號查詢位置_雲林縣"/>
        <s v="API_地籍屬性_指定地號查詢位置_新北市"/>
        <s v="API_地籍屬性_指定地號查詢位置_新竹市"/>
        <s v="API_地籍屬性_指定地號查詢位置_新竹縣"/>
        <s v="API_地籍屬性_指定地號查詢位置_嘉義市"/>
        <s v="API_地籍屬性_指定地號查詢位置_嘉義縣"/>
        <s v="API_地籍屬性_指定地號查詢位置_彰化縣"/>
        <s v="API_地籍屬性_指定地號查詢位置_臺中市"/>
        <s v="API_地籍屬性_指定地號查詢位置_臺北市"/>
        <s v="API_地籍屬性_指定地號查詢位置_臺東縣"/>
        <s v="API_地籍屬性_指定地號查詢位置_臺南市"/>
        <s v="API_地籍屬性_指定地號查詢位置_澎湖縣"/>
        <s v="API_地籍屬性_指定地號查詢建號列表與土地權利人類別_宜蘭縣"/>
        <s v="API_地籍屬性_指定地號查詢建號列表與土地權利人類別_花蓮縣"/>
        <s v="API_地籍屬性_指定地號查詢建號列表與土地權利人類別_金門縣"/>
        <s v="API_地籍屬性_指定地號查詢建號列表與土地權利人類別_南投縣"/>
        <s v="API_地籍屬性_指定地號查詢建號列表與土地權利人類別_屏東縣"/>
        <s v="API_地籍屬性_指定地號查詢建號列表與土地權利人類別_苗栗縣"/>
        <s v="API_地籍屬性_指定地號查詢建號列表與土地權利人類別_桃園市"/>
        <s v="API_地籍屬性_指定地號查詢建號列表與土地權利人類別_高雄市"/>
        <s v="API_地籍屬性_指定地號查詢建號列表與土地權利人類別_基隆市"/>
        <s v="API_地籍屬性_指定地號查詢建號列表與土地權利人類別_連江縣"/>
        <s v="API_地籍屬性_指定地號查詢建號列表與土地權利人類別_雲林縣"/>
        <s v="API_地籍屬性_指定地號查詢建號列表與土地權利人類別_新北市"/>
        <s v="API_地籍屬性_指定地號查詢建號列表與土地權利人類別_新竹市"/>
        <s v="API_地籍屬性_指定地號查詢建號列表與土地權利人類別_新竹縣"/>
        <s v="API_地籍屬性_指定地號查詢建號列表與土地權利人類別_嘉義市"/>
        <s v="API_地籍屬性_指定地號查詢建號列表與土地權利人類別_嘉義縣"/>
        <s v="API_地籍屬性_指定地號查詢建號列表與土地權利人類別_彰化縣"/>
        <s v="API_地籍屬性_指定地號查詢建號列表與土地權利人類別_臺中市"/>
        <s v="API_地籍屬性_指定地號查詢建號列表與土地權利人類別_臺北市"/>
        <s v="API_地籍屬性_指定地號查詢建號列表與土地權利人類別_臺東縣"/>
        <s v="API_地籍屬性_指定地號查詢建號列表與土地權利人類別_臺南市"/>
        <s v="API_地籍屬性_指定地號查詢建號列表與土地權利人類別_澎湖縣"/>
        <s v="API_地籍屬性_指定地號查詢著色圖_宜蘭縣"/>
        <s v="API_地籍屬性_指定地號查詢著色圖_花蓮縣"/>
        <s v="API_地籍屬性_指定地號查詢著色圖_金門縣"/>
        <s v="API_地籍屬性_指定地號查詢著色圖_南投縣"/>
        <s v="API_地籍屬性_指定地號查詢著色圖_屏東縣"/>
        <s v="API_地籍屬性_指定地號查詢著色圖_苗栗縣"/>
        <s v="API_地籍屬性_指定地號查詢著色圖_桃園市"/>
        <s v="API_地籍屬性_指定地號查詢著色圖_高雄市"/>
        <s v="API_地籍屬性_指定地號查詢著色圖_基隆市"/>
        <s v="API_地籍屬性_指定地號查詢著色圖_連江縣"/>
        <s v="API_地籍屬性_指定地號查詢著色圖_雲林縣"/>
        <s v="API_地籍屬性_指定地號查詢著色圖_新北市"/>
        <s v="API_地籍屬性_指定地號查詢著色圖_新竹市"/>
        <s v="API_地籍屬性_指定地號查詢著色圖_新竹縣"/>
        <s v="API_地籍屬性_指定地號查詢著色圖_嘉義市"/>
        <s v="API_地籍屬性_指定地號查詢著色圖_嘉義縣"/>
        <s v="API_地籍屬性_指定地號查詢著色圖_彰化縣"/>
        <s v="API_地籍屬性_指定地號查詢著色圖_臺中市"/>
        <s v="API_地籍屬性_指定地號查詢著色圖_臺北市"/>
        <s v="API_地籍屬性_指定地號查詢著色圖_臺東縣"/>
        <s v="API_地籍屬性_指定地號查詢著色圖_臺南市"/>
        <s v="API_地籍屬性_指定地號查詢著色圖_澎湖縣"/>
        <s v="API_地籍屬性_指定地號查詢標示資料_宜蘭縣"/>
        <s v="API_地籍屬性_指定地號查詢標示資料_花蓮縣"/>
        <s v="API_地籍屬性_指定地號查詢標示資料_金門縣"/>
        <s v="API_地籍屬性_指定地號查詢標示資料_南投縣"/>
        <s v="API_地籍屬性_指定地號查詢標示資料_屏東縣"/>
        <s v="API_地籍屬性_指定地號查詢標示資料_苗栗縣"/>
        <s v="API_地籍屬性_指定地號查詢標示資料_桃園市"/>
        <s v="API_地籍屬性_指定地號查詢標示資料_高雄市"/>
        <s v="API_地籍屬性_指定地號查詢標示資料_基隆市"/>
        <s v="API_地籍屬性_指定地號查詢標示資料_連江縣"/>
        <s v="API_地籍屬性_指定地號查詢標示資料_雲林縣"/>
        <s v="API_地籍屬性_指定地號查詢標示資料_新北市"/>
        <s v="API_地籍屬性_指定地號查詢標示資料_新竹市"/>
        <s v="API_地籍屬性_指定地號查詢標示資料_新竹縣"/>
        <s v="API_地籍屬性_指定地號查詢標示資料_嘉義市"/>
        <s v="API_地籍屬性_指定地號查詢標示資料_嘉義縣"/>
        <s v="API_地籍屬性_指定地號查詢標示資料_彰化縣"/>
        <s v="API_地籍屬性_指定地號查詢標示資料_臺中市"/>
        <s v="API_地籍屬性_指定地號查詢標示資料_臺北市"/>
        <s v="API_地籍屬性_指定地號查詢標示資料_臺東縣"/>
        <s v="API_地籍屬性_指定地號查詢標示資料_臺南市"/>
        <s v="API_地籍屬性_指定地號查詢標示資料_澎湖縣"/>
        <s v="API_地籍屬性_指定門牌查詢地號_全國"/>
        <s v="API_地籍屬性_指定範圍查詢地號清單_全國"/>
        <s v="API_地籍屬性_單點坐標查詢地段號_全國"/>
        <s v="API_國土利用屬性_指定坐標及年度查詢屬性_全國"/>
        <s v="API_國土利用屬性_指定範圍及年度查詢變遷_全國"/>
        <s v="API_開放_地段清單_宜蘭縣"/>
        <s v="API_開放_地段清單_花蓮縣"/>
        <s v="API_開放_地段清單_金門縣"/>
        <s v="API_開放_地段清單_南投縣"/>
        <s v="API_開放_地段清單_屏東縣"/>
        <s v="API_開放_地段清單_苗栗縣"/>
        <s v="API_開放_地段清單_桃園市"/>
        <s v="API_開放_地段清單_高雄市"/>
        <s v="API_開放_地段清單_基隆市"/>
        <s v="API_開放_地段清單_連江縣"/>
        <s v="API_開放_地段清單_雲林縣"/>
        <s v="API_開放_地段清單_新北市"/>
        <s v="API_開放_地段清單_新竹市"/>
        <s v="API_開放_地段清單_新竹縣"/>
        <s v="API_開放_地段清單_嘉義市"/>
        <s v="API_開放_地段清單_嘉義縣"/>
        <s v="API_開放_地段清單_彰化縣"/>
        <s v="API_開放_地段清單_臺中市"/>
        <s v="API_開放_地段清單_臺北市"/>
        <s v="API_開放_地段清單_臺東縣"/>
        <s v="API_開放_地段清單_臺南市"/>
        <s v="API_開放_地段清單_澎湖縣"/>
        <s v="API_開放_村里界線範圍圖形(戶政)_全國"/>
        <s v="API_開放_村里清單_宜蘭縣"/>
        <s v="API_開放_村里清單_花蓮縣"/>
        <s v="API_開放_村里清單_金門縣"/>
        <s v="API_開放_村里清單_南投縣"/>
        <s v="API_開放_村里清單_屏東縣"/>
        <s v="API_開放_村里清單_苗栗縣"/>
        <s v="API_開放_村里清單_桃園市"/>
        <s v="API_開放_村里清單_高雄市"/>
        <s v="API_開放_村里清單_基隆市"/>
        <s v="API_開放_村里清單_連江縣"/>
        <s v="API_開放_村里清單_雲林縣"/>
        <s v="API_開放_村里清單_新北市"/>
        <s v="API_開放_村里清單_新竹市"/>
        <s v="API_開放_村里清單_新竹縣"/>
        <s v="API_開放_村里清單_嘉義市"/>
        <s v="API_開放_村里清單_嘉義縣"/>
        <s v="API_開放_村里清單_彰化縣"/>
        <s v="API_開放_村里清單_臺中市"/>
        <s v="API_開放_村里清單_臺北市"/>
        <s v="API_開放_村里清單_臺東縣"/>
        <s v="API_開放_村里清單_臺南市"/>
        <s v="API_開放_村里清單_澎湖縣"/>
        <s v="API_開放_指定多邊形三維建物模型轉檔"/>
        <s v="API_開放_指定坐標回傳國土利用現況調查成果圖的屬性_全國"/>
        <s v="API_開放_指定圓形範圍三維建物模型轉檔"/>
        <s v="API_開放_指定點位三維建物模型轉檔"/>
        <s v="API_開放_查詢工商設施_全國"/>
        <s v="API_開放_查詢文教設施_全國"/>
        <s v="API_開放_查詢鄰避設施_全國"/>
        <s v="API_開放_查詢醫療設施_全國"/>
        <s v="API_開放_單點坐標回傳行政區(戶政)_全國"/>
        <s v="API_開放_單點坐標回傳行政區(地政)_全國"/>
        <s v="API_開放_鄉鎮市區查詢道路列表_宜蘭縣"/>
        <s v="API_開放_鄉鎮市區查詢道路列表_花蓮縣"/>
        <s v="API_開放_鄉鎮市區查詢道路列表_金門縣"/>
        <s v="API_開放_鄉鎮市區查詢道路列表_南投縣"/>
        <s v="API_開放_鄉鎮市區查詢道路列表_屏東縣"/>
        <s v="API_開放_鄉鎮市區查詢道路列表_苗栗縣"/>
        <s v="API_開放_鄉鎮市區查詢道路列表_桃園市"/>
        <s v="API_開放_鄉鎮市區查詢道路列表_高雄市"/>
        <s v="API_開放_鄉鎮市區查詢道路列表_基隆市"/>
        <s v="API_開放_鄉鎮市區查詢道路列表_連江縣"/>
        <s v="API_開放_鄉鎮市區查詢道路列表_雲林縣"/>
        <s v="API_開放_鄉鎮市區查詢道路列表_新北市"/>
        <s v="API_開放_鄉鎮市區查詢道路列表_新竹市"/>
        <s v="API_開放_鄉鎮市區查詢道路列表_新竹縣"/>
        <s v="API_開放_鄉鎮市區查詢道路列表_嘉義市"/>
        <s v="API_開放_鄉鎮市區查詢道路列表_嘉義縣"/>
        <s v="API_開放_鄉鎮市區查詢道路列表_彰化縣"/>
        <s v="API_開放_鄉鎮市區查詢道路列表_臺中市"/>
        <s v="API_開放_鄉鎮市區查詢道路列表_臺北市"/>
        <s v="API_開放_鄉鎮市區查詢道路列表_臺東縣"/>
        <s v="API_開放_鄉鎮市區查詢道路列表_臺南市"/>
        <s v="API_開放_鄉鎮市區查詢道路列表_澎湖縣"/>
        <s v="API_開放_鄉鎮市區清單(戶政)_宜蘭縣"/>
        <s v="API_開放_鄉鎮市區清單(戶政)_花蓮縣"/>
        <s v="API_開放_鄉鎮市區清單(戶政)_金門縣"/>
        <s v="API_開放_鄉鎮市區清單(戶政)_南投縣"/>
        <s v="API_開放_鄉鎮市區清單(戶政)_屏東縣"/>
        <s v="API_開放_鄉鎮市區清單(戶政)_苗栗縣"/>
        <s v="API_開放_鄉鎮市區清單(戶政)_桃園市"/>
        <s v="API_開放_鄉鎮市區清單(戶政)_高雄市"/>
        <s v="API_開放_鄉鎮市區清單(戶政)_基隆市"/>
        <s v="API_開放_鄉鎮市區清單(戶政)_連江縣"/>
        <s v="API_開放_鄉鎮市區清單(戶政)_雲林縣"/>
        <s v="API_開放_鄉鎮市區清單(戶政)_新北市"/>
        <s v="API_開放_鄉鎮市區清單(戶政)_新竹市"/>
        <s v="API_開放_鄉鎮市區清單(戶政)_新竹縣"/>
        <s v="API_開放_鄉鎮市區清單(戶政)_嘉義市"/>
        <s v="API_開放_鄉鎮市區清單(戶政)_嘉義縣"/>
        <s v="API_開放_鄉鎮市區清單(戶政)_彰化縣"/>
        <s v="API_開放_鄉鎮市區清單(戶政)_臺中市"/>
        <s v="API_開放_鄉鎮市區清單(戶政)_臺北市"/>
        <s v="API_開放_鄉鎮市區清單(戶政)_臺東縣"/>
        <s v="API_開放_鄉鎮市區清單(戶政)_臺南市"/>
        <s v="API_開放_鄉鎮市區清單(戶政)_澎湖縣"/>
        <s v="API_開放_鄉鎮市區清單(地政)_宜蘭縣"/>
        <s v="API_開放_鄉鎮市區清單(地政)_花蓮縣"/>
        <s v="API_開放_鄉鎮市區清單(地政)_金門縣"/>
        <s v="API_開放_鄉鎮市區清單(地政)_南投縣"/>
        <s v="API_開放_鄉鎮市區清單(地政)_屏東縣"/>
        <s v="API_開放_鄉鎮市區清單(地政)_苗栗縣"/>
        <s v="API_開放_鄉鎮市區清單(地政)_桃園市"/>
        <s v="API_開放_鄉鎮市區清單(地政)_高雄市"/>
        <s v="API_開放_鄉鎮市區清單(地政)_基隆市"/>
        <s v="API_開放_鄉鎮市區清單(地政)_連江縣"/>
        <s v="API_開放_鄉鎮市區清單(地政)_雲林縣"/>
        <s v="API_開放_鄉鎮市區清單(地政)_新北市"/>
        <s v="API_開放_鄉鎮市區清單(地政)_新竹市"/>
        <s v="API_開放_鄉鎮市區清單(地政)_新竹縣"/>
        <s v="API_開放_鄉鎮市區清單(地政)_嘉義市"/>
        <s v="API_開放_鄉鎮市區清單(地政)_嘉義縣"/>
        <s v="API_開放_鄉鎮市區清單(地政)_彰化縣"/>
        <s v="API_開放_鄉鎮市區清單(地政)_臺中市"/>
        <s v="API_開放_鄉鎮市區清單(地政)_臺北市"/>
        <s v="API_開放_鄉鎮市區清單(地政)_臺東縣"/>
        <s v="API_開放_鄉鎮市區清單(地政)_臺南市"/>
        <s v="API_開放_鄉鎮市區清單(地政)_澎湖縣"/>
        <s v="API_開放_鄉鎮市區路名查詢交叉路口及坐標_宜蘭縣"/>
        <s v="API_開放_鄉鎮市區路名查詢交叉路口及坐標_花蓮縣"/>
        <s v="API_開放_鄉鎮市區路名查詢交叉路口及坐標_金門縣"/>
        <s v="API_開放_鄉鎮市區路名查詢交叉路口及坐標_南投縣"/>
        <s v="API_開放_鄉鎮市區路名查詢交叉路口及坐標_屏東縣"/>
        <s v="API_開放_鄉鎮市區路名查詢交叉路口及坐標_苗栗縣"/>
        <s v="API_開放_鄉鎮市區路名查詢交叉路口及坐標_桃園市"/>
        <s v="API_開放_鄉鎮市區路名查詢交叉路口及坐標_高雄市"/>
        <s v="API_開放_鄉鎮市區路名查詢交叉路口及坐標_基隆市"/>
        <s v="API_開放_鄉鎮市區路名查詢交叉路口及坐標_連江縣"/>
        <s v="API_開放_鄉鎮市區路名查詢交叉路口及坐標_雲林縣"/>
        <s v="API_開放_鄉鎮市區路名查詢交叉路口及坐標_新北市"/>
        <s v="API_開放_鄉鎮市區路名查詢交叉路口及坐標_新竹市"/>
        <s v="API_開放_鄉鎮市區路名查詢交叉路口及坐標_新竹縣"/>
        <s v="API_開放_鄉鎮市區路名查詢交叉路口及坐標_嘉義市"/>
        <s v="API_開放_鄉鎮市區路名查詢交叉路口及坐標_嘉義縣"/>
        <s v="API_開放_鄉鎮市區路名查詢交叉路口及坐標_彰化縣"/>
        <s v="API_開放_鄉鎮市區路名查詢交叉路口及坐標_臺中市"/>
        <s v="API_開放_鄉鎮市區路名查詢交叉路口及坐標_臺北市"/>
        <s v="API_開放_鄉鎮市區路名查詢交叉路口及坐標_臺東縣"/>
        <s v="API_開放_鄉鎮市區路名查詢交叉路口及坐標_臺南市"/>
        <s v="API_開放_鄉鎮市區路名查詢交叉路口及坐標_澎湖縣"/>
        <s v="API_開放_縣市名稱及代碼清單_全國"/>
        <s v="API_開放_縣市道路關鍵字查詢主要道路_宜蘭縣"/>
        <s v="API_開放_縣市道路關鍵字查詢主要道路_花蓮縣"/>
        <s v="API_開放_縣市道路關鍵字查詢主要道路_金門縣"/>
        <s v="API_開放_縣市道路關鍵字查詢主要道路_南投縣"/>
        <s v="API_開放_縣市道路關鍵字查詢主要道路_屏東縣"/>
        <s v="API_開放_縣市道路關鍵字查詢主要道路_苗栗縣"/>
        <s v="API_開放_縣市道路關鍵字查詢主要道路_桃園市"/>
        <s v="API_開放_縣市道路關鍵字查詢主要道路_高雄市"/>
        <s v="API_開放_縣市道路關鍵字查詢主要道路_基隆市"/>
        <s v="API_開放_縣市道路關鍵字查詢主要道路_連江縣"/>
        <s v="API_開放_縣市道路關鍵字查詢主要道路_雲林縣"/>
        <s v="API_開放_縣市道路關鍵字查詢主要道路_新北市"/>
        <s v="API_開放_縣市道路關鍵字查詢主要道路_新竹市"/>
        <s v="API_開放_縣市道路關鍵字查詢主要道路_新竹縣"/>
        <s v="API_開放_縣市道路關鍵字查詢主要道路_嘉義市"/>
        <s v="API_開放_縣市道路關鍵字查詢主要道路_嘉義縣"/>
        <s v="API_開放_縣市道路關鍵字查詢主要道路_彰化縣"/>
        <s v="API_開放_縣市道路關鍵字查詢主要道路_臺中市"/>
        <s v="API_開放_縣市道路關鍵字查詢主要道路_臺北市"/>
        <s v="API_開放_縣市道路關鍵字查詢主要道路_臺東縣"/>
        <s v="API_開放_縣市道路關鍵字查詢主要道路_臺南市"/>
        <s v="API_開放_縣市道路關鍵字查詢主要道路_澎湖縣"/>
        <s v="API_路徑規劃_時間最短路線_全國"/>
        <s v="API_路徑規劃_距離最短路線_全國"/>
        <s v="API_路徑規劃_節點查詢_全國"/>
        <s v="API_模糊檢索_全域模糊檢索_全國"/>
        <s v="API_模糊檢索_巷弄清單_宜蘭縣"/>
        <s v="API_模糊檢索_巷弄清單_花蓮縣"/>
        <s v="API_模糊檢索_巷弄清單_金門縣"/>
        <s v="API_模糊檢索_巷弄清單_南投縣"/>
        <s v="API_模糊檢索_巷弄清單_屏東縣"/>
        <s v="API_模糊檢索_巷弄清單_苗栗縣"/>
        <s v="API_模糊檢索_巷弄清單_桃園市"/>
        <s v="API_模糊檢索_巷弄清單_高雄市"/>
        <s v="API_模糊檢索_巷弄清單_基隆市"/>
        <s v="API_模糊檢索_巷弄清單_連江縣"/>
        <s v="API_模糊檢索_巷弄清單_雲林縣"/>
        <s v="API_模糊檢索_巷弄清單_新北市"/>
        <s v="API_模糊檢索_巷弄清單_新竹市"/>
        <s v="API_模糊檢索_巷弄清單_新竹縣"/>
        <s v="API_模糊檢索_巷弄清單_嘉義市"/>
        <s v="API_模糊檢索_巷弄清單_嘉義縣"/>
        <s v="API_模糊檢索_巷弄清單_彰化縣"/>
        <s v="API_模糊檢索_巷弄清單_臺中市"/>
        <s v="API_模糊檢索_巷弄清單_臺北市"/>
        <s v="API_模糊檢索_巷弄清單_臺東縣"/>
        <s v="API_模糊檢索_巷弄清單_臺南市"/>
        <s v="API_模糊檢索_巷弄清單_澎湖縣"/>
        <s v="API_模糊檢索_面坐標回傳門牌_全國"/>
        <s v="API_模糊檢索_路名清單_宜蘭縣"/>
        <s v="API_模糊檢索_路名清單_花蓮縣"/>
        <s v="API_模糊檢索_路名清單_金門縣"/>
        <s v="API_模糊檢索_路名清單_南投縣"/>
        <s v="API_模糊檢索_路名清單_屏東縣"/>
        <s v="API_模糊檢索_路名清單_苗栗縣"/>
        <s v="API_模糊檢索_路名清單_桃園市"/>
        <s v="API_模糊檢索_路名清單_高雄市"/>
        <s v="API_模糊檢索_路名清單_基隆市"/>
        <s v="API_模糊檢索_路名清單_連江縣"/>
        <s v="API_模糊檢索_路名清單_雲林縣"/>
        <s v="API_模糊檢索_路名清單_新北市"/>
        <s v="API_模糊檢索_路名清單_新竹市"/>
        <s v="API_模糊檢索_路名清單_新竹縣"/>
        <s v="API_模糊檢索_路名清單_嘉義市"/>
        <s v="API_模糊檢索_路名清單_嘉義縣"/>
        <s v="API_模糊檢索_路名清單_彰化縣"/>
        <s v="API_模糊檢索_路名清單_臺中市"/>
        <s v="API_模糊檢索_路名清單_臺北市"/>
        <s v="API_模糊檢索_路名清單_臺東縣"/>
        <s v="API_模糊檢索_路名清單_臺南市"/>
        <s v="API_模糊檢索_路名清單_澎湖縣"/>
        <s v="API_模糊檢索_模糊檢索_全國"/>
        <s v="API_模糊檢索_線坐標回傳門牌_全國"/>
        <s v="API_模糊檢索_點坐標回傳門牌_全國"/>
        <s v="I3S_三維建物服務_指定範圍呼叫"/>
        <s v="I3S_三維建物模型_融合版及分棟版"/>
        <s v="I3S_三維道路模型_地形貼合版"/>
        <s v="I3S_三維道路模型_原始成果版"/>
        <s v="OPENDATA_避難收容所WMTS服務"/>
        <s v="WFS_1/1000地形圖_宜蘭縣大湖風景特定區計畫(112年)"/>
        <s v="WFS_1/1000地形圖_宜蘭縣五峰旗風景特定區計畫(112年)"/>
        <s v="WFS_1/1000地形圖_宜蘭縣冬山(順安地區)都市計畫(112年)"/>
        <s v="WFS_1/1000地形圖_宜蘭縣宜蘭市都市計畫(113年)"/>
        <s v="WFS_1/1000地形圖_宜蘭縣南澳南強都市計畫(112年)"/>
        <s v="WFS_1/1000地形圖_宜蘭縣政中心地區都市計畫(112年)"/>
        <s v="WFS_1/1000地形圖_宜蘭縣員山都市計畫(112年)"/>
        <s v="WFS_1/1000地形圖_宜蘭縣梅花湖風景特定區計畫(112年)"/>
        <s v="WFS_1/1000地形圖_宜蘭縣龍潭湖風景特定區計畫(112年)"/>
        <s v="WFS_1/1000地形圖_宜蘭縣礁溪都市計畫(112年)"/>
        <s v="WFS_1/1000地形圖_宜蘭縣蘇澳(新馬地區)都市計畫(112年)"/>
        <s v="WFS_1/1000地形圖_花蓮縣光復鄉都市計畫(113年)"/>
        <s v="WFS_1/1000地形圖_南投縣中興新村(含南內轆地區)都市計畫(112年)"/>
        <s v="WFS_1/1000地形圖_南投縣南投(含南崗地區)都市計畫(112年)"/>
        <s v="WFS_1/1000地形圖_南投縣草屯都市計畫(112年)"/>
        <s v="WFS_1/1000地形圖_屏東縣里港都市計畫(113年)"/>
        <s v="WFS_1/1000地形圖_屏東縣東港都市計畫(113年)"/>
        <s v="WFS_1/1000地形圖_屏東縣屏東都市計畫(112年)"/>
        <s v="WFS_1/1000地形圖_屏東縣新園(烏龍地區)都市計畫(113年)"/>
        <s v="WFS_1/1000地形圖_屏東縣鹽埔漁港特定區計畫(113年)"/>
        <s v="WFS_1/1000地形圖_苗栗縣苗栗都市計畫(112年)"/>
        <s v="WFS_1/1000地形圖_苗栗縣高速公路苗栗交流道附近特定區計畫(112年)"/>
        <s v="WFS_1/1000地形圖_苗栗縣頭屋都市計畫(112年)"/>
        <s v="WFS_1/1000地形圖_桃園市平鎮(山子頂地區)都市計畫(112年)"/>
        <s v="WFS_1/1000地形圖_桃園市新屋都市計畫(113年)"/>
        <s v="WFS_1/1000地形圖_桃園市龍潭都市計畫(113年)"/>
        <s v="WFS_1/1000地形圖_桃園市觀音(新坡地區)都市計畫(113年)"/>
        <s v="WFS_1/1000地形圖_桃園市觀音都市計畫(113年)"/>
        <s v="WFS_1/1000地形圖_高雄市(三民.苓雅.前金.新興.前鎮.鹽埕)都市計畫(113年)"/>
        <s v="WFS_1/1000地形圖_高雄市岡山都市計畫(112年)"/>
        <s v="WFS_1/1000地形圖_高雄市鳳山都市計畫(113年)"/>
        <s v="WFS_1/1000地形圖_雲林縣二崙都市計畫(112年)"/>
        <s v="WFS_1/1000地形圖_雲林縣斗六(含大潭地區)都市計畫(113年)"/>
        <s v="WFS_1/1000地形圖_雲林縣斗六嘉東地區特定區計畫(112年)"/>
        <s v="WFS_1/1000地形圖_雲林縣高速鐵路雲林車站特定區計畫(113年)"/>
        <s v="WFS_1/1000地形圖_雲林縣崙背都市計畫(112年)"/>
        <s v="WFS_1/1000地形圖_雲林縣莿桐都市計畫(113年)"/>
        <s v="WFS_1/1000地形圖_雲林縣箔子寮漁港特定區計畫(112年)"/>
        <s v="WFS_1/1000地形圖_新竹科學工業園區特定區計畫(竹東部分)(112年)"/>
        <s v="WFS_1/1000地形圖_新竹科學工業園區特定區計畫(寶山部分)(112年)"/>
        <s v="WFS_1/1000地形圖_新竹縣竹北(含斗崙地區)都市計畫(113年)"/>
        <s v="WFS_1/1000地形圖_新竹縣高速鐵路新竹車站特定區計畫(113年)"/>
        <s v="WFS_1/1000地形圖_新竹縣寶山都市計畫(112年)"/>
        <s v="WFS_1/1000地形圖_嘉義縣大林都市計畫(112年)"/>
        <s v="WFS_1/1000地形圖_嘉義縣仁義潭風景特定區計畫(嘉義縣部分)(112年)"/>
        <s v="WFS_1/1000地形圖_嘉義縣太保都市計畫(112年)"/>
        <s v="WFS_1/1000地形圖_嘉義縣民雄(頭橋地區)都市計畫(113年)"/>
        <s v="WFS_1/1000地形圖_嘉義縣民雄都市計畫(113年)"/>
        <s v="WFS_1/1000地形圖_嘉義縣竹崎鄉都市計畫(113年)"/>
        <s v="WFS_1/1000地形圖_嘉義縣吳鳳廟特定區計畫(112年)"/>
        <s v="WFS_1/1000地形圖_嘉義縣治都市計畫(112年)"/>
        <s v="WFS_1/1000地形圖_嘉義縣阿里山鄉都市計畫(113年)"/>
        <s v="WFS_1/1000地形圖_嘉義縣高速鐵路嘉義車站特定區計畫(112年)"/>
        <s v="WFS_1/1000地形圖_嘉義縣國立中正大學特定區計畫(112年)"/>
        <s v="WFS_1/1000地形圖_嘉義縣番路鄉都市計畫(113年)"/>
        <s v="WFS_1/1000地形圖_彰化縣高速公路彰化交流道附近特定區計畫(112年)"/>
        <s v="WFS_1/1000地形圖_彰化縣彰化都市計畫(112年)"/>
        <s v="WFS_1/1000地形圖_臺中市大肚都市計畫(112年)"/>
        <s v="WFS_1/1000地形圖_臺中市中部科學工業園區台中基地附近特定區計畫(113年)"/>
        <s v="WFS_1/1000地形圖_臺中市東勢都市計畫(112年)"/>
        <s v="WFS_1/1000地形圖_臺中市烏日都市計畫(112年)"/>
        <s v="WFS_1/1000地形圖_臺中市高速公路王田交流道附近特定區計畫(112年)"/>
        <s v="WFS_1/1000地形圖_臺中市新社都市計畫(112年)"/>
        <s v="WFS_1/1000地形圖_臺中市豐潭雅神都市計畫(113年)"/>
        <s v="WFS_1/1000地形圖_臺東縣臺東市都市計畫(112年)"/>
        <s v="WFS_1/1000地形圖_臺東縣臺東鐵路新站附近地區都市計畫(113年)"/>
        <s v="WFS_1/1000地形圖_臺南市佳里都市計畫(113年)"/>
        <s v="WFS_1/1000地形圖_臺南市柳營都市計畫(112年)"/>
        <s v="WFS_1/1000地形圖_臺南市高速公路新營交流道附近特定區計畫(112年)"/>
        <s v="WFS_1/1000地形圖_臺南市新營都市計畫(112年)"/>
        <s v="WFS_1/1000地形圖_臺南市鹽水都市計畫(112年)"/>
        <s v="WFS_1/1000地形圖_澎湖縣二崁傳統聚落特定區計畫(112年)"/>
        <s v="WFS_1/1000地形圖_澎湖縣白沙通梁地區都市計畫(112年)"/>
        <s v="WFS_1/1000地形圖_澎湖縣西嶼西台古蹟特定區計畫(112年)"/>
        <s v="WFS_1/1000地形圖_澎湖縣林投風景特定區計畫(112年)"/>
        <s v="WFS_1/1000地形圖_澎湖縣馬公市都市計畫(113年)"/>
        <s v="WFS_1/1000地形圖_澎湖縣馬公都市計畫(112年)"/>
        <s v="WFS_1/1000地形圖_澎湖縣湖西鄉都市計畫(113年)"/>
        <s v="WFS_1/1000地形圖_澎湖縣鎖港地區都市計畫(112年)"/>
        <s v="WFS_分棟建物框"/>
        <s v="WFS_地段外圍圖"/>
        <s v="WFS_國土利用現況調查成果圖"/>
        <s v="WFS_臺灣通用電子地圖"/>
        <s v="WMS"/>
        <s v="WMS_地籍圖"/>
        <s v="WMTS_1/100000地形圖(107年)"/>
        <s v="WMTS_1/100000地形圖(109年)"/>
        <s v="WMTS_1/100000地形圖(110年)"/>
        <s v="WMTS_1/100000地形圖(111年)"/>
        <s v="WMTS_1/100000地形圖(112年)"/>
        <s v="WMTS_1/100000地形圖(113年)"/>
        <s v="WMTS_1/100000地形圖(114年)"/>
        <s v="WMTS_1/100000基本地形圖"/>
        <s v="WMTS_1/10000像片基本圖(69-72年)"/>
        <s v="WMTS_1/1000地形圖_北埔都市計畫(97年)"/>
        <s v="WMTS_1/1000地形圖_正射影像_宜蘭縣大湖風景特定區計畫(112年)"/>
        <s v="WMTS_1/1000地形圖_正射影像_宜蘭縣五峰旗風景特定區計畫(112年)"/>
        <s v="WMTS_1/1000地形圖_正射影像_宜蘭縣冬山(順安地區)都市計畫(112年)"/>
        <s v="WMTS_1/1000地形圖_正射影像_宜蘭縣宜蘭市都市計畫(113年)"/>
        <s v="WMTS_1/1000地形圖_正射影像_宜蘭縣南澳南強都市計畫(112年)"/>
        <s v="WMTS_1/1000地形圖_正射影像_宜蘭縣政中心地區都市計畫(112年)"/>
        <s v="WMTS_1/1000地形圖_正射影像_宜蘭縣員山都市計畫(112年)"/>
        <s v="WMTS_1/1000地形圖_正射影像_宜蘭縣梅花湖風景特定區計畫(112年)"/>
        <s v="WMTS_1/1000地形圖_正射影像_宜蘭縣龍潭湖風景特定區計畫(112年)"/>
        <s v="WMTS_1/1000地形圖_正射影像_宜蘭縣礁溪都市計畫(112年)"/>
        <s v="WMTS_1/1000地形圖_正射影像_宜蘭縣蘇澳(新馬地區)都市計畫(112年)"/>
        <s v="WMTS_1/1000地形圖_正射影像_花蓮縣光復鄉都市計畫(113年)"/>
        <s v="WMTS_1/1000地形圖_正射影像_南投縣中興新村(含南內轆地區)都市計畫(112年)"/>
        <s v="WMTS_1/1000地形圖_正射影像_南投縣南投(含南崗地區)都市計畫(112年)"/>
        <s v="WMTS_1/1000地形圖_正射影像_南投縣草屯都市計畫(112年)"/>
        <s v="WMTS_1/1000地形圖_正射影像_屏東縣里港都市計畫(113年)"/>
        <s v="WMTS_1/1000地形圖_正射影像_屏東縣東港都市計畫(113年)"/>
        <s v="WMTS_1/1000地形圖_正射影像_屏東縣屏東都市計畫(112年)"/>
        <s v="WMTS_1/1000地形圖_正射影像_屏東縣新園(烏龍地區)都市計畫(113年)"/>
        <s v="WMTS_1/1000地形圖_正射影像_屏東縣鹽埔漁港特定區計畫(113年)"/>
        <s v="WMTS_1/1000地形圖_正射影像_苗栗縣苗栗都市計畫(112年)"/>
        <s v="WMTS_1/1000地形圖_正射影像_苗栗縣高速公路苗栗交流道附近特定區計畫(112年)"/>
        <s v="WMTS_1/1000地形圖_正射影像_苗栗縣頭屋都市計畫(112年)"/>
        <s v="WMTS_1/1000地形圖_正射影像_桃園市平鎮(山子頂地區)都市計畫(112年)"/>
        <s v="WMTS_1/1000地形圖_正射影像_桃園市新屋都市計畫(113年)"/>
        <s v="WMTS_1/1000地形圖_正射影像_桃園市龍潭都市計畫(113年)"/>
        <s v="WMTS_1/1000地形圖_正射影像_桃園市觀音(新坡地區)都市計畫(113年)"/>
        <s v="WMTS_1/1000地形圖_正射影像_桃園市觀音都市計畫(113年)"/>
        <s v="WMTS_1/1000地形圖_正射影像_高雄市(三民.苓雅.前金.新興.前鎮.鹽埕)都市計畫(113年)"/>
        <s v="WMTS_1/1000地形圖_正射影像_高雄市岡山都市計畫(112年)"/>
        <s v="WMTS_1/1000地形圖_正射影像_高雄市鳳山都市計畫(113年)"/>
        <s v="WMTS_1/1000地形圖_正射影像_雲林縣二崙都市計畫(112年)"/>
        <s v="WMTS_1/1000地形圖_正射影像_雲林縣斗六(含大潭地區)都市計畫(113年)"/>
        <s v="WMTS_1/1000地形圖_正射影像_雲林縣斗六嘉東地區特定區計畫(112年)"/>
        <s v="WMTS_1/1000地形圖_正射影像_雲林縣高速鐵路雲林車站特定區計畫(113年)"/>
        <s v="WMTS_1/1000地形圖_正射影像_雲林縣崙背都市計畫(112年)"/>
        <s v="WMTS_1/1000地形圖_正射影像_雲林縣莿桐都市計畫(113年)"/>
        <s v="WMTS_1/1000地形圖_正射影像_雲林縣箔子寮漁港特定區計畫(112年)"/>
        <s v="WMTS_1/1000地形圖_正射影像_新竹科學工業園區特定區計畫(竹東部分)(112年)"/>
        <s v="WMTS_1/1000地形圖_正射影像_新竹科學工業園區特定區計畫(寶山部分)(112年)"/>
        <s v="WMTS_1/1000地形圖_正射影像_新竹縣竹北(含斗崙地區)都市計畫(113年)"/>
        <s v="WMTS_1/1000地形圖_正射影像_新竹縣高速鐵路新竹車站特定區計畫(113年)"/>
        <s v="WMTS_1/1000地形圖_正射影像_新竹縣寶山都市計畫(112年)"/>
        <s v="WMTS_1/1000地形圖_正射影像_嘉義縣大林都市計畫(112年)"/>
        <s v="WMTS_1/1000地形圖_正射影像_嘉義縣仁義潭風景特定區計畫(嘉義縣部分)(112年)"/>
        <s v="WMTS_1/1000地形圖_正射影像_嘉義縣太保都市計畫(112年)"/>
        <s v="WMTS_1/1000地形圖_正射影像_嘉義縣民雄(頭橋地區)都市計畫(113年)"/>
        <s v="WMTS_1/1000地形圖_正射影像_嘉義縣民雄都市計畫(113年)"/>
        <s v="WMTS_1/1000地形圖_正射影像_嘉義縣竹崎鄉都市計畫(113年)"/>
        <s v="WMTS_1/1000地形圖_正射影像_嘉義縣吳鳳廟特定區計畫(112年)"/>
        <s v="WMTS_1/1000地形圖_正射影像_嘉義縣治都市計畫(112年)"/>
        <s v="WMTS_1/1000地形圖_正射影像_嘉義縣阿里山鄉都市計畫(113年)"/>
        <s v="WMTS_1/1000地形圖_正射影像_嘉義縣高速鐵路嘉義車站特定區計畫(112年)"/>
        <s v="WMTS_1/1000地形圖_正射影像_嘉義縣國立中正大學特定區計畫(112年)"/>
        <s v="WMTS_1/1000地形圖_正射影像_嘉義縣番路鄉都市計畫(113年)"/>
        <s v="WMTS_1/1000地形圖_正射影像_彰化縣高速公路彰化交流道附近特定區計畫(112年)"/>
        <s v="WMTS_1/1000地形圖_正射影像_彰化縣彰化都市計畫(112年)"/>
        <s v="WMTS_1/1000地形圖_正射影像_臺中市大肚都市計畫(112年)"/>
        <s v="WMTS_1/1000地形圖_正射影像_臺中市中部科學工業園區台中基地附近特定區計畫(113年)"/>
        <s v="WMTS_1/1000地形圖_正射影像_臺中市東勢都市計畫(112年)"/>
        <s v="WMTS_1/1000地形圖_正射影像_臺中市烏日都市計畫(112年)"/>
        <s v="WMTS_1/1000地形圖_正射影像_臺中市高速公路王田交流道附近特定區計畫(112年)"/>
        <s v="WMTS_1/1000地形圖_正射影像_臺中市新社都市計畫(112年)"/>
        <s v="WMTS_1/1000地形圖_正射影像_臺中市豐潭雅神都市計畫(113年)"/>
        <s v="WMTS_1/1000地形圖_正射影像_臺東縣臺東市都市計畫(112年)"/>
        <s v="WMTS_1/1000地形圖_正射影像_臺東縣臺東鐵路新站附近地區都市計畫(113年)"/>
        <s v="WMTS_1/1000地形圖_正射影像_臺南市佳里都市計畫(113年)"/>
        <s v="WMTS_1/1000地形圖_正射影像_臺南市柳營都市計畫(112年)"/>
        <s v="WMTS_1/1000地形圖_正射影像_臺南市高速公路新營交流道附近特定區計畫(112年)"/>
        <s v="WMTS_1/1000地形圖_正射影像_臺南市新營都市計畫(112年)"/>
        <s v="WMTS_1/1000地形圖_正射影像_臺南市鹽水都市計畫(112年)"/>
        <s v="WMTS_1/1000地形圖_正射影像_澎湖縣二崁傳統聚落特定區計畫(112年)"/>
        <s v="WMTS_1/1000地形圖_正射影像_澎湖縣白沙通梁地區都市計畫(112年)"/>
        <s v="WMTS_1/1000地形圖_正射影像_澎湖縣西嶼西台古蹟特定區計畫(112年)"/>
        <s v="WMTS_1/1000地形圖_正射影像_澎湖縣林投風景特定區計畫(112年)"/>
        <s v="WMTS_1/1000地形圖_正射影像_澎湖縣馬公市都市計畫(113年)"/>
        <s v="WMTS_1/1000地形圖_正射影像_澎湖縣馬公都市計畫(112年)"/>
        <s v="WMTS_1/1000地形圖_正射影像_澎湖縣湖西鄉都市計畫(113年)"/>
        <s v="WMTS_1/1000地形圖_正射影像_澎湖縣鎖港地區都市計畫(112年)"/>
        <s v="WMTS_1/1000地形圖_竹北都市計畫(93年)"/>
        <s v="WMTS_1/1000地形圖_竹東都市計畫(93-94年)"/>
        <s v="WMTS_1/1000地形圖_芎林都市計畫(93年)"/>
        <s v="WMTS_1/1000地形圖_宜蘭縣三星都市計畫(98年)"/>
        <s v="WMTS_1/1000地形圖_宜蘭縣大湖風景特定區計畫(112年)"/>
        <s v="WMTS_1/1000地形圖_宜蘭縣大湖風景特定區計畫(97年)"/>
        <s v="WMTS_1/1000地形圖_宜蘭縣五峰旗風景特定區計畫(112年)"/>
        <s v="WMTS_1/1000地形圖_宜蘭縣五峰旗風景特定區計畫及礁溪都市計畫(97年)"/>
        <s v="WMTS_1/1000地形圖_宜蘭縣五結(學進地區)都市計畫(97年)"/>
        <s v="WMTS_1/1000地形圖_宜蘭縣冬山(順安地區)都市計畫(112年)"/>
        <s v="WMTS_1/1000地形圖_宜蘭縣冬山(順安地區)都市計畫(98年)"/>
        <s v="WMTS_1/1000地形圖_宜蘭縣冬山及蘇澳(含新馬)都市計畫(98年)"/>
        <s v="WMTS_1/1000地形圖_宜蘭縣壯圍都市計畫(97年)"/>
        <s v="WMTS_1/1000地形圖_宜蘭縣宜蘭市(100年)"/>
        <s v="WMTS_1/1000地形圖_宜蘭縣宜蘭市都市計畫(113年)"/>
        <s v="WMTS_1/1000地形圖_宜蘭縣東北角暨宜蘭海岸國家風景區(100年)"/>
        <s v="WMTS_1/1000地形圖_宜蘭縣南澳南強都市計畫(112年)"/>
        <s v="WMTS_1/1000地形圖_宜蘭縣南澳南強都市計畫(98年)"/>
        <s v="WMTS_1/1000地形圖_宜蘭縣政中心地區都市計畫(112年)"/>
        <s v="WMTS_1/1000地形圖_宜蘭縣員山都市計畫(112年)"/>
        <s v="WMTS_1/1000地形圖_宜蘭縣員山都市計畫(97年)"/>
        <s v="WMTS_1/1000地形圖_宜蘭縣梅花湖風景特定區計畫(112年)"/>
        <s v="WMTS_1/1000地形圖_宜蘭縣梅花湖風景特定區計畫(98年)"/>
        <s v="WMTS_1/1000地形圖_宜蘭縣頭城都市計畫(97年)"/>
        <s v="WMTS_1/1000地形圖_宜蘭縣龍潭湖風景特定區計畫(112年)"/>
        <s v="WMTS_1/1000地形圖_宜蘭縣龍潭湖風景特定區計畫及四城地區(97年)"/>
        <s v="WMTS_1/1000地形圖_宜蘭縣礁溪都市計畫(112年)"/>
        <s v="WMTS_1/1000地形圖_宜蘭縣羅東都市計畫(100年)"/>
        <s v="WMTS_1/1000地形圖_宜蘭縣蘇澳(新馬地區)都市計畫(112年)"/>
        <s v="WMTS_1/1000地形圖_花蓮縣大花蓮都市計畫(111年)"/>
        <s v="WMTS_1/1000地形圖_花蓮縣玉里都市計畫(106年)"/>
        <s v="WMTS_1/1000地形圖_花蓮縣玉里都市計畫(111年)"/>
        <s v="WMTS_1/1000地形圖_花蓮縣石梯秀姑巒風景特定區計畫(107年)"/>
        <s v="WMTS_1/1000地形圖_花蓮縣光復都市計畫(104年)"/>
        <s v="WMTS_1/1000地形圖_花蓮縣光復都市計畫(109年)"/>
        <s v="WMTS_1/1000地形圖_花蓮縣光復鄉都市計畫(113年)"/>
        <s v="WMTS_1/1000地形圖_花蓮縣吉安(鄉公所)都市計畫(104年)"/>
        <s v="WMTS_1/1000地形圖_花蓮縣吉安(鄉公所)都市計畫(109年)"/>
        <s v="WMTS_1/1000地形圖_花蓮縣吉安都市計畫(104年)"/>
        <s v="WMTS_1/1000地形圖_花蓮縣吉安都市計畫(109年)"/>
        <s v="WMTS_1/1000地形圖_花蓮縣秀林(和平地區)都市計畫"/>
        <s v="WMTS_1/1000地形圖_花蓮縣秀林(崇德地區)都市計畫(107年)"/>
        <s v="WMTS_1/1000地形圖_花蓮縣東華大學城特定區計畫(105年)"/>
        <s v="WMTS_1/1000地形圖_花蓮縣花蓮吉安新城都市計畫(109年)"/>
        <s v="WMTS_1/1000地形圖_花蓮縣花蓮都市計畫(104年)"/>
        <s v="WMTS_1/1000地形圖_花蓮縣花蓮都市計畫(109年)"/>
        <s v="WMTS_1/1000地形圖_花蓮縣富里都市計畫(106年)"/>
        <s v="WMTS_1/1000地形圖_花蓮縣新城(北埔地區)都市計畫(104年)"/>
        <s v="WMTS_1/1000地形圖_花蓮縣新城(北埔地區)都市計畫(109年)"/>
        <s v="WMTS_1/1000地形圖_花蓮縣新城秀林都市計畫(107年)"/>
        <s v="WMTS_1/1000地形圖_花蓮縣瑞穗都市計畫(106年)"/>
        <s v="WMTS_1/1000地形圖_花蓮縣壽豐都市計畫(106年)"/>
        <s v="WMTS_1/1000地形圖_花蓮縣鳳林都市計畫(104年)"/>
        <s v="WMTS_1/1000地形圖_花蓮縣鳳林都市計畫(109年)"/>
        <s v="WMTS_1/1000地形圖_花蓮縣磯崎風景特定區計畫(107年)"/>
        <s v="WMTS_1/1000地形圖_花蓮縣鯉魚潭風景特定區計畫(106年)"/>
        <s v="WMTS_1/1000地形圖_金門縣都市計畫(106年)"/>
        <s v="WMTS_1/1000地形圖_金門縣都市計畫(112年)"/>
        <s v="WMTS_1/1000地形圖_南投縣八卦山脈風景特定區計畫(93-98年)"/>
        <s v="WMTS_1/1000地形圖_南投縣中寮都市計畫(95-98年)"/>
        <s v="WMTS_1/1000地形圖_南投縣中興新村(含南內轆地區)都市計畫(112年)"/>
        <s v="WMTS_1/1000地形圖_南投縣中興新村都市計畫(102年)"/>
        <s v="WMTS_1/1000地形圖_南投縣日月潭特定區計畫(93-98年)"/>
        <s v="WMTS_1/1000地形圖_南投縣水里都市計畫(95-98年)"/>
        <s v="WMTS_1/1000地形圖_南投縣名間都市計畫(95-98年)"/>
        <s v="WMTS_1/1000地形圖_南投縣竹山都市計畫(竹山部分(94-98年)"/>
        <s v="WMTS_1/1000地形圖_南投縣竹山都市計畫(延平部分(94-98年)"/>
        <s v="WMTS_1/1000地形圖_南投縣東埔風景特定區計畫(93-98年)"/>
        <s v="WMTS_1/1000地形圖_南投縣南投(含南崗地區)都市計畫(112年)"/>
        <s v="WMTS_1/1000地形圖_南投縣南投都市計畫(南投(94-98年)"/>
        <s v="WMTS_1/1000地形圖_南投縣南投都市計畫(南崗(94-98年)"/>
        <s v="WMTS_1/1000地形圖_南投縣埔里都市計畫(94-98年)"/>
        <s v="WMTS_1/1000地形圖_南投縣草屯都市計畫(112年)"/>
        <s v="WMTS_1/1000地形圖_南投縣草屯都市計畫(94-98年)"/>
        <s v="WMTS_1/1000地形圖_南投縣國姓都市計畫(93-98年)"/>
        <s v="WMTS_1/1000地形圖_南投縣魚池都市計畫(103年)"/>
        <s v="WMTS_1/1000地形圖_南投縣鹿谷都市計畫(106年)"/>
        <s v="WMTS_1/1000地形圖_南投縣集集都市計畫(95-98年)"/>
        <s v="WMTS_1/1000地形圖_南投縣溪頭森林遊樂特定區計畫(93-98年)"/>
        <s v="WMTS_1/1000地形圖_南投縣翠峰風景特定區計畫(93-98年)"/>
        <s v="WMTS_1/1000地形圖_南投縣鳳凰谷風景特定區計畫(93-98年)"/>
        <s v="WMTS_1/1000地形圖_南投縣廬山風景特定區計畫(93-98年)"/>
        <s v="WMTS_1/1000地形圖_南投縣霧社都市計畫(94-98年)"/>
        <s v="WMTS_1/1000地形圖_屏東縣九如都市計畫(100年)"/>
        <s v="WMTS_1/1000地形圖_屏東縣大鵬灣風景特定區計畫(102年)"/>
        <s v="WMTS_1/1000地形圖_屏東縣小琉球風景特定區計畫(102年)"/>
        <s v="WMTS_1/1000地形圖_屏東縣內埔都市計畫(100年)"/>
        <s v="WMTS_1/1000地形圖_屏東縣內埔龍泉都市計畫(100年)"/>
        <s v="WMTS_1/1000地形圖_屏東縣內埔豐田都市計畫(100年)"/>
        <s v="WMTS_1/1000地形圖_屏東縣竹田都市計畫(101年)"/>
        <s v="WMTS_1/1000地形圖_屏東縣車城都市計畫(101年)"/>
        <s v="WMTS_1/1000地形圖_屏東縣里港都市計畫(100年)"/>
        <s v="WMTS_1/1000地形圖_屏東縣里港都市計畫(113年)"/>
        <s v="WMTS_1/1000地形圖_屏東縣佳冬都市計畫(100年)"/>
        <s v="WMTS_1/1000地形圖_屏東縣東港都市計畫(113年)"/>
        <s v="WMTS_1/1000地形圖_屏東縣東港都市計畫(99年)"/>
        <s v="WMTS_1/1000地形圖_屏東縣枋寮水底寮都市計畫(100年)"/>
        <s v="WMTS_1/1000地形圖_屏東縣枋寮都市計畫(100年)"/>
        <s v="WMTS_1/1000地形圖_屏東縣林邊都市計畫(100年)"/>
        <s v="WMTS_1/1000地形圖_屏東縣林邊都市計畫(99年)"/>
        <s v="WMTS_1/1000地形圖_屏東縣長治都市計畫(100年)"/>
        <s v="WMTS_1/1000地形圖_屏東縣南州都市計畫(101年)"/>
        <s v="WMTS_1/1000地形圖_屏東縣屏東都市計畫(112年)"/>
        <s v="WMTS_1/1000地形圖_屏東縣屏東都市計畫(93-94年)"/>
        <s v="WMTS_1/1000地形圖_屏東縣恆春都市計畫(100年)"/>
        <s v="WMTS_1/1000地形圖_屏東縣崁頂都市計畫(101年)"/>
        <s v="WMTS_1/1000地形圖_屏東縣高樹都市計畫(100年)"/>
        <s v="WMTS_1/1000地形圖_屏東縣新埤都市計畫(100年)"/>
        <s v="WMTS_1/1000地形圖_屏東縣新園(烏龍地區)都市計畫(113年)"/>
        <s v="WMTS_1/1000地形圖_屏東縣新園烏龍都市計畫(100年)"/>
        <s v="WMTS_1/1000地形圖_屏東縣新園都市計畫(100年)"/>
        <s v="WMTS_1/1000地形圖_屏東縣萬丹都市計畫(100年)"/>
        <s v="WMTS_1/1000地形圖_屏東縣萬巒都市計畫(101年)"/>
        <s v="WMTS_1/1000地形圖_屏東縣滿州都市計畫(101年)"/>
        <s v="WMTS_1/1000地形圖_屏東縣潮州都市計畫(98年)"/>
        <s v="WMTS_1/1000地形圖_屏東縣墾丁國家公園計畫(104年)"/>
        <s v="WMTS_1/1000地形圖_屏東縣麟洛都市計畫(100年)"/>
        <s v="WMTS_1/1000地形圖_屏東縣鹽埔都市計畫(100年)"/>
        <s v="WMTS_1/1000地形圖_屏東縣鹽埔漁港特定區計畫(102年)"/>
        <s v="WMTS_1/1000地形圖_屏東縣鹽埔漁港特定區計畫(113年)"/>
        <s v="WMTS_1/1000地形圖_苗栗縣三義都市計畫(97年)"/>
        <s v="WMTS_1/1000地形圖_苗栗縣大湖都市計畫(95年)"/>
        <s v="WMTS_1/1000地形圖_苗栗縣公館都市計畫(98年)"/>
        <s v="WMTS_1/1000地形圖_苗栗縣竹南頭份都市計畫(94年)"/>
        <s v="WMTS_1/1000地形圖_苗栗縣卓蘭都市計畫(89年)"/>
        <s v="WMTS_1/1000地形圖_苗栗縣明德水庫特定區計畫(93年)"/>
        <s v="WMTS_1/1000地形圖_苗栗縣南庄都市計畫(98年)"/>
        <s v="WMTS_1/1000地形圖_苗栗縣後龍外埔漁港特定區計畫(95年)"/>
        <s v="WMTS_1/1000地形圖_苗栗縣後龍都市計畫(97年)"/>
        <s v="WMTS_1/1000地形圖_苗栗縣苑裡都市計畫(98年)"/>
        <s v="WMTS_1/1000地形圖_苗栗縣苗栗都市計畫(112年)"/>
        <s v="WMTS_1/1000地形圖_苗栗縣苗栗都市計畫(93年)"/>
        <s v="WMTS_1/1000地形圖_苗栗縣高速公路苗栗交流道附近特定區計畫(112年)"/>
        <s v="WMTS_1/1000地形圖_苗栗縣高速鐵路苗栗車站特定區計畫(92年)"/>
        <s v="WMTS_1/1000地形圖_苗栗縣通霄都市計畫(98年)"/>
        <s v="WMTS_1/1000地形圖_苗栗縣造橋都市計畫(97年)"/>
        <s v="WMTS_1/1000地形圖_苗栗縣新竹科學園區竹南基地特定區計畫(95年)"/>
        <s v="WMTS_1/1000地形圖_苗栗縣銅鑼都市計畫(98年)"/>
        <s v="WMTS_1/1000地形圖_苗栗縣頭份交流道特定區計畫(96年)"/>
        <s v="WMTS_1/1000地形圖_苗栗縣頭屋都市計畫(112年)"/>
        <s v="WMTS_1/1000地形圖_苗栗縣頭屋都市計畫(98年)"/>
        <s v="WMTS_1/1000地形圖_桃園市八德(八德地區)都市計畫(111年)"/>
        <s v="WMTS_1/1000地形圖_桃園市八德(大湳地區)都市計畫(111年)"/>
        <s v="WMTS_1/1000地形圖_桃園市八德大湳都市計畫(92年)"/>
        <s v="WMTS_1/1000地形圖_桃園市大園(菓林)都市計畫(107年)"/>
        <s v="WMTS_1/1000地形圖_桃園市大園果林都市計畫(98年)"/>
        <s v="WMTS_1/1000地形圖_桃園市大園都市計畫(108年)"/>
        <s v="WMTS_1/1000地形圖_桃園市大園都市計畫(98年)"/>
        <s v="WMTS_1/1000地形圖_桃園市大溪(埔頂地區)都市計畫(111年)"/>
        <s v="WMTS_1/1000地形圖_桃園市大溪埔頂都市計畫(102年)"/>
        <s v="WMTS_1/1000地形圖_桃園市大溪都市計畫(93年)"/>
        <s v="WMTS_1/1000地形圖_桃園市小烏來風景特定區計畫(100年)"/>
        <s v="WMTS_1/1000地形圖_桃園市中壢(龍岡地區)都市計畫(111年)"/>
        <s v="WMTS_1/1000地形圖_桃園市中壢及內壢交流道特定區計畫(100年)"/>
        <s v="WMTS_1/1000地形圖_桃園市中壢平鎮都市計畫(100年)"/>
        <s v="WMTS_1/1000地形圖_桃園市中壢平鎮都市計畫(111年)"/>
        <s v="WMTS_1/1000地形圖_桃園市中壢過嶺地區等都市計畫(100年)"/>
        <s v="WMTS_1/1000地形圖_桃園市中壢龍岡都市計畫(95年)"/>
        <s v="WMTS_1/1000地形圖_桃園市巴陵達觀山風景特定區計畫(100年)"/>
        <s v="WMTS_1/1000地形圖_桃園市平鎮(山子頂地區)都市計畫(112年)"/>
        <s v="WMTS_1/1000地形圖_桃園市平鎮山子頂都市計畫(96年)"/>
        <s v="WMTS_1/1000地形圖_桃園市石門水庫水源特定區計畫(100年)"/>
        <s v="WMTS_1/1000地形圖_桃園市石門都市計畫(102年)"/>
        <s v="WMTS_1/1000地形圖_桃園市林口特定區計畫(101年)"/>
        <s v="WMTS_1/1000地形圖_桃園市南崁都市計畫(107年)"/>
        <s v="WMTS_1/1000地形圖_桃園市南崁都市計畫(94年)"/>
        <s v="WMTS_1/1000地形圖_桃園市桃園市都市計畫(103(105年)"/>
        <s v="WMTS_1/1000地形圖_桃園市航空城(大園南港特定區)計畫(98年)"/>
        <s v="WMTS_1/1000地形圖_桃園市航空城特定區計畫(110年)"/>
        <s v="WMTS_1/1000地形圖_桃園市高鐵桃園車站特定區計畫(98年)"/>
        <s v="WMTS_1/1000地形圖_桃園市高鐵特定區計畫(105年)"/>
        <s v="WMTS_1/1000地形圖_桃園市復興都市計畫(94年)"/>
        <s v="WMTS_1/1000地形圖_桃園市新屋都市計畫(100年)"/>
        <s v="WMTS_1/1000地形圖_桃園市新屋都市計畫(113年)"/>
        <s v="WMTS_1/1000地形圖_桃園市楊梅都市計畫(102年)"/>
        <s v="WMTS_1/1000地形圖_桃園市楊梅富岡豐野都市計畫(100年)"/>
        <s v="WMTS_1/1000地形圖_桃園市龍壽迴龍都市計畫(98年)"/>
        <s v="WMTS_1/1000地形圖_桃園市龍潭都市計畫(113年)"/>
        <s v="WMTS_1/1000地形圖_桃園市龍潭都市計畫(97年)"/>
        <s v="WMTS_1/1000地形圖_桃園市龜山都市計畫(98年)"/>
        <s v="WMTS_1/1000地形圖_桃園市縱貫公路內壢間都市計畫(100年)"/>
        <s v="WMTS_1/1000地形圖_桃園市蘆竹大竹都市計畫(98年)"/>
        <s v="WMTS_1/1000地形圖_桃園市觀音(新坡地區)都市計畫(113年)"/>
        <s v="WMTS_1/1000地形圖_桃園市觀音草漯都市計畫(100年)"/>
        <s v="WMTS_1/1000地形圖_桃園市觀音都市計畫(113年)"/>
        <s v="WMTS_1/1000地形圖_桃園市觀音都市計畫(94年)"/>
        <s v="WMTS_1/1000地形圖_桃園市觀音新坡都市計畫(94年)"/>
        <s v="WMTS_1/1000地形圖_高雄市(三民.苓雅.前金.新興.前鎮.鹽埕)都市計畫(113年)"/>
        <s v="WMTS_1/1000地形圖_高雄市大坪頂以東地區88以北(93年)"/>
        <s v="WMTS_1/1000地形圖_高雄市大坪頂以東地區88以北(94年)"/>
        <s v="WMTS_1/1000地形圖_高雄市大坪頂以東地區88以南(97年)"/>
        <s v="WMTS_1/1000地形圖_高雄市大坪頂特定區計畫(99年)"/>
        <s v="WMTS_1/1000地形圖_高雄市大社都市計畫(105年)"/>
        <s v="WMTS_1/1000地形圖_高雄市大寮都市計畫(105年)"/>
        <s v="WMTS_1/1000地形圖_高雄市大樹九曲堂都市計畫(106年)"/>
        <s v="WMTS_1/1000地形圖_高雄市大樹都市計畫(107年)"/>
        <s v="WMTS_1/1000地形圖_高雄市大樹都市計畫(92年)"/>
        <s v="WMTS_1/1000地形圖_高雄市仁武都市計畫(100年)"/>
        <s v="WMTS_1/1000地形圖_高雄市六龜彩蝶谷風景特定區計畫(99年)"/>
        <s v="WMTS_1/1000地形圖_高雄市月世界風景特定區計畫(99年)"/>
        <s v="WMTS_1/1000地形圖_高雄市左營鼓山都市計畫(113年)"/>
        <s v="WMTS_1/1000地形圖_高雄市甲仙都市計畫(99年)"/>
        <s v="WMTS_1/1000地形圖_高雄市岡山交流道特定區計畫(99年)"/>
        <s v="WMTS_1/1000地形圖_高雄市岡山都市計畫(112年)"/>
        <s v="WMTS_1/1000地形圖_高雄市岡山都市計畫(98年)"/>
        <s v="WMTS_1/1000地形圖_高雄市阿蓮都市計畫(104年)"/>
        <s v="WMTS_1/1000地形圖_高雄市美濃中正湖風景特定區計畫(101年)"/>
        <s v="WMTS_1/1000地形圖_高雄市美濃都市計畫(105年)"/>
        <s v="WMTS_1/1000地形圖_高雄市茄萣都市計畫及興達港漁業特定區計畫(101年)"/>
        <s v="WMTS_1/1000地形圖_高雄市梓官都市計畫(101年)"/>
        <s v="WMTS_1/1000地形圖_高雄市梓官都市計畫(109年)"/>
        <s v="WMTS_1/1000地形圖_高雄市蚵仔寮近海漁業特定區計畫(101年)"/>
        <s v="WMTS_1/1000地形圖_高雄市都市計畫(102年)"/>
        <s v="WMTS_1/1000地形圖_高雄市鳥松仁美地區都市計畫(101年)"/>
        <s v="WMTS_1/1000地形圖_高雄市鳥松仁美地區都市計畫(108年)"/>
        <s v="WMTS_1/1000地形圖_高雄市湖內含大湖都市計畫(101年)"/>
        <s v="WMTS_1/1000地形圖_高雄市新市鎮特定區計畫(102年)"/>
        <s v="WMTS_1/1000地形圖_高雄市新市鎮特定區計畫(97年)"/>
        <s v="WMTS_1/1000地形圖_高雄市楠梓交流道特定區計畫鳳山厝(106年)"/>
        <s v="WMTS_1/1000地形圖_高雄市楠梓計畫(113年)"/>
        <s v="WMTS_1/1000地形圖_高雄市路竹都市計畫(106年)"/>
        <s v="WMTS_1/1000地形圖_高雄市旗山都市計畫(99年)"/>
        <s v="WMTS_1/1000地形圖_高雄市鳳山都市計畫(100年)"/>
        <s v="WMTS_1/1000地形圖_高雄市鳳山都市計畫(113年)"/>
        <s v="WMTS_1/1000地形圖_高雄市燕巢都市計畫(104年)"/>
        <s v="WMTS_1/1000地形圖_高雄市興達港漁業特定區計畫(109年)"/>
        <s v="WMTS_1/1000地形圖_高雄市彌陀都市計畫(101年)"/>
        <s v="WMTS_1/1000地形圖_基隆市都市計畫(111年)"/>
        <s v="WMTS_1/1000地形圖_基隆市都市計畫(96年)"/>
        <s v="WMTS_1/1000地形圖_連江縣都市計畫"/>
        <s v="WMTS_1/1000地形圖_湖口都市計畫(94年)"/>
        <s v="WMTS_1/1000地形圖_雲林縣二崙都市計畫(112年)"/>
        <s v="WMTS_1/1000地形圖_雲林縣二崙都市計畫(99年)"/>
        <s v="WMTS_1/1000地形圖_雲林縣大埤都市計畫(97年)"/>
        <s v="WMTS_1/1000地形圖_雲林縣元長都市計畫(100年)"/>
        <s v="WMTS_1/1000地形圖_雲林縣斗六(含大潭地區)都市計畫(113年)"/>
        <s v="WMTS_1/1000地形圖_雲林縣斗六都市計畫(99年)"/>
        <s v="WMTS_1/1000地形圖_雲林縣斗六嘉東地區特定區計畫(112年)"/>
        <s v="WMTS_1/1000地形圖_雲林縣斗六嘉東特定區計畫(97年)"/>
        <s v="WMTS_1/1000地形圖_雲林縣斗南交流道特定區計畫(98年)"/>
        <s v="WMTS_1/1000地形圖_雲林縣古坑都市計畫(100年)"/>
        <s v="WMTS_1/1000地形圖_雲林縣台西都市計畫(97年)"/>
        <s v="WMTS_1/1000地形圖_雲林縣四湖都市計畫(97年)"/>
        <s v="WMTS_1/1000地形圖_雲林縣東勢都市計畫(97年)"/>
        <s v="WMTS_1/1000地形圖_雲林縣林內都市計畫(97年)"/>
        <s v="WMTS_1/1000地形圖_雲林縣草嶺都市計畫(97年)"/>
        <s v="WMTS_1/1000地形圖_雲林縣高速鐵路雲林車站特定區計畫(113年)"/>
        <s v="WMTS_1/1000地形圖_雲林縣崙背都市計畫(112年)"/>
        <s v="WMTS_1/1000地形圖_雲林縣崙背都市計畫(97年)"/>
        <s v="WMTS_1/1000地形圖_雲林縣莿桐都市計畫(113年)"/>
        <s v="WMTS_1/1000地形圖_雲林縣箔子寮漁港特定區計畫(112年)"/>
        <s v="WMTS_1/1000地形圖_雲林縣箔子寮漁港特定區計畫(97年)"/>
        <s v="WMTS_1/1000地形圖_雲林縣褒忠都市計畫(97年)"/>
        <s v="WMTS_1/1000地形圖_新北市八里都市計畫(101年)"/>
        <s v="WMTS_1/1000地形圖_新北市八里都市計畫(107年)"/>
        <s v="WMTS_1/1000地形圖_新北市三芝都市計畫(104年)"/>
        <s v="WMTS_1/1000地形圖_新北市三芝都市計畫(109年)"/>
        <s v="WMTS_1/1000地形圖_新北市三重都市計畫(103年)"/>
        <s v="WMTS_1/1000地形圖_新北市三重都市計畫(110年)"/>
        <s v="WMTS_1/1000地形圖_新北市三峽都市計畫(105年)"/>
        <s v="WMTS_1/1000地形圖_新北市三峽都市計畫(111年)"/>
        <s v="WMTS_1/1000地形圖_新北市土城都市計畫(103年)"/>
        <s v="WMTS_1/1000地形圖_新北市土城都市計畫(109年)"/>
        <s v="WMTS_1/1000地形圖_新北市中和都市計畫(104年)"/>
        <s v="WMTS_1/1000地形圖_新北市中和都市計畫(112年)"/>
        <s v="WMTS_1/1000地形圖_新北市五股都市計畫(101年)"/>
        <s v="WMTS_1/1000地形圖_新北市五股都市計畫(107年)"/>
        <s v="WMTS_1/1000地形圖_新北市平溪都市計畫(103年)"/>
        <s v="WMTS_1/1000地形圖_新北市平溪都市計畫(110年)"/>
        <s v="WMTS_1/1000地形圖_新北市永和都市計畫(104年)"/>
        <s v="WMTS_1/1000地形圖_新北市永和都市計畫(112年)"/>
        <s v="WMTS_1/1000地形圖_新北市石門都市計畫(104年)"/>
        <s v="WMTS_1/1000地形圖_新北市石門都市計畫(110年)"/>
        <s v="WMTS_1/1000地形圖_新北市石碇都市計畫(104年)"/>
        <s v="WMTS_1/1000地形圖_新北市石碇都市計畫(110年)"/>
        <s v="WMTS_1/1000地形圖_新北市汐止都市計畫(102年)"/>
        <s v="WMTS_1/1000地形圖_新北市汐止都市計畫(108年)"/>
        <s v="WMTS_1/1000地形圖_新北市坪林都市計畫(104年)"/>
        <s v="WMTS_1/1000地形圖_新北市坪林都市計畫(110年)"/>
        <s v="WMTS_1/1000地形圖_新北市板橋都市計畫(103年)"/>
        <s v="WMTS_1/1000地形圖_新北市板橋都市計畫(109年)"/>
        <s v="WMTS_1/1000地形圖_新北市林口都市計畫(101年)"/>
        <s v="WMTS_1/1000地形圖_新北市林口都市計畫(107年)"/>
        <s v="WMTS_1/1000地形圖_新北市金山都市計畫(103年)"/>
        <s v="WMTS_1/1000地形圖_新北市金山都市計畫(109年)"/>
        <s v="WMTS_1/1000地形圖_新北市泰山都市計畫(105年)"/>
        <s v="WMTS_1/1000地形圖_新北市烏來都市計畫(104年)"/>
        <s v="WMTS_1/1000地形圖_新北市烏來都市計畫(112年)"/>
        <s v="WMTS_1/1000地形圖_新北市貢寮都市計畫(100年)"/>
        <s v="WMTS_1/1000地形圖_新北市貢寮都市計畫(108年)"/>
        <s v="WMTS_1/1000地形圖_新北市貢寮都市計畫(112年)"/>
        <s v="WMTS_1/1000地形圖_新北市淡水都市計畫(105年)"/>
        <s v="WMTS_1/1000地形圖_新北市淡水都市計畫(110年)"/>
        <s v="WMTS_1/1000地形圖_新北市深坑都市計畫(104年)"/>
        <s v="WMTS_1/1000地形圖_新北市深坑都市計畫(110年)"/>
        <s v="WMTS_1/1000地形圖_新北市新店都市計畫(104年)"/>
        <s v="WMTS_1/1000地形圖_新北市新店都市計畫(111年)"/>
        <s v="WMTS_1/1000地形圖_新北市新莊都市計畫(105年)"/>
        <s v="WMTS_1/1000地形圖_新北市瑞芳都市計畫(105年)"/>
        <s v="WMTS_1/1000地形圖_新北市瑞芳都市計畫(111年)"/>
        <s v="WMTS_1/1000地形圖_新北市萬里都市計畫(103年)"/>
        <s v="WMTS_1/1000地形圖_新北市萬里都市計畫(109年)"/>
        <s v="WMTS_1/1000地形圖_新北市樹林都市計畫(105年)"/>
        <s v="WMTS_1/1000地形圖_新北市雙溪都市計畫(103年)"/>
        <s v="WMTS_1/1000地形圖_新北市雙溪都市計畫(112年)"/>
        <s v="WMTS_1/1000地形圖_新北市蘆洲都市計畫(104年)"/>
        <s v="WMTS_1/1000地形圖_新北市蘆洲都市計畫(110年)"/>
        <s v="WMTS_1/1000地形圖_新北市鶯歌都市計畫(105年)"/>
        <s v="WMTS_1/1000地形圖_新北市鶯歌都市計畫(111年)"/>
        <s v="WMTS_1/1000地形圖_新竹市北區都市計畫(110年)"/>
        <s v="WMTS_1/1000地形圖_新竹市北區都市計畫(113年)"/>
        <s v="WMTS_1/1000地形圖_新竹市東區都市計畫(109年)"/>
        <s v="WMTS_1/1000地形圖_新竹市東區都市計畫(112年)"/>
        <s v="WMTS_1/1000地形圖_新竹市香山區都市計畫(108年)"/>
        <s v="WMTS_1/1000地形圖_新竹市香山區都市計畫(111年)"/>
        <s v="WMTS_1/1000地形圖_新竹市都市計畫(104-106年)"/>
        <s v="WMTS_1/1000地形圖_新竹科學工業園區特定區計畫(竹東部分)(112年)"/>
        <s v="WMTS_1/1000地形圖_新竹科學工業園區特定區計畫(寶山部分)(112年)"/>
        <s v="WMTS_1/1000地形圖_新竹縣竹北(含斗崙地區)都市計畫(113年)"/>
        <s v="WMTS_1/1000地形圖_新竹縣高速鐵路新竹車站特定區計畫(113年)"/>
        <s v="WMTS_1/1000地形圖_新竹縣寶山都市計畫(112年)"/>
        <s v="WMTS_1/1000地形圖_新埔都市計畫(94年)"/>
        <s v="WMTS_1/1000地形圖_新豐(山崎仔地區(都市計畫(94年)"/>
        <s v="WMTS_1/1000地形圖_新豐(新庄子地區(都市計畫(94年)"/>
        <s v="WMTS_1/1000地形圖_嘉義縣大林都市計畫(112年)"/>
        <s v="WMTS_1/1000地形圖_嘉義縣大林都市計畫(97年)"/>
        <s v="WMTS_1/1000地形圖_嘉義縣大埔都市計畫(101年)"/>
        <s v="WMTS_1/1000地形圖_嘉義縣中正大學特定區計畫(97年)"/>
        <s v="WMTS_1/1000地形圖_嘉義縣中埔和睦地區都市計畫(99年)"/>
        <s v="WMTS_1/1000地形圖_嘉義縣中埔都市計畫(99年)"/>
        <s v="WMTS_1/1000地形圖_嘉義縣中崙風景特定區計畫(99年)"/>
        <s v="WMTS_1/1000地形圖_嘉義縣仁義潭風景特定區計畫(99年)"/>
        <s v="WMTS_1/1000地形圖_嘉義縣仁義潭風景特定區計畫(嘉義縣部分)(112年)"/>
        <s v="WMTS_1/1000地形圖_嘉義縣六腳蒜頭都市計畫(98年)"/>
        <s v="WMTS_1/1000地形圖_嘉義縣太保都市計畫(112年)"/>
        <s v="WMTS_1/1000地形圖_嘉義縣太保都市計畫(94年)"/>
        <s v="WMTS_1/1000地形圖_嘉義縣水上北回都市計畫(98年)"/>
        <s v="WMTS_1/1000地形圖_嘉義縣水上都市計畫(98年)"/>
        <s v="WMTS_1/1000地形圖_嘉義縣布袋都市計畫(98年)"/>
        <s v="WMTS_1/1000地形圖_嘉義縣民雄(頭橋地區)都市計畫(113年)"/>
        <s v="WMTS_1/1000地形圖_嘉義縣民雄都市計畫(113年)"/>
        <s v="WMTS_1/1000地形圖_嘉義縣民雄都市計畫(97年)"/>
        <s v="WMTS_1/1000地形圖_嘉義縣民雄頭橋地區都市計畫(97年)"/>
        <s v="WMTS_1/1000地形圖_嘉義縣朴子都市計畫(94年)"/>
        <s v="WMTS_1/1000地形圖_嘉義縣竹崎都市計畫(99年)"/>
        <s v="WMTS_1/1000地形圖_嘉義縣竹崎鄉都市計畫(113年)"/>
        <s v="WMTS_1/1000地形圖_嘉義縣吳鳳廟特定區計畫(112年)"/>
        <s v="WMTS_1/1000地形圖_嘉義縣吳鳳廟特定區計畫(99年)"/>
        <s v="WMTS_1/1000地形圖_嘉義縣治都市計畫(112年)"/>
        <s v="WMTS_1/1000地形圖_嘉義縣阿里山風景區計畫(110年)"/>
        <s v="WMTS_1/1000地形圖_嘉義縣阿里山鄉都市計畫(113年)"/>
        <s v="WMTS_1/1000地形圖_嘉義縣阿里山達邦地區都市計畫(99年)"/>
        <s v="WMTS_1/1000地形圖_嘉義縣高速公路嘉義交流道特定區計畫(98年)"/>
        <s v="WMTS_1/1000地形圖_嘉義縣高速鐵路嘉義車站特定區計畫(112年)"/>
        <s v="WMTS_1/1000地形圖_嘉義縣高速鐵路嘉義車站特定區計畫(94年)"/>
        <s v="WMTS_1/1000地形圖_嘉義縣國立中正大學特定區計畫(112年)"/>
        <s v="WMTS_1/1000地形圖_嘉義縣梅山都市計畫(97年)"/>
        <s v="WMTS_1/1000地形圖_嘉義縣鹿草都市計畫(99年)"/>
        <s v="WMTS_1/1000地形圖_嘉義縣曾文水庫特定區計畫(101年)"/>
        <s v="WMTS_1/1000地形圖_嘉義縣番路鄉都市計畫(113年)"/>
        <s v="WMTS_1/1000地形圖_嘉義縣新港都市計畫(97年)"/>
        <s v="WMTS_1/1000地形圖_嘉義縣溪口都市計畫(97年)"/>
        <s v="WMTS_1/1000地形圖_嘉義縣義竹都市計畫(98年)"/>
        <s v="WMTS_1/1000地形圖_嘉義縣縣治所在地都市計畫(94年)"/>
        <s v="WMTS_1/1000地形圖_彰化縣二水都市計畫(97年)"/>
        <s v="WMTS_1/1000地形圖_彰化縣二林都市計畫(97年)"/>
        <s v="WMTS_1/1000地形圖_彰化縣八卦山脈(八卦山地區)都市計畫(98年)"/>
        <s v="WMTS_1/1000地形圖_彰化縣八卦山脈(文山橫山地區)都市計畫(98年)"/>
        <s v="WMTS_1/1000地形圖_彰化縣八卦山脈(各區道路)都市計畫(98年)"/>
        <s v="WMTS_1/1000地形圖_彰化縣八卦山脈(百果山地區)都市計畫(98年)"/>
        <s v="WMTS_1/1000地形圖_彰化縣八卦山脈(東源地區)都市計畫(98年)"/>
        <s v="WMTS_1/1000地形圖_彰化縣八卦山脈(松柏嶺地區)都市計畫(98年)"/>
        <s v="WMTS_1/1000地形圖_彰化縣大村都市計畫(97年)"/>
        <s v="WMTS_1/1000地形圖_彰化縣大城都市計畫(98年)"/>
        <s v="WMTS_1/1000地形圖_彰化縣北斗都市計畫(97年)"/>
        <s v="WMTS_1/1000地形圖_彰化縣永靖都市計畫(98年)"/>
        <s v="WMTS_1/1000地形圖_彰化縣田中都市計畫(100年)"/>
        <s v="WMTS_1/1000地形圖_彰化縣田尾都市計畫(102年)"/>
        <s v="WMTS_1/1000地形圖_彰化縣田尾園藝特定區計畫(102年)"/>
        <s v="WMTS_1/1000地形圖_彰化縣竹塘都市計畫(98年)"/>
        <s v="WMTS_1/1000地形圖_彰化縣伸港都市計畫(97年)"/>
        <s v="WMTS_1/1000地形圖_彰化縣秀水都市計畫(98年)"/>
        <s v="WMTS_1/1000地形圖_彰化縣和美都市計畫(102年)"/>
        <s v="WMTS_1/1000地形圖_彰化縣社頭都市計畫(97年)"/>
        <s v="WMTS_1/1000地形圖_彰化縣芬園都市計畫(98年)"/>
        <s v="WMTS_1/1000地形圖_彰化縣花壇都市計畫(98年)"/>
        <s v="WMTS_1/1000地形圖_彰化縣芳苑都市計畫(98年)"/>
        <s v="WMTS_1/1000地形圖_彰化縣員林都市計畫(99年)"/>
        <s v="WMTS_1/1000地形圖_彰化縣埔心都市計畫(100年)"/>
        <s v="WMTS_1/1000地形圖_彰化縣埔鹽都市計畫(97年)"/>
        <s v="WMTS_1/1000地形圖_彰化縣高速公路員林交流道特定區計畫(98年)"/>
        <s v="WMTS_1/1000地形圖_彰化縣高速公路彰化交流道附近特定區計畫(112年)"/>
        <s v="WMTS_1/1000地形圖_彰化縣高速公路彰化交流道特定區計畫(100年)"/>
        <s v="WMTS_1/1000地形圖_彰化縣高速鐵路彰化車站特定區計畫(102年)"/>
        <s v="WMTS_1/1000地形圖_彰化縣埤頭都市計畫(100年)"/>
        <s v="WMTS_1/1000地形圖_彰化縣鹿港福興都市計畫(97年)"/>
        <s v="WMTS_1/1000地形圖_彰化縣溪州都市計畫(97年)"/>
        <s v="WMTS_1/1000地形圖_彰化縣溪湖都市計畫(102年)"/>
        <s v="WMTS_1/1000地形圖_彰化縣彰化市都市計畫(99年)"/>
        <s v="WMTS_1/1000地形圖_彰化縣彰化都市計畫(112年)"/>
        <s v="WMTS_1/1000地形圖_彰化縣線西都市計畫(97年)"/>
        <s v="WMTS_1/1000地形圖_臺中市大甲(日南)都市計畫(100年)"/>
        <s v="WMTS_1/1000地形圖_臺中市大甲都市計畫(98年)"/>
        <s v="WMTS_1/1000地形圖_臺中市大安都市計畫(100年)"/>
        <s v="WMTS_1/1000地形圖_臺中市大肚都市計畫(112年)"/>
        <s v="WMTS_1/1000地形圖_臺中市大肚都市計畫(98年)"/>
        <s v="WMTS_1/1000地形圖_臺中市大里(草湖)都市計畫(91年)"/>
        <s v="WMTS_1/1000地形圖_臺中市大里都市計畫(96年)"/>
        <s v="WMTS_1/1000地形圖_臺中市大雅都市計畫(97年)"/>
        <s v="WMTS_1/1000地形圖_臺中市中部科學工業園區(93年)"/>
        <s v="WMTS_1/1000地形圖_臺中市中部科學工業園區台中基地附近特定區計畫(113年)"/>
        <s v="WMTS_1/1000地形圖_臺中市太平(中平)都市計畫(90年)"/>
        <s v="WMTS_1/1000地形圖_臺中市王田交流道特定區計畫(95年)"/>
        <s v="WMTS_1/1000地形圖_臺中市外埔都市計畫(100年)"/>
        <s v="WMTS_1/1000地形圖_臺中市石岡水壩都市計畫(91年)"/>
        <s v="WMTS_1/1000地形圖_臺中市后里都市計畫(98年)"/>
        <s v="WMTS_1/1000地形圖_臺中市谷關都市計畫(96年)"/>
        <s v="WMTS_1/1000地形圖_臺中市東勢都市計畫(112年)"/>
        <s v="WMTS_1/1000地形圖_臺中市東勢都市計畫(91年)"/>
        <s v="WMTS_1/1000地形圖_臺中市烏日都市計畫(112年)"/>
        <s v="WMTS_1/1000地形圖_臺中市烏日都市計畫(91年)"/>
        <s v="WMTS_1/1000地形圖_臺中市高速公路王田交流道附近特定區計畫(112年)"/>
        <s v="WMTS_1/1000地形圖_臺中市梨山(松茂)都市計畫(96年)"/>
        <s v="WMTS_1/1000地形圖_臺中市梨山(新佳陽)都市計畫(96年)"/>
        <s v="WMTS_1/1000地形圖_臺中市梨山(環山)都市計畫(96年)"/>
        <s v="WMTS_1/1000地形圖_臺中市梨山都市計畫(96年)"/>
        <s v="WMTS_1/1000地形圖_臺中市都市計畫(107年)"/>
        <s v="WMTS_1/1000地形圖_臺中市新社都市計畫(112年)"/>
        <s v="WMTS_1/1000地形圖_臺中市新社都市計畫(91年)"/>
        <s v="WMTS_1/1000地形圖_臺中市臺中港特定區計畫(95年)"/>
        <s v="WMTS_1/1000地形圖_臺中市潭子都市計畫(94年)"/>
        <s v="WMTS_1/1000地形圖_臺中市豐原交流道特定區計畫(94年)"/>
        <s v="WMTS_1/1000地形圖_臺中市豐原都市計畫(94年)"/>
        <s v="WMTS_1/1000地形圖_臺中市豐潭雅神都市計畫(113年)"/>
        <s v="WMTS_1/1000地形圖_臺中市霧峰都市計畫(92年)"/>
        <s v="WMTS_1/1000地形圖_臺中市鐵砧山風景特定區計畫(93年)"/>
        <s v="WMTS_1/1000地形圖_臺東市都市計畫(100年)"/>
        <s v="WMTS_1/1000地形圖_臺東縣八仙洞風景特定區計畫(101年)"/>
        <s v="WMTS_1/1000地形圖_臺東縣三仙台風景特定區計畫(101年)"/>
        <s v="WMTS_1/1000地形圖_臺東縣大武都市計畫(99年)"/>
        <s v="WMTS_1/1000地形圖_臺東縣小野柳風景特定區計畫(94年)"/>
        <s v="WMTS_1/1000地形圖_臺東縣太麻里都市計畫(98年)"/>
        <s v="WMTS_1/1000地形圖_臺東縣成功都市計畫(98年)"/>
        <s v="WMTS_1/1000地形圖_臺東縣池上都市計畫(99年)"/>
        <s v="WMTS_1/1000地形圖_臺東縣卑南南王都市計畫(99年)"/>
        <s v="WMTS_1/1000地形圖_臺東縣東河都市計畫(100年)"/>
        <s v="WMTS_1/1000地形圖_臺東縣知本溫泉風景特定區計畫(100年)"/>
        <s v="WMTS_1/1000地形圖_臺東縣知本鐵路車站地區(94年)"/>
        <s v="WMTS_1/1000地形圖_臺東縣長濱都市計畫(101年)"/>
        <s v="WMTS_1/1000地形圖_臺東縣紅葉溫泉風景特定區計畫(99年)"/>
        <s v="WMTS_1/1000地形圖_臺東縣鹿野都市計畫(98年)"/>
        <s v="WMTS_1/1000地形圖_臺東縣綠島風景特定區計畫(101年)"/>
        <s v="WMTS_1/1000地形圖_臺東縣綠島都市計畫(111年)"/>
        <s v="WMTS_1/1000地形圖_臺東縣臺東市都市計畫(112年)"/>
        <s v="WMTS_1/1000地形圖_臺東縣臺東鐵路新站附近地區都市計畫(113年)"/>
        <s v="WMTS_1/1000地形圖_臺東縣關山都市計畫(98年)"/>
        <s v="WMTS_1/1000地形圖_臺東縣蘭嶼都市計畫(109年)"/>
        <s v="WMTS_1/1000地形圖_臺東鐵路新站附近地區(94年)"/>
        <s v="WMTS_1/1000地形圖_臺南市永康區都市計畫(97年)"/>
        <s v="WMTS_1/1000地形圖_臺南市佳里都市計畫(113年)"/>
        <s v="WMTS_1/1000地形圖_臺南市柳營都市計畫(112年)"/>
        <s v="WMTS_1/1000地形圖_臺南市高速公路新營交流道附近特定區計畫(112年)"/>
        <s v="WMTS_1/1000地形圖_臺南市都市計畫(100年)"/>
        <s v="WMTS_1/1000地形圖_臺南市都市計畫(101年)"/>
        <s v="WMTS_1/1000地形圖_臺南市都市計畫(102年)"/>
        <s v="WMTS_1/1000地形圖_臺南市都市計畫(93年)"/>
        <s v="WMTS_1/1000地形圖_臺南市都市計畫(99年)"/>
        <s v="WMTS_1/1000地形圖_臺南市新營都市計畫(112年)"/>
        <s v="WMTS_1/1000地形圖_臺南市鹽水都市計畫(112年)"/>
        <s v="WMTS_1/1000地形圖_澎湖縣二崁都市計畫(104年)"/>
        <s v="WMTS_1/1000地形圖_澎湖縣二崁傳統聚落特定區計畫(112年)"/>
        <s v="WMTS_1/1000地形圖_澎湖縣白沙通梁地區都市計畫(112年)"/>
        <s v="WMTS_1/1000地形圖_澎湖縣白沙鄉都市計畫(99年)"/>
        <s v="WMTS_1/1000地形圖_澎湖縣西嶼西台古蹟特定區計畫(112年)"/>
        <s v="WMTS_1/1000地形圖_澎湖縣西嶼西台都市計畫(95年)"/>
        <s v="WMTS_1/1000地形圖_澎湖縣林投風景特定區計畫(112年)"/>
        <s v="WMTS_1/1000地形圖_澎湖縣林投都市計畫(96年)"/>
        <s v="WMTS_1/1000地形圖_澎湖縣花宅聚落(103年)"/>
        <s v="WMTS_1/1000地形圖_澎湖縣南方四島國家公園計畫(104年)"/>
        <s v="WMTS_1/1000地形圖_澎湖縣馬公市都市計畫(113年)"/>
        <s v="WMTS_1/1000地形圖_澎湖縣馬公都市計畫(112年)"/>
        <s v="WMTS_1/1000地形圖_澎湖縣馬公都市計畫(97-98年)"/>
        <s v="WMTS_1/1000地形圖_澎湖縣湖西鄉都市計畫(113年)"/>
        <s v="WMTS_1/1000地形圖_澎湖縣鎖港地區都市計畫(112年)"/>
        <s v="WMTS_1/1000地形圖_澎湖縣鎖港都市計畫(104年)"/>
        <s v="WMTS_1/1000地形圖_關西都市計畫(94年)"/>
        <s v="WMTS_1/1000地形圖_寶山都市計畫(93-94年)"/>
        <s v="WMTS_1/25000地形圖(107年)"/>
        <s v="WMTS_1/25000地形圖(108年)"/>
        <s v="WMTS_1/25000地形圖(109年)"/>
        <s v="WMTS_1/25000地形圖(110年)"/>
        <s v="WMTS_1/25000地形圖(111年)"/>
        <s v="WMTS_1/25000地形圖(112年)"/>
        <s v="WMTS_1/25000地形圖(113年)"/>
        <s v="WMTS_1/25000地形圖(114年)"/>
        <s v="WMTS_1/25000基本地形圖"/>
        <s v="WMTS_1/50000地形圖(107年)"/>
        <s v="WMTS_1/50000地形圖(109年)"/>
        <s v="WMTS_1/50000地形圖(110年)"/>
        <s v="WMTS_1/50000地形圖(111年)"/>
        <s v="WMTS_1/50000地形圖(112年)"/>
        <s v="WMTS_1/50000地形圖(113年)"/>
        <s v="WMTS_1/50000基本地形圖"/>
        <s v="WMTS_1/5000基本地形圖"/>
        <s v="WMTS_1/5000基本地形圖(100年)"/>
        <s v="WMTS_1/5000基本地形圖(101年)"/>
        <s v="WMTS_1/5000基本地形圖(102年)"/>
        <s v="WMTS_1/5000基本地形圖(103年)"/>
        <s v="WMTS_1/5000基本地形圖(104年)"/>
        <s v="WMTS_1/5000基本地形圖(105年)"/>
        <s v="WMTS_1/5000基本地形圖(106年)"/>
        <s v="WMTS_1/5000基本地形圖(107年)"/>
        <s v="WMTS_1/5000基本地形圖(108年)"/>
        <s v="WMTS_1/5000基本地形圖(109年)"/>
        <s v="WMTS_1/5000基本地形圖(110年)"/>
        <s v="WMTS_1/5000基本地形圖(111年)"/>
        <s v="WMTS_1/5000基本地形圖(84年)"/>
        <s v="WMTS_1/5000基本地形圖(86年)"/>
        <s v="WMTS_1/5000基本地形圖(87年)"/>
        <s v="WMTS_1/5000基本地形圖(88年)"/>
        <s v="WMTS_1/5000基本地形圖(90年)"/>
        <s v="WMTS_1/5000基本地形圖(91年)"/>
        <s v="WMTS_1/5000基本地形圖(92年)"/>
        <s v="WMTS_1/5000基本地形圖(96年)"/>
        <s v="WMTS_1/5000基本地形圖(98年)"/>
        <s v="WMTS_1/5000基本地形圖(99年)"/>
        <s v="WMTS_1/5000像片基本圖(100年)"/>
        <s v="WMTS_1/5000像片基本圖(101年)"/>
        <s v="WMTS_1/5000像片基本圖(102年)"/>
        <s v="WMTS_1/5000像片基本圖(103年)"/>
        <s v="WMTS_1/5000像片基本圖(104年)"/>
        <s v="WMTS_1/5000像片基本圖(105年)"/>
        <s v="WMTS_1/5000像片基本圖(106年)"/>
        <s v="WMTS_1/5000像片基本圖(107年)"/>
        <s v="WMTS_1/5000像片基本圖(108年)"/>
        <s v="WMTS_1/5000像片基本圖(109年)"/>
        <s v="WMTS_1/5000像片基本圖(110年)"/>
        <s v="WMTS_1/5000像片基本圖(111年)"/>
        <s v="WMTS_1/5000像片基本圖(112年)"/>
        <s v="WMTS_1/5000像片基本圖(113年)"/>
        <s v="WMTS_1/5000像片基本圖(114年)"/>
        <s v="WMTS_1/5000像片基本圖(65年)"/>
        <s v="WMTS_1/5000像片基本圖(66年)"/>
        <s v="WMTS_1/5000像片基本圖(67年)"/>
        <s v="WMTS_1/5000像片基本圖(68年)"/>
        <s v="WMTS_1/5000像片基本圖(69年)"/>
        <s v="WMTS_1/5000像片基本圖(70年)"/>
        <s v="WMTS_1/5000像片基本圖(71年)"/>
        <s v="WMTS_1/5000像片基本圖(72年)"/>
        <s v="WMTS_1/5000像片基本圖(73年)"/>
        <s v="WMTS_1/5000像片基本圖(74年)"/>
        <s v="WMTS_1/5000像片基本圖(75年)"/>
        <s v="WMTS_1/5000像片基本圖(76年)"/>
        <s v="WMTS_1/5000像片基本圖(78年)"/>
        <s v="WMTS_1/5000像片基本圖(79年)"/>
        <s v="WMTS_1/5000像片基本圖(80年)"/>
        <s v="WMTS_1/5000像片基本圖(81年)"/>
        <s v="WMTS_1/5000像片基本圖(83年)"/>
        <s v="WMTS_1/5000像片基本圖(84年)"/>
        <s v="WMTS_1/5000像片基本圖(86年)"/>
        <s v="WMTS_1/5000像片基本圖(87年)"/>
        <s v="WMTS_1/5000像片基本圖(88年)"/>
        <s v="WMTS_1/5000像片基本圖(89年)"/>
        <s v="WMTS_1/5000像片基本圖(90年)"/>
        <s v="WMTS_1/5000像片基本圖(91年)"/>
        <s v="WMTS_1/5000像片基本圖(92年)"/>
        <s v="WMTS_1/5000像片基本圖(93年)"/>
        <s v="WMTS_1/5000像片基本圖(94年)"/>
        <s v="WMTS_1/5000像片基本圖(95年)"/>
        <s v="WMTS_1/5000像片基本圖(96年)"/>
        <s v="WMTS_1/5000像片基本圖(97年)"/>
        <s v="WMTS_1/5000像片基本圖(98年)"/>
        <s v="WMTS_1/5000像片基本圖(99年)"/>
        <s v="WMTS_1/5000圖幅框"/>
        <s v="WMTS_山崩與地滑地質敏感區"/>
        <s v="WMTS_正射影像圖(103年更新區)"/>
        <s v="WMTS_正射影像圖(104年更新區)"/>
        <s v="WMTS_正射影像圖(105年更新區)"/>
        <s v="WMTS_正射影像圖(106年更新區)"/>
        <s v="WMTS_正射影像圖(107年更新區)"/>
        <s v="WMTS_正射影像圖(108年更新區)"/>
        <s v="WMTS_正射影像圖(109年更新區)"/>
        <s v="WMTS_正射影像圖(110年更新區)"/>
        <s v="WMTS_正射影像圖(111年更新區)"/>
        <s v="WMTS_正射影像圖(112年更新區)"/>
        <s v="WMTS_正射影像圖(113年更新區)"/>
        <s v="WMTS_正射影像圖(114年更新區)"/>
        <s v="WMTS_正射影像圖(92-94年成果)"/>
        <s v="WMTS_正射影像圖(最新成果)"/>
        <s v="WMTS_正射影像圖TWD97/TM2 Zone 121"/>
        <s v="WMTS_地政事務所轄區圖"/>
        <s v="WMTS_地段外圍圖(段籍圖,區分測量類別)"/>
        <s v="WMTS_地段外圍圖(段籍圖)"/>
        <s v="WMTS_地籍圖"/>
        <s v="WMTS_村里界線"/>
        <s v="WMTS_直轄市及縣市界線"/>
        <s v="WMTS_空載光達數值地形變異分析圖(0.5M門檻)"/>
        <s v="WMTS_非都市土地使用分區圖"/>
        <s v="WMTS_非都市土地使用地類別圖"/>
        <s v="WMTS_消防栓位置"/>
        <s v="WMTS_航照影像_馬太鞍溪事件_1140925_1"/>
        <s v="WMTS_航照影像_馬太鞍溪事件_1140925_2"/>
        <s v="WMTS_航照影像_馬太鞍溪事件_1140925_3"/>
        <s v="WMTS_航照影像_馬太鞍溪事件_1140927_1"/>
        <s v="WMTS_航照影像_馬太鞍溪事件_1140927_2"/>
        <s v="WMTS_航照影像_馬太鞍溪事件_1140927_3"/>
        <s v="WMTS_航照影像_馬太鞍溪事件_1140928_1"/>
        <s v="WMTS_航照影像_馬太鞍溪事件_1140928_2"/>
        <s v="WMTS_航照影像_馬太鞍溪事件_1140929_1"/>
        <s v="WMTS_航照影像_馬太鞍溪事件_1140929_2"/>
        <s v="WMTS_航照影像_馬太鞍溪事件_1140930_1"/>
        <s v="WMTS_航照影像_馬太鞍溪事件_1140930_2"/>
        <s v="WMTS_航照影像_馬太鞍溪事件_1141001_1"/>
        <s v="WMTS_航照影像_馬太鞍溪事件_1141002_1"/>
        <s v="WMTS_航照影像_馬太鞍溪事件_1141002_2"/>
        <s v="WMTS_航照影像_馬太鞍溪事件_1141002_3"/>
        <s v="WMTS_航照影像_馬太鞍溪事件_1141003_1"/>
        <s v="WMTS_航照影像_馬太鞍溪事件_1141003_2"/>
        <s v="WMTS_航照影像_馬太鞍溪事件_1141003_3"/>
        <s v="WMTS_航照影像_馬太鞍溪事件_1141003_4"/>
        <s v="WMTS_航照影像_馬太鞍溪事件_1141003_5"/>
        <s v="WMTS_航照影像_馬太鞍溪事件_1141003_6"/>
        <s v="WMTS_航照影像_馬太鞍溪事件_1141003_7"/>
        <s v="WMTS_航照影像_馬太鞍溪事件_1141004_1"/>
        <s v="WMTS_航照影像_馬太鞍溪事件_1141004_2"/>
        <s v="WMTS_航照影像_馬太鞍溪事件_1141004_3"/>
        <s v="WMTS_航照影像_馬太鞍溪事件_1141005_1"/>
        <s v="WMTS_航照影像_馬太鞍溪事件_1141005_2"/>
        <s v="WMTS_航照影像_馬太鞍溪事件_1141005_3"/>
        <s v="WMTS_航照影像_馬太鞍溪事件_1141006_1"/>
        <s v="WMTS_航照影像_馬太鞍溪事件_1141006_2"/>
        <s v="WMTS_航照影像_馬太鞍溪事件_1141006_3"/>
        <s v="WMTS_航照影像_馬太鞍溪事件_1141007_1"/>
        <s v="WMTS_航照影像_馬太鞍溪事件_1141007_2"/>
        <s v="WMTS_航照影像_馬太鞍溪事件_1141007_3"/>
        <s v="WMTS_航照影像_馬太鞍溪事件_1141013_1"/>
        <s v="WMTS_航照影像_馬太鞍溪事件_1141013_2"/>
        <s v="WMTS_航照影像_馬太鞍溪事件_1141013_3"/>
        <s v="WMTS_航照影像_馬太鞍溪事件_1141013_4"/>
        <s v="WMTS_航照影像_馬太鞍溪事件_1141013_5"/>
        <s v="WMTS_航照影像_馬太鞍溪事件_1141013_6"/>
        <s v="WMTS_航照影像_馬太鞍溪事件_1141013_7"/>
        <s v="WMTS_航照影像_馬太鞍溪事件_1141013_8"/>
        <s v="WMTS_航照影像_馬太鞍溪事件_1141013_9"/>
        <s v="WMTS_航照影像_馬太鞍溪事件_1141116_1"/>
        <s v="WMTS_航照影像_馬太鞍溪事件_1141116_2"/>
        <s v="WMTS_航照影像_馬太鞍溪事件_1141116_3"/>
        <s v="WMTS_航照影像_馬太鞍溪事件_1141116_4"/>
        <s v="WMTS_航照影像_馬太鞍溪事件_1141116_5"/>
        <s v="WMTS_航照影像_馬太鞍溪事件_1141116_6"/>
        <s v="WMTS_航照影像_馬太鞍溪事件_1141116_7"/>
        <s v="WMTS_航照影像_馬太鞍溪事件_1141116_8"/>
        <s v="WMTS_航照影像_馬太鞍溪事件_災前(113-114)"/>
        <s v="WMTS_國土利用現況調查成果圖_1類農業"/>
        <s v="WMTS_國土利用現況調查成果圖_2類森林"/>
        <s v="WMTS_國土利用現況調查成果圖_3類交通"/>
        <s v="WMTS_國土利用現況調查成果圖_4類水利"/>
        <s v="WMTS_國土利用現況調查成果圖_5類建築"/>
        <s v="WMTS_國土利用現況調查成果圖_6類公共"/>
        <s v="WMTS_國土利用現況調查成果圖_7類遊憩"/>
        <s v="WMTS_國土利用現況調查成果圖_8類礦鹽"/>
        <s v="WMTS_國土利用現況調查成果圖_9類其他"/>
        <s v="WMTS_國土利用現況調查成果圖(100年更新區)"/>
        <s v="WMTS_國土利用現況調查成果圖(101年更新區)"/>
        <s v="WMTS_國土利用現況調查成果圖(102年更新區)"/>
        <s v="WMTS_國土利用現況調查成果圖(103年更新區)"/>
        <s v="WMTS_國土利用現況調查成果圖(104年更新區)"/>
        <s v="WMTS_國土利用現況調查成果圖(105年更新區)"/>
        <s v="WMTS_國土利用現況調查成果圖(106年更新區)"/>
        <s v="WMTS_國土利用現況調查成果圖(107年更新區)"/>
        <s v="WMTS_國土利用現況調查成果圖(108年更新區)"/>
        <s v="WMTS_國土利用現況調查成果圖(109年更新區)"/>
        <s v="WMTS_國土利用現況調查成果圖(110年更新區)"/>
        <s v="WMTS_國土利用現況調查成果圖(111年更新區)"/>
        <s v="WMTS_國土利用現況調查成果圖(112年更新區)"/>
        <s v="WMTS_國土利用現況調查成果圖(113年更新區)"/>
        <s v="WMTS_國土利用現況調查成果圖(114年更新區)"/>
        <s v="WMTS_國土利用現況調查成果圖(82-84年成果)"/>
        <s v="WMTS_國土利用現況調查成果圖(95-97年成果)"/>
        <s v="WMTS_國土利用現況調查成果圖(98年更新區)"/>
        <s v="WMTS_國土利用現況調查成果圖(99年更新區)"/>
        <s v="WMTS_國土利用現況調查成果圖(最新成果)"/>
        <s v="WMTS_連鎖便利商店"/>
        <s v="WMTS_鄉鎮市區界線"/>
        <s v="WMTS_臺灣通用電子地圖"/>
        <s v="WMTS_臺灣通用電子地圖_交通路網(套疊門牌)"/>
        <s v="WMTS_臺灣通用電子地圖_道路圖層(透明)"/>
        <s v="WMTS_臺灣通用電子地圖(灰階)"/>
        <s v="WMTS_臺灣通用電子地圖(套疊等高線)"/>
        <s v="WMTS_臺灣通用電子地圖(套疊等高線及門牌)"/>
        <s v="WMTS_臺灣通用電子地圖(高DPI文字)"/>
        <s v="WMTS_臺灣通用電子地圖(無文字)"/>
        <s v="WMTS_臺灣通用電子地圖(無鐵公路)"/>
        <s v="WMTS_臺灣通用電子地圖(等高線+門牌)"/>
        <s v="WMTS_臺灣通用電子地圖(響應式文字)"/>
        <s v="WMTS_臺灣通用電子地圖加值分棟建物框"/>
        <s v="WMTS_臺灣通用電子地圖TWD97/TM2 Zone 119"/>
        <s v="WMTS_臺灣通用電子地圖TWD97/TM2 Zone 121"/>
        <s v="WMTS_OPENDATA_公共場所AED位置資訊"/>
        <s v="WMTS_OPENDATA_公有土地地籍圖"/>
        <s v="WMTS_OPENDATA_臺灣通用電子地圖( 比例尺小於一萬八千分之一)"/>
        <s v="WMTS_OPENDATA_臺灣通用電子地圖(套疊等高線, 比例尺小於一萬八千分之一)"/>
        <s v="WMTS_Taiwan E-Map(ResponsiveText)"/>
        <s v="WMTS_TaiwanE-Map"/>
        <s v="WMTS_TaiwanE-Map_Road"/>
        <s v="WMTS_UAV空拍影像_宜蘭縣五結鄉(108年)"/>
        <s v="WMTS_UAV空拍影像_宜蘭縣南澳鄉(107年)"/>
        <s v="WMTS_UAV空拍影像_花蓮縣光復(109年)"/>
        <s v="WMTS_UAV空拍影像_花蓮縣卓溪_1(109年)"/>
        <s v="WMTS_UAV空拍影像_花蓮縣卓溪_2(109年)"/>
        <s v="WMTS_UAV空拍影像_花蓮縣卓溪鄉(106年)"/>
        <s v="WMTS_UAV空拍影像_花蓮縣花蓮市(105年)"/>
        <s v="WMTS_UAV空拍影像_花蓮縣壽豐鄉(101年)"/>
        <s v="WMTS_UAV空拍影像_花蓮縣壽豐鄉豐平大橋(101年)"/>
        <s v="WMTS_UAV空拍影像_南投縣仁愛鄉清境農場(103年)"/>
        <s v="WMTS_UAV空拍影像_南投縣竹山鎮(105年)"/>
        <s v="WMTS_UAV空拍影像_南投縣南投市(航遙測校正場(102年)"/>
        <s v="WMTS_UAV空拍影像_南投縣南投市航遙測校正場(103年)"/>
        <s v="WMTS_UAV空拍影像_南投縣南投市國3南投交流道(103年)"/>
        <s v="WMTS_UAV空拍影像_南投縣草屯鎮(105年)"/>
        <s v="WMTS_UAV空拍影像_南投縣草屯鎮九九峰(106年)"/>
        <s v="WMTS_UAV空拍影像_南投縣國姓鄉國6北山交流道(103年)"/>
        <s v="WMTS_UAV空拍影像_屏東交流道(107年)"/>
        <s v="WMTS_UAV空拍影像_屏東東港(109年)"/>
        <s v="WMTS_UAV空拍影像_屏東海豐外環道(107年)"/>
        <s v="WMTS_UAV空拍影像_屏東縣里港鄉(102年)"/>
        <s v="WMTS_UAV空拍影像_屏東縣里港鄉國10里港交流道(104年)"/>
        <s v="WMTS_UAV空拍影像_屏東縣屏東(109年)"/>
        <s v="WMTS_UAV空拍影像_屏東縣高樹(109年)"/>
        <s v="WMTS_UAV空拍影像_屏東縣滿州鄉(101年)"/>
        <s v="WMTS_UAV空拍影像_屏東縣滿州鄉(102年)"/>
        <s v="WMTS_UAV空拍影像_屏東縣霧台鄉台24谷川大橋(103年)"/>
        <s v="WMTS_UAV空拍影像_苗栗縣西湖(109年)"/>
        <s v="WMTS_UAV空拍影像_苗栗縣卓蘭鎮(101年)"/>
        <s v="WMTS_UAV空拍影像_苗栗縣後龍鎮(101年)"/>
        <s v="WMTS_UAV空拍影像_苗栗縣苑裡鎮火炎山(106年)"/>
        <s v="WMTS_UAV空拍影像_苗栗縣苗栗(109年)"/>
        <s v="WMTS_UAV空拍影像_苗栗縣泰安鄉雪見(111年)"/>
        <s v="WMTS_UAV空拍影像_苗栗縣泰安鄉觀霧(111年)"/>
        <s v="WMTS_UAV空拍影像_苗栗縣通霄鎮(107年)"/>
        <s v="WMTS_UAV空拍影像_苗栗縣造橋鄉台13甲線(104年)"/>
        <s v="WMTS_UAV空拍影像_苗栗縣獅潭鄉汶水橋(104年)"/>
        <s v="WMTS_UAV空拍影像_苗栗縣銅鑼鄉(銅鑼科學園區(103年)"/>
        <s v="WMTS_UAV空拍影像_苗栗縣銅鑼鎮(107年)"/>
        <s v="WMTS_UAV空拍影像_桃園市中路計畫區段徵收(103年)"/>
        <s v="WMTS_UAV空拍影像_桃園市平鎮區(105年)"/>
        <s v="WMTS_UAV空拍影像_桃園市平鎮區(106年)"/>
        <s v="WMTS_UAV空拍影像_桃園市新屋區(105年)"/>
        <s v="WMTS_UAV空拍影像_桃園市新屋區(106年)"/>
        <s v="WMTS_UAV空拍影像_桃園市龜山區(102年)"/>
        <s v="WMTS_UAV空拍影像_桃園市蘆竹區(105年)"/>
        <s v="WMTS_UAV空拍影像_桃園市觀音區(105年)"/>
        <s v="WMTS_UAV空拍影像_桃園市觀音區(106年)"/>
        <s v="WMTS_UAV空拍影像_高雄市大社(110年)"/>
        <s v="WMTS_UAV空拍影像_高雄市大寮區(108年)"/>
        <s v="WMTS_UAV空拍影像_高雄市仁武區國1鼎金交流道(104年)"/>
        <s v="WMTS_UAV空拍影像_高雄市永安(111年)"/>
        <s v="WMTS_UAV空拍影像_高雄市岡山(109年)"/>
        <s v="WMTS_UAV空拍影像_高雄市前鎮區氣爆災點(104年)"/>
        <s v="WMTS_UAV空拍影像_高雄市前鎮區經貿園區65期(104年)"/>
        <s v="WMTS_UAV空拍影像_雲林古坑(109年)"/>
        <s v="WMTS_UAV空拍影像_雲林縣口湖(111年)"/>
        <s v="WMTS_UAV空拍影像_雲林縣斗六市湖山水庫(106年)"/>
        <s v="WMTS_UAV空拍影像_雲林縣古坑鄉崁頭厝(105年)"/>
        <s v="WMTS_UAV空拍影像_雲林縣古坑鄉國3古坑交流道(105年)"/>
        <s v="WMTS_UAV空拍影像_雲林縣古坑鄉樟湖(105年)"/>
        <s v="WMTS_UAV空拍影像_雲林縣虎尾鎮雲林高鐵站(104年)"/>
        <s v="WMTS_UAV空拍影像_雲林縣麥寮鄉台61線(103年)"/>
        <s v="WMTS_UAV空拍影像_雲林縣臺西(111年)"/>
        <s v="WMTS_UAV空拍影像_新北市金山區(107年)"/>
        <s v="WMTS_UAV空拍影像_新北市烏來區106年)"/>
        <s v="WMTS_UAV空拍影像_新北市樹林區國3樹林交流道(106年)"/>
        <s v="WMTS_UAV空拍影像_新竹市(107年)"/>
        <s v="WMTS_UAV空拍影像_新竹市北區台68線(106年)"/>
        <s v="WMTS_UAV空拍影像_新竹市香山區(105年)"/>
        <s v="WMTS_UAV空拍影像_新竹縣尖石鄉(107年)"/>
        <s v="WMTS_UAV空拍影像_新竹縣竹北_1(111年)"/>
        <s v="WMTS_UAV空拍影像_新竹縣竹北_2(111年)"/>
        <s v="WMTS_UAV空拍影像_新竹縣竹北_3(111年)"/>
        <s v="WMTS_UAV空拍影像_新竹縣新豐鄉(107年)"/>
        <s v="WMTS_UAV空拍影像_嘉義市西區湖子內區段徵收(106年)"/>
        <s v="WMTS_UAV空拍影像_嘉義市東區彌陀路拓寬工程(106年)"/>
        <s v="WMTS_UAV空拍影像_嘉義縣大林鎮大埔美重劃區(103年)"/>
        <s v="WMTS_UAV空拍影像_嘉義縣布袋鎮_1(108年)"/>
        <s v="WMTS_UAV空拍影像_嘉義縣布袋鎮_2(108年)"/>
        <s v="WMTS_UAV空拍影像_嘉義縣民雄(111年)"/>
        <s v="WMTS_UAV空拍影像_嘉義縣朴子(110年)"/>
        <s v="WMTS_UAV空拍影像_嘉義縣東石鄉(101年)"/>
        <s v="WMTS_UAV空拍影像_嘉義縣阿里山鄉(102年)"/>
        <s v="WMTS_UAV空拍影像_嘉義縣鹿草(110年)"/>
        <s v="WMTS_UAV空拍影像_嘉義縣番路鄉(102年)"/>
        <s v="WMTS_UAV空拍影像_嘉義縣義竹(109年)"/>
        <s v="WMTS_UAV空拍影像_彰化縣大城鄉152線(106年)"/>
        <s v="WMTS_UAV空拍影像_彰化縣田中鎮(105年)"/>
        <s v="WMTS_UAV空拍影像_彰化縣伸港鄉(102年)"/>
        <s v="WMTS_UAV空拍影像_彰化縣芳苑(110年)"/>
        <s v="WMTS_UAV空拍影像_彰化縣芳苑鄉台61線(104年)"/>
        <s v="WMTS_UAV空拍影像_彰化縣福興鄉台61線(103年)"/>
        <s v="WMTS_UAV空拍影像_臺中市大安區(107年)"/>
        <s v="WMTS_UAV空拍影像_臺中市大慶車站(105年)"/>
        <s v="WMTS_UAV空拍影像_臺中市太平區坪林森林公園(105年)"/>
        <s v="WMTS_UAV空拍影像_臺中市太平新光地區(105年)"/>
        <s v="WMTS_UAV空拍影像_臺中市太原車站(105年)"/>
        <s v="WMTS_UAV空拍影像_臺中市水湳機場(105年)"/>
        <s v="WMTS_UAV空拍影像_臺中市后里區(108年)"/>
        <s v="WMTS_UAV空拍影像_臺中市和平區(107年)"/>
        <s v="WMTS_UAV空拍影像_臺中市振興路以南(105年)"/>
        <s v="WMTS_UAV空拍影像_臺中市烏日(110年)"/>
        <s v="WMTS_UAV空拍影像_臺中市捷運北屯機廠(105年)"/>
        <s v="WMTS_UAV空拍影像_臺中市梧棲(109年)"/>
        <s v="WMTS_UAV空拍影像_臺中市第13期(105年)"/>
        <s v="WMTS_UAV空拍影像_臺中市第14期(105年)"/>
        <s v="WMTS_UAV空拍影像_臺中市廍子地區(105年)"/>
        <s v="WMTS_UAV空拍影像_臺中市臺中車站(105年)"/>
        <s v="WMTS_UAV空拍影像_臺中市潭子車站(105年)"/>
        <s v="WMTS_UAV空拍影像_臺中市潭子區(105年)"/>
        <s v="WMTS_UAV空拍影像_臺中市龍井區及彰化縣伸港鄉(107年)"/>
        <s v="WMTS_UAV空拍影像_臺中市豐原(110年)"/>
        <s v="WMTS_UAV空拍影像_臺中市豐原車站(105年)"/>
        <s v="WMTS_UAV空拍影像_臺中市霧峰(110年)"/>
        <s v="WMTS_UAV空拍影像_臺中市霧峰區(105年)"/>
        <s v="WMTS_UAV空拍影像_臺北市士林(109年)"/>
        <s v="WMTS_UAV空拍影像_臺北市士林(110年)"/>
        <s v="WMTS_UAV空拍影像_臺北市士林大油坑(105年)"/>
        <s v="WMTS_UAV空拍影像_臺北市士林大油坑(106年)"/>
        <s v="WMTS_UAV空拍影像_臺北市士林馬槽(105年)"/>
        <s v="WMTS_UAV空拍影像_臺北市士林區大油坑(107年)"/>
        <s v="WMTS_UAV空拍影像_臺北市士林區大油坑(108年)"/>
        <s v="WMTS_UAV空拍影像_臺北市士林區馬槽(106年)"/>
        <s v="WMTS_UAV空拍影像_臺北市士林區馬槽(107年)"/>
        <s v="WMTS_UAV空拍影像_臺北市士林區馬槽(108年)"/>
        <s v="WMTS_UAV空拍影像_臺北市士林區夢幻湖(107年)"/>
        <s v="WMTS_UAV空拍影像_臺北市士林區夢幻湖(108年)"/>
        <s v="WMTS_UAV空拍影像_臺北市士林陽明山大油坑(111年)"/>
        <s v="WMTS_UAV空拍影像_臺北市士林陽明山馬槽(111年)"/>
        <s v="WMTS_UAV空拍影像_臺北市士林陽明山夢幻湖(111年)"/>
        <s v="WMTS_UAV空拍影像_臺北市北投(111年)"/>
        <s v="WMTS_UAV空拍影像_臺北市北投夢幻湖(105年)"/>
        <s v="WMTS_UAV空拍影像_臺北市北投夢幻湖(106年)"/>
        <s v="WMTS_UAV空拍影像_臺北市萬華(111年)"/>
        <s v="WMTS_UAV空拍影像_臺東縣大武鄉(102年)"/>
        <s v="WMTS_UAV空拍影像_臺東縣太麻里鄉(101年)"/>
        <s v="WMTS_UAV空拍影像_臺南市七股區(108年)"/>
        <s v="WMTS_UAV空拍影像_臺南市七股區(台61線(102年)"/>
        <s v="WMTS_UAV空拍影像_臺南市七股區(台江國家公園(102年)"/>
        <s v="WMTS_UAV空拍影像_臺南市七股區西濱公路(106年)"/>
        <s v="WMTS_UAV空拍影像_臺南市下營區(108年)"/>
        <s v="WMTS_UAV空拍影像_臺南市永康_1(110年)"/>
        <s v="WMTS_UAV空拍影像_臺南市永康_2(110年)"/>
        <s v="WMTS_UAV空拍影像_臺南市永康區(108年)"/>
        <s v="WMTS_UAV空拍影像_臺南市安平區(104年)"/>
        <s v="WMTS_UAV空拍影像_臺南市安南(110年)"/>
        <s v="WMTS_UAV空拍影像_臺南市安南區(101年)"/>
        <s v="WMTS_UAV空拍影像_臺南市安南區(102年)"/>
        <s v="WMTS_UAV空拍影像_臺南市安南區(108年)"/>
        <s v="WMTS_UAV空拍影像_臺南市安南區九份子重劃區(104年)"/>
        <s v="WMTS_UAV空拍影像_臺南市安南區台江大道(106年)"/>
        <s v="WMTS_UAV空拍影像_臺南市西港(110年)"/>
        <s v="WMTS_UAV空拍影像_臺南市東區平實市地重劃(106年)"/>
        <s v="WMTS_UAV空拍影像_臺南市南化(110年)"/>
        <s v="WMTS_UAV空拍影像_臺南市南區(台86線)(103年)"/>
        <s v="WMTS_UAV空拍影像_臺南市柳營(111年)"/>
        <s v="WMTS_UAV空拍影像_臺南市麻豆(109年)"/>
        <s v="WMTS_UAV空拍影像_臺南市麻豆區(103年)"/>
        <s v="WMTS_UAV空拍影像_臺南市新市區新和重劃區(104年)"/>
        <s v="WMTS_UAV空拍影像_臺南市新營(110年)"/>
        <s v="WMTS_UAV空拍影像_臺南市學甲區(台84線)(103年)"/>
        <s v="WMTS_UAV空拍影像_臺南市歸仁_2(110年)"/>
        <s v="WMTS_UAV空拍影像_臺南市關廟區(101年)"/>
        <s v="WMTS_UAV空拍影像_臺南市關廟區(108年)"/>
      </sharedItems>
    </cacheField>
    <cacheField name="圖層說明API有無" numFmtId="0">
      <sharedItems containsBlank="1" count="509" longText="1">
        <s v="　　1/5,000基本地形圖內容為國土基本狀態之描述，內容包括地貌、地物、地形（高程），為國土資訊系統之核心及廣泛共用之基本底圖，亦為國土規劃、國土保育、防救災、經濟建設等所需基礎資料。臺灣地區五千分之一基本地形圖測製自65年起實施，71年完成，為確保五千分之一基本地形圖圖資與實地現況相符，分別於72至76年、78至83年辦理修測。五千分之一基本地形圖測製作業初期採用類比航空測量方法，為因應航測及資訊科技進步，84年試辦以數值航測法測製，並自86年起全面採數值法測圖，於95年完成臺灣地區數值五千分之一基本地形圖修測，96年度以後仍持續辦理五千分之一基本地形圖修測工作，目前修測工作辦理情形可至NGIS基本地形圖分組網站（&lt;a href=&quot;https://bmap-nlsc.moi.gov.tw/&quot; target=&quot;_blank&quot; rel=&quot;noopener&quot;&gt;https://bmap-nlsc.moi.gov.tw/&lt;/a&gt;）「基本地形圖資料庫」－「基本地形圖」瀏覽參閱。_x000a_107年5月"/>
        <s v="　　本網站所提供之地段外圍圖(段籍圖)，係本中心每年辦理土地段籍資料總檢核作業加值處理地籍圖資料完成之全國各地段屬性資料及地段外圍圖形資料，可供了解各地段辦理地籍測量之背景資訊、形狀及相對位置。_x000a_&lt;BR&gt;資料日期：115年1月 &lt;BR&gt;&lt;font color=#0000FF&gt;—段界使用顏色圖例—&lt;/font&gt;&lt;BR&gt;_x000a_段名則依分類用不同顏色，定義如下：&lt;BR&gt;_x000a_&lt;font color=#0000FF&gt;藍色&lt;/font&gt;—地籍圖重測&lt;/font&gt;&lt;BR&gt;_x000a_&lt;font color=red&gt;紅色&lt;/font&gt;—日據時代地籍圖&lt;/font&gt;&lt;BR&gt;_x000a_&lt;font color=magenta&gt;洋紅色&lt;/font&gt;—修正測量&lt;BR&gt;_x000a_&lt;font color=green&gt;深綠色&lt;/font&gt;—市地重劃&lt;/font&gt;&lt;BR&gt;_x000a_&lt;font color=lime&gt;淺綠色&lt;/font&gt;—農地重劃、農村社區重劃&lt;/font&gt;&lt;BR&gt;_x000a_&lt;font color=#b2b200&gt;黃色&lt;/font&gt;—國有林班地，解除林班地，國有原野地，原住民保留地&lt;/font&gt;&lt;BR&gt;_x000a_&lt;font color=cyan&gt;青色&lt;/font&gt;—工業區整理，區段徵收&lt;BR&gt;_x000a_&lt;font color=gray&gt;灰色&lt;/font&gt;—其他（含河川浮覆地、海岸土地測量、海埔新生地）&lt;/font&gt;&lt;BR&gt;"/>
        <s v="　　本網站所提供之地段外圍圖(段籍圖)，係本中心每年辦理土地段籍資料總檢核作業加值處理地籍圖資料完成之全國各地段屬性資料及地段外圍圖形資料，可供了解各地段辦理地籍測量之背景資訊、形狀及相對位置。&lt;BR&gt;資料日期：115年1月 &lt;BR&gt;&lt;font color=#0000FF&gt;—段界使用顏色文字圖例—&lt;/font&gt;"/>
        <s v="　　本網站所提供之村里界圖，係依據內政部民政司所提供之村里界紙本資料，由本中心數化完成之全國村里界圖。&lt;BR&gt;&lt;font color=#0040FF&gt;—使用顏色圖例—&lt;/font&gt;&lt;BR&gt;_x000a_　　村里界資料如有疑義或需修正請逕行連絡內政部民政司。&lt;BR&gt;_x000a_　　若需村里界向量資料請至 &lt;a href=https://data.gov.tw/datasets/search?qs=%E6%9D%91%E9%87%8C%E7%95%8C target=&quot;_blank&quot; rel=&quot;noopener&quot;&gt;&lt;font  color=blue&gt;政府資料開放平台&lt;/font&gt;&lt;/a&gt; 下載。"/>
        <s v="&lt;font color=red&gt;【地籍圖套疊結果僅供參考】&lt;/font&gt;&lt;br&gt;_x000a_　　現有地籍圖以地段為管理單位，分為圖解法及數值法測量成果兩大類，圖解地籍圖的坐標系統有地籍坐標系統、TWD67坐標系統等，其製圖比例尺有1/500、1/600、1/1000、1/1200、1/3000等且係分圖幅製圖，因此圖幅四邊具有圖廓線。數值法測量成果的坐標系統則有TWD67、TWD97、TWD97[2010]等。本系統 地籍圖 為保留地政事務所原始地籍圖，圖解區以原圖解分幅地段地籍圖原樣提供服務。&lt;br&gt; 　　因地籍圖之測製機關、測繪規範、測製精度及比例尺不同，分別依各地段、各圖幅坐標轉換處理，因此各地段間、各圖幅間存在有接邊問題，且地籍圖與其他圖資套疊結果會有差異，同時本中心地籍圖資料與地政事務所資料存在時間差，因此各種圖資套疊之結果，僅提供空間相對位置參考使用。&lt;font color=red&gt;查詢之地籍資料如涉及土地實際權利界址，應以各地政事務所鑑界為準。&lt;/font&gt;&lt;br&gt;● 地籍圖更新頻率以每月更新為原則。&lt;br&gt;● &lt;font color=#FF00FF&gt;粉紅色線段&lt;/font&gt; 為 &lt;font blod&gt;地籍線&lt;/font&gt;"/>
        <s v="1/5,000基本地形圖100年&lt;br&gt;_x000a_僅嘉義、臺南市、高雄市、屏東縣區域"/>
        <s v="1/5,000基本地形圖101年&lt;br&gt;_x000a_僅花蓮縣區域"/>
        <s v="1/5,000基本地形圖102年&lt;br&gt;_x000a_僅臺中市、彰化縣、南投縣區域"/>
        <s v="1/5,000基本地形圖103年&lt;br&gt;_x000a_僅南投縣、臺中市區域"/>
        <s v="1/5,000基本地形圖104年&lt;br&gt;_x000a_僅花蓮縣、臺東縣區域"/>
        <s v="1/5,000基本地形圖105年&lt;br&gt;_x000a_僅苗栗以北縣市區域"/>
        <s v="1/5,000基本地形圖106年&lt;br&gt;_x000a_僅花蓮縣及宜蘭縣市區域"/>
        <s v="1/5,000基本地形圖107年&lt;br&gt;_x000a_僅花蓮縣、南投縣、臺東縣區域"/>
        <s v="1/5,000基本地形圖108年&lt;br&gt;_x000a_僅彰化縣、雲林縣、嘉義、高雄市、屏東縣區域"/>
        <s v="1/5,000基本地形圖109年&lt;br&gt;_x000a_僅臺南市、高雄市、屏東縣區域"/>
        <s v="1/5,000基本地形圖110&lt;br&gt;"/>
        <s v="1/5,000基本地形圖111"/>
        <s v="1/5,000基本地形圖84年&lt;br&gt;_x000a_僅花蓮縣富里鄉區域"/>
        <s v="1/5,000基本地形圖86年&lt;br&gt;_x000a_僅彰化縣、臺中市、南投縣區域"/>
        <s v="1/5,000基本地形圖87年&lt;br&gt;_x000a_僅雲林縣、嘉義縣、彰化縣、臺中市、南投縣區域"/>
        <s v="1/5,000基本地形圖88年&lt;br&gt;_x000a_僅臺中市、南投縣、花蓮縣區域"/>
        <s v="1/5,000基本地形圖90年&lt;br&gt;_x000a_僅嘉義、高雄市、臺南市、屏東縣區域"/>
        <s v="1/5,000基本地形圖91年&lt;br&gt;_x000a_僅嘉義縣、臺南市區域"/>
        <s v="1/5,000基本地形圖92年&lt;br&gt;_x000a_僅嘉義縣、臺南市、高雄市區域"/>
        <s v="1/5,000基本地形圖96年&lt;br&gt;_x000a_僅臺中市區域"/>
        <s v="1/5,000基本地形圖98年&lt;br&gt;_x000a_僅彰化縣、臺中市、雲林縣區域"/>
        <s v="1/5,000基本地形圖99年&lt;br&gt;_x000a_僅嘉義縣、高雄市、臺南市、屏東縣、臺東縣、花蓮縣區域"/>
        <s v="1/5000像片基本圖100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101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102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103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104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105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 &gt;https://bmap-nlsc.moi.gov.tw&lt;/a&gt;&lt;/font&gt;）「基本地形圖資料庫」－「基本地形圖」瀏覽參閱。"/>
        <s v="1/5000像片基本圖106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
        <s v="1/5000像片基本圖107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108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
        <s v="1/5000像片基本圖109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110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111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112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
        <s v="1/5000像片基本圖113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
        <s v="1/5000像片基本圖114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
        <s v="1/5000像片基本圖65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66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67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68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69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70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71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72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73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74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75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76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
        <s v="1/5000像片基本圖78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
        <s v="1/5000像片基本圖79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
        <s v="1/5000像片基本圖80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
        <s v="1/5000像片基本圖81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
        <s v="1/5000像片基本圖83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84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86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87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88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89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90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91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92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93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94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95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96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97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98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像片基本圖99年&lt;br&gt;像片基本圖是利用五千分之一基本地形圖的向量資料檔及其正射影像，以正射影像為底圖，在上面套繪等高線、河流、道路等必要地物，再加註地名、土地使用狀況等資訊編纂而成，可供工程規劃或判斷地形起伏使用。有關五千分之一基本地形圖目前修測工作辦理情形，可至基本地形圖資料庫分組入口網站（&lt;font color=blue&gt;&lt;a href=https://bmap-nlsc.moi.gov.tw  target=&quot;_blank&quot; rel=&quot;noopener&quot;&gt;https://bmap-nlsc.moi.gov.tw&lt;/a&gt;&lt;/font&gt;）「基本地形圖資料庫」－「基本地形圖」瀏覽參閱。_x000a__x000a_"/>
        <s v="1/5000圖幅框、圖名及圖號。&lt;BR&gt;&lt;font color=#0080FA&gt;—使用顏色圖例—&lt;/font&gt;"/>
        <s v="69年至72年 1/10000像片基本圖"/>
        <s v="92~94年正射影像"/>
        <s v="二萬五千分之一經建版地形圖&lt;BR&gt;_x000a_112年2月"/>
        <s v="二萬五千分之一經建版地形圖107年"/>
        <s v="二萬五千分之一經建版地形圖108年"/>
        <s v="二萬五千分之一經建版地形圖109年"/>
        <s v="二萬五千分之一經建版地形圖110年"/>
        <s v="二萬五千分之一經建版地形圖111年"/>
        <s v="二萬五千分之一經建版地形圖112年"/>
        <s v="二萬五千分之一經建版地形圖113年"/>
        <s v="二萬五千分之一經建版地形圖114年"/>
        <s v="十萬分之一經建版地形圖&lt;BR&gt;_x000a_110年3月"/>
        <s v="十萬分之一經建版地形圖107年"/>
        <s v="十萬分之一經建版地形圖109年"/>
        <s v="十萬分之一經建版地形圖110年"/>
        <s v="十萬分之一經建版地形圖111年"/>
        <s v="十萬分之一經建版地形圖112年"/>
        <s v="十萬分之一經建版地形圖113年"/>
        <s v="十萬分之一經建版地形圖114年"/>
        <s v="土壤液化潛勢圖資中級，目前僅有&lt;a href=https://soil.taipei/Taipei2019 target=&quot;_blank&quot; rel=&quot;noopener&quot;&gt;&lt;font color=blue&gt;臺北市&lt;/font&gt;&lt;/a&gt;，&lt;a href=https://www.liquid.net.tw/taichung target=&quot;_blank&quot; rel=&quot;noopener&quot;&gt;&lt;font color=blue&gt;臺中市&lt;/font&gt;&lt;/a&gt;，&lt;a href=https://www.liquid.net.tw/tainan  target=&quot;_blank&quot; rel=&quot;noopener&quot;&gt;&lt;font color=blue&gt;臺南市&lt;/font&gt;&lt;/a&gt;，&lt;a href=https://soil.kcg.gov.tw  target=&quot;_blank&quot; rel=&quot;noopener&quot;&gt;&lt;font color=blue&gt;高雄市&lt;/font&gt;&lt;/a&gt;的開放資料及新北市政府110年7月14日新北工程字第1101303484號函授權(板橋等14行政區)，由本中心進行圖磚產製發布套疊，套疊結果僅供參考，若有疑義請至原始網站查詢。&lt;br&gt;_x000a_&lt;font color=#00ff00&gt; ■ &lt;/font&gt;低潛勢範圍&lt;br&gt;_x000a_&lt;font color=#ffff00&gt; ■ &lt;/font&gt;中潛勢範圍&lt;br&gt;_x000a_&lt;font color=#ff0000&gt; ■ &lt;/font&gt;高潛勢範圍&lt;br&gt;"/>
        <s v="五萬分之一經建版地形圖&lt;BR&gt;_x000a_110年3月"/>
        <s v="五萬分之一經建版地形圖107年"/>
        <s v="五萬分之一經建版地形圖109年"/>
        <s v="五萬分之一經建版地形圖110年"/>
        <s v="五萬分之一經建版地形圖111年"/>
        <s v="五萬分之一經建版地形圖112年"/>
        <s v="五萬分之一經建版地形圖113年"/>
        <s v="內政部地政司委託國家高速網路與計算中心(國網中心)應用內政部公布之全臺灣（本島除管制區外）20公尺網格間距的數值高程模型（DEM）資料(2010-2015)產製，由本中心代為發布&lt;br&gt;_x000a_如需其他服務 請使用 &lt;a href=http://land.colife.org.tw target=&quot;_blank&quot; rel=&quot;noopener&quot;&gt;&lt;font color=blue&gt;數值地形模型加值應用服務&lt;/font&gt;&lt;/a&gt;"/>
        <s v="內政部地政司委託國家高速網路與計算中心(國網中心)應用內政部公布之全臺灣（本島除管制區外）20公尺網格間距的數值高程模型（DEM）資料(2010-2015年份)產製，由本中心代為發布&lt;br&gt;_x000a_如需其他服務 請使用 &lt;a href=http://land.colife.org.tw target=&quot;_blank&quot; rel=&quot;noopener&quot;&gt;&lt;font color=blue&gt;數值地形模型加值應用服務&lt;/font&gt;&lt;/a&gt;_x000a_&lt;br&gt;&lt;br&gt;&lt;b&gt;&lt;font color=red&gt;紅色區塊&lt;/font&gt; &lt;/b&gt;為 坡度30%以上(亦即4~7級坡)區域。"/>
        <s v="內政部地政司委託國家高速網路與計算中心(國網中心)應用內政部公布之全臺灣（本島除管制區外）20公尺網格間距的數值高程模型（DEM）資料(2010-2015年份)產製，由本中心代為發布&lt;br&gt;_x000a_如需其他服務 請使用 &lt;a href=http://land.colife.org.tw target=&quot;_blank&quot; rel=&quot;noopener&quot;&gt;&lt;font color=blue&gt;數值地形模型加值應用服務&lt;/font&gt;&lt;/a&gt;&lt;BR&gt;_x000a_坡度顏色定義如圖&lt;img src=https://maps.nlsc.gov.tw/demo/坡度分級圖例說明.png&gt;"/>
        <s v="內政部地政司委託國家高速網路與計算中心(國網中心)應用內政部公布之全臺灣20公尺網格間距的數值高程模型（DEM）資料(2003-2005)產製，由本中心代為發布&lt;br&gt;_x000a_如需其他服務 請使用 &lt;a href=http://land.colife.org.tw target=&quot;_blank&quot; rel=&quot;noopener&quot;&gt;&lt;font color=blue&gt;數值地形模型加值應用服務&lt;/font&gt;&lt;/a&gt;"/>
        <s v="內政部地政司委託國家高速網路與計算中心(國網中心)應用內政部公布之全臺灣20公尺網格間距的數值高程模型（DEM）資料(2003-2005年份)產製，由本中心代為發布&lt;br&gt;_x000a_如需其他服務 請使用 &lt;a href=http://land.colife.org.tw target=&quot;_blank&quot; rel=&quot;noopener&quot;&gt;&lt;font color=blue&gt;數值地形模型加值應用服務&lt;/font&gt;&lt;/a&gt;_x000a_&lt;br&gt;&lt;br&gt;&lt;b&gt;&lt;font color=red&gt;紅色區塊&lt;/font&gt; &lt;/b&gt;為 坡度30%以上(亦即4~7級坡)區域。"/>
        <s v="內政部地政司委託國家高速網路與計算中心(國網中心)應用內政部公布之全臺灣20公尺網格間距的數值高程模型（DEM）資料(2003-2005年份)產製，由本中心代為發布&lt;br&gt;_x000a_如需其他服務 請使用 &lt;a href=http://land.colife.org.tw target=&quot;_blank&quot; rel=&quot;noopener&quot;&gt;&lt;font color=blue&gt;數值地形模型加值應用服務&lt;/font&gt;&lt;/a&gt;&lt;BR&gt;_x000a_坡度顏色定義如圖&lt;img src=https://maps.nlsc.gov.tw/demo/坡度分級圖例說明.png&gt;"/>
        <s v="內政部地政司委託國家高速網路與計算中心(國網中心)應用內政部公布之全臺灣20公尺網格間距的數值高程模型（DEM）資料產製，由本中心代為發布&lt;br&gt;_x000a_如需其他服務 請使用 &lt;a href=http://land.colife.org.tw target=&quot;_blank&quot; rel=&quot;noopener&quot;&gt;&lt;font color=blue&gt;數值地形模型加值應用服務&lt;/font&gt;&lt;/a&gt;&lt;BR&gt;_x000a_坡向方位顏色定義如圖&lt;img src=https://maps.nlsc.gov.tw/demo/坡向圖圖例.gif&gt;"/>
        <s v="內政部從105年9月已定期發佈「公有土地資料」開放資料(Open Data)，優先開放內政部之國有土地資料，後續將逐步清理開放其他公有土地資料。&lt;br&gt;_x000a_&lt;font color=&quot;red&quot;&gt;本圖資是依內政部114年8月28日公布公有土地開放資料產製，數量總計約343萬餘筆；資料內容包含土地標示部、土地所有權部、管理者等資訊。&lt;br&gt;&lt;/font&gt;相關資料請參考&lt;a href=&quot;https://data.gov.tw/dataset/98062&quot;  target=&quot;_blank&quot; rel=&quot;noopener&quot;&gt;&lt;font color=blue&gt;內政資料開放平台 公有土地位置資料&lt;/font&gt; &lt;/a&gt;；&lt;a href=&quot;https://data.gov.tw/dataset/34315&quot;  target=&quot;_blank&quot; rel=&quot;noopener&quot;&gt;&lt;font color=blue&gt;公有土地屬性資料&lt;/font&gt; &lt;/a&gt;。&lt;br&gt;_x000a_&lt;br&gt;&lt;font color=&quot;blue&quot;&gt;本圖資僅揭露土地管理機關「已同意公開」之公有土地，並未涵蓋所有公有土地。&lt;br&gt;（備註：土地管理機關可由「地籍存摺」系統設定是否公開土地資訊）&lt;/font&gt;&lt;br&gt;_x000a_&lt;br&gt;&lt;font color=&quot;blue&quot;&gt;（依&lt;a href=&quot;https://statis.moi.gov.tw/micst/webMain.aspx?sys=100&amp;funid=defjsp&quot; style=&quot;color:blue;&quot;&gt;內政部113年統計資料&lt;/a&gt;，全臺公有（含公私共有）土地總數約427萬餘筆。）&lt;/font&gt;"/>
        <s v="本中心依據地籍圖之原始儲存資料包括土地標示、土地所有權、土地界址、界址坐標資料等，依據內政部頒布非都市土地使用分區圖例之相關規定，自動產製此圖資，供套疊運用參考。_x000a_分區用色如下：&lt;BR&gt;_x000a_&lt;a href=&quot;https://maps.nlsc.gov.tw/demo/20140925.png&quot; target=&quot;_blank&quot; rel=&quot;noopener&quot;&gt;&lt;img src=https://maps.nlsc.gov.tw/demo/20140925.png alt=&quot;非都市分區顏色&quot;  width=&quot;95&quot; height=&quot;123&quot;&gt;&lt;/a&gt;"/>
        <s v="本中心依據地籍圖之原始儲存資料包括土地標示、土地所有權、土地界址、界址坐標資料等，依據內政部頒布非都市土地使用地類別圖例之相關規定，自動產製此圖資，供套疊運用參考。_x000a_圖例如下：&lt;BR&gt;_x000a_&lt;a href=&quot;https://maps.nlsc.gov.tw/demo/20140924.png&quot; target=&quot;_blank&quot; rel=&quot;noopener&quot;&gt;&lt;img src=https://maps.nlsc.gov.tw/demo/20140924.png alt=&quot;非土地使用地類別顏色&quot;  width=&quot;106&quot; height=&quot;225&quot;&gt;&lt;/a&gt;"/>
        <s v="本項圖資為「全國三維建物模型精進作業」之附屬成果，主要利用地籍圖資、搭配正射影像及門牌等資料，將臺灣通用電子地圖「區塊建物框」進行分棟處理，作為產製全臺三維建物模型之基礎圖資使用。_x000a_&lt;br&gt;&lt;br&gt;● &lt;font color=#ff7f00&gt;橘色虛線&lt;/font&gt; 為 &lt;font blod&gt;分棟建物範圍線&lt;/font&gt;_x000a_&lt;br&gt;&lt;br&gt;_x000a_本項成果之「分棟建物範圍線」僅係參考上述相關圖資繪製而得，並未經實地勘查或測量之作業程序，部分區域分棟建物範圍線與實地有差異，故&lt;font color=red&gt;本項成果僅供參考，不具任何證明效力&lt;/font&gt;。_x000a_&lt;br&gt;&lt;br&gt;_x000a_本項圖資包含：_x000a_&lt;br&gt;&lt;br&gt;(1) 111年版臺灣通用電子地圖加值分棟建物成果，資料範圍：&lt;font color=blue&gt;臺南市及高雄市（部分地區）&lt;/font&gt;。_x000a_&lt;br&gt;&lt;br&gt;(2) 112年版臺灣通用電子地圖加值分棟建物成果，資料範圍：&lt;font color=blue&gt;南投縣、彰化縣、雲林縣及嘉義縣&lt;/font&gt;。_x000a_&lt;br&gt;&lt;br&gt;(3) 113年版臺灣通用電子地圖加值分棟建物成果，資料範圍：&lt;font color=blue&gt;臺北市、新北市、宜蘭縣、桃園市、新竹縣、苗栗縣、屏東縣、花蓮縣及臺東縣&lt;/font&gt;。"/>
        <s v="我國各直轄市及縣（市）行政區域界線圖資。"/>
        <s v="我國各鄉（鎮、市、區）行政區域界線圖資。"/>
        <s v="村里界(108年10月)異動前&lt;BR&gt;_x000a_臺中市異動前"/>
        <s v="沒有"/>
        <s v="依據&lt;a href=&quot;https://data.gov.tw/dataset/44642&quot; target=&quot;_blank&quot; rel=&quot;noopener&quot; style=&quot;color:blue;&quot;&gt; 台灣自來水股份有限公司&lt;/a&gt;及&lt;a href=&quot;https://data.gov.tw/dataset/61587&quot; target=&quot;_blank&quot; rel=&quot;noopener&quot; style=&quot;color:blue;&quot;&gt; 臺北自來水事業處&lt;/a&gt; 於政府資料開放平臺的消防栓開放資料產製"/>
        <s v="依據&lt;a href=http://www.geologycloud.tw/map/liquefaction/zh-tw  target=&quot;_blank&quot; rel=&quot;noopener&quot;&gt;&lt;font color=blue&gt;地質雲 - 土壤液化潛勢 公開的 土壤液化潛勢範圍資料&lt;/font&gt;&lt;/a&gt;，其屬於比例尺1:25,000之「初級」精度調查研究成果，由本中心進行圖磚產製發布套疊，套疊結果僅供參考，若有疑義請至&lt;a href=http://www.geologycloud.tw/map/liquefaction/zh-tw  target=&quot;_blank&quot; rel=&quot;noopener&quot;&gt;&lt;font color=blue&gt;原始網站&lt;/font&gt;&lt;/a&gt;查詢。&lt;br&gt;（圖資版本：110年12月30日）&lt;br&gt;_x000a_&lt;font color=#00ff00&gt; ■ &lt;/font&gt;低潛勢範圍&lt;br&gt;_x000a_&lt;font color=#ffff00&gt; ■ &lt;/font&gt;中潛勢範圍&lt;br&gt;_x000a_&lt;font color=#ff0000&gt; ■ &lt;/font&gt;高潛勢範圍&lt;br&gt;"/>
        <s v="依據政府資料開放平臺 消防署提供之&lt;a href=&quot;http://data.gov.tw/node/12849&quot; target=&quot;_blank&quot; rel=&quot;noopener&quot;&gt;避難收容處所開設情形&lt;/a&gt;&lt;br&gt;_x000a_&lt;a href=&quot;https://data.gov.tw/dataset/73242&quot; target=&quot;_blank&quot; rel=&quot;noopener&quot;&gt;避難收容處所點位檔&lt;/a&gt;&lt;br&gt;_x000a_資料，並與臺灣通用電子地圖資料交叉比對找出坐標進行圖磚產製發布，位置標示僅為參考。&lt;br&gt;_x000a_因避難收容所平常並未有物資，因此本項圖資僅為展示用途。"/>
        <s v="依據政府資料開放平臺&lt;a href=&quot;https://data.gov.tw/dataset/12063&quot; target=&quot;_blank&quot; rel=&quot;noopener&quot;&gt;衛生福利部醫事司-公共場所AED位置資訊(109年9月)&lt;/a&gt;開放資料產製"/>
        <s v="依據經濟部地質調查及礦業管理中心公開的&lt;a href=https://www.gsmma.gov.tw/nss/p/H001d2 target=&quot;_blank&quot; rel=&quot;noopener&quot;&gt;&lt;font color=blue&gt;地質敏感區(Geologically sensitive area)資料(111年12月26日)&lt;/font&gt;&lt;/a&gt;，經本中心產製圖磚發布，此圖層有地質遺跡、活動斷層、地下水補注 3種地質敏感區(山崩與地滑地質敏感區於另一圖層供套疊)，僅供參考。&lt;br&gt;_x000a_如辦理土地使用變更或開發等相關程序，需提出地籍是否位於「地質敏感區」時，請至&lt;a href=https://gsa.gsmma.gov.tw/gwh/gsb97-1/sys_2014b_pg/index.cfm target=&quot;_blank&quot; rel=&quot;noopener&quot;&gt;&lt;font color=blue&gt;地質敏感區查詢系統&lt;/font&gt;&lt;/a&gt;辦理。&lt;br&gt;_x000a_&lt;font color=#00FF00&gt;—地質遺跡 顏色圖例—&lt;/font&gt;&lt;br&gt;_x000a_&lt;font color=#FF0000&gt;—活動斷層 顏色圖例—&lt;/font&gt;&lt;br&gt;_x000a_&lt;font color=#0000FF&gt;—地下水補注 顏色圖例—&lt;/font&gt;&lt;br&gt;_x000a_&lt;font color=#660033&gt;—山崩與地滑 顏色圖例—&lt;/font&gt;_x000a__x000a_"/>
        <s v="依據經濟部地質調查及礦業管理中心公開的&lt;a href=https://www.gsmma.gov.tw/nss/p/H001d2 target=&quot;_blank&quot; rel=&quot;noopener&quot;&gt;&lt;font color=blue&gt;地質敏感區(Geologically sensitive area)資料(111年12月26日)&lt;/font&gt;&lt;/a&gt;，經本中心產製圖磚發布，此圖層僅有山崩與地滑地質敏感區(地質遺跡、活動斷層、地下水補注 3種地質敏感區於另一圖層供套疊)，僅供參考。&lt;br&gt;_x000a_如辦理土地使用變更或開發等相關程序，需提出地籍是否位於「地質敏感區」時，請至&lt;a href=https://gsa.gsmma.gov.tw/gwh/gsb97-1/sys_2014b_pg/index.cfm target=&quot;_blank&quot; rel=&quot;noopener&quot;&gt;&lt;font color=blue&gt;地質敏感區查詢系統&lt;/font&gt;&lt;/a&gt;辦理。&lt;br&gt;_x000a_&lt;font color=#00FF00&gt;—地質遺跡 顏色圖例—&lt;/font&gt;&lt;br&gt;_x000a_&lt;font color=#FF0000&gt;—活動斷層 顏色圖例—&lt;/font&gt;&lt;br&gt;_x000a_&lt;font color=#0000FF&gt;—地下水補注 顏色圖例—&lt;/font&gt;&lt;br&gt;_x000a_&lt;font color=#660033&gt;—山崩與地滑 顏色圖例—&lt;/font&gt;_x000a__x000a_"/>
        <s v="依據臺灣通用電子地圖各級學校範圍資料建立塗色區塊&lt;BR&gt;_x000a_&lt;img src=https://maps.nlsc.gov.tw/demo/school.png&gt;"/>
        <s v="宜蘭縣五結鄉108年"/>
        <s v="宜蘭縣南澳鄉107年"/>
        <s v="空載光達數值地形變異分析圖，係前後兩期空載光達數值地形之高程差異分析結果，即將後期「內政部105至111年光達DEM成果」減去前期「地調所99至104年光達成果」，各年度辦理範圍如下圖（點圖可放大）。&lt;br&gt;_x000a_&lt;/a&gt;&lt;a href=&quot;https://maps.nlsc.gov.tw/demo/DEM各年度辦理範圍.jpg&quot; target=&quot;_blank&quot; rel=&quot;noopener&quot;&gt;&lt;img src=https://maps.nlsc.gov.tw/demo/DEM各年度辦理範圍.jpg alt=&quot;空載光達數值地形成果各年度辦理範圍&quot;  width=&quot;305&quot; height=&quot;221&quot;&gt;&lt;/a&gt;&lt;br&gt;&lt;br&gt;_x000a__x000a_本圖資將兩期地形差異小於0.5米之範圍排除後，利用分層設色圖結合陰影方式呈現，以不同顏色表示不同高度差異值。（圖例如下圖）&lt;br&gt;_x000a__x000a_&lt;/a&gt;&lt;a href=&quot;https://maps.nlsc.gov.tw/demo/地形變異圖例.png&quot; target=&quot;_blank&quot; rel=&quot;noopener&quot;&gt;&lt;img src=https://maps.nlsc.gov.tw/demo/地形變異圖例.png alt=&quot;空載光達數值地形變異分析圖圖例&quot;  width=&quot;200&quot; height=&quot;297&quot;&gt;&lt;/a&gt;&lt;br&gt;&lt;br&gt;_x000a__x000a_【使用注意事項】&lt;br&gt;&lt;br&gt;_x000a__x000a_&lt;font color=red&gt;本項地形變異分析圖，僅量化呈現前後兩期光達地形之高程差異，當原始資料受地貌(如植被、建物等)遮蔽，影響地形表現之細緻度時，其差異量可能非實際地形變異，地形變異差異僅供參考，實際差異位置應以實地測量成果為準。&lt;/font&gt;&lt;/a&gt;_x000a_"/>
        <s v="花蓮縣光復109年"/>
        <s v="花蓮縣卓溪①109年"/>
        <s v="花蓮縣卓溪②109年"/>
        <s v="花蓮縣卓溪鄉106年"/>
        <s v="花蓮縣花蓮市105年"/>
        <s v="花蓮縣壽豐鄉"/>
        <s v="花蓮縣壽豐鄉豐平大橋"/>
        <s v="係103年臺灣通用電子地圖更新（圖上紅色框的範圍）所產製正射影像，更新範圍影像航拍時間係以前1年（102年）為原則，部分更新區域（鄉區或山區）或未列入103年更新範圍區域影像航拍時間為前2年或前3年甚至更久遠，航拍時間請參考影像符水印標示的西元年。"/>
        <s v="係104年臺灣通用電子地圖更新（圖上紅色框的範圍）所產製正射影像，更新範圍影像航拍時間係以前1年（103年）為原則，部分更新區域（鄉區或山區）或未列入104年更新範圍區域影像航拍時間為前2年或前3年甚至更久遠，航拍時間請參考影像符水印標示的西元年。"/>
        <s v="係105年臺灣通用電子地圖更新（圖上紅色框的範圍）所產製正射影像，更新範圍影像航拍時間係以前1年（104年）為原則，部分更新區域（鄉區或山區）或未列入105年更新範圍區域影像航拍時間為前2年或前3年甚至更久遠，航拍時間請參考影像符水印標示的西元年。"/>
        <s v="係106年臺灣通用電子地圖（圖上紅色框的範圍）更新所產製正射影像，更新範圍影像航拍時間係以前1年（105年）為原則，部分更新區域（鄉區或山區）或未列入106年更新範圍區域影像航拍時間為前2年或前3年甚至更久遠，航拍時間請參考影像符水印標示的西元年。"/>
        <s v="係107年臺灣通用電子地圖更新（圖上紅色框的範圍）所產製正射影像，更新範圍影像航拍時間係以前1年（106年）為原則，部分更新區域（鄉區或山區）或未列入107年更新範圍區域影像航拍時間為前2年或前3年甚至更久遠，航拍時間請參考影像符水印標示的西元年。"/>
        <s v="係108年臺灣通用電子地圖（圖上紅色框的範圍）更新所產製正射影像，更新範圍影像航拍時間係以前1年（107年）為原則，部分更新區域（鄉區或山區）或未列入108年更新範圍區域影像航拍時間為前2年或前3年甚至更久遠，航拍時間請參考影像符水印標示的西元年。"/>
        <s v="係109年臺灣通用電子地圖（圖上紅色框的範圍）更新所產製正射影像，更新範圍影像航拍時間係以前1年（108年）為原則，部分更新區域（鄉區或山區）或未列入109年更新範圍區域影像航拍時間為前2年或前3年甚至更久遠，航拍時間請參考影像符水印標示的西元年。"/>
        <s v="係110年臺灣通用電子地圖（圖上紅色框的範圍）更新所產製正射影像，更新範圍影像航拍時間係以前1年（109年）為原則，部分更新區域（鄉區或山區）或未列入110年更新範圍區域影像航拍時間為前2年或前3年甚至更久遠，航拍時間請參考影像符水印標示的西元年。"/>
        <s v="係111年臺灣通用電子地圖（圖上紅色框的範圍）更新所產製正射影像，更新範圍影像航拍時間係以前1年（110年）為原則，部分更新區域（鄉區或山區）或未列入111年更新範圍區域影像航拍時間為前2年或前3年甚至更久遠，航拍時間請參考影像符水印標示的西元年。"/>
        <s v="係112年臺灣通用電子地圖（圖上紅色框的範圍）更新所產製正射影像，更新範圍影像航拍時間係以前1年（111年）為原則，部分更新區域（鄉區或山區）或未列入112年更新範圍區域影像航拍時間為前2年或前3年甚至更久遠，航拍時間請參考影像符水印標示的西元年。"/>
        <s v="係113年臺灣通用電子地圖（圖上紅色框的範圍）更新所產製正射影像，更新範圍影像航拍時間係以前1年（112年）為原則，部分更新區域（鄉區或山區）或未列入113年更新範圍區域影像航拍時間為前2年或前3年甚至更久遠，航拍時間請參考影像符水印標示的西元年。"/>
        <s v="係114年臺灣通用電子地圖（圖上紅色框的範圍）更新所產製正射影像，更新範圍影像航拍時間係以前1年（113年）為原則，部分更新區域（鄉區或山區）或未列入114年更新範圍區域影像航拍時間為前2年或前3年甚至更久遠，航拍時間請參考影像符水印標示的西元年。"/>
        <s v="南投縣仁愛鄉(清境農場)103年"/>
        <s v="南投縣竹山鎮105年"/>
        <s v="南投縣南投市(校正場)102年"/>
        <s v="南投縣南投市(航遙測校正場)"/>
        <s v="南投縣南投市(國3南投交流道)"/>
        <s v="南投縣草屯鎮(九九峰)106年"/>
        <s v="南投縣草屯鎮105年"/>
        <s v="南投縣國姓鄉(國6北山交流道)"/>
        <s v="屏東縣里港鄉"/>
        <s v="屏東縣里港鄉(國10里港交流道)104年"/>
        <s v="屏東縣東港109年"/>
        <s v="屏東縣屏東市109年"/>
        <s v="屏東縣屏東交流道107年"/>
        <s v="屏東縣海豐外環道107年"/>
        <s v="屏東縣高樹109年"/>
        <s v="屏東縣滿州鄉"/>
        <s v="屏東縣滿州鄉102年"/>
        <s v="屏東縣霧台鄉(台24谷川大橋)"/>
        <s v="苗栗縣西湖109年"/>
        <s v="苗栗縣卓蘭鎮"/>
        <s v="苗栗縣後龍鎮"/>
        <s v="苗栗縣苑裡鎮(火炎山)106年"/>
        <s v="苗栗縣苗栗市109年"/>
        <s v="苗栗縣泰安鄉雪見111年"/>
        <s v="苗栗縣泰安鄉觀霧111年"/>
        <s v="苗栗縣通霄鎮107年"/>
        <s v="苗栗縣造橋鄉(台13甲線)104年"/>
        <s v="苗栗縣獅潭鄉(汶水橋)"/>
        <s v="苗栗縣銅鑼鄉(銅鑼科學園區)"/>
        <s v="苗栗縣銅鑼鎮107年"/>
        <s v="桃園市(中路計畫區區段徵收)"/>
        <s v="桃園市平鎮區105年"/>
        <s v="桃園市平鎮區106年"/>
        <s v="桃園市新屋區105年"/>
        <s v="桃園市新屋區106年"/>
        <s v="桃園市龜山區"/>
        <s v="桃園市蘆竹區105年"/>
        <s v="桃園市觀音區105年"/>
        <s v="桃園市觀音區106年"/>
        <s v="馬太鞍溪事件災前航照影像。&lt;br&gt;_x000a_&lt;br&gt;_x000a_拍攝機關：林業及自然保育署航測及遙測分署。&lt;br&gt;_x000a_拍攝時間：2024~2025年。"/>
        <s v="馬太鞍溪事件災後航照影像。&lt;br&gt;_x000a_&lt;br&gt;_x000a_拍攝機關：林業及自然保育署航測及遙測分署。&lt;br&gt;_x000a_拍攝時間：2025年09月25日。"/>
        <s v="馬太鞍溪事件災後航照影像。&lt;br&gt;_x000a_&lt;br&gt;_x000a_拍攝機關：林業及自然保育署航測及遙測分署。&lt;br&gt;_x000a_拍攝時間：2025年09月27日。"/>
        <s v="馬太鞍溪事件災後航照影像。&lt;br&gt;_x000a_&lt;br&gt;_x000a_拍攝機關：林業及自然保育署航測及遙測分署。&lt;br&gt;_x000a_拍攝時間：2025年09月28日。"/>
        <s v="馬太鞍溪事件災後航照影像。&lt;br&gt;_x000a_&lt;br&gt;_x000a_拍攝機關：林業及自然保育署航測及遙測分署。&lt;br&gt;_x000a_拍攝時間：2025年09月29日。"/>
        <s v="馬太鞍溪事件災後航照影像。&lt;br&gt;_x000a_&lt;br&gt;_x000a_拍攝機關：林業及自然保育署航測及遙測分署。&lt;br&gt;_x000a_拍攝時間：2025年09月30日。"/>
        <s v="馬太鞍溪事件災後航照影像。&lt;br&gt;_x000a_&lt;br&gt;_x000a_拍攝機關：林業及自然保育署航測及遙測分署。&lt;br&gt;_x000a_拍攝時間：2025年10月01日。"/>
        <s v="馬太鞍溪事件災後航照影像。&lt;br&gt;_x000a_&lt;br&gt;_x000a_拍攝機關：林業及自然保育署航測及遙測分署。&lt;br&gt;_x000a_拍攝時間：2025年10月02日。"/>
        <s v="馬太鞍溪事件災後航照影像。&lt;br&gt;_x000a_&lt;br&gt;_x000a_拍攝機關：林業及自然保育署航測及遙測分署。&lt;br&gt;_x000a_拍攝時間：2025年10月03日。"/>
        <s v="馬太鞍溪事件災後航照影像。&lt;br&gt;_x000a_&lt;br&gt;_x000a_拍攝機關：林業及自然保育署航測及遙測分署。&lt;br&gt;_x000a_拍攝時間：2025年10月04日。"/>
        <s v="馬太鞍溪事件災後航照影像。&lt;br&gt;_x000a_&lt;br&gt;_x000a_拍攝機關：林業及自然保育署航測及遙測分署。&lt;br&gt;_x000a_拍攝時間：2025年10月05日。"/>
        <s v="馬太鞍溪事件災後航照影像。&lt;br&gt;_x000a_&lt;br&gt;_x000a_拍攝機關：林業及自然保育署航測及遙測分署。&lt;br&gt;_x000a_拍攝時間：2025年10月06日。"/>
        <s v="馬太鞍溪事件災後航照影像。&lt;br&gt;_x000a_&lt;br&gt;_x000a_拍攝機關：林業及自然保育署航測及遙測分署。&lt;br&gt;_x000a_拍攝時間：2025年10月07日。"/>
        <s v="馬太鞍溪事件災後航照影像。&lt;br&gt;_x000a_&lt;br&gt;_x000a_拍攝機關：林業及自然保育署航測及遙測分署。&lt;br&gt;_x000a_拍攝時間：2025年10月13日。"/>
        <s v="馬太鞍溪事件災後航照影像。&lt;br&gt;_x000a_&lt;br&gt;_x000a_拍攝機關：林業及自然保育署航測及遙測分署。&lt;br&gt;_x000a_拍攝時間：2025年11月16日。"/>
        <s v="高雄市大社110年"/>
        <s v="高雄市大寮區108年"/>
        <s v="高雄市仁武區(國1鼎金交流道)"/>
        <s v="高雄市永安111年"/>
        <s v="高雄市岡山109年"/>
        <s v="高雄市前鎮區(氣爆災點)"/>
        <s v="高雄市前鎮區(經貿園區65期)"/>
        <s v="國土利用現況調查-第1類-農業利用土地&lt;BR&gt;114年11月26日更新&lt;BR&gt;_x000a_顏色編碼定義請參考&lt;BR&gt;_x000a_&lt;a href=&quot;https://maps.nlsc.gov.tw/demo/109年版國土利用色碼表.png&quot; target=&quot;_blank&quot; rel=&quot;noopener&quot;&gt;&lt;font color=blue&gt;109年「土地利用分類系統表」色碼表&lt;/font&gt;&lt;/a&gt;&lt;a href=&quot;https://maps.nlsc.gov.tw/demo/109年版國土利用色碼表.png&quot; target=&quot;_blank&quot; rel=&quot;noopener&quot;&gt;&lt;img src=https://maps.nlsc.gov.tw/demo/109年版國土利用色碼表.png alt=&quot;109年色碼表&quot;  width=&quot;192&quot; height=&quot;192&quot;&gt;&lt;/a&gt;"/>
        <s v="國土利用現況調查-第2類-森林利用土地&lt;BR&gt;114年11月26日更新&lt;BR&gt;_x000a_顏色編碼定義請參考&lt;BR&gt;_x000a_&lt;a href=&quot;https://maps.nlsc.gov.tw/demo/109年版國土利用色碼表.png&quot; target=&quot;_blank&quot; rel=&quot;noopener&quot;&gt;&lt;font color=blue&gt;109年「土地利用分類系統表」色碼表&lt;/font&gt;&lt;/a&gt;&lt;a href=&quot;https://maps.nlsc.gov.tw/demo/109年版國土利用色碼表.png&quot; target=&quot;_blank&quot; rel=&quot;noopener&quot;&gt;&lt;img src=https://maps.nlsc.gov.tw/demo/109年版國土利用色碼表.png alt=&quot;109年色碼表&quot;  width=&quot;192&quot; height=&quot;192&quot;&gt;&lt;/a&gt;"/>
        <s v="國土利用現況調查-第3類-交通利用土地&lt;BR&gt;114年11月26日更新&lt;BR&gt;_x000a_顏色編碼定義請參考&lt;BR&gt;_x000a_&lt;a href=&quot;https://maps.nlsc.gov.tw/demo/109年版國土利用色碼表.png&quot; target=&quot;_blank&quot; rel=&quot;noopener&quot;&gt;&lt;font color=blue&gt;109年「土地利用分類系統表」色碼表&lt;/font&gt;&lt;/a&gt;&lt;a href=&quot;https://maps.nlsc.gov.tw/demo/109年版國土利用色碼表.png&quot; target=&quot;_blank&quot; rel=&quot;noopener&quot;&gt;&lt;img src=https://maps.nlsc.gov.tw/demo/109年版國土利用色碼表.png alt=&quot;109年色碼表&quot;  width=&quot;192&quot; height=&quot;192&quot;&gt;&lt;/a&gt;"/>
        <s v="國土利用現況調查-第4類-水利利用土地&lt;BR&gt;114年11月26日更新&lt;BR&gt;_x000a_顏色編碼定義請參考&lt;BR&gt;_x000a_&lt;a href=&quot;https://maps.nlsc.gov.tw/demo/109年版國土利用色碼表.png&quot; target=&quot;_blank&quot; rel=&quot;noopener&quot;&gt;&lt;font color=blue&gt;109年「土地利用分類系統表」色碼表&lt;/font&gt;&lt;/a&gt;&lt;a href=&quot;https://maps.nlsc.gov.tw/demo/109年版國土利用色碼表.png&quot; target=&quot;_blank&quot; rel=&quot;noopener&quot;&gt;&lt;img src=https://maps.nlsc.gov.tw/demo/109年版國土利用色碼表.png alt=&quot;109年色碼表&quot;  width=&quot;192&quot; height=&quot;192&quot;&gt;&lt;/a&gt;"/>
        <s v="國土利用現況調查-第5類-建築利用土地&lt;BR&gt;114年11月26日更新&lt;BR&gt;_x000a_顏色編碼定義請參考&lt;BR&gt;_x000a_&lt;a href=&quot;https://maps.nlsc.gov.tw/demo/109年版國土利用色碼表.png&quot; target=&quot;_blank&quot; rel=&quot;noopener&quot;&gt;&lt;font color=blue&gt;109年「土地利用分類系統表」色碼表&lt;/font&gt;&lt;/a&gt;&lt;a href=&quot;https://maps.nlsc.gov.tw/demo/109年版國土利用色碼表.png&quot; target=&quot;_blank&quot; rel=&quot;noopener&quot;&gt;&lt;img src=https://maps.nlsc.gov.tw/demo/109年版國土利用色碼表.png alt=&quot;109年色碼表&quot;  width=&quot;192&quot; height=&quot;192&quot;&gt;&lt;/a&gt;"/>
        <s v="國土利用現況調查-第6類-公共利用土地&lt;BR&gt;114年11月26日更新&lt;BR&gt;_x000a_顏色編碼定義請參考&lt;BR&gt;_x000a_&lt;a href=&quot;https://maps.nlsc.gov.tw/demo/109年版國土利用色碼表.png&quot; target=&quot;_blank&quot; rel=&quot;noopener&quot;&gt;&lt;font color=blue&gt;109年「土地利用分類系統表」色碼表&lt;/font&gt;&lt;/a&gt;&lt;a href=&quot;https://maps.nlsc.gov.tw/demo/109年版國土利用色碼表.png&quot; target=&quot;_blank&quot; rel=&quot;noopener&quot;&gt;&lt;img src=https://maps.nlsc.gov.tw/demo/109年版國土利用色碼表.png alt=&quot;109年色碼表&quot;  width=&quot;192&quot; height=&quot;192&quot;&gt;&lt;/a&gt;"/>
        <s v="國土利用現況調查-第7類-遊憩利用土地&lt;BR&gt;114年11月26日更新&lt;BR&gt;_x000a_顏色編碼定義請參考&lt;BR&gt;_x000a_&lt;a href=&quot;https://maps.nlsc.gov.tw/demo/109年版國土利用色碼表.png&quot; target=&quot;_blank&quot; rel=&quot;noopener&quot;&gt;&lt;font color=blue&gt;109年「土地利用分類系統表」色碼表&lt;/font&gt;&lt;/a&gt;&lt;a href=&quot;https://maps.nlsc.gov.tw/demo/109年版國土利用色碼表.png&quot; target=&quot;_blank&quot; rel=&quot;noopener&quot;&gt;&lt;img src=https://maps.nlsc.gov.tw/demo/109年版國土利用色碼表.png alt=&quot;109年色碼表&quot;  width=&quot;192&quot; height=&quot;192&quot;&gt;&lt;/a&gt;"/>
        <s v="國土利用現況調查-第8類-其他利用土地&lt;BR&gt;114年11月26日更新&lt;BR&gt;_x000a_顏色編碼定義請參考&lt;BR&gt;_x000a_&lt;a href=&quot;https://maps.nlsc.gov.tw/demo/109年版國土利用色碼表.png&quot; target=&quot;_blank&quot; rel=&quot;noopener&quot;&gt;&lt;font color=blue&gt;109年「土地利用分類系統表」色碼表&lt;/font&gt;&lt;/a&gt;&lt;a href=&quot;https://maps.nlsc.gov.tw/demo/109年版國土利用色碼表.png&quot; target=&quot;_blank&quot; rel=&quot;noopener&quot;&gt;&lt;img src=https://maps.nlsc.gov.tw/demo/109年版國土利用色碼表.png alt=&quot;109年色碼表&quot;  width=&quot;192&quot; height=&quot;192&quot;&gt;&lt;/a&gt;"/>
        <s v="國土利用現況調查-第8類-礦鹽利用土地&lt;BR&gt;114年11月26日更新&lt;BR&gt;_x000a_顏色編碼定義請參考&lt;BR&gt;_x000a_&lt;a href=&quot;https://maps.nlsc.gov.tw/demo/109年版國土利用色碼表.png&quot; target=&quot;_blank&quot; rel=&quot;noopener&quot;&gt;&lt;font color=blue&gt;109年「土地利用分類系統表」色碼表&lt;/font&gt;&lt;/a&gt;&lt;a href=&quot;https://maps.nlsc.gov.tw/demo/109年版國土利用色碼表.png&quot; target=&quot;_blank&quot; rel=&quot;noopener&quot;&gt;&lt;img src=https://maps.nlsc.gov.tw/demo/109年版國土利用色碼表.png alt=&quot;109年色碼表&quot;  width=&quot;192&quot; height=&quot;192&quot;&gt;&lt;/a&gt;"/>
        <s v="國土利用現況調查，是將土地利用現況作系統性的分類及統計，其作業方式係運用高解析航遙測影像，配合地籍圖、臺灣通用電子地圖等各式參考圖資及部分外業調查，全面及持續性進行調查土地利用現況變化情形，合理規劃土地利用。因應資源整合，自101年由內政部、行政院農業委員會林務局及水土保持局，劃分權責區域共同維護，內政部負責區域由本中心辦理，持續提供社經建設、國土規劃重要基礎資料。&lt;br&gt;&lt;br&gt;&lt;br&gt;國土利用現況調查分類系統採層級式樹狀結構，共分為3級。95至104年度，為依據內政部95年訂定「土地使用分類系統表」辦理至第3級分類作業，第1級分為9大類，第2級就第1級之劃分再細分41類、第3級則就第2級之架構再分為稻作等103類，均分別給予編碼並闡明第3級分類項目之說明。另為確保國土利用現況調查成果時效性及適用性，行政院將國土利用現況調查更新納入104年9月24日院臺建字第1040050285函核定之「落實智慧國土－國土測繪圖資更新及維運計畫（105－109年）」，自105年度之後提升更新頻率以2年為周期，並依據內政部104年修正並更名之「土地利用分類系統表」，辦理至第2級分類作業，第1級分為9大類，第2級就第1級之劃分再細分57類，由本中心持續辦理國土利用現況調查成果更新維護作業。有關作業詳細說明請參考&lt;a href= https://www.nlsc.gov.tw/cl.aspx?n=13705 target=&quot;_blank&quot; rel=&quot;noopener&quot;&gt;&lt;font color=blue&gt;國土利用現況調查成果資訊專區&lt;/font&gt;&lt;/a&gt;。&lt;br&gt;&lt;br&gt;&lt;br&gt;【顏色編碼定義如下】&lt;br&gt;&lt;a href=&quot;https://maps.nlsc.gov.tw/demo/109年版國土利用色碼表.png&quot; target=&quot;_blank&quot; rel=&quot;noopener&quot;&gt;&lt;font color=blue&gt;109年「土地利用分類系統表」色碼表→&lt;/font&gt;&lt;/a&gt;&lt;a href=&quot;https://maps.nlsc.gov.tw/demo/109年版國土利用色碼表.png&quot; target=&quot;_blank&quot; rel=&quot;noopener&quot;&gt;&lt;img src=https://maps.nlsc.gov.tw/demo/109年版國土利用色碼表.png alt=&quot;109年色碼表&quot;  width=&quot;192&quot; height=&quot;192&quot;&gt;&lt;/a&gt;&lt;BR&gt;&lt;BR&gt;&lt;a href=&quot;https://maps.nlsc.gov.tw/demo/105RGB色碼表.png&quot; target=&quot;_blank&quot; rel=&quot;noopener&quot;&gt;&lt;font color=blue&gt;105年「土地利用分類系統表」色碼表→&lt;/font&gt;&lt;/a&gt;&lt;a href=&quot;https://maps.nlsc.gov.tw/demo/105RGB色碼表.png&quot; target=&quot;_blank&quot; rel=&quot;noopener&quot;&gt;&lt;img src=https://maps.nlsc.gov.tw/demo/105RGB色碼表.png alt=&quot;105年色碼表&quot;  width=&quot;192&quot; height=&quot;192&quot;&gt;&lt;/a&gt;&lt;br&gt;&lt;br&gt;&lt;a href=&quot;https://maps.nlsc.gov.tw/demo/95RGB色碼表.jpg&quot; target=&quot;_blank&quot; rel=&quot;noopener&quot;&gt;&lt;font color=blue&gt;95-104年「土地使用分類系統表」色碼表→&lt;/font&gt;&lt;/a&gt;&lt;a href=&quot;https://maps.nlsc.gov.tw/demo/95RGB色碼表.jpg&quot; target=&quot;_blank&quot; rel=&quot;noopener&quot;&gt;&lt;img src=https://maps.nlsc.gov.tw/demo/95RGB色碼表.jpg alt=&quot;95年色碼表&quot;  width=&quot;192&quot; height=&quot;192&quot;&gt;&lt;/a&gt;&lt;br&gt;&lt;br&gt;　　本系統展示共通平台可提供選用套疊國土利用現況調查成果圖，並於點選查詢時查得該地的國土利用現況調查成果資料。&lt;BR&gt;&lt;BR&gt;114年11月26日更新"/>
        <s v="國土利用現況調查成果圖100年更新區域&lt;BR&gt;_x000a_顏色編碼定義請參考&lt;BR&gt;_x000a_&lt;a href=&quot;https://maps.nlsc.gov.tw/demo/95RGB色碼表.jpg&quot; target=&quot;_blank&quot; rel=&quot;noopener&quot;&gt;&lt;font color=blue&gt;95-104年「土地使用分類系統表」色碼表&lt;/font&gt;&lt;/a&gt;&lt;a href=&quot;https://maps.nlsc.gov.tw/demo/95RGB色碼表.jpg&quot; target=&quot;_blank&quot; rel=&quot;noopener&quot;&gt;&lt;img src=https://maps.nlsc.gov.tw/demo/95RGB色碼表.jpg alt=&quot;95年色碼表&quot;  width=&quot;192&quot; height=&quot;192&quot;&gt;&lt;/a&gt;"/>
        <s v="國土利用現況調查成果圖101年更新區域&lt;BR&gt;_x000a_顏色編碼定義請參考&lt;BR&gt;_x000a_&lt;a href=&quot;https://maps.nlsc.gov.tw/demo/95RGB色碼表.jpg&quot; target=&quot;_blank&quot; rel=&quot;noopener&quot;&gt;&lt;font color=blue&gt;95-104年「土地使用分類系統表」色碼表&lt;/font&gt;&lt;/a&gt;&lt;a href=&quot;https://maps.nlsc.gov.tw/demo/95RGB色碼表.jpg&quot; target=&quot;_blank&quot; rel=&quot;noopener&quot;&gt;&lt;img src=https://maps.nlsc.gov.tw/demo/95RGB色碼表.jpg alt=&quot;95年色碼表&quot;  width=&quot;192&quot; height=&quot;192&quot;&gt;&lt;/a&gt;"/>
        <s v="國土利用現況調查成果圖102年更新區域&lt;BR&gt;_x000a_顏色編碼定義請參考&lt;BR&gt;_x000a_&lt;a href=&quot;https://maps.nlsc.gov.tw/demo/95RGB色碼表.jpg&quot; target=&quot;_blank&quot; rel=&quot;noopener&quot;&gt;&lt;font color=blue&gt;95-104年「土地使用分類系統表」色碼表&lt;/font&gt;&lt;/a&gt;&lt;a href=&quot;https://maps.nlsc.gov.tw/demo/95RGB色碼表.jpg&quot; target=&quot;_blank&quot; rel=&quot;noopener&quot;&gt;&lt;img src=https://maps.nlsc.gov.tw/demo/95RGB色碼表.jpg alt=&quot;95年色碼表&quot;  width=&quot;192&quot; height=&quot;192&quot;&gt;&lt;/a&gt;"/>
        <s v="國土利用現況調查成果圖103年更新區域&lt;BR&gt;_x000a_顏色編碼定義請參考&lt;BR&gt;_x000a_&lt;a href=&quot;https://maps.nlsc.gov.tw/demo/95RGB色碼表.jpg&quot; target=&quot;_blank&quot; rel=&quot;noopener&quot;&gt;&lt;font color=blue&gt;95-104年「土地使用分類系統表」色碼表&lt;/font&gt;&lt;/a&gt;&lt;a href=&quot;https://maps.nlsc.gov.tw/demo/95RGB色碼表.jpg&quot; target=&quot;_blank&quot; rel=&quot;noopener&quot;&gt;&lt;img src=https://maps.nlsc.gov.tw/demo/95RGB色碼表.jpg alt=&quot;95年色碼表&quot;  width=&quot;192&quot; height=&quot;192&quot;&gt;&lt;/a&gt;"/>
        <s v="國土利用現況調查成果圖104年更新區域&lt;BR&gt;_x000a_顏色編碼定義請參考&lt;BR&gt;_x000a_&lt;a href=&quot;https://maps.nlsc.gov.tw/demo/95RGB色碼表.jpg&quot; target=&quot;_blank&quot; rel=&quot;noopener&quot;&gt;&lt;font color=blue&gt;95-104年「土地使用分類系統表」色碼表&lt;/font&gt;&lt;/a&gt;&lt;a href=&quot;https://maps.nlsc.gov.tw/demo/95RGB色碼表.jpg&quot; target=&quot;_blank&quot; rel=&quot;noopener&quot;&gt;&lt;img src=https://maps.nlsc.gov.tw/demo/95RGB色碼表.jpg alt=&quot;95年色碼表&quot;  width=&quot;192&quot; height=&quot;192&quot;&gt; &lt;/a&gt;"/>
        <s v="國土利用現況調查成果圖105年更新區域&lt;BR&gt;_x000a_顏色編碼定義請參考&lt;BR&gt;_x000a_&lt;a href=&quot;https://maps.nlsc.gov.tw/demo/105RGB色碼表.png&quot; target=&quot;_blank&quot; rel=&quot;noopener&quot;&gt;&lt;font color=blue&gt;105年「土地利用分類系統表」色碼表&lt;/font&gt;&lt;/a&gt;&lt;a href=&quot;https://maps.nlsc.gov.tw/demo/105RGB色碼表.png&quot; target=&quot;_blank&quot; rel=&quot;noopener&quot;&gt;&lt;img src=https://maps.nlsc.gov.tw/demo/105RGB色碼表.png alt=&quot;105年色碼表&quot;  width=&quot;192&quot; height=&quot;192&quot;&gt; &lt;/a&gt;"/>
        <s v="國土利用現況調查成果圖106年更新區域&lt;BR&gt;_x000a_顏色編碼定義請參考&lt;BR&gt;_x000a_&lt;a href=&quot;https://maps.nlsc.gov.tw/demo/105RGB色碼表.png&quot; target=&quot;_blank&quot; rel=&quot;noopener&quot;&gt;&lt;font color=blue&gt;105年「土地利用分類系統表」色碼表&lt;/font&gt;&lt;/a&gt;&lt;a href=&quot;https://maps.nlsc.gov.tw/demo/105RGB色碼表.png&quot; target=&quot;_blank&quot; rel=&quot;noopener&quot;&gt;&lt;img src=https://maps.nlsc.gov.tw/demo/105RGB色碼表.png alt=&quot;105年色碼表&quot;  width=&quot;192&quot; height=&quot;192&quot;&gt; &lt;/a&gt;"/>
        <s v="國土利用現況調查成果圖107年更新區域&lt;BR&gt;_x000a_顏色編碼定義請參考&lt;BR&gt;_x000a_&lt;a href=&quot;https://maps.nlsc.gov.tw/demo/105RGB色碼表.png&quot; target=&quot;_blank&quot; rel=&quot;noopener&quot;&gt;&lt;font color=blue&gt;105年「土地利用分類系統表」色碼表&lt;/font&gt;&lt;/a&gt;&lt;a href=&quot;https://maps.nlsc.gov.tw/demo/105RGB色碼表.png&quot; target=&quot;_blank&quot; rel=&quot;noopener&quot;&gt;&lt;img src=https://maps.nlsc.gov.tw/demo/105RGB色碼表.png alt=&quot;105年色碼表&quot;  width=&quot;192&quot; height=&quot;192&quot;&gt;&lt;/a&gt;"/>
        <s v="國土利用現況調查成果圖108年更新區域&lt;BR&gt;_x000a_顏色編碼定義請參考&lt;BR&gt;_x000a_&lt;a href=&quot;https://maps.nlsc.gov.tw/demo/105RGB色碼表.png&quot; target=&quot;_blank&quot; rel=&quot;noopener&quot;&gt;&lt;font color=blue&gt;105年「土地利用分類系統表」色碼表&lt;/font&gt;&lt;/a&gt;&lt;a href=&quot;https://maps.nlsc.gov.tw/demo/105RGB色碼表.png&quot; target=&quot;_blank&quot; rel=&quot;noopener&quot;&gt;&lt;img src=https://maps.nlsc.gov.tw/demo/105RGB色碼表.png alt=&quot;105年色碼表&quot;  width=&quot;192&quot; height=&quot;192&quot;&gt;&lt;/a&gt;"/>
        <s v="國土利用現況調查成果圖109年更新區域&lt;BR&gt;_x000a_顏色編碼定義請參考&lt;BR&gt;_x000a_&lt;a href=&quot;https://maps.nlsc.gov.tw/demo/109年版國土利用色碼表.png&quot; target=&quot;_blank&quot; rel=&quot;noopener&quot;&gt;&lt;font color=blue&gt;109年「土地利用分類系統表」色碼表&lt;/font&gt;&lt;/a&gt;&lt;a href=&quot;https://maps.nlsc.gov.tw/demo/109年版國土利用色碼表.png&quot; target=&quot;_blank&quot; rel=&quot;noopener&quot;&gt;&lt;img src=https://maps.nlsc.gov.tw/demo/109年版國土利用色碼表.png alt=&quot;109年色碼表&quot;  width=&quot;192&quot; height=&quot;192&quot;&gt;&lt;/a&gt;"/>
        <s v="國土利用現況調查成果圖110年更新區域&lt;BR&gt;_x000a_顏色編碼定義請參考&lt;BR&gt;_x000a_&lt;a href=&quot;https://maps.nlsc.gov.tw/demo/109年版國土利用色碼表.png&quot; target=&quot;_blank&quot; rel=&quot;noopener&quot;&gt;&lt;font color=blue&gt;109年「土地利用分類系統表」色碼表&lt;/font&gt;&lt;/a&gt;&lt;a href=&quot;https://maps.nlsc.gov.tw/demo/109年版國土利用色碼表.png&quot; target=&quot;_blank&quot; rel=&quot;noopener&quot;&gt;&lt;img src=https://maps.nlsc.gov.tw/demo/109年版國土利用色碼表.png alt=&quot;109年色碼表&quot;  width=&quot;192&quot; height=&quot;192&quot;&gt;&lt;/a&gt;"/>
        <s v="國土利用現況調查成果圖111年更新區域&lt;BR&gt;_x000a_顏色編碼定義請參考&lt;BR&gt;_x000a_&lt;a href=&quot;https://maps.nlsc.gov.tw/demo/109年版國土利用色碼表.png&quot; target=&quot;_blank&quot; rel=&quot;noopener&quot;&gt;&lt;font color=blue&gt;109年「土地利用分類系統表」色碼表&lt;/font&gt;&lt;/a&gt;&lt;a href=&quot;https://maps.nlsc.gov.tw/demo/109年版國土利用色碼表.png&quot; target=&quot;_blank&quot; rel=&quot;noopener&quot;&gt;&lt;img src=https://maps.nlsc.gov.tw/demo/109年版國土利用色碼表.png alt=&quot;109年色碼表&quot;  width=&quot;192&quot; height=&quot;192&quot;&gt;&lt;/a&gt;"/>
        <s v="國土利用現況調查成果圖112年更新區域&lt;BR&gt;_x000a_顏色編碼定義請參考&lt;BR&gt;_x000a_&lt;a href=&quot;https://maps.nlsc.gov.tw/demo/109年版國土利用色碼表.png&quot; target=&quot;_blank&quot; rel=&quot;noopener&quot;&gt;&lt;font color=blue&gt;109年「土地利用分類系統表」色碼表&lt;/font&gt;&lt;/a&gt;&lt;a href=&quot;https://maps.nlsc.gov.tw/demo/109年版國土利用色碼表.png&quot; target=&quot;_blank&quot; rel=&quot;noopener&quot;&gt;&lt;img src=https://maps.nlsc.gov.tw/demo/109年版國土利用色碼表.png alt=&quot;109年色碼表&quot;  width=&quot;192&quot; height=&quot;192&quot;&gt;&lt;/a&gt;"/>
        <s v="國土利用現況調查成果圖113年更新區域&lt;BR&gt;_x000a_顏色編碼定義請參考&lt;BR&gt;_x000a_&lt;a href=&quot;https://maps.nlsc.gov.tw/demo/109年版國土利用色碼表.png&quot; target=&quot;_blank&quot; rel=&quot;noopener&quot;&gt;&lt;font color=blue&gt;109年「土地利用分類系統表」色碼表&lt;/font&gt;&lt;/a&gt;&lt;a href=&quot;https://maps.nlsc.gov.tw/demo/109年版國土利用色碼表.png&quot; target=&quot;_blank&quot; rel=&quot;noopener&quot;&gt;&lt;img src=https://maps.nlsc.gov.tw/demo/109年版國土利用色碼表.png alt=&quot;109年色碼表&quot;  width=&quot;192&quot; height=&quot;192&quot;&gt;&lt;/a&gt;"/>
        <s v="國土利用現況調查成果圖114年更新區域&lt;BR&gt;_x000a_顏色編碼定義請參考&lt;BR&gt;_x000a_&lt;a href=&quot;https://maps.nlsc.gov.tw/demo/109年版國土利用色碼表.png&quot; target=&quot;_blank&quot; rel=&quot;noopener&quot;&gt;&lt;font color=blue&gt;109年「土地利用分類系統表」色碼表&lt;/font&gt;&lt;/a&gt;&lt;a href=&quot;https://maps.nlsc.gov.tw/demo/109年版國土利用色碼表.png&quot; target=&quot;_blank&quot; rel=&quot;noopener&quot;&gt;&lt;img src=https://maps.nlsc.gov.tw/demo/109年版國土利用色碼表.png alt=&quot;109年色碼表&quot;  width=&quot;192&quot; height=&quot;192&quot;&gt;&lt;/a&gt;"/>
        <s v="國土利用現況調查成果圖82年&lt;BR&gt;_x000a_顏色編碼定義請參考&lt;BR&gt;_x000a_&lt;a href=&quot;https://maps.nlsc.gov.tw/demo/95RGB色碼表.jpg&quot; target=&quot;_blank&quot; rel=&quot;noopener&quot;&gt;&lt;font color=blue&gt;95-104年「土地使用分類系統表」色碼表&lt;/font&gt;&lt;/a&gt;&lt;a href=&quot;https://maps.nlsc.gov.tw/demo/95RGB色碼表.jpg&quot; target=&quot;_blank&quot; rel=&quot;noopener&quot;&gt;&lt;img src=https://maps.nlsc.gov.tw/demo/95RGB色碼表.jpg alt=&quot;95年色碼表&quot;  width=&quot;192&quot; height=&quot;192&quot;&gt;&lt;/a&gt;"/>
        <s v="國土利用現況調查成果圖95-97年&lt;BR&gt;_x000a_顏色編碼定義請參考&lt;BR&gt;_x000a_&lt;&lt;a href=&quot;https://maps.nlsc.gov.tw/demo/95RGB色碼表.jpg&quot; target=&quot;_blank&quot; rel=&quot;noopener&quot;&gt;&lt;font color=blue&gt;95-104年「土地使用分類系統表」色碼表&lt;/font&gt;&lt;/a&gt;&lt;a href=&quot;https://maps.nlsc.gov.tw/demo/95RGB色碼表.jpg&quot; target=&quot;_blank&quot; rel=&quot;noopener&quot;&gt;&lt;img src=https://maps.nlsc.gov.tw/demo/95RGB色碼表.jpg alt=&quot;95年色碼表&quot;  width=&quot;192&quot; height=&quot;192&quot;&gt;&lt;/a&gt;"/>
        <s v="國土利用現況調查成果圖98年更新區域&lt;BR&gt;_x000a_顏色編碼定義請參考&lt;BR&gt;_x000a_&lt;a href=&quot;https://maps.nlsc.gov.tw/demo/95RGB色碼表.jpg&quot; target=&quot;_blank&quot; rel=&quot;noopener&quot;&gt;&lt;font color=blue&gt;95-104年「土地使用分類系統表」色碼表&lt;/font&gt;&lt;/a&gt;&lt;a href=&quot;https://maps.nlsc.gov.tw/demo/95RGB色碼表.jpg&quot; target=&quot;_blank&quot; rel=&quot;noopener&quot;&gt;&lt;img src=https://maps.nlsc.gov.tw/demo/95RGB色碼表.jpg alt=&quot;95年色碼表&quot;  width=&quot;192&quot; height=&quot;192&quot;&gt;&lt;/a&gt;"/>
        <s v="國土利用現況調查成果圖99年更新區域&lt;BR&gt;_x000a_顏色編碼定義請參考&lt;BR&gt;_x000a_&lt;a href=&quot;https://maps.nlsc.gov.tw/demo/95RGB色碼表.jpg&quot; target=&quot;_blank&quot; rel=&quot;noopener&quot;&gt;&lt;font color=blue&gt;95-104年「土地使用分類系統表」色碼表&lt;/font&gt;&lt;/a&gt;&lt;a href=&quot;https://maps.nlsc.gov.tw/demo/95RGB色碼表.jpg&quot; target=&quot;_blank&quot; rel=&quot;noopener&quot;&gt;&lt;img src=https://maps.nlsc.gov.tw/demo/95RGB色碼表.jpg alt=&quot;95年色碼表&quot;  width=&quot;192&quot; height=&quot;192&quot;&gt;&lt;/a&gt;"/>
        <s v="通用版電子地圖(英文，透明，額外圖層)"/>
        <s v="雲林縣口湖111年"/>
        <s v="雲林縣斗六市(湖山水庫)106年"/>
        <s v="雲林縣古坑109年"/>
        <s v="雲林縣古坑鄉(崁頭厝)105年"/>
        <s v="雲林縣古坑鄉(國3古坑交流道)105年"/>
        <s v="雲林縣古坑鄉(樟湖)105年"/>
        <s v="雲林縣虎尾鎮(雲林高鐵站)"/>
        <s v="雲林縣麥寮鄉(台61線)103年"/>
        <s v="雲林縣臺西111年"/>
        <s v="新北市金山區107年"/>
        <s v="新北市烏來區106年"/>
        <s v="新北市樹林區(國3樹林交流道)"/>
        <s v="新竹市107年"/>
        <s v="新竹市北區(台68線)"/>
        <s v="新竹市香山區105年"/>
        <s v="新竹縣尖石鄉107年"/>
        <s v="新竹縣竹北市111年第1區"/>
        <s v="新竹縣竹北市111年第2區"/>
        <s v="新竹縣竹北市111年第3區"/>
        <s v="新竹縣新豐鄉107年"/>
        <s v="嘉義市西區(湖子內區段徵收)"/>
        <s v="嘉義市東區(彌陀路拓寬工程)"/>
        <s v="嘉義縣大林鎮(大埔美重劃區)"/>
        <s v="嘉義縣布袋鎮108年"/>
        <s v="嘉義縣民雄111年"/>
        <s v="嘉義縣朴子110年"/>
        <s v="嘉義縣東石鄉_x000a_"/>
        <s v="嘉義縣阿里山鄉"/>
        <s v="嘉義縣鹿草110年"/>
        <s v="嘉義縣番路鄉"/>
        <s v="嘉義縣義竹109年"/>
        <s v="圖資提供單位：內政部國土測繪中心。&lt;br&gt;_x000a_圖資測製時間：112~113年。"/>
        <s v="圖資提供單位：內政部國土測繪中心。&lt;br&gt;_x000a_圖資測製時間：112~113年。_x000a_"/>
        <s v="圖資提供單位：內政部國土測繪中心。&lt;br&gt;_x000a_圖資測製時間：113~114年。"/>
        <s v="圖資提供單位：內政部國土測繪中心。&lt;br&gt;_x000a_圖資測製時間：113~114年。_x000a_"/>
        <s v="圖資提供單位：內政部國土測繪中心。&lt;br&gt;_x000a_影像拍攝時間：112年。"/>
        <s v="圖資提供單位：內政部國土測繪中心。&lt;br&gt;_x000a_影像拍攝時間：112年。_x000a_"/>
        <s v="圖資提供單位：內政部國土測繪中心。&lt;br&gt;_x000a_影像拍攝時間：113年"/>
        <s v="圖資提供單位：內政部國土測繪中心。&lt;br&gt;_x000a_影像拍攝時間：113年。"/>
        <s v="圖資提供單位：內政部國土測繪中心。&lt;br&gt;_x000a_影像拍攝時間：113年。_x000a_"/>
        <s v="圖資提供單位：宜蘭縣政府。&lt;br&gt;_x000a_圖資測製時間：100年。"/>
        <s v="圖資提供單位：宜蘭縣政府。&lt;br&gt;_x000a_圖資測製時間：97年。"/>
        <s v="圖資提供單位：宜蘭縣政府。&lt;br&gt;_x000a_圖資測製時間：98年。"/>
        <s v="圖資提供單位：花蓮縣政府。&lt;br&gt;_x000a_圖資測製時間：104年。"/>
        <s v="圖資提供單位：花蓮縣政府。&lt;br&gt;_x000a_圖資測製時間：105年。"/>
        <s v="圖資提供單位：花蓮縣政府。&lt;br&gt;_x000a_圖資測製時間：106年。"/>
        <s v="圖資提供單位：花蓮縣政府。&lt;br&gt;_x000a_圖資測製時間：107年。"/>
        <s v="圖資提供單位：花蓮縣政府。&lt;br&gt;_x000a_圖資測製時間：109年。"/>
        <s v="圖資提供單位：花蓮縣政府。&lt;br&gt;_x000a_圖資測製時間：111年。"/>
        <s v="圖資提供單位：金門縣政府。&lt;br&gt;_x000a_圖資測製時間：106年。"/>
        <s v="圖資提供單位：金門縣政府。&lt;br&gt;_x000a_圖資測製時間：112年。"/>
        <s v="圖資提供單位：南投縣政府。&lt;br&gt;_x000a_圖資測製時間：102年。"/>
        <s v="圖資提供單位：南投縣政府。&lt;br&gt;_x000a_圖資測製時間：103年。"/>
        <s v="圖資提供單位：南投縣政府。&lt;br&gt;_x000a_圖資測製時間：106年。"/>
        <s v="圖資提供單位：南投縣政府。&lt;br&gt;_x000a_圖資測製時間：93年。&lt;br&gt;_x000a_〈部分圖資係於98年修測〉"/>
        <s v="圖資提供單位：南投縣政府。&lt;br&gt;_x000a_圖資測製時間：94年。&lt;br&gt;_x000a_〈部分圖資係於98年修測〉"/>
        <s v="圖資提供單位：南投縣政府。&lt;br&gt;_x000a_圖資測製時間：95年。&lt;br&gt;_x000a_〈部分圖資係於98年修測〉"/>
        <s v="圖資提供單位：屏東縣政府。&lt;br&gt;_x000a_圖資測製時間：100年。"/>
        <s v="圖資提供單位：屏東縣政府。&lt;br&gt;_x000a_圖資測製時間：101年。"/>
        <s v="圖資提供單位：屏東縣政府。&lt;br&gt;_x000a_圖資測製時間：102年。"/>
        <s v="圖資提供單位：屏東縣政府。&lt;br&gt;_x000a_圖資測製時間：104年。"/>
        <s v="圖資提供單位：屏東縣政府。&lt;br&gt;_x000a_圖資測製時間：93-94年。"/>
        <s v="圖資提供單位：屏東縣政府。&lt;br&gt;_x000a_圖資測製時間：98年。"/>
        <s v="圖資提供單位：屏東縣政府。&lt;br&gt;_x000a_圖資測製時間：99年。"/>
        <s v="圖資提供單位：苗栗縣政府。&lt;br&gt;_x000a_圖資測製時間：89年。"/>
        <s v="圖資提供單位：苗栗縣政府。&lt;br&gt;_x000a_圖資測製時間：92年。"/>
        <s v="圖資提供單位：苗栗縣政府。&lt;br&gt;_x000a_圖資測製時間：93年。"/>
        <s v="圖資提供單位：苗栗縣政府。&lt;br&gt;_x000a_圖資測製時間：94年。"/>
        <s v="圖資提供單位：苗栗縣政府。&lt;br&gt;_x000a_圖資測製時間：95年。"/>
        <s v="圖資提供單位：苗栗縣政府。&lt;br&gt;_x000a_圖資測製時間：96年。"/>
        <s v="圖資提供單位：苗栗縣政府。&lt;br&gt;_x000a_圖資測製時間：97年。"/>
        <s v="圖資提供單位：苗栗縣政府。&lt;br&gt;_x000a_圖資測製時間：98年。"/>
        <s v="圖資提供單位：桃園市政府。&lt;br&gt;_x000a_圖資測製時間：100年。"/>
        <s v="圖資提供單位：桃園市政府。&lt;br&gt;_x000a_圖資測製時間：100年。&lt;br&gt;_x000a_包含中壢過嶺地區、楊梅高榮地區、新屋頭洲地區、觀音富源地區都市計畫"/>
        <s v="圖資提供單位：桃園市政府。&lt;br&gt;_x000a_圖資測製時間：100年。&lt;br&gt;_x000a_高速公路中壢及內壢交流道附近特定區"/>
        <s v="圖資提供單位：桃園市政府。&lt;br&gt;_x000a_圖資測製時間：100年。&lt;br&gt;_x000a_縱貫公路桃園內壢間都市計畫"/>
        <s v="圖資提供單位：桃園市政府。&lt;br&gt;_x000a_圖資測製時間：101年。"/>
        <s v="圖資提供單位：桃園市政府。&lt;br&gt;_x000a_圖資測製時間：102年。"/>
        <s v="圖資提供單位：桃園市政府。&lt;br&gt;_x000a_圖資測製時間：103~105年。"/>
        <s v="圖資提供單位：桃園市政府。&lt;br&gt;_x000a_圖資測製時間：105年。"/>
        <s v="圖資提供單位：桃園市政府。&lt;br&gt;_x000a_圖資測製時間：107年。"/>
        <s v="圖資提供單位：桃園市政府。&lt;br&gt;_x000a_圖資測製時間：108年。"/>
        <s v="圖資提供單位：桃園市政府。&lt;br&gt;_x000a_圖資測製時間：110年。"/>
        <s v="圖資提供單位：桃園市政府。&lt;br&gt;_x000a_圖資測製時間：111年。"/>
        <s v="圖資提供單位：桃園市政府。&lt;br&gt;_x000a_圖資測製時間：92年。"/>
        <s v="圖資提供單位：桃園市政府。&lt;br&gt;_x000a_圖資測製時間：93年。"/>
        <s v="圖資提供單位：桃園市政府。&lt;br&gt;_x000a_圖資測製時間：94年。"/>
        <s v="圖資提供單位：桃園市政府。&lt;br&gt;_x000a_圖資測製時間：95年。"/>
        <s v="圖資提供單位：桃園市政府。&lt;br&gt;_x000a_圖資測製時間：97年。"/>
        <s v="圖資提供單位：桃園市政府。&lt;br&gt;_x000a_圖資測製時間：98年。"/>
        <s v="圖資提供單位：桃園市政府。&lt;br&gt;_x000a_圖資測製時間：98年。&lt;br&gt;_x000a_含航空城貨運園區暨客運園區、大園南港地區特定區。"/>
        <s v="圖資提供單位：桃園市政府。&lt;br&gt;_x000a_影像拍攝時間：111年。"/>
        <s v="圖資提供單位：高雄市政府。&lt;br&gt;_x000a_圖資測製時間：100年。"/>
        <s v="圖資提供單位：高雄市政府。&lt;br&gt;_x000a_圖資測製時間：101年。"/>
        <s v="圖資提供單位：高雄市政府。&lt;br&gt;_x000a_圖資測製時間：102年。"/>
        <s v="圖資提供單位：高雄市政府。&lt;br&gt;_x000a_圖資測製時間：104年。"/>
        <s v="圖資提供單位：高雄市政府。&lt;br&gt;_x000a_圖資測製時間：105年。"/>
        <s v="圖資提供單位：高雄市政府。&lt;br&gt;_x000a_圖資測製時間：106年。"/>
        <s v="圖資提供單位：高雄市政府。&lt;br&gt;_x000a_圖資測製時間：107年。"/>
        <s v="圖資提供單位：高雄市政府。&lt;br&gt;_x000a_圖資測製時間：108年。"/>
        <s v="圖資提供單位：高雄市政府。&lt;br&gt;_x000a_圖資測製時間：109年。"/>
        <s v="圖資提供單位：高雄市政府。&lt;br&gt;_x000a_圖資測製時間：113年。"/>
        <s v="圖資提供單位：高雄市政府。&lt;br&gt;_x000a_圖資測製時間：92年。"/>
        <s v="圖資提供單位：高雄市政府。&lt;br&gt;_x000a_圖資測製時間：93年。"/>
        <s v="圖資提供單位：高雄市政府。&lt;br&gt;_x000a_圖資測製時間：94年。"/>
        <s v="圖資提供單位：高雄市政府。&lt;br&gt;_x000a_圖資測製時間：97年。"/>
        <s v="圖資提供單位：高雄市政府。&lt;br&gt;_x000a_圖資測製時間：98年。"/>
        <s v="圖資提供單位：高雄市政府。&lt;br&gt;_x000a_圖資測製時間：99年。"/>
        <s v="圖資提供單位：基隆市政府。&lt;br&gt;_x000a_圖資測製時間：111年。"/>
        <s v="圖資提供單位：基隆市政府。&lt;br&gt;_x000a_圖資測製時間：96年。"/>
        <s v="圖資提供單位：連江縣政府。&lt;br&gt;_x000a_圖資測製時間：102年。"/>
        <s v="圖資提供單位：雲林縣政府。&lt;br&gt;_x000a_圖資測製時間：100年。"/>
        <s v="圖資提供單位：雲林縣政府。&lt;br&gt;_x000a_圖資測製時間：97年。"/>
        <s v="圖資提供單位：雲林縣政府。&lt;br&gt;_x000a_圖資測製時間：98年。"/>
        <s v="圖資提供單位：雲林縣政府。&lt;br&gt;_x000a_圖資測製時間：99年。"/>
        <s v="圖資提供單位：新北市政府。&lt;br&gt;_x000a_圖資測製時間：100年修測。"/>
        <s v="圖資提供單位：新北市政府。&lt;br&gt;_x000a_圖資測製時間：101年修測。"/>
        <s v="圖資提供單位：新北市政府。&lt;br&gt;_x000a_圖資測製時間：102年修測。"/>
        <s v="圖資提供單位：新北市政府。&lt;br&gt;_x000a_圖資測製時間：103年修測。"/>
        <s v="圖資提供單位：新北市政府。&lt;br&gt;_x000a_圖資測製時間：104年修測。"/>
        <s v="圖資提供單位：新北市政府。&lt;br&gt;_x000a_圖資測製時間：105年修測。"/>
        <s v="圖資提供單位：新北市政府。&lt;br&gt;_x000a_圖資測製時間：107年修測。"/>
        <s v="圖資提供單位：新北市政府。&lt;br&gt;_x000a_圖資測製時間：108年修測。"/>
        <s v="圖資提供單位：新北市政府。&lt;br&gt;_x000a_圖資測製時間：109年修測。"/>
        <s v="圖資提供單位：新北市政府。&lt;br&gt;_x000a_圖資測製時間：110年修測。"/>
        <s v="圖資提供單位：新北市政府。&lt;br&gt;_x000a_圖資測製時間：111年修測。"/>
        <s v="圖資提供單位：新北市政府。&lt;br&gt;_x000a_圖資測製時間：112年修測。"/>
        <s v="圖資提供單位：新竹市政府。&lt;br&gt;_x000a_圖資測製時間：104~106年。"/>
        <s v="圖資提供單位：新竹市政府。&lt;br&gt;_x000a_圖資測製時間：108年。"/>
        <s v="圖資提供單位：新竹市政府。&lt;br&gt;_x000a_圖資測製時間：109年。"/>
        <s v="圖資提供單位：新竹市政府。&lt;br&gt;_x000a_圖資測製時間：110年。"/>
        <s v="圖資提供單位：新竹市政府。&lt;br&gt;_x000a_圖資測製時間：111年。"/>
        <s v="圖資提供單位：新竹市政府。&lt;br&gt;_x000a_圖資測製時間：112年。"/>
        <s v="圖資提供單位：新竹市政府。&lt;br&gt;_x000a_圖資測製時間：113年。"/>
        <s v="圖資提供單位：新竹縣政府。&lt;br&gt;_x000a_圖資測製時間：93~94年。"/>
        <s v="圖資提供單位：新竹縣政府。&lt;br&gt;_x000a_圖資測製時間：93年。"/>
        <s v="圖資提供單位：新竹縣政府。&lt;br&gt;_x000a_圖資測製時間：94年。"/>
        <s v="圖資提供單位：新竹縣政府。&lt;br&gt;_x000a_圖資測製時間：97年。"/>
        <s v="圖資提供單位：嘉義縣政府。&lt;br&gt;_x000a_圖資測製時間：101年。"/>
        <s v="圖資提供單位：嘉義縣政府。&lt;br&gt;_x000a_圖資測製時間：110年。"/>
        <s v="圖資提供單位：嘉義縣政府。&lt;br&gt;_x000a_圖資測製時間：94年。"/>
        <s v="圖資提供單位：嘉義縣政府。&lt;br&gt;_x000a_圖資測製時間：97年。"/>
        <s v="圖資提供單位：嘉義縣政府。&lt;br&gt;_x000a_圖資測製時間：98年。"/>
        <s v="圖資提供單位：嘉義縣政府。&lt;br&gt;_x000a_圖資測製時間：99年。"/>
        <s v="圖資提供單位：彰化縣政府。&lt;br&gt;_x000a_圖資測製時間：100年。"/>
        <s v="圖資提供單位：彰化縣政府。&lt;br&gt;_x000a_圖資測製時間：102年。"/>
        <s v="圖資提供單位：彰化縣政府。&lt;br&gt;_x000a_圖資測製時間：97年。"/>
        <s v="圖資提供單位：彰化縣政府。&lt;br&gt;_x000a_圖資測製時間：98年。"/>
        <s v="圖資提供單位：彰化縣政府。&lt;br&gt;_x000a_圖資測製時間：99年。"/>
        <s v="圖資提供單位：臺中市政府。&lt;br&gt;_x000a_圖資測製時間：100年。"/>
        <s v="圖資提供單位：臺中市政府。&lt;br&gt;_x000a_圖資測製時間：107年修測。"/>
        <s v="圖資提供單位：臺中市政府。&lt;br&gt;_x000a_圖資測製時間：90年。"/>
        <s v="圖資提供單位：臺中市政府。&lt;br&gt;_x000a_圖資測製時間：91年。"/>
        <s v="圖資提供單位：臺中市政府。&lt;br&gt;_x000a_圖資測製時間：92年。"/>
        <s v="圖資提供單位：臺中市政府。&lt;br&gt;_x000a_圖資測製時間：93年。"/>
        <s v="圖資提供單位：臺中市政府。&lt;br&gt;_x000a_圖資測製時間：94年。"/>
        <s v="圖資提供單位：臺中市政府。&lt;br&gt;_x000a_圖資測製時間：95年。"/>
        <s v="圖資提供單位：臺中市政府。&lt;br&gt;_x000a_圖資測製時間：96年。"/>
        <s v="圖資提供單位：臺中市政府。&lt;br&gt;_x000a_圖資測製時間：97年。"/>
        <s v="圖資提供單位：臺中市政府。&lt;br&gt;_x000a_圖資測製時間：98年。"/>
        <s v="圖資提供單位：臺東縣政府。&lt;br&gt;_x000a_圖資測製時間：100年。"/>
        <s v="圖資提供單位：臺東縣政府。&lt;br&gt;_x000a_圖資測製時間：101年。"/>
        <s v="圖資提供單位：臺東縣政府。&lt;br&gt;_x000a_圖資測製時間：109年。"/>
        <s v="圖資提供單位：臺東縣政府。&lt;br&gt;_x000a_圖資測製時間：111年。"/>
        <s v="圖資提供單位：臺東縣政府。&lt;br&gt;_x000a_圖資測製時間：94年。"/>
        <s v="圖資提供單位：臺東縣政府。&lt;br&gt;_x000a_圖資測製時間：98年。"/>
        <s v="圖資提供單位：臺東縣政府。&lt;br&gt;_x000a_圖資測製時間：99年。"/>
        <s v="圖資提供單位：臺南市政府。&lt;br&gt;_x000a_圖資測製時間：100年。&lt;br&gt;_x000a_包含下營、官田、佳里、西港、安定、善化、新市、安南區東側都市計畫及高速公路麻豆交流道特定區。"/>
        <s v="圖資提供單位：臺南市政府。&lt;br&gt;_x000a_圖資測製時間：101年。&lt;br&gt;_x000a_包含後壁、六甲、學甲、將軍、白河、楠西、玉井、大內、山上、安南區西側都市計畫。"/>
        <s v="圖資提供單位：臺南市政府。&lt;br&gt;_x000a_圖資測製時間：102年。&lt;br&gt;_x000a_柳營都市計畫及南鯤鯓、關子嶺、南科特定區"/>
        <s v="圖資提供單位：臺南市政府。&lt;br&gt;_x000a_圖資測製時間：93年。&lt;br&gt;_x000a_新營都市計畫暨高速公路新營交流道特定區。"/>
        <s v="圖資提供單位：臺南市政府。&lt;br&gt;_x000a_圖資測製時間：97年。"/>
        <s v="圖資提供單位：臺南市政府。&lt;br&gt;_x000a_圖資測製時間：99年。&lt;br&gt;_x000a_包含關廟、仁德、歸仁、新化區範圍內之都市計畫區及特定區。"/>
        <s v="圖資提供單位：澎湖縣政府。&lt;br&gt;_x000a_圖資測製時間：103年。"/>
        <s v="圖資提供單位：澎湖縣政府。&lt;br&gt;_x000a_圖資測製時間：104年。"/>
        <s v="圖資提供單位：澎湖縣政府。&lt;br&gt;_x000a_圖資測製時間：95年。"/>
        <s v="圖資提供單位：澎湖縣政府。&lt;br&gt;_x000a_圖資測製時間：96年。"/>
        <s v="圖資提供單位：澎湖縣政府。&lt;br&gt;_x000a_圖資測製時間：97-98年。"/>
        <s v="圖資提供單位：澎湖縣政府。&lt;br&gt;_x000a_圖資測製時間：99年。"/>
        <s v="彰化縣大城鄉(152線)106年"/>
        <s v="彰化縣田中鎮105年"/>
        <s v="彰化縣伸港鄉"/>
        <s v="彰化縣伸港鄉臺中市龍井區107年"/>
        <s v="彰化縣芳苑鄉(台61線)104年"/>
        <s v="彰化縣福興鄉(台61線)103年"/>
        <s v="臺中市(大慶車站)105年"/>
        <s v="臺中市(太平新光地區)105年"/>
        <s v="臺中市(太原車站)105年"/>
        <s v="臺中市(水湳機場)105年"/>
        <s v="臺中市(台中車站)105年"/>
        <s v="臺中市(振興路以南)105年"/>
        <s v="臺中市(捷運北屯機廠)105年"/>
        <s v="臺中市(第13期)105年"/>
        <s v="臺中市(第14期)105年"/>
        <s v="臺中市(廍子地區)105年"/>
        <s v="臺中市(潭子車站)105年"/>
        <s v="臺中市(豐原車站)105年"/>
        <s v="臺中市大安區107年"/>
        <s v="臺中市太平區(坪林森林公園)105年"/>
        <s v="臺中市后里區108年"/>
        <s v="臺中市和平區107年"/>
        <s v="臺中市烏日110年"/>
        <s v="臺中市梧棲109年"/>
        <s v="臺中市潭子區105年"/>
        <s v="臺中市豐原1109年"/>
        <s v="臺中市霧峰110年"/>
        <s v="臺中市霧峰區105年"/>
        <s v="臺北市士林(大油坑)"/>
        <s v="臺北市士林(大油坑)105年"/>
        <s v="臺北市士林(馬槽)105年"/>
        <s v="臺北市士林109年大油坑、馬槽、夢幻湖"/>
        <s v="臺北市士林110年大油坑、馬槽、夢幻湖"/>
        <s v="臺北市士林區大油坑107年"/>
        <s v="臺北市士林區大油坑108年"/>
        <s v="臺北市士林區馬槽106年"/>
        <s v="臺北市士林區馬槽107年"/>
        <s v="臺北市士林區馬槽108年"/>
        <s v="臺北市士林區夢幻湖107年"/>
        <s v="臺北市士林區夢幻湖108年"/>
        <s v="臺北市士林陽明山大油坑111年"/>
        <s v="臺北市士林陽明山馬槽111年"/>
        <s v="臺北市北投(夢幻湖)"/>
        <s v="臺北市北投(夢幻湖)105年"/>
        <s v="臺北市北投111年"/>
        <s v="臺東縣大武鄉"/>
        <s v="臺東縣太麻里鄉"/>
        <s v="臺東縣政府109年10月19日府府地測字第1090223619號函授權本中心套疊使用。&lt;br&gt;_x000a_圖資測製時間：109年。"/>
        <s v="臺南市七股區(台61線)"/>
        <s v="臺南市七股區(台江國家公園)102年"/>
        <s v="臺南市七股區(西濱公路) 106年"/>
        <s v="臺南市七股區108年"/>
        <s v="臺南市下營區108年"/>
        <s v="臺南市永康110年"/>
        <s v="臺南市永康110年②"/>
        <s v="臺南市永康區108年"/>
        <s v="臺南市安平區104年"/>
        <s v="臺南市安南110年"/>
        <s v="臺南市安南區"/>
        <s v="臺南市安南區(九份子重劃區)"/>
        <s v="臺南市安南區(台江大道)"/>
        <s v="臺南市安南區102年"/>
        <s v="臺南市安南區108年"/>
        <s v="臺南市東區(平實市地重劃)"/>
        <s v="臺南市南化110年"/>
        <s v="臺南市南區(台86線)"/>
        <s v="臺南市柳營111年"/>
        <s v="臺南市麻豆109年"/>
        <s v="臺南市麻豆區1"/>
        <s v="臺南市新市區(新和重劃區)104年UAV"/>
        <s v="臺南市新營110年"/>
        <s v="臺南市學甲區(台84線)103年"/>
        <s v="臺南市關廟區"/>
        <s v="臺南市關廟區108年"/>
        <s v="臺灣地區地政事務所轄區&lt;BR&gt;_x000a_圖資日期:110年4月"/>
        <s v="臺灣通用正射影像混合圖層(96年以後的圖資，實際年度請參考影像上的西元年浮水印）混合等高線及通用電子地圖圖資"/>
        <s v="臺灣通用正射影像最新(實際年度請參考影像上的西元年浮水印)，作為正射影像額外圖層套疊用"/>
        <s v="臺灣通用電子地圖 灰階版"/>
        <s v="臺灣通用電子地圖(不含等高線及門牌)"/>
        <s v="臺灣通用電子地圖(套疊等高線)版：於初始比例尺至比例尺等級L15(1:18,056)之地形起伏分層設色及等高線資料係採用數值地形模型資料；至比例尺等級L16(1:9,028)至19(1:1128)之等高線及獨立標高點資料係使用五千分之一基本地形圖(105至110年測製)內高程資料所萃取轉製，因部分作業區測製年代相距較大，致相鄰作業區銜接處存有高程資料不一致的現象。為求圖面美觀，針對歷年成果接邊處，採程式自動接合並輔以人工檢核編修方式進行合理順接處理，此外，因部分地區測製年代久遠，圖上所載高程資料可能與現況差異較大。綜上，本系統圖臺上的等高線及標高點資訊僅供參考，請小心謹慎使用。基本地形圖測製年代範圍圖請參考&lt;a href=&quot;https://bmap-nlsc.moi.gov.tw/&quot; target=&quot;_blank&quot; rel=&quot;noopener&quot;&gt;&lt;font color=blue&gt;基本地形圖資料庫分組入口網站&lt;/font&gt;&lt;/a&gt;&lt;br&gt;"/>
        <s v="臺灣通用電子地圖(高DPI文字)"/>
        <s v="臺灣通用電子地圖(無門牌號標註) :_x000a_臺灣通用電子地圖(套疊等高線)版：於初始比例尺至比例尺等級L15(1:18,056)之地形起伏分層設色及等高線資料係採用數值地形模型資料；至比例尺等級L16(1:9,028)至19(1:1128)之等高線及獨立標高點資料係使用五千分之一基本地形圖(105至110年測製)內高程資料所萃取轉製，因部分作業區測製年代相距較大，致相鄰作業區銜接處存有高程資料不一致的現象。為求圖面美觀，針對歷年成果接邊處，採程式自動接合並輔以人工檢核編修方式進行合理順接處理，此外，因部分地區測製年代久遠，圖上所載高程資料可能與現況差異較大。綜上，本系統圖臺上的等高線及標高點資訊僅供參考，請小心謹慎使用。基本地形圖測製年代範圍圖請參考&lt;a href=&quot;https://bmap-nlsc.moi.gov.tw/&quot; target=&quot;_blank&quot; rel=&quot;noopener&quot;&gt;&lt;font color=blue&gt;基本地形圖資料庫分組入口網站&lt;/font&gt;&lt;/a&gt;&lt;br&gt;_x000a__x000a_"/>
        <s v="臺灣通用電子地圖(無鐵公路)"/>
        <s v="臺灣通用電子地圖(新)"/>
        <s v="臺灣通用電子地圖不含等高線版"/>
        <s v="臺灣通用電子地圖內便利商店(超商)"/>
        <s v="臺灣通用電子地圖向量透明圖層"/>
        <s v="臺灣通用電子地圖向量透明圖層(無門牌)"/>
        <s v="臺灣通用電子地圖道路圖層"/>
        <s v="Taiwan e-Map(new)"/>
        <s v="Taiwan Electronic Map&lt;br&gt;臺灣通用電子地圖英文版"/>
        <s v="Taiwan Electronic Map&lt;br&gt;臺灣通用電子地圖英文圖台專用 TW_ZH  Version"/>
        <m/>
      </sharedItems>
    </cacheField>
    <cacheField name="請求方法" numFmtId="0">
      <sharedItems containsBlank="1" count="3">
        <s v="GET"/>
        <s v="POST"/>
        <m/>
      </sharedItems>
    </cacheField>
    <cacheField name="SwaggerUI有無下拉選單" numFmtId="0">
      <sharedItems count="2">
        <s v="有下拉選單"/>
        <s v="無下拉選單"/>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1442">
  <r>
    <x v="0"/>
    <x v="0"/>
    <x v="0"/>
    <x v="1425"/>
    <x v="301"/>
    <x v="2"/>
    <x v="0"/>
    <x v="1"/>
    <x v="1425"/>
    <x v="0"/>
    <x v="0"/>
    <x v="0"/>
    <x v="0"/>
    <x v="1"/>
    <x v="14"/>
    <x v="2"/>
    <x v="1422"/>
    <x v="1425"/>
    <x v="3"/>
    <x v="10"/>
    <x v="0"/>
    <x v="0"/>
    <x v="0"/>
    <x v="1"/>
    <x v="1"/>
    <x v="1"/>
    <x v="34"/>
    <x v="0"/>
    <x v="0"/>
    <x v="0"/>
    <x v="0"/>
  </r>
  <r>
    <x v="1"/>
    <x v="0"/>
    <x v="1"/>
    <x v="1427"/>
    <x v="677"/>
    <x v="4"/>
    <x v="0"/>
    <x v="1"/>
    <x v="1425"/>
    <x v="0"/>
    <x v="0"/>
    <x v="0"/>
    <x v="0"/>
    <x v="1"/>
    <x v="14"/>
    <x v="4"/>
    <x v="1422"/>
    <x v="1427"/>
    <x v="3"/>
    <x v="10"/>
    <x v="0"/>
    <x v="0"/>
    <x v="0"/>
    <x v="1"/>
    <x v="1"/>
    <x v="1"/>
    <x v="34"/>
    <x v="0"/>
    <x v="0"/>
    <x v="0"/>
    <x v="0"/>
  </r>
  <r>
    <x v="2"/>
    <x v="0"/>
    <x v="2"/>
    <x v="1428"/>
    <x v="676"/>
    <x v="3"/>
    <x v="0"/>
    <x v="1"/>
    <x v="1425"/>
    <x v="0"/>
    <x v="0"/>
    <x v="0"/>
    <x v="0"/>
    <x v="1"/>
    <x v="14"/>
    <x v="3"/>
    <x v="1422"/>
    <x v="1428"/>
    <x v="3"/>
    <x v="10"/>
    <x v="0"/>
    <x v="0"/>
    <x v="0"/>
    <x v="1"/>
    <x v="1"/>
    <x v="1"/>
    <x v="34"/>
    <x v="0"/>
    <x v="0"/>
    <x v="0"/>
    <x v="0"/>
  </r>
  <r>
    <x v="363"/>
    <x v="0"/>
    <x v="25"/>
    <x v="1426"/>
    <x v="108"/>
    <x v="1"/>
    <x v="1"/>
    <x v="1"/>
    <x v="1425"/>
    <x v="0"/>
    <x v="0"/>
    <x v="0"/>
    <x v="0"/>
    <x v="1"/>
    <x v="14"/>
    <x v="1"/>
    <x v="1422"/>
    <x v="1426"/>
    <x v="3"/>
    <x v="10"/>
    <x v="0"/>
    <x v="0"/>
    <x v="0"/>
    <x v="1"/>
    <x v="1"/>
    <x v="1"/>
    <x v="34"/>
    <x v="0"/>
    <x v="0"/>
    <x v="1"/>
    <x v="1"/>
  </r>
  <r>
    <x v="361"/>
    <x v="1"/>
    <x v="25"/>
    <x v="1431"/>
    <x v="302"/>
    <x v="0"/>
    <x v="1"/>
    <x v="1"/>
    <x v="1425"/>
    <x v="0"/>
    <x v="0"/>
    <x v="0"/>
    <x v="0"/>
    <x v="1"/>
    <x v="14"/>
    <x v="0"/>
    <x v="1422"/>
    <x v="1431"/>
    <x v="3"/>
    <x v="10"/>
    <x v="0"/>
    <x v="1"/>
    <x v="2"/>
    <x v="1"/>
    <x v="1"/>
    <x v="1"/>
    <x v="34"/>
    <x v="0"/>
    <x v="0"/>
    <x v="1"/>
    <x v="1"/>
  </r>
  <r>
    <x v="359"/>
    <x v="1"/>
    <x v="25"/>
    <x v="1429"/>
    <x v="303"/>
    <x v="0"/>
    <x v="1"/>
    <x v="1"/>
    <x v="1425"/>
    <x v="0"/>
    <x v="0"/>
    <x v="0"/>
    <x v="0"/>
    <x v="1"/>
    <x v="14"/>
    <x v="0"/>
    <x v="1422"/>
    <x v="1429"/>
    <x v="3"/>
    <x v="10"/>
    <x v="0"/>
    <x v="1"/>
    <x v="2"/>
    <x v="1"/>
    <x v="1"/>
    <x v="1"/>
    <x v="34"/>
    <x v="0"/>
    <x v="0"/>
    <x v="1"/>
    <x v="1"/>
  </r>
  <r>
    <x v="360"/>
    <x v="1"/>
    <x v="25"/>
    <x v="1430"/>
    <x v="304"/>
    <x v="0"/>
    <x v="1"/>
    <x v="1"/>
    <x v="1425"/>
    <x v="0"/>
    <x v="0"/>
    <x v="0"/>
    <x v="0"/>
    <x v="1"/>
    <x v="14"/>
    <x v="0"/>
    <x v="1422"/>
    <x v="1430"/>
    <x v="3"/>
    <x v="10"/>
    <x v="0"/>
    <x v="1"/>
    <x v="2"/>
    <x v="1"/>
    <x v="1"/>
    <x v="1"/>
    <x v="34"/>
    <x v="0"/>
    <x v="0"/>
    <x v="1"/>
    <x v="1"/>
  </r>
  <r>
    <x v="362"/>
    <x v="1"/>
    <x v="25"/>
    <x v="1432"/>
    <x v="305"/>
    <x v="0"/>
    <x v="1"/>
    <x v="1"/>
    <x v="1425"/>
    <x v="0"/>
    <x v="0"/>
    <x v="0"/>
    <x v="0"/>
    <x v="1"/>
    <x v="14"/>
    <x v="0"/>
    <x v="1422"/>
    <x v="1432"/>
    <x v="3"/>
    <x v="10"/>
    <x v="0"/>
    <x v="1"/>
    <x v="2"/>
    <x v="1"/>
    <x v="1"/>
    <x v="1"/>
    <x v="34"/>
    <x v="0"/>
    <x v="0"/>
    <x v="1"/>
    <x v="1"/>
  </r>
  <r>
    <x v="364"/>
    <x v="0"/>
    <x v="25"/>
    <x v="1434"/>
    <x v="109"/>
    <x v="379"/>
    <x v="1"/>
    <x v="1"/>
    <x v="1425"/>
    <x v="0"/>
    <x v="0"/>
    <x v="0"/>
    <x v="0"/>
    <x v="1"/>
    <x v="14"/>
    <x v="379"/>
    <x v="1422"/>
    <x v="1434"/>
    <x v="3"/>
    <x v="10"/>
    <x v="0"/>
    <x v="15"/>
    <x v="9"/>
    <x v="1"/>
    <x v="1"/>
    <x v="1"/>
    <x v="34"/>
    <x v="0"/>
    <x v="0"/>
    <x v="1"/>
    <x v="1"/>
  </r>
  <r>
    <x v="370"/>
    <x v="0"/>
    <x v="0"/>
    <x v="1433"/>
    <x v="301"/>
    <x v="380"/>
    <x v="0"/>
    <x v="1"/>
    <x v="1425"/>
    <x v="0"/>
    <x v="0"/>
    <x v="0"/>
    <x v="0"/>
    <x v="1"/>
    <x v="14"/>
    <x v="380"/>
    <x v="1422"/>
    <x v="1433"/>
    <x v="3"/>
    <x v="10"/>
    <x v="0"/>
    <x v="15"/>
    <x v="9"/>
    <x v="1"/>
    <x v="1"/>
    <x v="1"/>
    <x v="34"/>
    <x v="0"/>
    <x v="0"/>
    <x v="0"/>
    <x v="0"/>
  </r>
  <r>
    <x v="371"/>
    <x v="0"/>
    <x v="1"/>
    <x v="1435"/>
    <x v="677"/>
    <x v="382"/>
    <x v="0"/>
    <x v="1"/>
    <x v="1425"/>
    <x v="0"/>
    <x v="0"/>
    <x v="0"/>
    <x v="0"/>
    <x v="1"/>
    <x v="14"/>
    <x v="382"/>
    <x v="1422"/>
    <x v="1435"/>
    <x v="3"/>
    <x v="10"/>
    <x v="0"/>
    <x v="15"/>
    <x v="9"/>
    <x v="1"/>
    <x v="1"/>
    <x v="1"/>
    <x v="34"/>
    <x v="0"/>
    <x v="0"/>
    <x v="0"/>
    <x v="0"/>
  </r>
  <r>
    <x v="372"/>
    <x v="0"/>
    <x v="2"/>
    <x v="1436"/>
    <x v="676"/>
    <x v="381"/>
    <x v="0"/>
    <x v="1"/>
    <x v="1425"/>
    <x v="0"/>
    <x v="0"/>
    <x v="0"/>
    <x v="0"/>
    <x v="1"/>
    <x v="14"/>
    <x v="381"/>
    <x v="1422"/>
    <x v="1436"/>
    <x v="3"/>
    <x v="10"/>
    <x v="0"/>
    <x v="15"/>
    <x v="9"/>
    <x v="1"/>
    <x v="1"/>
    <x v="1"/>
    <x v="34"/>
    <x v="0"/>
    <x v="0"/>
    <x v="0"/>
    <x v="0"/>
  </r>
  <r>
    <x v="459"/>
    <x v="1"/>
    <x v="25"/>
    <x v="442"/>
    <x v="743"/>
    <x v="468"/>
    <x v="1"/>
    <x v="0"/>
    <x v="442"/>
    <x v="0"/>
    <x v="0"/>
    <x v="0"/>
    <x v="0"/>
    <x v="0"/>
    <x v="0"/>
    <x v="468"/>
    <x v="9"/>
    <x v="442"/>
    <x v="1"/>
    <x v="10"/>
    <x v="0"/>
    <x v="16"/>
    <x v="16"/>
    <x v="0"/>
    <x v="0"/>
    <x v="0"/>
    <x v="22"/>
    <x v="0"/>
    <x v="0"/>
    <x v="0"/>
    <x v="0"/>
  </r>
  <r>
    <x v="1441"/>
    <x v="1"/>
    <x v="25"/>
    <x v="1424"/>
    <x v="128"/>
    <x v="1158"/>
    <x v="1"/>
    <x v="0"/>
    <x v="1424"/>
    <x v="0"/>
    <x v="0"/>
    <x v="0"/>
    <x v="0"/>
    <x v="0"/>
    <x v="2"/>
    <x v="1158"/>
    <x v="1146"/>
    <x v="1424"/>
    <x v="1"/>
    <x v="10"/>
    <x v="0"/>
    <x v="17"/>
    <x v="17"/>
    <x v="0"/>
    <x v="0"/>
    <x v="0"/>
    <x v="29"/>
    <x v="0"/>
    <x v="0"/>
    <x v="1"/>
    <x v="1"/>
  </r>
  <r>
    <x v="1440"/>
    <x v="1"/>
    <x v="25"/>
    <x v="1423"/>
    <x v="127"/>
    <x v="1157"/>
    <x v="1"/>
    <x v="0"/>
    <x v="1423"/>
    <x v="0"/>
    <x v="0"/>
    <x v="0"/>
    <x v="0"/>
    <x v="0"/>
    <x v="2"/>
    <x v="1157"/>
    <x v="1145"/>
    <x v="1423"/>
    <x v="1"/>
    <x v="10"/>
    <x v="0"/>
    <x v="17"/>
    <x v="17"/>
    <x v="0"/>
    <x v="0"/>
    <x v="0"/>
    <x v="29"/>
    <x v="0"/>
    <x v="0"/>
    <x v="1"/>
    <x v="1"/>
  </r>
  <r>
    <x v="1439"/>
    <x v="1"/>
    <x v="25"/>
    <x v="1422"/>
    <x v="704"/>
    <x v="1349"/>
    <x v="1"/>
    <x v="0"/>
    <x v="1422"/>
    <x v="0"/>
    <x v="0"/>
    <x v="0"/>
    <x v="0"/>
    <x v="0"/>
    <x v="2"/>
    <x v="1349"/>
    <x v="1337"/>
    <x v="1422"/>
    <x v="1"/>
    <x v="10"/>
    <x v="0"/>
    <x v="17"/>
    <x v="17"/>
    <x v="0"/>
    <x v="0"/>
    <x v="0"/>
    <x v="31"/>
    <x v="0"/>
    <x v="0"/>
    <x v="1"/>
    <x v="1"/>
  </r>
  <r>
    <x v="1438"/>
    <x v="1"/>
    <x v="25"/>
    <x v="1421"/>
    <x v="548"/>
    <x v="1325"/>
    <x v="1"/>
    <x v="0"/>
    <x v="1421"/>
    <x v="0"/>
    <x v="0"/>
    <x v="0"/>
    <x v="0"/>
    <x v="0"/>
    <x v="2"/>
    <x v="1325"/>
    <x v="1313"/>
    <x v="1421"/>
    <x v="1"/>
    <x v="10"/>
    <x v="0"/>
    <x v="17"/>
    <x v="17"/>
    <x v="0"/>
    <x v="0"/>
    <x v="0"/>
    <x v="31"/>
    <x v="0"/>
    <x v="0"/>
    <x v="1"/>
    <x v="1"/>
  </r>
  <r>
    <x v="1437"/>
    <x v="1"/>
    <x v="25"/>
    <x v="1420"/>
    <x v="580"/>
    <x v="1332"/>
    <x v="1"/>
    <x v="0"/>
    <x v="1420"/>
    <x v="0"/>
    <x v="0"/>
    <x v="0"/>
    <x v="0"/>
    <x v="0"/>
    <x v="2"/>
    <x v="1332"/>
    <x v="1320"/>
    <x v="1420"/>
    <x v="1"/>
    <x v="10"/>
    <x v="0"/>
    <x v="17"/>
    <x v="17"/>
    <x v="0"/>
    <x v="0"/>
    <x v="0"/>
    <x v="31"/>
    <x v="0"/>
    <x v="0"/>
    <x v="1"/>
    <x v="1"/>
  </r>
  <r>
    <x v="1436"/>
    <x v="1"/>
    <x v="25"/>
    <x v="1419"/>
    <x v="326"/>
    <x v="1302"/>
    <x v="1"/>
    <x v="0"/>
    <x v="1419"/>
    <x v="0"/>
    <x v="0"/>
    <x v="0"/>
    <x v="0"/>
    <x v="0"/>
    <x v="2"/>
    <x v="1302"/>
    <x v="1290"/>
    <x v="1419"/>
    <x v="1"/>
    <x v="10"/>
    <x v="0"/>
    <x v="17"/>
    <x v="17"/>
    <x v="0"/>
    <x v="0"/>
    <x v="0"/>
    <x v="26"/>
    <x v="0"/>
    <x v="0"/>
    <x v="1"/>
    <x v="1"/>
  </r>
  <r>
    <x v="1435"/>
    <x v="1"/>
    <x v="25"/>
    <x v="1418"/>
    <x v="325"/>
    <x v="1301"/>
    <x v="1"/>
    <x v="0"/>
    <x v="1418"/>
    <x v="0"/>
    <x v="0"/>
    <x v="0"/>
    <x v="0"/>
    <x v="0"/>
    <x v="2"/>
    <x v="1301"/>
    <x v="1289"/>
    <x v="1418"/>
    <x v="1"/>
    <x v="10"/>
    <x v="0"/>
    <x v="17"/>
    <x v="17"/>
    <x v="0"/>
    <x v="0"/>
    <x v="0"/>
    <x v="26"/>
    <x v="0"/>
    <x v="0"/>
    <x v="1"/>
    <x v="1"/>
  </r>
  <r>
    <x v="1434"/>
    <x v="1"/>
    <x v="25"/>
    <x v="1417"/>
    <x v="661"/>
    <x v="1342"/>
    <x v="1"/>
    <x v="0"/>
    <x v="1417"/>
    <x v="0"/>
    <x v="0"/>
    <x v="0"/>
    <x v="0"/>
    <x v="0"/>
    <x v="2"/>
    <x v="1342"/>
    <x v="1330"/>
    <x v="1417"/>
    <x v="1"/>
    <x v="10"/>
    <x v="0"/>
    <x v="17"/>
    <x v="17"/>
    <x v="0"/>
    <x v="0"/>
    <x v="0"/>
    <x v="31"/>
    <x v="0"/>
    <x v="0"/>
    <x v="1"/>
    <x v="1"/>
  </r>
  <r>
    <x v="1433"/>
    <x v="1"/>
    <x v="25"/>
    <x v="1416"/>
    <x v="660"/>
    <x v="1341"/>
    <x v="1"/>
    <x v="0"/>
    <x v="1416"/>
    <x v="0"/>
    <x v="0"/>
    <x v="0"/>
    <x v="0"/>
    <x v="0"/>
    <x v="2"/>
    <x v="1341"/>
    <x v="1329"/>
    <x v="1416"/>
    <x v="1"/>
    <x v="10"/>
    <x v="0"/>
    <x v="17"/>
    <x v="17"/>
    <x v="0"/>
    <x v="0"/>
    <x v="0"/>
    <x v="31"/>
    <x v="0"/>
    <x v="0"/>
    <x v="1"/>
    <x v="1"/>
  </r>
  <r>
    <x v="1432"/>
    <x v="1"/>
    <x v="25"/>
    <x v="1415"/>
    <x v="659"/>
    <x v="1340"/>
    <x v="1"/>
    <x v="0"/>
    <x v="1415"/>
    <x v="0"/>
    <x v="0"/>
    <x v="0"/>
    <x v="0"/>
    <x v="0"/>
    <x v="2"/>
    <x v="1340"/>
    <x v="1328"/>
    <x v="1415"/>
    <x v="1"/>
    <x v="10"/>
    <x v="0"/>
    <x v="17"/>
    <x v="17"/>
    <x v="0"/>
    <x v="0"/>
    <x v="0"/>
    <x v="31"/>
    <x v="0"/>
    <x v="0"/>
    <x v="1"/>
    <x v="1"/>
  </r>
  <r>
    <x v="1431"/>
    <x v="1"/>
    <x v="25"/>
    <x v="1414"/>
    <x v="474"/>
    <x v="1320"/>
    <x v="1"/>
    <x v="0"/>
    <x v="1414"/>
    <x v="0"/>
    <x v="0"/>
    <x v="0"/>
    <x v="0"/>
    <x v="0"/>
    <x v="2"/>
    <x v="1320"/>
    <x v="1308"/>
    <x v="1414"/>
    <x v="1"/>
    <x v="10"/>
    <x v="0"/>
    <x v="17"/>
    <x v="17"/>
    <x v="0"/>
    <x v="0"/>
    <x v="0"/>
    <x v="31"/>
    <x v="0"/>
    <x v="0"/>
    <x v="1"/>
    <x v="1"/>
  </r>
  <r>
    <x v="1430"/>
    <x v="1"/>
    <x v="25"/>
    <x v="1413"/>
    <x v="923"/>
    <x v="1425"/>
    <x v="1"/>
    <x v="0"/>
    <x v="1413"/>
    <x v="0"/>
    <x v="0"/>
    <x v="0"/>
    <x v="0"/>
    <x v="0"/>
    <x v="2"/>
    <x v="1425"/>
    <x v="1413"/>
    <x v="1413"/>
    <x v="1"/>
    <x v="10"/>
    <x v="0"/>
    <x v="17"/>
    <x v="17"/>
    <x v="0"/>
    <x v="0"/>
    <x v="0"/>
    <x v="31"/>
    <x v="0"/>
    <x v="0"/>
    <x v="1"/>
    <x v="1"/>
  </r>
  <r>
    <x v="1429"/>
    <x v="1"/>
    <x v="25"/>
    <x v="1412"/>
    <x v="870"/>
    <x v="1399"/>
    <x v="1"/>
    <x v="0"/>
    <x v="1412"/>
    <x v="0"/>
    <x v="0"/>
    <x v="0"/>
    <x v="0"/>
    <x v="0"/>
    <x v="2"/>
    <x v="1399"/>
    <x v="1387"/>
    <x v="1412"/>
    <x v="1"/>
    <x v="10"/>
    <x v="0"/>
    <x v="17"/>
    <x v="17"/>
    <x v="0"/>
    <x v="0"/>
    <x v="0"/>
    <x v="31"/>
    <x v="0"/>
    <x v="0"/>
    <x v="1"/>
    <x v="1"/>
  </r>
  <r>
    <x v="1428"/>
    <x v="1"/>
    <x v="25"/>
    <x v="1411"/>
    <x v="869"/>
    <x v="1398"/>
    <x v="1"/>
    <x v="0"/>
    <x v="1411"/>
    <x v="0"/>
    <x v="0"/>
    <x v="0"/>
    <x v="0"/>
    <x v="0"/>
    <x v="2"/>
    <x v="1398"/>
    <x v="1386"/>
    <x v="1411"/>
    <x v="1"/>
    <x v="10"/>
    <x v="0"/>
    <x v="17"/>
    <x v="17"/>
    <x v="0"/>
    <x v="0"/>
    <x v="0"/>
    <x v="31"/>
    <x v="0"/>
    <x v="0"/>
    <x v="1"/>
    <x v="1"/>
  </r>
  <r>
    <x v="1427"/>
    <x v="1"/>
    <x v="25"/>
    <x v="1410"/>
    <x v="868"/>
    <x v="1397"/>
    <x v="1"/>
    <x v="0"/>
    <x v="1410"/>
    <x v="0"/>
    <x v="0"/>
    <x v="0"/>
    <x v="0"/>
    <x v="0"/>
    <x v="2"/>
    <x v="1397"/>
    <x v="1385"/>
    <x v="1410"/>
    <x v="1"/>
    <x v="10"/>
    <x v="0"/>
    <x v="17"/>
    <x v="17"/>
    <x v="0"/>
    <x v="0"/>
    <x v="0"/>
    <x v="31"/>
    <x v="0"/>
    <x v="0"/>
    <x v="1"/>
    <x v="1"/>
  </r>
  <r>
    <x v="1426"/>
    <x v="1"/>
    <x v="25"/>
    <x v="1409"/>
    <x v="874"/>
    <x v="1403"/>
    <x v="1"/>
    <x v="0"/>
    <x v="1409"/>
    <x v="0"/>
    <x v="0"/>
    <x v="0"/>
    <x v="0"/>
    <x v="0"/>
    <x v="2"/>
    <x v="1403"/>
    <x v="1391"/>
    <x v="1409"/>
    <x v="1"/>
    <x v="10"/>
    <x v="0"/>
    <x v="17"/>
    <x v="17"/>
    <x v="0"/>
    <x v="0"/>
    <x v="0"/>
    <x v="31"/>
    <x v="0"/>
    <x v="0"/>
    <x v="1"/>
    <x v="1"/>
  </r>
  <r>
    <x v="1425"/>
    <x v="1"/>
    <x v="25"/>
    <x v="1408"/>
    <x v="873"/>
    <x v="1400"/>
    <x v="1"/>
    <x v="0"/>
    <x v="1408"/>
    <x v="0"/>
    <x v="0"/>
    <x v="0"/>
    <x v="0"/>
    <x v="0"/>
    <x v="2"/>
    <x v="1400"/>
    <x v="1388"/>
    <x v="1408"/>
    <x v="1"/>
    <x v="10"/>
    <x v="0"/>
    <x v="17"/>
    <x v="17"/>
    <x v="0"/>
    <x v="0"/>
    <x v="0"/>
    <x v="31"/>
    <x v="0"/>
    <x v="0"/>
    <x v="1"/>
    <x v="1"/>
  </r>
  <r>
    <x v="1424"/>
    <x v="1"/>
    <x v="25"/>
    <x v="1407"/>
    <x v="732"/>
    <x v="1353"/>
    <x v="1"/>
    <x v="0"/>
    <x v="1407"/>
    <x v="0"/>
    <x v="0"/>
    <x v="0"/>
    <x v="0"/>
    <x v="0"/>
    <x v="2"/>
    <x v="1353"/>
    <x v="1341"/>
    <x v="1407"/>
    <x v="1"/>
    <x v="10"/>
    <x v="0"/>
    <x v="17"/>
    <x v="17"/>
    <x v="0"/>
    <x v="0"/>
    <x v="0"/>
    <x v="31"/>
    <x v="0"/>
    <x v="0"/>
    <x v="1"/>
    <x v="1"/>
  </r>
  <r>
    <x v="1423"/>
    <x v="1"/>
    <x v="25"/>
    <x v="1406"/>
    <x v="709"/>
    <x v="1350"/>
    <x v="1"/>
    <x v="0"/>
    <x v="1406"/>
    <x v="0"/>
    <x v="0"/>
    <x v="0"/>
    <x v="0"/>
    <x v="0"/>
    <x v="2"/>
    <x v="1350"/>
    <x v="1338"/>
    <x v="1406"/>
    <x v="1"/>
    <x v="10"/>
    <x v="0"/>
    <x v="17"/>
    <x v="17"/>
    <x v="0"/>
    <x v="0"/>
    <x v="0"/>
    <x v="31"/>
    <x v="0"/>
    <x v="0"/>
    <x v="1"/>
    <x v="1"/>
  </r>
  <r>
    <x v="1422"/>
    <x v="1"/>
    <x v="25"/>
    <x v="1405"/>
    <x v="768"/>
    <x v="1359"/>
    <x v="1"/>
    <x v="0"/>
    <x v="1405"/>
    <x v="0"/>
    <x v="0"/>
    <x v="0"/>
    <x v="0"/>
    <x v="0"/>
    <x v="2"/>
    <x v="1359"/>
    <x v="1347"/>
    <x v="1405"/>
    <x v="1"/>
    <x v="10"/>
    <x v="0"/>
    <x v="17"/>
    <x v="17"/>
    <x v="0"/>
    <x v="0"/>
    <x v="0"/>
    <x v="31"/>
    <x v="0"/>
    <x v="0"/>
    <x v="1"/>
    <x v="1"/>
  </r>
  <r>
    <x v="1421"/>
    <x v="1"/>
    <x v="25"/>
    <x v="1404"/>
    <x v="462"/>
    <x v="1317"/>
    <x v="1"/>
    <x v="0"/>
    <x v="1404"/>
    <x v="0"/>
    <x v="0"/>
    <x v="0"/>
    <x v="0"/>
    <x v="0"/>
    <x v="2"/>
    <x v="1317"/>
    <x v="1305"/>
    <x v="1404"/>
    <x v="1"/>
    <x v="10"/>
    <x v="0"/>
    <x v="17"/>
    <x v="17"/>
    <x v="0"/>
    <x v="0"/>
    <x v="0"/>
    <x v="31"/>
    <x v="0"/>
    <x v="0"/>
    <x v="1"/>
    <x v="1"/>
  </r>
  <r>
    <x v="1420"/>
    <x v="1"/>
    <x v="25"/>
    <x v="1403"/>
    <x v="940"/>
    <x v="1431"/>
    <x v="1"/>
    <x v="0"/>
    <x v="1403"/>
    <x v="0"/>
    <x v="0"/>
    <x v="0"/>
    <x v="0"/>
    <x v="0"/>
    <x v="2"/>
    <x v="1431"/>
    <x v="1419"/>
    <x v="1403"/>
    <x v="1"/>
    <x v="10"/>
    <x v="0"/>
    <x v="17"/>
    <x v="17"/>
    <x v="0"/>
    <x v="0"/>
    <x v="0"/>
    <x v="31"/>
    <x v="0"/>
    <x v="0"/>
    <x v="1"/>
    <x v="1"/>
  </r>
  <r>
    <x v="1419"/>
    <x v="1"/>
    <x v="25"/>
    <x v="1402"/>
    <x v="941"/>
    <x v="1431"/>
    <x v="1"/>
    <x v="0"/>
    <x v="1402"/>
    <x v="0"/>
    <x v="0"/>
    <x v="0"/>
    <x v="0"/>
    <x v="0"/>
    <x v="2"/>
    <x v="1431"/>
    <x v="1419"/>
    <x v="1402"/>
    <x v="1"/>
    <x v="10"/>
    <x v="0"/>
    <x v="17"/>
    <x v="17"/>
    <x v="0"/>
    <x v="0"/>
    <x v="0"/>
    <x v="31"/>
    <x v="0"/>
    <x v="0"/>
    <x v="1"/>
    <x v="1"/>
  </r>
  <r>
    <x v="1418"/>
    <x v="1"/>
    <x v="25"/>
    <x v="1401"/>
    <x v="906"/>
    <x v="1412"/>
    <x v="1"/>
    <x v="0"/>
    <x v="1401"/>
    <x v="0"/>
    <x v="0"/>
    <x v="0"/>
    <x v="0"/>
    <x v="0"/>
    <x v="2"/>
    <x v="1412"/>
    <x v="1400"/>
    <x v="1401"/>
    <x v="1"/>
    <x v="10"/>
    <x v="0"/>
    <x v="17"/>
    <x v="17"/>
    <x v="0"/>
    <x v="0"/>
    <x v="0"/>
    <x v="31"/>
    <x v="0"/>
    <x v="0"/>
    <x v="1"/>
    <x v="1"/>
  </r>
  <r>
    <x v="1417"/>
    <x v="1"/>
    <x v="25"/>
    <x v="1400"/>
    <x v="917"/>
    <x v="1421"/>
    <x v="1"/>
    <x v="0"/>
    <x v="1400"/>
    <x v="0"/>
    <x v="0"/>
    <x v="0"/>
    <x v="0"/>
    <x v="0"/>
    <x v="2"/>
    <x v="1421"/>
    <x v="1409"/>
    <x v="1400"/>
    <x v="1"/>
    <x v="10"/>
    <x v="0"/>
    <x v="17"/>
    <x v="17"/>
    <x v="0"/>
    <x v="0"/>
    <x v="0"/>
    <x v="31"/>
    <x v="0"/>
    <x v="0"/>
    <x v="1"/>
    <x v="1"/>
  </r>
  <r>
    <x v="1416"/>
    <x v="1"/>
    <x v="25"/>
    <x v="1399"/>
    <x v="936"/>
    <x v="1429"/>
    <x v="1"/>
    <x v="0"/>
    <x v="1399"/>
    <x v="0"/>
    <x v="0"/>
    <x v="0"/>
    <x v="0"/>
    <x v="0"/>
    <x v="2"/>
    <x v="1429"/>
    <x v="1417"/>
    <x v="1399"/>
    <x v="1"/>
    <x v="10"/>
    <x v="0"/>
    <x v="17"/>
    <x v="17"/>
    <x v="0"/>
    <x v="0"/>
    <x v="0"/>
    <x v="31"/>
    <x v="0"/>
    <x v="0"/>
    <x v="1"/>
    <x v="1"/>
  </r>
  <r>
    <x v="1415"/>
    <x v="1"/>
    <x v="25"/>
    <x v="1398"/>
    <x v="911"/>
    <x v="1415"/>
    <x v="1"/>
    <x v="0"/>
    <x v="1398"/>
    <x v="0"/>
    <x v="0"/>
    <x v="0"/>
    <x v="0"/>
    <x v="0"/>
    <x v="2"/>
    <x v="1415"/>
    <x v="1403"/>
    <x v="1398"/>
    <x v="1"/>
    <x v="10"/>
    <x v="0"/>
    <x v="17"/>
    <x v="17"/>
    <x v="0"/>
    <x v="0"/>
    <x v="0"/>
    <x v="31"/>
    <x v="0"/>
    <x v="0"/>
    <x v="1"/>
    <x v="1"/>
  </r>
  <r>
    <x v="1414"/>
    <x v="1"/>
    <x v="25"/>
    <x v="1397"/>
    <x v="921"/>
    <x v="1423"/>
    <x v="1"/>
    <x v="0"/>
    <x v="1397"/>
    <x v="0"/>
    <x v="0"/>
    <x v="0"/>
    <x v="0"/>
    <x v="0"/>
    <x v="2"/>
    <x v="1423"/>
    <x v="1411"/>
    <x v="1397"/>
    <x v="1"/>
    <x v="10"/>
    <x v="0"/>
    <x v="17"/>
    <x v="17"/>
    <x v="0"/>
    <x v="0"/>
    <x v="0"/>
    <x v="31"/>
    <x v="0"/>
    <x v="0"/>
    <x v="1"/>
    <x v="1"/>
  </r>
  <r>
    <x v="1413"/>
    <x v="1"/>
    <x v="25"/>
    <x v="1396"/>
    <x v="907"/>
    <x v="1411"/>
    <x v="1"/>
    <x v="0"/>
    <x v="1396"/>
    <x v="0"/>
    <x v="0"/>
    <x v="0"/>
    <x v="0"/>
    <x v="0"/>
    <x v="2"/>
    <x v="1411"/>
    <x v="1399"/>
    <x v="1396"/>
    <x v="1"/>
    <x v="10"/>
    <x v="0"/>
    <x v="17"/>
    <x v="17"/>
    <x v="0"/>
    <x v="0"/>
    <x v="0"/>
    <x v="31"/>
    <x v="0"/>
    <x v="0"/>
    <x v="1"/>
    <x v="1"/>
  </r>
  <r>
    <x v="1412"/>
    <x v="1"/>
    <x v="25"/>
    <x v="1395"/>
    <x v="851"/>
    <x v="1383"/>
    <x v="1"/>
    <x v="0"/>
    <x v="1395"/>
    <x v="0"/>
    <x v="0"/>
    <x v="0"/>
    <x v="0"/>
    <x v="0"/>
    <x v="2"/>
    <x v="1383"/>
    <x v="1371"/>
    <x v="1395"/>
    <x v="1"/>
    <x v="10"/>
    <x v="0"/>
    <x v="17"/>
    <x v="17"/>
    <x v="0"/>
    <x v="0"/>
    <x v="0"/>
    <x v="31"/>
    <x v="0"/>
    <x v="0"/>
    <x v="1"/>
    <x v="1"/>
  </r>
  <r>
    <x v="1411"/>
    <x v="1"/>
    <x v="25"/>
    <x v="1394"/>
    <x v="827"/>
    <x v="1371"/>
    <x v="1"/>
    <x v="0"/>
    <x v="1394"/>
    <x v="0"/>
    <x v="0"/>
    <x v="0"/>
    <x v="0"/>
    <x v="0"/>
    <x v="2"/>
    <x v="1371"/>
    <x v="1359"/>
    <x v="1394"/>
    <x v="1"/>
    <x v="10"/>
    <x v="0"/>
    <x v="17"/>
    <x v="17"/>
    <x v="0"/>
    <x v="0"/>
    <x v="0"/>
    <x v="31"/>
    <x v="0"/>
    <x v="0"/>
    <x v="1"/>
    <x v="1"/>
  </r>
  <r>
    <x v="1410"/>
    <x v="1"/>
    <x v="25"/>
    <x v="1393"/>
    <x v="846"/>
    <x v="1381"/>
    <x v="1"/>
    <x v="0"/>
    <x v="1393"/>
    <x v="0"/>
    <x v="0"/>
    <x v="0"/>
    <x v="0"/>
    <x v="0"/>
    <x v="2"/>
    <x v="1381"/>
    <x v="1369"/>
    <x v="1393"/>
    <x v="1"/>
    <x v="10"/>
    <x v="0"/>
    <x v="17"/>
    <x v="17"/>
    <x v="0"/>
    <x v="0"/>
    <x v="0"/>
    <x v="31"/>
    <x v="0"/>
    <x v="0"/>
    <x v="1"/>
    <x v="1"/>
  </r>
  <r>
    <x v="1409"/>
    <x v="1"/>
    <x v="25"/>
    <x v="1392"/>
    <x v="860"/>
    <x v="1386"/>
    <x v="1"/>
    <x v="0"/>
    <x v="1392"/>
    <x v="0"/>
    <x v="0"/>
    <x v="0"/>
    <x v="0"/>
    <x v="0"/>
    <x v="2"/>
    <x v="1386"/>
    <x v="1374"/>
    <x v="1392"/>
    <x v="1"/>
    <x v="10"/>
    <x v="0"/>
    <x v="17"/>
    <x v="17"/>
    <x v="0"/>
    <x v="0"/>
    <x v="0"/>
    <x v="31"/>
    <x v="0"/>
    <x v="0"/>
    <x v="1"/>
    <x v="1"/>
  </r>
  <r>
    <x v="1408"/>
    <x v="1"/>
    <x v="25"/>
    <x v="1391"/>
    <x v="178"/>
    <x v="1271"/>
    <x v="1"/>
    <x v="0"/>
    <x v="1391"/>
    <x v="0"/>
    <x v="0"/>
    <x v="0"/>
    <x v="0"/>
    <x v="0"/>
    <x v="2"/>
    <x v="1271"/>
    <x v="1259"/>
    <x v="1391"/>
    <x v="1"/>
    <x v="10"/>
    <x v="0"/>
    <x v="17"/>
    <x v="17"/>
    <x v="0"/>
    <x v="0"/>
    <x v="0"/>
    <x v="31"/>
    <x v="0"/>
    <x v="0"/>
    <x v="1"/>
    <x v="1"/>
  </r>
  <r>
    <x v="1407"/>
    <x v="1"/>
    <x v="25"/>
    <x v="1390"/>
    <x v="190"/>
    <x v="1273"/>
    <x v="1"/>
    <x v="0"/>
    <x v="1390"/>
    <x v="0"/>
    <x v="0"/>
    <x v="0"/>
    <x v="0"/>
    <x v="0"/>
    <x v="2"/>
    <x v="1273"/>
    <x v="1261"/>
    <x v="1390"/>
    <x v="1"/>
    <x v="10"/>
    <x v="0"/>
    <x v="17"/>
    <x v="17"/>
    <x v="0"/>
    <x v="0"/>
    <x v="0"/>
    <x v="31"/>
    <x v="0"/>
    <x v="0"/>
    <x v="1"/>
    <x v="1"/>
  </r>
  <r>
    <x v="1406"/>
    <x v="1"/>
    <x v="25"/>
    <x v="1389"/>
    <x v="189"/>
    <x v="1272"/>
    <x v="1"/>
    <x v="0"/>
    <x v="1389"/>
    <x v="0"/>
    <x v="0"/>
    <x v="0"/>
    <x v="0"/>
    <x v="0"/>
    <x v="2"/>
    <x v="1272"/>
    <x v="1260"/>
    <x v="1389"/>
    <x v="1"/>
    <x v="10"/>
    <x v="0"/>
    <x v="17"/>
    <x v="17"/>
    <x v="0"/>
    <x v="0"/>
    <x v="0"/>
    <x v="31"/>
    <x v="0"/>
    <x v="0"/>
    <x v="1"/>
    <x v="1"/>
  </r>
  <r>
    <x v="1405"/>
    <x v="1"/>
    <x v="25"/>
    <x v="1388"/>
    <x v="282"/>
    <x v="1292"/>
    <x v="1"/>
    <x v="0"/>
    <x v="1388"/>
    <x v="0"/>
    <x v="0"/>
    <x v="0"/>
    <x v="0"/>
    <x v="0"/>
    <x v="2"/>
    <x v="1292"/>
    <x v="1280"/>
    <x v="1388"/>
    <x v="1"/>
    <x v="10"/>
    <x v="0"/>
    <x v="17"/>
    <x v="17"/>
    <x v="0"/>
    <x v="0"/>
    <x v="0"/>
    <x v="31"/>
    <x v="0"/>
    <x v="0"/>
    <x v="1"/>
    <x v="1"/>
  </r>
  <r>
    <x v="1404"/>
    <x v="1"/>
    <x v="25"/>
    <x v="1387"/>
    <x v="276"/>
    <x v="1291"/>
    <x v="1"/>
    <x v="0"/>
    <x v="1387"/>
    <x v="0"/>
    <x v="0"/>
    <x v="0"/>
    <x v="0"/>
    <x v="0"/>
    <x v="2"/>
    <x v="1291"/>
    <x v="1279"/>
    <x v="1387"/>
    <x v="1"/>
    <x v="10"/>
    <x v="0"/>
    <x v="17"/>
    <x v="17"/>
    <x v="0"/>
    <x v="0"/>
    <x v="0"/>
    <x v="31"/>
    <x v="0"/>
    <x v="0"/>
    <x v="1"/>
    <x v="1"/>
  </r>
  <r>
    <x v="1403"/>
    <x v="1"/>
    <x v="25"/>
    <x v="1386"/>
    <x v="251"/>
    <x v="1287"/>
    <x v="1"/>
    <x v="0"/>
    <x v="1386"/>
    <x v="0"/>
    <x v="0"/>
    <x v="0"/>
    <x v="0"/>
    <x v="0"/>
    <x v="2"/>
    <x v="1287"/>
    <x v="1275"/>
    <x v="1386"/>
    <x v="1"/>
    <x v="10"/>
    <x v="0"/>
    <x v="17"/>
    <x v="17"/>
    <x v="0"/>
    <x v="0"/>
    <x v="0"/>
    <x v="31"/>
    <x v="0"/>
    <x v="0"/>
    <x v="1"/>
    <x v="1"/>
  </r>
  <r>
    <x v="1402"/>
    <x v="1"/>
    <x v="25"/>
    <x v="1385"/>
    <x v="740"/>
    <x v="1355"/>
    <x v="1"/>
    <x v="0"/>
    <x v="1385"/>
    <x v="0"/>
    <x v="0"/>
    <x v="0"/>
    <x v="0"/>
    <x v="0"/>
    <x v="2"/>
    <x v="1355"/>
    <x v="1343"/>
    <x v="1385"/>
    <x v="1"/>
    <x v="10"/>
    <x v="0"/>
    <x v="17"/>
    <x v="17"/>
    <x v="0"/>
    <x v="0"/>
    <x v="0"/>
    <x v="31"/>
    <x v="0"/>
    <x v="0"/>
    <x v="1"/>
    <x v="1"/>
  </r>
  <r>
    <x v="1401"/>
    <x v="1"/>
    <x v="25"/>
    <x v="1384"/>
    <x v="544"/>
    <x v="1324"/>
    <x v="1"/>
    <x v="0"/>
    <x v="1384"/>
    <x v="0"/>
    <x v="0"/>
    <x v="0"/>
    <x v="0"/>
    <x v="0"/>
    <x v="2"/>
    <x v="1324"/>
    <x v="1312"/>
    <x v="1384"/>
    <x v="1"/>
    <x v="10"/>
    <x v="0"/>
    <x v="17"/>
    <x v="17"/>
    <x v="0"/>
    <x v="0"/>
    <x v="0"/>
    <x v="31"/>
    <x v="0"/>
    <x v="0"/>
    <x v="1"/>
    <x v="1"/>
  </r>
  <r>
    <x v="1400"/>
    <x v="1"/>
    <x v="25"/>
    <x v="1383"/>
    <x v="320"/>
    <x v="1300"/>
    <x v="1"/>
    <x v="0"/>
    <x v="1383"/>
    <x v="0"/>
    <x v="0"/>
    <x v="0"/>
    <x v="0"/>
    <x v="0"/>
    <x v="2"/>
    <x v="1300"/>
    <x v="1288"/>
    <x v="1383"/>
    <x v="1"/>
    <x v="10"/>
    <x v="0"/>
    <x v="17"/>
    <x v="17"/>
    <x v="0"/>
    <x v="0"/>
    <x v="0"/>
    <x v="31"/>
    <x v="0"/>
    <x v="0"/>
    <x v="1"/>
    <x v="1"/>
  </r>
  <r>
    <x v="1399"/>
    <x v="1"/>
    <x v="25"/>
    <x v="1382"/>
    <x v="310"/>
    <x v="1296"/>
    <x v="1"/>
    <x v="0"/>
    <x v="1382"/>
    <x v="0"/>
    <x v="0"/>
    <x v="0"/>
    <x v="0"/>
    <x v="0"/>
    <x v="2"/>
    <x v="1296"/>
    <x v="1284"/>
    <x v="1382"/>
    <x v="1"/>
    <x v="10"/>
    <x v="0"/>
    <x v="17"/>
    <x v="17"/>
    <x v="0"/>
    <x v="0"/>
    <x v="0"/>
    <x v="31"/>
    <x v="0"/>
    <x v="0"/>
    <x v="1"/>
    <x v="1"/>
  </r>
  <r>
    <x v="1398"/>
    <x v="1"/>
    <x v="25"/>
    <x v="1381"/>
    <x v="476"/>
    <x v="1321"/>
    <x v="1"/>
    <x v="0"/>
    <x v="1381"/>
    <x v="0"/>
    <x v="0"/>
    <x v="0"/>
    <x v="0"/>
    <x v="0"/>
    <x v="2"/>
    <x v="1321"/>
    <x v="1309"/>
    <x v="1381"/>
    <x v="1"/>
    <x v="10"/>
    <x v="0"/>
    <x v="17"/>
    <x v="17"/>
    <x v="0"/>
    <x v="0"/>
    <x v="0"/>
    <x v="31"/>
    <x v="0"/>
    <x v="0"/>
    <x v="1"/>
    <x v="1"/>
  </r>
  <r>
    <x v="1397"/>
    <x v="1"/>
    <x v="25"/>
    <x v="1380"/>
    <x v="933"/>
    <x v="1426"/>
    <x v="1"/>
    <x v="0"/>
    <x v="1380"/>
    <x v="0"/>
    <x v="0"/>
    <x v="0"/>
    <x v="0"/>
    <x v="0"/>
    <x v="2"/>
    <x v="1426"/>
    <x v="1414"/>
    <x v="1380"/>
    <x v="1"/>
    <x v="10"/>
    <x v="0"/>
    <x v="17"/>
    <x v="17"/>
    <x v="0"/>
    <x v="0"/>
    <x v="0"/>
    <x v="31"/>
    <x v="0"/>
    <x v="0"/>
    <x v="1"/>
    <x v="1"/>
  </r>
  <r>
    <x v="1396"/>
    <x v="1"/>
    <x v="25"/>
    <x v="1379"/>
    <x v="833"/>
    <x v="1373"/>
    <x v="1"/>
    <x v="0"/>
    <x v="1379"/>
    <x v="0"/>
    <x v="0"/>
    <x v="0"/>
    <x v="0"/>
    <x v="0"/>
    <x v="2"/>
    <x v="1373"/>
    <x v="1361"/>
    <x v="1379"/>
    <x v="1"/>
    <x v="10"/>
    <x v="0"/>
    <x v="17"/>
    <x v="17"/>
    <x v="0"/>
    <x v="0"/>
    <x v="0"/>
    <x v="31"/>
    <x v="0"/>
    <x v="0"/>
    <x v="1"/>
    <x v="1"/>
  </r>
  <r>
    <x v="1395"/>
    <x v="1"/>
    <x v="25"/>
    <x v="1378"/>
    <x v="859"/>
    <x v="1385"/>
    <x v="1"/>
    <x v="0"/>
    <x v="1378"/>
    <x v="0"/>
    <x v="0"/>
    <x v="0"/>
    <x v="0"/>
    <x v="0"/>
    <x v="2"/>
    <x v="1385"/>
    <x v="1373"/>
    <x v="1378"/>
    <x v="1"/>
    <x v="10"/>
    <x v="0"/>
    <x v="17"/>
    <x v="17"/>
    <x v="0"/>
    <x v="0"/>
    <x v="0"/>
    <x v="31"/>
    <x v="0"/>
    <x v="0"/>
    <x v="1"/>
    <x v="1"/>
  </r>
  <r>
    <x v="1394"/>
    <x v="1"/>
    <x v="25"/>
    <x v="1377"/>
    <x v="701"/>
    <x v="1348"/>
    <x v="1"/>
    <x v="0"/>
    <x v="1377"/>
    <x v="0"/>
    <x v="0"/>
    <x v="0"/>
    <x v="0"/>
    <x v="0"/>
    <x v="2"/>
    <x v="1348"/>
    <x v="1336"/>
    <x v="1377"/>
    <x v="1"/>
    <x v="10"/>
    <x v="0"/>
    <x v="17"/>
    <x v="17"/>
    <x v="0"/>
    <x v="0"/>
    <x v="0"/>
    <x v="31"/>
    <x v="0"/>
    <x v="0"/>
    <x v="1"/>
    <x v="1"/>
  </r>
  <r>
    <x v="1393"/>
    <x v="1"/>
    <x v="25"/>
    <x v="1376"/>
    <x v="700"/>
    <x v="1347"/>
    <x v="1"/>
    <x v="0"/>
    <x v="1376"/>
    <x v="0"/>
    <x v="0"/>
    <x v="0"/>
    <x v="0"/>
    <x v="0"/>
    <x v="2"/>
    <x v="1347"/>
    <x v="1335"/>
    <x v="1376"/>
    <x v="1"/>
    <x v="10"/>
    <x v="0"/>
    <x v="17"/>
    <x v="17"/>
    <x v="0"/>
    <x v="0"/>
    <x v="0"/>
    <x v="31"/>
    <x v="0"/>
    <x v="0"/>
    <x v="1"/>
    <x v="1"/>
  </r>
  <r>
    <x v="1392"/>
    <x v="1"/>
    <x v="25"/>
    <x v="1375"/>
    <x v="142"/>
    <x v="1269"/>
    <x v="1"/>
    <x v="0"/>
    <x v="1375"/>
    <x v="0"/>
    <x v="0"/>
    <x v="0"/>
    <x v="0"/>
    <x v="0"/>
    <x v="2"/>
    <x v="1269"/>
    <x v="1257"/>
    <x v="1375"/>
    <x v="1"/>
    <x v="10"/>
    <x v="0"/>
    <x v="17"/>
    <x v="17"/>
    <x v="0"/>
    <x v="0"/>
    <x v="0"/>
    <x v="31"/>
    <x v="0"/>
    <x v="0"/>
    <x v="1"/>
    <x v="1"/>
  </r>
  <r>
    <x v="1391"/>
    <x v="1"/>
    <x v="25"/>
    <x v="1374"/>
    <x v="464"/>
    <x v="1318"/>
    <x v="1"/>
    <x v="0"/>
    <x v="1374"/>
    <x v="0"/>
    <x v="0"/>
    <x v="0"/>
    <x v="0"/>
    <x v="0"/>
    <x v="2"/>
    <x v="1318"/>
    <x v="1306"/>
    <x v="1374"/>
    <x v="1"/>
    <x v="10"/>
    <x v="0"/>
    <x v="17"/>
    <x v="17"/>
    <x v="0"/>
    <x v="0"/>
    <x v="0"/>
    <x v="31"/>
    <x v="0"/>
    <x v="0"/>
    <x v="1"/>
    <x v="1"/>
  </r>
  <r>
    <x v="1390"/>
    <x v="1"/>
    <x v="25"/>
    <x v="1373"/>
    <x v="908"/>
    <x v="1413"/>
    <x v="1"/>
    <x v="0"/>
    <x v="1373"/>
    <x v="0"/>
    <x v="0"/>
    <x v="0"/>
    <x v="0"/>
    <x v="0"/>
    <x v="2"/>
    <x v="1413"/>
    <x v="1401"/>
    <x v="1373"/>
    <x v="1"/>
    <x v="10"/>
    <x v="0"/>
    <x v="17"/>
    <x v="17"/>
    <x v="0"/>
    <x v="0"/>
    <x v="0"/>
    <x v="31"/>
    <x v="0"/>
    <x v="0"/>
    <x v="1"/>
    <x v="1"/>
  </r>
  <r>
    <x v="1389"/>
    <x v="1"/>
    <x v="25"/>
    <x v="1372"/>
    <x v="943"/>
    <x v="1433"/>
    <x v="1"/>
    <x v="0"/>
    <x v="1372"/>
    <x v="0"/>
    <x v="0"/>
    <x v="0"/>
    <x v="0"/>
    <x v="0"/>
    <x v="2"/>
    <x v="1433"/>
    <x v="1421"/>
    <x v="1372"/>
    <x v="1"/>
    <x v="10"/>
    <x v="0"/>
    <x v="17"/>
    <x v="17"/>
    <x v="0"/>
    <x v="0"/>
    <x v="0"/>
    <x v="31"/>
    <x v="0"/>
    <x v="0"/>
    <x v="1"/>
    <x v="1"/>
  </r>
  <r>
    <x v="1388"/>
    <x v="1"/>
    <x v="25"/>
    <x v="1371"/>
    <x v="904"/>
    <x v="1406"/>
    <x v="1"/>
    <x v="0"/>
    <x v="1371"/>
    <x v="0"/>
    <x v="0"/>
    <x v="0"/>
    <x v="0"/>
    <x v="0"/>
    <x v="2"/>
    <x v="1406"/>
    <x v="1394"/>
    <x v="1371"/>
    <x v="1"/>
    <x v="10"/>
    <x v="0"/>
    <x v="17"/>
    <x v="17"/>
    <x v="0"/>
    <x v="0"/>
    <x v="0"/>
    <x v="31"/>
    <x v="0"/>
    <x v="0"/>
    <x v="1"/>
    <x v="1"/>
  </r>
  <r>
    <x v="1387"/>
    <x v="1"/>
    <x v="25"/>
    <x v="1370"/>
    <x v="905"/>
    <x v="1410"/>
    <x v="1"/>
    <x v="0"/>
    <x v="1370"/>
    <x v="0"/>
    <x v="0"/>
    <x v="0"/>
    <x v="0"/>
    <x v="0"/>
    <x v="2"/>
    <x v="1410"/>
    <x v="1398"/>
    <x v="1370"/>
    <x v="1"/>
    <x v="10"/>
    <x v="0"/>
    <x v="17"/>
    <x v="17"/>
    <x v="0"/>
    <x v="0"/>
    <x v="0"/>
    <x v="31"/>
    <x v="0"/>
    <x v="0"/>
    <x v="1"/>
    <x v="1"/>
  </r>
  <r>
    <x v="1386"/>
    <x v="1"/>
    <x v="25"/>
    <x v="1369"/>
    <x v="916"/>
    <x v="1418"/>
    <x v="1"/>
    <x v="0"/>
    <x v="1369"/>
    <x v="0"/>
    <x v="0"/>
    <x v="0"/>
    <x v="0"/>
    <x v="0"/>
    <x v="2"/>
    <x v="1418"/>
    <x v="1406"/>
    <x v="1369"/>
    <x v="1"/>
    <x v="10"/>
    <x v="0"/>
    <x v="17"/>
    <x v="17"/>
    <x v="0"/>
    <x v="0"/>
    <x v="0"/>
    <x v="31"/>
    <x v="0"/>
    <x v="0"/>
    <x v="1"/>
    <x v="1"/>
  </r>
  <r>
    <x v="1385"/>
    <x v="1"/>
    <x v="25"/>
    <x v="1368"/>
    <x v="820"/>
    <x v="1368"/>
    <x v="1"/>
    <x v="0"/>
    <x v="1368"/>
    <x v="0"/>
    <x v="0"/>
    <x v="0"/>
    <x v="0"/>
    <x v="0"/>
    <x v="2"/>
    <x v="1368"/>
    <x v="1356"/>
    <x v="1368"/>
    <x v="1"/>
    <x v="10"/>
    <x v="0"/>
    <x v="17"/>
    <x v="17"/>
    <x v="0"/>
    <x v="0"/>
    <x v="0"/>
    <x v="31"/>
    <x v="0"/>
    <x v="0"/>
    <x v="1"/>
    <x v="1"/>
  </r>
  <r>
    <x v="1384"/>
    <x v="1"/>
    <x v="25"/>
    <x v="1367"/>
    <x v="867"/>
    <x v="1396"/>
    <x v="1"/>
    <x v="0"/>
    <x v="1367"/>
    <x v="0"/>
    <x v="0"/>
    <x v="0"/>
    <x v="0"/>
    <x v="0"/>
    <x v="2"/>
    <x v="1396"/>
    <x v="1384"/>
    <x v="1367"/>
    <x v="1"/>
    <x v="10"/>
    <x v="0"/>
    <x v="17"/>
    <x v="17"/>
    <x v="0"/>
    <x v="0"/>
    <x v="0"/>
    <x v="31"/>
    <x v="0"/>
    <x v="0"/>
    <x v="1"/>
    <x v="1"/>
  </r>
  <r>
    <x v="1383"/>
    <x v="1"/>
    <x v="25"/>
    <x v="1366"/>
    <x v="865"/>
    <x v="1394"/>
    <x v="1"/>
    <x v="0"/>
    <x v="1366"/>
    <x v="0"/>
    <x v="0"/>
    <x v="0"/>
    <x v="0"/>
    <x v="0"/>
    <x v="2"/>
    <x v="1394"/>
    <x v="1382"/>
    <x v="1366"/>
    <x v="1"/>
    <x v="10"/>
    <x v="0"/>
    <x v="17"/>
    <x v="17"/>
    <x v="0"/>
    <x v="0"/>
    <x v="0"/>
    <x v="31"/>
    <x v="0"/>
    <x v="0"/>
    <x v="1"/>
    <x v="1"/>
  </r>
  <r>
    <x v="1382"/>
    <x v="1"/>
    <x v="25"/>
    <x v="1365"/>
    <x v="862"/>
    <x v="1391"/>
    <x v="1"/>
    <x v="0"/>
    <x v="1365"/>
    <x v="0"/>
    <x v="0"/>
    <x v="0"/>
    <x v="0"/>
    <x v="0"/>
    <x v="2"/>
    <x v="1391"/>
    <x v="1379"/>
    <x v="1365"/>
    <x v="1"/>
    <x v="10"/>
    <x v="0"/>
    <x v="17"/>
    <x v="17"/>
    <x v="0"/>
    <x v="0"/>
    <x v="0"/>
    <x v="31"/>
    <x v="0"/>
    <x v="0"/>
    <x v="1"/>
    <x v="1"/>
  </r>
  <r>
    <x v="1381"/>
    <x v="1"/>
    <x v="25"/>
    <x v="1364"/>
    <x v="252"/>
    <x v="1288"/>
    <x v="1"/>
    <x v="0"/>
    <x v="1364"/>
    <x v="0"/>
    <x v="0"/>
    <x v="0"/>
    <x v="0"/>
    <x v="0"/>
    <x v="2"/>
    <x v="1288"/>
    <x v="1276"/>
    <x v="1364"/>
    <x v="1"/>
    <x v="10"/>
    <x v="0"/>
    <x v="17"/>
    <x v="17"/>
    <x v="0"/>
    <x v="0"/>
    <x v="0"/>
    <x v="31"/>
    <x v="0"/>
    <x v="0"/>
    <x v="1"/>
    <x v="1"/>
  </r>
  <r>
    <x v="1380"/>
    <x v="1"/>
    <x v="25"/>
    <x v="1363"/>
    <x v="250"/>
    <x v="1286"/>
    <x v="1"/>
    <x v="0"/>
    <x v="1363"/>
    <x v="0"/>
    <x v="0"/>
    <x v="0"/>
    <x v="0"/>
    <x v="0"/>
    <x v="2"/>
    <x v="1286"/>
    <x v="1274"/>
    <x v="1363"/>
    <x v="1"/>
    <x v="10"/>
    <x v="0"/>
    <x v="17"/>
    <x v="17"/>
    <x v="0"/>
    <x v="0"/>
    <x v="0"/>
    <x v="31"/>
    <x v="0"/>
    <x v="0"/>
    <x v="1"/>
    <x v="1"/>
  </r>
  <r>
    <x v="1379"/>
    <x v="1"/>
    <x v="25"/>
    <x v="1362"/>
    <x v="641"/>
    <x v="1336"/>
    <x v="1"/>
    <x v="0"/>
    <x v="1362"/>
    <x v="0"/>
    <x v="0"/>
    <x v="0"/>
    <x v="0"/>
    <x v="0"/>
    <x v="2"/>
    <x v="1336"/>
    <x v="1324"/>
    <x v="1362"/>
    <x v="1"/>
    <x v="10"/>
    <x v="0"/>
    <x v="17"/>
    <x v="17"/>
    <x v="0"/>
    <x v="0"/>
    <x v="0"/>
    <x v="31"/>
    <x v="0"/>
    <x v="0"/>
    <x v="1"/>
    <x v="1"/>
  </r>
  <r>
    <x v="1378"/>
    <x v="1"/>
    <x v="25"/>
    <x v="1361"/>
    <x v="330"/>
    <x v="1303"/>
    <x v="1"/>
    <x v="0"/>
    <x v="1361"/>
    <x v="0"/>
    <x v="0"/>
    <x v="0"/>
    <x v="0"/>
    <x v="0"/>
    <x v="2"/>
    <x v="1303"/>
    <x v="1291"/>
    <x v="1361"/>
    <x v="1"/>
    <x v="10"/>
    <x v="0"/>
    <x v="17"/>
    <x v="17"/>
    <x v="0"/>
    <x v="0"/>
    <x v="0"/>
    <x v="31"/>
    <x v="0"/>
    <x v="0"/>
    <x v="1"/>
    <x v="1"/>
  </r>
  <r>
    <x v="1377"/>
    <x v="1"/>
    <x v="25"/>
    <x v="1360"/>
    <x v="337"/>
    <x v="1307"/>
    <x v="1"/>
    <x v="0"/>
    <x v="1360"/>
    <x v="0"/>
    <x v="0"/>
    <x v="0"/>
    <x v="0"/>
    <x v="0"/>
    <x v="2"/>
    <x v="1307"/>
    <x v="1295"/>
    <x v="1360"/>
    <x v="1"/>
    <x v="10"/>
    <x v="0"/>
    <x v="17"/>
    <x v="17"/>
    <x v="0"/>
    <x v="0"/>
    <x v="0"/>
    <x v="31"/>
    <x v="0"/>
    <x v="0"/>
    <x v="1"/>
    <x v="1"/>
  </r>
  <r>
    <x v="1376"/>
    <x v="1"/>
    <x v="25"/>
    <x v="1359"/>
    <x v="656"/>
    <x v="1339"/>
    <x v="1"/>
    <x v="0"/>
    <x v="1359"/>
    <x v="0"/>
    <x v="0"/>
    <x v="0"/>
    <x v="0"/>
    <x v="0"/>
    <x v="2"/>
    <x v="1339"/>
    <x v="1327"/>
    <x v="1359"/>
    <x v="1"/>
    <x v="10"/>
    <x v="0"/>
    <x v="17"/>
    <x v="17"/>
    <x v="0"/>
    <x v="0"/>
    <x v="0"/>
    <x v="31"/>
    <x v="0"/>
    <x v="0"/>
    <x v="1"/>
    <x v="1"/>
  </r>
  <r>
    <x v="1375"/>
    <x v="1"/>
    <x v="25"/>
    <x v="1358"/>
    <x v="670"/>
    <x v="1343"/>
    <x v="1"/>
    <x v="0"/>
    <x v="1358"/>
    <x v="0"/>
    <x v="0"/>
    <x v="0"/>
    <x v="0"/>
    <x v="0"/>
    <x v="2"/>
    <x v="1343"/>
    <x v="1331"/>
    <x v="1358"/>
    <x v="1"/>
    <x v="10"/>
    <x v="0"/>
    <x v="17"/>
    <x v="17"/>
    <x v="0"/>
    <x v="0"/>
    <x v="0"/>
    <x v="31"/>
    <x v="0"/>
    <x v="0"/>
    <x v="1"/>
    <x v="1"/>
  </r>
  <r>
    <x v="1374"/>
    <x v="1"/>
    <x v="25"/>
    <x v="1357"/>
    <x v="155"/>
    <x v="1270"/>
    <x v="1"/>
    <x v="0"/>
    <x v="1357"/>
    <x v="0"/>
    <x v="0"/>
    <x v="0"/>
    <x v="0"/>
    <x v="0"/>
    <x v="2"/>
    <x v="1270"/>
    <x v="1258"/>
    <x v="1357"/>
    <x v="1"/>
    <x v="10"/>
    <x v="0"/>
    <x v="17"/>
    <x v="17"/>
    <x v="0"/>
    <x v="0"/>
    <x v="0"/>
    <x v="31"/>
    <x v="0"/>
    <x v="0"/>
    <x v="1"/>
    <x v="1"/>
  </r>
  <r>
    <x v="1373"/>
    <x v="1"/>
    <x v="25"/>
    <x v="1356"/>
    <x v="613"/>
    <x v="1333"/>
    <x v="1"/>
    <x v="0"/>
    <x v="1356"/>
    <x v="0"/>
    <x v="0"/>
    <x v="0"/>
    <x v="0"/>
    <x v="0"/>
    <x v="2"/>
    <x v="1333"/>
    <x v="1321"/>
    <x v="1356"/>
    <x v="1"/>
    <x v="10"/>
    <x v="0"/>
    <x v="17"/>
    <x v="17"/>
    <x v="0"/>
    <x v="0"/>
    <x v="0"/>
    <x v="31"/>
    <x v="0"/>
    <x v="0"/>
    <x v="1"/>
    <x v="1"/>
  </r>
  <r>
    <x v="1372"/>
    <x v="1"/>
    <x v="25"/>
    <x v="1355"/>
    <x v="845"/>
    <x v="1380"/>
    <x v="1"/>
    <x v="0"/>
    <x v="1355"/>
    <x v="0"/>
    <x v="0"/>
    <x v="0"/>
    <x v="0"/>
    <x v="0"/>
    <x v="2"/>
    <x v="1380"/>
    <x v="1368"/>
    <x v="1355"/>
    <x v="1"/>
    <x v="10"/>
    <x v="0"/>
    <x v="17"/>
    <x v="17"/>
    <x v="0"/>
    <x v="0"/>
    <x v="0"/>
    <x v="31"/>
    <x v="0"/>
    <x v="0"/>
    <x v="1"/>
    <x v="1"/>
  </r>
  <r>
    <x v="1371"/>
    <x v="1"/>
    <x v="25"/>
    <x v="1354"/>
    <x v="823"/>
    <x v="1369"/>
    <x v="1"/>
    <x v="0"/>
    <x v="1354"/>
    <x v="0"/>
    <x v="0"/>
    <x v="0"/>
    <x v="0"/>
    <x v="0"/>
    <x v="2"/>
    <x v="1369"/>
    <x v="1357"/>
    <x v="1354"/>
    <x v="1"/>
    <x v="10"/>
    <x v="0"/>
    <x v="17"/>
    <x v="17"/>
    <x v="0"/>
    <x v="0"/>
    <x v="0"/>
    <x v="31"/>
    <x v="0"/>
    <x v="0"/>
    <x v="1"/>
    <x v="1"/>
  </r>
  <r>
    <x v="1370"/>
    <x v="1"/>
    <x v="25"/>
    <x v="1353"/>
    <x v="802"/>
    <x v="1362"/>
    <x v="1"/>
    <x v="0"/>
    <x v="1353"/>
    <x v="0"/>
    <x v="0"/>
    <x v="0"/>
    <x v="0"/>
    <x v="0"/>
    <x v="2"/>
    <x v="1362"/>
    <x v="1350"/>
    <x v="1353"/>
    <x v="1"/>
    <x v="10"/>
    <x v="0"/>
    <x v="17"/>
    <x v="17"/>
    <x v="0"/>
    <x v="0"/>
    <x v="0"/>
    <x v="31"/>
    <x v="0"/>
    <x v="0"/>
    <x v="1"/>
    <x v="1"/>
  </r>
  <r>
    <x v="1369"/>
    <x v="1"/>
    <x v="25"/>
    <x v="1352"/>
    <x v="866"/>
    <x v="1395"/>
    <x v="1"/>
    <x v="0"/>
    <x v="1352"/>
    <x v="0"/>
    <x v="0"/>
    <x v="0"/>
    <x v="0"/>
    <x v="0"/>
    <x v="2"/>
    <x v="1395"/>
    <x v="1383"/>
    <x v="1352"/>
    <x v="1"/>
    <x v="10"/>
    <x v="0"/>
    <x v="17"/>
    <x v="17"/>
    <x v="0"/>
    <x v="0"/>
    <x v="0"/>
    <x v="31"/>
    <x v="0"/>
    <x v="0"/>
    <x v="1"/>
    <x v="1"/>
  </r>
  <r>
    <x v="1368"/>
    <x v="1"/>
    <x v="25"/>
    <x v="1351"/>
    <x v="864"/>
    <x v="1393"/>
    <x v="1"/>
    <x v="0"/>
    <x v="1351"/>
    <x v="0"/>
    <x v="0"/>
    <x v="0"/>
    <x v="0"/>
    <x v="0"/>
    <x v="2"/>
    <x v="1393"/>
    <x v="1381"/>
    <x v="1351"/>
    <x v="1"/>
    <x v="10"/>
    <x v="0"/>
    <x v="17"/>
    <x v="17"/>
    <x v="0"/>
    <x v="0"/>
    <x v="0"/>
    <x v="31"/>
    <x v="0"/>
    <x v="0"/>
    <x v="1"/>
    <x v="1"/>
  </r>
  <r>
    <x v="1367"/>
    <x v="1"/>
    <x v="25"/>
    <x v="1350"/>
    <x v="861"/>
    <x v="1390"/>
    <x v="1"/>
    <x v="0"/>
    <x v="1350"/>
    <x v="0"/>
    <x v="0"/>
    <x v="0"/>
    <x v="0"/>
    <x v="0"/>
    <x v="2"/>
    <x v="1390"/>
    <x v="1378"/>
    <x v="1350"/>
    <x v="1"/>
    <x v="10"/>
    <x v="0"/>
    <x v="17"/>
    <x v="17"/>
    <x v="0"/>
    <x v="0"/>
    <x v="0"/>
    <x v="31"/>
    <x v="0"/>
    <x v="0"/>
    <x v="1"/>
    <x v="1"/>
  </r>
  <r>
    <x v="1366"/>
    <x v="1"/>
    <x v="25"/>
    <x v="1349"/>
    <x v="191"/>
    <x v="1274"/>
    <x v="1"/>
    <x v="0"/>
    <x v="1349"/>
    <x v="0"/>
    <x v="0"/>
    <x v="0"/>
    <x v="0"/>
    <x v="0"/>
    <x v="2"/>
    <x v="1274"/>
    <x v="1262"/>
    <x v="1349"/>
    <x v="1"/>
    <x v="10"/>
    <x v="0"/>
    <x v="17"/>
    <x v="17"/>
    <x v="0"/>
    <x v="0"/>
    <x v="0"/>
    <x v="31"/>
    <x v="0"/>
    <x v="0"/>
    <x v="1"/>
    <x v="1"/>
  </r>
  <r>
    <x v="1365"/>
    <x v="1"/>
    <x v="25"/>
    <x v="1348"/>
    <x v="553"/>
    <x v="1326"/>
    <x v="1"/>
    <x v="0"/>
    <x v="1348"/>
    <x v="0"/>
    <x v="0"/>
    <x v="0"/>
    <x v="0"/>
    <x v="0"/>
    <x v="2"/>
    <x v="1326"/>
    <x v="1314"/>
    <x v="1348"/>
    <x v="1"/>
    <x v="10"/>
    <x v="0"/>
    <x v="17"/>
    <x v="17"/>
    <x v="0"/>
    <x v="0"/>
    <x v="0"/>
    <x v="31"/>
    <x v="0"/>
    <x v="0"/>
    <x v="1"/>
    <x v="1"/>
  </r>
  <r>
    <x v="1364"/>
    <x v="1"/>
    <x v="25"/>
    <x v="1347"/>
    <x v="644"/>
    <x v="1337"/>
    <x v="1"/>
    <x v="0"/>
    <x v="1347"/>
    <x v="0"/>
    <x v="0"/>
    <x v="0"/>
    <x v="0"/>
    <x v="0"/>
    <x v="2"/>
    <x v="1337"/>
    <x v="1325"/>
    <x v="1347"/>
    <x v="1"/>
    <x v="10"/>
    <x v="0"/>
    <x v="17"/>
    <x v="17"/>
    <x v="0"/>
    <x v="0"/>
    <x v="0"/>
    <x v="31"/>
    <x v="0"/>
    <x v="0"/>
    <x v="1"/>
    <x v="1"/>
  </r>
  <r>
    <x v="1363"/>
    <x v="1"/>
    <x v="25"/>
    <x v="1346"/>
    <x v="753"/>
    <x v="1356"/>
    <x v="1"/>
    <x v="0"/>
    <x v="1346"/>
    <x v="0"/>
    <x v="0"/>
    <x v="0"/>
    <x v="0"/>
    <x v="0"/>
    <x v="2"/>
    <x v="1356"/>
    <x v="1344"/>
    <x v="1346"/>
    <x v="1"/>
    <x v="10"/>
    <x v="0"/>
    <x v="17"/>
    <x v="17"/>
    <x v="0"/>
    <x v="0"/>
    <x v="0"/>
    <x v="31"/>
    <x v="0"/>
    <x v="0"/>
    <x v="1"/>
    <x v="1"/>
  </r>
  <r>
    <x v="1362"/>
    <x v="1"/>
    <x v="25"/>
    <x v="1345"/>
    <x v="238"/>
    <x v="1284"/>
    <x v="1"/>
    <x v="0"/>
    <x v="1345"/>
    <x v="0"/>
    <x v="0"/>
    <x v="0"/>
    <x v="0"/>
    <x v="0"/>
    <x v="2"/>
    <x v="1284"/>
    <x v="1272"/>
    <x v="1345"/>
    <x v="1"/>
    <x v="10"/>
    <x v="0"/>
    <x v="17"/>
    <x v="17"/>
    <x v="0"/>
    <x v="0"/>
    <x v="0"/>
    <x v="31"/>
    <x v="0"/>
    <x v="0"/>
    <x v="1"/>
    <x v="1"/>
  </r>
  <r>
    <x v="1361"/>
    <x v="1"/>
    <x v="25"/>
    <x v="1344"/>
    <x v="319"/>
    <x v="1299"/>
    <x v="1"/>
    <x v="0"/>
    <x v="1344"/>
    <x v="0"/>
    <x v="0"/>
    <x v="0"/>
    <x v="0"/>
    <x v="0"/>
    <x v="2"/>
    <x v="1299"/>
    <x v="1287"/>
    <x v="1344"/>
    <x v="1"/>
    <x v="10"/>
    <x v="0"/>
    <x v="17"/>
    <x v="17"/>
    <x v="0"/>
    <x v="0"/>
    <x v="0"/>
    <x v="31"/>
    <x v="0"/>
    <x v="0"/>
    <x v="1"/>
    <x v="1"/>
  </r>
  <r>
    <x v="1360"/>
    <x v="1"/>
    <x v="25"/>
    <x v="1343"/>
    <x v="679"/>
    <x v="1344"/>
    <x v="1"/>
    <x v="0"/>
    <x v="1343"/>
    <x v="0"/>
    <x v="0"/>
    <x v="0"/>
    <x v="0"/>
    <x v="0"/>
    <x v="2"/>
    <x v="1344"/>
    <x v="1332"/>
    <x v="1343"/>
    <x v="1"/>
    <x v="10"/>
    <x v="0"/>
    <x v="17"/>
    <x v="17"/>
    <x v="0"/>
    <x v="0"/>
    <x v="0"/>
    <x v="28"/>
    <x v="0"/>
    <x v="0"/>
    <x v="1"/>
    <x v="1"/>
  </r>
  <r>
    <x v="1359"/>
    <x v="1"/>
    <x v="25"/>
    <x v="1342"/>
    <x v="680"/>
    <x v="1345"/>
    <x v="1"/>
    <x v="0"/>
    <x v="1342"/>
    <x v="0"/>
    <x v="0"/>
    <x v="0"/>
    <x v="0"/>
    <x v="0"/>
    <x v="2"/>
    <x v="1345"/>
    <x v="1333"/>
    <x v="1342"/>
    <x v="1"/>
    <x v="10"/>
    <x v="0"/>
    <x v="17"/>
    <x v="17"/>
    <x v="0"/>
    <x v="0"/>
    <x v="0"/>
    <x v="31"/>
    <x v="0"/>
    <x v="0"/>
    <x v="1"/>
    <x v="1"/>
  </r>
  <r>
    <x v="1358"/>
    <x v="1"/>
    <x v="25"/>
    <x v="1341"/>
    <x v="396"/>
    <x v="1316"/>
    <x v="1"/>
    <x v="0"/>
    <x v="1341"/>
    <x v="0"/>
    <x v="0"/>
    <x v="0"/>
    <x v="0"/>
    <x v="0"/>
    <x v="2"/>
    <x v="1316"/>
    <x v="1304"/>
    <x v="1341"/>
    <x v="1"/>
    <x v="10"/>
    <x v="0"/>
    <x v="17"/>
    <x v="17"/>
    <x v="0"/>
    <x v="0"/>
    <x v="0"/>
    <x v="31"/>
    <x v="0"/>
    <x v="0"/>
    <x v="1"/>
    <x v="1"/>
  </r>
  <r>
    <x v="1357"/>
    <x v="1"/>
    <x v="25"/>
    <x v="1340"/>
    <x v="377"/>
    <x v="1312"/>
    <x v="1"/>
    <x v="0"/>
    <x v="1340"/>
    <x v="0"/>
    <x v="0"/>
    <x v="0"/>
    <x v="0"/>
    <x v="0"/>
    <x v="2"/>
    <x v="1312"/>
    <x v="1300"/>
    <x v="1340"/>
    <x v="1"/>
    <x v="10"/>
    <x v="0"/>
    <x v="17"/>
    <x v="17"/>
    <x v="0"/>
    <x v="0"/>
    <x v="0"/>
    <x v="31"/>
    <x v="0"/>
    <x v="0"/>
    <x v="1"/>
    <x v="1"/>
  </r>
  <r>
    <x v="1356"/>
    <x v="1"/>
    <x v="25"/>
    <x v="1339"/>
    <x v="365"/>
    <x v="1310"/>
    <x v="1"/>
    <x v="0"/>
    <x v="1339"/>
    <x v="0"/>
    <x v="0"/>
    <x v="0"/>
    <x v="0"/>
    <x v="0"/>
    <x v="2"/>
    <x v="1310"/>
    <x v="1298"/>
    <x v="1339"/>
    <x v="1"/>
    <x v="10"/>
    <x v="0"/>
    <x v="17"/>
    <x v="17"/>
    <x v="0"/>
    <x v="0"/>
    <x v="0"/>
    <x v="31"/>
    <x v="0"/>
    <x v="0"/>
    <x v="1"/>
    <x v="1"/>
  </r>
  <r>
    <x v="1355"/>
    <x v="1"/>
    <x v="25"/>
    <x v="1338"/>
    <x v="633"/>
    <x v="1335"/>
    <x v="1"/>
    <x v="0"/>
    <x v="1338"/>
    <x v="0"/>
    <x v="0"/>
    <x v="0"/>
    <x v="0"/>
    <x v="0"/>
    <x v="2"/>
    <x v="1335"/>
    <x v="1323"/>
    <x v="1338"/>
    <x v="1"/>
    <x v="10"/>
    <x v="0"/>
    <x v="17"/>
    <x v="17"/>
    <x v="0"/>
    <x v="0"/>
    <x v="0"/>
    <x v="31"/>
    <x v="0"/>
    <x v="0"/>
    <x v="1"/>
    <x v="1"/>
  </r>
  <r>
    <x v="1354"/>
    <x v="1"/>
    <x v="25"/>
    <x v="1337"/>
    <x v="617"/>
    <x v="1334"/>
    <x v="1"/>
    <x v="0"/>
    <x v="1337"/>
    <x v="0"/>
    <x v="0"/>
    <x v="0"/>
    <x v="0"/>
    <x v="0"/>
    <x v="2"/>
    <x v="1334"/>
    <x v="1322"/>
    <x v="1337"/>
    <x v="1"/>
    <x v="10"/>
    <x v="0"/>
    <x v="17"/>
    <x v="17"/>
    <x v="0"/>
    <x v="0"/>
    <x v="0"/>
    <x v="31"/>
    <x v="0"/>
    <x v="0"/>
    <x v="1"/>
    <x v="1"/>
  </r>
  <r>
    <x v="1353"/>
    <x v="1"/>
    <x v="25"/>
    <x v="1336"/>
    <x v="903"/>
    <x v="1409"/>
    <x v="1"/>
    <x v="0"/>
    <x v="1336"/>
    <x v="0"/>
    <x v="0"/>
    <x v="0"/>
    <x v="0"/>
    <x v="0"/>
    <x v="2"/>
    <x v="1409"/>
    <x v="1397"/>
    <x v="1336"/>
    <x v="1"/>
    <x v="10"/>
    <x v="0"/>
    <x v="17"/>
    <x v="17"/>
    <x v="0"/>
    <x v="0"/>
    <x v="0"/>
    <x v="31"/>
    <x v="0"/>
    <x v="0"/>
    <x v="1"/>
    <x v="1"/>
  </r>
  <r>
    <x v="1352"/>
    <x v="1"/>
    <x v="25"/>
    <x v="1335"/>
    <x v="920"/>
    <x v="1422"/>
    <x v="1"/>
    <x v="0"/>
    <x v="1335"/>
    <x v="0"/>
    <x v="0"/>
    <x v="0"/>
    <x v="0"/>
    <x v="0"/>
    <x v="2"/>
    <x v="1422"/>
    <x v="1410"/>
    <x v="1335"/>
    <x v="1"/>
    <x v="10"/>
    <x v="0"/>
    <x v="17"/>
    <x v="17"/>
    <x v="0"/>
    <x v="0"/>
    <x v="0"/>
    <x v="31"/>
    <x v="0"/>
    <x v="0"/>
    <x v="1"/>
    <x v="1"/>
  </r>
  <r>
    <x v="1351"/>
    <x v="1"/>
    <x v="25"/>
    <x v="1334"/>
    <x v="913"/>
    <x v="1420"/>
    <x v="1"/>
    <x v="0"/>
    <x v="1334"/>
    <x v="0"/>
    <x v="0"/>
    <x v="0"/>
    <x v="0"/>
    <x v="0"/>
    <x v="2"/>
    <x v="1420"/>
    <x v="1408"/>
    <x v="1334"/>
    <x v="1"/>
    <x v="10"/>
    <x v="0"/>
    <x v="17"/>
    <x v="17"/>
    <x v="0"/>
    <x v="0"/>
    <x v="0"/>
    <x v="31"/>
    <x v="0"/>
    <x v="0"/>
    <x v="1"/>
    <x v="1"/>
  </r>
  <r>
    <x v="1350"/>
    <x v="1"/>
    <x v="25"/>
    <x v="1333"/>
    <x v="863"/>
    <x v="1392"/>
    <x v="1"/>
    <x v="0"/>
    <x v="1333"/>
    <x v="0"/>
    <x v="0"/>
    <x v="0"/>
    <x v="0"/>
    <x v="0"/>
    <x v="2"/>
    <x v="1392"/>
    <x v="1380"/>
    <x v="1333"/>
    <x v="1"/>
    <x v="10"/>
    <x v="0"/>
    <x v="17"/>
    <x v="17"/>
    <x v="0"/>
    <x v="0"/>
    <x v="0"/>
    <x v="31"/>
    <x v="0"/>
    <x v="0"/>
    <x v="1"/>
    <x v="1"/>
  </r>
  <r>
    <x v="1349"/>
    <x v="1"/>
    <x v="25"/>
    <x v="1332"/>
    <x v="872"/>
    <x v="1402"/>
    <x v="1"/>
    <x v="0"/>
    <x v="1332"/>
    <x v="0"/>
    <x v="0"/>
    <x v="0"/>
    <x v="0"/>
    <x v="0"/>
    <x v="2"/>
    <x v="1402"/>
    <x v="1390"/>
    <x v="1332"/>
    <x v="1"/>
    <x v="10"/>
    <x v="0"/>
    <x v="17"/>
    <x v="17"/>
    <x v="0"/>
    <x v="0"/>
    <x v="0"/>
    <x v="31"/>
    <x v="0"/>
    <x v="0"/>
    <x v="1"/>
    <x v="1"/>
  </r>
  <r>
    <x v="1348"/>
    <x v="1"/>
    <x v="25"/>
    <x v="1331"/>
    <x v="857"/>
    <x v="1388"/>
    <x v="1"/>
    <x v="0"/>
    <x v="1331"/>
    <x v="0"/>
    <x v="0"/>
    <x v="0"/>
    <x v="0"/>
    <x v="0"/>
    <x v="2"/>
    <x v="1388"/>
    <x v="1376"/>
    <x v="1331"/>
    <x v="1"/>
    <x v="10"/>
    <x v="0"/>
    <x v="17"/>
    <x v="17"/>
    <x v="0"/>
    <x v="0"/>
    <x v="0"/>
    <x v="31"/>
    <x v="0"/>
    <x v="0"/>
    <x v="1"/>
    <x v="1"/>
  </r>
  <r>
    <x v="1347"/>
    <x v="1"/>
    <x v="25"/>
    <x v="1330"/>
    <x v="193"/>
    <x v="1275"/>
    <x v="1"/>
    <x v="0"/>
    <x v="1330"/>
    <x v="0"/>
    <x v="0"/>
    <x v="0"/>
    <x v="0"/>
    <x v="0"/>
    <x v="2"/>
    <x v="1275"/>
    <x v="1263"/>
    <x v="1330"/>
    <x v="1"/>
    <x v="10"/>
    <x v="0"/>
    <x v="17"/>
    <x v="17"/>
    <x v="0"/>
    <x v="0"/>
    <x v="0"/>
    <x v="31"/>
    <x v="0"/>
    <x v="0"/>
    <x v="1"/>
    <x v="1"/>
  </r>
  <r>
    <x v="1346"/>
    <x v="1"/>
    <x v="25"/>
    <x v="1329"/>
    <x v="561"/>
    <x v="1328"/>
    <x v="1"/>
    <x v="0"/>
    <x v="1329"/>
    <x v="0"/>
    <x v="0"/>
    <x v="0"/>
    <x v="0"/>
    <x v="0"/>
    <x v="2"/>
    <x v="1328"/>
    <x v="1316"/>
    <x v="1329"/>
    <x v="1"/>
    <x v="10"/>
    <x v="0"/>
    <x v="17"/>
    <x v="17"/>
    <x v="0"/>
    <x v="0"/>
    <x v="0"/>
    <x v="31"/>
    <x v="0"/>
    <x v="0"/>
    <x v="1"/>
    <x v="1"/>
  </r>
  <r>
    <x v="1345"/>
    <x v="1"/>
    <x v="25"/>
    <x v="1328"/>
    <x v="560"/>
    <x v="1327"/>
    <x v="1"/>
    <x v="0"/>
    <x v="1328"/>
    <x v="0"/>
    <x v="0"/>
    <x v="0"/>
    <x v="0"/>
    <x v="0"/>
    <x v="2"/>
    <x v="1327"/>
    <x v="1315"/>
    <x v="1328"/>
    <x v="1"/>
    <x v="10"/>
    <x v="0"/>
    <x v="17"/>
    <x v="17"/>
    <x v="0"/>
    <x v="0"/>
    <x v="0"/>
    <x v="31"/>
    <x v="0"/>
    <x v="0"/>
    <x v="1"/>
    <x v="1"/>
  </r>
  <r>
    <x v="1344"/>
    <x v="1"/>
    <x v="25"/>
    <x v="1327"/>
    <x v="562"/>
    <x v="1329"/>
    <x v="1"/>
    <x v="0"/>
    <x v="1327"/>
    <x v="0"/>
    <x v="0"/>
    <x v="0"/>
    <x v="0"/>
    <x v="0"/>
    <x v="2"/>
    <x v="1329"/>
    <x v="1317"/>
    <x v="1327"/>
    <x v="1"/>
    <x v="10"/>
    <x v="0"/>
    <x v="17"/>
    <x v="17"/>
    <x v="0"/>
    <x v="0"/>
    <x v="0"/>
    <x v="31"/>
    <x v="0"/>
    <x v="0"/>
    <x v="1"/>
    <x v="1"/>
  </r>
  <r>
    <x v="1343"/>
    <x v="1"/>
    <x v="25"/>
    <x v="1326"/>
    <x v="649"/>
    <x v="1338"/>
    <x v="1"/>
    <x v="0"/>
    <x v="1326"/>
    <x v="0"/>
    <x v="0"/>
    <x v="0"/>
    <x v="0"/>
    <x v="0"/>
    <x v="2"/>
    <x v="1338"/>
    <x v="1326"/>
    <x v="1326"/>
    <x v="1"/>
    <x v="10"/>
    <x v="0"/>
    <x v="17"/>
    <x v="17"/>
    <x v="0"/>
    <x v="0"/>
    <x v="0"/>
    <x v="31"/>
    <x v="0"/>
    <x v="0"/>
    <x v="1"/>
    <x v="1"/>
  </r>
  <r>
    <x v="1342"/>
    <x v="1"/>
    <x v="25"/>
    <x v="1325"/>
    <x v="757"/>
    <x v="1357"/>
    <x v="1"/>
    <x v="0"/>
    <x v="1325"/>
    <x v="0"/>
    <x v="0"/>
    <x v="0"/>
    <x v="0"/>
    <x v="0"/>
    <x v="2"/>
    <x v="1357"/>
    <x v="1345"/>
    <x v="1325"/>
    <x v="1"/>
    <x v="10"/>
    <x v="0"/>
    <x v="17"/>
    <x v="17"/>
    <x v="0"/>
    <x v="0"/>
    <x v="0"/>
    <x v="31"/>
    <x v="0"/>
    <x v="0"/>
    <x v="1"/>
    <x v="1"/>
  </r>
  <r>
    <x v="1341"/>
    <x v="1"/>
    <x v="25"/>
    <x v="1324"/>
    <x v="239"/>
    <x v="1283"/>
    <x v="1"/>
    <x v="0"/>
    <x v="1324"/>
    <x v="0"/>
    <x v="0"/>
    <x v="0"/>
    <x v="0"/>
    <x v="0"/>
    <x v="2"/>
    <x v="1283"/>
    <x v="1271"/>
    <x v="1324"/>
    <x v="1"/>
    <x v="10"/>
    <x v="0"/>
    <x v="17"/>
    <x v="17"/>
    <x v="0"/>
    <x v="0"/>
    <x v="0"/>
    <x v="31"/>
    <x v="0"/>
    <x v="0"/>
    <x v="1"/>
    <x v="1"/>
  </r>
  <r>
    <x v="1340"/>
    <x v="1"/>
    <x v="25"/>
    <x v="1323"/>
    <x v="225"/>
    <x v="1279"/>
    <x v="1"/>
    <x v="0"/>
    <x v="1323"/>
    <x v="0"/>
    <x v="0"/>
    <x v="0"/>
    <x v="0"/>
    <x v="0"/>
    <x v="2"/>
    <x v="1279"/>
    <x v="1267"/>
    <x v="1323"/>
    <x v="1"/>
    <x v="10"/>
    <x v="0"/>
    <x v="17"/>
    <x v="17"/>
    <x v="0"/>
    <x v="0"/>
    <x v="0"/>
    <x v="31"/>
    <x v="0"/>
    <x v="0"/>
    <x v="1"/>
    <x v="1"/>
  </r>
  <r>
    <x v="1339"/>
    <x v="1"/>
    <x v="25"/>
    <x v="1322"/>
    <x v="395"/>
    <x v="1315"/>
    <x v="1"/>
    <x v="0"/>
    <x v="1322"/>
    <x v="0"/>
    <x v="0"/>
    <x v="0"/>
    <x v="0"/>
    <x v="0"/>
    <x v="2"/>
    <x v="1315"/>
    <x v="1303"/>
    <x v="1322"/>
    <x v="1"/>
    <x v="10"/>
    <x v="0"/>
    <x v="17"/>
    <x v="17"/>
    <x v="0"/>
    <x v="0"/>
    <x v="0"/>
    <x v="31"/>
    <x v="0"/>
    <x v="0"/>
    <x v="1"/>
    <x v="1"/>
  </r>
  <r>
    <x v="1338"/>
    <x v="1"/>
    <x v="25"/>
    <x v="1321"/>
    <x v="391"/>
    <x v="1314"/>
    <x v="1"/>
    <x v="0"/>
    <x v="1321"/>
    <x v="0"/>
    <x v="0"/>
    <x v="0"/>
    <x v="0"/>
    <x v="0"/>
    <x v="2"/>
    <x v="1314"/>
    <x v="1302"/>
    <x v="1321"/>
    <x v="1"/>
    <x v="10"/>
    <x v="0"/>
    <x v="17"/>
    <x v="17"/>
    <x v="0"/>
    <x v="0"/>
    <x v="0"/>
    <x v="31"/>
    <x v="0"/>
    <x v="0"/>
    <x v="1"/>
    <x v="1"/>
  </r>
  <r>
    <x v="1337"/>
    <x v="1"/>
    <x v="25"/>
    <x v="1320"/>
    <x v="376"/>
    <x v="1311"/>
    <x v="1"/>
    <x v="0"/>
    <x v="1320"/>
    <x v="0"/>
    <x v="0"/>
    <x v="0"/>
    <x v="0"/>
    <x v="0"/>
    <x v="2"/>
    <x v="1311"/>
    <x v="1299"/>
    <x v="1320"/>
    <x v="1"/>
    <x v="10"/>
    <x v="0"/>
    <x v="17"/>
    <x v="17"/>
    <x v="0"/>
    <x v="0"/>
    <x v="0"/>
    <x v="31"/>
    <x v="0"/>
    <x v="0"/>
    <x v="1"/>
    <x v="1"/>
  </r>
  <r>
    <x v="1336"/>
    <x v="1"/>
    <x v="25"/>
    <x v="1319"/>
    <x v="364"/>
    <x v="1309"/>
    <x v="1"/>
    <x v="0"/>
    <x v="1319"/>
    <x v="0"/>
    <x v="0"/>
    <x v="0"/>
    <x v="0"/>
    <x v="0"/>
    <x v="2"/>
    <x v="1309"/>
    <x v="1297"/>
    <x v="1319"/>
    <x v="1"/>
    <x v="10"/>
    <x v="0"/>
    <x v="17"/>
    <x v="17"/>
    <x v="0"/>
    <x v="0"/>
    <x v="0"/>
    <x v="31"/>
    <x v="0"/>
    <x v="0"/>
    <x v="1"/>
    <x v="1"/>
  </r>
  <r>
    <x v="1335"/>
    <x v="1"/>
    <x v="25"/>
    <x v="1318"/>
    <x v="796"/>
    <x v="1375"/>
    <x v="1"/>
    <x v="0"/>
    <x v="1318"/>
    <x v="0"/>
    <x v="0"/>
    <x v="0"/>
    <x v="0"/>
    <x v="0"/>
    <x v="2"/>
    <x v="1375"/>
    <x v="1363"/>
    <x v="1318"/>
    <x v="1"/>
    <x v="10"/>
    <x v="0"/>
    <x v="17"/>
    <x v="17"/>
    <x v="0"/>
    <x v="0"/>
    <x v="0"/>
    <x v="31"/>
    <x v="0"/>
    <x v="0"/>
    <x v="1"/>
    <x v="1"/>
  </r>
  <r>
    <x v="1334"/>
    <x v="1"/>
    <x v="25"/>
    <x v="1317"/>
    <x v="791"/>
    <x v="1367"/>
    <x v="1"/>
    <x v="0"/>
    <x v="1317"/>
    <x v="0"/>
    <x v="0"/>
    <x v="0"/>
    <x v="0"/>
    <x v="0"/>
    <x v="2"/>
    <x v="1367"/>
    <x v="1355"/>
    <x v="1317"/>
    <x v="1"/>
    <x v="10"/>
    <x v="0"/>
    <x v="17"/>
    <x v="17"/>
    <x v="0"/>
    <x v="0"/>
    <x v="0"/>
    <x v="31"/>
    <x v="0"/>
    <x v="0"/>
    <x v="1"/>
    <x v="1"/>
  </r>
  <r>
    <x v="1333"/>
    <x v="1"/>
    <x v="25"/>
    <x v="1316"/>
    <x v="789"/>
    <x v="1365"/>
    <x v="1"/>
    <x v="0"/>
    <x v="1316"/>
    <x v="0"/>
    <x v="0"/>
    <x v="0"/>
    <x v="0"/>
    <x v="0"/>
    <x v="2"/>
    <x v="1365"/>
    <x v="1353"/>
    <x v="1316"/>
    <x v="1"/>
    <x v="10"/>
    <x v="0"/>
    <x v="17"/>
    <x v="17"/>
    <x v="0"/>
    <x v="0"/>
    <x v="0"/>
    <x v="31"/>
    <x v="0"/>
    <x v="0"/>
    <x v="1"/>
    <x v="1"/>
  </r>
  <r>
    <x v="1332"/>
    <x v="1"/>
    <x v="25"/>
    <x v="1315"/>
    <x v="797"/>
    <x v="1376"/>
    <x v="1"/>
    <x v="0"/>
    <x v="1315"/>
    <x v="0"/>
    <x v="0"/>
    <x v="0"/>
    <x v="0"/>
    <x v="0"/>
    <x v="2"/>
    <x v="1376"/>
    <x v="1364"/>
    <x v="1315"/>
    <x v="1"/>
    <x v="10"/>
    <x v="0"/>
    <x v="17"/>
    <x v="17"/>
    <x v="0"/>
    <x v="0"/>
    <x v="0"/>
    <x v="31"/>
    <x v="0"/>
    <x v="0"/>
    <x v="1"/>
    <x v="1"/>
  </r>
  <r>
    <x v="1331"/>
    <x v="1"/>
    <x v="25"/>
    <x v="1314"/>
    <x v="814"/>
    <x v="1364"/>
    <x v="1"/>
    <x v="0"/>
    <x v="1314"/>
    <x v="0"/>
    <x v="0"/>
    <x v="0"/>
    <x v="0"/>
    <x v="0"/>
    <x v="2"/>
    <x v="1364"/>
    <x v="1352"/>
    <x v="1314"/>
    <x v="1"/>
    <x v="10"/>
    <x v="0"/>
    <x v="17"/>
    <x v="17"/>
    <x v="0"/>
    <x v="0"/>
    <x v="0"/>
    <x v="31"/>
    <x v="0"/>
    <x v="0"/>
    <x v="1"/>
    <x v="1"/>
  </r>
  <r>
    <x v="1330"/>
    <x v="1"/>
    <x v="25"/>
    <x v="1313"/>
    <x v="794"/>
    <x v="1372"/>
    <x v="1"/>
    <x v="0"/>
    <x v="1313"/>
    <x v="0"/>
    <x v="0"/>
    <x v="0"/>
    <x v="0"/>
    <x v="0"/>
    <x v="2"/>
    <x v="1372"/>
    <x v="1360"/>
    <x v="1313"/>
    <x v="1"/>
    <x v="10"/>
    <x v="0"/>
    <x v="17"/>
    <x v="17"/>
    <x v="0"/>
    <x v="0"/>
    <x v="0"/>
    <x v="31"/>
    <x v="0"/>
    <x v="0"/>
    <x v="1"/>
    <x v="1"/>
  </r>
  <r>
    <x v="1329"/>
    <x v="1"/>
    <x v="25"/>
    <x v="1312"/>
    <x v="793"/>
    <x v="1370"/>
    <x v="1"/>
    <x v="0"/>
    <x v="1312"/>
    <x v="0"/>
    <x v="0"/>
    <x v="0"/>
    <x v="0"/>
    <x v="0"/>
    <x v="2"/>
    <x v="1370"/>
    <x v="1358"/>
    <x v="1312"/>
    <x v="1"/>
    <x v="10"/>
    <x v="0"/>
    <x v="17"/>
    <x v="17"/>
    <x v="0"/>
    <x v="0"/>
    <x v="0"/>
    <x v="31"/>
    <x v="0"/>
    <x v="0"/>
    <x v="1"/>
    <x v="1"/>
  </r>
  <r>
    <x v="1328"/>
    <x v="1"/>
    <x v="25"/>
    <x v="1311"/>
    <x v="843"/>
    <x v="1379"/>
    <x v="1"/>
    <x v="0"/>
    <x v="1311"/>
    <x v="0"/>
    <x v="0"/>
    <x v="0"/>
    <x v="0"/>
    <x v="0"/>
    <x v="2"/>
    <x v="1379"/>
    <x v="1367"/>
    <x v="1311"/>
    <x v="1"/>
    <x v="10"/>
    <x v="0"/>
    <x v="17"/>
    <x v="17"/>
    <x v="0"/>
    <x v="0"/>
    <x v="0"/>
    <x v="31"/>
    <x v="0"/>
    <x v="0"/>
    <x v="1"/>
    <x v="1"/>
  </r>
  <r>
    <x v="1327"/>
    <x v="1"/>
    <x v="25"/>
    <x v="1310"/>
    <x v="852"/>
    <x v="1384"/>
    <x v="1"/>
    <x v="0"/>
    <x v="1310"/>
    <x v="0"/>
    <x v="0"/>
    <x v="0"/>
    <x v="0"/>
    <x v="0"/>
    <x v="2"/>
    <x v="1384"/>
    <x v="1372"/>
    <x v="1310"/>
    <x v="1"/>
    <x v="10"/>
    <x v="0"/>
    <x v="17"/>
    <x v="17"/>
    <x v="0"/>
    <x v="0"/>
    <x v="0"/>
    <x v="31"/>
    <x v="0"/>
    <x v="0"/>
    <x v="1"/>
    <x v="1"/>
  </r>
  <r>
    <x v="1326"/>
    <x v="1"/>
    <x v="25"/>
    <x v="1309"/>
    <x v="795"/>
    <x v="1374"/>
    <x v="1"/>
    <x v="0"/>
    <x v="1309"/>
    <x v="0"/>
    <x v="0"/>
    <x v="0"/>
    <x v="0"/>
    <x v="0"/>
    <x v="2"/>
    <x v="1374"/>
    <x v="1362"/>
    <x v="1309"/>
    <x v="1"/>
    <x v="10"/>
    <x v="0"/>
    <x v="17"/>
    <x v="17"/>
    <x v="0"/>
    <x v="0"/>
    <x v="0"/>
    <x v="31"/>
    <x v="0"/>
    <x v="0"/>
    <x v="1"/>
    <x v="1"/>
  </r>
  <r>
    <x v="1325"/>
    <x v="1"/>
    <x v="25"/>
    <x v="1308"/>
    <x v="792"/>
    <x v="1377"/>
    <x v="1"/>
    <x v="0"/>
    <x v="1308"/>
    <x v="0"/>
    <x v="0"/>
    <x v="0"/>
    <x v="0"/>
    <x v="0"/>
    <x v="2"/>
    <x v="1377"/>
    <x v="1365"/>
    <x v="1308"/>
    <x v="1"/>
    <x v="10"/>
    <x v="0"/>
    <x v="17"/>
    <x v="17"/>
    <x v="0"/>
    <x v="0"/>
    <x v="0"/>
    <x v="31"/>
    <x v="0"/>
    <x v="0"/>
    <x v="1"/>
    <x v="1"/>
  </r>
  <r>
    <x v="1324"/>
    <x v="1"/>
    <x v="25"/>
    <x v="1307"/>
    <x v="799"/>
    <x v="1382"/>
    <x v="1"/>
    <x v="0"/>
    <x v="1307"/>
    <x v="0"/>
    <x v="0"/>
    <x v="0"/>
    <x v="0"/>
    <x v="0"/>
    <x v="2"/>
    <x v="1382"/>
    <x v="1370"/>
    <x v="1307"/>
    <x v="1"/>
    <x v="10"/>
    <x v="0"/>
    <x v="17"/>
    <x v="17"/>
    <x v="0"/>
    <x v="0"/>
    <x v="0"/>
    <x v="31"/>
    <x v="0"/>
    <x v="0"/>
    <x v="1"/>
    <x v="1"/>
  </r>
  <r>
    <x v="1323"/>
    <x v="1"/>
    <x v="25"/>
    <x v="1306"/>
    <x v="798"/>
    <x v="1378"/>
    <x v="1"/>
    <x v="0"/>
    <x v="1306"/>
    <x v="0"/>
    <x v="0"/>
    <x v="0"/>
    <x v="0"/>
    <x v="0"/>
    <x v="2"/>
    <x v="1378"/>
    <x v="1366"/>
    <x v="1306"/>
    <x v="1"/>
    <x v="10"/>
    <x v="0"/>
    <x v="17"/>
    <x v="17"/>
    <x v="0"/>
    <x v="0"/>
    <x v="0"/>
    <x v="31"/>
    <x v="0"/>
    <x v="0"/>
    <x v="1"/>
    <x v="1"/>
  </r>
  <r>
    <x v="1322"/>
    <x v="1"/>
    <x v="25"/>
    <x v="1305"/>
    <x v="790"/>
    <x v="1366"/>
    <x v="1"/>
    <x v="0"/>
    <x v="1305"/>
    <x v="0"/>
    <x v="0"/>
    <x v="0"/>
    <x v="0"/>
    <x v="0"/>
    <x v="2"/>
    <x v="1366"/>
    <x v="1354"/>
    <x v="1305"/>
    <x v="1"/>
    <x v="10"/>
    <x v="0"/>
    <x v="17"/>
    <x v="17"/>
    <x v="0"/>
    <x v="0"/>
    <x v="0"/>
    <x v="31"/>
    <x v="0"/>
    <x v="0"/>
    <x v="1"/>
    <x v="1"/>
  </r>
  <r>
    <x v="1321"/>
    <x v="1"/>
    <x v="25"/>
    <x v="1304"/>
    <x v="788"/>
    <x v="1363"/>
    <x v="1"/>
    <x v="0"/>
    <x v="1304"/>
    <x v="0"/>
    <x v="0"/>
    <x v="0"/>
    <x v="0"/>
    <x v="0"/>
    <x v="2"/>
    <x v="1363"/>
    <x v="1351"/>
    <x v="1304"/>
    <x v="1"/>
    <x v="10"/>
    <x v="0"/>
    <x v="17"/>
    <x v="17"/>
    <x v="0"/>
    <x v="0"/>
    <x v="0"/>
    <x v="31"/>
    <x v="0"/>
    <x v="0"/>
    <x v="1"/>
    <x v="1"/>
  </r>
  <r>
    <x v="1320"/>
    <x v="1"/>
    <x v="25"/>
    <x v="1303"/>
    <x v="871"/>
    <x v="1401"/>
    <x v="1"/>
    <x v="0"/>
    <x v="1303"/>
    <x v="0"/>
    <x v="0"/>
    <x v="0"/>
    <x v="0"/>
    <x v="0"/>
    <x v="2"/>
    <x v="1401"/>
    <x v="1389"/>
    <x v="1303"/>
    <x v="1"/>
    <x v="10"/>
    <x v="0"/>
    <x v="17"/>
    <x v="17"/>
    <x v="0"/>
    <x v="0"/>
    <x v="0"/>
    <x v="31"/>
    <x v="0"/>
    <x v="0"/>
    <x v="1"/>
    <x v="1"/>
  </r>
  <r>
    <x v="1319"/>
    <x v="1"/>
    <x v="25"/>
    <x v="1302"/>
    <x v="858"/>
    <x v="1389"/>
    <x v="1"/>
    <x v="0"/>
    <x v="1302"/>
    <x v="0"/>
    <x v="0"/>
    <x v="0"/>
    <x v="0"/>
    <x v="0"/>
    <x v="2"/>
    <x v="1389"/>
    <x v="1377"/>
    <x v="1302"/>
    <x v="1"/>
    <x v="10"/>
    <x v="0"/>
    <x v="17"/>
    <x v="17"/>
    <x v="0"/>
    <x v="0"/>
    <x v="0"/>
    <x v="31"/>
    <x v="0"/>
    <x v="0"/>
    <x v="1"/>
    <x v="1"/>
  </r>
  <r>
    <x v="1318"/>
    <x v="1"/>
    <x v="25"/>
    <x v="1301"/>
    <x v="856"/>
    <x v="1387"/>
    <x v="1"/>
    <x v="0"/>
    <x v="1301"/>
    <x v="0"/>
    <x v="0"/>
    <x v="0"/>
    <x v="0"/>
    <x v="0"/>
    <x v="2"/>
    <x v="1387"/>
    <x v="1375"/>
    <x v="1301"/>
    <x v="1"/>
    <x v="10"/>
    <x v="0"/>
    <x v="17"/>
    <x v="17"/>
    <x v="0"/>
    <x v="0"/>
    <x v="0"/>
    <x v="31"/>
    <x v="0"/>
    <x v="0"/>
    <x v="1"/>
    <x v="1"/>
  </r>
  <r>
    <x v="1317"/>
    <x v="1"/>
    <x v="25"/>
    <x v="1300"/>
    <x v="264"/>
    <x v="1290"/>
    <x v="1"/>
    <x v="0"/>
    <x v="1300"/>
    <x v="0"/>
    <x v="0"/>
    <x v="0"/>
    <x v="0"/>
    <x v="0"/>
    <x v="2"/>
    <x v="1290"/>
    <x v="1278"/>
    <x v="1300"/>
    <x v="1"/>
    <x v="10"/>
    <x v="0"/>
    <x v="17"/>
    <x v="17"/>
    <x v="0"/>
    <x v="0"/>
    <x v="0"/>
    <x v="31"/>
    <x v="0"/>
    <x v="0"/>
    <x v="1"/>
    <x v="1"/>
  </r>
  <r>
    <x v="1316"/>
    <x v="1"/>
    <x v="25"/>
    <x v="1299"/>
    <x v="567"/>
    <x v="1330"/>
    <x v="1"/>
    <x v="0"/>
    <x v="1299"/>
    <x v="0"/>
    <x v="0"/>
    <x v="0"/>
    <x v="0"/>
    <x v="0"/>
    <x v="2"/>
    <x v="1330"/>
    <x v="1318"/>
    <x v="1299"/>
    <x v="1"/>
    <x v="10"/>
    <x v="0"/>
    <x v="17"/>
    <x v="17"/>
    <x v="0"/>
    <x v="0"/>
    <x v="0"/>
    <x v="31"/>
    <x v="0"/>
    <x v="0"/>
    <x v="1"/>
    <x v="1"/>
  </r>
  <r>
    <x v="1315"/>
    <x v="1"/>
    <x v="25"/>
    <x v="1298"/>
    <x v="770"/>
    <x v="1360"/>
    <x v="1"/>
    <x v="0"/>
    <x v="1298"/>
    <x v="0"/>
    <x v="0"/>
    <x v="0"/>
    <x v="0"/>
    <x v="0"/>
    <x v="2"/>
    <x v="1360"/>
    <x v="1348"/>
    <x v="1298"/>
    <x v="1"/>
    <x v="10"/>
    <x v="0"/>
    <x v="17"/>
    <x v="17"/>
    <x v="0"/>
    <x v="0"/>
    <x v="0"/>
    <x v="31"/>
    <x v="0"/>
    <x v="0"/>
    <x v="1"/>
    <x v="1"/>
  </r>
  <r>
    <x v="1314"/>
    <x v="1"/>
    <x v="25"/>
    <x v="1297"/>
    <x v="332"/>
    <x v="1304"/>
    <x v="1"/>
    <x v="0"/>
    <x v="1297"/>
    <x v="0"/>
    <x v="0"/>
    <x v="0"/>
    <x v="0"/>
    <x v="0"/>
    <x v="2"/>
    <x v="1304"/>
    <x v="1292"/>
    <x v="1297"/>
    <x v="1"/>
    <x v="10"/>
    <x v="0"/>
    <x v="17"/>
    <x v="17"/>
    <x v="0"/>
    <x v="0"/>
    <x v="0"/>
    <x v="31"/>
    <x v="0"/>
    <x v="0"/>
    <x v="1"/>
    <x v="1"/>
  </r>
  <r>
    <x v="1313"/>
    <x v="1"/>
    <x v="25"/>
    <x v="1296"/>
    <x v="334"/>
    <x v="1305"/>
    <x v="1"/>
    <x v="0"/>
    <x v="1296"/>
    <x v="0"/>
    <x v="0"/>
    <x v="0"/>
    <x v="0"/>
    <x v="0"/>
    <x v="2"/>
    <x v="1305"/>
    <x v="1293"/>
    <x v="1296"/>
    <x v="1"/>
    <x v="10"/>
    <x v="0"/>
    <x v="17"/>
    <x v="17"/>
    <x v="0"/>
    <x v="0"/>
    <x v="0"/>
    <x v="31"/>
    <x v="0"/>
    <x v="0"/>
    <x v="1"/>
    <x v="1"/>
  </r>
  <r>
    <x v="1312"/>
    <x v="1"/>
    <x v="25"/>
    <x v="1295"/>
    <x v="483"/>
    <x v="1323"/>
    <x v="1"/>
    <x v="0"/>
    <x v="1295"/>
    <x v="0"/>
    <x v="0"/>
    <x v="0"/>
    <x v="0"/>
    <x v="0"/>
    <x v="2"/>
    <x v="1323"/>
    <x v="1311"/>
    <x v="1295"/>
    <x v="1"/>
    <x v="10"/>
    <x v="0"/>
    <x v="17"/>
    <x v="17"/>
    <x v="0"/>
    <x v="0"/>
    <x v="0"/>
    <x v="31"/>
    <x v="0"/>
    <x v="0"/>
    <x v="1"/>
    <x v="1"/>
  </r>
  <r>
    <x v="1311"/>
    <x v="1"/>
    <x v="25"/>
    <x v="1294"/>
    <x v="482"/>
    <x v="1322"/>
    <x v="1"/>
    <x v="0"/>
    <x v="1294"/>
    <x v="0"/>
    <x v="0"/>
    <x v="0"/>
    <x v="0"/>
    <x v="0"/>
    <x v="2"/>
    <x v="1322"/>
    <x v="1310"/>
    <x v="1294"/>
    <x v="1"/>
    <x v="10"/>
    <x v="0"/>
    <x v="17"/>
    <x v="17"/>
    <x v="0"/>
    <x v="0"/>
    <x v="0"/>
    <x v="31"/>
    <x v="0"/>
    <x v="0"/>
    <x v="1"/>
    <x v="1"/>
  </r>
  <r>
    <x v="1310"/>
    <x v="1"/>
    <x v="25"/>
    <x v="1293"/>
    <x v="469"/>
    <x v="1319"/>
    <x v="1"/>
    <x v="0"/>
    <x v="1293"/>
    <x v="0"/>
    <x v="0"/>
    <x v="0"/>
    <x v="0"/>
    <x v="0"/>
    <x v="2"/>
    <x v="1319"/>
    <x v="1307"/>
    <x v="1293"/>
    <x v="1"/>
    <x v="10"/>
    <x v="0"/>
    <x v="17"/>
    <x v="17"/>
    <x v="0"/>
    <x v="0"/>
    <x v="0"/>
    <x v="31"/>
    <x v="0"/>
    <x v="0"/>
    <x v="1"/>
    <x v="1"/>
  </r>
  <r>
    <x v="1309"/>
    <x v="1"/>
    <x v="25"/>
    <x v="1292"/>
    <x v="910"/>
    <x v="1414"/>
    <x v="1"/>
    <x v="0"/>
    <x v="1292"/>
    <x v="0"/>
    <x v="0"/>
    <x v="0"/>
    <x v="0"/>
    <x v="0"/>
    <x v="2"/>
    <x v="1414"/>
    <x v="1402"/>
    <x v="1292"/>
    <x v="1"/>
    <x v="10"/>
    <x v="0"/>
    <x v="17"/>
    <x v="17"/>
    <x v="0"/>
    <x v="0"/>
    <x v="0"/>
    <x v="31"/>
    <x v="0"/>
    <x v="0"/>
    <x v="1"/>
    <x v="1"/>
  </r>
  <r>
    <x v="1308"/>
    <x v="1"/>
    <x v="25"/>
    <x v="1291"/>
    <x v="912"/>
    <x v="1419"/>
    <x v="1"/>
    <x v="0"/>
    <x v="1291"/>
    <x v="0"/>
    <x v="0"/>
    <x v="0"/>
    <x v="0"/>
    <x v="0"/>
    <x v="2"/>
    <x v="1419"/>
    <x v="1407"/>
    <x v="1291"/>
    <x v="1"/>
    <x v="10"/>
    <x v="0"/>
    <x v="17"/>
    <x v="17"/>
    <x v="0"/>
    <x v="0"/>
    <x v="0"/>
    <x v="31"/>
    <x v="0"/>
    <x v="0"/>
    <x v="1"/>
    <x v="1"/>
  </r>
  <r>
    <x v="1307"/>
    <x v="1"/>
    <x v="25"/>
    <x v="1290"/>
    <x v="935"/>
    <x v="1428"/>
    <x v="1"/>
    <x v="0"/>
    <x v="1290"/>
    <x v="0"/>
    <x v="0"/>
    <x v="0"/>
    <x v="0"/>
    <x v="0"/>
    <x v="2"/>
    <x v="1428"/>
    <x v="1416"/>
    <x v="1290"/>
    <x v="1"/>
    <x v="10"/>
    <x v="0"/>
    <x v="17"/>
    <x v="17"/>
    <x v="0"/>
    <x v="0"/>
    <x v="0"/>
    <x v="31"/>
    <x v="0"/>
    <x v="0"/>
    <x v="1"/>
    <x v="1"/>
  </r>
  <r>
    <x v="1306"/>
    <x v="1"/>
    <x v="25"/>
    <x v="1289"/>
    <x v="295"/>
    <x v="1295"/>
    <x v="1"/>
    <x v="0"/>
    <x v="1289"/>
    <x v="0"/>
    <x v="0"/>
    <x v="0"/>
    <x v="0"/>
    <x v="0"/>
    <x v="2"/>
    <x v="1295"/>
    <x v="1283"/>
    <x v="1289"/>
    <x v="1"/>
    <x v="10"/>
    <x v="0"/>
    <x v="17"/>
    <x v="17"/>
    <x v="0"/>
    <x v="0"/>
    <x v="0"/>
    <x v="31"/>
    <x v="0"/>
    <x v="0"/>
    <x v="1"/>
    <x v="1"/>
  </r>
  <r>
    <x v="1305"/>
    <x v="1"/>
    <x v="25"/>
    <x v="1288"/>
    <x v="684"/>
    <x v="1346"/>
    <x v="1"/>
    <x v="0"/>
    <x v="1288"/>
    <x v="0"/>
    <x v="0"/>
    <x v="0"/>
    <x v="0"/>
    <x v="0"/>
    <x v="2"/>
    <x v="1346"/>
    <x v="1334"/>
    <x v="1288"/>
    <x v="1"/>
    <x v="10"/>
    <x v="0"/>
    <x v="17"/>
    <x v="17"/>
    <x v="0"/>
    <x v="0"/>
    <x v="0"/>
    <x v="31"/>
    <x v="0"/>
    <x v="0"/>
    <x v="1"/>
    <x v="1"/>
  </r>
  <r>
    <x v="1304"/>
    <x v="1"/>
    <x v="25"/>
    <x v="1287"/>
    <x v="574"/>
    <x v="1331"/>
    <x v="1"/>
    <x v="0"/>
    <x v="1287"/>
    <x v="0"/>
    <x v="0"/>
    <x v="0"/>
    <x v="0"/>
    <x v="0"/>
    <x v="2"/>
    <x v="1331"/>
    <x v="1319"/>
    <x v="1287"/>
    <x v="1"/>
    <x v="10"/>
    <x v="0"/>
    <x v="17"/>
    <x v="17"/>
    <x v="0"/>
    <x v="0"/>
    <x v="0"/>
    <x v="31"/>
    <x v="0"/>
    <x v="0"/>
    <x v="1"/>
    <x v="1"/>
  </r>
  <r>
    <x v="1303"/>
    <x v="1"/>
    <x v="25"/>
    <x v="1286"/>
    <x v="786"/>
    <x v="1361"/>
    <x v="1"/>
    <x v="0"/>
    <x v="1286"/>
    <x v="0"/>
    <x v="0"/>
    <x v="0"/>
    <x v="0"/>
    <x v="0"/>
    <x v="2"/>
    <x v="1361"/>
    <x v="1349"/>
    <x v="1286"/>
    <x v="1"/>
    <x v="10"/>
    <x v="0"/>
    <x v="17"/>
    <x v="17"/>
    <x v="0"/>
    <x v="0"/>
    <x v="0"/>
    <x v="31"/>
    <x v="0"/>
    <x v="0"/>
    <x v="1"/>
    <x v="1"/>
  </r>
  <r>
    <x v="1302"/>
    <x v="1"/>
    <x v="25"/>
    <x v="1285"/>
    <x v="219"/>
    <x v="1278"/>
    <x v="1"/>
    <x v="0"/>
    <x v="1285"/>
    <x v="0"/>
    <x v="0"/>
    <x v="0"/>
    <x v="0"/>
    <x v="0"/>
    <x v="2"/>
    <x v="1278"/>
    <x v="1266"/>
    <x v="1285"/>
    <x v="1"/>
    <x v="10"/>
    <x v="0"/>
    <x v="17"/>
    <x v="17"/>
    <x v="0"/>
    <x v="0"/>
    <x v="0"/>
    <x v="31"/>
    <x v="0"/>
    <x v="0"/>
    <x v="1"/>
    <x v="1"/>
  </r>
  <r>
    <x v="1301"/>
    <x v="1"/>
    <x v="25"/>
    <x v="1284"/>
    <x v="231"/>
    <x v="1282"/>
    <x v="1"/>
    <x v="0"/>
    <x v="1284"/>
    <x v="0"/>
    <x v="0"/>
    <x v="0"/>
    <x v="0"/>
    <x v="0"/>
    <x v="2"/>
    <x v="1282"/>
    <x v="1270"/>
    <x v="1284"/>
    <x v="1"/>
    <x v="10"/>
    <x v="0"/>
    <x v="17"/>
    <x v="17"/>
    <x v="0"/>
    <x v="0"/>
    <x v="0"/>
    <x v="31"/>
    <x v="0"/>
    <x v="0"/>
    <x v="1"/>
    <x v="1"/>
  </r>
  <r>
    <x v="1300"/>
    <x v="1"/>
    <x v="25"/>
    <x v="1283"/>
    <x v="241"/>
    <x v="1285"/>
    <x v="1"/>
    <x v="0"/>
    <x v="1283"/>
    <x v="0"/>
    <x v="0"/>
    <x v="0"/>
    <x v="0"/>
    <x v="0"/>
    <x v="2"/>
    <x v="1285"/>
    <x v="1273"/>
    <x v="1283"/>
    <x v="1"/>
    <x v="10"/>
    <x v="0"/>
    <x v="17"/>
    <x v="17"/>
    <x v="0"/>
    <x v="0"/>
    <x v="0"/>
    <x v="31"/>
    <x v="0"/>
    <x v="0"/>
    <x v="1"/>
    <x v="1"/>
  </r>
  <r>
    <x v="1299"/>
    <x v="1"/>
    <x v="25"/>
    <x v="1282"/>
    <x v="230"/>
    <x v="1281"/>
    <x v="1"/>
    <x v="0"/>
    <x v="1282"/>
    <x v="0"/>
    <x v="0"/>
    <x v="0"/>
    <x v="0"/>
    <x v="0"/>
    <x v="2"/>
    <x v="1281"/>
    <x v="1269"/>
    <x v="1282"/>
    <x v="1"/>
    <x v="10"/>
    <x v="0"/>
    <x v="17"/>
    <x v="17"/>
    <x v="0"/>
    <x v="0"/>
    <x v="0"/>
    <x v="31"/>
    <x v="0"/>
    <x v="0"/>
    <x v="1"/>
    <x v="1"/>
  </r>
  <r>
    <x v="1298"/>
    <x v="1"/>
    <x v="25"/>
    <x v="1281"/>
    <x v="336"/>
    <x v="1306"/>
    <x v="1"/>
    <x v="0"/>
    <x v="1281"/>
    <x v="0"/>
    <x v="0"/>
    <x v="0"/>
    <x v="0"/>
    <x v="0"/>
    <x v="2"/>
    <x v="1306"/>
    <x v="1294"/>
    <x v="1281"/>
    <x v="1"/>
    <x v="10"/>
    <x v="0"/>
    <x v="17"/>
    <x v="17"/>
    <x v="0"/>
    <x v="0"/>
    <x v="0"/>
    <x v="31"/>
    <x v="0"/>
    <x v="0"/>
    <x v="1"/>
    <x v="1"/>
  </r>
  <r>
    <x v="1297"/>
    <x v="1"/>
    <x v="25"/>
    <x v="1280"/>
    <x v="342"/>
    <x v="1308"/>
    <x v="1"/>
    <x v="0"/>
    <x v="1280"/>
    <x v="0"/>
    <x v="0"/>
    <x v="0"/>
    <x v="0"/>
    <x v="0"/>
    <x v="2"/>
    <x v="1308"/>
    <x v="1296"/>
    <x v="1280"/>
    <x v="1"/>
    <x v="10"/>
    <x v="0"/>
    <x v="17"/>
    <x v="17"/>
    <x v="0"/>
    <x v="0"/>
    <x v="0"/>
    <x v="28"/>
    <x v="0"/>
    <x v="0"/>
    <x v="1"/>
    <x v="1"/>
  </r>
  <r>
    <x v="1296"/>
    <x v="1"/>
    <x v="25"/>
    <x v="1279"/>
    <x v="939"/>
    <x v="1430"/>
    <x v="1"/>
    <x v="0"/>
    <x v="1279"/>
    <x v="0"/>
    <x v="0"/>
    <x v="0"/>
    <x v="0"/>
    <x v="0"/>
    <x v="2"/>
    <x v="1430"/>
    <x v="1418"/>
    <x v="1279"/>
    <x v="1"/>
    <x v="10"/>
    <x v="0"/>
    <x v="17"/>
    <x v="17"/>
    <x v="0"/>
    <x v="0"/>
    <x v="0"/>
    <x v="31"/>
    <x v="0"/>
    <x v="0"/>
    <x v="1"/>
    <x v="1"/>
  </r>
  <r>
    <x v="1295"/>
    <x v="1"/>
    <x v="25"/>
    <x v="1278"/>
    <x v="934"/>
    <x v="1427"/>
    <x v="1"/>
    <x v="0"/>
    <x v="1278"/>
    <x v="0"/>
    <x v="0"/>
    <x v="0"/>
    <x v="0"/>
    <x v="0"/>
    <x v="2"/>
    <x v="1427"/>
    <x v="1415"/>
    <x v="1278"/>
    <x v="1"/>
    <x v="10"/>
    <x v="0"/>
    <x v="17"/>
    <x v="17"/>
    <x v="0"/>
    <x v="0"/>
    <x v="0"/>
    <x v="31"/>
    <x v="0"/>
    <x v="0"/>
    <x v="1"/>
    <x v="1"/>
  </r>
  <r>
    <x v="1294"/>
    <x v="1"/>
    <x v="25"/>
    <x v="1277"/>
    <x v="922"/>
    <x v="1424"/>
    <x v="1"/>
    <x v="0"/>
    <x v="1277"/>
    <x v="0"/>
    <x v="0"/>
    <x v="0"/>
    <x v="0"/>
    <x v="0"/>
    <x v="2"/>
    <x v="1424"/>
    <x v="1412"/>
    <x v="1277"/>
    <x v="1"/>
    <x v="10"/>
    <x v="0"/>
    <x v="17"/>
    <x v="17"/>
    <x v="0"/>
    <x v="0"/>
    <x v="0"/>
    <x v="31"/>
    <x v="0"/>
    <x v="0"/>
    <x v="1"/>
    <x v="1"/>
  </r>
  <r>
    <x v="1293"/>
    <x v="1"/>
    <x v="25"/>
    <x v="1276"/>
    <x v="879"/>
    <x v="1404"/>
    <x v="1"/>
    <x v="0"/>
    <x v="1276"/>
    <x v="0"/>
    <x v="0"/>
    <x v="0"/>
    <x v="0"/>
    <x v="0"/>
    <x v="2"/>
    <x v="1404"/>
    <x v="1392"/>
    <x v="1276"/>
    <x v="1"/>
    <x v="10"/>
    <x v="0"/>
    <x v="17"/>
    <x v="17"/>
    <x v="0"/>
    <x v="0"/>
    <x v="0"/>
    <x v="31"/>
    <x v="0"/>
    <x v="0"/>
    <x v="1"/>
    <x v="1"/>
  </r>
  <r>
    <x v="1292"/>
    <x v="1"/>
    <x v="25"/>
    <x v="1275"/>
    <x v="293"/>
    <x v="1294"/>
    <x v="1"/>
    <x v="0"/>
    <x v="1275"/>
    <x v="0"/>
    <x v="0"/>
    <x v="0"/>
    <x v="0"/>
    <x v="0"/>
    <x v="2"/>
    <x v="1294"/>
    <x v="1282"/>
    <x v="1275"/>
    <x v="1"/>
    <x v="10"/>
    <x v="0"/>
    <x v="17"/>
    <x v="17"/>
    <x v="0"/>
    <x v="0"/>
    <x v="0"/>
    <x v="31"/>
    <x v="0"/>
    <x v="0"/>
    <x v="1"/>
    <x v="1"/>
  </r>
  <r>
    <x v="1291"/>
    <x v="1"/>
    <x v="25"/>
    <x v="1274"/>
    <x v="265"/>
    <x v="1289"/>
    <x v="1"/>
    <x v="0"/>
    <x v="1274"/>
    <x v="0"/>
    <x v="0"/>
    <x v="0"/>
    <x v="0"/>
    <x v="0"/>
    <x v="2"/>
    <x v="1289"/>
    <x v="1277"/>
    <x v="1274"/>
    <x v="1"/>
    <x v="10"/>
    <x v="0"/>
    <x v="17"/>
    <x v="17"/>
    <x v="0"/>
    <x v="0"/>
    <x v="0"/>
    <x v="31"/>
    <x v="0"/>
    <x v="0"/>
    <x v="1"/>
    <x v="1"/>
  </r>
  <r>
    <x v="1290"/>
    <x v="1"/>
    <x v="25"/>
    <x v="1273"/>
    <x v="737"/>
    <x v="1354"/>
    <x v="1"/>
    <x v="0"/>
    <x v="1273"/>
    <x v="0"/>
    <x v="0"/>
    <x v="0"/>
    <x v="0"/>
    <x v="0"/>
    <x v="2"/>
    <x v="1354"/>
    <x v="1342"/>
    <x v="1273"/>
    <x v="1"/>
    <x v="10"/>
    <x v="0"/>
    <x v="17"/>
    <x v="17"/>
    <x v="0"/>
    <x v="0"/>
    <x v="0"/>
    <x v="31"/>
    <x v="0"/>
    <x v="0"/>
    <x v="1"/>
    <x v="1"/>
  </r>
  <r>
    <x v="1289"/>
    <x v="1"/>
    <x v="25"/>
    <x v="1272"/>
    <x v="723"/>
    <x v="1352"/>
    <x v="1"/>
    <x v="0"/>
    <x v="1272"/>
    <x v="0"/>
    <x v="0"/>
    <x v="0"/>
    <x v="0"/>
    <x v="0"/>
    <x v="2"/>
    <x v="1352"/>
    <x v="1340"/>
    <x v="1272"/>
    <x v="1"/>
    <x v="10"/>
    <x v="0"/>
    <x v="17"/>
    <x v="17"/>
    <x v="0"/>
    <x v="0"/>
    <x v="0"/>
    <x v="31"/>
    <x v="0"/>
    <x v="0"/>
    <x v="1"/>
    <x v="1"/>
  </r>
  <r>
    <x v="1288"/>
    <x v="1"/>
    <x v="25"/>
    <x v="1271"/>
    <x v="762"/>
    <x v="1358"/>
    <x v="1"/>
    <x v="0"/>
    <x v="1271"/>
    <x v="0"/>
    <x v="0"/>
    <x v="0"/>
    <x v="0"/>
    <x v="0"/>
    <x v="2"/>
    <x v="1358"/>
    <x v="1346"/>
    <x v="1271"/>
    <x v="1"/>
    <x v="10"/>
    <x v="0"/>
    <x v="17"/>
    <x v="17"/>
    <x v="0"/>
    <x v="0"/>
    <x v="0"/>
    <x v="31"/>
    <x v="0"/>
    <x v="0"/>
    <x v="1"/>
    <x v="1"/>
  </r>
  <r>
    <x v="1287"/>
    <x v="1"/>
    <x v="25"/>
    <x v="1270"/>
    <x v="229"/>
    <x v="1280"/>
    <x v="1"/>
    <x v="0"/>
    <x v="1270"/>
    <x v="0"/>
    <x v="0"/>
    <x v="0"/>
    <x v="0"/>
    <x v="0"/>
    <x v="2"/>
    <x v="1280"/>
    <x v="1268"/>
    <x v="1270"/>
    <x v="1"/>
    <x v="10"/>
    <x v="0"/>
    <x v="17"/>
    <x v="17"/>
    <x v="0"/>
    <x v="0"/>
    <x v="0"/>
    <x v="31"/>
    <x v="0"/>
    <x v="0"/>
    <x v="1"/>
    <x v="1"/>
  </r>
  <r>
    <x v="1286"/>
    <x v="1"/>
    <x v="25"/>
    <x v="1269"/>
    <x v="387"/>
    <x v="1313"/>
    <x v="1"/>
    <x v="0"/>
    <x v="1269"/>
    <x v="0"/>
    <x v="0"/>
    <x v="0"/>
    <x v="0"/>
    <x v="0"/>
    <x v="2"/>
    <x v="1313"/>
    <x v="1301"/>
    <x v="1269"/>
    <x v="1"/>
    <x v="10"/>
    <x v="0"/>
    <x v="17"/>
    <x v="17"/>
    <x v="0"/>
    <x v="0"/>
    <x v="0"/>
    <x v="31"/>
    <x v="0"/>
    <x v="0"/>
    <x v="1"/>
    <x v="1"/>
  </r>
  <r>
    <x v="1285"/>
    <x v="1"/>
    <x v="25"/>
    <x v="1268"/>
    <x v="915"/>
    <x v="1417"/>
    <x v="1"/>
    <x v="0"/>
    <x v="1268"/>
    <x v="0"/>
    <x v="0"/>
    <x v="0"/>
    <x v="0"/>
    <x v="0"/>
    <x v="2"/>
    <x v="1417"/>
    <x v="1405"/>
    <x v="1268"/>
    <x v="1"/>
    <x v="10"/>
    <x v="0"/>
    <x v="17"/>
    <x v="17"/>
    <x v="0"/>
    <x v="0"/>
    <x v="0"/>
    <x v="31"/>
    <x v="0"/>
    <x v="0"/>
    <x v="1"/>
    <x v="1"/>
  </r>
  <r>
    <x v="1284"/>
    <x v="1"/>
    <x v="25"/>
    <x v="1267"/>
    <x v="902"/>
    <x v="1408"/>
    <x v="1"/>
    <x v="0"/>
    <x v="1267"/>
    <x v="0"/>
    <x v="0"/>
    <x v="0"/>
    <x v="0"/>
    <x v="0"/>
    <x v="2"/>
    <x v="1408"/>
    <x v="1396"/>
    <x v="1267"/>
    <x v="1"/>
    <x v="10"/>
    <x v="0"/>
    <x v="17"/>
    <x v="17"/>
    <x v="0"/>
    <x v="0"/>
    <x v="0"/>
    <x v="31"/>
    <x v="0"/>
    <x v="0"/>
    <x v="1"/>
    <x v="1"/>
  </r>
  <r>
    <x v="1283"/>
    <x v="1"/>
    <x v="25"/>
    <x v="1266"/>
    <x v="901"/>
    <x v="1407"/>
    <x v="1"/>
    <x v="0"/>
    <x v="1266"/>
    <x v="0"/>
    <x v="0"/>
    <x v="0"/>
    <x v="0"/>
    <x v="0"/>
    <x v="2"/>
    <x v="1407"/>
    <x v="1395"/>
    <x v="1266"/>
    <x v="1"/>
    <x v="10"/>
    <x v="0"/>
    <x v="17"/>
    <x v="17"/>
    <x v="0"/>
    <x v="0"/>
    <x v="0"/>
    <x v="31"/>
    <x v="0"/>
    <x v="0"/>
    <x v="1"/>
    <x v="1"/>
  </r>
  <r>
    <x v="1282"/>
    <x v="1"/>
    <x v="25"/>
    <x v="1265"/>
    <x v="882"/>
    <x v="1405"/>
    <x v="1"/>
    <x v="0"/>
    <x v="1265"/>
    <x v="0"/>
    <x v="0"/>
    <x v="0"/>
    <x v="0"/>
    <x v="0"/>
    <x v="2"/>
    <x v="1405"/>
    <x v="1393"/>
    <x v="1265"/>
    <x v="1"/>
    <x v="10"/>
    <x v="0"/>
    <x v="17"/>
    <x v="17"/>
    <x v="0"/>
    <x v="0"/>
    <x v="0"/>
    <x v="31"/>
    <x v="0"/>
    <x v="0"/>
    <x v="1"/>
    <x v="1"/>
  </r>
  <r>
    <x v="1281"/>
    <x v="1"/>
    <x v="25"/>
    <x v="1264"/>
    <x v="203"/>
    <x v="1276"/>
    <x v="1"/>
    <x v="0"/>
    <x v="1264"/>
    <x v="0"/>
    <x v="0"/>
    <x v="0"/>
    <x v="0"/>
    <x v="0"/>
    <x v="2"/>
    <x v="1276"/>
    <x v="1264"/>
    <x v="1264"/>
    <x v="1"/>
    <x v="10"/>
    <x v="0"/>
    <x v="17"/>
    <x v="17"/>
    <x v="0"/>
    <x v="0"/>
    <x v="0"/>
    <x v="31"/>
    <x v="0"/>
    <x v="0"/>
    <x v="1"/>
    <x v="1"/>
  </r>
  <r>
    <x v="1280"/>
    <x v="1"/>
    <x v="25"/>
    <x v="1263"/>
    <x v="204"/>
    <x v="1277"/>
    <x v="1"/>
    <x v="0"/>
    <x v="1263"/>
    <x v="0"/>
    <x v="0"/>
    <x v="0"/>
    <x v="0"/>
    <x v="0"/>
    <x v="2"/>
    <x v="1277"/>
    <x v="1265"/>
    <x v="1263"/>
    <x v="1"/>
    <x v="10"/>
    <x v="0"/>
    <x v="17"/>
    <x v="17"/>
    <x v="0"/>
    <x v="0"/>
    <x v="0"/>
    <x v="31"/>
    <x v="0"/>
    <x v="0"/>
    <x v="1"/>
    <x v="1"/>
  </r>
  <r>
    <x v="1279"/>
    <x v="1"/>
    <x v="25"/>
    <x v="1262"/>
    <x v="292"/>
    <x v="1293"/>
    <x v="1"/>
    <x v="0"/>
    <x v="1262"/>
    <x v="0"/>
    <x v="0"/>
    <x v="0"/>
    <x v="0"/>
    <x v="0"/>
    <x v="2"/>
    <x v="1293"/>
    <x v="1281"/>
    <x v="1262"/>
    <x v="1"/>
    <x v="10"/>
    <x v="0"/>
    <x v="17"/>
    <x v="17"/>
    <x v="0"/>
    <x v="0"/>
    <x v="0"/>
    <x v="31"/>
    <x v="0"/>
    <x v="0"/>
    <x v="1"/>
    <x v="1"/>
  </r>
  <r>
    <x v="1278"/>
    <x v="1"/>
    <x v="25"/>
    <x v="1261"/>
    <x v="717"/>
    <x v="1351"/>
    <x v="1"/>
    <x v="0"/>
    <x v="1261"/>
    <x v="0"/>
    <x v="0"/>
    <x v="0"/>
    <x v="0"/>
    <x v="0"/>
    <x v="2"/>
    <x v="1351"/>
    <x v="1339"/>
    <x v="1261"/>
    <x v="1"/>
    <x v="10"/>
    <x v="0"/>
    <x v="17"/>
    <x v="17"/>
    <x v="0"/>
    <x v="0"/>
    <x v="0"/>
    <x v="31"/>
    <x v="0"/>
    <x v="0"/>
    <x v="1"/>
    <x v="1"/>
  </r>
  <r>
    <x v="1277"/>
    <x v="1"/>
    <x v="25"/>
    <x v="1260"/>
    <x v="317"/>
    <x v="1298"/>
    <x v="1"/>
    <x v="0"/>
    <x v="1260"/>
    <x v="0"/>
    <x v="0"/>
    <x v="0"/>
    <x v="0"/>
    <x v="0"/>
    <x v="2"/>
    <x v="1298"/>
    <x v="1286"/>
    <x v="1260"/>
    <x v="1"/>
    <x v="10"/>
    <x v="0"/>
    <x v="17"/>
    <x v="17"/>
    <x v="0"/>
    <x v="0"/>
    <x v="0"/>
    <x v="26"/>
    <x v="0"/>
    <x v="0"/>
    <x v="1"/>
    <x v="1"/>
  </r>
  <r>
    <x v="1276"/>
    <x v="1"/>
    <x v="25"/>
    <x v="1259"/>
    <x v="312"/>
    <x v="1297"/>
    <x v="1"/>
    <x v="0"/>
    <x v="1259"/>
    <x v="0"/>
    <x v="0"/>
    <x v="0"/>
    <x v="0"/>
    <x v="0"/>
    <x v="2"/>
    <x v="1297"/>
    <x v="1285"/>
    <x v="1259"/>
    <x v="1"/>
    <x v="10"/>
    <x v="0"/>
    <x v="17"/>
    <x v="17"/>
    <x v="0"/>
    <x v="0"/>
    <x v="0"/>
    <x v="26"/>
    <x v="0"/>
    <x v="0"/>
    <x v="1"/>
    <x v="1"/>
  </r>
  <r>
    <x v="1275"/>
    <x v="1"/>
    <x v="25"/>
    <x v="1258"/>
    <x v="942"/>
    <x v="1432"/>
    <x v="1"/>
    <x v="0"/>
    <x v="1258"/>
    <x v="0"/>
    <x v="0"/>
    <x v="0"/>
    <x v="0"/>
    <x v="0"/>
    <x v="2"/>
    <x v="1432"/>
    <x v="1420"/>
    <x v="1258"/>
    <x v="1"/>
    <x v="10"/>
    <x v="0"/>
    <x v="17"/>
    <x v="17"/>
    <x v="0"/>
    <x v="0"/>
    <x v="0"/>
    <x v="31"/>
    <x v="0"/>
    <x v="0"/>
    <x v="1"/>
    <x v="1"/>
  </r>
  <r>
    <x v="1274"/>
    <x v="1"/>
    <x v="25"/>
    <x v="1257"/>
    <x v="914"/>
    <x v="1416"/>
    <x v="1"/>
    <x v="0"/>
    <x v="1257"/>
    <x v="0"/>
    <x v="0"/>
    <x v="0"/>
    <x v="0"/>
    <x v="0"/>
    <x v="2"/>
    <x v="1416"/>
    <x v="1404"/>
    <x v="1257"/>
    <x v="1"/>
    <x v="10"/>
    <x v="0"/>
    <x v="17"/>
    <x v="17"/>
    <x v="0"/>
    <x v="0"/>
    <x v="0"/>
    <x v="31"/>
    <x v="0"/>
    <x v="0"/>
    <x v="1"/>
    <x v="1"/>
  </r>
  <r>
    <x v="1273"/>
    <x v="1"/>
    <x v="25"/>
    <x v="1256"/>
    <x v="543"/>
    <x v="1247"/>
    <x v="1"/>
    <x v="0"/>
    <x v="1256"/>
    <x v="0"/>
    <x v="0"/>
    <x v="0"/>
    <x v="0"/>
    <x v="0"/>
    <x v="2"/>
    <x v="1247"/>
    <x v="1235"/>
    <x v="1256"/>
    <x v="1"/>
    <x v="10"/>
    <x v="0"/>
    <x v="17"/>
    <x v="17"/>
    <x v="0"/>
    <x v="0"/>
    <x v="0"/>
    <x v="29"/>
    <x v="0"/>
    <x v="0"/>
    <x v="1"/>
    <x v="1"/>
  </r>
  <r>
    <x v="1272"/>
    <x v="1"/>
    <x v="25"/>
    <x v="1255"/>
    <x v="984"/>
    <x v="557"/>
    <x v="1"/>
    <x v="0"/>
    <x v="1255"/>
    <x v="0"/>
    <x v="0"/>
    <x v="0"/>
    <x v="0"/>
    <x v="0"/>
    <x v="2"/>
    <x v="557"/>
    <x v="545"/>
    <x v="1255"/>
    <x v="1"/>
    <x v="10"/>
    <x v="0"/>
    <x v="17"/>
    <x v="17"/>
    <x v="0"/>
    <x v="0"/>
    <x v="0"/>
    <x v="26"/>
    <x v="0"/>
    <x v="0"/>
    <x v="1"/>
    <x v="1"/>
  </r>
  <r>
    <x v="1271"/>
    <x v="1"/>
    <x v="25"/>
    <x v="1254"/>
    <x v="979"/>
    <x v="555"/>
    <x v="1"/>
    <x v="0"/>
    <x v="1254"/>
    <x v="0"/>
    <x v="0"/>
    <x v="0"/>
    <x v="0"/>
    <x v="0"/>
    <x v="2"/>
    <x v="555"/>
    <x v="543"/>
    <x v="1254"/>
    <x v="1"/>
    <x v="10"/>
    <x v="0"/>
    <x v="17"/>
    <x v="17"/>
    <x v="0"/>
    <x v="0"/>
    <x v="0"/>
    <x v="26"/>
    <x v="0"/>
    <x v="0"/>
    <x v="1"/>
    <x v="1"/>
  </r>
  <r>
    <x v="1270"/>
    <x v="1"/>
    <x v="25"/>
    <x v="1253"/>
    <x v="967"/>
    <x v="551"/>
    <x v="1"/>
    <x v="0"/>
    <x v="1253"/>
    <x v="0"/>
    <x v="0"/>
    <x v="0"/>
    <x v="0"/>
    <x v="0"/>
    <x v="2"/>
    <x v="551"/>
    <x v="539"/>
    <x v="1253"/>
    <x v="1"/>
    <x v="10"/>
    <x v="0"/>
    <x v="17"/>
    <x v="17"/>
    <x v="0"/>
    <x v="0"/>
    <x v="0"/>
    <x v="26"/>
    <x v="0"/>
    <x v="0"/>
    <x v="1"/>
    <x v="1"/>
  </r>
  <r>
    <x v="1269"/>
    <x v="1"/>
    <x v="25"/>
    <x v="1252"/>
    <x v="975"/>
    <x v="554"/>
    <x v="1"/>
    <x v="0"/>
    <x v="1252"/>
    <x v="0"/>
    <x v="0"/>
    <x v="0"/>
    <x v="0"/>
    <x v="0"/>
    <x v="2"/>
    <x v="554"/>
    <x v="542"/>
    <x v="1252"/>
    <x v="1"/>
    <x v="10"/>
    <x v="0"/>
    <x v="17"/>
    <x v="17"/>
    <x v="0"/>
    <x v="0"/>
    <x v="0"/>
    <x v="26"/>
    <x v="0"/>
    <x v="0"/>
    <x v="1"/>
    <x v="1"/>
  </r>
  <r>
    <x v="1268"/>
    <x v="1"/>
    <x v="25"/>
    <x v="1251"/>
    <x v="972"/>
    <x v="553"/>
    <x v="1"/>
    <x v="0"/>
    <x v="1251"/>
    <x v="0"/>
    <x v="0"/>
    <x v="0"/>
    <x v="0"/>
    <x v="0"/>
    <x v="2"/>
    <x v="553"/>
    <x v="541"/>
    <x v="1251"/>
    <x v="1"/>
    <x v="10"/>
    <x v="0"/>
    <x v="17"/>
    <x v="17"/>
    <x v="0"/>
    <x v="0"/>
    <x v="0"/>
    <x v="26"/>
    <x v="0"/>
    <x v="0"/>
    <x v="1"/>
    <x v="1"/>
  </r>
  <r>
    <x v="1267"/>
    <x v="1"/>
    <x v="25"/>
    <x v="1250"/>
    <x v="986"/>
    <x v="558"/>
    <x v="1"/>
    <x v="0"/>
    <x v="1250"/>
    <x v="0"/>
    <x v="0"/>
    <x v="0"/>
    <x v="0"/>
    <x v="0"/>
    <x v="2"/>
    <x v="558"/>
    <x v="546"/>
    <x v="1250"/>
    <x v="1"/>
    <x v="10"/>
    <x v="0"/>
    <x v="17"/>
    <x v="17"/>
    <x v="0"/>
    <x v="0"/>
    <x v="0"/>
    <x v="26"/>
    <x v="0"/>
    <x v="0"/>
    <x v="1"/>
    <x v="1"/>
  </r>
  <r>
    <x v="1266"/>
    <x v="1"/>
    <x v="25"/>
    <x v="1249"/>
    <x v="969"/>
    <x v="552"/>
    <x v="1"/>
    <x v="0"/>
    <x v="1249"/>
    <x v="0"/>
    <x v="0"/>
    <x v="0"/>
    <x v="0"/>
    <x v="0"/>
    <x v="2"/>
    <x v="552"/>
    <x v="540"/>
    <x v="1249"/>
    <x v="1"/>
    <x v="10"/>
    <x v="0"/>
    <x v="17"/>
    <x v="17"/>
    <x v="0"/>
    <x v="0"/>
    <x v="0"/>
    <x v="26"/>
    <x v="0"/>
    <x v="0"/>
    <x v="1"/>
    <x v="1"/>
  </r>
  <r>
    <x v="1265"/>
    <x v="1"/>
    <x v="25"/>
    <x v="1248"/>
    <x v="982"/>
    <x v="556"/>
    <x v="1"/>
    <x v="0"/>
    <x v="1248"/>
    <x v="0"/>
    <x v="0"/>
    <x v="0"/>
    <x v="0"/>
    <x v="0"/>
    <x v="2"/>
    <x v="556"/>
    <x v="544"/>
    <x v="1248"/>
    <x v="1"/>
    <x v="10"/>
    <x v="0"/>
    <x v="17"/>
    <x v="17"/>
    <x v="0"/>
    <x v="0"/>
    <x v="0"/>
    <x v="26"/>
    <x v="0"/>
    <x v="0"/>
    <x v="1"/>
    <x v="1"/>
  </r>
  <r>
    <x v="1264"/>
    <x v="1"/>
    <x v="25"/>
    <x v="1247"/>
    <x v="896"/>
    <x v="545"/>
    <x v="1"/>
    <x v="0"/>
    <x v="1247"/>
    <x v="0"/>
    <x v="0"/>
    <x v="0"/>
    <x v="0"/>
    <x v="0"/>
    <x v="2"/>
    <x v="545"/>
    <x v="533"/>
    <x v="1247"/>
    <x v="1"/>
    <x v="10"/>
    <x v="0"/>
    <x v="17"/>
    <x v="17"/>
    <x v="0"/>
    <x v="0"/>
    <x v="0"/>
    <x v="26"/>
    <x v="0"/>
    <x v="0"/>
    <x v="1"/>
    <x v="1"/>
  </r>
  <r>
    <x v="1263"/>
    <x v="1"/>
    <x v="25"/>
    <x v="1246"/>
    <x v="894"/>
    <x v="544"/>
    <x v="1"/>
    <x v="0"/>
    <x v="1246"/>
    <x v="0"/>
    <x v="0"/>
    <x v="0"/>
    <x v="0"/>
    <x v="0"/>
    <x v="2"/>
    <x v="544"/>
    <x v="532"/>
    <x v="1246"/>
    <x v="1"/>
    <x v="10"/>
    <x v="0"/>
    <x v="17"/>
    <x v="17"/>
    <x v="0"/>
    <x v="0"/>
    <x v="0"/>
    <x v="26"/>
    <x v="0"/>
    <x v="0"/>
    <x v="1"/>
    <x v="1"/>
  </r>
  <r>
    <x v="1262"/>
    <x v="1"/>
    <x v="25"/>
    <x v="1245"/>
    <x v="181"/>
    <x v="491"/>
    <x v="1"/>
    <x v="0"/>
    <x v="1245"/>
    <x v="0"/>
    <x v="0"/>
    <x v="0"/>
    <x v="0"/>
    <x v="0"/>
    <x v="2"/>
    <x v="491"/>
    <x v="479"/>
    <x v="1245"/>
    <x v="1"/>
    <x v="10"/>
    <x v="0"/>
    <x v="17"/>
    <x v="17"/>
    <x v="0"/>
    <x v="0"/>
    <x v="0"/>
    <x v="26"/>
    <x v="0"/>
    <x v="0"/>
    <x v="1"/>
    <x v="1"/>
  </r>
  <r>
    <x v="1261"/>
    <x v="1"/>
    <x v="25"/>
    <x v="1244"/>
    <x v="299"/>
    <x v="499"/>
    <x v="1"/>
    <x v="0"/>
    <x v="1244"/>
    <x v="0"/>
    <x v="0"/>
    <x v="0"/>
    <x v="0"/>
    <x v="0"/>
    <x v="2"/>
    <x v="499"/>
    <x v="487"/>
    <x v="1244"/>
    <x v="1"/>
    <x v="10"/>
    <x v="0"/>
    <x v="17"/>
    <x v="17"/>
    <x v="0"/>
    <x v="0"/>
    <x v="0"/>
    <x v="26"/>
    <x v="0"/>
    <x v="0"/>
    <x v="1"/>
    <x v="1"/>
  </r>
  <r>
    <x v="1260"/>
    <x v="1"/>
    <x v="25"/>
    <x v="1243"/>
    <x v="285"/>
    <x v="498"/>
    <x v="1"/>
    <x v="0"/>
    <x v="1243"/>
    <x v="0"/>
    <x v="0"/>
    <x v="0"/>
    <x v="0"/>
    <x v="0"/>
    <x v="2"/>
    <x v="498"/>
    <x v="486"/>
    <x v="1243"/>
    <x v="1"/>
    <x v="10"/>
    <x v="0"/>
    <x v="17"/>
    <x v="17"/>
    <x v="0"/>
    <x v="0"/>
    <x v="0"/>
    <x v="26"/>
    <x v="0"/>
    <x v="0"/>
    <x v="1"/>
    <x v="1"/>
  </r>
  <r>
    <x v="1259"/>
    <x v="1"/>
    <x v="25"/>
    <x v="1242"/>
    <x v="261"/>
    <x v="495"/>
    <x v="1"/>
    <x v="0"/>
    <x v="1242"/>
    <x v="0"/>
    <x v="0"/>
    <x v="0"/>
    <x v="0"/>
    <x v="0"/>
    <x v="2"/>
    <x v="495"/>
    <x v="483"/>
    <x v="1242"/>
    <x v="1"/>
    <x v="10"/>
    <x v="0"/>
    <x v="17"/>
    <x v="17"/>
    <x v="0"/>
    <x v="0"/>
    <x v="0"/>
    <x v="26"/>
    <x v="0"/>
    <x v="0"/>
    <x v="1"/>
    <x v="1"/>
  </r>
  <r>
    <x v="1258"/>
    <x v="1"/>
    <x v="25"/>
    <x v="1241"/>
    <x v="267"/>
    <x v="496"/>
    <x v="1"/>
    <x v="0"/>
    <x v="1241"/>
    <x v="0"/>
    <x v="0"/>
    <x v="0"/>
    <x v="0"/>
    <x v="0"/>
    <x v="2"/>
    <x v="496"/>
    <x v="484"/>
    <x v="1241"/>
    <x v="1"/>
    <x v="10"/>
    <x v="0"/>
    <x v="17"/>
    <x v="17"/>
    <x v="0"/>
    <x v="0"/>
    <x v="0"/>
    <x v="26"/>
    <x v="0"/>
    <x v="0"/>
    <x v="1"/>
    <x v="1"/>
  </r>
  <r>
    <x v="1257"/>
    <x v="1"/>
    <x v="25"/>
    <x v="1240"/>
    <x v="277"/>
    <x v="497"/>
    <x v="1"/>
    <x v="0"/>
    <x v="1240"/>
    <x v="0"/>
    <x v="0"/>
    <x v="0"/>
    <x v="0"/>
    <x v="0"/>
    <x v="2"/>
    <x v="497"/>
    <x v="485"/>
    <x v="1240"/>
    <x v="1"/>
    <x v="10"/>
    <x v="0"/>
    <x v="17"/>
    <x v="17"/>
    <x v="0"/>
    <x v="0"/>
    <x v="0"/>
    <x v="26"/>
    <x v="0"/>
    <x v="0"/>
    <x v="1"/>
    <x v="1"/>
  </r>
  <r>
    <x v="1256"/>
    <x v="1"/>
    <x v="25"/>
    <x v="1239"/>
    <x v="721"/>
    <x v="531"/>
    <x v="1"/>
    <x v="0"/>
    <x v="1239"/>
    <x v="0"/>
    <x v="0"/>
    <x v="0"/>
    <x v="0"/>
    <x v="0"/>
    <x v="2"/>
    <x v="531"/>
    <x v="519"/>
    <x v="1239"/>
    <x v="1"/>
    <x v="10"/>
    <x v="0"/>
    <x v="17"/>
    <x v="17"/>
    <x v="0"/>
    <x v="0"/>
    <x v="0"/>
    <x v="26"/>
    <x v="0"/>
    <x v="0"/>
    <x v="1"/>
    <x v="1"/>
  </r>
  <r>
    <x v="1255"/>
    <x v="1"/>
    <x v="25"/>
    <x v="1238"/>
    <x v="735"/>
    <x v="534"/>
    <x v="1"/>
    <x v="0"/>
    <x v="1238"/>
    <x v="0"/>
    <x v="0"/>
    <x v="0"/>
    <x v="0"/>
    <x v="0"/>
    <x v="2"/>
    <x v="534"/>
    <x v="522"/>
    <x v="1238"/>
    <x v="1"/>
    <x v="10"/>
    <x v="0"/>
    <x v="17"/>
    <x v="17"/>
    <x v="0"/>
    <x v="0"/>
    <x v="0"/>
    <x v="26"/>
    <x v="0"/>
    <x v="0"/>
    <x v="1"/>
    <x v="1"/>
  </r>
  <r>
    <x v="1254"/>
    <x v="1"/>
    <x v="25"/>
    <x v="1237"/>
    <x v="712"/>
    <x v="528"/>
    <x v="1"/>
    <x v="0"/>
    <x v="1237"/>
    <x v="0"/>
    <x v="0"/>
    <x v="0"/>
    <x v="0"/>
    <x v="0"/>
    <x v="2"/>
    <x v="528"/>
    <x v="516"/>
    <x v="1237"/>
    <x v="1"/>
    <x v="10"/>
    <x v="0"/>
    <x v="17"/>
    <x v="17"/>
    <x v="0"/>
    <x v="0"/>
    <x v="0"/>
    <x v="26"/>
    <x v="0"/>
    <x v="0"/>
    <x v="1"/>
    <x v="1"/>
  </r>
  <r>
    <x v="1253"/>
    <x v="1"/>
    <x v="25"/>
    <x v="1236"/>
    <x v="682"/>
    <x v="523"/>
    <x v="1"/>
    <x v="0"/>
    <x v="1236"/>
    <x v="0"/>
    <x v="0"/>
    <x v="0"/>
    <x v="0"/>
    <x v="0"/>
    <x v="2"/>
    <x v="523"/>
    <x v="511"/>
    <x v="1236"/>
    <x v="1"/>
    <x v="10"/>
    <x v="0"/>
    <x v="17"/>
    <x v="17"/>
    <x v="0"/>
    <x v="0"/>
    <x v="0"/>
    <x v="26"/>
    <x v="0"/>
    <x v="0"/>
    <x v="1"/>
    <x v="1"/>
  </r>
  <r>
    <x v="1252"/>
    <x v="1"/>
    <x v="25"/>
    <x v="1235"/>
    <x v="727"/>
    <x v="532"/>
    <x v="1"/>
    <x v="0"/>
    <x v="1235"/>
    <x v="0"/>
    <x v="0"/>
    <x v="0"/>
    <x v="0"/>
    <x v="0"/>
    <x v="2"/>
    <x v="532"/>
    <x v="520"/>
    <x v="1235"/>
    <x v="1"/>
    <x v="10"/>
    <x v="0"/>
    <x v="17"/>
    <x v="17"/>
    <x v="0"/>
    <x v="0"/>
    <x v="0"/>
    <x v="26"/>
    <x v="0"/>
    <x v="0"/>
    <x v="1"/>
    <x v="1"/>
  </r>
  <r>
    <x v="1251"/>
    <x v="1"/>
    <x v="25"/>
    <x v="1234"/>
    <x v="729"/>
    <x v="533"/>
    <x v="1"/>
    <x v="0"/>
    <x v="1234"/>
    <x v="0"/>
    <x v="0"/>
    <x v="0"/>
    <x v="0"/>
    <x v="0"/>
    <x v="2"/>
    <x v="533"/>
    <x v="521"/>
    <x v="1234"/>
    <x v="1"/>
    <x v="10"/>
    <x v="0"/>
    <x v="17"/>
    <x v="17"/>
    <x v="0"/>
    <x v="0"/>
    <x v="0"/>
    <x v="26"/>
    <x v="0"/>
    <x v="0"/>
    <x v="1"/>
    <x v="1"/>
  </r>
  <r>
    <x v="1250"/>
    <x v="1"/>
    <x v="25"/>
    <x v="1233"/>
    <x v="695"/>
    <x v="525"/>
    <x v="1"/>
    <x v="0"/>
    <x v="1233"/>
    <x v="0"/>
    <x v="0"/>
    <x v="0"/>
    <x v="0"/>
    <x v="0"/>
    <x v="2"/>
    <x v="525"/>
    <x v="513"/>
    <x v="1233"/>
    <x v="1"/>
    <x v="10"/>
    <x v="0"/>
    <x v="17"/>
    <x v="17"/>
    <x v="0"/>
    <x v="0"/>
    <x v="0"/>
    <x v="26"/>
    <x v="0"/>
    <x v="0"/>
    <x v="1"/>
    <x v="1"/>
  </r>
  <r>
    <x v="1249"/>
    <x v="1"/>
    <x v="25"/>
    <x v="1232"/>
    <x v="691"/>
    <x v="524"/>
    <x v="1"/>
    <x v="0"/>
    <x v="1232"/>
    <x v="0"/>
    <x v="0"/>
    <x v="0"/>
    <x v="0"/>
    <x v="0"/>
    <x v="2"/>
    <x v="524"/>
    <x v="512"/>
    <x v="1232"/>
    <x v="1"/>
    <x v="10"/>
    <x v="0"/>
    <x v="17"/>
    <x v="17"/>
    <x v="0"/>
    <x v="0"/>
    <x v="0"/>
    <x v="26"/>
    <x v="0"/>
    <x v="0"/>
    <x v="1"/>
    <x v="1"/>
  </r>
  <r>
    <x v="1248"/>
    <x v="1"/>
    <x v="25"/>
    <x v="1231"/>
    <x v="715"/>
    <x v="529"/>
    <x v="1"/>
    <x v="0"/>
    <x v="1231"/>
    <x v="0"/>
    <x v="0"/>
    <x v="0"/>
    <x v="0"/>
    <x v="0"/>
    <x v="2"/>
    <x v="529"/>
    <x v="517"/>
    <x v="1231"/>
    <x v="1"/>
    <x v="10"/>
    <x v="0"/>
    <x v="17"/>
    <x v="17"/>
    <x v="0"/>
    <x v="0"/>
    <x v="0"/>
    <x v="26"/>
    <x v="0"/>
    <x v="0"/>
    <x v="1"/>
    <x v="1"/>
  </r>
  <r>
    <x v="1247"/>
    <x v="1"/>
    <x v="25"/>
    <x v="1230"/>
    <x v="702"/>
    <x v="526"/>
    <x v="1"/>
    <x v="0"/>
    <x v="1230"/>
    <x v="0"/>
    <x v="0"/>
    <x v="0"/>
    <x v="0"/>
    <x v="0"/>
    <x v="2"/>
    <x v="526"/>
    <x v="514"/>
    <x v="1230"/>
    <x v="1"/>
    <x v="10"/>
    <x v="0"/>
    <x v="17"/>
    <x v="17"/>
    <x v="0"/>
    <x v="0"/>
    <x v="0"/>
    <x v="26"/>
    <x v="0"/>
    <x v="0"/>
    <x v="1"/>
    <x v="1"/>
  </r>
  <r>
    <x v="1246"/>
    <x v="1"/>
    <x v="25"/>
    <x v="1229"/>
    <x v="706"/>
    <x v="527"/>
    <x v="1"/>
    <x v="0"/>
    <x v="1229"/>
    <x v="0"/>
    <x v="0"/>
    <x v="0"/>
    <x v="0"/>
    <x v="0"/>
    <x v="2"/>
    <x v="527"/>
    <x v="515"/>
    <x v="1229"/>
    <x v="1"/>
    <x v="10"/>
    <x v="0"/>
    <x v="17"/>
    <x v="17"/>
    <x v="0"/>
    <x v="0"/>
    <x v="0"/>
    <x v="26"/>
    <x v="0"/>
    <x v="0"/>
    <x v="1"/>
    <x v="1"/>
  </r>
  <r>
    <x v="1245"/>
    <x v="1"/>
    <x v="25"/>
    <x v="1228"/>
    <x v="718"/>
    <x v="530"/>
    <x v="1"/>
    <x v="0"/>
    <x v="1228"/>
    <x v="0"/>
    <x v="0"/>
    <x v="0"/>
    <x v="0"/>
    <x v="0"/>
    <x v="2"/>
    <x v="530"/>
    <x v="518"/>
    <x v="1228"/>
    <x v="1"/>
    <x v="10"/>
    <x v="0"/>
    <x v="17"/>
    <x v="17"/>
    <x v="0"/>
    <x v="0"/>
    <x v="0"/>
    <x v="26"/>
    <x v="0"/>
    <x v="0"/>
    <x v="1"/>
    <x v="1"/>
  </r>
  <r>
    <x v="1244"/>
    <x v="1"/>
    <x v="25"/>
    <x v="1227"/>
    <x v="569"/>
    <x v="514"/>
    <x v="1"/>
    <x v="0"/>
    <x v="1227"/>
    <x v="0"/>
    <x v="0"/>
    <x v="0"/>
    <x v="0"/>
    <x v="0"/>
    <x v="2"/>
    <x v="514"/>
    <x v="502"/>
    <x v="1227"/>
    <x v="1"/>
    <x v="10"/>
    <x v="0"/>
    <x v="17"/>
    <x v="17"/>
    <x v="0"/>
    <x v="0"/>
    <x v="0"/>
    <x v="26"/>
    <x v="0"/>
    <x v="0"/>
    <x v="1"/>
    <x v="1"/>
  </r>
  <r>
    <x v="1243"/>
    <x v="1"/>
    <x v="25"/>
    <x v="1226"/>
    <x v="555"/>
    <x v="513"/>
    <x v="1"/>
    <x v="0"/>
    <x v="1226"/>
    <x v="0"/>
    <x v="0"/>
    <x v="0"/>
    <x v="0"/>
    <x v="0"/>
    <x v="2"/>
    <x v="513"/>
    <x v="501"/>
    <x v="1226"/>
    <x v="1"/>
    <x v="10"/>
    <x v="0"/>
    <x v="17"/>
    <x v="17"/>
    <x v="0"/>
    <x v="0"/>
    <x v="0"/>
    <x v="26"/>
    <x v="0"/>
    <x v="0"/>
    <x v="1"/>
    <x v="1"/>
  </r>
  <r>
    <x v="1242"/>
    <x v="1"/>
    <x v="25"/>
    <x v="1225"/>
    <x v="578"/>
    <x v="517"/>
    <x v="1"/>
    <x v="0"/>
    <x v="1225"/>
    <x v="0"/>
    <x v="0"/>
    <x v="0"/>
    <x v="0"/>
    <x v="0"/>
    <x v="2"/>
    <x v="517"/>
    <x v="505"/>
    <x v="1225"/>
    <x v="1"/>
    <x v="10"/>
    <x v="0"/>
    <x v="17"/>
    <x v="17"/>
    <x v="0"/>
    <x v="0"/>
    <x v="0"/>
    <x v="26"/>
    <x v="0"/>
    <x v="0"/>
    <x v="1"/>
    <x v="1"/>
  </r>
  <r>
    <x v="1241"/>
    <x v="1"/>
    <x v="25"/>
    <x v="1224"/>
    <x v="571"/>
    <x v="515"/>
    <x v="1"/>
    <x v="0"/>
    <x v="1224"/>
    <x v="0"/>
    <x v="0"/>
    <x v="0"/>
    <x v="0"/>
    <x v="0"/>
    <x v="2"/>
    <x v="515"/>
    <x v="503"/>
    <x v="1224"/>
    <x v="1"/>
    <x v="10"/>
    <x v="0"/>
    <x v="17"/>
    <x v="17"/>
    <x v="0"/>
    <x v="0"/>
    <x v="0"/>
    <x v="26"/>
    <x v="0"/>
    <x v="0"/>
    <x v="1"/>
    <x v="1"/>
  </r>
  <r>
    <x v="1240"/>
    <x v="1"/>
    <x v="25"/>
    <x v="1223"/>
    <x v="545"/>
    <x v="511"/>
    <x v="1"/>
    <x v="0"/>
    <x v="1223"/>
    <x v="0"/>
    <x v="0"/>
    <x v="0"/>
    <x v="0"/>
    <x v="0"/>
    <x v="2"/>
    <x v="511"/>
    <x v="499"/>
    <x v="1223"/>
    <x v="1"/>
    <x v="10"/>
    <x v="0"/>
    <x v="17"/>
    <x v="17"/>
    <x v="0"/>
    <x v="0"/>
    <x v="0"/>
    <x v="26"/>
    <x v="0"/>
    <x v="0"/>
    <x v="1"/>
    <x v="1"/>
  </r>
  <r>
    <x v="1239"/>
    <x v="1"/>
    <x v="25"/>
    <x v="1222"/>
    <x v="575"/>
    <x v="516"/>
    <x v="1"/>
    <x v="0"/>
    <x v="1222"/>
    <x v="0"/>
    <x v="0"/>
    <x v="0"/>
    <x v="0"/>
    <x v="0"/>
    <x v="2"/>
    <x v="516"/>
    <x v="504"/>
    <x v="1222"/>
    <x v="1"/>
    <x v="10"/>
    <x v="0"/>
    <x v="17"/>
    <x v="17"/>
    <x v="0"/>
    <x v="0"/>
    <x v="0"/>
    <x v="26"/>
    <x v="0"/>
    <x v="0"/>
    <x v="1"/>
    <x v="1"/>
  </r>
  <r>
    <x v="1238"/>
    <x v="1"/>
    <x v="25"/>
    <x v="1221"/>
    <x v="551"/>
    <x v="512"/>
    <x v="1"/>
    <x v="0"/>
    <x v="1221"/>
    <x v="0"/>
    <x v="0"/>
    <x v="0"/>
    <x v="0"/>
    <x v="0"/>
    <x v="2"/>
    <x v="512"/>
    <x v="500"/>
    <x v="1221"/>
    <x v="1"/>
    <x v="10"/>
    <x v="0"/>
    <x v="17"/>
    <x v="17"/>
    <x v="0"/>
    <x v="0"/>
    <x v="0"/>
    <x v="26"/>
    <x v="0"/>
    <x v="0"/>
    <x v="1"/>
    <x v="1"/>
  </r>
  <r>
    <x v="1237"/>
    <x v="1"/>
    <x v="25"/>
    <x v="1220"/>
    <x v="776"/>
    <x v="535"/>
    <x v="1"/>
    <x v="0"/>
    <x v="1220"/>
    <x v="0"/>
    <x v="0"/>
    <x v="0"/>
    <x v="0"/>
    <x v="0"/>
    <x v="2"/>
    <x v="535"/>
    <x v="523"/>
    <x v="1220"/>
    <x v="1"/>
    <x v="10"/>
    <x v="0"/>
    <x v="17"/>
    <x v="17"/>
    <x v="0"/>
    <x v="0"/>
    <x v="0"/>
    <x v="26"/>
    <x v="0"/>
    <x v="0"/>
    <x v="1"/>
    <x v="1"/>
  </r>
  <r>
    <x v="1236"/>
    <x v="1"/>
    <x v="25"/>
    <x v="1219"/>
    <x v="784"/>
    <x v="536"/>
    <x v="1"/>
    <x v="0"/>
    <x v="1219"/>
    <x v="0"/>
    <x v="0"/>
    <x v="0"/>
    <x v="0"/>
    <x v="0"/>
    <x v="2"/>
    <x v="536"/>
    <x v="524"/>
    <x v="1219"/>
    <x v="1"/>
    <x v="10"/>
    <x v="0"/>
    <x v="17"/>
    <x v="17"/>
    <x v="0"/>
    <x v="0"/>
    <x v="0"/>
    <x v="26"/>
    <x v="0"/>
    <x v="0"/>
    <x v="1"/>
    <x v="1"/>
  </r>
  <r>
    <x v="1235"/>
    <x v="1"/>
    <x v="25"/>
    <x v="1218"/>
    <x v="236"/>
    <x v="494"/>
    <x v="1"/>
    <x v="0"/>
    <x v="1218"/>
    <x v="0"/>
    <x v="0"/>
    <x v="0"/>
    <x v="0"/>
    <x v="0"/>
    <x v="2"/>
    <x v="494"/>
    <x v="482"/>
    <x v="1218"/>
    <x v="1"/>
    <x v="10"/>
    <x v="0"/>
    <x v="17"/>
    <x v="17"/>
    <x v="0"/>
    <x v="0"/>
    <x v="0"/>
    <x v="26"/>
    <x v="0"/>
    <x v="0"/>
    <x v="1"/>
    <x v="1"/>
  </r>
  <r>
    <x v="1234"/>
    <x v="1"/>
    <x v="25"/>
    <x v="1217"/>
    <x v="217"/>
    <x v="492"/>
    <x v="1"/>
    <x v="0"/>
    <x v="1217"/>
    <x v="0"/>
    <x v="0"/>
    <x v="0"/>
    <x v="0"/>
    <x v="0"/>
    <x v="2"/>
    <x v="492"/>
    <x v="480"/>
    <x v="1217"/>
    <x v="1"/>
    <x v="10"/>
    <x v="0"/>
    <x v="17"/>
    <x v="17"/>
    <x v="0"/>
    <x v="0"/>
    <x v="0"/>
    <x v="26"/>
    <x v="0"/>
    <x v="0"/>
    <x v="1"/>
    <x v="1"/>
  </r>
  <r>
    <x v="1233"/>
    <x v="1"/>
    <x v="25"/>
    <x v="1216"/>
    <x v="227"/>
    <x v="493"/>
    <x v="1"/>
    <x v="0"/>
    <x v="1216"/>
    <x v="0"/>
    <x v="0"/>
    <x v="0"/>
    <x v="0"/>
    <x v="0"/>
    <x v="2"/>
    <x v="493"/>
    <x v="481"/>
    <x v="1216"/>
    <x v="1"/>
    <x v="10"/>
    <x v="0"/>
    <x v="17"/>
    <x v="17"/>
    <x v="0"/>
    <x v="0"/>
    <x v="0"/>
    <x v="26"/>
    <x v="0"/>
    <x v="0"/>
    <x v="1"/>
    <x v="1"/>
  </r>
  <r>
    <x v="1232"/>
    <x v="1"/>
    <x v="25"/>
    <x v="1215"/>
    <x v="340"/>
    <x v="502"/>
    <x v="1"/>
    <x v="0"/>
    <x v="1215"/>
    <x v="0"/>
    <x v="0"/>
    <x v="0"/>
    <x v="0"/>
    <x v="0"/>
    <x v="2"/>
    <x v="502"/>
    <x v="490"/>
    <x v="1215"/>
    <x v="1"/>
    <x v="10"/>
    <x v="0"/>
    <x v="17"/>
    <x v="17"/>
    <x v="0"/>
    <x v="0"/>
    <x v="0"/>
    <x v="26"/>
    <x v="0"/>
    <x v="0"/>
    <x v="1"/>
    <x v="1"/>
  </r>
  <r>
    <x v="1231"/>
    <x v="1"/>
    <x v="25"/>
    <x v="1214"/>
    <x v="327"/>
    <x v="501"/>
    <x v="1"/>
    <x v="0"/>
    <x v="1214"/>
    <x v="0"/>
    <x v="0"/>
    <x v="0"/>
    <x v="0"/>
    <x v="0"/>
    <x v="2"/>
    <x v="501"/>
    <x v="489"/>
    <x v="1214"/>
    <x v="1"/>
    <x v="10"/>
    <x v="0"/>
    <x v="17"/>
    <x v="17"/>
    <x v="0"/>
    <x v="0"/>
    <x v="0"/>
    <x v="26"/>
    <x v="0"/>
    <x v="0"/>
    <x v="1"/>
    <x v="1"/>
  </r>
  <r>
    <x v="1230"/>
    <x v="1"/>
    <x v="25"/>
    <x v="1213"/>
    <x v="323"/>
    <x v="500"/>
    <x v="1"/>
    <x v="0"/>
    <x v="1213"/>
    <x v="0"/>
    <x v="0"/>
    <x v="0"/>
    <x v="0"/>
    <x v="0"/>
    <x v="2"/>
    <x v="500"/>
    <x v="488"/>
    <x v="1213"/>
    <x v="1"/>
    <x v="10"/>
    <x v="0"/>
    <x v="17"/>
    <x v="17"/>
    <x v="0"/>
    <x v="0"/>
    <x v="0"/>
    <x v="26"/>
    <x v="0"/>
    <x v="0"/>
    <x v="1"/>
    <x v="1"/>
  </r>
  <r>
    <x v="1229"/>
    <x v="1"/>
    <x v="25"/>
    <x v="1212"/>
    <x v="653"/>
    <x v="519"/>
    <x v="1"/>
    <x v="0"/>
    <x v="1212"/>
    <x v="0"/>
    <x v="0"/>
    <x v="0"/>
    <x v="0"/>
    <x v="0"/>
    <x v="2"/>
    <x v="519"/>
    <x v="507"/>
    <x v="1212"/>
    <x v="1"/>
    <x v="10"/>
    <x v="0"/>
    <x v="17"/>
    <x v="17"/>
    <x v="0"/>
    <x v="0"/>
    <x v="0"/>
    <x v="26"/>
    <x v="0"/>
    <x v="0"/>
    <x v="1"/>
    <x v="1"/>
  </r>
  <r>
    <x v="1228"/>
    <x v="1"/>
    <x v="25"/>
    <x v="1211"/>
    <x v="665"/>
    <x v="521"/>
    <x v="1"/>
    <x v="0"/>
    <x v="1211"/>
    <x v="0"/>
    <x v="0"/>
    <x v="0"/>
    <x v="0"/>
    <x v="0"/>
    <x v="2"/>
    <x v="521"/>
    <x v="509"/>
    <x v="1211"/>
    <x v="1"/>
    <x v="10"/>
    <x v="0"/>
    <x v="17"/>
    <x v="17"/>
    <x v="0"/>
    <x v="0"/>
    <x v="0"/>
    <x v="26"/>
    <x v="0"/>
    <x v="0"/>
    <x v="1"/>
    <x v="1"/>
  </r>
  <r>
    <x v="1227"/>
    <x v="1"/>
    <x v="25"/>
    <x v="1210"/>
    <x v="674"/>
    <x v="522"/>
    <x v="1"/>
    <x v="0"/>
    <x v="1210"/>
    <x v="0"/>
    <x v="0"/>
    <x v="0"/>
    <x v="0"/>
    <x v="0"/>
    <x v="2"/>
    <x v="522"/>
    <x v="510"/>
    <x v="1210"/>
    <x v="1"/>
    <x v="10"/>
    <x v="0"/>
    <x v="17"/>
    <x v="17"/>
    <x v="0"/>
    <x v="0"/>
    <x v="0"/>
    <x v="26"/>
    <x v="0"/>
    <x v="0"/>
    <x v="1"/>
    <x v="1"/>
  </r>
  <r>
    <x v="1226"/>
    <x v="1"/>
    <x v="25"/>
    <x v="1209"/>
    <x v="657"/>
    <x v="520"/>
    <x v="1"/>
    <x v="0"/>
    <x v="1209"/>
    <x v="0"/>
    <x v="0"/>
    <x v="0"/>
    <x v="0"/>
    <x v="0"/>
    <x v="2"/>
    <x v="520"/>
    <x v="508"/>
    <x v="1209"/>
    <x v="1"/>
    <x v="10"/>
    <x v="0"/>
    <x v="17"/>
    <x v="17"/>
    <x v="0"/>
    <x v="0"/>
    <x v="0"/>
    <x v="26"/>
    <x v="0"/>
    <x v="0"/>
    <x v="1"/>
    <x v="1"/>
  </r>
  <r>
    <x v="1225"/>
    <x v="1"/>
    <x v="25"/>
    <x v="1208"/>
    <x v="651"/>
    <x v="518"/>
    <x v="1"/>
    <x v="0"/>
    <x v="1208"/>
    <x v="0"/>
    <x v="0"/>
    <x v="0"/>
    <x v="0"/>
    <x v="0"/>
    <x v="2"/>
    <x v="518"/>
    <x v="506"/>
    <x v="1208"/>
    <x v="1"/>
    <x v="10"/>
    <x v="0"/>
    <x v="17"/>
    <x v="17"/>
    <x v="0"/>
    <x v="0"/>
    <x v="0"/>
    <x v="26"/>
    <x v="0"/>
    <x v="0"/>
    <x v="1"/>
    <x v="1"/>
  </r>
  <r>
    <x v="1224"/>
    <x v="1"/>
    <x v="25"/>
    <x v="1207"/>
    <x v="361"/>
    <x v="503"/>
    <x v="1"/>
    <x v="0"/>
    <x v="1207"/>
    <x v="0"/>
    <x v="0"/>
    <x v="0"/>
    <x v="0"/>
    <x v="0"/>
    <x v="2"/>
    <x v="503"/>
    <x v="491"/>
    <x v="1207"/>
    <x v="1"/>
    <x v="10"/>
    <x v="0"/>
    <x v="17"/>
    <x v="17"/>
    <x v="0"/>
    <x v="0"/>
    <x v="0"/>
    <x v="26"/>
    <x v="0"/>
    <x v="0"/>
    <x v="1"/>
    <x v="1"/>
  </r>
  <r>
    <x v="1223"/>
    <x v="1"/>
    <x v="25"/>
    <x v="1206"/>
    <x v="392"/>
    <x v="506"/>
    <x v="1"/>
    <x v="0"/>
    <x v="1206"/>
    <x v="0"/>
    <x v="0"/>
    <x v="0"/>
    <x v="0"/>
    <x v="0"/>
    <x v="2"/>
    <x v="506"/>
    <x v="494"/>
    <x v="1206"/>
    <x v="1"/>
    <x v="10"/>
    <x v="0"/>
    <x v="17"/>
    <x v="17"/>
    <x v="0"/>
    <x v="0"/>
    <x v="0"/>
    <x v="26"/>
    <x v="0"/>
    <x v="0"/>
    <x v="1"/>
    <x v="1"/>
  </r>
  <r>
    <x v="1222"/>
    <x v="1"/>
    <x v="25"/>
    <x v="1205"/>
    <x v="398"/>
    <x v="507"/>
    <x v="1"/>
    <x v="0"/>
    <x v="1205"/>
    <x v="0"/>
    <x v="0"/>
    <x v="0"/>
    <x v="0"/>
    <x v="0"/>
    <x v="2"/>
    <x v="507"/>
    <x v="495"/>
    <x v="1205"/>
    <x v="1"/>
    <x v="10"/>
    <x v="0"/>
    <x v="17"/>
    <x v="17"/>
    <x v="0"/>
    <x v="0"/>
    <x v="0"/>
    <x v="26"/>
    <x v="0"/>
    <x v="0"/>
    <x v="1"/>
    <x v="1"/>
  </r>
  <r>
    <x v="1221"/>
    <x v="1"/>
    <x v="25"/>
    <x v="1204"/>
    <x v="379"/>
    <x v="504"/>
    <x v="1"/>
    <x v="0"/>
    <x v="1204"/>
    <x v="0"/>
    <x v="0"/>
    <x v="0"/>
    <x v="0"/>
    <x v="0"/>
    <x v="2"/>
    <x v="504"/>
    <x v="492"/>
    <x v="1204"/>
    <x v="1"/>
    <x v="10"/>
    <x v="0"/>
    <x v="17"/>
    <x v="17"/>
    <x v="0"/>
    <x v="0"/>
    <x v="0"/>
    <x v="26"/>
    <x v="0"/>
    <x v="0"/>
    <x v="1"/>
    <x v="1"/>
  </r>
  <r>
    <x v="1220"/>
    <x v="1"/>
    <x v="25"/>
    <x v="1203"/>
    <x v="385"/>
    <x v="505"/>
    <x v="1"/>
    <x v="0"/>
    <x v="1203"/>
    <x v="0"/>
    <x v="0"/>
    <x v="0"/>
    <x v="0"/>
    <x v="0"/>
    <x v="2"/>
    <x v="505"/>
    <x v="493"/>
    <x v="1203"/>
    <x v="1"/>
    <x v="10"/>
    <x v="0"/>
    <x v="17"/>
    <x v="17"/>
    <x v="0"/>
    <x v="0"/>
    <x v="0"/>
    <x v="26"/>
    <x v="0"/>
    <x v="0"/>
    <x v="1"/>
    <x v="1"/>
  </r>
  <r>
    <x v="1219"/>
    <x v="1"/>
    <x v="25"/>
    <x v="1202"/>
    <x v="156"/>
    <x v="485"/>
    <x v="1"/>
    <x v="0"/>
    <x v="1202"/>
    <x v="0"/>
    <x v="0"/>
    <x v="0"/>
    <x v="0"/>
    <x v="0"/>
    <x v="2"/>
    <x v="485"/>
    <x v="473"/>
    <x v="1202"/>
    <x v="1"/>
    <x v="10"/>
    <x v="0"/>
    <x v="17"/>
    <x v="17"/>
    <x v="0"/>
    <x v="0"/>
    <x v="0"/>
    <x v="26"/>
    <x v="0"/>
    <x v="0"/>
    <x v="1"/>
    <x v="1"/>
  </r>
  <r>
    <x v="1218"/>
    <x v="1"/>
    <x v="25"/>
    <x v="1201"/>
    <x v="139"/>
    <x v="481"/>
    <x v="1"/>
    <x v="0"/>
    <x v="1201"/>
    <x v="0"/>
    <x v="0"/>
    <x v="0"/>
    <x v="0"/>
    <x v="0"/>
    <x v="2"/>
    <x v="481"/>
    <x v="469"/>
    <x v="1201"/>
    <x v="1"/>
    <x v="10"/>
    <x v="0"/>
    <x v="17"/>
    <x v="17"/>
    <x v="0"/>
    <x v="0"/>
    <x v="0"/>
    <x v="26"/>
    <x v="0"/>
    <x v="0"/>
    <x v="1"/>
    <x v="1"/>
  </r>
  <r>
    <x v="1217"/>
    <x v="1"/>
    <x v="25"/>
    <x v="1200"/>
    <x v="165"/>
    <x v="488"/>
    <x v="1"/>
    <x v="0"/>
    <x v="1200"/>
    <x v="0"/>
    <x v="0"/>
    <x v="0"/>
    <x v="0"/>
    <x v="0"/>
    <x v="2"/>
    <x v="488"/>
    <x v="476"/>
    <x v="1200"/>
    <x v="1"/>
    <x v="10"/>
    <x v="0"/>
    <x v="17"/>
    <x v="17"/>
    <x v="0"/>
    <x v="0"/>
    <x v="0"/>
    <x v="26"/>
    <x v="0"/>
    <x v="0"/>
    <x v="1"/>
    <x v="1"/>
  </r>
  <r>
    <x v="1216"/>
    <x v="1"/>
    <x v="25"/>
    <x v="1199"/>
    <x v="162"/>
    <x v="487"/>
    <x v="1"/>
    <x v="0"/>
    <x v="1199"/>
    <x v="0"/>
    <x v="0"/>
    <x v="0"/>
    <x v="0"/>
    <x v="0"/>
    <x v="2"/>
    <x v="487"/>
    <x v="475"/>
    <x v="1199"/>
    <x v="1"/>
    <x v="10"/>
    <x v="0"/>
    <x v="17"/>
    <x v="17"/>
    <x v="0"/>
    <x v="0"/>
    <x v="0"/>
    <x v="26"/>
    <x v="0"/>
    <x v="0"/>
    <x v="1"/>
    <x v="1"/>
  </r>
  <r>
    <x v="1215"/>
    <x v="1"/>
    <x v="25"/>
    <x v="1198"/>
    <x v="136"/>
    <x v="480"/>
    <x v="1"/>
    <x v="0"/>
    <x v="1198"/>
    <x v="0"/>
    <x v="0"/>
    <x v="0"/>
    <x v="0"/>
    <x v="0"/>
    <x v="2"/>
    <x v="480"/>
    <x v="468"/>
    <x v="1198"/>
    <x v="1"/>
    <x v="10"/>
    <x v="0"/>
    <x v="17"/>
    <x v="17"/>
    <x v="0"/>
    <x v="0"/>
    <x v="0"/>
    <x v="26"/>
    <x v="0"/>
    <x v="0"/>
    <x v="1"/>
    <x v="1"/>
  </r>
  <r>
    <x v="1214"/>
    <x v="1"/>
    <x v="25"/>
    <x v="1197"/>
    <x v="153"/>
    <x v="484"/>
    <x v="1"/>
    <x v="0"/>
    <x v="1197"/>
    <x v="0"/>
    <x v="0"/>
    <x v="0"/>
    <x v="0"/>
    <x v="0"/>
    <x v="2"/>
    <x v="484"/>
    <x v="472"/>
    <x v="1197"/>
    <x v="1"/>
    <x v="10"/>
    <x v="0"/>
    <x v="17"/>
    <x v="17"/>
    <x v="0"/>
    <x v="0"/>
    <x v="0"/>
    <x v="26"/>
    <x v="0"/>
    <x v="0"/>
    <x v="1"/>
    <x v="1"/>
  </r>
  <r>
    <x v="1213"/>
    <x v="1"/>
    <x v="25"/>
    <x v="1196"/>
    <x v="144"/>
    <x v="482"/>
    <x v="1"/>
    <x v="0"/>
    <x v="1196"/>
    <x v="0"/>
    <x v="0"/>
    <x v="0"/>
    <x v="0"/>
    <x v="0"/>
    <x v="2"/>
    <x v="482"/>
    <x v="470"/>
    <x v="1196"/>
    <x v="1"/>
    <x v="10"/>
    <x v="0"/>
    <x v="17"/>
    <x v="17"/>
    <x v="0"/>
    <x v="0"/>
    <x v="0"/>
    <x v="26"/>
    <x v="0"/>
    <x v="0"/>
    <x v="1"/>
    <x v="1"/>
  </r>
  <r>
    <x v="1212"/>
    <x v="1"/>
    <x v="25"/>
    <x v="1195"/>
    <x v="159"/>
    <x v="486"/>
    <x v="1"/>
    <x v="0"/>
    <x v="1195"/>
    <x v="0"/>
    <x v="0"/>
    <x v="0"/>
    <x v="0"/>
    <x v="0"/>
    <x v="2"/>
    <x v="486"/>
    <x v="474"/>
    <x v="1195"/>
    <x v="1"/>
    <x v="10"/>
    <x v="0"/>
    <x v="17"/>
    <x v="17"/>
    <x v="0"/>
    <x v="0"/>
    <x v="0"/>
    <x v="26"/>
    <x v="0"/>
    <x v="0"/>
    <x v="1"/>
    <x v="1"/>
  </r>
  <r>
    <x v="1211"/>
    <x v="1"/>
    <x v="25"/>
    <x v="1194"/>
    <x v="168"/>
    <x v="489"/>
    <x v="1"/>
    <x v="0"/>
    <x v="1194"/>
    <x v="0"/>
    <x v="0"/>
    <x v="0"/>
    <x v="0"/>
    <x v="0"/>
    <x v="2"/>
    <x v="489"/>
    <x v="477"/>
    <x v="1194"/>
    <x v="1"/>
    <x v="10"/>
    <x v="0"/>
    <x v="17"/>
    <x v="17"/>
    <x v="0"/>
    <x v="0"/>
    <x v="0"/>
    <x v="26"/>
    <x v="0"/>
    <x v="0"/>
    <x v="1"/>
    <x v="1"/>
  </r>
  <r>
    <x v="1210"/>
    <x v="1"/>
    <x v="25"/>
    <x v="1193"/>
    <x v="171"/>
    <x v="490"/>
    <x v="1"/>
    <x v="0"/>
    <x v="1193"/>
    <x v="0"/>
    <x v="0"/>
    <x v="0"/>
    <x v="0"/>
    <x v="0"/>
    <x v="2"/>
    <x v="490"/>
    <x v="478"/>
    <x v="1193"/>
    <x v="1"/>
    <x v="10"/>
    <x v="0"/>
    <x v="17"/>
    <x v="17"/>
    <x v="0"/>
    <x v="0"/>
    <x v="0"/>
    <x v="26"/>
    <x v="0"/>
    <x v="0"/>
    <x v="1"/>
    <x v="1"/>
  </r>
  <r>
    <x v="1209"/>
    <x v="1"/>
    <x v="25"/>
    <x v="1192"/>
    <x v="149"/>
    <x v="483"/>
    <x v="1"/>
    <x v="0"/>
    <x v="1192"/>
    <x v="0"/>
    <x v="0"/>
    <x v="0"/>
    <x v="0"/>
    <x v="0"/>
    <x v="2"/>
    <x v="483"/>
    <x v="471"/>
    <x v="1192"/>
    <x v="1"/>
    <x v="10"/>
    <x v="0"/>
    <x v="17"/>
    <x v="17"/>
    <x v="0"/>
    <x v="0"/>
    <x v="0"/>
    <x v="26"/>
    <x v="0"/>
    <x v="0"/>
    <x v="1"/>
    <x v="1"/>
  </r>
  <r>
    <x v="1208"/>
    <x v="1"/>
    <x v="25"/>
    <x v="1191"/>
    <x v="456"/>
    <x v="508"/>
    <x v="1"/>
    <x v="0"/>
    <x v="1191"/>
    <x v="0"/>
    <x v="0"/>
    <x v="0"/>
    <x v="0"/>
    <x v="0"/>
    <x v="2"/>
    <x v="508"/>
    <x v="496"/>
    <x v="1191"/>
    <x v="1"/>
    <x v="10"/>
    <x v="0"/>
    <x v="17"/>
    <x v="17"/>
    <x v="0"/>
    <x v="0"/>
    <x v="0"/>
    <x v="26"/>
    <x v="0"/>
    <x v="0"/>
    <x v="1"/>
    <x v="1"/>
  </r>
  <r>
    <x v="1207"/>
    <x v="1"/>
    <x v="25"/>
    <x v="1190"/>
    <x v="479"/>
    <x v="509"/>
    <x v="1"/>
    <x v="0"/>
    <x v="1190"/>
    <x v="0"/>
    <x v="0"/>
    <x v="0"/>
    <x v="0"/>
    <x v="0"/>
    <x v="2"/>
    <x v="509"/>
    <x v="497"/>
    <x v="1190"/>
    <x v="1"/>
    <x v="10"/>
    <x v="0"/>
    <x v="17"/>
    <x v="17"/>
    <x v="0"/>
    <x v="0"/>
    <x v="0"/>
    <x v="26"/>
    <x v="0"/>
    <x v="0"/>
    <x v="1"/>
    <x v="1"/>
  </r>
  <r>
    <x v="1206"/>
    <x v="1"/>
    <x v="25"/>
    <x v="1189"/>
    <x v="500"/>
    <x v="510"/>
    <x v="1"/>
    <x v="0"/>
    <x v="1189"/>
    <x v="0"/>
    <x v="0"/>
    <x v="0"/>
    <x v="0"/>
    <x v="0"/>
    <x v="2"/>
    <x v="510"/>
    <x v="498"/>
    <x v="1189"/>
    <x v="1"/>
    <x v="10"/>
    <x v="0"/>
    <x v="17"/>
    <x v="17"/>
    <x v="0"/>
    <x v="0"/>
    <x v="0"/>
    <x v="26"/>
    <x v="0"/>
    <x v="0"/>
    <x v="1"/>
    <x v="1"/>
  </r>
  <r>
    <x v="1205"/>
    <x v="1"/>
    <x v="25"/>
    <x v="1188"/>
    <x v="924"/>
    <x v="547"/>
    <x v="1"/>
    <x v="0"/>
    <x v="1188"/>
    <x v="0"/>
    <x v="0"/>
    <x v="0"/>
    <x v="0"/>
    <x v="0"/>
    <x v="2"/>
    <x v="547"/>
    <x v="535"/>
    <x v="1188"/>
    <x v="1"/>
    <x v="10"/>
    <x v="0"/>
    <x v="17"/>
    <x v="17"/>
    <x v="0"/>
    <x v="0"/>
    <x v="0"/>
    <x v="26"/>
    <x v="0"/>
    <x v="0"/>
    <x v="1"/>
    <x v="1"/>
  </r>
  <r>
    <x v="1204"/>
    <x v="1"/>
    <x v="25"/>
    <x v="1187"/>
    <x v="918"/>
    <x v="546"/>
    <x v="1"/>
    <x v="0"/>
    <x v="1187"/>
    <x v="0"/>
    <x v="0"/>
    <x v="0"/>
    <x v="0"/>
    <x v="0"/>
    <x v="2"/>
    <x v="546"/>
    <x v="534"/>
    <x v="1187"/>
    <x v="1"/>
    <x v="10"/>
    <x v="0"/>
    <x v="17"/>
    <x v="17"/>
    <x v="0"/>
    <x v="0"/>
    <x v="0"/>
    <x v="26"/>
    <x v="0"/>
    <x v="0"/>
    <x v="1"/>
    <x v="1"/>
  </r>
  <r>
    <x v="1203"/>
    <x v="1"/>
    <x v="25"/>
    <x v="1186"/>
    <x v="944"/>
    <x v="550"/>
    <x v="1"/>
    <x v="0"/>
    <x v="1186"/>
    <x v="0"/>
    <x v="0"/>
    <x v="0"/>
    <x v="0"/>
    <x v="0"/>
    <x v="2"/>
    <x v="550"/>
    <x v="538"/>
    <x v="1186"/>
    <x v="1"/>
    <x v="10"/>
    <x v="0"/>
    <x v="17"/>
    <x v="17"/>
    <x v="0"/>
    <x v="0"/>
    <x v="0"/>
    <x v="26"/>
    <x v="0"/>
    <x v="0"/>
    <x v="1"/>
    <x v="1"/>
  </r>
  <r>
    <x v="1202"/>
    <x v="1"/>
    <x v="25"/>
    <x v="1185"/>
    <x v="926"/>
    <x v="548"/>
    <x v="1"/>
    <x v="0"/>
    <x v="1185"/>
    <x v="0"/>
    <x v="0"/>
    <x v="0"/>
    <x v="0"/>
    <x v="0"/>
    <x v="2"/>
    <x v="548"/>
    <x v="536"/>
    <x v="1185"/>
    <x v="1"/>
    <x v="10"/>
    <x v="0"/>
    <x v="17"/>
    <x v="17"/>
    <x v="0"/>
    <x v="0"/>
    <x v="0"/>
    <x v="26"/>
    <x v="0"/>
    <x v="0"/>
    <x v="1"/>
    <x v="1"/>
  </r>
  <r>
    <x v="1201"/>
    <x v="1"/>
    <x v="25"/>
    <x v="1184"/>
    <x v="937"/>
    <x v="549"/>
    <x v="1"/>
    <x v="0"/>
    <x v="1184"/>
    <x v="0"/>
    <x v="0"/>
    <x v="0"/>
    <x v="0"/>
    <x v="0"/>
    <x v="2"/>
    <x v="549"/>
    <x v="537"/>
    <x v="1184"/>
    <x v="1"/>
    <x v="10"/>
    <x v="0"/>
    <x v="17"/>
    <x v="17"/>
    <x v="0"/>
    <x v="0"/>
    <x v="0"/>
    <x v="26"/>
    <x v="0"/>
    <x v="0"/>
    <x v="1"/>
    <x v="1"/>
  </r>
  <r>
    <x v="1200"/>
    <x v="1"/>
    <x v="25"/>
    <x v="1183"/>
    <x v="849"/>
    <x v="543"/>
    <x v="1"/>
    <x v="0"/>
    <x v="1183"/>
    <x v="0"/>
    <x v="0"/>
    <x v="0"/>
    <x v="0"/>
    <x v="0"/>
    <x v="2"/>
    <x v="543"/>
    <x v="531"/>
    <x v="1183"/>
    <x v="1"/>
    <x v="10"/>
    <x v="0"/>
    <x v="17"/>
    <x v="17"/>
    <x v="0"/>
    <x v="0"/>
    <x v="0"/>
    <x v="26"/>
    <x v="0"/>
    <x v="0"/>
    <x v="1"/>
    <x v="1"/>
  </r>
  <r>
    <x v="1199"/>
    <x v="1"/>
    <x v="25"/>
    <x v="1182"/>
    <x v="831"/>
    <x v="541"/>
    <x v="1"/>
    <x v="0"/>
    <x v="1182"/>
    <x v="0"/>
    <x v="0"/>
    <x v="0"/>
    <x v="0"/>
    <x v="0"/>
    <x v="2"/>
    <x v="541"/>
    <x v="529"/>
    <x v="1182"/>
    <x v="1"/>
    <x v="10"/>
    <x v="0"/>
    <x v="17"/>
    <x v="17"/>
    <x v="0"/>
    <x v="0"/>
    <x v="0"/>
    <x v="26"/>
    <x v="0"/>
    <x v="0"/>
    <x v="1"/>
    <x v="1"/>
  </r>
  <r>
    <x v="1198"/>
    <x v="1"/>
    <x v="25"/>
    <x v="1181"/>
    <x v="811"/>
    <x v="538"/>
    <x v="1"/>
    <x v="0"/>
    <x v="1181"/>
    <x v="0"/>
    <x v="0"/>
    <x v="0"/>
    <x v="0"/>
    <x v="0"/>
    <x v="2"/>
    <x v="538"/>
    <x v="526"/>
    <x v="1181"/>
    <x v="1"/>
    <x v="10"/>
    <x v="0"/>
    <x v="17"/>
    <x v="17"/>
    <x v="0"/>
    <x v="0"/>
    <x v="0"/>
    <x v="26"/>
    <x v="0"/>
    <x v="0"/>
    <x v="1"/>
    <x v="1"/>
  </r>
  <r>
    <x v="1197"/>
    <x v="1"/>
    <x v="25"/>
    <x v="1180"/>
    <x v="804"/>
    <x v="537"/>
    <x v="1"/>
    <x v="0"/>
    <x v="1180"/>
    <x v="0"/>
    <x v="0"/>
    <x v="0"/>
    <x v="0"/>
    <x v="0"/>
    <x v="2"/>
    <x v="537"/>
    <x v="525"/>
    <x v="1180"/>
    <x v="1"/>
    <x v="10"/>
    <x v="0"/>
    <x v="17"/>
    <x v="17"/>
    <x v="0"/>
    <x v="0"/>
    <x v="0"/>
    <x v="26"/>
    <x v="0"/>
    <x v="0"/>
    <x v="1"/>
    <x v="1"/>
  </r>
  <r>
    <x v="1196"/>
    <x v="1"/>
    <x v="25"/>
    <x v="1179"/>
    <x v="828"/>
    <x v="540"/>
    <x v="1"/>
    <x v="0"/>
    <x v="1179"/>
    <x v="0"/>
    <x v="0"/>
    <x v="0"/>
    <x v="0"/>
    <x v="0"/>
    <x v="2"/>
    <x v="540"/>
    <x v="528"/>
    <x v="1179"/>
    <x v="1"/>
    <x v="10"/>
    <x v="0"/>
    <x v="17"/>
    <x v="17"/>
    <x v="0"/>
    <x v="0"/>
    <x v="0"/>
    <x v="26"/>
    <x v="0"/>
    <x v="0"/>
    <x v="1"/>
    <x v="1"/>
  </r>
  <r>
    <x v="1195"/>
    <x v="1"/>
    <x v="25"/>
    <x v="1178"/>
    <x v="839"/>
    <x v="542"/>
    <x v="1"/>
    <x v="0"/>
    <x v="1178"/>
    <x v="0"/>
    <x v="0"/>
    <x v="0"/>
    <x v="0"/>
    <x v="0"/>
    <x v="2"/>
    <x v="542"/>
    <x v="530"/>
    <x v="1178"/>
    <x v="1"/>
    <x v="10"/>
    <x v="0"/>
    <x v="17"/>
    <x v="17"/>
    <x v="0"/>
    <x v="0"/>
    <x v="0"/>
    <x v="26"/>
    <x v="0"/>
    <x v="0"/>
    <x v="1"/>
    <x v="1"/>
  </r>
  <r>
    <x v="1194"/>
    <x v="1"/>
    <x v="25"/>
    <x v="1177"/>
    <x v="824"/>
    <x v="539"/>
    <x v="1"/>
    <x v="0"/>
    <x v="1177"/>
    <x v="0"/>
    <x v="0"/>
    <x v="0"/>
    <x v="0"/>
    <x v="0"/>
    <x v="2"/>
    <x v="539"/>
    <x v="527"/>
    <x v="1177"/>
    <x v="1"/>
    <x v="10"/>
    <x v="0"/>
    <x v="17"/>
    <x v="17"/>
    <x v="0"/>
    <x v="0"/>
    <x v="0"/>
    <x v="26"/>
    <x v="0"/>
    <x v="0"/>
    <x v="1"/>
    <x v="1"/>
  </r>
  <r>
    <x v="1193"/>
    <x v="1"/>
    <x v="25"/>
    <x v="1176"/>
    <x v="985"/>
    <x v="1045"/>
    <x v="1"/>
    <x v="0"/>
    <x v="1176"/>
    <x v="0"/>
    <x v="0"/>
    <x v="0"/>
    <x v="0"/>
    <x v="0"/>
    <x v="2"/>
    <x v="1045"/>
    <x v="1033"/>
    <x v="1176"/>
    <x v="1"/>
    <x v="10"/>
    <x v="0"/>
    <x v="17"/>
    <x v="17"/>
    <x v="0"/>
    <x v="0"/>
    <x v="0"/>
    <x v="25"/>
    <x v="0"/>
    <x v="0"/>
    <x v="1"/>
    <x v="1"/>
  </r>
  <r>
    <x v="1192"/>
    <x v="1"/>
    <x v="25"/>
    <x v="1175"/>
    <x v="980"/>
    <x v="1042"/>
    <x v="1"/>
    <x v="0"/>
    <x v="1175"/>
    <x v="0"/>
    <x v="0"/>
    <x v="0"/>
    <x v="0"/>
    <x v="0"/>
    <x v="2"/>
    <x v="1042"/>
    <x v="1030"/>
    <x v="1175"/>
    <x v="1"/>
    <x v="10"/>
    <x v="0"/>
    <x v="17"/>
    <x v="17"/>
    <x v="0"/>
    <x v="0"/>
    <x v="0"/>
    <x v="25"/>
    <x v="0"/>
    <x v="0"/>
    <x v="1"/>
    <x v="1"/>
  </r>
  <r>
    <x v="1191"/>
    <x v="1"/>
    <x v="25"/>
    <x v="1174"/>
    <x v="968"/>
    <x v="1033"/>
    <x v="1"/>
    <x v="0"/>
    <x v="1174"/>
    <x v="0"/>
    <x v="0"/>
    <x v="0"/>
    <x v="0"/>
    <x v="0"/>
    <x v="2"/>
    <x v="1033"/>
    <x v="1021"/>
    <x v="1174"/>
    <x v="1"/>
    <x v="10"/>
    <x v="0"/>
    <x v="17"/>
    <x v="17"/>
    <x v="0"/>
    <x v="0"/>
    <x v="0"/>
    <x v="25"/>
    <x v="0"/>
    <x v="0"/>
    <x v="1"/>
    <x v="1"/>
  </r>
  <r>
    <x v="1190"/>
    <x v="1"/>
    <x v="25"/>
    <x v="1173"/>
    <x v="976"/>
    <x v="1038"/>
    <x v="1"/>
    <x v="0"/>
    <x v="1173"/>
    <x v="0"/>
    <x v="0"/>
    <x v="0"/>
    <x v="0"/>
    <x v="0"/>
    <x v="2"/>
    <x v="1038"/>
    <x v="1026"/>
    <x v="1173"/>
    <x v="1"/>
    <x v="10"/>
    <x v="0"/>
    <x v="17"/>
    <x v="17"/>
    <x v="0"/>
    <x v="0"/>
    <x v="0"/>
    <x v="25"/>
    <x v="0"/>
    <x v="0"/>
    <x v="1"/>
    <x v="1"/>
  </r>
  <r>
    <x v="1189"/>
    <x v="1"/>
    <x v="25"/>
    <x v="1172"/>
    <x v="973"/>
    <x v="1036"/>
    <x v="1"/>
    <x v="0"/>
    <x v="1172"/>
    <x v="0"/>
    <x v="0"/>
    <x v="0"/>
    <x v="0"/>
    <x v="0"/>
    <x v="2"/>
    <x v="1036"/>
    <x v="1024"/>
    <x v="1172"/>
    <x v="1"/>
    <x v="10"/>
    <x v="0"/>
    <x v="17"/>
    <x v="17"/>
    <x v="0"/>
    <x v="0"/>
    <x v="0"/>
    <x v="25"/>
    <x v="0"/>
    <x v="0"/>
    <x v="1"/>
    <x v="1"/>
  </r>
  <r>
    <x v="1188"/>
    <x v="1"/>
    <x v="25"/>
    <x v="1171"/>
    <x v="987"/>
    <x v="1046"/>
    <x v="1"/>
    <x v="0"/>
    <x v="1171"/>
    <x v="0"/>
    <x v="0"/>
    <x v="0"/>
    <x v="0"/>
    <x v="0"/>
    <x v="2"/>
    <x v="1046"/>
    <x v="1034"/>
    <x v="1171"/>
    <x v="1"/>
    <x v="10"/>
    <x v="0"/>
    <x v="17"/>
    <x v="17"/>
    <x v="0"/>
    <x v="0"/>
    <x v="0"/>
    <x v="25"/>
    <x v="0"/>
    <x v="0"/>
    <x v="1"/>
    <x v="1"/>
  </r>
  <r>
    <x v="1187"/>
    <x v="1"/>
    <x v="25"/>
    <x v="1170"/>
    <x v="970"/>
    <x v="1034"/>
    <x v="1"/>
    <x v="0"/>
    <x v="1170"/>
    <x v="0"/>
    <x v="0"/>
    <x v="0"/>
    <x v="0"/>
    <x v="0"/>
    <x v="2"/>
    <x v="1034"/>
    <x v="1022"/>
    <x v="1170"/>
    <x v="1"/>
    <x v="10"/>
    <x v="0"/>
    <x v="17"/>
    <x v="17"/>
    <x v="0"/>
    <x v="0"/>
    <x v="0"/>
    <x v="25"/>
    <x v="0"/>
    <x v="0"/>
    <x v="1"/>
    <x v="1"/>
  </r>
  <r>
    <x v="1186"/>
    <x v="1"/>
    <x v="25"/>
    <x v="1169"/>
    <x v="983"/>
    <x v="1043"/>
    <x v="1"/>
    <x v="0"/>
    <x v="1169"/>
    <x v="0"/>
    <x v="0"/>
    <x v="0"/>
    <x v="0"/>
    <x v="0"/>
    <x v="2"/>
    <x v="1043"/>
    <x v="1031"/>
    <x v="1169"/>
    <x v="1"/>
    <x v="10"/>
    <x v="0"/>
    <x v="17"/>
    <x v="17"/>
    <x v="0"/>
    <x v="0"/>
    <x v="0"/>
    <x v="25"/>
    <x v="0"/>
    <x v="0"/>
    <x v="1"/>
    <x v="1"/>
  </r>
  <r>
    <x v="1185"/>
    <x v="1"/>
    <x v="25"/>
    <x v="1168"/>
    <x v="897"/>
    <x v="1017"/>
    <x v="1"/>
    <x v="0"/>
    <x v="1168"/>
    <x v="0"/>
    <x v="0"/>
    <x v="0"/>
    <x v="0"/>
    <x v="0"/>
    <x v="2"/>
    <x v="1017"/>
    <x v="1005"/>
    <x v="1168"/>
    <x v="1"/>
    <x v="10"/>
    <x v="0"/>
    <x v="17"/>
    <x v="17"/>
    <x v="0"/>
    <x v="0"/>
    <x v="0"/>
    <x v="25"/>
    <x v="0"/>
    <x v="0"/>
    <x v="1"/>
    <x v="1"/>
  </r>
  <r>
    <x v="1184"/>
    <x v="1"/>
    <x v="25"/>
    <x v="1167"/>
    <x v="895"/>
    <x v="1016"/>
    <x v="1"/>
    <x v="0"/>
    <x v="1167"/>
    <x v="0"/>
    <x v="0"/>
    <x v="0"/>
    <x v="0"/>
    <x v="0"/>
    <x v="2"/>
    <x v="1016"/>
    <x v="1004"/>
    <x v="1167"/>
    <x v="1"/>
    <x v="10"/>
    <x v="0"/>
    <x v="17"/>
    <x v="17"/>
    <x v="0"/>
    <x v="0"/>
    <x v="0"/>
    <x v="25"/>
    <x v="0"/>
    <x v="0"/>
    <x v="1"/>
    <x v="1"/>
  </r>
  <r>
    <x v="1183"/>
    <x v="1"/>
    <x v="25"/>
    <x v="1166"/>
    <x v="182"/>
    <x v="594"/>
    <x v="1"/>
    <x v="0"/>
    <x v="1166"/>
    <x v="0"/>
    <x v="0"/>
    <x v="0"/>
    <x v="0"/>
    <x v="0"/>
    <x v="2"/>
    <x v="594"/>
    <x v="582"/>
    <x v="1166"/>
    <x v="1"/>
    <x v="10"/>
    <x v="0"/>
    <x v="17"/>
    <x v="17"/>
    <x v="0"/>
    <x v="0"/>
    <x v="0"/>
    <x v="25"/>
    <x v="0"/>
    <x v="0"/>
    <x v="1"/>
    <x v="1"/>
  </r>
  <r>
    <x v="1182"/>
    <x v="1"/>
    <x v="25"/>
    <x v="1165"/>
    <x v="300"/>
    <x v="678"/>
    <x v="1"/>
    <x v="0"/>
    <x v="1165"/>
    <x v="0"/>
    <x v="0"/>
    <x v="0"/>
    <x v="0"/>
    <x v="0"/>
    <x v="2"/>
    <x v="678"/>
    <x v="666"/>
    <x v="1165"/>
    <x v="1"/>
    <x v="10"/>
    <x v="0"/>
    <x v="17"/>
    <x v="17"/>
    <x v="0"/>
    <x v="0"/>
    <x v="0"/>
    <x v="25"/>
    <x v="0"/>
    <x v="0"/>
    <x v="1"/>
    <x v="1"/>
  </r>
  <r>
    <x v="1181"/>
    <x v="1"/>
    <x v="25"/>
    <x v="1164"/>
    <x v="286"/>
    <x v="667"/>
    <x v="1"/>
    <x v="0"/>
    <x v="1164"/>
    <x v="0"/>
    <x v="0"/>
    <x v="0"/>
    <x v="0"/>
    <x v="0"/>
    <x v="2"/>
    <x v="667"/>
    <x v="655"/>
    <x v="1164"/>
    <x v="1"/>
    <x v="10"/>
    <x v="0"/>
    <x v="17"/>
    <x v="17"/>
    <x v="0"/>
    <x v="0"/>
    <x v="0"/>
    <x v="25"/>
    <x v="0"/>
    <x v="0"/>
    <x v="1"/>
    <x v="1"/>
  </r>
  <r>
    <x v="1180"/>
    <x v="1"/>
    <x v="25"/>
    <x v="1163"/>
    <x v="263"/>
    <x v="651"/>
    <x v="1"/>
    <x v="0"/>
    <x v="1163"/>
    <x v="0"/>
    <x v="0"/>
    <x v="0"/>
    <x v="0"/>
    <x v="0"/>
    <x v="2"/>
    <x v="651"/>
    <x v="639"/>
    <x v="1163"/>
    <x v="1"/>
    <x v="10"/>
    <x v="0"/>
    <x v="17"/>
    <x v="17"/>
    <x v="0"/>
    <x v="0"/>
    <x v="0"/>
    <x v="25"/>
    <x v="0"/>
    <x v="0"/>
    <x v="1"/>
    <x v="1"/>
  </r>
  <r>
    <x v="1179"/>
    <x v="1"/>
    <x v="25"/>
    <x v="1162"/>
    <x v="268"/>
    <x v="653"/>
    <x v="1"/>
    <x v="0"/>
    <x v="1162"/>
    <x v="0"/>
    <x v="0"/>
    <x v="0"/>
    <x v="0"/>
    <x v="0"/>
    <x v="2"/>
    <x v="653"/>
    <x v="641"/>
    <x v="1162"/>
    <x v="1"/>
    <x v="10"/>
    <x v="0"/>
    <x v="17"/>
    <x v="17"/>
    <x v="0"/>
    <x v="0"/>
    <x v="0"/>
    <x v="25"/>
    <x v="0"/>
    <x v="0"/>
    <x v="1"/>
    <x v="1"/>
  </r>
  <r>
    <x v="1178"/>
    <x v="1"/>
    <x v="25"/>
    <x v="1161"/>
    <x v="278"/>
    <x v="661"/>
    <x v="1"/>
    <x v="0"/>
    <x v="1161"/>
    <x v="0"/>
    <x v="0"/>
    <x v="0"/>
    <x v="0"/>
    <x v="0"/>
    <x v="2"/>
    <x v="661"/>
    <x v="649"/>
    <x v="1161"/>
    <x v="1"/>
    <x v="10"/>
    <x v="0"/>
    <x v="17"/>
    <x v="17"/>
    <x v="0"/>
    <x v="0"/>
    <x v="0"/>
    <x v="25"/>
    <x v="0"/>
    <x v="0"/>
    <x v="1"/>
    <x v="1"/>
  </r>
  <r>
    <x v="1177"/>
    <x v="1"/>
    <x v="25"/>
    <x v="1160"/>
    <x v="722"/>
    <x v="909"/>
    <x v="1"/>
    <x v="0"/>
    <x v="1160"/>
    <x v="0"/>
    <x v="0"/>
    <x v="0"/>
    <x v="0"/>
    <x v="0"/>
    <x v="2"/>
    <x v="909"/>
    <x v="897"/>
    <x v="1160"/>
    <x v="1"/>
    <x v="10"/>
    <x v="0"/>
    <x v="17"/>
    <x v="17"/>
    <x v="0"/>
    <x v="0"/>
    <x v="0"/>
    <x v="25"/>
    <x v="0"/>
    <x v="0"/>
    <x v="1"/>
    <x v="1"/>
  </r>
  <r>
    <x v="1176"/>
    <x v="1"/>
    <x v="25"/>
    <x v="1159"/>
    <x v="736"/>
    <x v="918"/>
    <x v="1"/>
    <x v="0"/>
    <x v="1159"/>
    <x v="0"/>
    <x v="0"/>
    <x v="0"/>
    <x v="0"/>
    <x v="0"/>
    <x v="2"/>
    <x v="918"/>
    <x v="906"/>
    <x v="1159"/>
    <x v="1"/>
    <x v="10"/>
    <x v="0"/>
    <x v="17"/>
    <x v="17"/>
    <x v="0"/>
    <x v="0"/>
    <x v="0"/>
    <x v="25"/>
    <x v="0"/>
    <x v="0"/>
    <x v="1"/>
    <x v="1"/>
  </r>
  <r>
    <x v="1175"/>
    <x v="1"/>
    <x v="25"/>
    <x v="1158"/>
    <x v="713"/>
    <x v="904"/>
    <x v="1"/>
    <x v="0"/>
    <x v="1158"/>
    <x v="0"/>
    <x v="0"/>
    <x v="0"/>
    <x v="0"/>
    <x v="0"/>
    <x v="2"/>
    <x v="904"/>
    <x v="892"/>
    <x v="1158"/>
    <x v="1"/>
    <x v="10"/>
    <x v="0"/>
    <x v="17"/>
    <x v="17"/>
    <x v="0"/>
    <x v="0"/>
    <x v="0"/>
    <x v="25"/>
    <x v="0"/>
    <x v="0"/>
    <x v="1"/>
    <x v="1"/>
  </r>
  <r>
    <x v="1174"/>
    <x v="1"/>
    <x v="25"/>
    <x v="1157"/>
    <x v="683"/>
    <x v="883"/>
    <x v="1"/>
    <x v="0"/>
    <x v="1157"/>
    <x v="0"/>
    <x v="0"/>
    <x v="0"/>
    <x v="0"/>
    <x v="0"/>
    <x v="2"/>
    <x v="883"/>
    <x v="871"/>
    <x v="1157"/>
    <x v="1"/>
    <x v="10"/>
    <x v="0"/>
    <x v="17"/>
    <x v="17"/>
    <x v="0"/>
    <x v="0"/>
    <x v="0"/>
    <x v="25"/>
    <x v="0"/>
    <x v="0"/>
    <x v="1"/>
    <x v="1"/>
  </r>
  <r>
    <x v="1173"/>
    <x v="1"/>
    <x v="25"/>
    <x v="1156"/>
    <x v="728"/>
    <x v="912"/>
    <x v="1"/>
    <x v="0"/>
    <x v="1156"/>
    <x v="0"/>
    <x v="0"/>
    <x v="0"/>
    <x v="0"/>
    <x v="0"/>
    <x v="2"/>
    <x v="912"/>
    <x v="900"/>
    <x v="1156"/>
    <x v="1"/>
    <x v="10"/>
    <x v="0"/>
    <x v="17"/>
    <x v="17"/>
    <x v="0"/>
    <x v="0"/>
    <x v="0"/>
    <x v="25"/>
    <x v="0"/>
    <x v="0"/>
    <x v="1"/>
    <x v="1"/>
  </r>
  <r>
    <x v="1172"/>
    <x v="1"/>
    <x v="25"/>
    <x v="1155"/>
    <x v="730"/>
    <x v="914"/>
    <x v="1"/>
    <x v="0"/>
    <x v="1155"/>
    <x v="0"/>
    <x v="0"/>
    <x v="0"/>
    <x v="0"/>
    <x v="0"/>
    <x v="2"/>
    <x v="914"/>
    <x v="902"/>
    <x v="1155"/>
    <x v="1"/>
    <x v="10"/>
    <x v="0"/>
    <x v="17"/>
    <x v="17"/>
    <x v="0"/>
    <x v="0"/>
    <x v="0"/>
    <x v="25"/>
    <x v="0"/>
    <x v="0"/>
    <x v="1"/>
    <x v="1"/>
  </r>
  <r>
    <x v="1171"/>
    <x v="1"/>
    <x v="25"/>
    <x v="1154"/>
    <x v="696"/>
    <x v="893"/>
    <x v="1"/>
    <x v="0"/>
    <x v="1154"/>
    <x v="0"/>
    <x v="0"/>
    <x v="0"/>
    <x v="0"/>
    <x v="0"/>
    <x v="2"/>
    <x v="893"/>
    <x v="881"/>
    <x v="1154"/>
    <x v="1"/>
    <x v="10"/>
    <x v="0"/>
    <x v="17"/>
    <x v="17"/>
    <x v="0"/>
    <x v="0"/>
    <x v="0"/>
    <x v="25"/>
    <x v="0"/>
    <x v="0"/>
    <x v="1"/>
    <x v="1"/>
  </r>
  <r>
    <x v="1170"/>
    <x v="1"/>
    <x v="25"/>
    <x v="1153"/>
    <x v="692"/>
    <x v="891"/>
    <x v="1"/>
    <x v="0"/>
    <x v="1153"/>
    <x v="0"/>
    <x v="0"/>
    <x v="0"/>
    <x v="0"/>
    <x v="0"/>
    <x v="2"/>
    <x v="891"/>
    <x v="879"/>
    <x v="1153"/>
    <x v="1"/>
    <x v="10"/>
    <x v="0"/>
    <x v="17"/>
    <x v="17"/>
    <x v="0"/>
    <x v="0"/>
    <x v="0"/>
    <x v="25"/>
    <x v="0"/>
    <x v="0"/>
    <x v="1"/>
    <x v="1"/>
  </r>
  <r>
    <x v="1169"/>
    <x v="1"/>
    <x v="25"/>
    <x v="1152"/>
    <x v="716"/>
    <x v="905"/>
    <x v="1"/>
    <x v="0"/>
    <x v="1152"/>
    <x v="0"/>
    <x v="0"/>
    <x v="0"/>
    <x v="0"/>
    <x v="0"/>
    <x v="2"/>
    <x v="905"/>
    <x v="893"/>
    <x v="1152"/>
    <x v="1"/>
    <x v="10"/>
    <x v="0"/>
    <x v="17"/>
    <x v="17"/>
    <x v="0"/>
    <x v="0"/>
    <x v="0"/>
    <x v="25"/>
    <x v="0"/>
    <x v="0"/>
    <x v="1"/>
    <x v="1"/>
  </r>
  <r>
    <x v="1168"/>
    <x v="1"/>
    <x v="25"/>
    <x v="1151"/>
    <x v="703"/>
    <x v="898"/>
    <x v="1"/>
    <x v="0"/>
    <x v="1151"/>
    <x v="0"/>
    <x v="0"/>
    <x v="0"/>
    <x v="0"/>
    <x v="0"/>
    <x v="2"/>
    <x v="898"/>
    <x v="886"/>
    <x v="1151"/>
    <x v="1"/>
    <x v="10"/>
    <x v="0"/>
    <x v="17"/>
    <x v="17"/>
    <x v="0"/>
    <x v="0"/>
    <x v="0"/>
    <x v="25"/>
    <x v="0"/>
    <x v="0"/>
    <x v="1"/>
    <x v="1"/>
  </r>
  <r>
    <x v="1167"/>
    <x v="1"/>
    <x v="25"/>
    <x v="1150"/>
    <x v="707"/>
    <x v="899"/>
    <x v="1"/>
    <x v="0"/>
    <x v="1150"/>
    <x v="0"/>
    <x v="0"/>
    <x v="0"/>
    <x v="0"/>
    <x v="0"/>
    <x v="2"/>
    <x v="899"/>
    <x v="887"/>
    <x v="1150"/>
    <x v="1"/>
    <x v="10"/>
    <x v="0"/>
    <x v="17"/>
    <x v="17"/>
    <x v="0"/>
    <x v="0"/>
    <x v="0"/>
    <x v="25"/>
    <x v="0"/>
    <x v="0"/>
    <x v="1"/>
    <x v="1"/>
  </r>
  <r>
    <x v="1166"/>
    <x v="1"/>
    <x v="25"/>
    <x v="1149"/>
    <x v="719"/>
    <x v="907"/>
    <x v="1"/>
    <x v="0"/>
    <x v="1149"/>
    <x v="0"/>
    <x v="0"/>
    <x v="0"/>
    <x v="0"/>
    <x v="0"/>
    <x v="2"/>
    <x v="907"/>
    <x v="895"/>
    <x v="1149"/>
    <x v="1"/>
    <x v="10"/>
    <x v="0"/>
    <x v="17"/>
    <x v="17"/>
    <x v="0"/>
    <x v="0"/>
    <x v="0"/>
    <x v="25"/>
    <x v="0"/>
    <x v="0"/>
    <x v="1"/>
    <x v="1"/>
  </r>
  <r>
    <x v="1165"/>
    <x v="1"/>
    <x v="25"/>
    <x v="1148"/>
    <x v="570"/>
    <x v="805"/>
    <x v="1"/>
    <x v="0"/>
    <x v="1148"/>
    <x v="0"/>
    <x v="0"/>
    <x v="0"/>
    <x v="0"/>
    <x v="0"/>
    <x v="2"/>
    <x v="805"/>
    <x v="793"/>
    <x v="1148"/>
    <x v="1"/>
    <x v="10"/>
    <x v="0"/>
    <x v="17"/>
    <x v="17"/>
    <x v="0"/>
    <x v="0"/>
    <x v="0"/>
    <x v="25"/>
    <x v="0"/>
    <x v="0"/>
    <x v="1"/>
    <x v="1"/>
  </r>
  <r>
    <x v="1164"/>
    <x v="1"/>
    <x v="25"/>
    <x v="1147"/>
    <x v="556"/>
    <x v="796"/>
    <x v="1"/>
    <x v="0"/>
    <x v="1147"/>
    <x v="0"/>
    <x v="0"/>
    <x v="0"/>
    <x v="0"/>
    <x v="0"/>
    <x v="2"/>
    <x v="796"/>
    <x v="784"/>
    <x v="1147"/>
    <x v="1"/>
    <x v="10"/>
    <x v="0"/>
    <x v="17"/>
    <x v="17"/>
    <x v="0"/>
    <x v="0"/>
    <x v="0"/>
    <x v="25"/>
    <x v="0"/>
    <x v="0"/>
    <x v="1"/>
    <x v="1"/>
  </r>
  <r>
    <x v="1163"/>
    <x v="1"/>
    <x v="25"/>
    <x v="1146"/>
    <x v="579"/>
    <x v="809"/>
    <x v="1"/>
    <x v="0"/>
    <x v="1146"/>
    <x v="0"/>
    <x v="0"/>
    <x v="0"/>
    <x v="0"/>
    <x v="0"/>
    <x v="2"/>
    <x v="809"/>
    <x v="797"/>
    <x v="1146"/>
    <x v="1"/>
    <x v="10"/>
    <x v="0"/>
    <x v="17"/>
    <x v="17"/>
    <x v="0"/>
    <x v="0"/>
    <x v="0"/>
    <x v="25"/>
    <x v="0"/>
    <x v="0"/>
    <x v="1"/>
    <x v="1"/>
  </r>
  <r>
    <x v="1162"/>
    <x v="1"/>
    <x v="25"/>
    <x v="1145"/>
    <x v="572"/>
    <x v="806"/>
    <x v="1"/>
    <x v="0"/>
    <x v="1145"/>
    <x v="0"/>
    <x v="0"/>
    <x v="0"/>
    <x v="0"/>
    <x v="0"/>
    <x v="2"/>
    <x v="806"/>
    <x v="794"/>
    <x v="1145"/>
    <x v="1"/>
    <x v="10"/>
    <x v="0"/>
    <x v="17"/>
    <x v="17"/>
    <x v="0"/>
    <x v="0"/>
    <x v="0"/>
    <x v="25"/>
    <x v="0"/>
    <x v="0"/>
    <x v="1"/>
    <x v="1"/>
  </r>
  <r>
    <x v="1161"/>
    <x v="1"/>
    <x v="25"/>
    <x v="1144"/>
    <x v="546"/>
    <x v="790"/>
    <x v="1"/>
    <x v="0"/>
    <x v="1144"/>
    <x v="0"/>
    <x v="0"/>
    <x v="0"/>
    <x v="0"/>
    <x v="0"/>
    <x v="2"/>
    <x v="790"/>
    <x v="778"/>
    <x v="1144"/>
    <x v="1"/>
    <x v="10"/>
    <x v="0"/>
    <x v="17"/>
    <x v="17"/>
    <x v="0"/>
    <x v="0"/>
    <x v="0"/>
    <x v="25"/>
    <x v="0"/>
    <x v="0"/>
    <x v="1"/>
    <x v="1"/>
  </r>
  <r>
    <x v="1160"/>
    <x v="1"/>
    <x v="25"/>
    <x v="1143"/>
    <x v="576"/>
    <x v="808"/>
    <x v="1"/>
    <x v="0"/>
    <x v="1143"/>
    <x v="0"/>
    <x v="0"/>
    <x v="0"/>
    <x v="0"/>
    <x v="0"/>
    <x v="2"/>
    <x v="808"/>
    <x v="796"/>
    <x v="1143"/>
    <x v="1"/>
    <x v="10"/>
    <x v="0"/>
    <x v="17"/>
    <x v="17"/>
    <x v="0"/>
    <x v="0"/>
    <x v="0"/>
    <x v="25"/>
    <x v="0"/>
    <x v="0"/>
    <x v="1"/>
    <x v="1"/>
  </r>
  <r>
    <x v="1159"/>
    <x v="1"/>
    <x v="25"/>
    <x v="1142"/>
    <x v="552"/>
    <x v="794"/>
    <x v="1"/>
    <x v="0"/>
    <x v="1142"/>
    <x v="0"/>
    <x v="0"/>
    <x v="0"/>
    <x v="0"/>
    <x v="0"/>
    <x v="2"/>
    <x v="794"/>
    <x v="782"/>
    <x v="1142"/>
    <x v="1"/>
    <x v="10"/>
    <x v="0"/>
    <x v="17"/>
    <x v="17"/>
    <x v="0"/>
    <x v="0"/>
    <x v="0"/>
    <x v="25"/>
    <x v="0"/>
    <x v="0"/>
    <x v="1"/>
    <x v="1"/>
  </r>
  <r>
    <x v="1158"/>
    <x v="1"/>
    <x v="25"/>
    <x v="1141"/>
    <x v="777"/>
    <x v="950"/>
    <x v="1"/>
    <x v="0"/>
    <x v="1141"/>
    <x v="0"/>
    <x v="0"/>
    <x v="0"/>
    <x v="0"/>
    <x v="0"/>
    <x v="2"/>
    <x v="950"/>
    <x v="938"/>
    <x v="1141"/>
    <x v="1"/>
    <x v="10"/>
    <x v="0"/>
    <x v="17"/>
    <x v="17"/>
    <x v="0"/>
    <x v="0"/>
    <x v="0"/>
    <x v="25"/>
    <x v="0"/>
    <x v="0"/>
    <x v="1"/>
    <x v="1"/>
  </r>
  <r>
    <x v="1157"/>
    <x v="1"/>
    <x v="25"/>
    <x v="1140"/>
    <x v="785"/>
    <x v="958"/>
    <x v="1"/>
    <x v="0"/>
    <x v="1140"/>
    <x v="0"/>
    <x v="0"/>
    <x v="0"/>
    <x v="0"/>
    <x v="0"/>
    <x v="2"/>
    <x v="958"/>
    <x v="946"/>
    <x v="1140"/>
    <x v="1"/>
    <x v="10"/>
    <x v="0"/>
    <x v="17"/>
    <x v="17"/>
    <x v="0"/>
    <x v="0"/>
    <x v="0"/>
    <x v="25"/>
    <x v="0"/>
    <x v="0"/>
    <x v="1"/>
    <x v="1"/>
  </r>
  <r>
    <x v="1156"/>
    <x v="1"/>
    <x v="25"/>
    <x v="1139"/>
    <x v="237"/>
    <x v="631"/>
    <x v="1"/>
    <x v="0"/>
    <x v="1139"/>
    <x v="0"/>
    <x v="0"/>
    <x v="0"/>
    <x v="0"/>
    <x v="0"/>
    <x v="2"/>
    <x v="631"/>
    <x v="619"/>
    <x v="1139"/>
    <x v="1"/>
    <x v="10"/>
    <x v="0"/>
    <x v="17"/>
    <x v="17"/>
    <x v="0"/>
    <x v="0"/>
    <x v="0"/>
    <x v="25"/>
    <x v="0"/>
    <x v="0"/>
    <x v="1"/>
    <x v="1"/>
  </r>
  <r>
    <x v="1155"/>
    <x v="1"/>
    <x v="25"/>
    <x v="1138"/>
    <x v="218"/>
    <x v="619"/>
    <x v="1"/>
    <x v="0"/>
    <x v="1138"/>
    <x v="0"/>
    <x v="0"/>
    <x v="0"/>
    <x v="0"/>
    <x v="0"/>
    <x v="2"/>
    <x v="619"/>
    <x v="607"/>
    <x v="1138"/>
    <x v="1"/>
    <x v="10"/>
    <x v="0"/>
    <x v="17"/>
    <x v="17"/>
    <x v="0"/>
    <x v="0"/>
    <x v="0"/>
    <x v="25"/>
    <x v="0"/>
    <x v="0"/>
    <x v="1"/>
    <x v="1"/>
  </r>
  <r>
    <x v="1154"/>
    <x v="1"/>
    <x v="25"/>
    <x v="1137"/>
    <x v="228"/>
    <x v="627"/>
    <x v="1"/>
    <x v="0"/>
    <x v="1137"/>
    <x v="0"/>
    <x v="0"/>
    <x v="0"/>
    <x v="0"/>
    <x v="0"/>
    <x v="2"/>
    <x v="627"/>
    <x v="615"/>
    <x v="1137"/>
    <x v="1"/>
    <x v="10"/>
    <x v="0"/>
    <x v="17"/>
    <x v="17"/>
    <x v="0"/>
    <x v="0"/>
    <x v="0"/>
    <x v="25"/>
    <x v="0"/>
    <x v="0"/>
    <x v="1"/>
    <x v="1"/>
  </r>
  <r>
    <x v="1153"/>
    <x v="1"/>
    <x v="25"/>
    <x v="1136"/>
    <x v="341"/>
    <x v="698"/>
    <x v="1"/>
    <x v="0"/>
    <x v="1136"/>
    <x v="0"/>
    <x v="0"/>
    <x v="0"/>
    <x v="0"/>
    <x v="0"/>
    <x v="2"/>
    <x v="698"/>
    <x v="686"/>
    <x v="1136"/>
    <x v="1"/>
    <x v="10"/>
    <x v="0"/>
    <x v="17"/>
    <x v="17"/>
    <x v="0"/>
    <x v="0"/>
    <x v="0"/>
    <x v="25"/>
    <x v="0"/>
    <x v="0"/>
    <x v="1"/>
    <x v="1"/>
  </r>
  <r>
    <x v="1152"/>
    <x v="1"/>
    <x v="25"/>
    <x v="1135"/>
    <x v="328"/>
    <x v="691"/>
    <x v="1"/>
    <x v="0"/>
    <x v="1135"/>
    <x v="0"/>
    <x v="0"/>
    <x v="0"/>
    <x v="0"/>
    <x v="0"/>
    <x v="2"/>
    <x v="691"/>
    <x v="679"/>
    <x v="1135"/>
    <x v="1"/>
    <x v="10"/>
    <x v="0"/>
    <x v="17"/>
    <x v="17"/>
    <x v="0"/>
    <x v="0"/>
    <x v="0"/>
    <x v="25"/>
    <x v="0"/>
    <x v="0"/>
    <x v="1"/>
    <x v="1"/>
  </r>
  <r>
    <x v="1151"/>
    <x v="1"/>
    <x v="25"/>
    <x v="1134"/>
    <x v="324"/>
    <x v="689"/>
    <x v="1"/>
    <x v="0"/>
    <x v="1134"/>
    <x v="0"/>
    <x v="0"/>
    <x v="0"/>
    <x v="0"/>
    <x v="0"/>
    <x v="2"/>
    <x v="689"/>
    <x v="677"/>
    <x v="1134"/>
    <x v="1"/>
    <x v="10"/>
    <x v="0"/>
    <x v="17"/>
    <x v="17"/>
    <x v="0"/>
    <x v="0"/>
    <x v="0"/>
    <x v="25"/>
    <x v="0"/>
    <x v="0"/>
    <x v="1"/>
    <x v="1"/>
  </r>
  <r>
    <x v="1150"/>
    <x v="1"/>
    <x v="25"/>
    <x v="1133"/>
    <x v="654"/>
    <x v="876"/>
    <x v="1"/>
    <x v="0"/>
    <x v="1133"/>
    <x v="0"/>
    <x v="0"/>
    <x v="0"/>
    <x v="0"/>
    <x v="0"/>
    <x v="2"/>
    <x v="876"/>
    <x v="864"/>
    <x v="1133"/>
    <x v="1"/>
    <x v="10"/>
    <x v="0"/>
    <x v="17"/>
    <x v="17"/>
    <x v="0"/>
    <x v="0"/>
    <x v="0"/>
    <x v="25"/>
    <x v="0"/>
    <x v="0"/>
    <x v="1"/>
    <x v="1"/>
  </r>
  <r>
    <x v="1149"/>
    <x v="1"/>
    <x v="25"/>
    <x v="1132"/>
    <x v="666"/>
    <x v="878"/>
    <x v="1"/>
    <x v="0"/>
    <x v="1132"/>
    <x v="0"/>
    <x v="0"/>
    <x v="0"/>
    <x v="0"/>
    <x v="0"/>
    <x v="2"/>
    <x v="878"/>
    <x v="866"/>
    <x v="1132"/>
    <x v="1"/>
    <x v="10"/>
    <x v="0"/>
    <x v="17"/>
    <x v="17"/>
    <x v="0"/>
    <x v="0"/>
    <x v="0"/>
    <x v="25"/>
    <x v="0"/>
    <x v="0"/>
    <x v="1"/>
    <x v="1"/>
  </r>
  <r>
    <x v="1148"/>
    <x v="1"/>
    <x v="25"/>
    <x v="1131"/>
    <x v="675"/>
    <x v="879"/>
    <x v="1"/>
    <x v="0"/>
    <x v="1131"/>
    <x v="0"/>
    <x v="0"/>
    <x v="0"/>
    <x v="0"/>
    <x v="0"/>
    <x v="2"/>
    <x v="879"/>
    <x v="867"/>
    <x v="1131"/>
    <x v="1"/>
    <x v="10"/>
    <x v="0"/>
    <x v="17"/>
    <x v="17"/>
    <x v="0"/>
    <x v="0"/>
    <x v="0"/>
    <x v="25"/>
    <x v="0"/>
    <x v="0"/>
    <x v="1"/>
    <x v="1"/>
  </r>
  <r>
    <x v="1147"/>
    <x v="1"/>
    <x v="25"/>
    <x v="1130"/>
    <x v="658"/>
    <x v="877"/>
    <x v="1"/>
    <x v="0"/>
    <x v="1130"/>
    <x v="0"/>
    <x v="0"/>
    <x v="0"/>
    <x v="0"/>
    <x v="0"/>
    <x v="2"/>
    <x v="877"/>
    <x v="865"/>
    <x v="1130"/>
    <x v="1"/>
    <x v="10"/>
    <x v="0"/>
    <x v="17"/>
    <x v="17"/>
    <x v="0"/>
    <x v="0"/>
    <x v="0"/>
    <x v="25"/>
    <x v="0"/>
    <x v="0"/>
    <x v="1"/>
    <x v="1"/>
  </r>
  <r>
    <x v="1146"/>
    <x v="1"/>
    <x v="25"/>
    <x v="1129"/>
    <x v="652"/>
    <x v="875"/>
    <x v="1"/>
    <x v="0"/>
    <x v="1129"/>
    <x v="0"/>
    <x v="0"/>
    <x v="0"/>
    <x v="0"/>
    <x v="0"/>
    <x v="2"/>
    <x v="875"/>
    <x v="863"/>
    <x v="1129"/>
    <x v="1"/>
    <x v="10"/>
    <x v="0"/>
    <x v="17"/>
    <x v="17"/>
    <x v="0"/>
    <x v="0"/>
    <x v="0"/>
    <x v="25"/>
    <x v="0"/>
    <x v="0"/>
    <x v="1"/>
    <x v="1"/>
  </r>
  <r>
    <x v="1145"/>
    <x v="1"/>
    <x v="25"/>
    <x v="1128"/>
    <x v="362"/>
    <x v="718"/>
    <x v="1"/>
    <x v="0"/>
    <x v="1128"/>
    <x v="0"/>
    <x v="0"/>
    <x v="0"/>
    <x v="0"/>
    <x v="0"/>
    <x v="2"/>
    <x v="718"/>
    <x v="706"/>
    <x v="1128"/>
    <x v="1"/>
    <x v="10"/>
    <x v="0"/>
    <x v="17"/>
    <x v="17"/>
    <x v="0"/>
    <x v="0"/>
    <x v="0"/>
    <x v="25"/>
    <x v="0"/>
    <x v="0"/>
    <x v="1"/>
    <x v="1"/>
  </r>
  <r>
    <x v="1144"/>
    <x v="1"/>
    <x v="25"/>
    <x v="1127"/>
    <x v="393"/>
    <x v="741"/>
    <x v="1"/>
    <x v="0"/>
    <x v="1127"/>
    <x v="0"/>
    <x v="0"/>
    <x v="0"/>
    <x v="0"/>
    <x v="0"/>
    <x v="2"/>
    <x v="741"/>
    <x v="729"/>
    <x v="1127"/>
    <x v="1"/>
    <x v="10"/>
    <x v="0"/>
    <x v="17"/>
    <x v="17"/>
    <x v="0"/>
    <x v="0"/>
    <x v="0"/>
    <x v="25"/>
    <x v="0"/>
    <x v="0"/>
    <x v="1"/>
    <x v="1"/>
  </r>
  <r>
    <x v="1143"/>
    <x v="1"/>
    <x v="25"/>
    <x v="1126"/>
    <x v="399"/>
    <x v="743"/>
    <x v="1"/>
    <x v="0"/>
    <x v="1126"/>
    <x v="0"/>
    <x v="0"/>
    <x v="0"/>
    <x v="0"/>
    <x v="0"/>
    <x v="2"/>
    <x v="743"/>
    <x v="731"/>
    <x v="1126"/>
    <x v="1"/>
    <x v="10"/>
    <x v="0"/>
    <x v="17"/>
    <x v="17"/>
    <x v="0"/>
    <x v="0"/>
    <x v="0"/>
    <x v="25"/>
    <x v="0"/>
    <x v="0"/>
    <x v="1"/>
    <x v="1"/>
  </r>
  <r>
    <x v="1142"/>
    <x v="1"/>
    <x v="25"/>
    <x v="1125"/>
    <x v="380"/>
    <x v="732"/>
    <x v="1"/>
    <x v="0"/>
    <x v="1125"/>
    <x v="0"/>
    <x v="0"/>
    <x v="0"/>
    <x v="0"/>
    <x v="0"/>
    <x v="2"/>
    <x v="732"/>
    <x v="720"/>
    <x v="1125"/>
    <x v="1"/>
    <x v="10"/>
    <x v="0"/>
    <x v="17"/>
    <x v="17"/>
    <x v="0"/>
    <x v="0"/>
    <x v="0"/>
    <x v="25"/>
    <x v="0"/>
    <x v="0"/>
    <x v="1"/>
    <x v="1"/>
  </r>
  <r>
    <x v="1141"/>
    <x v="1"/>
    <x v="25"/>
    <x v="1124"/>
    <x v="386"/>
    <x v="736"/>
    <x v="1"/>
    <x v="0"/>
    <x v="1124"/>
    <x v="0"/>
    <x v="0"/>
    <x v="0"/>
    <x v="0"/>
    <x v="0"/>
    <x v="2"/>
    <x v="736"/>
    <x v="724"/>
    <x v="1124"/>
    <x v="1"/>
    <x v="10"/>
    <x v="0"/>
    <x v="17"/>
    <x v="17"/>
    <x v="0"/>
    <x v="0"/>
    <x v="0"/>
    <x v="25"/>
    <x v="0"/>
    <x v="0"/>
    <x v="1"/>
    <x v="1"/>
  </r>
  <r>
    <x v="1140"/>
    <x v="1"/>
    <x v="25"/>
    <x v="1123"/>
    <x v="157"/>
    <x v="577"/>
    <x v="1"/>
    <x v="0"/>
    <x v="1123"/>
    <x v="0"/>
    <x v="0"/>
    <x v="0"/>
    <x v="0"/>
    <x v="0"/>
    <x v="2"/>
    <x v="577"/>
    <x v="565"/>
    <x v="1123"/>
    <x v="1"/>
    <x v="10"/>
    <x v="0"/>
    <x v="17"/>
    <x v="17"/>
    <x v="0"/>
    <x v="0"/>
    <x v="0"/>
    <x v="25"/>
    <x v="0"/>
    <x v="0"/>
    <x v="1"/>
    <x v="1"/>
  </r>
  <r>
    <x v="1139"/>
    <x v="1"/>
    <x v="25"/>
    <x v="1122"/>
    <x v="140"/>
    <x v="565"/>
    <x v="1"/>
    <x v="0"/>
    <x v="1122"/>
    <x v="0"/>
    <x v="0"/>
    <x v="0"/>
    <x v="0"/>
    <x v="0"/>
    <x v="2"/>
    <x v="565"/>
    <x v="553"/>
    <x v="1122"/>
    <x v="1"/>
    <x v="10"/>
    <x v="0"/>
    <x v="17"/>
    <x v="17"/>
    <x v="0"/>
    <x v="0"/>
    <x v="0"/>
    <x v="25"/>
    <x v="0"/>
    <x v="0"/>
    <x v="1"/>
    <x v="1"/>
  </r>
  <r>
    <x v="1138"/>
    <x v="1"/>
    <x v="25"/>
    <x v="1121"/>
    <x v="166"/>
    <x v="583"/>
    <x v="1"/>
    <x v="0"/>
    <x v="1121"/>
    <x v="0"/>
    <x v="0"/>
    <x v="0"/>
    <x v="0"/>
    <x v="0"/>
    <x v="2"/>
    <x v="583"/>
    <x v="571"/>
    <x v="1121"/>
    <x v="1"/>
    <x v="10"/>
    <x v="0"/>
    <x v="17"/>
    <x v="17"/>
    <x v="0"/>
    <x v="0"/>
    <x v="0"/>
    <x v="25"/>
    <x v="0"/>
    <x v="0"/>
    <x v="1"/>
    <x v="1"/>
  </r>
  <r>
    <x v="1137"/>
    <x v="1"/>
    <x v="25"/>
    <x v="1120"/>
    <x v="163"/>
    <x v="580"/>
    <x v="1"/>
    <x v="0"/>
    <x v="1120"/>
    <x v="0"/>
    <x v="0"/>
    <x v="0"/>
    <x v="0"/>
    <x v="0"/>
    <x v="2"/>
    <x v="580"/>
    <x v="568"/>
    <x v="1120"/>
    <x v="1"/>
    <x v="10"/>
    <x v="0"/>
    <x v="17"/>
    <x v="17"/>
    <x v="0"/>
    <x v="0"/>
    <x v="0"/>
    <x v="25"/>
    <x v="0"/>
    <x v="0"/>
    <x v="1"/>
    <x v="1"/>
  </r>
  <r>
    <x v="1136"/>
    <x v="1"/>
    <x v="25"/>
    <x v="1119"/>
    <x v="137"/>
    <x v="563"/>
    <x v="1"/>
    <x v="0"/>
    <x v="1119"/>
    <x v="0"/>
    <x v="0"/>
    <x v="0"/>
    <x v="0"/>
    <x v="0"/>
    <x v="2"/>
    <x v="563"/>
    <x v="551"/>
    <x v="1119"/>
    <x v="1"/>
    <x v="10"/>
    <x v="0"/>
    <x v="17"/>
    <x v="17"/>
    <x v="0"/>
    <x v="0"/>
    <x v="0"/>
    <x v="25"/>
    <x v="0"/>
    <x v="0"/>
    <x v="1"/>
    <x v="1"/>
  </r>
  <r>
    <x v="1135"/>
    <x v="1"/>
    <x v="25"/>
    <x v="1118"/>
    <x v="154"/>
    <x v="575"/>
    <x v="1"/>
    <x v="0"/>
    <x v="1118"/>
    <x v="0"/>
    <x v="0"/>
    <x v="0"/>
    <x v="0"/>
    <x v="0"/>
    <x v="2"/>
    <x v="575"/>
    <x v="563"/>
    <x v="1118"/>
    <x v="1"/>
    <x v="10"/>
    <x v="0"/>
    <x v="17"/>
    <x v="17"/>
    <x v="0"/>
    <x v="0"/>
    <x v="0"/>
    <x v="25"/>
    <x v="0"/>
    <x v="0"/>
    <x v="1"/>
    <x v="1"/>
  </r>
  <r>
    <x v="1134"/>
    <x v="1"/>
    <x v="25"/>
    <x v="1117"/>
    <x v="145"/>
    <x v="568"/>
    <x v="1"/>
    <x v="0"/>
    <x v="1117"/>
    <x v="0"/>
    <x v="0"/>
    <x v="0"/>
    <x v="0"/>
    <x v="0"/>
    <x v="2"/>
    <x v="568"/>
    <x v="556"/>
    <x v="1117"/>
    <x v="1"/>
    <x v="10"/>
    <x v="0"/>
    <x v="17"/>
    <x v="17"/>
    <x v="0"/>
    <x v="0"/>
    <x v="0"/>
    <x v="25"/>
    <x v="0"/>
    <x v="0"/>
    <x v="1"/>
    <x v="1"/>
  </r>
  <r>
    <x v="1133"/>
    <x v="1"/>
    <x v="25"/>
    <x v="1116"/>
    <x v="160"/>
    <x v="578"/>
    <x v="1"/>
    <x v="0"/>
    <x v="1116"/>
    <x v="0"/>
    <x v="0"/>
    <x v="0"/>
    <x v="0"/>
    <x v="0"/>
    <x v="2"/>
    <x v="578"/>
    <x v="566"/>
    <x v="1116"/>
    <x v="1"/>
    <x v="10"/>
    <x v="0"/>
    <x v="17"/>
    <x v="17"/>
    <x v="0"/>
    <x v="0"/>
    <x v="0"/>
    <x v="25"/>
    <x v="0"/>
    <x v="0"/>
    <x v="1"/>
    <x v="1"/>
  </r>
  <r>
    <x v="1132"/>
    <x v="1"/>
    <x v="25"/>
    <x v="1115"/>
    <x v="169"/>
    <x v="585"/>
    <x v="1"/>
    <x v="0"/>
    <x v="1115"/>
    <x v="0"/>
    <x v="0"/>
    <x v="0"/>
    <x v="0"/>
    <x v="0"/>
    <x v="2"/>
    <x v="585"/>
    <x v="573"/>
    <x v="1115"/>
    <x v="1"/>
    <x v="10"/>
    <x v="0"/>
    <x v="17"/>
    <x v="17"/>
    <x v="0"/>
    <x v="0"/>
    <x v="0"/>
    <x v="25"/>
    <x v="0"/>
    <x v="0"/>
    <x v="1"/>
    <x v="1"/>
  </r>
  <r>
    <x v="1131"/>
    <x v="1"/>
    <x v="25"/>
    <x v="1114"/>
    <x v="172"/>
    <x v="587"/>
    <x v="1"/>
    <x v="0"/>
    <x v="1114"/>
    <x v="0"/>
    <x v="0"/>
    <x v="0"/>
    <x v="0"/>
    <x v="0"/>
    <x v="2"/>
    <x v="587"/>
    <x v="575"/>
    <x v="1114"/>
    <x v="1"/>
    <x v="10"/>
    <x v="0"/>
    <x v="17"/>
    <x v="17"/>
    <x v="0"/>
    <x v="0"/>
    <x v="0"/>
    <x v="25"/>
    <x v="0"/>
    <x v="0"/>
    <x v="1"/>
    <x v="1"/>
  </r>
  <r>
    <x v="1130"/>
    <x v="1"/>
    <x v="25"/>
    <x v="1113"/>
    <x v="150"/>
    <x v="573"/>
    <x v="1"/>
    <x v="0"/>
    <x v="1113"/>
    <x v="0"/>
    <x v="0"/>
    <x v="0"/>
    <x v="0"/>
    <x v="0"/>
    <x v="2"/>
    <x v="573"/>
    <x v="561"/>
    <x v="1113"/>
    <x v="1"/>
    <x v="10"/>
    <x v="0"/>
    <x v="17"/>
    <x v="17"/>
    <x v="0"/>
    <x v="0"/>
    <x v="0"/>
    <x v="25"/>
    <x v="0"/>
    <x v="0"/>
    <x v="1"/>
    <x v="1"/>
  </r>
  <r>
    <x v="1129"/>
    <x v="1"/>
    <x v="25"/>
    <x v="1112"/>
    <x v="457"/>
    <x v="746"/>
    <x v="1"/>
    <x v="0"/>
    <x v="1112"/>
    <x v="0"/>
    <x v="0"/>
    <x v="0"/>
    <x v="0"/>
    <x v="0"/>
    <x v="2"/>
    <x v="746"/>
    <x v="734"/>
    <x v="1112"/>
    <x v="1"/>
    <x v="10"/>
    <x v="0"/>
    <x v="17"/>
    <x v="17"/>
    <x v="0"/>
    <x v="0"/>
    <x v="0"/>
    <x v="25"/>
    <x v="0"/>
    <x v="0"/>
    <x v="1"/>
    <x v="1"/>
  </r>
  <r>
    <x v="1128"/>
    <x v="1"/>
    <x v="25"/>
    <x v="1111"/>
    <x v="480"/>
    <x v="762"/>
    <x v="1"/>
    <x v="0"/>
    <x v="1111"/>
    <x v="0"/>
    <x v="0"/>
    <x v="0"/>
    <x v="0"/>
    <x v="0"/>
    <x v="2"/>
    <x v="762"/>
    <x v="750"/>
    <x v="1111"/>
    <x v="1"/>
    <x v="10"/>
    <x v="0"/>
    <x v="17"/>
    <x v="17"/>
    <x v="0"/>
    <x v="0"/>
    <x v="0"/>
    <x v="25"/>
    <x v="0"/>
    <x v="0"/>
    <x v="1"/>
    <x v="1"/>
  </r>
  <r>
    <x v="1127"/>
    <x v="1"/>
    <x v="25"/>
    <x v="1110"/>
    <x v="501"/>
    <x v="782"/>
    <x v="1"/>
    <x v="0"/>
    <x v="1110"/>
    <x v="0"/>
    <x v="0"/>
    <x v="0"/>
    <x v="0"/>
    <x v="0"/>
    <x v="2"/>
    <x v="782"/>
    <x v="770"/>
    <x v="1110"/>
    <x v="1"/>
    <x v="10"/>
    <x v="0"/>
    <x v="17"/>
    <x v="17"/>
    <x v="0"/>
    <x v="0"/>
    <x v="0"/>
    <x v="25"/>
    <x v="0"/>
    <x v="0"/>
    <x v="1"/>
    <x v="1"/>
  </r>
  <r>
    <x v="1126"/>
    <x v="1"/>
    <x v="25"/>
    <x v="1109"/>
    <x v="925"/>
    <x v="1023"/>
    <x v="1"/>
    <x v="0"/>
    <x v="1109"/>
    <x v="0"/>
    <x v="0"/>
    <x v="0"/>
    <x v="0"/>
    <x v="0"/>
    <x v="2"/>
    <x v="1023"/>
    <x v="1011"/>
    <x v="1109"/>
    <x v="1"/>
    <x v="10"/>
    <x v="0"/>
    <x v="17"/>
    <x v="17"/>
    <x v="0"/>
    <x v="0"/>
    <x v="0"/>
    <x v="25"/>
    <x v="0"/>
    <x v="0"/>
    <x v="1"/>
    <x v="1"/>
  </r>
  <r>
    <x v="1125"/>
    <x v="1"/>
    <x v="25"/>
    <x v="1108"/>
    <x v="919"/>
    <x v="1022"/>
    <x v="1"/>
    <x v="0"/>
    <x v="1108"/>
    <x v="0"/>
    <x v="0"/>
    <x v="0"/>
    <x v="0"/>
    <x v="0"/>
    <x v="2"/>
    <x v="1022"/>
    <x v="1010"/>
    <x v="1108"/>
    <x v="1"/>
    <x v="10"/>
    <x v="0"/>
    <x v="17"/>
    <x v="17"/>
    <x v="0"/>
    <x v="0"/>
    <x v="0"/>
    <x v="25"/>
    <x v="0"/>
    <x v="0"/>
    <x v="1"/>
    <x v="1"/>
  </r>
  <r>
    <x v="1124"/>
    <x v="1"/>
    <x v="25"/>
    <x v="1107"/>
    <x v="945"/>
    <x v="1031"/>
    <x v="1"/>
    <x v="0"/>
    <x v="1107"/>
    <x v="0"/>
    <x v="0"/>
    <x v="0"/>
    <x v="0"/>
    <x v="0"/>
    <x v="2"/>
    <x v="1031"/>
    <x v="1019"/>
    <x v="1107"/>
    <x v="1"/>
    <x v="10"/>
    <x v="0"/>
    <x v="17"/>
    <x v="17"/>
    <x v="0"/>
    <x v="0"/>
    <x v="0"/>
    <x v="25"/>
    <x v="0"/>
    <x v="0"/>
    <x v="1"/>
    <x v="1"/>
  </r>
  <r>
    <x v="1123"/>
    <x v="1"/>
    <x v="25"/>
    <x v="1106"/>
    <x v="927"/>
    <x v="1024"/>
    <x v="1"/>
    <x v="0"/>
    <x v="1106"/>
    <x v="0"/>
    <x v="0"/>
    <x v="0"/>
    <x v="0"/>
    <x v="0"/>
    <x v="2"/>
    <x v="1024"/>
    <x v="1012"/>
    <x v="1106"/>
    <x v="1"/>
    <x v="10"/>
    <x v="0"/>
    <x v="17"/>
    <x v="17"/>
    <x v="0"/>
    <x v="0"/>
    <x v="0"/>
    <x v="25"/>
    <x v="0"/>
    <x v="0"/>
    <x v="1"/>
    <x v="1"/>
  </r>
  <r>
    <x v="1122"/>
    <x v="1"/>
    <x v="25"/>
    <x v="1105"/>
    <x v="938"/>
    <x v="1030"/>
    <x v="1"/>
    <x v="0"/>
    <x v="1105"/>
    <x v="0"/>
    <x v="0"/>
    <x v="0"/>
    <x v="0"/>
    <x v="0"/>
    <x v="2"/>
    <x v="1030"/>
    <x v="1018"/>
    <x v="1105"/>
    <x v="1"/>
    <x v="10"/>
    <x v="0"/>
    <x v="17"/>
    <x v="17"/>
    <x v="0"/>
    <x v="0"/>
    <x v="0"/>
    <x v="25"/>
    <x v="0"/>
    <x v="0"/>
    <x v="1"/>
    <x v="1"/>
  </r>
  <r>
    <x v="1121"/>
    <x v="1"/>
    <x v="25"/>
    <x v="1104"/>
    <x v="850"/>
    <x v="995"/>
    <x v="1"/>
    <x v="0"/>
    <x v="1104"/>
    <x v="0"/>
    <x v="0"/>
    <x v="0"/>
    <x v="0"/>
    <x v="0"/>
    <x v="2"/>
    <x v="995"/>
    <x v="983"/>
    <x v="1104"/>
    <x v="1"/>
    <x v="10"/>
    <x v="0"/>
    <x v="17"/>
    <x v="17"/>
    <x v="0"/>
    <x v="0"/>
    <x v="0"/>
    <x v="25"/>
    <x v="0"/>
    <x v="0"/>
    <x v="1"/>
    <x v="1"/>
  </r>
  <r>
    <x v="1120"/>
    <x v="1"/>
    <x v="25"/>
    <x v="1103"/>
    <x v="832"/>
    <x v="983"/>
    <x v="1"/>
    <x v="0"/>
    <x v="1103"/>
    <x v="0"/>
    <x v="0"/>
    <x v="0"/>
    <x v="0"/>
    <x v="0"/>
    <x v="2"/>
    <x v="983"/>
    <x v="971"/>
    <x v="1103"/>
    <x v="1"/>
    <x v="10"/>
    <x v="0"/>
    <x v="17"/>
    <x v="17"/>
    <x v="0"/>
    <x v="0"/>
    <x v="0"/>
    <x v="25"/>
    <x v="0"/>
    <x v="0"/>
    <x v="1"/>
    <x v="1"/>
  </r>
  <r>
    <x v="1119"/>
    <x v="1"/>
    <x v="25"/>
    <x v="1102"/>
    <x v="812"/>
    <x v="969"/>
    <x v="1"/>
    <x v="0"/>
    <x v="1102"/>
    <x v="0"/>
    <x v="0"/>
    <x v="0"/>
    <x v="0"/>
    <x v="0"/>
    <x v="2"/>
    <x v="969"/>
    <x v="957"/>
    <x v="1102"/>
    <x v="1"/>
    <x v="10"/>
    <x v="0"/>
    <x v="17"/>
    <x v="17"/>
    <x v="0"/>
    <x v="0"/>
    <x v="0"/>
    <x v="25"/>
    <x v="0"/>
    <x v="0"/>
    <x v="1"/>
    <x v="1"/>
  </r>
  <r>
    <x v="1118"/>
    <x v="1"/>
    <x v="25"/>
    <x v="1101"/>
    <x v="805"/>
    <x v="963"/>
    <x v="1"/>
    <x v="0"/>
    <x v="1101"/>
    <x v="0"/>
    <x v="0"/>
    <x v="0"/>
    <x v="0"/>
    <x v="0"/>
    <x v="2"/>
    <x v="963"/>
    <x v="951"/>
    <x v="1101"/>
    <x v="1"/>
    <x v="10"/>
    <x v="0"/>
    <x v="17"/>
    <x v="17"/>
    <x v="0"/>
    <x v="0"/>
    <x v="0"/>
    <x v="25"/>
    <x v="0"/>
    <x v="0"/>
    <x v="1"/>
    <x v="1"/>
  </r>
  <r>
    <x v="1117"/>
    <x v="1"/>
    <x v="25"/>
    <x v="1100"/>
    <x v="829"/>
    <x v="981"/>
    <x v="1"/>
    <x v="0"/>
    <x v="1100"/>
    <x v="0"/>
    <x v="0"/>
    <x v="0"/>
    <x v="0"/>
    <x v="0"/>
    <x v="2"/>
    <x v="981"/>
    <x v="969"/>
    <x v="1100"/>
    <x v="1"/>
    <x v="10"/>
    <x v="0"/>
    <x v="17"/>
    <x v="17"/>
    <x v="0"/>
    <x v="0"/>
    <x v="0"/>
    <x v="25"/>
    <x v="0"/>
    <x v="0"/>
    <x v="1"/>
    <x v="1"/>
  </r>
  <r>
    <x v="1116"/>
    <x v="1"/>
    <x v="25"/>
    <x v="1099"/>
    <x v="840"/>
    <x v="989"/>
    <x v="1"/>
    <x v="0"/>
    <x v="1099"/>
    <x v="0"/>
    <x v="0"/>
    <x v="0"/>
    <x v="0"/>
    <x v="0"/>
    <x v="2"/>
    <x v="989"/>
    <x v="977"/>
    <x v="1099"/>
    <x v="1"/>
    <x v="10"/>
    <x v="0"/>
    <x v="17"/>
    <x v="17"/>
    <x v="0"/>
    <x v="0"/>
    <x v="0"/>
    <x v="25"/>
    <x v="0"/>
    <x v="0"/>
    <x v="1"/>
    <x v="1"/>
  </r>
  <r>
    <x v="1115"/>
    <x v="1"/>
    <x v="25"/>
    <x v="1098"/>
    <x v="825"/>
    <x v="979"/>
    <x v="1"/>
    <x v="0"/>
    <x v="1098"/>
    <x v="0"/>
    <x v="0"/>
    <x v="0"/>
    <x v="0"/>
    <x v="0"/>
    <x v="2"/>
    <x v="979"/>
    <x v="967"/>
    <x v="1098"/>
    <x v="1"/>
    <x v="10"/>
    <x v="0"/>
    <x v="17"/>
    <x v="17"/>
    <x v="0"/>
    <x v="0"/>
    <x v="0"/>
    <x v="25"/>
    <x v="0"/>
    <x v="0"/>
    <x v="1"/>
    <x v="1"/>
  </r>
  <r>
    <x v="1114"/>
    <x v="1"/>
    <x v="25"/>
    <x v="1097"/>
    <x v="24"/>
    <x v="1064"/>
    <x v="1"/>
    <x v="0"/>
    <x v="1097"/>
    <x v="0"/>
    <x v="0"/>
    <x v="0"/>
    <x v="0"/>
    <x v="0"/>
    <x v="2"/>
    <x v="1064"/>
    <x v="1052"/>
    <x v="1097"/>
    <x v="1"/>
    <x v="10"/>
    <x v="0"/>
    <x v="17"/>
    <x v="17"/>
    <x v="0"/>
    <x v="0"/>
    <x v="0"/>
    <x v="25"/>
    <x v="0"/>
    <x v="0"/>
    <x v="1"/>
    <x v="1"/>
  </r>
  <r>
    <x v="1113"/>
    <x v="1"/>
    <x v="25"/>
    <x v="1096"/>
    <x v="23"/>
    <x v="1063"/>
    <x v="1"/>
    <x v="0"/>
    <x v="1096"/>
    <x v="0"/>
    <x v="0"/>
    <x v="0"/>
    <x v="0"/>
    <x v="0"/>
    <x v="2"/>
    <x v="1063"/>
    <x v="1051"/>
    <x v="1096"/>
    <x v="1"/>
    <x v="10"/>
    <x v="0"/>
    <x v="17"/>
    <x v="17"/>
    <x v="0"/>
    <x v="0"/>
    <x v="0"/>
    <x v="25"/>
    <x v="0"/>
    <x v="0"/>
    <x v="1"/>
    <x v="1"/>
  </r>
  <r>
    <x v="1112"/>
    <x v="1"/>
    <x v="25"/>
    <x v="1095"/>
    <x v="22"/>
    <x v="1062"/>
    <x v="1"/>
    <x v="0"/>
    <x v="1095"/>
    <x v="0"/>
    <x v="0"/>
    <x v="0"/>
    <x v="0"/>
    <x v="0"/>
    <x v="2"/>
    <x v="1062"/>
    <x v="1050"/>
    <x v="1095"/>
    <x v="1"/>
    <x v="10"/>
    <x v="0"/>
    <x v="17"/>
    <x v="17"/>
    <x v="0"/>
    <x v="0"/>
    <x v="0"/>
    <x v="25"/>
    <x v="0"/>
    <x v="0"/>
    <x v="1"/>
    <x v="1"/>
  </r>
  <r>
    <x v="1111"/>
    <x v="1"/>
    <x v="25"/>
    <x v="1094"/>
    <x v="21"/>
    <x v="1061"/>
    <x v="1"/>
    <x v="0"/>
    <x v="1094"/>
    <x v="0"/>
    <x v="0"/>
    <x v="0"/>
    <x v="0"/>
    <x v="0"/>
    <x v="2"/>
    <x v="1061"/>
    <x v="1049"/>
    <x v="1094"/>
    <x v="1"/>
    <x v="10"/>
    <x v="0"/>
    <x v="17"/>
    <x v="17"/>
    <x v="0"/>
    <x v="0"/>
    <x v="0"/>
    <x v="25"/>
    <x v="0"/>
    <x v="0"/>
    <x v="1"/>
    <x v="1"/>
  </r>
  <r>
    <x v="1110"/>
    <x v="1"/>
    <x v="25"/>
    <x v="1093"/>
    <x v="20"/>
    <x v="1060"/>
    <x v="1"/>
    <x v="0"/>
    <x v="1093"/>
    <x v="0"/>
    <x v="0"/>
    <x v="0"/>
    <x v="0"/>
    <x v="0"/>
    <x v="2"/>
    <x v="1060"/>
    <x v="1048"/>
    <x v="1093"/>
    <x v="1"/>
    <x v="10"/>
    <x v="0"/>
    <x v="17"/>
    <x v="17"/>
    <x v="0"/>
    <x v="0"/>
    <x v="0"/>
    <x v="25"/>
    <x v="0"/>
    <x v="0"/>
    <x v="1"/>
    <x v="1"/>
  </r>
  <r>
    <x v="1109"/>
    <x v="1"/>
    <x v="25"/>
    <x v="1092"/>
    <x v="19"/>
    <x v="1059"/>
    <x v="1"/>
    <x v="0"/>
    <x v="1092"/>
    <x v="0"/>
    <x v="0"/>
    <x v="0"/>
    <x v="0"/>
    <x v="0"/>
    <x v="2"/>
    <x v="1059"/>
    <x v="1047"/>
    <x v="1092"/>
    <x v="1"/>
    <x v="10"/>
    <x v="0"/>
    <x v="17"/>
    <x v="17"/>
    <x v="0"/>
    <x v="0"/>
    <x v="0"/>
    <x v="25"/>
    <x v="0"/>
    <x v="0"/>
    <x v="1"/>
    <x v="1"/>
  </r>
  <r>
    <x v="1108"/>
    <x v="1"/>
    <x v="25"/>
    <x v="1091"/>
    <x v="17"/>
    <x v="1057"/>
    <x v="1"/>
    <x v="0"/>
    <x v="1091"/>
    <x v="0"/>
    <x v="0"/>
    <x v="0"/>
    <x v="0"/>
    <x v="0"/>
    <x v="2"/>
    <x v="1057"/>
    <x v="1045"/>
    <x v="1091"/>
    <x v="1"/>
    <x v="10"/>
    <x v="0"/>
    <x v="17"/>
    <x v="17"/>
    <x v="0"/>
    <x v="0"/>
    <x v="0"/>
    <x v="25"/>
    <x v="0"/>
    <x v="0"/>
    <x v="1"/>
    <x v="1"/>
  </r>
  <r>
    <x v="1107"/>
    <x v="1"/>
    <x v="25"/>
    <x v="1090"/>
    <x v="16"/>
    <x v="1056"/>
    <x v="1"/>
    <x v="0"/>
    <x v="1090"/>
    <x v="0"/>
    <x v="0"/>
    <x v="0"/>
    <x v="0"/>
    <x v="0"/>
    <x v="2"/>
    <x v="1056"/>
    <x v="1044"/>
    <x v="1090"/>
    <x v="1"/>
    <x v="10"/>
    <x v="0"/>
    <x v="17"/>
    <x v="17"/>
    <x v="0"/>
    <x v="0"/>
    <x v="0"/>
    <x v="25"/>
    <x v="0"/>
    <x v="0"/>
    <x v="1"/>
    <x v="1"/>
  </r>
  <r>
    <x v="1106"/>
    <x v="1"/>
    <x v="25"/>
    <x v="1089"/>
    <x v="15"/>
    <x v="1055"/>
    <x v="1"/>
    <x v="0"/>
    <x v="1089"/>
    <x v="0"/>
    <x v="0"/>
    <x v="0"/>
    <x v="0"/>
    <x v="0"/>
    <x v="2"/>
    <x v="1055"/>
    <x v="1043"/>
    <x v="1089"/>
    <x v="1"/>
    <x v="10"/>
    <x v="0"/>
    <x v="17"/>
    <x v="17"/>
    <x v="0"/>
    <x v="0"/>
    <x v="0"/>
    <x v="25"/>
    <x v="0"/>
    <x v="0"/>
    <x v="1"/>
    <x v="1"/>
  </r>
  <r>
    <x v="1105"/>
    <x v="1"/>
    <x v="25"/>
    <x v="1088"/>
    <x v="14"/>
    <x v="1054"/>
    <x v="1"/>
    <x v="0"/>
    <x v="1088"/>
    <x v="0"/>
    <x v="0"/>
    <x v="0"/>
    <x v="0"/>
    <x v="0"/>
    <x v="2"/>
    <x v="1054"/>
    <x v="1042"/>
    <x v="1088"/>
    <x v="1"/>
    <x v="10"/>
    <x v="0"/>
    <x v="17"/>
    <x v="17"/>
    <x v="0"/>
    <x v="0"/>
    <x v="0"/>
    <x v="25"/>
    <x v="0"/>
    <x v="0"/>
    <x v="1"/>
    <x v="1"/>
  </r>
  <r>
    <x v="1104"/>
    <x v="1"/>
    <x v="25"/>
    <x v="1087"/>
    <x v="13"/>
    <x v="1053"/>
    <x v="1"/>
    <x v="0"/>
    <x v="1087"/>
    <x v="0"/>
    <x v="0"/>
    <x v="0"/>
    <x v="0"/>
    <x v="0"/>
    <x v="2"/>
    <x v="1053"/>
    <x v="1041"/>
    <x v="1087"/>
    <x v="1"/>
    <x v="10"/>
    <x v="0"/>
    <x v="17"/>
    <x v="17"/>
    <x v="0"/>
    <x v="0"/>
    <x v="0"/>
    <x v="25"/>
    <x v="0"/>
    <x v="0"/>
    <x v="1"/>
    <x v="1"/>
  </r>
  <r>
    <x v="1103"/>
    <x v="1"/>
    <x v="25"/>
    <x v="1086"/>
    <x v="12"/>
    <x v="1052"/>
    <x v="1"/>
    <x v="0"/>
    <x v="1086"/>
    <x v="0"/>
    <x v="0"/>
    <x v="0"/>
    <x v="0"/>
    <x v="0"/>
    <x v="2"/>
    <x v="1052"/>
    <x v="1040"/>
    <x v="1086"/>
    <x v="1"/>
    <x v="10"/>
    <x v="0"/>
    <x v="17"/>
    <x v="17"/>
    <x v="0"/>
    <x v="0"/>
    <x v="0"/>
    <x v="25"/>
    <x v="0"/>
    <x v="0"/>
    <x v="1"/>
    <x v="1"/>
  </r>
  <r>
    <x v="1102"/>
    <x v="1"/>
    <x v="25"/>
    <x v="1085"/>
    <x v="11"/>
    <x v="1051"/>
    <x v="1"/>
    <x v="0"/>
    <x v="1085"/>
    <x v="0"/>
    <x v="0"/>
    <x v="0"/>
    <x v="0"/>
    <x v="0"/>
    <x v="2"/>
    <x v="1051"/>
    <x v="1039"/>
    <x v="1085"/>
    <x v="1"/>
    <x v="10"/>
    <x v="0"/>
    <x v="17"/>
    <x v="17"/>
    <x v="0"/>
    <x v="0"/>
    <x v="0"/>
    <x v="25"/>
    <x v="0"/>
    <x v="0"/>
    <x v="1"/>
    <x v="1"/>
  </r>
  <r>
    <x v="1101"/>
    <x v="1"/>
    <x v="25"/>
    <x v="1084"/>
    <x v="10"/>
    <x v="1050"/>
    <x v="1"/>
    <x v="0"/>
    <x v="1084"/>
    <x v="0"/>
    <x v="0"/>
    <x v="0"/>
    <x v="0"/>
    <x v="0"/>
    <x v="2"/>
    <x v="1050"/>
    <x v="1038"/>
    <x v="1084"/>
    <x v="1"/>
    <x v="10"/>
    <x v="0"/>
    <x v="17"/>
    <x v="17"/>
    <x v="0"/>
    <x v="0"/>
    <x v="0"/>
    <x v="25"/>
    <x v="0"/>
    <x v="0"/>
    <x v="1"/>
    <x v="1"/>
  </r>
  <r>
    <x v="1100"/>
    <x v="1"/>
    <x v="25"/>
    <x v="1083"/>
    <x v="7"/>
    <x v="476"/>
    <x v="1"/>
    <x v="0"/>
    <x v="1083"/>
    <x v="0"/>
    <x v="0"/>
    <x v="0"/>
    <x v="0"/>
    <x v="0"/>
    <x v="2"/>
    <x v="476"/>
    <x v="464"/>
    <x v="1083"/>
    <x v="1"/>
    <x v="10"/>
    <x v="0"/>
    <x v="17"/>
    <x v="17"/>
    <x v="0"/>
    <x v="0"/>
    <x v="0"/>
    <x v="25"/>
    <x v="0"/>
    <x v="0"/>
    <x v="1"/>
    <x v="1"/>
  </r>
  <r>
    <x v="1099"/>
    <x v="1"/>
    <x v="25"/>
    <x v="1082"/>
    <x v="6"/>
    <x v="475"/>
    <x v="1"/>
    <x v="0"/>
    <x v="1082"/>
    <x v="0"/>
    <x v="0"/>
    <x v="0"/>
    <x v="0"/>
    <x v="0"/>
    <x v="2"/>
    <x v="475"/>
    <x v="463"/>
    <x v="1082"/>
    <x v="1"/>
    <x v="10"/>
    <x v="0"/>
    <x v="17"/>
    <x v="17"/>
    <x v="0"/>
    <x v="0"/>
    <x v="0"/>
    <x v="25"/>
    <x v="0"/>
    <x v="0"/>
    <x v="1"/>
    <x v="1"/>
  </r>
  <r>
    <x v="1098"/>
    <x v="1"/>
    <x v="25"/>
    <x v="1081"/>
    <x v="5"/>
    <x v="474"/>
    <x v="1"/>
    <x v="0"/>
    <x v="1081"/>
    <x v="0"/>
    <x v="0"/>
    <x v="0"/>
    <x v="0"/>
    <x v="0"/>
    <x v="2"/>
    <x v="474"/>
    <x v="462"/>
    <x v="1081"/>
    <x v="1"/>
    <x v="10"/>
    <x v="0"/>
    <x v="17"/>
    <x v="17"/>
    <x v="0"/>
    <x v="0"/>
    <x v="0"/>
    <x v="25"/>
    <x v="0"/>
    <x v="0"/>
    <x v="1"/>
    <x v="1"/>
  </r>
  <r>
    <x v="1097"/>
    <x v="1"/>
    <x v="25"/>
    <x v="1080"/>
    <x v="4"/>
    <x v="473"/>
    <x v="1"/>
    <x v="0"/>
    <x v="1080"/>
    <x v="0"/>
    <x v="0"/>
    <x v="0"/>
    <x v="0"/>
    <x v="0"/>
    <x v="2"/>
    <x v="473"/>
    <x v="461"/>
    <x v="1080"/>
    <x v="1"/>
    <x v="10"/>
    <x v="0"/>
    <x v="17"/>
    <x v="17"/>
    <x v="0"/>
    <x v="0"/>
    <x v="0"/>
    <x v="25"/>
    <x v="0"/>
    <x v="0"/>
    <x v="1"/>
    <x v="1"/>
  </r>
  <r>
    <x v="1096"/>
    <x v="1"/>
    <x v="25"/>
    <x v="1079"/>
    <x v="3"/>
    <x v="472"/>
    <x v="1"/>
    <x v="0"/>
    <x v="1079"/>
    <x v="0"/>
    <x v="0"/>
    <x v="0"/>
    <x v="0"/>
    <x v="0"/>
    <x v="2"/>
    <x v="472"/>
    <x v="460"/>
    <x v="1079"/>
    <x v="1"/>
    <x v="10"/>
    <x v="0"/>
    <x v="17"/>
    <x v="17"/>
    <x v="0"/>
    <x v="0"/>
    <x v="0"/>
    <x v="25"/>
    <x v="0"/>
    <x v="0"/>
    <x v="1"/>
    <x v="1"/>
  </r>
  <r>
    <x v="1095"/>
    <x v="1"/>
    <x v="25"/>
    <x v="1078"/>
    <x v="2"/>
    <x v="471"/>
    <x v="1"/>
    <x v="0"/>
    <x v="1078"/>
    <x v="0"/>
    <x v="0"/>
    <x v="0"/>
    <x v="0"/>
    <x v="0"/>
    <x v="2"/>
    <x v="471"/>
    <x v="459"/>
    <x v="1078"/>
    <x v="1"/>
    <x v="10"/>
    <x v="0"/>
    <x v="17"/>
    <x v="17"/>
    <x v="0"/>
    <x v="0"/>
    <x v="0"/>
    <x v="25"/>
    <x v="0"/>
    <x v="0"/>
    <x v="1"/>
    <x v="1"/>
  </r>
  <r>
    <x v="1094"/>
    <x v="1"/>
    <x v="25"/>
    <x v="1077"/>
    <x v="1"/>
    <x v="470"/>
    <x v="1"/>
    <x v="0"/>
    <x v="1077"/>
    <x v="0"/>
    <x v="0"/>
    <x v="0"/>
    <x v="0"/>
    <x v="0"/>
    <x v="2"/>
    <x v="470"/>
    <x v="458"/>
    <x v="1077"/>
    <x v="1"/>
    <x v="10"/>
    <x v="0"/>
    <x v="17"/>
    <x v="17"/>
    <x v="0"/>
    <x v="0"/>
    <x v="0"/>
    <x v="25"/>
    <x v="0"/>
    <x v="0"/>
    <x v="1"/>
    <x v="1"/>
  </r>
  <r>
    <x v="1093"/>
    <x v="1"/>
    <x v="25"/>
    <x v="1076"/>
    <x v="8"/>
    <x v="478"/>
    <x v="1"/>
    <x v="0"/>
    <x v="1076"/>
    <x v="0"/>
    <x v="0"/>
    <x v="0"/>
    <x v="0"/>
    <x v="0"/>
    <x v="2"/>
    <x v="478"/>
    <x v="466"/>
    <x v="1076"/>
    <x v="1"/>
    <x v="10"/>
    <x v="0"/>
    <x v="17"/>
    <x v="17"/>
    <x v="0"/>
    <x v="0"/>
    <x v="0"/>
    <x v="26"/>
    <x v="0"/>
    <x v="0"/>
    <x v="1"/>
    <x v="1"/>
  </r>
  <r>
    <x v="1092"/>
    <x v="1"/>
    <x v="25"/>
    <x v="1075"/>
    <x v="62"/>
    <x v="1103"/>
    <x v="1"/>
    <x v="0"/>
    <x v="1075"/>
    <x v="0"/>
    <x v="0"/>
    <x v="0"/>
    <x v="0"/>
    <x v="0"/>
    <x v="2"/>
    <x v="1103"/>
    <x v="1091"/>
    <x v="1075"/>
    <x v="1"/>
    <x v="10"/>
    <x v="0"/>
    <x v="17"/>
    <x v="17"/>
    <x v="0"/>
    <x v="0"/>
    <x v="0"/>
    <x v="26"/>
    <x v="0"/>
    <x v="0"/>
    <x v="1"/>
    <x v="1"/>
  </r>
  <r>
    <x v="1091"/>
    <x v="1"/>
    <x v="25"/>
    <x v="1074"/>
    <x v="61"/>
    <x v="1102"/>
    <x v="1"/>
    <x v="0"/>
    <x v="1074"/>
    <x v="0"/>
    <x v="0"/>
    <x v="0"/>
    <x v="0"/>
    <x v="0"/>
    <x v="2"/>
    <x v="1102"/>
    <x v="1090"/>
    <x v="1074"/>
    <x v="1"/>
    <x v="10"/>
    <x v="0"/>
    <x v="17"/>
    <x v="17"/>
    <x v="0"/>
    <x v="0"/>
    <x v="0"/>
    <x v="26"/>
    <x v="0"/>
    <x v="0"/>
    <x v="1"/>
    <x v="1"/>
  </r>
  <r>
    <x v="1090"/>
    <x v="1"/>
    <x v="25"/>
    <x v="1073"/>
    <x v="60"/>
    <x v="1101"/>
    <x v="1"/>
    <x v="0"/>
    <x v="1073"/>
    <x v="0"/>
    <x v="0"/>
    <x v="0"/>
    <x v="0"/>
    <x v="0"/>
    <x v="2"/>
    <x v="1101"/>
    <x v="1089"/>
    <x v="1073"/>
    <x v="1"/>
    <x v="10"/>
    <x v="0"/>
    <x v="17"/>
    <x v="17"/>
    <x v="0"/>
    <x v="0"/>
    <x v="0"/>
    <x v="26"/>
    <x v="0"/>
    <x v="0"/>
    <x v="1"/>
    <x v="1"/>
  </r>
  <r>
    <x v="1089"/>
    <x v="1"/>
    <x v="25"/>
    <x v="1072"/>
    <x v="59"/>
    <x v="1100"/>
    <x v="1"/>
    <x v="0"/>
    <x v="1072"/>
    <x v="0"/>
    <x v="0"/>
    <x v="0"/>
    <x v="0"/>
    <x v="0"/>
    <x v="2"/>
    <x v="1100"/>
    <x v="1088"/>
    <x v="1072"/>
    <x v="1"/>
    <x v="10"/>
    <x v="0"/>
    <x v="17"/>
    <x v="17"/>
    <x v="0"/>
    <x v="0"/>
    <x v="0"/>
    <x v="26"/>
    <x v="0"/>
    <x v="0"/>
    <x v="1"/>
    <x v="1"/>
  </r>
  <r>
    <x v="1088"/>
    <x v="1"/>
    <x v="25"/>
    <x v="1071"/>
    <x v="58"/>
    <x v="1099"/>
    <x v="1"/>
    <x v="0"/>
    <x v="1071"/>
    <x v="0"/>
    <x v="0"/>
    <x v="0"/>
    <x v="0"/>
    <x v="0"/>
    <x v="2"/>
    <x v="1099"/>
    <x v="1087"/>
    <x v="1071"/>
    <x v="1"/>
    <x v="10"/>
    <x v="0"/>
    <x v="17"/>
    <x v="17"/>
    <x v="0"/>
    <x v="0"/>
    <x v="0"/>
    <x v="26"/>
    <x v="0"/>
    <x v="0"/>
    <x v="1"/>
    <x v="1"/>
  </r>
  <r>
    <x v="1087"/>
    <x v="1"/>
    <x v="25"/>
    <x v="1070"/>
    <x v="57"/>
    <x v="1098"/>
    <x v="1"/>
    <x v="0"/>
    <x v="1070"/>
    <x v="0"/>
    <x v="0"/>
    <x v="0"/>
    <x v="0"/>
    <x v="0"/>
    <x v="2"/>
    <x v="1098"/>
    <x v="1086"/>
    <x v="1070"/>
    <x v="1"/>
    <x v="10"/>
    <x v="0"/>
    <x v="17"/>
    <x v="17"/>
    <x v="0"/>
    <x v="0"/>
    <x v="0"/>
    <x v="26"/>
    <x v="0"/>
    <x v="0"/>
    <x v="1"/>
    <x v="1"/>
  </r>
  <r>
    <x v="1086"/>
    <x v="1"/>
    <x v="25"/>
    <x v="1069"/>
    <x v="56"/>
    <x v="1097"/>
    <x v="1"/>
    <x v="0"/>
    <x v="1069"/>
    <x v="0"/>
    <x v="0"/>
    <x v="0"/>
    <x v="0"/>
    <x v="0"/>
    <x v="2"/>
    <x v="1097"/>
    <x v="1085"/>
    <x v="1069"/>
    <x v="1"/>
    <x v="10"/>
    <x v="0"/>
    <x v="17"/>
    <x v="17"/>
    <x v="0"/>
    <x v="0"/>
    <x v="0"/>
    <x v="26"/>
    <x v="0"/>
    <x v="0"/>
    <x v="1"/>
    <x v="1"/>
  </r>
  <r>
    <x v="1085"/>
    <x v="1"/>
    <x v="25"/>
    <x v="1068"/>
    <x v="55"/>
    <x v="1096"/>
    <x v="1"/>
    <x v="0"/>
    <x v="1068"/>
    <x v="0"/>
    <x v="0"/>
    <x v="0"/>
    <x v="0"/>
    <x v="0"/>
    <x v="2"/>
    <x v="1096"/>
    <x v="1084"/>
    <x v="1068"/>
    <x v="1"/>
    <x v="10"/>
    <x v="0"/>
    <x v="17"/>
    <x v="17"/>
    <x v="0"/>
    <x v="0"/>
    <x v="0"/>
    <x v="26"/>
    <x v="0"/>
    <x v="0"/>
    <x v="1"/>
    <x v="1"/>
  </r>
  <r>
    <x v="1084"/>
    <x v="1"/>
    <x v="25"/>
    <x v="1067"/>
    <x v="54"/>
    <x v="1095"/>
    <x v="1"/>
    <x v="0"/>
    <x v="1067"/>
    <x v="0"/>
    <x v="0"/>
    <x v="0"/>
    <x v="0"/>
    <x v="0"/>
    <x v="2"/>
    <x v="1095"/>
    <x v="1083"/>
    <x v="1067"/>
    <x v="1"/>
    <x v="10"/>
    <x v="0"/>
    <x v="17"/>
    <x v="17"/>
    <x v="0"/>
    <x v="0"/>
    <x v="0"/>
    <x v="26"/>
    <x v="0"/>
    <x v="0"/>
    <x v="1"/>
    <x v="1"/>
  </r>
  <r>
    <x v="1083"/>
    <x v="1"/>
    <x v="25"/>
    <x v="1066"/>
    <x v="53"/>
    <x v="1094"/>
    <x v="1"/>
    <x v="0"/>
    <x v="1066"/>
    <x v="0"/>
    <x v="0"/>
    <x v="0"/>
    <x v="0"/>
    <x v="0"/>
    <x v="2"/>
    <x v="1094"/>
    <x v="1082"/>
    <x v="1066"/>
    <x v="1"/>
    <x v="10"/>
    <x v="0"/>
    <x v="17"/>
    <x v="17"/>
    <x v="0"/>
    <x v="0"/>
    <x v="0"/>
    <x v="26"/>
    <x v="0"/>
    <x v="0"/>
    <x v="1"/>
    <x v="1"/>
  </r>
  <r>
    <x v="1082"/>
    <x v="1"/>
    <x v="25"/>
    <x v="1065"/>
    <x v="52"/>
    <x v="1093"/>
    <x v="1"/>
    <x v="0"/>
    <x v="1065"/>
    <x v="0"/>
    <x v="0"/>
    <x v="0"/>
    <x v="0"/>
    <x v="0"/>
    <x v="2"/>
    <x v="1093"/>
    <x v="1081"/>
    <x v="1065"/>
    <x v="1"/>
    <x v="10"/>
    <x v="0"/>
    <x v="17"/>
    <x v="17"/>
    <x v="0"/>
    <x v="0"/>
    <x v="0"/>
    <x v="26"/>
    <x v="0"/>
    <x v="0"/>
    <x v="1"/>
    <x v="1"/>
  </r>
  <r>
    <x v="1081"/>
    <x v="1"/>
    <x v="25"/>
    <x v="1064"/>
    <x v="51"/>
    <x v="1092"/>
    <x v="1"/>
    <x v="0"/>
    <x v="1064"/>
    <x v="0"/>
    <x v="0"/>
    <x v="0"/>
    <x v="0"/>
    <x v="0"/>
    <x v="2"/>
    <x v="1092"/>
    <x v="1080"/>
    <x v="1064"/>
    <x v="1"/>
    <x v="10"/>
    <x v="0"/>
    <x v="17"/>
    <x v="17"/>
    <x v="0"/>
    <x v="0"/>
    <x v="0"/>
    <x v="26"/>
    <x v="0"/>
    <x v="0"/>
    <x v="1"/>
    <x v="1"/>
  </r>
  <r>
    <x v="1080"/>
    <x v="1"/>
    <x v="25"/>
    <x v="1063"/>
    <x v="50"/>
    <x v="1091"/>
    <x v="1"/>
    <x v="0"/>
    <x v="1063"/>
    <x v="0"/>
    <x v="0"/>
    <x v="0"/>
    <x v="0"/>
    <x v="0"/>
    <x v="2"/>
    <x v="1091"/>
    <x v="1079"/>
    <x v="1063"/>
    <x v="1"/>
    <x v="10"/>
    <x v="0"/>
    <x v="17"/>
    <x v="17"/>
    <x v="0"/>
    <x v="0"/>
    <x v="0"/>
    <x v="26"/>
    <x v="0"/>
    <x v="0"/>
    <x v="1"/>
    <x v="1"/>
  </r>
  <r>
    <x v="1079"/>
    <x v="1"/>
    <x v="25"/>
    <x v="1062"/>
    <x v="49"/>
    <x v="1090"/>
    <x v="1"/>
    <x v="0"/>
    <x v="1062"/>
    <x v="0"/>
    <x v="0"/>
    <x v="0"/>
    <x v="0"/>
    <x v="0"/>
    <x v="2"/>
    <x v="1090"/>
    <x v="1078"/>
    <x v="1062"/>
    <x v="1"/>
    <x v="10"/>
    <x v="0"/>
    <x v="17"/>
    <x v="17"/>
    <x v="0"/>
    <x v="0"/>
    <x v="0"/>
    <x v="26"/>
    <x v="0"/>
    <x v="0"/>
    <x v="1"/>
    <x v="1"/>
  </r>
  <r>
    <x v="1078"/>
    <x v="1"/>
    <x v="25"/>
    <x v="1061"/>
    <x v="48"/>
    <x v="1089"/>
    <x v="1"/>
    <x v="0"/>
    <x v="1061"/>
    <x v="0"/>
    <x v="0"/>
    <x v="0"/>
    <x v="0"/>
    <x v="0"/>
    <x v="2"/>
    <x v="1089"/>
    <x v="1077"/>
    <x v="1061"/>
    <x v="1"/>
    <x v="10"/>
    <x v="0"/>
    <x v="17"/>
    <x v="17"/>
    <x v="0"/>
    <x v="0"/>
    <x v="0"/>
    <x v="26"/>
    <x v="0"/>
    <x v="0"/>
    <x v="1"/>
    <x v="1"/>
  </r>
  <r>
    <x v="1077"/>
    <x v="1"/>
    <x v="25"/>
    <x v="1060"/>
    <x v="94"/>
    <x v="1135"/>
    <x v="1"/>
    <x v="0"/>
    <x v="1060"/>
    <x v="0"/>
    <x v="0"/>
    <x v="0"/>
    <x v="0"/>
    <x v="0"/>
    <x v="2"/>
    <x v="1135"/>
    <x v="1123"/>
    <x v="1060"/>
    <x v="1"/>
    <x v="10"/>
    <x v="0"/>
    <x v="17"/>
    <x v="17"/>
    <x v="0"/>
    <x v="0"/>
    <x v="0"/>
    <x v="26"/>
    <x v="0"/>
    <x v="0"/>
    <x v="1"/>
    <x v="1"/>
  </r>
  <r>
    <x v="1076"/>
    <x v="1"/>
    <x v="25"/>
    <x v="1059"/>
    <x v="93"/>
    <x v="1134"/>
    <x v="1"/>
    <x v="0"/>
    <x v="1059"/>
    <x v="0"/>
    <x v="0"/>
    <x v="0"/>
    <x v="0"/>
    <x v="0"/>
    <x v="2"/>
    <x v="1134"/>
    <x v="1122"/>
    <x v="1059"/>
    <x v="1"/>
    <x v="10"/>
    <x v="0"/>
    <x v="17"/>
    <x v="17"/>
    <x v="0"/>
    <x v="0"/>
    <x v="0"/>
    <x v="26"/>
    <x v="0"/>
    <x v="0"/>
    <x v="1"/>
    <x v="1"/>
  </r>
  <r>
    <x v="1075"/>
    <x v="1"/>
    <x v="25"/>
    <x v="1058"/>
    <x v="92"/>
    <x v="1133"/>
    <x v="1"/>
    <x v="0"/>
    <x v="1058"/>
    <x v="0"/>
    <x v="0"/>
    <x v="0"/>
    <x v="0"/>
    <x v="0"/>
    <x v="2"/>
    <x v="1133"/>
    <x v="1121"/>
    <x v="1058"/>
    <x v="1"/>
    <x v="10"/>
    <x v="0"/>
    <x v="17"/>
    <x v="17"/>
    <x v="0"/>
    <x v="0"/>
    <x v="0"/>
    <x v="26"/>
    <x v="0"/>
    <x v="0"/>
    <x v="1"/>
    <x v="1"/>
  </r>
  <r>
    <x v="1074"/>
    <x v="1"/>
    <x v="25"/>
    <x v="1057"/>
    <x v="91"/>
    <x v="1132"/>
    <x v="1"/>
    <x v="0"/>
    <x v="1057"/>
    <x v="0"/>
    <x v="0"/>
    <x v="0"/>
    <x v="0"/>
    <x v="0"/>
    <x v="2"/>
    <x v="1132"/>
    <x v="1120"/>
    <x v="1057"/>
    <x v="1"/>
    <x v="10"/>
    <x v="0"/>
    <x v="17"/>
    <x v="17"/>
    <x v="0"/>
    <x v="0"/>
    <x v="0"/>
    <x v="26"/>
    <x v="0"/>
    <x v="0"/>
    <x v="1"/>
    <x v="1"/>
  </r>
  <r>
    <x v="1073"/>
    <x v="1"/>
    <x v="25"/>
    <x v="1056"/>
    <x v="90"/>
    <x v="1131"/>
    <x v="1"/>
    <x v="0"/>
    <x v="1056"/>
    <x v="0"/>
    <x v="0"/>
    <x v="0"/>
    <x v="0"/>
    <x v="0"/>
    <x v="2"/>
    <x v="1131"/>
    <x v="1119"/>
    <x v="1056"/>
    <x v="1"/>
    <x v="10"/>
    <x v="0"/>
    <x v="17"/>
    <x v="17"/>
    <x v="0"/>
    <x v="0"/>
    <x v="0"/>
    <x v="26"/>
    <x v="0"/>
    <x v="0"/>
    <x v="1"/>
    <x v="1"/>
  </r>
  <r>
    <x v="1072"/>
    <x v="1"/>
    <x v="25"/>
    <x v="1055"/>
    <x v="89"/>
    <x v="1130"/>
    <x v="1"/>
    <x v="0"/>
    <x v="1055"/>
    <x v="0"/>
    <x v="0"/>
    <x v="0"/>
    <x v="0"/>
    <x v="0"/>
    <x v="2"/>
    <x v="1130"/>
    <x v="1118"/>
    <x v="1055"/>
    <x v="1"/>
    <x v="10"/>
    <x v="0"/>
    <x v="17"/>
    <x v="17"/>
    <x v="0"/>
    <x v="0"/>
    <x v="0"/>
    <x v="26"/>
    <x v="0"/>
    <x v="0"/>
    <x v="1"/>
    <x v="1"/>
  </r>
  <r>
    <x v="1071"/>
    <x v="1"/>
    <x v="25"/>
    <x v="1054"/>
    <x v="88"/>
    <x v="1129"/>
    <x v="1"/>
    <x v="0"/>
    <x v="1054"/>
    <x v="0"/>
    <x v="0"/>
    <x v="0"/>
    <x v="0"/>
    <x v="0"/>
    <x v="2"/>
    <x v="1129"/>
    <x v="1117"/>
    <x v="1054"/>
    <x v="1"/>
    <x v="10"/>
    <x v="0"/>
    <x v="17"/>
    <x v="17"/>
    <x v="0"/>
    <x v="0"/>
    <x v="0"/>
    <x v="26"/>
    <x v="0"/>
    <x v="0"/>
    <x v="1"/>
    <x v="1"/>
  </r>
  <r>
    <x v="1070"/>
    <x v="1"/>
    <x v="25"/>
    <x v="1053"/>
    <x v="87"/>
    <x v="1128"/>
    <x v="1"/>
    <x v="0"/>
    <x v="1053"/>
    <x v="0"/>
    <x v="0"/>
    <x v="0"/>
    <x v="0"/>
    <x v="0"/>
    <x v="2"/>
    <x v="1128"/>
    <x v="1116"/>
    <x v="1053"/>
    <x v="1"/>
    <x v="10"/>
    <x v="0"/>
    <x v="17"/>
    <x v="17"/>
    <x v="0"/>
    <x v="0"/>
    <x v="0"/>
    <x v="26"/>
    <x v="0"/>
    <x v="0"/>
    <x v="1"/>
    <x v="1"/>
  </r>
  <r>
    <x v="1069"/>
    <x v="1"/>
    <x v="25"/>
    <x v="1052"/>
    <x v="86"/>
    <x v="1127"/>
    <x v="1"/>
    <x v="0"/>
    <x v="1052"/>
    <x v="0"/>
    <x v="0"/>
    <x v="0"/>
    <x v="0"/>
    <x v="0"/>
    <x v="2"/>
    <x v="1127"/>
    <x v="1115"/>
    <x v="1052"/>
    <x v="1"/>
    <x v="10"/>
    <x v="0"/>
    <x v="17"/>
    <x v="17"/>
    <x v="0"/>
    <x v="0"/>
    <x v="0"/>
    <x v="26"/>
    <x v="0"/>
    <x v="0"/>
    <x v="1"/>
    <x v="1"/>
  </r>
  <r>
    <x v="1068"/>
    <x v="1"/>
    <x v="25"/>
    <x v="1051"/>
    <x v="85"/>
    <x v="1126"/>
    <x v="1"/>
    <x v="0"/>
    <x v="1051"/>
    <x v="0"/>
    <x v="0"/>
    <x v="0"/>
    <x v="0"/>
    <x v="0"/>
    <x v="2"/>
    <x v="1126"/>
    <x v="1114"/>
    <x v="1051"/>
    <x v="1"/>
    <x v="10"/>
    <x v="0"/>
    <x v="17"/>
    <x v="17"/>
    <x v="0"/>
    <x v="0"/>
    <x v="0"/>
    <x v="26"/>
    <x v="0"/>
    <x v="0"/>
    <x v="1"/>
    <x v="1"/>
  </r>
  <r>
    <x v="1067"/>
    <x v="1"/>
    <x v="25"/>
    <x v="1050"/>
    <x v="84"/>
    <x v="1125"/>
    <x v="1"/>
    <x v="0"/>
    <x v="1050"/>
    <x v="0"/>
    <x v="0"/>
    <x v="0"/>
    <x v="0"/>
    <x v="0"/>
    <x v="2"/>
    <x v="1125"/>
    <x v="1113"/>
    <x v="1050"/>
    <x v="1"/>
    <x v="10"/>
    <x v="0"/>
    <x v="17"/>
    <x v="17"/>
    <x v="0"/>
    <x v="0"/>
    <x v="0"/>
    <x v="26"/>
    <x v="0"/>
    <x v="0"/>
    <x v="1"/>
    <x v="1"/>
  </r>
  <r>
    <x v="1066"/>
    <x v="1"/>
    <x v="25"/>
    <x v="1049"/>
    <x v="83"/>
    <x v="1124"/>
    <x v="1"/>
    <x v="0"/>
    <x v="1049"/>
    <x v="0"/>
    <x v="0"/>
    <x v="0"/>
    <x v="0"/>
    <x v="0"/>
    <x v="2"/>
    <x v="1124"/>
    <x v="1112"/>
    <x v="1049"/>
    <x v="1"/>
    <x v="10"/>
    <x v="0"/>
    <x v="17"/>
    <x v="17"/>
    <x v="0"/>
    <x v="0"/>
    <x v="0"/>
    <x v="26"/>
    <x v="0"/>
    <x v="0"/>
    <x v="1"/>
    <x v="1"/>
  </r>
  <r>
    <x v="1065"/>
    <x v="1"/>
    <x v="25"/>
    <x v="1048"/>
    <x v="82"/>
    <x v="1123"/>
    <x v="1"/>
    <x v="0"/>
    <x v="1048"/>
    <x v="0"/>
    <x v="0"/>
    <x v="0"/>
    <x v="0"/>
    <x v="0"/>
    <x v="2"/>
    <x v="1123"/>
    <x v="1111"/>
    <x v="1048"/>
    <x v="1"/>
    <x v="10"/>
    <x v="0"/>
    <x v="17"/>
    <x v="17"/>
    <x v="0"/>
    <x v="0"/>
    <x v="0"/>
    <x v="26"/>
    <x v="0"/>
    <x v="0"/>
    <x v="1"/>
    <x v="1"/>
  </r>
  <r>
    <x v="1064"/>
    <x v="1"/>
    <x v="25"/>
    <x v="1047"/>
    <x v="81"/>
    <x v="1122"/>
    <x v="1"/>
    <x v="0"/>
    <x v="1047"/>
    <x v="0"/>
    <x v="0"/>
    <x v="0"/>
    <x v="0"/>
    <x v="0"/>
    <x v="2"/>
    <x v="1122"/>
    <x v="1110"/>
    <x v="1047"/>
    <x v="1"/>
    <x v="10"/>
    <x v="0"/>
    <x v="17"/>
    <x v="17"/>
    <x v="0"/>
    <x v="0"/>
    <x v="0"/>
    <x v="26"/>
    <x v="0"/>
    <x v="0"/>
    <x v="1"/>
    <x v="1"/>
  </r>
  <r>
    <x v="1063"/>
    <x v="1"/>
    <x v="25"/>
    <x v="1046"/>
    <x v="80"/>
    <x v="1121"/>
    <x v="1"/>
    <x v="0"/>
    <x v="1046"/>
    <x v="0"/>
    <x v="0"/>
    <x v="0"/>
    <x v="0"/>
    <x v="0"/>
    <x v="2"/>
    <x v="1121"/>
    <x v="1109"/>
    <x v="1046"/>
    <x v="1"/>
    <x v="10"/>
    <x v="0"/>
    <x v="17"/>
    <x v="17"/>
    <x v="0"/>
    <x v="0"/>
    <x v="0"/>
    <x v="26"/>
    <x v="0"/>
    <x v="0"/>
    <x v="1"/>
    <x v="1"/>
  </r>
  <r>
    <x v="1062"/>
    <x v="1"/>
    <x v="25"/>
    <x v="1045"/>
    <x v="79"/>
    <x v="1120"/>
    <x v="1"/>
    <x v="0"/>
    <x v="1045"/>
    <x v="0"/>
    <x v="0"/>
    <x v="0"/>
    <x v="0"/>
    <x v="0"/>
    <x v="2"/>
    <x v="1120"/>
    <x v="1108"/>
    <x v="1045"/>
    <x v="1"/>
    <x v="10"/>
    <x v="0"/>
    <x v="17"/>
    <x v="17"/>
    <x v="0"/>
    <x v="0"/>
    <x v="0"/>
    <x v="26"/>
    <x v="0"/>
    <x v="0"/>
    <x v="1"/>
    <x v="1"/>
  </r>
  <r>
    <x v="1061"/>
    <x v="1"/>
    <x v="25"/>
    <x v="1044"/>
    <x v="78"/>
    <x v="1119"/>
    <x v="1"/>
    <x v="0"/>
    <x v="1044"/>
    <x v="0"/>
    <x v="0"/>
    <x v="0"/>
    <x v="0"/>
    <x v="0"/>
    <x v="2"/>
    <x v="1119"/>
    <x v="1107"/>
    <x v="1044"/>
    <x v="1"/>
    <x v="10"/>
    <x v="0"/>
    <x v="17"/>
    <x v="17"/>
    <x v="0"/>
    <x v="0"/>
    <x v="0"/>
    <x v="26"/>
    <x v="0"/>
    <x v="0"/>
    <x v="1"/>
    <x v="1"/>
  </r>
  <r>
    <x v="1060"/>
    <x v="1"/>
    <x v="25"/>
    <x v="1043"/>
    <x v="77"/>
    <x v="1118"/>
    <x v="1"/>
    <x v="0"/>
    <x v="1043"/>
    <x v="0"/>
    <x v="0"/>
    <x v="0"/>
    <x v="0"/>
    <x v="0"/>
    <x v="2"/>
    <x v="1118"/>
    <x v="1106"/>
    <x v="1043"/>
    <x v="1"/>
    <x v="10"/>
    <x v="0"/>
    <x v="17"/>
    <x v="17"/>
    <x v="0"/>
    <x v="0"/>
    <x v="0"/>
    <x v="26"/>
    <x v="0"/>
    <x v="0"/>
    <x v="1"/>
    <x v="1"/>
  </r>
  <r>
    <x v="1059"/>
    <x v="1"/>
    <x v="25"/>
    <x v="1042"/>
    <x v="76"/>
    <x v="1117"/>
    <x v="1"/>
    <x v="0"/>
    <x v="1042"/>
    <x v="0"/>
    <x v="0"/>
    <x v="0"/>
    <x v="0"/>
    <x v="0"/>
    <x v="2"/>
    <x v="1117"/>
    <x v="1105"/>
    <x v="1042"/>
    <x v="1"/>
    <x v="10"/>
    <x v="0"/>
    <x v="17"/>
    <x v="17"/>
    <x v="0"/>
    <x v="0"/>
    <x v="0"/>
    <x v="26"/>
    <x v="0"/>
    <x v="0"/>
    <x v="1"/>
    <x v="1"/>
  </r>
  <r>
    <x v="1058"/>
    <x v="1"/>
    <x v="25"/>
    <x v="1041"/>
    <x v="75"/>
    <x v="1116"/>
    <x v="1"/>
    <x v="0"/>
    <x v="1041"/>
    <x v="0"/>
    <x v="0"/>
    <x v="0"/>
    <x v="0"/>
    <x v="0"/>
    <x v="2"/>
    <x v="1116"/>
    <x v="1104"/>
    <x v="1041"/>
    <x v="1"/>
    <x v="10"/>
    <x v="0"/>
    <x v="17"/>
    <x v="17"/>
    <x v="0"/>
    <x v="0"/>
    <x v="0"/>
    <x v="26"/>
    <x v="0"/>
    <x v="0"/>
    <x v="1"/>
    <x v="1"/>
  </r>
  <r>
    <x v="1057"/>
    <x v="1"/>
    <x v="25"/>
    <x v="1040"/>
    <x v="74"/>
    <x v="1115"/>
    <x v="1"/>
    <x v="0"/>
    <x v="1040"/>
    <x v="0"/>
    <x v="0"/>
    <x v="0"/>
    <x v="0"/>
    <x v="0"/>
    <x v="2"/>
    <x v="1115"/>
    <x v="1103"/>
    <x v="1040"/>
    <x v="1"/>
    <x v="10"/>
    <x v="0"/>
    <x v="17"/>
    <x v="17"/>
    <x v="0"/>
    <x v="0"/>
    <x v="0"/>
    <x v="26"/>
    <x v="0"/>
    <x v="0"/>
    <x v="1"/>
    <x v="1"/>
  </r>
  <r>
    <x v="1056"/>
    <x v="1"/>
    <x v="25"/>
    <x v="1039"/>
    <x v="73"/>
    <x v="1114"/>
    <x v="1"/>
    <x v="0"/>
    <x v="1039"/>
    <x v="0"/>
    <x v="0"/>
    <x v="0"/>
    <x v="0"/>
    <x v="0"/>
    <x v="2"/>
    <x v="1114"/>
    <x v="1102"/>
    <x v="1039"/>
    <x v="1"/>
    <x v="10"/>
    <x v="0"/>
    <x v="17"/>
    <x v="17"/>
    <x v="0"/>
    <x v="0"/>
    <x v="0"/>
    <x v="26"/>
    <x v="0"/>
    <x v="0"/>
    <x v="1"/>
    <x v="1"/>
  </r>
  <r>
    <x v="1055"/>
    <x v="1"/>
    <x v="25"/>
    <x v="1038"/>
    <x v="72"/>
    <x v="1113"/>
    <x v="1"/>
    <x v="0"/>
    <x v="1038"/>
    <x v="0"/>
    <x v="0"/>
    <x v="0"/>
    <x v="0"/>
    <x v="0"/>
    <x v="2"/>
    <x v="1113"/>
    <x v="1101"/>
    <x v="1038"/>
    <x v="1"/>
    <x v="10"/>
    <x v="0"/>
    <x v="17"/>
    <x v="17"/>
    <x v="0"/>
    <x v="0"/>
    <x v="0"/>
    <x v="26"/>
    <x v="0"/>
    <x v="0"/>
    <x v="1"/>
    <x v="1"/>
  </r>
  <r>
    <x v="1054"/>
    <x v="1"/>
    <x v="25"/>
    <x v="1037"/>
    <x v="71"/>
    <x v="1112"/>
    <x v="1"/>
    <x v="0"/>
    <x v="1037"/>
    <x v="0"/>
    <x v="0"/>
    <x v="0"/>
    <x v="0"/>
    <x v="0"/>
    <x v="2"/>
    <x v="1112"/>
    <x v="1100"/>
    <x v="1037"/>
    <x v="1"/>
    <x v="10"/>
    <x v="0"/>
    <x v="17"/>
    <x v="17"/>
    <x v="0"/>
    <x v="0"/>
    <x v="0"/>
    <x v="26"/>
    <x v="0"/>
    <x v="0"/>
    <x v="1"/>
    <x v="1"/>
  </r>
  <r>
    <x v="1053"/>
    <x v="1"/>
    <x v="25"/>
    <x v="1036"/>
    <x v="70"/>
    <x v="1111"/>
    <x v="1"/>
    <x v="0"/>
    <x v="1036"/>
    <x v="0"/>
    <x v="0"/>
    <x v="0"/>
    <x v="0"/>
    <x v="0"/>
    <x v="2"/>
    <x v="1111"/>
    <x v="1099"/>
    <x v="1036"/>
    <x v="1"/>
    <x v="10"/>
    <x v="0"/>
    <x v="17"/>
    <x v="17"/>
    <x v="0"/>
    <x v="0"/>
    <x v="0"/>
    <x v="26"/>
    <x v="0"/>
    <x v="0"/>
    <x v="1"/>
    <x v="1"/>
  </r>
  <r>
    <x v="1052"/>
    <x v="1"/>
    <x v="25"/>
    <x v="1035"/>
    <x v="69"/>
    <x v="1110"/>
    <x v="1"/>
    <x v="0"/>
    <x v="1035"/>
    <x v="0"/>
    <x v="0"/>
    <x v="0"/>
    <x v="0"/>
    <x v="0"/>
    <x v="2"/>
    <x v="1110"/>
    <x v="1098"/>
    <x v="1035"/>
    <x v="1"/>
    <x v="10"/>
    <x v="0"/>
    <x v="17"/>
    <x v="17"/>
    <x v="0"/>
    <x v="0"/>
    <x v="0"/>
    <x v="26"/>
    <x v="0"/>
    <x v="0"/>
    <x v="1"/>
    <x v="1"/>
  </r>
  <r>
    <x v="1051"/>
    <x v="1"/>
    <x v="25"/>
    <x v="1034"/>
    <x v="68"/>
    <x v="1109"/>
    <x v="1"/>
    <x v="0"/>
    <x v="1034"/>
    <x v="0"/>
    <x v="0"/>
    <x v="0"/>
    <x v="0"/>
    <x v="0"/>
    <x v="2"/>
    <x v="1109"/>
    <x v="1097"/>
    <x v="1034"/>
    <x v="1"/>
    <x v="10"/>
    <x v="0"/>
    <x v="17"/>
    <x v="17"/>
    <x v="0"/>
    <x v="0"/>
    <x v="0"/>
    <x v="26"/>
    <x v="0"/>
    <x v="0"/>
    <x v="1"/>
    <x v="1"/>
  </r>
  <r>
    <x v="1050"/>
    <x v="1"/>
    <x v="25"/>
    <x v="1033"/>
    <x v="67"/>
    <x v="1108"/>
    <x v="1"/>
    <x v="0"/>
    <x v="1033"/>
    <x v="0"/>
    <x v="0"/>
    <x v="0"/>
    <x v="0"/>
    <x v="0"/>
    <x v="2"/>
    <x v="1108"/>
    <x v="1096"/>
    <x v="1033"/>
    <x v="1"/>
    <x v="10"/>
    <x v="0"/>
    <x v="17"/>
    <x v="17"/>
    <x v="0"/>
    <x v="0"/>
    <x v="0"/>
    <x v="26"/>
    <x v="0"/>
    <x v="0"/>
    <x v="1"/>
    <x v="1"/>
  </r>
  <r>
    <x v="1049"/>
    <x v="1"/>
    <x v="25"/>
    <x v="1032"/>
    <x v="66"/>
    <x v="1107"/>
    <x v="1"/>
    <x v="0"/>
    <x v="1032"/>
    <x v="0"/>
    <x v="0"/>
    <x v="0"/>
    <x v="0"/>
    <x v="0"/>
    <x v="2"/>
    <x v="1107"/>
    <x v="1095"/>
    <x v="1032"/>
    <x v="1"/>
    <x v="10"/>
    <x v="0"/>
    <x v="17"/>
    <x v="17"/>
    <x v="0"/>
    <x v="0"/>
    <x v="0"/>
    <x v="26"/>
    <x v="0"/>
    <x v="0"/>
    <x v="1"/>
    <x v="1"/>
  </r>
  <r>
    <x v="1048"/>
    <x v="1"/>
    <x v="25"/>
    <x v="1031"/>
    <x v="65"/>
    <x v="1106"/>
    <x v="1"/>
    <x v="0"/>
    <x v="1031"/>
    <x v="0"/>
    <x v="0"/>
    <x v="0"/>
    <x v="0"/>
    <x v="0"/>
    <x v="2"/>
    <x v="1106"/>
    <x v="1094"/>
    <x v="1031"/>
    <x v="1"/>
    <x v="10"/>
    <x v="0"/>
    <x v="17"/>
    <x v="17"/>
    <x v="0"/>
    <x v="0"/>
    <x v="0"/>
    <x v="26"/>
    <x v="0"/>
    <x v="0"/>
    <x v="1"/>
    <x v="1"/>
  </r>
  <r>
    <x v="1047"/>
    <x v="1"/>
    <x v="25"/>
    <x v="1030"/>
    <x v="64"/>
    <x v="1105"/>
    <x v="1"/>
    <x v="0"/>
    <x v="1030"/>
    <x v="0"/>
    <x v="0"/>
    <x v="0"/>
    <x v="0"/>
    <x v="0"/>
    <x v="2"/>
    <x v="1105"/>
    <x v="1093"/>
    <x v="1030"/>
    <x v="1"/>
    <x v="10"/>
    <x v="0"/>
    <x v="17"/>
    <x v="17"/>
    <x v="0"/>
    <x v="0"/>
    <x v="0"/>
    <x v="26"/>
    <x v="0"/>
    <x v="0"/>
    <x v="1"/>
    <x v="1"/>
  </r>
  <r>
    <x v="1046"/>
    <x v="1"/>
    <x v="25"/>
    <x v="1029"/>
    <x v="63"/>
    <x v="1104"/>
    <x v="1"/>
    <x v="0"/>
    <x v="1029"/>
    <x v="0"/>
    <x v="0"/>
    <x v="0"/>
    <x v="0"/>
    <x v="0"/>
    <x v="2"/>
    <x v="1104"/>
    <x v="1092"/>
    <x v="1029"/>
    <x v="1"/>
    <x v="10"/>
    <x v="0"/>
    <x v="17"/>
    <x v="17"/>
    <x v="0"/>
    <x v="0"/>
    <x v="0"/>
    <x v="26"/>
    <x v="0"/>
    <x v="0"/>
    <x v="1"/>
    <x v="1"/>
  </r>
  <r>
    <x v="1045"/>
    <x v="1"/>
    <x v="25"/>
    <x v="1028"/>
    <x v="47"/>
    <x v="1088"/>
    <x v="1"/>
    <x v="0"/>
    <x v="1028"/>
    <x v="0"/>
    <x v="0"/>
    <x v="0"/>
    <x v="0"/>
    <x v="0"/>
    <x v="2"/>
    <x v="1088"/>
    <x v="1076"/>
    <x v="1028"/>
    <x v="1"/>
    <x v="10"/>
    <x v="0"/>
    <x v="17"/>
    <x v="17"/>
    <x v="0"/>
    <x v="0"/>
    <x v="0"/>
    <x v="25"/>
    <x v="0"/>
    <x v="0"/>
    <x v="1"/>
    <x v="1"/>
  </r>
  <r>
    <x v="1044"/>
    <x v="1"/>
    <x v="25"/>
    <x v="1027"/>
    <x v="46"/>
    <x v="1087"/>
    <x v="1"/>
    <x v="0"/>
    <x v="1027"/>
    <x v="0"/>
    <x v="0"/>
    <x v="0"/>
    <x v="0"/>
    <x v="0"/>
    <x v="2"/>
    <x v="1087"/>
    <x v="1075"/>
    <x v="1027"/>
    <x v="1"/>
    <x v="10"/>
    <x v="0"/>
    <x v="17"/>
    <x v="17"/>
    <x v="0"/>
    <x v="0"/>
    <x v="0"/>
    <x v="25"/>
    <x v="0"/>
    <x v="0"/>
    <x v="1"/>
    <x v="1"/>
  </r>
  <r>
    <x v="1043"/>
    <x v="1"/>
    <x v="25"/>
    <x v="1026"/>
    <x v="45"/>
    <x v="1086"/>
    <x v="1"/>
    <x v="0"/>
    <x v="1026"/>
    <x v="0"/>
    <x v="0"/>
    <x v="0"/>
    <x v="0"/>
    <x v="0"/>
    <x v="2"/>
    <x v="1086"/>
    <x v="1074"/>
    <x v="1026"/>
    <x v="1"/>
    <x v="10"/>
    <x v="0"/>
    <x v="17"/>
    <x v="17"/>
    <x v="0"/>
    <x v="0"/>
    <x v="0"/>
    <x v="25"/>
    <x v="0"/>
    <x v="0"/>
    <x v="1"/>
    <x v="1"/>
  </r>
  <r>
    <x v="1042"/>
    <x v="1"/>
    <x v="25"/>
    <x v="1025"/>
    <x v="44"/>
    <x v="1085"/>
    <x v="1"/>
    <x v="0"/>
    <x v="1025"/>
    <x v="0"/>
    <x v="0"/>
    <x v="0"/>
    <x v="0"/>
    <x v="0"/>
    <x v="2"/>
    <x v="1085"/>
    <x v="1073"/>
    <x v="1025"/>
    <x v="1"/>
    <x v="10"/>
    <x v="0"/>
    <x v="17"/>
    <x v="17"/>
    <x v="0"/>
    <x v="0"/>
    <x v="0"/>
    <x v="25"/>
    <x v="0"/>
    <x v="0"/>
    <x v="1"/>
    <x v="1"/>
  </r>
  <r>
    <x v="1041"/>
    <x v="1"/>
    <x v="25"/>
    <x v="1024"/>
    <x v="43"/>
    <x v="1084"/>
    <x v="1"/>
    <x v="0"/>
    <x v="1024"/>
    <x v="0"/>
    <x v="0"/>
    <x v="0"/>
    <x v="0"/>
    <x v="0"/>
    <x v="2"/>
    <x v="1084"/>
    <x v="1072"/>
    <x v="1024"/>
    <x v="1"/>
    <x v="10"/>
    <x v="0"/>
    <x v="17"/>
    <x v="17"/>
    <x v="0"/>
    <x v="0"/>
    <x v="0"/>
    <x v="25"/>
    <x v="0"/>
    <x v="0"/>
    <x v="1"/>
    <x v="1"/>
  </r>
  <r>
    <x v="1040"/>
    <x v="1"/>
    <x v="25"/>
    <x v="1023"/>
    <x v="42"/>
    <x v="1083"/>
    <x v="1"/>
    <x v="0"/>
    <x v="1023"/>
    <x v="0"/>
    <x v="0"/>
    <x v="0"/>
    <x v="0"/>
    <x v="0"/>
    <x v="2"/>
    <x v="1083"/>
    <x v="1071"/>
    <x v="1023"/>
    <x v="1"/>
    <x v="10"/>
    <x v="0"/>
    <x v="17"/>
    <x v="17"/>
    <x v="0"/>
    <x v="0"/>
    <x v="0"/>
    <x v="25"/>
    <x v="0"/>
    <x v="0"/>
    <x v="1"/>
    <x v="1"/>
  </r>
  <r>
    <x v="1039"/>
    <x v="1"/>
    <x v="25"/>
    <x v="1022"/>
    <x v="41"/>
    <x v="1082"/>
    <x v="1"/>
    <x v="0"/>
    <x v="1022"/>
    <x v="0"/>
    <x v="0"/>
    <x v="0"/>
    <x v="0"/>
    <x v="0"/>
    <x v="2"/>
    <x v="1082"/>
    <x v="1070"/>
    <x v="1022"/>
    <x v="1"/>
    <x v="10"/>
    <x v="0"/>
    <x v="17"/>
    <x v="17"/>
    <x v="0"/>
    <x v="0"/>
    <x v="0"/>
    <x v="25"/>
    <x v="0"/>
    <x v="0"/>
    <x v="1"/>
    <x v="1"/>
  </r>
  <r>
    <x v="1038"/>
    <x v="1"/>
    <x v="25"/>
    <x v="1021"/>
    <x v="40"/>
    <x v="1081"/>
    <x v="1"/>
    <x v="0"/>
    <x v="1021"/>
    <x v="0"/>
    <x v="0"/>
    <x v="0"/>
    <x v="0"/>
    <x v="0"/>
    <x v="2"/>
    <x v="1081"/>
    <x v="1069"/>
    <x v="1021"/>
    <x v="1"/>
    <x v="10"/>
    <x v="0"/>
    <x v="17"/>
    <x v="17"/>
    <x v="0"/>
    <x v="0"/>
    <x v="0"/>
    <x v="25"/>
    <x v="0"/>
    <x v="0"/>
    <x v="1"/>
    <x v="1"/>
  </r>
  <r>
    <x v="1037"/>
    <x v="1"/>
    <x v="25"/>
    <x v="1020"/>
    <x v="39"/>
    <x v="1080"/>
    <x v="1"/>
    <x v="0"/>
    <x v="1020"/>
    <x v="0"/>
    <x v="0"/>
    <x v="0"/>
    <x v="0"/>
    <x v="0"/>
    <x v="2"/>
    <x v="1080"/>
    <x v="1068"/>
    <x v="1020"/>
    <x v="1"/>
    <x v="10"/>
    <x v="0"/>
    <x v="17"/>
    <x v="17"/>
    <x v="0"/>
    <x v="0"/>
    <x v="0"/>
    <x v="25"/>
    <x v="0"/>
    <x v="0"/>
    <x v="1"/>
    <x v="1"/>
  </r>
  <r>
    <x v="1036"/>
    <x v="1"/>
    <x v="25"/>
    <x v="1019"/>
    <x v="38"/>
    <x v="1079"/>
    <x v="1"/>
    <x v="0"/>
    <x v="1019"/>
    <x v="0"/>
    <x v="0"/>
    <x v="0"/>
    <x v="0"/>
    <x v="0"/>
    <x v="2"/>
    <x v="1079"/>
    <x v="1067"/>
    <x v="1019"/>
    <x v="1"/>
    <x v="10"/>
    <x v="0"/>
    <x v="17"/>
    <x v="17"/>
    <x v="0"/>
    <x v="0"/>
    <x v="0"/>
    <x v="25"/>
    <x v="0"/>
    <x v="0"/>
    <x v="1"/>
    <x v="1"/>
  </r>
  <r>
    <x v="1035"/>
    <x v="1"/>
    <x v="25"/>
    <x v="1018"/>
    <x v="37"/>
    <x v="1078"/>
    <x v="1"/>
    <x v="0"/>
    <x v="1018"/>
    <x v="0"/>
    <x v="0"/>
    <x v="0"/>
    <x v="0"/>
    <x v="0"/>
    <x v="2"/>
    <x v="1078"/>
    <x v="1066"/>
    <x v="1018"/>
    <x v="1"/>
    <x v="10"/>
    <x v="0"/>
    <x v="17"/>
    <x v="17"/>
    <x v="0"/>
    <x v="0"/>
    <x v="0"/>
    <x v="25"/>
    <x v="0"/>
    <x v="0"/>
    <x v="1"/>
    <x v="1"/>
  </r>
  <r>
    <x v="1034"/>
    <x v="1"/>
    <x v="25"/>
    <x v="1017"/>
    <x v="36"/>
    <x v="1077"/>
    <x v="1"/>
    <x v="0"/>
    <x v="1017"/>
    <x v="0"/>
    <x v="0"/>
    <x v="0"/>
    <x v="0"/>
    <x v="0"/>
    <x v="2"/>
    <x v="1077"/>
    <x v="1065"/>
    <x v="1017"/>
    <x v="1"/>
    <x v="10"/>
    <x v="0"/>
    <x v="17"/>
    <x v="17"/>
    <x v="0"/>
    <x v="0"/>
    <x v="0"/>
    <x v="25"/>
    <x v="0"/>
    <x v="0"/>
    <x v="1"/>
    <x v="1"/>
  </r>
  <r>
    <x v="1033"/>
    <x v="1"/>
    <x v="25"/>
    <x v="1016"/>
    <x v="35"/>
    <x v="1076"/>
    <x v="1"/>
    <x v="0"/>
    <x v="1016"/>
    <x v="0"/>
    <x v="0"/>
    <x v="0"/>
    <x v="0"/>
    <x v="0"/>
    <x v="2"/>
    <x v="1076"/>
    <x v="1064"/>
    <x v="1016"/>
    <x v="1"/>
    <x v="10"/>
    <x v="0"/>
    <x v="17"/>
    <x v="17"/>
    <x v="0"/>
    <x v="0"/>
    <x v="0"/>
    <x v="25"/>
    <x v="0"/>
    <x v="0"/>
    <x v="1"/>
    <x v="1"/>
  </r>
  <r>
    <x v="1032"/>
    <x v="1"/>
    <x v="25"/>
    <x v="1015"/>
    <x v="34"/>
    <x v="1075"/>
    <x v="1"/>
    <x v="0"/>
    <x v="1015"/>
    <x v="0"/>
    <x v="0"/>
    <x v="0"/>
    <x v="0"/>
    <x v="0"/>
    <x v="2"/>
    <x v="1075"/>
    <x v="1063"/>
    <x v="1015"/>
    <x v="1"/>
    <x v="10"/>
    <x v="0"/>
    <x v="17"/>
    <x v="17"/>
    <x v="0"/>
    <x v="0"/>
    <x v="0"/>
    <x v="25"/>
    <x v="0"/>
    <x v="0"/>
    <x v="1"/>
    <x v="1"/>
  </r>
  <r>
    <x v="1031"/>
    <x v="1"/>
    <x v="25"/>
    <x v="1014"/>
    <x v="33"/>
    <x v="1074"/>
    <x v="1"/>
    <x v="0"/>
    <x v="1014"/>
    <x v="0"/>
    <x v="0"/>
    <x v="0"/>
    <x v="0"/>
    <x v="0"/>
    <x v="2"/>
    <x v="1074"/>
    <x v="1062"/>
    <x v="1014"/>
    <x v="1"/>
    <x v="10"/>
    <x v="0"/>
    <x v="17"/>
    <x v="17"/>
    <x v="0"/>
    <x v="0"/>
    <x v="0"/>
    <x v="25"/>
    <x v="0"/>
    <x v="0"/>
    <x v="1"/>
    <x v="1"/>
  </r>
  <r>
    <x v="1030"/>
    <x v="1"/>
    <x v="25"/>
    <x v="1013"/>
    <x v="32"/>
    <x v="1073"/>
    <x v="1"/>
    <x v="0"/>
    <x v="1013"/>
    <x v="0"/>
    <x v="0"/>
    <x v="0"/>
    <x v="0"/>
    <x v="0"/>
    <x v="2"/>
    <x v="1073"/>
    <x v="1061"/>
    <x v="1013"/>
    <x v="1"/>
    <x v="10"/>
    <x v="0"/>
    <x v="17"/>
    <x v="17"/>
    <x v="0"/>
    <x v="0"/>
    <x v="0"/>
    <x v="25"/>
    <x v="0"/>
    <x v="0"/>
    <x v="1"/>
    <x v="1"/>
  </r>
  <r>
    <x v="1029"/>
    <x v="1"/>
    <x v="25"/>
    <x v="1012"/>
    <x v="31"/>
    <x v="1072"/>
    <x v="1"/>
    <x v="0"/>
    <x v="1012"/>
    <x v="0"/>
    <x v="0"/>
    <x v="0"/>
    <x v="0"/>
    <x v="0"/>
    <x v="2"/>
    <x v="1072"/>
    <x v="1060"/>
    <x v="1012"/>
    <x v="1"/>
    <x v="10"/>
    <x v="0"/>
    <x v="17"/>
    <x v="17"/>
    <x v="0"/>
    <x v="0"/>
    <x v="0"/>
    <x v="25"/>
    <x v="0"/>
    <x v="0"/>
    <x v="1"/>
    <x v="1"/>
  </r>
  <r>
    <x v="1028"/>
    <x v="1"/>
    <x v="25"/>
    <x v="1011"/>
    <x v="30"/>
    <x v="1071"/>
    <x v="1"/>
    <x v="0"/>
    <x v="1011"/>
    <x v="0"/>
    <x v="0"/>
    <x v="0"/>
    <x v="0"/>
    <x v="0"/>
    <x v="2"/>
    <x v="1071"/>
    <x v="1059"/>
    <x v="1011"/>
    <x v="1"/>
    <x v="10"/>
    <x v="0"/>
    <x v="17"/>
    <x v="17"/>
    <x v="0"/>
    <x v="0"/>
    <x v="0"/>
    <x v="25"/>
    <x v="0"/>
    <x v="0"/>
    <x v="1"/>
    <x v="1"/>
  </r>
  <r>
    <x v="1027"/>
    <x v="1"/>
    <x v="25"/>
    <x v="1010"/>
    <x v="29"/>
    <x v="1070"/>
    <x v="1"/>
    <x v="0"/>
    <x v="1010"/>
    <x v="0"/>
    <x v="0"/>
    <x v="0"/>
    <x v="0"/>
    <x v="0"/>
    <x v="2"/>
    <x v="1070"/>
    <x v="1058"/>
    <x v="1010"/>
    <x v="1"/>
    <x v="10"/>
    <x v="0"/>
    <x v="17"/>
    <x v="17"/>
    <x v="0"/>
    <x v="0"/>
    <x v="0"/>
    <x v="25"/>
    <x v="0"/>
    <x v="0"/>
    <x v="1"/>
    <x v="1"/>
  </r>
  <r>
    <x v="1026"/>
    <x v="1"/>
    <x v="25"/>
    <x v="1009"/>
    <x v="28"/>
    <x v="1069"/>
    <x v="1"/>
    <x v="0"/>
    <x v="1009"/>
    <x v="0"/>
    <x v="0"/>
    <x v="0"/>
    <x v="0"/>
    <x v="0"/>
    <x v="2"/>
    <x v="1069"/>
    <x v="1057"/>
    <x v="1009"/>
    <x v="1"/>
    <x v="10"/>
    <x v="0"/>
    <x v="17"/>
    <x v="17"/>
    <x v="0"/>
    <x v="0"/>
    <x v="0"/>
    <x v="25"/>
    <x v="0"/>
    <x v="0"/>
    <x v="1"/>
    <x v="1"/>
  </r>
  <r>
    <x v="1025"/>
    <x v="1"/>
    <x v="25"/>
    <x v="1008"/>
    <x v="27"/>
    <x v="1068"/>
    <x v="1"/>
    <x v="0"/>
    <x v="1008"/>
    <x v="0"/>
    <x v="0"/>
    <x v="0"/>
    <x v="0"/>
    <x v="0"/>
    <x v="2"/>
    <x v="1068"/>
    <x v="1056"/>
    <x v="1008"/>
    <x v="1"/>
    <x v="10"/>
    <x v="0"/>
    <x v="17"/>
    <x v="17"/>
    <x v="0"/>
    <x v="0"/>
    <x v="0"/>
    <x v="25"/>
    <x v="0"/>
    <x v="0"/>
    <x v="1"/>
    <x v="1"/>
  </r>
  <r>
    <x v="1024"/>
    <x v="1"/>
    <x v="25"/>
    <x v="1007"/>
    <x v="26"/>
    <x v="1067"/>
    <x v="1"/>
    <x v="0"/>
    <x v="1007"/>
    <x v="0"/>
    <x v="0"/>
    <x v="0"/>
    <x v="0"/>
    <x v="0"/>
    <x v="2"/>
    <x v="1067"/>
    <x v="1055"/>
    <x v="1007"/>
    <x v="1"/>
    <x v="10"/>
    <x v="0"/>
    <x v="17"/>
    <x v="17"/>
    <x v="0"/>
    <x v="0"/>
    <x v="0"/>
    <x v="25"/>
    <x v="0"/>
    <x v="0"/>
    <x v="1"/>
    <x v="1"/>
  </r>
  <r>
    <x v="1023"/>
    <x v="1"/>
    <x v="25"/>
    <x v="1006"/>
    <x v="538"/>
    <x v="788"/>
    <x v="1"/>
    <x v="0"/>
    <x v="1006"/>
    <x v="0"/>
    <x v="0"/>
    <x v="0"/>
    <x v="0"/>
    <x v="0"/>
    <x v="2"/>
    <x v="788"/>
    <x v="776"/>
    <x v="1006"/>
    <x v="1"/>
    <x v="10"/>
    <x v="0"/>
    <x v="17"/>
    <x v="17"/>
    <x v="0"/>
    <x v="0"/>
    <x v="0"/>
    <x v="25"/>
    <x v="0"/>
    <x v="0"/>
    <x v="1"/>
    <x v="1"/>
  </r>
  <r>
    <x v="1022"/>
    <x v="1"/>
    <x v="25"/>
    <x v="1005"/>
    <x v="965"/>
    <x v="1041"/>
    <x v="1"/>
    <x v="0"/>
    <x v="1005"/>
    <x v="0"/>
    <x v="0"/>
    <x v="0"/>
    <x v="0"/>
    <x v="0"/>
    <x v="2"/>
    <x v="1041"/>
    <x v="1029"/>
    <x v="1005"/>
    <x v="1"/>
    <x v="10"/>
    <x v="0"/>
    <x v="17"/>
    <x v="17"/>
    <x v="0"/>
    <x v="0"/>
    <x v="0"/>
    <x v="25"/>
    <x v="0"/>
    <x v="0"/>
    <x v="1"/>
    <x v="1"/>
  </r>
  <r>
    <x v="1021"/>
    <x v="1"/>
    <x v="25"/>
    <x v="1004"/>
    <x v="981"/>
    <x v="1044"/>
    <x v="1"/>
    <x v="0"/>
    <x v="1004"/>
    <x v="0"/>
    <x v="0"/>
    <x v="0"/>
    <x v="0"/>
    <x v="0"/>
    <x v="2"/>
    <x v="1044"/>
    <x v="1032"/>
    <x v="1004"/>
    <x v="1"/>
    <x v="10"/>
    <x v="0"/>
    <x v="17"/>
    <x v="17"/>
    <x v="0"/>
    <x v="0"/>
    <x v="0"/>
    <x v="25"/>
    <x v="0"/>
    <x v="0"/>
    <x v="1"/>
    <x v="1"/>
  </r>
  <r>
    <x v="1020"/>
    <x v="1"/>
    <x v="25"/>
    <x v="1003"/>
    <x v="988"/>
    <x v="1047"/>
    <x v="1"/>
    <x v="0"/>
    <x v="1003"/>
    <x v="0"/>
    <x v="0"/>
    <x v="0"/>
    <x v="0"/>
    <x v="0"/>
    <x v="2"/>
    <x v="1047"/>
    <x v="1035"/>
    <x v="1003"/>
    <x v="1"/>
    <x v="10"/>
    <x v="0"/>
    <x v="17"/>
    <x v="17"/>
    <x v="0"/>
    <x v="0"/>
    <x v="0"/>
    <x v="25"/>
    <x v="0"/>
    <x v="0"/>
    <x v="1"/>
    <x v="1"/>
  </r>
  <r>
    <x v="1019"/>
    <x v="1"/>
    <x v="25"/>
    <x v="1002"/>
    <x v="974"/>
    <x v="1037"/>
    <x v="1"/>
    <x v="0"/>
    <x v="1002"/>
    <x v="0"/>
    <x v="0"/>
    <x v="0"/>
    <x v="0"/>
    <x v="0"/>
    <x v="2"/>
    <x v="1037"/>
    <x v="1025"/>
    <x v="1002"/>
    <x v="1"/>
    <x v="10"/>
    <x v="0"/>
    <x v="17"/>
    <x v="17"/>
    <x v="0"/>
    <x v="0"/>
    <x v="0"/>
    <x v="25"/>
    <x v="0"/>
    <x v="0"/>
    <x v="1"/>
    <x v="1"/>
  </r>
  <r>
    <x v="1018"/>
    <x v="1"/>
    <x v="25"/>
    <x v="1001"/>
    <x v="978"/>
    <x v="1040"/>
    <x v="1"/>
    <x v="0"/>
    <x v="1001"/>
    <x v="0"/>
    <x v="0"/>
    <x v="0"/>
    <x v="0"/>
    <x v="0"/>
    <x v="2"/>
    <x v="1040"/>
    <x v="1028"/>
    <x v="1001"/>
    <x v="1"/>
    <x v="10"/>
    <x v="0"/>
    <x v="17"/>
    <x v="17"/>
    <x v="0"/>
    <x v="0"/>
    <x v="0"/>
    <x v="25"/>
    <x v="0"/>
    <x v="0"/>
    <x v="1"/>
    <x v="1"/>
  </r>
  <r>
    <x v="1017"/>
    <x v="1"/>
    <x v="25"/>
    <x v="1000"/>
    <x v="971"/>
    <x v="1035"/>
    <x v="1"/>
    <x v="0"/>
    <x v="1000"/>
    <x v="0"/>
    <x v="0"/>
    <x v="0"/>
    <x v="0"/>
    <x v="0"/>
    <x v="2"/>
    <x v="1035"/>
    <x v="1023"/>
    <x v="1000"/>
    <x v="1"/>
    <x v="10"/>
    <x v="0"/>
    <x v="17"/>
    <x v="17"/>
    <x v="0"/>
    <x v="0"/>
    <x v="0"/>
    <x v="25"/>
    <x v="0"/>
    <x v="0"/>
    <x v="1"/>
    <x v="1"/>
  </r>
  <r>
    <x v="1016"/>
    <x v="1"/>
    <x v="25"/>
    <x v="999"/>
    <x v="977"/>
    <x v="1039"/>
    <x v="1"/>
    <x v="0"/>
    <x v="999"/>
    <x v="0"/>
    <x v="0"/>
    <x v="0"/>
    <x v="0"/>
    <x v="0"/>
    <x v="2"/>
    <x v="1039"/>
    <x v="1027"/>
    <x v="999"/>
    <x v="1"/>
    <x v="10"/>
    <x v="0"/>
    <x v="17"/>
    <x v="17"/>
    <x v="0"/>
    <x v="0"/>
    <x v="0"/>
    <x v="25"/>
    <x v="0"/>
    <x v="0"/>
    <x v="1"/>
    <x v="1"/>
  </r>
  <r>
    <x v="1015"/>
    <x v="1"/>
    <x v="25"/>
    <x v="998"/>
    <x v="966"/>
    <x v="1032"/>
    <x v="1"/>
    <x v="0"/>
    <x v="998"/>
    <x v="0"/>
    <x v="0"/>
    <x v="0"/>
    <x v="0"/>
    <x v="0"/>
    <x v="2"/>
    <x v="1032"/>
    <x v="1020"/>
    <x v="998"/>
    <x v="1"/>
    <x v="10"/>
    <x v="0"/>
    <x v="17"/>
    <x v="17"/>
    <x v="0"/>
    <x v="0"/>
    <x v="0"/>
    <x v="25"/>
    <x v="0"/>
    <x v="0"/>
    <x v="1"/>
    <x v="1"/>
  </r>
  <r>
    <x v="1014"/>
    <x v="1"/>
    <x v="25"/>
    <x v="997"/>
    <x v="209"/>
    <x v="616"/>
    <x v="1"/>
    <x v="0"/>
    <x v="997"/>
    <x v="0"/>
    <x v="0"/>
    <x v="0"/>
    <x v="0"/>
    <x v="0"/>
    <x v="2"/>
    <x v="616"/>
    <x v="604"/>
    <x v="997"/>
    <x v="1"/>
    <x v="10"/>
    <x v="0"/>
    <x v="17"/>
    <x v="17"/>
    <x v="0"/>
    <x v="0"/>
    <x v="0"/>
    <x v="25"/>
    <x v="0"/>
    <x v="0"/>
    <x v="1"/>
    <x v="1"/>
  </r>
  <r>
    <x v="1013"/>
    <x v="1"/>
    <x v="25"/>
    <x v="996"/>
    <x v="210"/>
    <x v="615"/>
    <x v="1"/>
    <x v="0"/>
    <x v="996"/>
    <x v="0"/>
    <x v="0"/>
    <x v="0"/>
    <x v="0"/>
    <x v="0"/>
    <x v="2"/>
    <x v="615"/>
    <x v="603"/>
    <x v="996"/>
    <x v="1"/>
    <x v="10"/>
    <x v="0"/>
    <x v="17"/>
    <x v="17"/>
    <x v="0"/>
    <x v="0"/>
    <x v="0"/>
    <x v="25"/>
    <x v="0"/>
    <x v="0"/>
    <x v="1"/>
    <x v="1"/>
  </r>
  <r>
    <x v="1012"/>
    <x v="1"/>
    <x v="25"/>
    <x v="995"/>
    <x v="892"/>
    <x v="1015"/>
    <x v="1"/>
    <x v="0"/>
    <x v="995"/>
    <x v="0"/>
    <x v="0"/>
    <x v="0"/>
    <x v="0"/>
    <x v="0"/>
    <x v="2"/>
    <x v="1015"/>
    <x v="1003"/>
    <x v="995"/>
    <x v="1"/>
    <x v="10"/>
    <x v="0"/>
    <x v="17"/>
    <x v="17"/>
    <x v="0"/>
    <x v="0"/>
    <x v="0"/>
    <x v="25"/>
    <x v="0"/>
    <x v="0"/>
    <x v="1"/>
    <x v="1"/>
  </r>
  <r>
    <x v="1011"/>
    <x v="1"/>
    <x v="25"/>
    <x v="994"/>
    <x v="899"/>
    <x v="1019"/>
    <x v="1"/>
    <x v="0"/>
    <x v="994"/>
    <x v="0"/>
    <x v="0"/>
    <x v="0"/>
    <x v="0"/>
    <x v="0"/>
    <x v="2"/>
    <x v="1019"/>
    <x v="1007"/>
    <x v="994"/>
    <x v="1"/>
    <x v="10"/>
    <x v="0"/>
    <x v="17"/>
    <x v="17"/>
    <x v="0"/>
    <x v="0"/>
    <x v="0"/>
    <x v="25"/>
    <x v="0"/>
    <x v="0"/>
    <x v="1"/>
    <x v="1"/>
  </r>
  <r>
    <x v="1010"/>
    <x v="1"/>
    <x v="25"/>
    <x v="993"/>
    <x v="891"/>
    <x v="1013"/>
    <x v="1"/>
    <x v="0"/>
    <x v="993"/>
    <x v="0"/>
    <x v="0"/>
    <x v="0"/>
    <x v="0"/>
    <x v="0"/>
    <x v="2"/>
    <x v="1013"/>
    <x v="1001"/>
    <x v="993"/>
    <x v="1"/>
    <x v="10"/>
    <x v="0"/>
    <x v="17"/>
    <x v="17"/>
    <x v="0"/>
    <x v="0"/>
    <x v="0"/>
    <x v="25"/>
    <x v="0"/>
    <x v="0"/>
    <x v="1"/>
    <x v="1"/>
  </r>
  <r>
    <x v="1009"/>
    <x v="1"/>
    <x v="25"/>
    <x v="992"/>
    <x v="898"/>
    <x v="1018"/>
    <x v="1"/>
    <x v="0"/>
    <x v="992"/>
    <x v="0"/>
    <x v="0"/>
    <x v="0"/>
    <x v="0"/>
    <x v="0"/>
    <x v="2"/>
    <x v="1018"/>
    <x v="1006"/>
    <x v="992"/>
    <x v="1"/>
    <x v="10"/>
    <x v="0"/>
    <x v="17"/>
    <x v="17"/>
    <x v="0"/>
    <x v="0"/>
    <x v="0"/>
    <x v="25"/>
    <x v="0"/>
    <x v="0"/>
    <x v="1"/>
    <x v="1"/>
  </r>
  <r>
    <x v="1008"/>
    <x v="1"/>
    <x v="25"/>
    <x v="991"/>
    <x v="889"/>
    <x v="1011"/>
    <x v="1"/>
    <x v="0"/>
    <x v="991"/>
    <x v="0"/>
    <x v="0"/>
    <x v="0"/>
    <x v="0"/>
    <x v="0"/>
    <x v="2"/>
    <x v="1011"/>
    <x v="999"/>
    <x v="991"/>
    <x v="1"/>
    <x v="10"/>
    <x v="0"/>
    <x v="17"/>
    <x v="17"/>
    <x v="0"/>
    <x v="0"/>
    <x v="0"/>
    <x v="25"/>
    <x v="0"/>
    <x v="0"/>
    <x v="1"/>
    <x v="1"/>
  </r>
  <r>
    <x v="1007"/>
    <x v="1"/>
    <x v="25"/>
    <x v="990"/>
    <x v="900"/>
    <x v="1020"/>
    <x v="1"/>
    <x v="0"/>
    <x v="990"/>
    <x v="0"/>
    <x v="0"/>
    <x v="0"/>
    <x v="0"/>
    <x v="0"/>
    <x v="2"/>
    <x v="1020"/>
    <x v="1008"/>
    <x v="990"/>
    <x v="1"/>
    <x v="10"/>
    <x v="0"/>
    <x v="17"/>
    <x v="17"/>
    <x v="0"/>
    <x v="0"/>
    <x v="0"/>
    <x v="25"/>
    <x v="0"/>
    <x v="0"/>
    <x v="1"/>
    <x v="1"/>
  </r>
  <r>
    <x v="1006"/>
    <x v="1"/>
    <x v="25"/>
    <x v="989"/>
    <x v="875"/>
    <x v="999"/>
    <x v="1"/>
    <x v="0"/>
    <x v="989"/>
    <x v="0"/>
    <x v="0"/>
    <x v="0"/>
    <x v="0"/>
    <x v="0"/>
    <x v="2"/>
    <x v="999"/>
    <x v="987"/>
    <x v="989"/>
    <x v="1"/>
    <x v="10"/>
    <x v="0"/>
    <x v="17"/>
    <x v="17"/>
    <x v="0"/>
    <x v="0"/>
    <x v="0"/>
    <x v="25"/>
    <x v="0"/>
    <x v="0"/>
    <x v="1"/>
    <x v="1"/>
  </r>
  <r>
    <x v="1005"/>
    <x v="1"/>
    <x v="25"/>
    <x v="988"/>
    <x v="893"/>
    <x v="1014"/>
    <x v="1"/>
    <x v="0"/>
    <x v="988"/>
    <x v="0"/>
    <x v="0"/>
    <x v="0"/>
    <x v="0"/>
    <x v="0"/>
    <x v="2"/>
    <x v="1014"/>
    <x v="1002"/>
    <x v="988"/>
    <x v="1"/>
    <x v="10"/>
    <x v="0"/>
    <x v="17"/>
    <x v="17"/>
    <x v="0"/>
    <x v="0"/>
    <x v="0"/>
    <x v="25"/>
    <x v="0"/>
    <x v="0"/>
    <x v="1"/>
    <x v="1"/>
  </r>
  <r>
    <x v="1004"/>
    <x v="1"/>
    <x v="25"/>
    <x v="987"/>
    <x v="890"/>
    <x v="1012"/>
    <x v="1"/>
    <x v="0"/>
    <x v="987"/>
    <x v="0"/>
    <x v="0"/>
    <x v="0"/>
    <x v="0"/>
    <x v="0"/>
    <x v="2"/>
    <x v="1012"/>
    <x v="1000"/>
    <x v="987"/>
    <x v="1"/>
    <x v="10"/>
    <x v="0"/>
    <x v="17"/>
    <x v="17"/>
    <x v="0"/>
    <x v="0"/>
    <x v="0"/>
    <x v="25"/>
    <x v="0"/>
    <x v="0"/>
    <x v="1"/>
    <x v="1"/>
  </r>
  <r>
    <x v="1003"/>
    <x v="1"/>
    <x v="25"/>
    <x v="986"/>
    <x v="888"/>
    <x v="1010"/>
    <x v="1"/>
    <x v="0"/>
    <x v="986"/>
    <x v="0"/>
    <x v="0"/>
    <x v="0"/>
    <x v="0"/>
    <x v="0"/>
    <x v="2"/>
    <x v="1010"/>
    <x v="998"/>
    <x v="986"/>
    <x v="1"/>
    <x v="10"/>
    <x v="0"/>
    <x v="17"/>
    <x v="17"/>
    <x v="0"/>
    <x v="0"/>
    <x v="0"/>
    <x v="25"/>
    <x v="0"/>
    <x v="0"/>
    <x v="1"/>
    <x v="1"/>
  </r>
  <r>
    <x v="1002"/>
    <x v="1"/>
    <x v="25"/>
    <x v="985"/>
    <x v="887"/>
    <x v="1009"/>
    <x v="1"/>
    <x v="0"/>
    <x v="985"/>
    <x v="0"/>
    <x v="0"/>
    <x v="0"/>
    <x v="0"/>
    <x v="0"/>
    <x v="2"/>
    <x v="1009"/>
    <x v="997"/>
    <x v="985"/>
    <x v="1"/>
    <x v="10"/>
    <x v="0"/>
    <x v="17"/>
    <x v="17"/>
    <x v="0"/>
    <x v="0"/>
    <x v="0"/>
    <x v="25"/>
    <x v="0"/>
    <x v="0"/>
    <x v="1"/>
    <x v="1"/>
  </r>
  <r>
    <x v="1001"/>
    <x v="1"/>
    <x v="25"/>
    <x v="984"/>
    <x v="884"/>
    <x v="1006"/>
    <x v="1"/>
    <x v="0"/>
    <x v="984"/>
    <x v="0"/>
    <x v="0"/>
    <x v="0"/>
    <x v="0"/>
    <x v="0"/>
    <x v="2"/>
    <x v="1006"/>
    <x v="994"/>
    <x v="984"/>
    <x v="1"/>
    <x v="10"/>
    <x v="0"/>
    <x v="17"/>
    <x v="17"/>
    <x v="0"/>
    <x v="0"/>
    <x v="0"/>
    <x v="25"/>
    <x v="0"/>
    <x v="0"/>
    <x v="1"/>
    <x v="1"/>
  </r>
  <r>
    <x v="1000"/>
    <x v="1"/>
    <x v="25"/>
    <x v="983"/>
    <x v="886"/>
    <x v="1008"/>
    <x v="1"/>
    <x v="0"/>
    <x v="983"/>
    <x v="0"/>
    <x v="0"/>
    <x v="0"/>
    <x v="0"/>
    <x v="0"/>
    <x v="2"/>
    <x v="1008"/>
    <x v="996"/>
    <x v="983"/>
    <x v="1"/>
    <x v="10"/>
    <x v="0"/>
    <x v="17"/>
    <x v="17"/>
    <x v="0"/>
    <x v="0"/>
    <x v="0"/>
    <x v="25"/>
    <x v="0"/>
    <x v="0"/>
    <x v="1"/>
    <x v="1"/>
  </r>
  <r>
    <x v="999"/>
    <x v="1"/>
    <x v="25"/>
    <x v="982"/>
    <x v="883"/>
    <x v="1005"/>
    <x v="1"/>
    <x v="0"/>
    <x v="982"/>
    <x v="0"/>
    <x v="0"/>
    <x v="0"/>
    <x v="0"/>
    <x v="0"/>
    <x v="2"/>
    <x v="1005"/>
    <x v="993"/>
    <x v="982"/>
    <x v="1"/>
    <x v="10"/>
    <x v="0"/>
    <x v="17"/>
    <x v="17"/>
    <x v="0"/>
    <x v="0"/>
    <x v="0"/>
    <x v="25"/>
    <x v="0"/>
    <x v="0"/>
    <x v="1"/>
    <x v="1"/>
  </r>
  <r>
    <x v="998"/>
    <x v="1"/>
    <x v="25"/>
    <x v="981"/>
    <x v="880"/>
    <x v="1003"/>
    <x v="1"/>
    <x v="0"/>
    <x v="981"/>
    <x v="0"/>
    <x v="0"/>
    <x v="0"/>
    <x v="0"/>
    <x v="0"/>
    <x v="2"/>
    <x v="1003"/>
    <x v="991"/>
    <x v="981"/>
    <x v="1"/>
    <x v="10"/>
    <x v="0"/>
    <x v="17"/>
    <x v="17"/>
    <x v="0"/>
    <x v="0"/>
    <x v="0"/>
    <x v="25"/>
    <x v="0"/>
    <x v="0"/>
    <x v="1"/>
    <x v="1"/>
  </r>
  <r>
    <x v="997"/>
    <x v="1"/>
    <x v="25"/>
    <x v="980"/>
    <x v="881"/>
    <x v="1004"/>
    <x v="1"/>
    <x v="0"/>
    <x v="980"/>
    <x v="0"/>
    <x v="0"/>
    <x v="0"/>
    <x v="0"/>
    <x v="0"/>
    <x v="2"/>
    <x v="1004"/>
    <x v="992"/>
    <x v="980"/>
    <x v="1"/>
    <x v="10"/>
    <x v="0"/>
    <x v="17"/>
    <x v="17"/>
    <x v="0"/>
    <x v="0"/>
    <x v="0"/>
    <x v="25"/>
    <x v="0"/>
    <x v="0"/>
    <x v="1"/>
    <x v="1"/>
  </r>
  <r>
    <x v="996"/>
    <x v="1"/>
    <x v="25"/>
    <x v="979"/>
    <x v="878"/>
    <x v="1002"/>
    <x v="1"/>
    <x v="0"/>
    <x v="979"/>
    <x v="0"/>
    <x v="0"/>
    <x v="0"/>
    <x v="0"/>
    <x v="0"/>
    <x v="2"/>
    <x v="1002"/>
    <x v="990"/>
    <x v="979"/>
    <x v="1"/>
    <x v="10"/>
    <x v="0"/>
    <x v="17"/>
    <x v="17"/>
    <x v="0"/>
    <x v="0"/>
    <x v="0"/>
    <x v="25"/>
    <x v="0"/>
    <x v="0"/>
    <x v="1"/>
    <x v="1"/>
  </r>
  <r>
    <x v="995"/>
    <x v="1"/>
    <x v="25"/>
    <x v="978"/>
    <x v="885"/>
    <x v="1007"/>
    <x v="1"/>
    <x v="0"/>
    <x v="978"/>
    <x v="0"/>
    <x v="0"/>
    <x v="0"/>
    <x v="0"/>
    <x v="0"/>
    <x v="2"/>
    <x v="1007"/>
    <x v="995"/>
    <x v="978"/>
    <x v="1"/>
    <x v="10"/>
    <x v="0"/>
    <x v="17"/>
    <x v="17"/>
    <x v="0"/>
    <x v="0"/>
    <x v="0"/>
    <x v="25"/>
    <x v="0"/>
    <x v="0"/>
    <x v="1"/>
    <x v="1"/>
  </r>
  <r>
    <x v="994"/>
    <x v="1"/>
    <x v="25"/>
    <x v="977"/>
    <x v="876"/>
    <x v="1000"/>
    <x v="1"/>
    <x v="0"/>
    <x v="977"/>
    <x v="0"/>
    <x v="0"/>
    <x v="0"/>
    <x v="0"/>
    <x v="0"/>
    <x v="2"/>
    <x v="1000"/>
    <x v="988"/>
    <x v="977"/>
    <x v="1"/>
    <x v="10"/>
    <x v="0"/>
    <x v="17"/>
    <x v="17"/>
    <x v="0"/>
    <x v="0"/>
    <x v="0"/>
    <x v="25"/>
    <x v="0"/>
    <x v="0"/>
    <x v="1"/>
    <x v="1"/>
  </r>
  <r>
    <x v="993"/>
    <x v="1"/>
    <x v="25"/>
    <x v="976"/>
    <x v="877"/>
    <x v="1001"/>
    <x v="1"/>
    <x v="0"/>
    <x v="976"/>
    <x v="0"/>
    <x v="0"/>
    <x v="0"/>
    <x v="0"/>
    <x v="0"/>
    <x v="2"/>
    <x v="1001"/>
    <x v="989"/>
    <x v="976"/>
    <x v="1"/>
    <x v="10"/>
    <x v="0"/>
    <x v="17"/>
    <x v="17"/>
    <x v="0"/>
    <x v="0"/>
    <x v="0"/>
    <x v="25"/>
    <x v="0"/>
    <x v="0"/>
    <x v="1"/>
    <x v="1"/>
  </r>
  <r>
    <x v="992"/>
    <x v="1"/>
    <x v="25"/>
    <x v="975"/>
    <x v="206"/>
    <x v="612"/>
    <x v="1"/>
    <x v="0"/>
    <x v="975"/>
    <x v="0"/>
    <x v="0"/>
    <x v="0"/>
    <x v="0"/>
    <x v="0"/>
    <x v="2"/>
    <x v="612"/>
    <x v="600"/>
    <x v="975"/>
    <x v="1"/>
    <x v="10"/>
    <x v="0"/>
    <x v="17"/>
    <x v="17"/>
    <x v="0"/>
    <x v="0"/>
    <x v="0"/>
    <x v="25"/>
    <x v="0"/>
    <x v="0"/>
    <x v="1"/>
    <x v="1"/>
  </r>
  <r>
    <x v="991"/>
    <x v="1"/>
    <x v="25"/>
    <x v="974"/>
    <x v="198"/>
    <x v="607"/>
    <x v="1"/>
    <x v="0"/>
    <x v="974"/>
    <x v="0"/>
    <x v="0"/>
    <x v="0"/>
    <x v="0"/>
    <x v="0"/>
    <x v="2"/>
    <x v="607"/>
    <x v="595"/>
    <x v="974"/>
    <x v="1"/>
    <x v="10"/>
    <x v="0"/>
    <x v="17"/>
    <x v="17"/>
    <x v="0"/>
    <x v="0"/>
    <x v="0"/>
    <x v="25"/>
    <x v="0"/>
    <x v="0"/>
    <x v="1"/>
    <x v="1"/>
  </r>
  <r>
    <x v="990"/>
    <x v="1"/>
    <x v="25"/>
    <x v="973"/>
    <x v="196"/>
    <x v="604"/>
    <x v="1"/>
    <x v="0"/>
    <x v="973"/>
    <x v="0"/>
    <x v="0"/>
    <x v="0"/>
    <x v="0"/>
    <x v="0"/>
    <x v="2"/>
    <x v="604"/>
    <x v="592"/>
    <x v="973"/>
    <x v="1"/>
    <x v="10"/>
    <x v="0"/>
    <x v="17"/>
    <x v="17"/>
    <x v="0"/>
    <x v="0"/>
    <x v="0"/>
    <x v="25"/>
    <x v="0"/>
    <x v="0"/>
    <x v="1"/>
    <x v="1"/>
  </r>
  <r>
    <x v="989"/>
    <x v="1"/>
    <x v="25"/>
    <x v="972"/>
    <x v="186"/>
    <x v="598"/>
    <x v="1"/>
    <x v="0"/>
    <x v="972"/>
    <x v="0"/>
    <x v="0"/>
    <x v="0"/>
    <x v="0"/>
    <x v="0"/>
    <x v="2"/>
    <x v="598"/>
    <x v="586"/>
    <x v="972"/>
    <x v="1"/>
    <x v="10"/>
    <x v="0"/>
    <x v="17"/>
    <x v="17"/>
    <x v="0"/>
    <x v="0"/>
    <x v="0"/>
    <x v="25"/>
    <x v="0"/>
    <x v="0"/>
    <x v="1"/>
    <x v="1"/>
  </r>
  <r>
    <x v="988"/>
    <x v="1"/>
    <x v="25"/>
    <x v="971"/>
    <x v="184"/>
    <x v="596"/>
    <x v="1"/>
    <x v="0"/>
    <x v="971"/>
    <x v="0"/>
    <x v="0"/>
    <x v="0"/>
    <x v="0"/>
    <x v="0"/>
    <x v="2"/>
    <x v="596"/>
    <x v="584"/>
    <x v="971"/>
    <x v="1"/>
    <x v="10"/>
    <x v="0"/>
    <x v="17"/>
    <x v="17"/>
    <x v="0"/>
    <x v="0"/>
    <x v="0"/>
    <x v="25"/>
    <x v="0"/>
    <x v="0"/>
    <x v="1"/>
    <x v="1"/>
  </r>
  <r>
    <x v="987"/>
    <x v="1"/>
    <x v="25"/>
    <x v="970"/>
    <x v="180"/>
    <x v="593"/>
    <x v="1"/>
    <x v="0"/>
    <x v="970"/>
    <x v="0"/>
    <x v="0"/>
    <x v="0"/>
    <x v="0"/>
    <x v="0"/>
    <x v="2"/>
    <x v="593"/>
    <x v="581"/>
    <x v="970"/>
    <x v="1"/>
    <x v="10"/>
    <x v="0"/>
    <x v="17"/>
    <x v="17"/>
    <x v="0"/>
    <x v="0"/>
    <x v="0"/>
    <x v="25"/>
    <x v="0"/>
    <x v="0"/>
    <x v="1"/>
    <x v="1"/>
  </r>
  <r>
    <x v="986"/>
    <x v="1"/>
    <x v="25"/>
    <x v="969"/>
    <x v="176"/>
    <x v="590"/>
    <x v="1"/>
    <x v="0"/>
    <x v="969"/>
    <x v="0"/>
    <x v="0"/>
    <x v="0"/>
    <x v="0"/>
    <x v="0"/>
    <x v="2"/>
    <x v="590"/>
    <x v="578"/>
    <x v="969"/>
    <x v="1"/>
    <x v="10"/>
    <x v="0"/>
    <x v="17"/>
    <x v="17"/>
    <x v="0"/>
    <x v="0"/>
    <x v="0"/>
    <x v="25"/>
    <x v="0"/>
    <x v="0"/>
    <x v="1"/>
    <x v="1"/>
  </r>
  <r>
    <x v="985"/>
    <x v="1"/>
    <x v="25"/>
    <x v="968"/>
    <x v="174"/>
    <x v="588"/>
    <x v="1"/>
    <x v="0"/>
    <x v="968"/>
    <x v="0"/>
    <x v="0"/>
    <x v="0"/>
    <x v="0"/>
    <x v="0"/>
    <x v="2"/>
    <x v="588"/>
    <x v="576"/>
    <x v="968"/>
    <x v="1"/>
    <x v="10"/>
    <x v="0"/>
    <x v="17"/>
    <x v="17"/>
    <x v="0"/>
    <x v="0"/>
    <x v="0"/>
    <x v="25"/>
    <x v="0"/>
    <x v="0"/>
    <x v="1"/>
    <x v="1"/>
  </r>
  <r>
    <x v="984"/>
    <x v="1"/>
    <x v="25"/>
    <x v="967"/>
    <x v="194"/>
    <x v="602"/>
    <x v="1"/>
    <x v="0"/>
    <x v="967"/>
    <x v="0"/>
    <x v="0"/>
    <x v="0"/>
    <x v="0"/>
    <x v="0"/>
    <x v="2"/>
    <x v="602"/>
    <x v="590"/>
    <x v="967"/>
    <x v="1"/>
    <x v="10"/>
    <x v="0"/>
    <x v="17"/>
    <x v="17"/>
    <x v="0"/>
    <x v="0"/>
    <x v="0"/>
    <x v="25"/>
    <x v="0"/>
    <x v="0"/>
    <x v="1"/>
    <x v="1"/>
  </r>
  <r>
    <x v="983"/>
    <x v="1"/>
    <x v="25"/>
    <x v="966"/>
    <x v="205"/>
    <x v="611"/>
    <x v="1"/>
    <x v="0"/>
    <x v="966"/>
    <x v="0"/>
    <x v="0"/>
    <x v="0"/>
    <x v="0"/>
    <x v="0"/>
    <x v="2"/>
    <x v="611"/>
    <x v="599"/>
    <x v="966"/>
    <x v="1"/>
    <x v="10"/>
    <x v="0"/>
    <x v="17"/>
    <x v="17"/>
    <x v="0"/>
    <x v="0"/>
    <x v="0"/>
    <x v="25"/>
    <x v="0"/>
    <x v="0"/>
    <x v="1"/>
    <x v="1"/>
  </r>
  <r>
    <x v="982"/>
    <x v="1"/>
    <x v="25"/>
    <x v="965"/>
    <x v="208"/>
    <x v="614"/>
    <x v="1"/>
    <x v="0"/>
    <x v="965"/>
    <x v="0"/>
    <x v="0"/>
    <x v="0"/>
    <x v="0"/>
    <x v="0"/>
    <x v="2"/>
    <x v="614"/>
    <x v="602"/>
    <x v="965"/>
    <x v="1"/>
    <x v="10"/>
    <x v="0"/>
    <x v="17"/>
    <x v="17"/>
    <x v="0"/>
    <x v="0"/>
    <x v="0"/>
    <x v="25"/>
    <x v="0"/>
    <x v="0"/>
    <x v="1"/>
    <x v="1"/>
  </r>
  <r>
    <x v="981"/>
    <x v="1"/>
    <x v="25"/>
    <x v="964"/>
    <x v="195"/>
    <x v="603"/>
    <x v="1"/>
    <x v="0"/>
    <x v="964"/>
    <x v="0"/>
    <x v="0"/>
    <x v="0"/>
    <x v="0"/>
    <x v="0"/>
    <x v="2"/>
    <x v="603"/>
    <x v="591"/>
    <x v="964"/>
    <x v="1"/>
    <x v="10"/>
    <x v="0"/>
    <x v="17"/>
    <x v="17"/>
    <x v="0"/>
    <x v="0"/>
    <x v="0"/>
    <x v="25"/>
    <x v="0"/>
    <x v="0"/>
    <x v="1"/>
    <x v="1"/>
  </r>
  <r>
    <x v="980"/>
    <x v="1"/>
    <x v="25"/>
    <x v="963"/>
    <x v="188"/>
    <x v="600"/>
    <x v="1"/>
    <x v="0"/>
    <x v="963"/>
    <x v="0"/>
    <x v="0"/>
    <x v="0"/>
    <x v="0"/>
    <x v="0"/>
    <x v="2"/>
    <x v="600"/>
    <x v="588"/>
    <x v="963"/>
    <x v="1"/>
    <x v="10"/>
    <x v="0"/>
    <x v="17"/>
    <x v="17"/>
    <x v="0"/>
    <x v="0"/>
    <x v="0"/>
    <x v="25"/>
    <x v="0"/>
    <x v="0"/>
    <x v="1"/>
    <x v="1"/>
  </r>
  <r>
    <x v="979"/>
    <x v="1"/>
    <x v="25"/>
    <x v="962"/>
    <x v="187"/>
    <x v="599"/>
    <x v="1"/>
    <x v="0"/>
    <x v="962"/>
    <x v="0"/>
    <x v="0"/>
    <x v="0"/>
    <x v="0"/>
    <x v="0"/>
    <x v="2"/>
    <x v="599"/>
    <x v="587"/>
    <x v="962"/>
    <x v="1"/>
    <x v="10"/>
    <x v="0"/>
    <x v="17"/>
    <x v="17"/>
    <x v="0"/>
    <x v="0"/>
    <x v="0"/>
    <x v="25"/>
    <x v="0"/>
    <x v="0"/>
    <x v="1"/>
    <x v="1"/>
  </r>
  <r>
    <x v="978"/>
    <x v="1"/>
    <x v="25"/>
    <x v="961"/>
    <x v="207"/>
    <x v="613"/>
    <x v="1"/>
    <x v="0"/>
    <x v="961"/>
    <x v="0"/>
    <x v="0"/>
    <x v="0"/>
    <x v="0"/>
    <x v="0"/>
    <x v="2"/>
    <x v="613"/>
    <x v="601"/>
    <x v="961"/>
    <x v="1"/>
    <x v="10"/>
    <x v="0"/>
    <x v="17"/>
    <x v="17"/>
    <x v="0"/>
    <x v="0"/>
    <x v="0"/>
    <x v="25"/>
    <x v="0"/>
    <x v="0"/>
    <x v="1"/>
    <x v="1"/>
  </r>
  <r>
    <x v="977"/>
    <x v="1"/>
    <x v="25"/>
    <x v="960"/>
    <x v="177"/>
    <x v="591"/>
    <x v="1"/>
    <x v="0"/>
    <x v="960"/>
    <x v="0"/>
    <x v="0"/>
    <x v="0"/>
    <x v="0"/>
    <x v="0"/>
    <x v="2"/>
    <x v="591"/>
    <x v="579"/>
    <x v="960"/>
    <x v="1"/>
    <x v="10"/>
    <x v="0"/>
    <x v="17"/>
    <x v="17"/>
    <x v="0"/>
    <x v="0"/>
    <x v="0"/>
    <x v="25"/>
    <x v="0"/>
    <x v="0"/>
    <x v="1"/>
    <x v="1"/>
  </r>
  <r>
    <x v="976"/>
    <x v="1"/>
    <x v="25"/>
    <x v="959"/>
    <x v="201"/>
    <x v="609"/>
    <x v="1"/>
    <x v="0"/>
    <x v="959"/>
    <x v="0"/>
    <x v="0"/>
    <x v="0"/>
    <x v="0"/>
    <x v="0"/>
    <x v="2"/>
    <x v="609"/>
    <x v="597"/>
    <x v="959"/>
    <x v="1"/>
    <x v="10"/>
    <x v="0"/>
    <x v="17"/>
    <x v="17"/>
    <x v="0"/>
    <x v="0"/>
    <x v="0"/>
    <x v="25"/>
    <x v="0"/>
    <x v="0"/>
    <x v="1"/>
    <x v="1"/>
  </r>
  <r>
    <x v="975"/>
    <x v="1"/>
    <x v="25"/>
    <x v="958"/>
    <x v="175"/>
    <x v="589"/>
    <x v="1"/>
    <x v="0"/>
    <x v="958"/>
    <x v="0"/>
    <x v="0"/>
    <x v="0"/>
    <x v="0"/>
    <x v="0"/>
    <x v="2"/>
    <x v="589"/>
    <x v="577"/>
    <x v="958"/>
    <x v="1"/>
    <x v="10"/>
    <x v="0"/>
    <x v="17"/>
    <x v="17"/>
    <x v="0"/>
    <x v="0"/>
    <x v="0"/>
    <x v="25"/>
    <x v="0"/>
    <x v="0"/>
    <x v="1"/>
    <x v="1"/>
  </r>
  <r>
    <x v="974"/>
    <x v="1"/>
    <x v="25"/>
    <x v="957"/>
    <x v="192"/>
    <x v="601"/>
    <x v="1"/>
    <x v="0"/>
    <x v="957"/>
    <x v="0"/>
    <x v="0"/>
    <x v="0"/>
    <x v="0"/>
    <x v="0"/>
    <x v="2"/>
    <x v="601"/>
    <x v="589"/>
    <x v="957"/>
    <x v="1"/>
    <x v="10"/>
    <x v="0"/>
    <x v="17"/>
    <x v="17"/>
    <x v="0"/>
    <x v="0"/>
    <x v="0"/>
    <x v="25"/>
    <x v="0"/>
    <x v="0"/>
    <x v="1"/>
    <x v="1"/>
  </r>
  <r>
    <x v="973"/>
    <x v="1"/>
    <x v="25"/>
    <x v="956"/>
    <x v="200"/>
    <x v="608"/>
    <x v="1"/>
    <x v="0"/>
    <x v="956"/>
    <x v="0"/>
    <x v="0"/>
    <x v="0"/>
    <x v="0"/>
    <x v="0"/>
    <x v="2"/>
    <x v="608"/>
    <x v="596"/>
    <x v="956"/>
    <x v="1"/>
    <x v="10"/>
    <x v="0"/>
    <x v="17"/>
    <x v="17"/>
    <x v="0"/>
    <x v="0"/>
    <x v="0"/>
    <x v="25"/>
    <x v="0"/>
    <x v="0"/>
    <x v="1"/>
    <x v="1"/>
  </r>
  <r>
    <x v="972"/>
    <x v="1"/>
    <x v="25"/>
    <x v="955"/>
    <x v="199"/>
    <x v="606"/>
    <x v="1"/>
    <x v="0"/>
    <x v="955"/>
    <x v="0"/>
    <x v="0"/>
    <x v="0"/>
    <x v="0"/>
    <x v="0"/>
    <x v="2"/>
    <x v="606"/>
    <x v="594"/>
    <x v="955"/>
    <x v="1"/>
    <x v="10"/>
    <x v="0"/>
    <x v="17"/>
    <x v="17"/>
    <x v="0"/>
    <x v="0"/>
    <x v="0"/>
    <x v="25"/>
    <x v="0"/>
    <x v="0"/>
    <x v="1"/>
    <x v="1"/>
  </r>
  <r>
    <x v="971"/>
    <x v="1"/>
    <x v="25"/>
    <x v="954"/>
    <x v="197"/>
    <x v="605"/>
    <x v="1"/>
    <x v="0"/>
    <x v="954"/>
    <x v="0"/>
    <x v="0"/>
    <x v="0"/>
    <x v="0"/>
    <x v="0"/>
    <x v="2"/>
    <x v="605"/>
    <x v="593"/>
    <x v="954"/>
    <x v="1"/>
    <x v="10"/>
    <x v="0"/>
    <x v="17"/>
    <x v="17"/>
    <x v="0"/>
    <x v="0"/>
    <x v="0"/>
    <x v="25"/>
    <x v="0"/>
    <x v="0"/>
    <x v="1"/>
    <x v="1"/>
  </r>
  <r>
    <x v="970"/>
    <x v="1"/>
    <x v="25"/>
    <x v="953"/>
    <x v="202"/>
    <x v="610"/>
    <x v="1"/>
    <x v="0"/>
    <x v="953"/>
    <x v="0"/>
    <x v="0"/>
    <x v="0"/>
    <x v="0"/>
    <x v="0"/>
    <x v="2"/>
    <x v="610"/>
    <x v="598"/>
    <x v="953"/>
    <x v="1"/>
    <x v="10"/>
    <x v="0"/>
    <x v="17"/>
    <x v="17"/>
    <x v="0"/>
    <x v="0"/>
    <x v="0"/>
    <x v="25"/>
    <x v="0"/>
    <x v="0"/>
    <x v="1"/>
    <x v="1"/>
  </r>
  <r>
    <x v="969"/>
    <x v="1"/>
    <x v="25"/>
    <x v="952"/>
    <x v="185"/>
    <x v="597"/>
    <x v="1"/>
    <x v="0"/>
    <x v="952"/>
    <x v="0"/>
    <x v="0"/>
    <x v="0"/>
    <x v="0"/>
    <x v="0"/>
    <x v="2"/>
    <x v="597"/>
    <x v="585"/>
    <x v="952"/>
    <x v="1"/>
    <x v="10"/>
    <x v="0"/>
    <x v="17"/>
    <x v="17"/>
    <x v="0"/>
    <x v="0"/>
    <x v="0"/>
    <x v="25"/>
    <x v="0"/>
    <x v="0"/>
    <x v="1"/>
    <x v="1"/>
  </r>
  <r>
    <x v="968"/>
    <x v="1"/>
    <x v="25"/>
    <x v="951"/>
    <x v="183"/>
    <x v="595"/>
    <x v="1"/>
    <x v="0"/>
    <x v="951"/>
    <x v="0"/>
    <x v="0"/>
    <x v="0"/>
    <x v="0"/>
    <x v="0"/>
    <x v="2"/>
    <x v="595"/>
    <x v="583"/>
    <x v="951"/>
    <x v="1"/>
    <x v="10"/>
    <x v="0"/>
    <x v="17"/>
    <x v="17"/>
    <x v="0"/>
    <x v="0"/>
    <x v="0"/>
    <x v="25"/>
    <x v="0"/>
    <x v="0"/>
    <x v="1"/>
    <x v="1"/>
  </r>
  <r>
    <x v="967"/>
    <x v="1"/>
    <x v="25"/>
    <x v="950"/>
    <x v="179"/>
    <x v="592"/>
    <x v="1"/>
    <x v="0"/>
    <x v="950"/>
    <x v="0"/>
    <x v="0"/>
    <x v="0"/>
    <x v="0"/>
    <x v="0"/>
    <x v="2"/>
    <x v="592"/>
    <x v="580"/>
    <x v="950"/>
    <x v="1"/>
    <x v="10"/>
    <x v="0"/>
    <x v="17"/>
    <x v="17"/>
    <x v="0"/>
    <x v="0"/>
    <x v="0"/>
    <x v="25"/>
    <x v="0"/>
    <x v="0"/>
    <x v="1"/>
    <x v="1"/>
  </r>
  <r>
    <x v="966"/>
    <x v="1"/>
    <x v="25"/>
    <x v="949"/>
    <x v="989"/>
    <x v="674"/>
    <x v="1"/>
    <x v="0"/>
    <x v="949"/>
    <x v="0"/>
    <x v="0"/>
    <x v="0"/>
    <x v="0"/>
    <x v="0"/>
    <x v="2"/>
    <x v="674"/>
    <x v="662"/>
    <x v="949"/>
    <x v="1"/>
    <x v="10"/>
    <x v="0"/>
    <x v="17"/>
    <x v="17"/>
    <x v="0"/>
    <x v="0"/>
    <x v="0"/>
    <x v="25"/>
    <x v="0"/>
    <x v="0"/>
    <x v="1"/>
    <x v="1"/>
  </r>
  <r>
    <x v="965"/>
    <x v="1"/>
    <x v="25"/>
    <x v="948"/>
    <x v="296"/>
    <x v="675"/>
    <x v="1"/>
    <x v="0"/>
    <x v="948"/>
    <x v="0"/>
    <x v="0"/>
    <x v="0"/>
    <x v="0"/>
    <x v="0"/>
    <x v="2"/>
    <x v="675"/>
    <x v="663"/>
    <x v="948"/>
    <x v="1"/>
    <x v="10"/>
    <x v="0"/>
    <x v="17"/>
    <x v="17"/>
    <x v="0"/>
    <x v="0"/>
    <x v="0"/>
    <x v="25"/>
    <x v="0"/>
    <x v="0"/>
    <x v="1"/>
    <x v="1"/>
  </r>
  <r>
    <x v="964"/>
    <x v="1"/>
    <x v="25"/>
    <x v="947"/>
    <x v="297"/>
    <x v="676"/>
    <x v="1"/>
    <x v="0"/>
    <x v="947"/>
    <x v="0"/>
    <x v="0"/>
    <x v="0"/>
    <x v="0"/>
    <x v="0"/>
    <x v="2"/>
    <x v="676"/>
    <x v="664"/>
    <x v="947"/>
    <x v="1"/>
    <x v="10"/>
    <x v="0"/>
    <x v="17"/>
    <x v="17"/>
    <x v="0"/>
    <x v="0"/>
    <x v="0"/>
    <x v="25"/>
    <x v="0"/>
    <x v="0"/>
    <x v="1"/>
    <x v="1"/>
  </r>
  <r>
    <x v="963"/>
    <x v="1"/>
    <x v="25"/>
    <x v="946"/>
    <x v="298"/>
    <x v="677"/>
    <x v="1"/>
    <x v="0"/>
    <x v="946"/>
    <x v="0"/>
    <x v="0"/>
    <x v="0"/>
    <x v="0"/>
    <x v="0"/>
    <x v="2"/>
    <x v="677"/>
    <x v="665"/>
    <x v="946"/>
    <x v="1"/>
    <x v="10"/>
    <x v="0"/>
    <x v="17"/>
    <x v="17"/>
    <x v="0"/>
    <x v="0"/>
    <x v="0"/>
    <x v="25"/>
    <x v="0"/>
    <x v="0"/>
    <x v="1"/>
    <x v="1"/>
  </r>
  <r>
    <x v="962"/>
    <x v="1"/>
    <x v="25"/>
    <x v="945"/>
    <x v="283"/>
    <x v="665"/>
    <x v="1"/>
    <x v="0"/>
    <x v="945"/>
    <x v="0"/>
    <x v="0"/>
    <x v="0"/>
    <x v="0"/>
    <x v="0"/>
    <x v="2"/>
    <x v="665"/>
    <x v="653"/>
    <x v="945"/>
    <x v="1"/>
    <x v="10"/>
    <x v="0"/>
    <x v="17"/>
    <x v="17"/>
    <x v="0"/>
    <x v="0"/>
    <x v="0"/>
    <x v="25"/>
    <x v="0"/>
    <x v="0"/>
    <x v="1"/>
    <x v="1"/>
  </r>
  <r>
    <x v="961"/>
    <x v="1"/>
    <x v="25"/>
    <x v="944"/>
    <x v="274"/>
    <x v="659"/>
    <x v="1"/>
    <x v="0"/>
    <x v="944"/>
    <x v="0"/>
    <x v="0"/>
    <x v="0"/>
    <x v="0"/>
    <x v="0"/>
    <x v="2"/>
    <x v="659"/>
    <x v="647"/>
    <x v="944"/>
    <x v="1"/>
    <x v="10"/>
    <x v="0"/>
    <x v="17"/>
    <x v="17"/>
    <x v="0"/>
    <x v="0"/>
    <x v="0"/>
    <x v="25"/>
    <x v="0"/>
    <x v="0"/>
    <x v="1"/>
    <x v="1"/>
  </r>
  <r>
    <x v="960"/>
    <x v="1"/>
    <x v="25"/>
    <x v="943"/>
    <x v="262"/>
    <x v="650"/>
    <x v="1"/>
    <x v="0"/>
    <x v="943"/>
    <x v="0"/>
    <x v="0"/>
    <x v="0"/>
    <x v="0"/>
    <x v="0"/>
    <x v="2"/>
    <x v="650"/>
    <x v="638"/>
    <x v="943"/>
    <x v="1"/>
    <x v="10"/>
    <x v="0"/>
    <x v="17"/>
    <x v="17"/>
    <x v="0"/>
    <x v="0"/>
    <x v="0"/>
    <x v="25"/>
    <x v="0"/>
    <x v="0"/>
    <x v="1"/>
    <x v="1"/>
  </r>
  <r>
    <x v="959"/>
    <x v="1"/>
    <x v="25"/>
    <x v="942"/>
    <x v="260"/>
    <x v="649"/>
    <x v="1"/>
    <x v="0"/>
    <x v="942"/>
    <x v="0"/>
    <x v="0"/>
    <x v="0"/>
    <x v="0"/>
    <x v="0"/>
    <x v="2"/>
    <x v="649"/>
    <x v="637"/>
    <x v="942"/>
    <x v="1"/>
    <x v="10"/>
    <x v="0"/>
    <x v="17"/>
    <x v="17"/>
    <x v="0"/>
    <x v="0"/>
    <x v="0"/>
    <x v="25"/>
    <x v="0"/>
    <x v="0"/>
    <x v="1"/>
    <x v="1"/>
  </r>
  <r>
    <x v="958"/>
    <x v="1"/>
    <x v="25"/>
    <x v="941"/>
    <x v="290"/>
    <x v="671"/>
    <x v="1"/>
    <x v="0"/>
    <x v="941"/>
    <x v="0"/>
    <x v="0"/>
    <x v="0"/>
    <x v="0"/>
    <x v="0"/>
    <x v="2"/>
    <x v="671"/>
    <x v="659"/>
    <x v="941"/>
    <x v="1"/>
    <x v="10"/>
    <x v="0"/>
    <x v="17"/>
    <x v="17"/>
    <x v="0"/>
    <x v="0"/>
    <x v="0"/>
    <x v="25"/>
    <x v="0"/>
    <x v="0"/>
    <x v="1"/>
    <x v="1"/>
  </r>
  <r>
    <x v="957"/>
    <x v="1"/>
    <x v="25"/>
    <x v="940"/>
    <x v="289"/>
    <x v="670"/>
    <x v="1"/>
    <x v="0"/>
    <x v="940"/>
    <x v="0"/>
    <x v="0"/>
    <x v="0"/>
    <x v="0"/>
    <x v="0"/>
    <x v="2"/>
    <x v="670"/>
    <x v="658"/>
    <x v="940"/>
    <x v="1"/>
    <x v="10"/>
    <x v="0"/>
    <x v="17"/>
    <x v="17"/>
    <x v="0"/>
    <x v="0"/>
    <x v="0"/>
    <x v="25"/>
    <x v="0"/>
    <x v="0"/>
    <x v="1"/>
    <x v="1"/>
  </r>
  <r>
    <x v="956"/>
    <x v="1"/>
    <x v="25"/>
    <x v="939"/>
    <x v="259"/>
    <x v="648"/>
    <x v="1"/>
    <x v="0"/>
    <x v="939"/>
    <x v="0"/>
    <x v="0"/>
    <x v="0"/>
    <x v="0"/>
    <x v="0"/>
    <x v="2"/>
    <x v="648"/>
    <x v="636"/>
    <x v="939"/>
    <x v="1"/>
    <x v="10"/>
    <x v="0"/>
    <x v="17"/>
    <x v="17"/>
    <x v="0"/>
    <x v="0"/>
    <x v="0"/>
    <x v="25"/>
    <x v="0"/>
    <x v="0"/>
    <x v="1"/>
    <x v="1"/>
  </r>
  <r>
    <x v="955"/>
    <x v="1"/>
    <x v="25"/>
    <x v="938"/>
    <x v="294"/>
    <x v="673"/>
    <x v="1"/>
    <x v="0"/>
    <x v="938"/>
    <x v="0"/>
    <x v="0"/>
    <x v="0"/>
    <x v="0"/>
    <x v="0"/>
    <x v="2"/>
    <x v="673"/>
    <x v="661"/>
    <x v="938"/>
    <x v="1"/>
    <x v="10"/>
    <x v="0"/>
    <x v="17"/>
    <x v="17"/>
    <x v="0"/>
    <x v="0"/>
    <x v="0"/>
    <x v="25"/>
    <x v="0"/>
    <x v="0"/>
    <x v="1"/>
    <x v="1"/>
  </r>
  <r>
    <x v="954"/>
    <x v="1"/>
    <x v="25"/>
    <x v="937"/>
    <x v="291"/>
    <x v="672"/>
    <x v="1"/>
    <x v="0"/>
    <x v="937"/>
    <x v="0"/>
    <x v="0"/>
    <x v="0"/>
    <x v="0"/>
    <x v="0"/>
    <x v="2"/>
    <x v="672"/>
    <x v="660"/>
    <x v="937"/>
    <x v="1"/>
    <x v="10"/>
    <x v="0"/>
    <x v="17"/>
    <x v="17"/>
    <x v="0"/>
    <x v="0"/>
    <x v="0"/>
    <x v="25"/>
    <x v="0"/>
    <x v="0"/>
    <x v="1"/>
    <x v="1"/>
  </r>
  <r>
    <x v="953"/>
    <x v="1"/>
    <x v="25"/>
    <x v="936"/>
    <x v="273"/>
    <x v="658"/>
    <x v="1"/>
    <x v="0"/>
    <x v="936"/>
    <x v="0"/>
    <x v="0"/>
    <x v="0"/>
    <x v="0"/>
    <x v="0"/>
    <x v="2"/>
    <x v="658"/>
    <x v="646"/>
    <x v="936"/>
    <x v="1"/>
    <x v="10"/>
    <x v="0"/>
    <x v="17"/>
    <x v="17"/>
    <x v="0"/>
    <x v="0"/>
    <x v="0"/>
    <x v="25"/>
    <x v="0"/>
    <x v="0"/>
    <x v="1"/>
    <x v="1"/>
  </r>
  <r>
    <x v="952"/>
    <x v="1"/>
    <x v="25"/>
    <x v="935"/>
    <x v="272"/>
    <x v="657"/>
    <x v="1"/>
    <x v="0"/>
    <x v="935"/>
    <x v="0"/>
    <x v="0"/>
    <x v="0"/>
    <x v="0"/>
    <x v="0"/>
    <x v="2"/>
    <x v="657"/>
    <x v="645"/>
    <x v="935"/>
    <x v="1"/>
    <x v="10"/>
    <x v="0"/>
    <x v="17"/>
    <x v="17"/>
    <x v="0"/>
    <x v="0"/>
    <x v="0"/>
    <x v="25"/>
    <x v="0"/>
    <x v="0"/>
    <x v="1"/>
    <x v="1"/>
  </r>
  <r>
    <x v="951"/>
    <x v="1"/>
    <x v="25"/>
    <x v="934"/>
    <x v="271"/>
    <x v="656"/>
    <x v="1"/>
    <x v="0"/>
    <x v="934"/>
    <x v="0"/>
    <x v="0"/>
    <x v="0"/>
    <x v="0"/>
    <x v="0"/>
    <x v="2"/>
    <x v="656"/>
    <x v="644"/>
    <x v="934"/>
    <x v="1"/>
    <x v="10"/>
    <x v="0"/>
    <x v="17"/>
    <x v="17"/>
    <x v="0"/>
    <x v="0"/>
    <x v="0"/>
    <x v="25"/>
    <x v="0"/>
    <x v="0"/>
    <x v="1"/>
    <x v="1"/>
  </r>
  <r>
    <x v="950"/>
    <x v="1"/>
    <x v="25"/>
    <x v="933"/>
    <x v="270"/>
    <x v="655"/>
    <x v="1"/>
    <x v="0"/>
    <x v="933"/>
    <x v="0"/>
    <x v="0"/>
    <x v="0"/>
    <x v="0"/>
    <x v="0"/>
    <x v="2"/>
    <x v="655"/>
    <x v="643"/>
    <x v="933"/>
    <x v="1"/>
    <x v="10"/>
    <x v="0"/>
    <x v="17"/>
    <x v="17"/>
    <x v="0"/>
    <x v="0"/>
    <x v="0"/>
    <x v="25"/>
    <x v="0"/>
    <x v="0"/>
    <x v="1"/>
    <x v="1"/>
  </r>
  <r>
    <x v="949"/>
    <x v="1"/>
    <x v="25"/>
    <x v="932"/>
    <x v="269"/>
    <x v="654"/>
    <x v="1"/>
    <x v="0"/>
    <x v="932"/>
    <x v="0"/>
    <x v="0"/>
    <x v="0"/>
    <x v="0"/>
    <x v="0"/>
    <x v="2"/>
    <x v="654"/>
    <x v="642"/>
    <x v="932"/>
    <x v="1"/>
    <x v="10"/>
    <x v="0"/>
    <x v="17"/>
    <x v="17"/>
    <x v="0"/>
    <x v="0"/>
    <x v="0"/>
    <x v="25"/>
    <x v="0"/>
    <x v="0"/>
    <x v="1"/>
    <x v="1"/>
  </r>
  <r>
    <x v="948"/>
    <x v="1"/>
    <x v="25"/>
    <x v="931"/>
    <x v="284"/>
    <x v="666"/>
    <x v="1"/>
    <x v="0"/>
    <x v="931"/>
    <x v="0"/>
    <x v="0"/>
    <x v="0"/>
    <x v="0"/>
    <x v="0"/>
    <x v="2"/>
    <x v="666"/>
    <x v="654"/>
    <x v="931"/>
    <x v="1"/>
    <x v="10"/>
    <x v="0"/>
    <x v="17"/>
    <x v="17"/>
    <x v="0"/>
    <x v="0"/>
    <x v="0"/>
    <x v="25"/>
    <x v="0"/>
    <x v="0"/>
    <x v="1"/>
    <x v="1"/>
  </r>
  <r>
    <x v="947"/>
    <x v="1"/>
    <x v="25"/>
    <x v="930"/>
    <x v="288"/>
    <x v="669"/>
    <x v="1"/>
    <x v="0"/>
    <x v="930"/>
    <x v="0"/>
    <x v="0"/>
    <x v="0"/>
    <x v="0"/>
    <x v="0"/>
    <x v="2"/>
    <x v="669"/>
    <x v="657"/>
    <x v="930"/>
    <x v="1"/>
    <x v="10"/>
    <x v="0"/>
    <x v="17"/>
    <x v="17"/>
    <x v="0"/>
    <x v="0"/>
    <x v="0"/>
    <x v="25"/>
    <x v="0"/>
    <x v="0"/>
    <x v="1"/>
    <x v="1"/>
  </r>
  <r>
    <x v="946"/>
    <x v="1"/>
    <x v="25"/>
    <x v="929"/>
    <x v="287"/>
    <x v="668"/>
    <x v="1"/>
    <x v="0"/>
    <x v="929"/>
    <x v="0"/>
    <x v="0"/>
    <x v="0"/>
    <x v="0"/>
    <x v="0"/>
    <x v="2"/>
    <x v="668"/>
    <x v="656"/>
    <x v="929"/>
    <x v="1"/>
    <x v="10"/>
    <x v="0"/>
    <x v="17"/>
    <x v="17"/>
    <x v="0"/>
    <x v="0"/>
    <x v="0"/>
    <x v="25"/>
    <x v="0"/>
    <x v="0"/>
    <x v="1"/>
    <x v="1"/>
  </r>
  <r>
    <x v="945"/>
    <x v="1"/>
    <x v="25"/>
    <x v="928"/>
    <x v="280"/>
    <x v="663"/>
    <x v="1"/>
    <x v="0"/>
    <x v="928"/>
    <x v="0"/>
    <x v="0"/>
    <x v="0"/>
    <x v="0"/>
    <x v="0"/>
    <x v="2"/>
    <x v="663"/>
    <x v="651"/>
    <x v="928"/>
    <x v="1"/>
    <x v="10"/>
    <x v="0"/>
    <x v="17"/>
    <x v="17"/>
    <x v="0"/>
    <x v="0"/>
    <x v="0"/>
    <x v="25"/>
    <x v="0"/>
    <x v="0"/>
    <x v="1"/>
    <x v="1"/>
  </r>
  <r>
    <x v="944"/>
    <x v="1"/>
    <x v="25"/>
    <x v="927"/>
    <x v="281"/>
    <x v="664"/>
    <x v="1"/>
    <x v="0"/>
    <x v="927"/>
    <x v="0"/>
    <x v="0"/>
    <x v="0"/>
    <x v="0"/>
    <x v="0"/>
    <x v="2"/>
    <x v="664"/>
    <x v="652"/>
    <x v="927"/>
    <x v="1"/>
    <x v="10"/>
    <x v="0"/>
    <x v="17"/>
    <x v="17"/>
    <x v="0"/>
    <x v="0"/>
    <x v="0"/>
    <x v="25"/>
    <x v="0"/>
    <x v="0"/>
    <x v="1"/>
    <x v="1"/>
  </r>
  <r>
    <x v="943"/>
    <x v="1"/>
    <x v="25"/>
    <x v="926"/>
    <x v="279"/>
    <x v="662"/>
    <x v="1"/>
    <x v="0"/>
    <x v="926"/>
    <x v="0"/>
    <x v="0"/>
    <x v="0"/>
    <x v="0"/>
    <x v="0"/>
    <x v="2"/>
    <x v="662"/>
    <x v="650"/>
    <x v="926"/>
    <x v="1"/>
    <x v="10"/>
    <x v="0"/>
    <x v="17"/>
    <x v="17"/>
    <x v="0"/>
    <x v="0"/>
    <x v="0"/>
    <x v="25"/>
    <x v="0"/>
    <x v="0"/>
    <x v="1"/>
    <x v="1"/>
  </r>
  <r>
    <x v="942"/>
    <x v="1"/>
    <x v="25"/>
    <x v="925"/>
    <x v="255"/>
    <x v="644"/>
    <x v="1"/>
    <x v="0"/>
    <x v="925"/>
    <x v="0"/>
    <x v="0"/>
    <x v="0"/>
    <x v="0"/>
    <x v="0"/>
    <x v="2"/>
    <x v="644"/>
    <x v="632"/>
    <x v="925"/>
    <x v="1"/>
    <x v="10"/>
    <x v="0"/>
    <x v="17"/>
    <x v="17"/>
    <x v="0"/>
    <x v="0"/>
    <x v="0"/>
    <x v="25"/>
    <x v="0"/>
    <x v="0"/>
    <x v="1"/>
    <x v="1"/>
  </r>
  <r>
    <x v="941"/>
    <x v="1"/>
    <x v="25"/>
    <x v="924"/>
    <x v="254"/>
    <x v="643"/>
    <x v="1"/>
    <x v="0"/>
    <x v="924"/>
    <x v="0"/>
    <x v="0"/>
    <x v="0"/>
    <x v="0"/>
    <x v="0"/>
    <x v="2"/>
    <x v="643"/>
    <x v="631"/>
    <x v="924"/>
    <x v="1"/>
    <x v="10"/>
    <x v="0"/>
    <x v="17"/>
    <x v="17"/>
    <x v="0"/>
    <x v="0"/>
    <x v="0"/>
    <x v="25"/>
    <x v="0"/>
    <x v="0"/>
    <x v="1"/>
    <x v="1"/>
  </r>
  <r>
    <x v="940"/>
    <x v="1"/>
    <x v="25"/>
    <x v="923"/>
    <x v="275"/>
    <x v="660"/>
    <x v="1"/>
    <x v="0"/>
    <x v="923"/>
    <x v="0"/>
    <x v="0"/>
    <x v="0"/>
    <x v="0"/>
    <x v="0"/>
    <x v="2"/>
    <x v="660"/>
    <x v="648"/>
    <x v="923"/>
    <x v="1"/>
    <x v="10"/>
    <x v="0"/>
    <x v="17"/>
    <x v="17"/>
    <x v="0"/>
    <x v="0"/>
    <x v="0"/>
    <x v="25"/>
    <x v="0"/>
    <x v="0"/>
    <x v="1"/>
    <x v="1"/>
  </r>
  <r>
    <x v="939"/>
    <x v="1"/>
    <x v="25"/>
    <x v="922"/>
    <x v="256"/>
    <x v="645"/>
    <x v="1"/>
    <x v="0"/>
    <x v="922"/>
    <x v="0"/>
    <x v="0"/>
    <x v="0"/>
    <x v="0"/>
    <x v="0"/>
    <x v="2"/>
    <x v="645"/>
    <x v="633"/>
    <x v="922"/>
    <x v="1"/>
    <x v="10"/>
    <x v="0"/>
    <x v="17"/>
    <x v="17"/>
    <x v="0"/>
    <x v="0"/>
    <x v="0"/>
    <x v="25"/>
    <x v="0"/>
    <x v="0"/>
    <x v="1"/>
    <x v="1"/>
  </r>
  <r>
    <x v="938"/>
    <x v="1"/>
    <x v="25"/>
    <x v="921"/>
    <x v="257"/>
    <x v="646"/>
    <x v="1"/>
    <x v="0"/>
    <x v="921"/>
    <x v="0"/>
    <x v="0"/>
    <x v="0"/>
    <x v="0"/>
    <x v="0"/>
    <x v="2"/>
    <x v="646"/>
    <x v="634"/>
    <x v="921"/>
    <x v="1"/>
    <x v="10"/>
    <x v="0"/>
    <x v="17"/>
    <x v="17"/>
    <x v="0"/>
    <x v="0"/>
    <x v="0"/>
    <x v="25"/>
    <x v="0"/>
    <x v="0"/>
    <x v="1"/>
    <x v="1"/>
  </r>
  <r>
    <x v="937"/>
    <x v="1"/>
    <x v="25"/>
    <x v="920"/>
    <x v="258"/>
    <x v="647"/>
    <x v="1"/>
    <x v="0"/>
    <x v="920"/>
    <x v="0"/>
    <x v="0"/>
    <x v="0"/>
    <x v="0"/>
    <x v="0"/>
    <x v="2"/>
    <x v="647"/>
    <x v="635"/>
    <x v="920"/>
    <x v="1"/>
    <x v="10"/>
    <x v="0"/>
    <x v="17"/>
    <x v="17"/>
    <x v="0"/>
    <x v="0"/>
    <x v="0"/>
    <x v="25"/>
    <x v="0"/>
    <x v="0"/>
    <x v="1"/>
    <x v="1"/>
  </r>
  <r>
    <x v="936"/>
    <x v="1"/>
    <x v="25"/>
    <x v="919"/>
    <x v="266"/>
    <x v="652"/>
    <x v="1"/>
    <x v="0"/>
    <x v="919"/>
    <x v="0"/>
    <x v="0"/>
    <x v="0"/>
    <x v="0"/>
    <x v="0"/>
    <x v="2"/>
    <x v="652"/>
    <x v="640"/>
    <x v="919"/>
    <x v="1"/>
    <x v="10"/>
    <x v="0"/>
    <x v="17"/>
    <x v="17"/>
    <x v="0"/>
    <x v="0"/>
    <x v="0"/>
    <x v="25"/>
    <x v="0"/>
    <x v="0"/>
    <x v="1"/>
    <x v="1"/>
  </r>
  <r>
    <x v="935"/>
    <x v="1"/>
    <x v="25"/>
    <x v="918"/>
    <x v="253"/>
    <x v="642"/>
    <x v="1"/>
    <x v="0"/>
    <x v="918"/>
    <x v="0"/>
    <x v="0"/>
    <x v="0"/>
    <x v="0"/>
    <x v="0"/>
    <x v="2"/>
    <x v="642"/>
    <x v="630"/>
    <x v="918"/>
    <x v="1"/>
    <x v="10"/>
    <x v="0"/>
    <x v="17"/>
    <x v="17"/>
    <x v="0"/>
    <x v="0"/>
    <x v="0"/>
    <x v="25"/>
    <x v="0"/>
    <x v="0"/>
    <x v="1"/>
    <x v="1"/>
  </r>
  <r>
    <x v="934"/>
    <x v="1"/>
    <x v="25"/>
    <x v="917"/>
    <x v="720"/>
    <x v="908"/>
    <x v="1"/>
    <x v="0"/>
    <x v="917"/>
    <x v="0"/>
    <x v="0"/>
    <x v="0"/>
    <x v="0"/>
    <x v="0"/>
    <x v="2"/>
    <x v="908"/>
    <x v="896"/>
    <x v="917"/>
    <x v="1"/>
    <x v="10"/>
    <x v="0"/>
    <x v="17"/>
    <x v="17"/>
    <x v="0"/>
    <x v="0"/>
    <x v="0"/>
    <x v="25"/>
    <x v="0"/>
    <x v="0"/>
    <x v="1"/>
    <x v="1"/>
  </r>
  <r>
    <x v="933"/>
    <x v="1"/>
    <x v="25"/>
    <x v="916"/>
    <x v="733"/>
    <x v="916"/>
    <x v="1"/>
    <x v="0"/>
    <x v="916"/>
    <x v="0"/>
    <x v="0"/>
    <x v="0"/>
    <x v="0"/>
    <x v="0"/>
    <x v="2"/>
    <x v="916"/>
    <x v="904"/>
    <x v="916"/>
    <x v="1"/>
    <x v="10"/>
    <x v="0"/>
    <x v="17"/>
    <x v="17"/>
    <x v="0"/>
    <x v="0"/>
    <x v="0"/>
    <x v="25"/>
    <x v="0"/>
    <x v="0"/>
    <x v="1"/>
    <x v="1"/>
  </r>
  <r>
    <x v="932"/>
    <x v="1"/>
    <x v="25"/>
    <x v="915"/>
    <x v="726"/>
    <x v="913"/>
    <x v="1"/>
    <x v="0"/>
    <x v="915"/>
    <x v="0"/>
    <x v="0"/>
    <x v="0"/>
    <x v="0"/>
    <x v="0"/>
    <x v="2"/>
    <x v="913"/>
    <x v="901"/>
    <x v="915"/>
    <x v="1"/>
    <x v="10"/>
    <x v="0"/>
    <x v="17"/>
    <x v="17"/>
    <x v="0"/>
    <x v="0"/>
    <x v="0"/>
    <x v="25"/>
    <x v="0"/>
    <x v="0"/>
    <x v="1"/>
    <x v="1"/>
  </r>
  <r>
    <x v="931"/>
    <x v="1"/>
    <x v="25"/>
    <x v="914"/>
    <x v="725"/>
    <x v="911"/>
    <x v="1"/>
    <x v="0"/>
    <x v="914"/>
    <x v="0"/>
    <x v="0"/>
    <x v="0"/>
    <x v="0"/>
    <x v="0"/>
    <x v="2"/>
    <x v="911"/>
    <x v="899"/>
    <x v="914"/>
    <x v="1"/>
    <x v="10"/>
    <x v="0"/>
    <x v="17"/>
    <x v="17"/>
    <x v="0"/>
    <x v="0"/>
    <x v="0"/>
    <x v="25"/>
    <x v="0"/>
    <x v="0"/>
    <x v="1"/>
    <x v="1"/>
  </r>
  <r>
    <x v="930"/>
    <x v="1"/>
    <x v="25"/>
    <x v="913"/>
    <x v="724"/>
    <x v="910"/>
    <x v="1"/>
    <x v="0"/>
    <x v="913"/>
    <x v="0"/>
    <x v="0"/>
    <x v="0"/>
    <x v="0"/>
    <x v="0"/>
    <x v="2"/>
    <x v="910"/>
    <x v="898"/>
    <x v="913"/>
    <x v="1"/>
    <x v="10"/>
    <x v="0"/>
    <x v="17"/>
    <x v="17"/>
    <x v="0"/>
    <x v="0"/>
    <x v="0"/>
    <x v="25"/>
    <x v="0"/>
    <x v="0"/>
    <x v="1"/>
    <x v="1"/>
  </r>
  <r>
    <x v="929"/>
    <x v="1"/>
    <x v="25"/>
    <x v="912"/>
    <x v="741"/>
    <x v="921"/>
    <x v="1"/>
    <x v="0"/>
    <x v="912"/>
    <x v="0"/>
    <x v="0"/>
    <x v="0"/>
    <x v="0"/>
    <x v="0"/>
    <x v="2"/>
    <x v="921"/>
    <x v="909"/>
    <x v="912"/>
    <x v="1"/>
    <x v="10"/>
    <x v="0"/>
    <x v="17"/>
    <x v="17"/>
    <x v="0"/>
    <x v="0"/>
    <x v="0"/>
    <x v="25"/>
    <x v="0"/>
    <x v="0"/>
    <x v="1"/>
    <x v="1"/>
  </r>
  <r>
    <x v="928"/>
    <x v="1"/>
    <x v="25"/>
    <x v="911"/>
    <x v="742"/>
    <x v="922"/>
    <x v="1"/>
    <x v="0"/>
    <x v="911"/>
    <x v="0"/>
    <x v="0"/>
    <x v="0"/>
    <x v="0"/>
    <x v="0"/>
    <x v="2"/>
    <x v="922"/>
    <x v="910"/>
    <x v="911"/>
    <x v="1"/>
    <x v="10"/>
    <x v="0"/>
    <x v="17"/>
    <x v="17"/>
    <x v="0"/>
    <x v="0"/>
    <x v="0"/>
    <x v="25"/>
    <x v="0"/>
    <x v="0"/>
    <x v="1"/>
    <x v="1"/>
  </r>
  <r>
    <x v="927"/>
    <x v="1"/>
    <x v="25"/>
    <x v="910"/>
    <x v="711"/>
    <x v="903"/>
    <x v="1"/>
    <x v="0"/>
    <x v="910"/>
    <x v="0"/>
    <x v="0"/>
    <x v="0"/>
    <x v="0"/>
    <x v="0"/>
    <x v="2"/>
    <x v="903"/>
    <x v="891"/>
    <x v="910"/>
    <x v="1"/>
    <x v="10"/>
    <x v="0"/>
    <x v="17"/>
    <x v="17"/>
    <x v="0"/>
    <x v="0"/>
    <x v="0"/>
    <x v="25"/>
    <x v="0"/>
    <x v="0"/>
    <x v="1"/>
    <x v="1"/>
  </r>
  <r>
    <x v="926"/>
    <x v="1"/>
    <x v="25"/>
    <x v="909"/>
    <x v="739"/>
    <x v="920"/>
    <x v="1"/>
    <x v="0"/>
    <x v="909"/>
    <x v="0"/>
    <x v="0"/>
    <x v="0"/>
    <x v="0"/>
    <x v="0"/>
    <x v="2"/>
    <x v="920"/>
    <x v="908"/>
    <x v="909"/>
    <x v="1"/>
    <x v="10"/>
    <x v="0"/>
    <x v="17"/>
    <x v="17"/>
    <x v="0"/>
    <x v="0"/>
    <x v="0"/>
    <x v="25"/>
    <x v="0"/>
    <x v="0"/>
    <x v="1"/>
    <x v="1"/>
  </r>
  <r>
    <x v="925"/>
    <x v="1"/>
    <x v="25"/>
    <x v="908"/>
    <x v="698"/>
    <x v="896"/>
    <x v="1"/>
    <x v="0"/>
    <x v="908"/>
    <x v="0"/>
    <x v="0"/>
    <x v="0"/>
    <x v="0"/>
    <x v="0"/>
    <x v="2"/>
    <x v="896"/>
    <x v="884"/>
    <x v="908"/>
    <x v="1"/>
    <x v="10"/>
    <x v="0"/>
    <x v="17"/>
    <x v="17"/>
    <x v="0"/>
    <x v="0"/>
    <x v="0"/>
    <x v="25"/>
    <x v="0"/>
    <x v="0"/>
    <x v="1"/>
    <x v="1"/>
  </r>
  <r>
    <x v="924"/>
    <x v="1"/>
    <x v="25"/>
    <x v="907"/>
    <x v="697"/>
    <x v="895"/>
    <x v="1"/>
    <x v="0"/>
    <x v="907"/>
    <x v="0"/>
    <x v="0"/>
    <x v="0"/>
    <x v="0"/>
    <x v="0"/>
    <x v="2"/>
    <x v="895"/>
    <x v="883"/>
    <x v="907"/>
    <x v="1"/>
    <x v="10"/>
    <x v="0"/>
    <x v="17"/>
    <x v="17"/>
    <x v="0"/>
    <x v="0"/>
    <x v="0"/>
    <x v="25"/>
    <x v="0"/>
    <x v="0"/>
    <x v="1"/>
    <x v="1"/>
  </r>
  <r>
    <x v="923"/>
    <x v="1"/>
    <x v="25"/>
    <x v="906"/>
    <x v="708"/>
    <x v="901"/>
    <x v="1"/>
    <x v="0"/>
    <x v="906"/>
    <x v="0"/>
    <x v="0"/>
    <x v="0"/>
    <x v="0"/>
    <x v="0"/>
    <x v="2"/>
    <x v="901"/>
    <x v="889"/>
    <x v="906"/>
    <x v="1"/>
    <x v="10"/>
    <x v="0"/>
    <x v="17"/>
    <x v="17"/>
    <x v="0"/>
    <x v="0"/>
    <x v="0"/>
    <x v="25"/>
    <x v="0"/>
    <x v="0"/>
    <x v="1"/>
    <x v="1"/>
  </r>
  <r>
    <x v="922"/>
    <x v="1"/>
    <x v="25"/>
    <x v="905"/>
    <x v="705"/>
    <x v="900"/>
    <x v="1"/>
    <x v="0"/>
    <x v="905"/>
    <x v="0"/>
    <x v="0"/>
    <x v="0"/>
    <x v="0"/>
    <x v="0"/>
    <x v="2"/>
    <x v="900"/>
    <x v="888"/>
    <x v="905"/>
    <x v="1"/>
    <x v="10"/>
    <x v="0"/>
    <x v="17"/>
    <x v="17"/>
    <x v="0"/>
    <x v="0"/>
    <x v="0"/>
    <x v="25"/>
    <x v="0"/>
    <x v="0"/>
    <x v="1"/>
    <x v="1"/>
  </r>
  <r>
    <x v="921"/>
    <x v="1"/>
    <x v="25"/>
    <x v="904"/>
    <x v="731"/>
    <x v="915"/>
    <x v="1"/>
    <x v="0"/>
    <x v="904"/>
    <x v="0"/>
    <x v="0"/>
    <x v="0"/>
    <x v="0"/>
    <x v="0"/>
    <x v="2"/>
    <x v="915"/>
    <x v="903"/>
    <x v="904"/>
    <x v="1"/>
    <x v="10"/>
    <x v="0"/>
    <x v="17"/>
    <x v="17"/>
    <x v="0"/>
    <x v="0"/>
    <x v="0"/>
    <x v="25"/>
    <x v="0"/>
    <x v="0"/>
    <x v="1"/>
    <x v="1"/>
  </r>
  <r>
    <x v="920"/>
    <x v="1"/>
    <x v="25"/>
    <x v="903"/>
    <x v="710"/>
    <x v="902"/>
    <x v="1"/>
    <x v="0"/>
    <x v="903"/>
    <x v="0"/>
    <x v="0"/>
    <x v="0"/>
    <x v="0"/>
    <x v="0"/>
    <x v="2"/>
    <x v="902"/>
    <x v="890"/>
    <x v="903"/>
    <x v="1"/>
    <x v="10"/>
    <x v="0"/>
    <x v="17"/>
    <x v="17"/>
    <x v="0"/>
    <x v="0"/>
    <x v="0"/>
    <x v="25"/>
    <x v="0"/>
    <x v="0"/>
    <x v="1"/>
    <x v="1"/>
  </r>
  <r>
    <x v="919"/>
    <x v="1"/>
    <x v="25"/>
    <x v="902"/>
    <x v="734"/>
    <x v="917"/>
    <x v="1"/>
    <x v="0"/>
    <x v="902"/>
    <x v="0"/>
    <x v="0"/>
    <x v="0"/>
    <x v="0"/>
    <x v="0"/>
    <x v="2"/>
    <x v="917"/>
    <x v="905"/>
    <x v="902"/>
    <x v="1"/>
    <x v="10"/>
    <x v="0"/>
    <x v="17"/>
    <x v="17"/>
    <x v="0"/>
    <x v="0"/>
    <x v="0"/>
    <x v="25"/>
    <x v="0"/>
    <x v="0"/>
    <x v="1"/>
    <x v="1"/>
  </r>
  <r>
    <x v="918"/>
    <x v="1"/>
    <x v="25"/>
    <x v="901"/>
    <x v="738"/>
    <x v="919"/>
    <x v="1"/>
    <x v="0"/>
    <x v="901"/>
    <x v="0"/>
    <x v="0"/>
    <x v="0"/>
    <x v="0"/>
    <x v="0"/>
    <x v="2"/>
    <x v="919"/>
    <x v="907"/>
    <x v="901"/>
    <x v="1"/>
    <x v="10"/>
    <x v="0"/>
    <x v="17"/>
    <x v="17"/>
    <x v="0"/>
    <x v="0"/>
    <x v="0"/>
    <x v="25"/>
    <x v="0"/>
    <x v="0"/>
    <x v="1"/>
    <x v="1"/>
  </r>
  <r>
    <x v="917"/>
    <x v="1"/>
    <x v="25"/>
    <x v="900"/>
    <x v="699"/>
    <x v="897"/>
    <x v="1"/>
    <x v="0"/>
    <x v="900"/>
    <x v="0"/>
    <x v="0"/>
    <x v="0"/>
    <x v="0"/>
    <x v="0"/>
    <x v="2"/>
    <x v="897"/>
    <x v="885"/>
    <x v="900"/>
    <x v="1"/>
    <x v="10"/>
    <x v="0"/>
    <x v="17"/>
    <x v="17"/>
    <x v="0"/>
    <x v="0"/>
    <x v="0"/>
    <x v="25"/>
    <x v="0"/>
    <x v="0"/>
    <x v="1"/>
    <x v="1"/>
  </r>
  <r>
    <x v="916"/>
    <x v="1"/>
    <x v="25"/>
    <x v="899"/>
    <x v="694"/>
    <x v="894"/>
    <x v="1"/>
    <x v="0"/>
    <x v="899"/>
    <x v="0"/>
    <x v="0"/>
    <x v="0"/>
    <x v="0"/>
    <x v="0"/>
    <x v="2"/>
    <x v="894"/>
    <x v="882"/>
    <x v="899"/>
    <x v="1"/>
    <x v="10"/>
    <x v="0"/>
    <x v="17"/>
    <x v="17"/>
    <x v="0"/>
    <x v="0"/>
    <x v="0"/>
    <x v="25"/>
    <x v="0"/>
    <x v="0"/>
    <x v="1"/>
    <x v="1"/>
  </r>
  <r>
    <x v="915"/>
    <x v="1"/>
    <x v="25"/>
    <x v="898"/>
    <x v="681"/>
    <x v="884"/>
    <x v="1"/>
    <x v="0"/>
    <x v="898"/>
    <x v="0"/>
    <x v="0"/>
    <x v="0"/>
    <x v="0"/>
    <x v="0"/>
    <x v="2"/>
    <x v="884"/>
    <x v="872"/>
    <x v="898"/>
    <x v="1"/>
    <x v="10"/>
    <x v="0"/>
    <x v="17"/>
    <x v="17"/>
    <x v="0"/>
    <x v="0"/>
    <x v="0"/>
    <x v="25"/>
    <x v="0"/>
    <x v="0"/>
    <x v="1"/>
    <x v="1"/>
  </r>
  <r>
    <x v="914"/>
    <x v="1"/>
    <x v="25"/>
    <x v="897"/>
    <x v="685"/>
    <x v="885"/>
    <x v="1"/>
    <x v="0"/>
    <x v="897"/>
    <x v="0"/>
    <x v="0"/>
    <x v="0"/>
    <x v="0"/>
    <x v="0"/>
    <x v="2"/>
    <x v="885"/>
    <x v="873"/>
    <x v="897"/>
    <x v="1"/>
    <x v="10"/>
    <x v="0"/>
    <x v="17"/>
    <x v="17"/>
    <x v="0"/>
    <x v="0"/>
    <x v="0"/>
    <x v="25"/>
    <x v="0"/>
    <x v="0"/>
    <x v="1"/>
    <x v="1"/>
  </r>
  <r>
    <x v="913"/>
    <x v="1"/>
    <x v="25"/>
    <x v="896"/>
    <x v="714"/>
    <x v="906"/>
    <x v="1"/>
    <x v="0"/>
    <x v="896"/>
    <x v="0"/>
    <x v="0"/>
    <x v="0"/>
    <x v="0"/>
    <x v="0"/>
    <x v="2"/>
    <x v="906"/>
    <x v="894"/>
    <x v="896"/>
    <x v="1"/>
    <x v="10"/>
    <x v="0"/>
    <x v="17"/>
    <x v="17"/>
    <x v="0"/>
    <x v="0"/>
    <x v="0"/>
    <x v="25"/>
    <x v="0"/>
    <x v="0"/>
    <x v="1"/>
    <x v="1"/>
  </r>
  <r>
    <x v="912"/>
    <x v="1"/>
    <x v="25"/>
    <x v="895"/>
    <x v="693"/>
    <x v="892"/>
    <x v="1"/>
    <x v="0"/>
    <x v="895"/>
    <x v="0"/>
    <x v="0"/>
    <x v="0"/>
    <x v="0"/>
    <x v="0"/>
    <x v="2"/>
    <x v="892"/>
    <x v="880"/>
    <x v="895"/>
    <x v="1"/>
    <x v="10"/>
    <x v="0"/>
    <x v="17"/>
    <x v="17"/>
    <x v="0"/>
    <x v="0"/>
    <x v="0"/>
    <x v="25"/>
    <x v="0"/>
    <x v="0"/>
    <x v="1"/>
    <x v="1"/>
  </r>
  <r>
    <x v="911"/>
    <x v="1"/>
    <x v="25"/>
    <x v="894"/>
    <x v="690"/>
    <x v="890"/>
    <x v="1"/>
    <x v="0"/>
    <x v="894"/>
    <x v="0"/>
    <x v="0"/>
    <x v="0"/>
    <x v="0"/>
    <x v="0"/>
    <x v="2"/>
    <x v="890"/>
    <x v="878"/>
    <x v="894"/>
    <x v="1"/>
    <x v="10"/>
    <x v="0"/>
    <x v="17"/>
    <x v="17"/>
    <x v="0"/>
    <x v="0"/>
    <x v="0"/>
    <x v="25"/>
    <x v="0"/>
    <x v="0"/>
    <x v="1"/>
    <x v="1"/>
  </r>
  <r>
    <x v="910"/>
    <x v="1"/>
    <x v="25"/>
    <x v="893"/>
    <x v="686"/>
    <x v="886"/>
    <x v="1"/>
    <x v="0"/>
    <x v="893"/>
    <x v="0"/>
    <x v="0"/>
    <x v="0"/>
    <x v="0"/>
    <x v="0"/>
    <x v="2"/>
    <x v="886"/>
    <x v="874"/>
    <x v="893"/>
    <x v="1"/>
    <x v="10"/>
    <x v="0"/>
    <x v="17"/>
    <x v="17"/>
    <x v="0"/>
    <x v="0"/>
    <x v="0"/>
    <x v="25"/>
    <x v="0"/>
    <x v="0"/>
    <x v="1"/>
    <x v="1"/>
  </r>
  <r>
    <x v="909"/>
    <x v="1"/>
    <x v="25"/>
    <x v="892"/>
    <x v="689"/>
    <x v="889"/>
    <x v="1"/>
    <x v="0"/>
    <x v="892"/>
    <x v="0"/>
    <x v="0"/>
    <x v="0"/>
    <x v="0"/>
    <x v="0"/>
    <x v="2"/>
    <x v="889"/>
    <x v="877"/>
    <x v="892"/>
    <x v="1"/>
    <x v="10"/>
    <x v="0"/>
    <x v="17"/>
    <x v="17"/>
    <x v="0"/>
    <x v="0"/>
    <x v="0"/>
    <x v="25"/>
    <x v="0"/>
    <x v="0"/>
    <x v="1"/>
    <x v="1"/>
  </r>
  <r>
    <x v="908"/>
    <x v="1"/>
    <x v="25"/>
    <x v="891"/>
    <x v="688"/>
    <x v="888"/>
    <x v="1"/>
    <x v="0"/>
    <x v="891"/>
    <x v="0"/>
    <x v="0"/>
    <x v="0"/>
    <x v="0"/>
    <x v="0"/>
    <x v="2"/>
    <x v="888"/>
    <x v="876"/>
    <x v="891"/>
    <x v="1"/>
    <x v="10"/>
    <x v="0"/>
    <x v="17"/>
    <x v="17"/>
    <x v="0"/>
    <x v="0"/>
    <x v="0"/>
    <x v="25"/>
    <x v="0"/>
    <x v="0"/>
    <x v="1"/>
    <x v="1"/>
  </r>
  <r>
    <x v="907"/>
    <x v="1"/>
    <x v="25"/>
    <x v="890"/>
    <x v="687"/>
    <x v="887"/>
    <x v="1"/>
    <x v="0"/>
    <x v="890"/>
    <x v="0"/>
    <x v="0"/>
    <x v="0"/>
    <x v="0"/>
    <x v="0"/>
    <x v="2"/>
    <x v="887"/>
    <x v="875"/>
    <x v="890"/>
    <x v="1"/>
    <x v="10"/>
    <x v="0"/>
    <x v="17"/>
    <x v="17"/>
    <x v="0"/>
    <x v="0"/>
    <x v="0"/>
    <x v="25"/>
    <x v="0"/>
    <x v="0"/>
    <x v="1"/>
    <x v="1"/>
  </r>
  <r>
    <x v="906"/>
    <x v="1"/>
    <x v="25"/>
    <x v="889"/>
    <x v="581"/>
    <x v="811"/>
    <x v="1"/>
    <x v="0"/>
    <x v="889"/>
    <x v="0"/>
    <x v="0"/>
    <x v="0"/>
    <x v="0"/>
    <x v="0"/>
    <x v="2"/>
    <x v="811"/>
    <x v="799"/>
    <x v="889"/>
    <x v="1"/>
    <x v="10"/>
    <x v="0"/>
    <x v="17"/>
    <x v="17"/>
    <x v="0"/>
    <x v="0"/>
    <x v="0"/>
    <x v="25"/>
    <x v="0"/>
    <x v="0"/>
    <x v="1"/>
    <x v="1"/>
  </r>
  <r>
    <x v="905"/>
    <x v="1"/>
    <x v="25"/>
    <x v="888"/>
    <x v="568"/>
    <x v="804"/>
    <x v="1"/>
    <x v="0"/>
    <x v="888"/>
    <x v="0"/>
    <x v="0"/>
    <x v="0"/>
    <x v="0"/>
    <x v="0"/>
    <x v="2"/>
    <x v="804"/>
    <x v="792"/>
    <x v="888"/>
    <x v="1"/>
    <x v="10"/>
    <x v="0"/>
    <x v="17"/>
    <x v="17"/>
    <x v="0"/>
    <x v="0"/>
    <x v="0"/>
    <x v="25"/>
    <x v="0"/>
    <x v="0"/>
    <x v="1"/>
    <x v="1"/>
  </r>
  <r>
    <x v="904"/>
    <x v="1"/>
    <x v="25"/>
    <x v="887"/>
    <x v="577"/>
    <x v="810"/>
    <x v="1"/>
    <x v="0"/>
    <x v="887"/>
    <x v="0"/>
    <x v="0"/>
    <x v="0"/>
    <x v="0"/>
    <x v="0"/>
    <x v="2"/>
    <x v="810"/>
    <x v="798"/>
    <x v="887"/>
    <x v="1"/>
    <x v="10"/>
    <x v="0"/>
    <x v="17"/>
    <x v="17"/>
    <x v="0"/>
    <x v="0"/>
    <x v="0"/>
    <x v="25"/>
    <x v="0"/>
    <x v="0"/>
    <x v="1"/>
    <x v="1"/>
  </r>
  <r>
    <x v="903"/>
    <x v="1"/>
    <x v="25"/>
    <x v="886"/>
    <x v="566"/>
    <x v="803"/>
    <x v="1"/>
    <x v="0"/>
    <x v="886"/>
    <x v="0"/>
    <x v="0"/>
    <x v="0"/>
    <x v="0"/>
    <x v="0"/>
    <x v="2"/>
    <x v="803"/>
    <x v="791"/>
    <x v="886"/>
    <x v="1"/>
    <x v="10"/>
    <x v="0"/>
    <x v="17"/>
    <x v="17"/>
    <x v="0"/>
    <x v="0"/>
    <x v="0"/>
    <x v="25"/>
    <x v="0"/>
    <x v="0"/>
    <x v="1"/>
    <x v="1"/>
  </r>
  <r>
    <x v="902"/>
    <x v="1"/>
    <x v="25"/>
    <x v="885"/>
    <x v="565"/>
    <x v="802"/>
    <x v="1"/>
    <x v="0"/>
    <x v="885"/>
    <x v="0"/>
    <x v="0"/>
    <x v="0"/>
    <x v="0"/>
    <x v="0"/>
    <x v="2"/>
    <x v="802"/>
    <x v="790"/>
    <x v="885"/>
    <x v="1"/>
    <x v="10"/>
    <x v="0"/>
    <x v="17"/>
    <x v="17"/>
    <x v="0"/>
    <x v="0"/>
    <x v="0"/>
    <x v="25"/>
    <x v="0"/>
    <x v="0"/>
    <x v="1"/>
    <x v="1"/>
  </r>
  <r>
    <x v="901"/>
    <x v="1"/>
    <x v="25"/>
    <x v="884"/>
    <x v="558"/>
    <x v="798"/>
    <x v="1"/>
    <x v="0"/>
    <x v="884"/>
    <x v="0"/>
    <x v="0"/>
    <x v="0"/>
    <x v="0"/>
    <x v="0"/>
    <x v="2"/>
    <x v="798"/>
    <x v="786"/>
    <x v="884"/>
    <x v="1"/>
    <x v="10"/>
    <x v="0"/>
    <x v="17"/>
    <x v="17"/>
    <x v="0"/>
    <x v="0"/>
    <x v="0"/>
    <x v="25"/>
    <x v="0"/>
    <x v="0"/>
    <x v="1"/>
    <x v="1"/>
  </r>
  <r>
    <x v="900"/>
    <x v="1"/>
    <x v="25"/>
    <x v="883"/>
    <x v="554"/>
    <x v="795"/>
    <x v="1"/>
    <x v="0"/>
    <x v="883"/>
    <x v="0"/>
    <x v="0"/>
    <x v="0"/>
    <x v="0"/>
    <x v="0"/>
    <x v="2"/>
    <x v="795"/>
    <x v="783"/>
    <x v="883"/>
    <x v="1"/>
    <x v="10"/>
    <x v="0"/>
    <x v="17"/>
    <x v="17"/>
    <x v="0"/>
    <x v="0"/>
    <x v="0"/>
    <x v="25"/>
    <x v="0"/>
    <x v="0"/>
    <x v="1"/>
    <x v="1"/>
  </r>
  <r>
    <x v="899"/>
    <x v="1"/>
    <x v="25"/>
    <x v="882"/>
    <x v="557"/>
    <x v="797"/>
    <x v="1"/>
    <x v="0"/>
    <x v="882"/>
    <x v="0"/>
    <x v="0"/>
    <x v="0"/>
    <x v="0"/>
    <x v="0"/>
    <x v="2"/>
    <x v="797"/>
    <x v="785"/>
    <x v="882"/>
    <x v="1"/>
    <x v="10"/>
    <x v="0"/>
    <x v="17"/>
    <x v="17"/>
    <x v="0"/>
    <x v="0"/>
    <x v="0"/>
    <x v="25"/>
    <x v="0"/>
    <x v="0"/>
    <x v="1"/>
    <x v="1"/>
  </r>
  <r>
    <x v="898"/>
    <x v="1"/>
    <x v="25"/>
    <x v="881"/>
    <x v="573"/>
    <x v="807"/>
    <x v="1"/>
    <x v="0"/>
    <x v="881"/>
    <x v="0"/>
    <x v="0"/>
    <x v="0"/>
    <x v="0"/>
    <x v="0"/>
    <x v="2"/>
    <x v="807"/>
    <x v="795"/>
    <x v="881"/>
    <x v="1"/>
    <x v="10"/>
    <x v="0"/>
    <x v="17"/>
    <x v="17"/>
    <x v="0"/>
    <x v="0"/>
    <x v="0"/>
    <x v="25"/>
    <x v="0"/>
    <x v="0"/>
    <x v="1"/>
    <x v="1"/>
  </r>
  <r>
    <x v="897"/>
    <x v="1"/>
    <x v="25"/>
    <x v="880"/>
    <x v="549"/>
    <x v="792"/>
    <x v="1"/>
    <x v="0"/>
    <x v="880"/>
    <x v="0"/>
    <x v="0"/>
    <x v="0"/>
    <x v="0"/>
    <x v="0"/>
    <x v="2"/>
    <x v="792"/>
    <x v="780"/>
    <x v="880"/>
    <x v="1"/>
    <x v="10"/>
    <x v="0"/>
    <x v="17"/>
    <x v="17"/>
    <x v="0"/>
    <x v="0"/>
    <x v="0"/>
    <x v="25"/>
    <x v="0"/>
    <x v="0"/>
    <x v="1"/>
    <x v="1"/>
  </r>
  <r>
    <x v="896"/>
    <x v="1"/>
    <x v="25"/>
    <x v="879"/>
    <x v="564"/>
    <x v="801"/>
    <x v="1"/>
    <x v="0"/>
    <x v="879"/>
    <x v="0"/>
    <x v="0"/>
    <x v="0"/>
    <x v="0"/>
    <x v="0"/>
    <x v="2"/>
    <x v="801"/>
    <x v="789"/>
    <x v="879"/>
    <x v="1"/>
    <x v="10"/>
    <x v="0"/>
    <x v="17"/>
    <x v="17"/>
    <x v="0"/>
    <x v="0"/>
    <x v="0"/>
    <x v="25"/>
    <x v="0"/>
    <x v="0"/>
    <x v="1"/>
    <x v="1"/>
  </r>
  <r>
    <x v="895"/>
    <x v="1"/>
    <x v="25"/>
    <x v="878"/>
    <x v="563"/>
    <x v="800"/>
    <x v="1"/>
    <x v="0"/>
    <x v="878"/>
    <x v="0"/>
    <x v="0"/>
    <x v="0"/>
    <x v="0"/>
    <x v="0"/>
    <x v="2"/>
    <x v="800"/>
    <x v="788"/>
    <x v="878"/>
    <x v="1"/>
    <x v="10"/>
    <x v="0"/>
    <x v="17"/>
    <x v="17"/>
    <x v="0"/>
    <x v="0"/>
    <x v="0"/>
    <x v="25"/>
    <x v="0"/>
    <x v="0"/>
    <x v="1"/>
    <x v="1"/>
  </r>
  <r>
    <x v="894"/>
    <x v="1"/>
    <x v="25"/>
    <x v="877"/>
    <x v="559"/>
    <x v="799"/>
    <x v="1"/>
    <x v="0"/>
    <x v="877"/>
    <x v="0"/>
    <x v="0"/>
    <x v="0"/>
    <x v="0"/>
    <x v="0"/>
    <x v="2"/>
    <x v="799"/>
    <x v="787"/>
    <x v="877"/>
    <x v="1"/>
    <x v="10"/>
    <x v="0"/>
    <x v="17"/>
    <x v="17"/>
    <x v="0"/>
    <x v="0"/>
    <x v="0"/>
    <x v="25"/>
    <x v="0"/>
    <x v="0"/>
    <x v="1"/>
    <x v="1"/>
  </r>
  <r>
    <x v="893"/>
    <x v="1"/>
    <x v="25"/>
    <x v="876"/>
    <x v="550"/>
    <x v="793"/>
    <x v="1"/>
    <x v="0"/>
    <x v="876"/>
    <x v="0"/>
    <x v="0"/>
    <x v="0"/>
    <x v="0"/>
    <x v="0"/>
    <x v="2"/>
    <x v="793"/>
    <x v="781"/>
    <x v="876"/>
    <x v="1"/>
    <x v="10"/>
    <x v="0"/>
    <x v="17"/>
    <x v="17"/>
    <x v="0"/>
    <x v="0"/>
    <x v="0"/>
    <x v="25"/>
    <x v="0"/>
    <x v="0"/>
    <x v="1"/>
    <x v="1"/>
  </r>
  <r>
    <x v="892"/>
    <x v="1"/>
    <x v="25"/>
    <x v="875"/>
    <x v="547"/>
    <x v="791"/>
    <x v="1"/>
    <x v="0"/>
    <x v="875"/>
    <x v="0"/>
    <x v="0"/>
    <x v="0"/>
    <x v="0"/>
    <x v="0"/>
    <x v="2"/>
    <x v="791"/>
    <x v="779"/>
    <x v="875"/>
    <x v="1"/>
    <x v="10"/>
    <x v="0"/>
    <x v="17"/>
    <x v="17"/>
    <x v="0"/>
    <x v="0"/>
    <x v="0"/>
    <x v="25"/>
    <x v="0"/>
    <x v="0"/>
    <x v="1"/>
    <x v="1"/>
  </r>
  <r>
    <x v="891"/>
    <x v="1"/>
    <x v="25"/>
    <x v="874"/>
    <x v="648"/>
    <x v="873"/>
    <x v="1"/>
    <x v="0"/>
    <x v="874"/>
    <x v="0"/>
    <x v="0"/>
    <x v="0"/>
    <x v="0"/>
    <x v="0"/>
    <x v="2"/>
    <x v="873"/>
    <x v="861"/>
    <x v="874"/>
    <x v="1"/>
    <x v="10"/>
    <x v="0"/>
    <x v="17"/>
    <x v="17"/>
    <x v="0"/>
    <x v="0"/>
    <x v="0"/>
    <x v="25"/>
    <x v="0"/>
    <x v="0"/>
    <x v="1"/>
    <x v="1"/>
  </r>
  <r>
    <x v="890"/>
    <x v="1"/>
    <x v="25"/>
    <x v="873"/>
    <x v="647"/>
    <x v="872"/>
    <x v="1"/>
    <x v="0"/>
    <x v="873"/>
    <x v="0"/>
    <x v="0"/>
    <x v="0"/>
    <x v="0"/>
    <x v="0"/>
    <x v="2"/>
    <x v="872"/>
    <x v="860"/>
    <x v="873"/>
    <x v="1"/>
    <x v="10"/>
    <x v="0"/>
    <x v="17"/>
    <x v="17"/>
    <x v="0"/>
    <x v="0"/>
    <x v="0"/>
    <x v="25"/>
    <x v="0"/>
    <x v="0"/>
    <x v="1"/>
    <x v="1"/>
  </r>
  <r>
    <x v="889"/>
    <x v="1"/>
    <x v="25"/>
    <x v="872"/>
    <x v="646"/>
    <x v="871"/>
    <x v="1"/>
    <x v="0"/>
    <x v="872"/>
    <x v="0"/>
    <x v="0"/>
    <x v="0"/>
    <x v="0"/>
    <x v="0"/>
    <x v="2"/>
    <x v="871"/>
    <x v="859"/>
    <x v="872"/>
    <x v="1"/>
    <x v="10"/>
    <x v="0"/>
    <x v="17"/>
    <x v="17"/>
    <x v="0"/>
    <x v="0"/>
    <x v="0"/>
    <x v="25"/>
    <x v="0"/>
    <x v="0"/>
    <x v="1"/>
    <x v="1"/>
  </r>
  <r>
    <x v="888"/>
    <x v="1"/>
    <x v="25"/>
    <x v="871"/>
    <x v="645"/>
    <x v="870"/>
    <x v="1"/>
    <x v="0"/>
    <x v="871"/>
    <x v="0"/>
    <x v="0"/>
    <x v="0"/>
    <x v="0"/>
    <x v="0"/>
    <x v="2"/>
    <x v="870"/>
    <x v="858"/>
    <x v="871"/>
    <x v="1"/>
    <x v="10"/>
    <x v="0"/>
    <x v="17"/>
    <x v="17"/>
    <x v="0"/>
    <x v="0"/>
    <x v="0"/>
    <x v="25"/>
    <x v="0"/>
    <x v="0"/>
    <x v="1"/>
    <x v="1"/>
  </r>
  <r>
    <x v="887"/>
    <x v="1"/>
    <x v="25"/>
    <x v="870"/>
    <x v="643"/>
    <x v="869"/>
    <x v="1"/>
    <x v="0"/>
    <x v="870"/>
    <x v="0"/>
    <x v="0"/>
    <x v="0"/>
    <x v="0"/>
    <x v="0"/>
    <x v="2"/>
    <x v="869"/>
    <x v="857"/>
    <x v="870"/>
    <x v="1"/>
    <x v="10"/>
    <x v="0"/>
    <x v="17"/>
    <x v="17"/>
    <x v="0"/>
    <x v="0"/>
    <x v="0"/>
    <x v="25"/>
    <x v="0"/>
    <x v="0"/>
    <x v="1"/>
    <x v="1"/>
  </r>
  <r>
    <x v="886"/>
    <x v="1"/>
    <x v="25"/>
    <x v="869"/>
    <x v="642"/>
    <x v="868"/>
    <x v="1"/>
    <x v="0"/>
    <x v="869"/>
    <x v="0"/>
    <x v="0"/>
    <x v="0"/>
    <x v="0"/>
    <x v="0"/>
    <x v="2"/>
    <x v="868"/>
    <x v="856"/>
    <x v="869"/>
    <x v="1"/>
    <x v="10"/>
    <x v="0"/>
    <x v="17"/>
    <x v="17"/>
    <x v="0"/>
    <x v="0"/>
    <x v="0"/>
    <x v="25"/>
    <x v="0"/>
    <x v="0"/>
    <x v="1"/>
    <x v="1"/>
  </r>
  <r>
    <x v="885"/>
    <x v="1"/>
    <x v="25"/>
    <x v="868"/>
    <x v="650"/>
    <x v="874"/>
    <x v="1"/>
    <x v="0"/>
    <x v="868"/>
    <x v="0"/>
    <x v="0"/>
    <x v="0"/>
    <x v="0"/>
    <x v="0"/>
    <x v="2"/>
    <x v="874"/>
    <x v="862"/>
    <x v="868"/>
    <x v="1"/>
    <x v="10"/>
    <x v="0"/>
    <x v="17"/>
    <x v="17"/>
    <x v="0"/>
    <x v="0"/>
    <x v="0"/>
    <x v="25"/>
    <x v="0"/>
    <x v="0"/>
    <x v="1"/>
    <x v="1"/>
  </r>
  <r>
    <x v="884"/>
    <x v="1"/>
    <x v="25"/>
    <x v="867"/>
    <x v="780"/>
    <x v="954"/>
    <x v="1"/>
    <x v="0"/>
    <x v="867"/>
    <x v="0"/>
    <x v="0"/>
    <x v="0"/>
    <x v="0"/>
    <x v="0"/>
    <x v="2"/>
    <x v="954"/>
    <x v="942"/>
    <x v="867"/>
    <x v="1"/>
    <x v="10"/>
    <x v="0"/>
    <x v="17"/>
    <x v="17"/>
    <x v="0"/>
    <x v="0"/>
    <x v="0"/>
    <x v="25"/>
    <x v="0"/>
    <x v="0"/>
    <x v="1"/>
    <x v="1"/>
  </r>
  <r>
    <x v="883"/>
    <x v="1"/>
    <x v="25"/>
    <x v="866"/>
    <x v="778"/>
    <x v="952"/>
    <x v="1"/>
    <x v="0"/>
    <x v="866"/>
    <x v="0"/>
    <x v="0"/>
    <x v="0"/>
    <x v="0"/>
    <x v="0"/>
    <x v="2"/>
    <x v="952"/>
    <x v="940"/>
    <x v="866"/>
    <x v="1"/>
    <x v="10"/>
    <x v="0"/>
    <x v="17"/>
    <x v="17"/>
    <x v="0"/>
    <x v="0"/>
    <x v="0"/>
    <x v="25"/>
    <x v="0"/>
    <x v="0"/>
    <x v="1"/>
    <x v="1"/>
  </r>
  <r>
    <x v="882"/>
    <x v="1"/>
    <x v="25"/>
    <x v="865"/>
    <x v="775"/>
    <x v="951"/>
    <x v="1"/>
    <x v="0"/>
    <x v="865"/>
    <x v="0"/>
    <x v="0"/>
    <x v="0"/>
    <x v="0"/>
    <x v="0"/>
    <x v="2"/>
    <x v="951"/>
    <x v="939"/>
    <x v="865"/>
    <x v="1"/>
    <x v="10"/>
    <x v="0"/>
    <x v="17"/>
    <x v="17"/>
    <x v="0"/>
    <x v="0"/>
    <x v="0"/>
    <x v="25"/>
    <x v="0"/>
    <x v="0"/>
    <x v="1"/>
    <x v="1"/>
  </r>
  <r>
    <x v="881"/>
    <x v="1"/>
    <x v="25"/>
    <x v="864"/>
    <x v="774"/>
    <x v="949"/>
    <x v="1"/>
    <x v="0"/>
    <x v="864"/>
    <x v="0"/>
    <x v="0"/>
    <x v="0"/>
    <x v="0"/>
    <x v="0"/>
    <x v="2"/>
    <x v="949"/>
    <x v="937"/>
    <x v="864"/>
    <x v="1"/>
    <x v="10"/>
    <x v="0"/>
    <x v="17"/>
    <x v="17"/>
    <x v="0"/>
    <x v="0"/>
    <x v="0"/>
    <x v="25"/>
    <x v="0"/>
    <x v="0"/>
    <x v="1"/>
    <x v="1"/>
  </r>
  <r>
    <x v="880"/>
    <x v="1"/>
    <x v="25"/>
    <x v="863"/>
    <x v="769"/>
    <x v="945"/>
    <x v="1"/>
    <x v="0"/>
    <x v="863"/>
    <x v="0"/>
    <x v="0"/>
    <x v="0"/>
    <x v="0"/>
    <x v="0"/>
    <x v="2"/>
    <x v="945"/>
    <x v="933"/>
    <x v="863"/>
    <x v="1"/>
    <x v="10"/>
    <x v="0"/>
    <x v="17"/>
    <x v="17"/>
    <x v="0"/>
    <x v="0"/>
    <x v="0"/>
    <x v="25"/>
    <x v="0"/>
    <x v="0"/>
    <x v="1"/>
    <x v="1"/>
  </r>
  <r>
    <x v="879"/>
    <x v="1"/>
    <x v="25"/>
    <x v="862"/>
    <x v="767"/>
    <x v="944"/>
    <x v="1"/>
    <x v="0"/>
    <x v="862"/>
    <x v="0"/>
    <x v="0"/>
    <x v="0"/>
    <x v="0"/>
    <x v="0"/>
    <x v="2"/>
    <x v="944"/>
    <x v="932"/>
    <x v="862"/>
    <x v="1"/>
    <x v="10"/>
    <x v="0"/>
    <x v="17"/>
    <x v="17"/>
    <x v="0"/>
    <x v="0"/>
    <x v="0"/>
    <x v="25"/>
    <x v="0"/>
    <x v="0"/>
    <x v="1"/>
    <x v="1"/>
  </r>
  <r>
    <x v="878"/>
    <x v="1"/>
    <x v="25"/>
    <x v="861"/>
    <x v="766"/>
    <x v="943"/>
    <x v="1"/>
    <x v="0"/>
    <x v="861"/>
    <x v="0"/>
    <x v="0"/>
    <x v="0"/>
    <x v="0"/>
    <x v="0"/>
    <x v="2"/>
    <x v="943"/>
    <x v="931"/>
    <x v="861"/>
    <x v="1"/>
    <x v="10"/>
    <x v="0"/>
    <x v="17"/>
    <x v="17"/>
    <x v="0"/>
    <x v="0"/>
    <x v="0"/>
    <x v="25"/>
    <x v="0"/>
    <x v="0"/>
    <x v="1"/>
    <x v="1"/>
  </r>
  <r>
    <x v="877"/>
    <x v="1"/>
    <x v="25"/>
    <x v="860"/>
    <x v="787"/>
    <x v="959"/>
    <x v="1"/>
    <x v="0"/>
    <x v="860"/>
    <x v="0"/>
    <x v="0"/>
    <x v="0"/>
    <x v="0"/>
    <x v="0"/>
    <x v="2"/>
    <x v="959"/>
    <x v="947"/>
    <x v="860"/>
    <x v="1"/>
    <x v="10"/>
    <x v="0"/>
    <x v="17"/>
    <x v="17"/>
    <x v="0"/>
    <x v="0"/>
    <x v="0"/>
    <x v="25"/>
    <x v="0"/>
    <x v="0"/>
    <x v="1"/>
    <x v="1"/>
  </r>
  <r>
    <x v="876"/>
    <x v="1"/>
    <x v="25"/>
    <x v="859"/>
    <x v="760"/>
    <x v="938"/>
    <x v="1"/>
    <x v="0"/>
    <x v="859"/>
    <x v="0"/>
    <x v="0"/>
    <x v="0"/>
    <x v="0"/>
    <x v="0"/>
    <x v="2"/>
    <x v="938"/>
    <x v="926"/>
    <x v="859"/>
    <x v="1"/>
    <x v="10"/>
    <x v="0"/>
    <x v="17"/>
    <x v="17"/>
    <x v="0"/>
    <x v="0"/>
    <x v="0"/>
    <x v="25"/>
    <x v="0"/>
    <x v="0"/>
    <x v="1"/>
    <x v="1"/>
  </r>
  <r>
    <x v="875"/>
    <x v="1"/>
    <x v="25"/>
    <x v="858"/>
    <x v="763"/>
    <x v="940"/>
    <x v="1"/>
    <x v="0"/>
    <x v="858"/>
    <x v="0"/>
    <x v="0"/>
    <x v="0"/>
    <x v="0"/>
    <x v="0"/>
    <x v="2"/>
    <x v="940"/>
    <x v="928"/>
    <x v="858"/>
    <x v="1"/>
    <x v="10"/>
    <x v="0"/>
    <x v="17"/>
    <x v="17"/>
    <x v="0"/>
    <x v="0"/>
    <x v="0"/>
    <x v="25"/>
    <x v="0"/>
    <x v="0"/>
    <x v="1"/>
    <x v="1"/>
  </r>
  <r>
    <x v="874"/>
    <x v="1"/>
    <x v="25"/>
    <x v="857"/>
    <x v="765"/>
    <x v="942"/>
    <x v="1"/>
    <x v="0"/>
    <x v="857"/>
    <x v="0"/>
    <x v="0"/>
    <x v="0"/>
    <x v="0"/>
    <x v="0"/>
    <x v="2"/>
    <x v="942"/>
    <x v="930"/>
    <x v="857"/>
    <x v="1"/>
    <x v="10"/>
    <x v="0"/>
    <x v="17"/>
    <x v="17"/>
    <x v="0"/>
    <x v="0"/>
    <x v="0"/>
    <x v="25"/>
    <x v="0"/>
    <x v="0"/>
    <x v="1"/>
    <x v="1"/>
  </r>
  <r>
    <x v="873"/>
    <x v="1"/>
    <x v="25"/>
    <x v="856"/>
    <x v="758"/>
    <x v="936"/>
    <x v="1"/>
    <x v="0"/>
    <x v="856"/>
    <x v="0"/>
    <x v="0"/>
    <x v="0"/>
    <x v="0"/>
    <x v="0"/>
    <x v="2"/>
    <x v="936"/>
    <x v="924"/>
    <x v="856"/>
    <x v="1"/>
    <x v="10"/>
    <x v="0"/>
    <x v="17"/>
    <x v="17"/>
    <x v="0"/>
    <x v="0"/>
    <x v="0"/>
    <x v="25"/>
    <x v="0"/>
    <x v="0"/>
    <x v="1"/>
    <x v="1"/>
  </r>
  <r>
    <x v="872"/>
    <x v="1"/>
    <x v="25"/>
    <x v="855"/>
    <x v="759"/>
    <x v="937"/>
    <x v="1"/>
    <x v="0"/>
    <x v="855"/>
    <x v="0"/>
    <x v="0"/>
    <x v="0"/>
    <x v="0"/>
    <x v="0"/>
    <x v="2"/>
    <x v="937"/>
    <x v="925"/>
    <x v="855"/>
    <x v="1"/>
    <x v="10"/>
    <x v="0"/>
    <x v="17"/>
    <x v="17"/>
    <x v="0"/>
    <x v="0"/>
    <x v="0"/>
    <x v="25"/>
    <x v="0"/>
    <x v="0"/>
    <x v="1"/>
    <x v="1"/>
  </r>
  <r>
    <x v="871"/>
    <x v="1"/>
    <x v="25"/>
    <x v="854"/>
    <x v="756"/>
    <x v="935"/>
    <x v="1"/>
    <x v="0"/>
    <x v="854"/>
    <x v="0"/>
    <x v="0"/>
    <x v="0"/>
    <x v="0"/>
    <x v="0"/>
    <x v="2"/>
    <x v="935"/>
    <x v="923"/>
    <x v="854"/>
    <x v="1"/>
    <x v="10"/>
    <x v="0"/>
    <x v="17"/>
    <x v="17"/>
    <x v="0"/>
    <x v="0"/>
    <x v="0"/>
    <x v="25"/>
    <x v="0"/>
    <x v="0"/>
    <x v="1"/>
    <x v="1"/>
  </r>
  <r>
    <x v="870"/>
    <x v="1"/>
    <x v="25"/>
    <x v="853"/>
    <x v="782"/>
    <x v="956"/>
    <x v="1"/>
    <x v="0"/>
    <x v="853"/>
    <x v="0"/>
    <x v="0"/>
    <x v="0"/>
    <x v="0"/>
    <x v="0"/>
    <x v="2"/>
    <x v="956"/>
    <x v="944"/>
    <x v="853"/>
    <x v="1"/>
    <x v="10"/>
    <x v="0"/>
    <x v="17"/>
    <x v="17"/>
    <x v="0"/>
    <x v="0"/>
    <x v="0"/>
    <x v="25"/>
    <x v="0"/>
    <x v="0"/>
    <x v="1"/>
    <x v="1"/>
  </r>
  <r>
    <x v="869"/>
    <x v="1"/>
    <x v="25"/>
    <x v="852"/>
    <x v="781"/>
    <x v="955"/>
    <x v="1"/>
    <x v="0"/>
    <x v="852"/>
    <x v="0"/>
    <x v="0"/>
    <x v="0"/>
    <x v="0"/>
    <x v="0"/>
    <x v="2"/>
    <x v="955"/>
    <x v="943"/>
    <x v="852"/>
    <x v="1"/>
    <x v="10"/>
    <x v="0"/>
    <x v="17"/>
    <x v="17"/>
    <x v="0"/>
    <x v="0"/>
    <x v="0"/>
    <x v="25"/>
    <x v="0"/>
    <x v="0"/>
    <x v="1"/>
    <x v="1"/>
  </r>
  <r>
    <x v="868"/>
    <x v="1"/>
    <x v="25"/>
    <x v="851"/>
    <x v="755"/>
    <x v="934"/>
    <x v="1"/>
    <x v="0"/>
    <x v="851"/>
    <x v="0"/>
    <x v="0"/>
    <x v="0"/>
    <x v="0"/>
    <x v="0"/>
    <x v="2"/>
    <x v="934"/>
    <x v="922"/>
    <x v="851"/>
    <x v="1"/>
    <x v="10"/>
    <x v="0"/>
    <x v="17"/>
    <x v="17"/>
    <x v="0"/>
    <x v="0"/>
    <x v="0"/>
    <x v="25"/>
    <x v="0"/>
    <x v="0"/>
    <x v="1"/>
    <x v="1"/>
  </r>
  <r>
    <x v="867"/>
    <x v="1"/>
    <x v="25"/>
    <x v="850"/>
    <x v="783"/>
    <x v="957"/>
    <x v="1"/>
    <x v="0"/>
    <x v="850"/>
    <x v="0"/>
    <x v="0"/>
    <x v="0"/>
    <x v="0"/>
    <x v="0"/>
    <x v="2"/>
    <x v="957"/>
    <x v="945"/>
    <x v="850"/>
    <x v="1"/>
    <x v="10"/>
    <x v="0"/>
    <x v="17"/>
    <x v="17"/>
    <x v="0"/>
    <x v="0"/>
    <x v="0"/>
    <x v="25"/>
    <x v="0"/>
    <x v="0"/>
    <x v="1"/>
    <x v="1"/>
  </r>
  <r>
    <x v="866"/>
    <x v="1"/>
    <x v="25"/>
    <x v="849"/>
    <x v="751"/>
    <x v="931"/>
    <x v="1"/>
    <x v="0"/>
    <x v="849"/>
    <x v="0"/>
    <x v="0"/>
    <x v="0"/>
    <x v="0"/>
    <x v="0"/>
    <x v="2"/>
    <x v="931"/>
    <x v="919"/>
    <x v="849"/>
    <x v="1"/>
    <x v="10"/>
    <x v="0"/>
    <x v="17"/>
    <x v="17"/>
    <x v="0"/>
    <x v="0"/>
    <x v="0"/>
    <x v="25"/>
    <x v="0"/>
    <x v="0"/>
    <x v="1"/>
    <x v="1"/>
  </r>
  <r>
    <x v="865"/>
    <x v="1"/>
    <x v="25"/>
    <x v="848"/>
    <x v="752"/>
    <x v="932"/>
    <x v="1"/>
    <x v="0"/>
    <x v="848"/>
    <x v="0"/>
    <x v="0"/>
    <x v="0"/>
    <x v="0"/>
    <x v="0"/>
    <x v="2"/>
    <x v="932"/>
    <x v="920"/>
    <x v="848"/>
    <x v="1"/>
    <x v="10"/>
    <x v="0"/>
    <x v="17"/>
    <x v="17"/>
    <x v="0"/>
    <x v="0"/>
    <x v="0"/>
    <x v="25"/>
    <x v="0"/>
    <x v="0"/>
    <x v="1"/>
    <x v="1"/>
  </r>
  <r>
    <x v="864"/>
    <x v="1"/>
    <x v="25"/>
    <x v="847"/>
    <x v="779"/>
    <x v="953"/>
    <x v="1"/>
    <x v="0"/>
    <x v="847"/>
    <x v="0"/>
    <x v="0"/>
    <x v="0"/>
    <x v="0"/>
    <x v="0"/>
    <x v="2"/>
    <x v="953"/>
    <x v="941"/>
    <x v="847"/>
    <x v="1"/>
    <x v="10"/>
    <x v="0"/>
    <x v="17"/>
    <x v="17"/>
    <x v="0"/>
    <x v="0"/>
    <x v="0"/>
    <x v="25"/>
    <x v="0"/>
    <x v="0"/>
    <x v="1"/>
    <x v="1"/>
  </r>
  <r>
    <x v="863"/>
    <x v="1"/>
    <x v="25"/>
    <x v="846"/>
    <x v="773"/>
    <x v="948"/>
    <x v="1"/>
    <x v="0"/>
    <x v="846"/>
    <x v="0"/>
    <x v="0"/>
    <x v="0"/>
    <x v="0"/>
    <x v="0"/>
    <x v="2"/>
    <x v="948"/>
    <x v="936"/>
    <x v="846"/>
    <x v="1"/>
    <x v="10"/>
    <x v="0"/>
    <x v="17"/>
    <x v="17"/>
    <x v="0"/>
    <x v="0"/>
    <x v="0"/>
    <x v="25"/>
    <x v="0"/>
    <x v="0"/>
    <x v="1"/>
    <x v="1"/>
  </r>
  <r>
    <x v="862"/>
    <x v="1"/>
    <x v="25"/>
    <x v="845"/>
    <x v="772"/>
    <x v="947"/>
    <x v="1"/>
    <x v="0"/>
    <x v="845"/>
    <x v="0"/>
    <x v="0"/>
    <x v="0"/>
    <x v="0"/>
    <x v="0"/>
    <x v="2"/>
    <x v="947"/>
    <x v="935"/>
    <x v="845"/>
    <x v="1"/>
    <x v="10"/>
    <x v="0"/>
    <x v="17"/>
    <x v="17"/>
    <x v="0"/>
    <x v="0"/>
    <x v="0"/>
    <x v="25"/>
    <x v="0"/>
    <x v="0"/>
    <x v="1"/>
    <x v="1"/>
  </r>
  <r>
    <x v="861"/>
    <x v="1"/>
    <x v="25"/>
    <x v="844"/>
    <x v="771"/>
    <x v="946"/>
    <x v="1"/>
    <x v="0"/>
    <x v="844"/>
    <x v="0"/>
    <x v="0"/>
    <x v="0"/>
    <x v="0"/>
    <x v="0"/>
    <x v="2"/>
    <x v="946"/>
    <x v="934"/>
    <x v="844"/>
    <x v="1"/>
    <x v="10"/>
    <x v="0"/>
    <x v="17"/>
    <x v="17"/>
    <x v="0"/>
    <x v="0"/>
    <x v="0"/>
    <x v="25"/>
    <x v="0"/>
    <x v="0"/>
    <x v="1"/>
    <x v="1"/>
  </r>
  <r>
    <x v="860"/>
    <x v="1"/>
    <x v="25"/>
    <x v="843"/>
    <x v="764"/>
    <x v="941"/>
    <x v="1"/>
    <x v="0"/>
    <x v="843"/>
    <x v="0"/>
    <x v="0"/>
    <x v="0"/>
    <x v="0"/>
    <x v="0"/>
    <x v="2"/>
    <x v="941"/>
    <x v="929"/>
    <x v="843"/>
    <x v="1"/>
    <x v="10"/>
    <x v="0"/>
    <x v="17"/>
    <x v="17"/>
    <x v="0"/>
    <x v="0"/>
    <x v="0"/>
    <x v="25"/>
    <x v="0"/>
    <x v="0"/>
    <x v="1"/>
    <x v="1"/>
  </r>
  <r>
    <x v="859"/>
    <x v="1"/>
    <x v="25"/>
    <x v="842"/>
    <x v="754"/>
    <x v="933"/>
    <x v="1"/>
    <x v="0"/>
    <x v="842"/>
    <x v="0"/>
    <x v="0"/>
    <x v="0"/>
    <x v="0"/>
    <x v="0"/>
    <x v="2"/>
    <x v="933"/>
    <x v="921"/>
    <x v="842"/>
    <x v="1"/>
    <x v="10"/>
    <x v="0"/>
    <x v="17"/>
    <x v="17"/>
    <x v="0"/>
    <x v="0"/>
    <x v="0"/>
    <x v="25"/>
    <x v="0"/>
    <x v="0"/>
    <x v="1"/>
    <x v="1"/>
  </r>
  <r>
    <x v="858"/>
    <x v="1"/>
    <x v="25"/>
    <x v="841"/>
    <x v="748"/>
    <x v="928"/>
    <x v="1"/>
    <x v="0"/>
    <x v="841"/>
    <x v="0"/>
    <x v="0"/>
    <x v="0"/>
    <x v="0"/>
    <x v="0"/>
    <x v="2"/>
    <x v="928"/>
    <x v="916"/>
    <x v="841"/>
    <x v="1"/>
    <x v="10"/>
    <x v="0"/>
    <x v="17"/>
    <x v="17"/>
    <x v="0"/>
    <x v="0"/>
    <x v="0"/>
    <x v="25"/>
    <x v="0"/>
    <x v="0"/>
    <x v="1"/>
    <x v="1"/>
  </r>
  <r>
    <x v="857"/>
    <x v="1"/>
    <x v="25"/>
    <x v="840"/>
    <x v="750"/>
    <x v="930"/>
    <x v="1"/>
    <x v="0"/>
    <x v="840"/>
    <x v="0"/>
    <x v="0"/>
    <x v="0"/>
    <x v="0"/>
    <x v="0"/>
    <x v="2"/>
    <x v="930"/>
    <x v="918"/>
    <x v="840"/>
    <x v="1"/>
    <x v="10"/>
    <x v="0"/>
    <x v="17"/>
    <x v="17"/>
    <x v="0"/>
    <x v="0"/>
    <x v="0"/>
    <x v="25"/>
    <x v="0"/>
    <x v="0"/>
    <x v="1"/>
    <x v="1"/>
  </r>
  <r>
    <x v="856"/>
    <x v="1"/>
    <x v="25"/>
    <x v="839"/>
    <x v="749"/>
    <x v="929"/>
    <x v="1"/>
    <x v="0"/>
    <x v="839"/>
    <x v="0"/>
    <x v="0"/>
    <x v="0"/>
    <x v="0"/>
    <x v="0"/>
    <x v="2"/>
    <x v="929"/>
    <x v="917"/>
    <x v="839"/>
    <x v="1"/>
    <x v="10"/>
    <x v="0"/>
    <x v="17"/>
    <x v="17"/>
    <x v="0"/>
    <x v="0"/>
    <x v="0"/>
    <x v="25"/>
    <x v="0"/>
    <x v="0"/>
    <x v="1"/>
    <x v="1"/>
  </r>
  <r>
    <x v="855"/>
    <x v="1"/>
    <x v="25"/>
    <x v="838"/>
    <x v="746"/>
    <x v="926"/>
    <x v="1"/>
    <x v="0"/>
    <x v="838"/>
    <x v="0"/>
    <x v="0"/>
    <x v="0"/>
    <x v="0"/>
    <x v="0"/>
    <x v="2"/>
    <x v="926"/>
    <x v="914"/>
    <x v="838"/>
    <x v="1"/>
    <x v="10"/>
    <x v="0"/>
    <x v="17"/>
    <x v="17"/>
    <x v="0"/>
    <x v="0"/>
    <x v="0"/>
    <x v="25"/>
    <x v="0"/>
    <x v="0"/>
    <x v="1"/>
    <x v="1"/>
  </r>
  <r>
    <x v="854"/>
    <x v="1"/>
    <x v="25"/>
    <x v="837"/>
    <x v="747"/>
    <x v="927"/>
    <x v="1"/>
    <x v="0"/>
    <x v="837"/>
    <x v="0"/>
    <x v="0"/>
    <x v="0"/>
    <x v="0"/>
    <x v="0"/>
    <x v="2"/>
    <x v="927"/>
    <x v="915"/>
    <x v="837"/>
    <x v="1"/>
    <x v="10"/>
    <x v="0"/>
    <x v="17"/>
    <x v="17"/>
    <x v="0"/>
    <x v="0"/>
    <x v="0"/>
    <x v="25"/>
    <x v="0"/>
    <x v="0"/>
    <x v="1"/>
    <x v="1"/>
  </r>
  <r>
    <x v="853"/>
    <x v="1"/>
    <x v="25"/>
    <x v="836"/>
    <x v="113"/>
    <x v="925"/>
    <x v="1"/>
    <x v="0"/>
    <x v="836"/>
    <x v="0"/>
    <x v="0"/>
    <x v="0"/>
    <x v="0"/>
    <x v="0"/>
    <x v="2"/>
    <x v="925"/>
    <x v="913"/>
    <x v="836"/>
    <x v="1"/>
    <x v="10"/>
    <x v="0"/>
    <x v="17"/>
    <x v="17"/>
    <x v="0"/>
    <x v="0"/>
    <x v="0"/>
    <x v="25"/>
    <x v="0"/>
    <x v="0"/>
    <x v="1"/>
    <x v="1"/>
  </r>
  <r>
    <x v="852"/>
    <x v="1"/>
    <x v="25"/>
    <x v="835"/>
    <x v="761"/>
    <x v="939"/>
    <x v="1"/>
    <x v="0"/>
    <x v="835"/>
    <x v="0"/>
    <x v="0"/>
    <x v="0"/>
    <x v="0"/>
    <x v="0"/>
    <x v="2"/>
    <x v="939"/>
    <x v="927"/>
    <x v="835"/>
    <x v="1"/>
    <x v="10"/>
    <x v="0"/>
    <x v="17"/>
    <x v="17"/>
    <x v="0"/>
    <x v="0"/>
    <x v="0"/>
    <x v="25"/>
    <x v="0"/>
    <x v="0"/>
    <x v="1"/>
    <x v="1"/>
  </r>
  <r>
    <x v="851"/>
    <x v="1"/>
    <x v="25"/>
    <x v="834"/>
    <x v="744"/>
    <x v="923"/>
    <x v="1"/>
    <x v="0"/>
    <x v="834"/>
    <x v="0"/>
    <x v="0"/>
    <x v="0"/>
    <x v="0"/>
    <x v="0"/>
    <x v="2"/>
    <x v="923"/>
    <x v="911"/>
    <x v="834"/>
    <x v="1"/>
    <x v="10"/>
    <x v="0"/>
    <x v="17"/>
    <x v="17"/>
    <x v="0"/>
    <x v="0"/>
    <x v="0"/>
    <x v="25"/>
    <x v="0"/>
    <x v="0"/>
    <x v="1"/>
    <x v="1"/>
  </r>
  <r>
    <x v="850"/>
    <x v="1"/>
    <x v="25"/>
    <x v="833"/>
    <x v="745"/>
    <x v="924"/>
    <x v="1"/>
    <x v="0"/>
    <x v="833"/>
    <x v="0"/>
    <x v="0"/>
    <x v="0"/>
    <x v="0"/>
    <x v="0"/>
    <x v="2"/>
    <x v="924"/>
    <x v="912"/>
    <x v="833"/>
    <x v="1"/>
    <x v="10"/>
    <x v="0"/>
    <x v="17"/>
    <x v="17"/>
    <x v="0"/>
    <x v="0"/>
    <x v="0"/>
    <x v="25"/>
    <x v="0"/>
    <x v="0"/>
    <x v="1"/>
    <x v="1"/>
  </r>
  <r>
    <x v="849"/>
    <x v="1"/>
    <x v="25"/>
    <x v="832"/>
    <x v="243"/>
    <x v="635"/>
    <x v="1"/>
    <x v="0"/>
    <x v="832"/>
    <x v="0"/>
    <x v="0"/>
    <x v="0"/>
    <x v="0"/>
    <x v="0"/>
    <x v="2"/>
    <x v="635"/>
    <x v="623"/>
    <x v="832"/>
    <x v="1"/>
    <x v="10"/>
    <x v="0"/>
    <x v="17"/>
    <x v="17"/>
    <x v="0"/>
    <x v="0"/>
    <x v="0"/>
    <x v="25"/>
    <x v="0"/>
    <x v="0"/>
    <x v="1"/>
    <x v="1"/>
  </r>
  <r>
    <x v="848"/>
    <x v="1"/>
    <x v="25"/>
    <x v="831"/>
    <x v="247"/>
    <x v="639"/>
    <x v="1"/>
    <x v="0"/>
    <x v="831"/>
    <x v="0"/>
    <x v="0"/>
    <x v="0"/>
    <x v="0"/>
    <x v="0"/>
    <x v="2"/>
    <x v="639"/>
    <x v="627"/>
    <x v="831"/>
    <x v="1"/>
    <x v="10"/>
    <x v="0"/>
    <x v="17"/>
    <x v="17"/>
    <x v="0"/>
    <x v="0"/>
    <x v="0"/>
    <x v="25"/>
    <x v="0"/>
    <x v="0"/>
    <x v="1"/>
    <x v="1"/>
  </r>
  <r>
    <x v="847"/>
    <x v="1"/>
    <x v="25"/>
    <x v="830"/>
    <x v="242"/>
    <x v="634"/>
    <x v="1"/>
    <x v="0"/>
    <x v="830"/>
    <x v="0"/>
    <x v="0"/>
    <x v="0"/>
    <x v="0"/>
    <x v="0"/>
    <x v="2"/>
    <x v="634"/>
    <x v="622"/>
    <x v="830"/>
    <x v="1"/>
    <x v="10"/>
    <x v="0"/>
    <x v="17"/>
    <x v="17"/>
    <x v="0"/>
    <x v="0"/>
    <x v="0"/>
    <x v="25"/>
    <x v="0"/>
    <x v="0"/>
    <x v="1"/>
    <x v="1"/>
  </r>
  <r>
    <x v="846"/>
    <x v="1"/>
    <x v="25"/>
    <x v="829"/>
    <x v="249"/>
    <x v="641"/>
    <x v="1"/>
    <x v="0"/>
    <x v="829"/>
    <x v="0"/>
    <x v="0"/>
    <x v="0"/>
    <x v="0"/>
    <x v="0"/>
    <x v="2"/>
    <x v="641"/>
    <x v="629"/>
    <x v="829"/>
    <x v="1"/>
    <x v="10"/>
    <x v="0"/>
    <x v="17"/>
    <x v="17"/>
    <x v="0"/>
    <x v="0"/>
    <x v="0"/>
    <x v="25"/>
    <x v="0"/>
    <x v="0"/>
    <x v="1"/>
    <x v="1"/>
  </r>
  <r>
    <x v="845"/>
    <x v="1"/>
    <x v="25"/>
    <x v="828"/>
    <x v="244"/>
    <x v="636"/>
    <x v="1"/>
    <x v="0"/>
    <x v="828"/>
    <x v="0"/>
    <x v="0"/>
    <x v="0"/>
    <x v="0"/>
    <x v="0"/>
    <x v="2"/>
    <x v="636"/>
    <x v="624"/>
    <x v="828"/>
    <x v="1"/>
    <x v="10"/>
    <x v="0"/>
    <x v="17"/>
    <x v="17"/>
    <x v="0"/>
    <x v="0"/>
    <x v="0"/>
    <x v="25"/>
    <x v="0"/>
    <x v="0"/>
    <x v="1"/>
    <x v="1"/>
  </r>
  <r>
    <x v="844"/>
    <x v="1"/>
    <x v="25"/>
    <x v="827"/>
    <x v="235"/>
    <x v="632"/>
    <x v="1"/>
    <x v="0"/>
    <x v="827"/>
    <x v="0"/>
    <x v="0"/>
    <x v="0"/>
    <x v="0"/>
    <x v="0"/>
    <x v="2"/>
    <x v="632"/>
    <x v="620"/>
    <x v="827"/>
    <x v="1"/>
    <x v="10"/>
    <x v="0"/>
    <x v="17"/>
    <x v="17"/>
    <x v="0"/>
    <x v="0"/>
    <x v="0"/>
    <x v="25"/>
    <x v="0"/>
    <x v="0"/>
    <x v="1"/>
    <x v="1"/>
  </r>
  <r>
    <x v="843"/>
    <x v="1"/>
    <x v="25"/>
    <x v="826"/>
    <x v="246"/>
    <x v="638"/>
    <x v="1"/>
    <x v="0"/>
    <x v="826"/>
    <x v="0"/>
    <x v="0"/>
    <x v="0"/>
    <x v="0"/>
    <x v="0"/>
    <x v="2"/>
    <x v="638"/>
    <x v="626"/>
    <x v="826"/>
    <x v="1"/>
    <x v="10"/>
    <x v="0"/>
    <x v="17"/>
    <x v="17"/>
    <x v="0"/>
    <x v="0"/>
    <x v="0"/>
    <x v="25"/>
    <x v="0"/>
    <x v="0"/>
    <x v="1"/>
    <x v="1"/>
  </r>
  <r>
    <x v="842"/>
    <x v="1"/>
    <x v="25"/>
    <x v="825"/>
    <x v="223"/>
    <x v="624"/>
    <x v="1"/>
    <x v="0"/>
    <x v="825"/>
    <x v="0"/>
    <x v="0"/>
    <x v="0"/>
    <x v="0"/>
    <x v="0"/>
    <x v="2"/>
    <x v="624"/>
    <x v="612"/>
    <x v="825"/>
    <x v="1"/>
    <x v="10"/>
    <x v="0"/>
    <x v="17"/>
    <x v="17"/>
    <x v="0"/>
    <x v="0"/>
    <x v="0"/>
    <x v="25"/>
    <x v="0"/>
    <x v="0"/>
    <x v="1"/>
    <x v="1"/>
  </r>
  <r>
    <x v="841"/>
    <x v="1"/>
    <x v="25"/>
    <x v="824"/>
    <x v="224"/>
    <x v="625"/>
    <x v="1"/>
    <x v="0"/>
    <x v="824"/>
    <x v="0"/>
    <x v="0"/>
    <x v="0"/>
    <x v="0"/>
    <x v="0"/>
    <x v="2"/>
    <x v="625"/>
    <x v="613"/>
    <x v="824"/>
    <x v="1"/>
    <x v="10"/>
    <x v="0"/>
    <x v="17"/>
    <x v="17"/>
    <x v="0"/>
    <x v="0"/>
    <x v="0"/>
    <x v="25"/>
    <x v="0"/>
    <x v="0"/>
    <x v="1"/>
    <x v="1"/>
  </r>
  <r>
    <x v="840"/>
    <x v="1"/>
    <x v="25"/>
    <x v="823"/>
    <x v="245"/>
    <x v="637"/>
    <x v="1"/>
    <x v="0"/>
    <x v="823"/>
    <x v="0"/>
    <x v="0"/>
    <x v="0"/>
    <x v="0"/>
    <x v="0"/>
    <x v="2"/>
    <x v="637"/>
    <x v="625"/>
    <x v="823"/>
    <x v="1"/>
    <x v="10"/>
    <x v="0"/>
    <x v="17"/>
    <x v="17"/>
    <x v="0"/>
    <x v="0"/>
    <x v="0"/>
    <x v="25"/>
    <x v="0"/>
    <x v="0"/>
    <x v="1"/>
    <x v="1"/>
  </r>
  <r>
    <x v="839"/>
    <x v="1"/>
    <x v="25"/>
    <x v="822"/>
    <x v="221"/>
    <x v="622"/>
    <x v="1"/>
    <x v="0"/>
    <x v="822"/>
    <x v="0"/>
    <x v="0"/>
    <x v="0"/>
    <x v="0"/>
    <x v="0"/>
    <x v="2"/>
    <x v="622"/>
    <x v="610"/>
    <x v="822"/>
    <x v="1"/>
    <x v="10"/>
    <x v="0"/>
    <x v="17"/>
    <x v="17"/>
    <x v="0"/>
    <x v="0"/>
    <x v="0"/>
    <x v="25"/>
    <x v="0"/>
    <x v="0"/>
    <x v="1"/>
    <x v="1"/>
  </r>
  <r>
    <x v="838"/>
    <x v="1"/>
    <x v="25"/>
    <x v="821"/>
    <x v="226"/>
    <x v="626"/>
    <x v="1"/>
    <x v="0"/>
    <x v="821"/>
    <x v="0"/>
    <x v="0"/>
    <x v="0"/>
    <x v="0"/>
    <x v="0"/>
    <x v="2"/>
    <x v="626"/>
    <x v="614"/>
    <x v="821"/>
    <x v="1"/>
    <x v="10"/>
    <x v="0"/>
    <x v="17"/>
    <x v="17"/>
    <x v="0"/>
    <x v="0"/>
    <x v="0"/>
    <x v="25"/>
    <x v="0"/>
    <x v="0"/>
    <x v="1"/>
    <x v="1"/>
  </r>
  <r>
    <x v="837"/>
    <x v="1"/>
    <x v="25"/>
    <x v="820"/>
    <x v="220"/>
    <x v="621"/>
    <x v="1"/>
    <x v="0"/>
    <x v="820"/>
    <x v="0"/>
    <x v="0"/>
    <x v="0"/>
    <x v="0"/>
    <x v="0"/>
    <x v="2"/>
    <x v="621"/>
    <x v="609"/>
    <x v="820"/>
    <x v="1"/>
    <x v="10"/>
    <x v="0"/>
    <x v="17"/>
    <x v="17"/>
    <x v="0"/>
    <x v="0"/>
    <x v="0"/>
    <x v="25"/>
    <x v="0"/>
    <x v="0"/>
    <x v="1"/>
    <x v="1"/>
  </r>
  <r>
    <x v="836"/>
    <x v="1"/>
    <x v="25"/>
    <x v="819"/>
    <x v="248"/>
    <x v="640"/>
    <x v="1"/>
    <x v="0"/>
    <x v="819"/>
    <x v="0"/>
    <x v="0"/>
    <x v="0"/>
    <x v="0"/>
    <x v="0"/>
    <x v="2"/>
    <x v="640"/>
    <x v="628"/>
    <x v="819"/>
    <x v="1"/>
    <x v="10"/>
    <x v="0"/>
    <x v="17"/>
    <x v="17"/>
    <x v="0"/>
    <x v="0"/>
    <x v="0"/>
    <x v="25"/>
    <x v="0"/>
    <x v="0"/>
    <x v="1"/>
    <x v="1"/>
  </r>
  <r>
    <x v="835"/>
    <x v="1"/>
    <x v="25"/>
    <x v="818"/>
    <x v="234"/>
    <x v="630"/>
    <x v="1"/>
    <x v="0"/>
    <x v="818"/>
    <x v="0"/>
    <x v="0"/>
    <x v="0"/>
    <x v="0"/>
    <x v="0"/>
    <x v="2"/>
    <x v="630"/>
    <x v="618"/>
    <x v="818"/>
    <x v="1"/>
    <x v="10"/>
    <x v="0"/>
    <x v="17"/>
    <x v="17"/>
    <x v="0"/>
    <x v="0"/>
    <x v="0"/>
    <x v="25"/>
    <x v="0"/>
    <x v="0"/>
    <x v="1"/>
    <x v="1"/>
  </r>
  <r>
    <x v="834"/>
    <x v="1"/>
    <x v="25"/>
    <x v="817"/>
    <x v="240"/>
    <x v="633"/>
    <x v="1"/>
    <x v="0"/>
    <x v="817"/>
    <x v="0"/>
    <x v="0"/>
    <x v="0"/>
    <x v="0"/>
    <x v="0"/>
    <x v="2"/>
    <x v="633"/>
    <x v="621"/>
    <x v="817"/>
    <x v="1"/>
    <x v="10"/>
    <x v="0"/>
    <x v="17"/>
    <x v="17"/>
    <x v="0"/>
    <x v="0"/>
    <x v="0"/>
    <x v="25"/>
    <x v="0"/>
    <x v="0"/>
    <x v="1"/>
    <x v="1"/>
  </r>
  <r>
    <x v="833"/>
    <x v="1"/>
    <x v="25"/>
    <x v="816"/>
    <x v="222"/>
    <x v="623"/>
    <x v="1"/>
    <x v="0"/>
    <x v="816"/>
    <x v="0"/>
    <x v="0"/>
    <x v="0"/>
    <x v="0"/>
    <x v="0"/>
    <x v="2"/>
    <x v="623"/>
    <x v="611"/>
    <x v="816"/>
    <x v="1"/>
    <x v="10"/>
    <x v="0"/>
    <x v="17"/>
    <x v="17"/>
    <x v="0"/>
    <x v="0"/>
    <x v="0"/>
    <x v="25"/>
    <x v="0"/>
    <x v="0"/>
    <x v="1"/>
    <x v="1"/>
  </r>
  <r>
    <x v="832"/>
    <x v="1"/>
    <x v="25"/>
    <x v="815"/>
    <x v="232"/>
    <x v="628"/>
    <x v="1"/>
    <x v="0"/>
    <x v="815"/>
    <x v="0"/>
    <x v="0"/>
    <x v="0"/>
    <x v="0"/>
    <x v="0"/>
    <x v="2"/>
    <x v="628"/>
    <x v="616"/>
    <x v="815"/>
    <x v="1"/>
    <x v="10"/>
    <x v="0"/>
    <x v="17"/>
    <x v="17"/>
    <x v="0"/>
    <x v="0"/>
    <x v="0"/>
    <x v="25"/>
    <x v="0"/>
    <x v="0"/>
    <x v="1"/>
    <x v="1"/>
  </r>
  <r>
    <x v="831"/>
    <x v="1"/>
    <x v="25"/>
    <x v="814"/>
    <x v="233"/>
    <x v="629"/>
    <x v="1"/>
    <x v="0"/>
    <x v="814"/>
    <x v="0"/>
    <x v="0"/>
    <x v="0"/>
    <x v="0"/>
    <x v="0"/>
    <x v="2"/>
    <x v="629"/>
    <x v="617"/>
    <x v="814"/>
    <x v="1"/>
    <x v="10"/>
    <x v="0"/>
    <x v="17"/>
    <x v="17"/>
    <x v="0"/>
    <x v="0"/>
    <x v="0"/>
    <x v="25"/>
    <x v="0"/>
    <x v="0"/>
    <x v="1"/>
    <x v="1"/>
  </r>
  <r>
    <x v="830"/>
    <x v="1"/>
    <x v="25"/>
    <x v="813"/>
    <x v="214"/>
    <x v="617"/>
    <x v="1"/>
    <x v="0"/>
    <x v="813"/>
    <x v="0"/>
    <x v="0"/>
    <x v="0"/>
    <x v="0"/>
    <x v="0"/>
    <x v="2"/>
    <x v="617"/>
    <x v="605"/>
    <x v="813"/>
    <x v="1"/>
    <x v="10"/>
    <x v="0"/>
    <x v="17"/>
    <x v="17"/>
    <x v="0"/>
    <x v="0"/>
    <x v="0"/>
    <x v="25"/>
    <x v="0"/>
    <x v="0"/>
    <x v="1"/>
    <x v="1"/>
  </r>
  <r>
    <x v="829"/>
    <x v="1"/>
    <x v="25"/>
    <x v="812"/>
    <x v="216"/>
    <x v="620"/>
    <x v="1"/>
    <x v="0"/>
    <x v="812"/>
    <x v="0"/>
    <x v="0"/>
    <x v="0"/>
    <x v="0"/>
    <x v="0"/>
    <x v="2"/>
    <x v="620"/>
    <x v="608"/>
    <x v="812"/>
    <x v="1"/>
    <x v="10"/>
    <x v="0"/>
    <x v="17"/>
    <x v="17"/>
    <x v="0"/>
    <x v="0"/>
    <x v="0"/>
    <x v="25"/>
    <x v="0"/>
    <x v="0"/>
    <x v="1"/>
    <x v="1"/>
  </r>
  <r>
    <x v="828"/>
    <x v="1"/>
    <x v="25"/>
    <x v="811"/>
    <x v="215"/>
    <x v="618"/>
    <x v="1"/>
    <x v="0"/>
    <x v="811"/>
    <x v="0"/>
    <x v="0"/>
    <x v="0"/>
    <x v="0"/>
    <x v="0"/>
    <x v="2"/>
    <x v="618"/>
    <x v="606"/>
    <x v="811"/>
    <x v="1"/>
    <x v="10"/>
    <x v="0"/>
    <x v="17"/>
    <x v="17"/>
    <x v="0"/>
    <x v="0"/>
    <x v="0"/>
    <x v="25"/>
    <x v="0"/>
    <x v="0"/>
    <x v="1"/>
    <x v="1"/>
  </r>
  <r>
    <x v="827"/>
    <x v="1"/>
    <x v="25"/>
    <x v="810"/>
    <x v="321"/>
    <x v="692"/>
    <x v="1"/>
    <x v="0"/>
    <x v="810"/>
    <x v="0"/>
    <x v="0"/>
    <x v="0"/>
    <x v="0"/>
    <x v="0"/>
    <x v="2"/>
    <x v="692"/>
    <x v="680"/>
    <x v="810"/>
    <x v="1"/>
    <x v="10"/>
    <x v="0"/>
    <x v="17"/>
    <x v="17"/>
    <x v="0"/>
    <x v="0"/>
    <x v="0"/>
    <x v="25"/>
    <x v="0"/>
    <x v="0"/>
    <x v="1"/>
    <x v="1"/>
  </r>
  <r>
    <x v="826"/>
    <x v="1"/>
    <x v="25"/>
    <x v="809"/>
    <x v="331"/>
    <x v="694"/>
    <x v="1"/>
    <x v="0"/>
    <x v="809"/>
    <x v="0"/>
    <x v="0"/>
    <x v="0"/>
    <x v="0"/>
    <x v="0"/>
    <x v="2"/>
    <x v="694"/>
    <x v="682"/>
    <x v="809"/>
    <x v="1"/>
    <x v="10"/>
    <x v="0"/>
    <x v="17"/>
    <x v="17"/>
    <x v="0"/>
    <x v="0"/>
    <x v="0"/>
    <x v="25"/>
    <x v="0"/>
    <x v="0"/>
    <x v="1"/>
    <x v="1"/>
  </r>
  <r>
    <x v="825"/>
    <x v="1"/>
    <x v="25"/>
    <x v="808"/>
    <x v="322"/>
    <x v="690"/>
    <x v="1"/>
    <x v="0"/>
    <x v="808"/>
    <x v="0"/>
    <x v="0"/>
    <x v="0"/>
    <x v="0"/>
    <x v="0"/>
    <x v="2"/>
    <x v="690"/>
    <x v="678"/>
    <x v="808"/>
    <x v="1"/>
    <x v="10"/>
    <x v="0"/>
    <x v="17"/>
    <x v="17"/>
    <x v="0"/>
    <x v="0"/>
    <x v="0"/>
    <x v="25"/>
    <x v="0"/>
    <x v="0"/>
    <x v="1"/>
    <x v="1"/>
  </r>
  <r>
    <x v="824"/>
    <x v="1"/>
    <x v="25"/>
    <x v="807"/>
    <x v="339"/>
    <x v="699"/>
    <x v="1"/>
    <x v="0"/>
    <x v="807"/>
    <x v="0"/>
    <x v="0"/>
    <x v="0"/>
    <x v="0"/>
    <x v="0"/>
    <x v="2"/>
    <x v="699"/>
    <x v="687"/>
    <x v="807"/>
    <x v="1"/>
    <x v="10"/>
    <x v="0"/>
    <x v="17"/>
    <x v="17"/>
    <x v="0"/>
    <x v="0"/>
    <x v="0"/>
    <x v="25"/>
    <x v="0"/>
    <x v="0"/>
    <x v="1"/>
    <x v="1"/>
  </r>
  <r>
    <x v="823"/>
    <x v="1"/>
    <x v="25"/>
    <x v="806"/>
    <x v="338"/>
    <x v="697"/>
    <x v="1"/>
    <x v="0"/>
    <x v="806"/>
    <x v="0"/>
    <x v="0"/>
    <x v="0"/>
    <x v="0"/>
    <x v="0"/>
    <x v="2"/>
    <x v="697"/>
    <x v="685"/>
    <x v="806"/>
    <x v="1"/>
    <x v="10"/>
    <x v="0"/>
    <x v="17"/>
    <x v="17"/>
    <x v="0"/>
    <x v="0"/>
    <x v="0"/>
    <x v="25"/>
    <x v="0"/>
    <x v="0"/>
    <x v="1"/>
    <x v="1"/>
  </r>
  <r>
    <x v="822"/>
    <x v="1"/>
    <x v="25"/>
    <x v="805"/>
    <x v="335"/>
    <x v="696"/>
    <x v="1"/>
    <x v="0"/>
    <x v="805"/>
    <x v="0"/>
    <x v="0"/>
    <x v="0"/>
    <x v="0"/>
    <x v="0"/>
    <x v="2"/>
    <x v="696"/>
    <x v="684"/>
    <x v="805"/>
    <x v="1"/>
    <x v="10"/>
    <x v="0"/>
    <x v="17"/>
    <x v="17"/>
    <x v="0"/>
    <x v="0"/>
    <x v="0"/>
    <x v="25"/>
    <x v="0"/>
    <x v="0"/>
    <x v="1"/>
    <x v="1"/>
  </r>
  <r>
    <x v="821"/>
    <x v="1"/>
    <x v="25"/>
    <x v="804"/>
    <x v="329"/>
    <x v="693"/>
    <x v="1"/>
    <x v="0"/>
    <x v="804"/>
    <x v="0"/>
    <x v="0"/>
    <x v="0"/>
    <x v="0"/>
    <x v="0"/>
    <x v="2"/>
    <x v="693"/>
    <x v="681"/>
    <x v="804"/>
    <x v="1"/>
    <x v="10"/>
    <x v="0"/>
    <x v="17"/>
    <x v="17"/>
    <x v="0"/>
    <x v="0"/>
    <x v="0"/>
    <x v="25"/>
    <x v="0"/>
    <x v="0"/>
    <x v="1"/>
    <x v="1"/>
  </r>
  <r>
    <x v="820"/>
    <x v="1"/>
    <x v="25"/>
    <x v="803"/>
    <x v="318"/>
    <x v="688"/>
    <x v="1"/>
    <x v="0"/>
    <x v="803"/>
    <x v="0"/>
    <x v="0"/>
    <x v="0"/>
    <x v="0"/>
    <x v="0"/>
    <x v="2"/>
    <x v="688"/>
    <x v="676"/>
    <x v="803"/>
    <x v="1"/>
    <x v="10"/>
    <x v="0"/>
    <x v="17"/>
    <x v="17"/>
    <x v="0"/>
    <x v="0"/>
    <x v="0"/>
    <x v="25"/>
    <x v="0"/>
    <x v="0"/>
    <x v="1"/>
    <x v="1"/>
  </r>
  <r>
    <x v="819"/>
    <x v="1"/>
    <x v="25"/>
    <x v="802"/>
    <x v="309"/>
    <x v="682"/>
    <x v="1"/>
    <x v="0"/>
    <x v="802"/>
    <x v="0"/>
    <x v="0"/>
    <x v="0"/>
    <x v="0"/>
    <x v="0"/>
    <x v="2"/>
    <x v="682"/>
    <x v="670"/>
    <x v="802"/>
    <x v="1"/>
    <x v="10"/>
    <x v="0"/>
    <x v="17"/>
    <x v="17"/>
    <x v="0"/>
    <x v="0"/>
    <x v="0"/>
    <x v="25"/>
    <x v="0"/>
    <x v="0"/>
    <x v="1"/>
    <x v="1"/>
  </r>
  <r>
    <x v="818"/>
    <x v="1"/>
    <x v="25"/>
    <x v="801"/>
    <x v="313"/>
    <x v="684"/>
    <x v="1"/>
    <x v="0"/>
    <x v="801"/>
    <x v="0"/>
    <x v="0"/>
    <x v="0"/>
    <x v="0"/>
    <x v="0"/>
    <x v="2"/>
    <x v="684"/>
    <x v="672"/>
    <x v="801"/>
    <x v="1"/>
    <x v="10"/>
    <x v="0"/>
    <x v="17"/>
    <x v="17"/>
    <x v="0"/>
    <x v="0"/>
    <x v="0"/>
    <x v="25"/>
    <x v="0"/>
    <x v="0"/>
    <x v="1"/>
    <x v="1"/>
  </r>
  <r>
    <x v="817"/>
    <x v="1"/>
    <x v="25"/>
    <x v="800"/>
    <x v="333"/>
    <x v="695"/>
    <x v="1"/>
    <x v="0"/>
    <x v="800"/>
    <x v="0"/>
    <x v="0"/>
    <x v="0"/>
    <x v="0"/>
    <x v="0"/>
    <x v="2"/>
    <x v="695"/>
    <x v="683"/>
    <x v="800"/>
    <x v="1"/>
    <x v="10"/>
    <x v="0"/>
    <x v="17"/>
    <x v="17"/>
    <x v="0"/>
    <x v="0"/>
    <x v="0"/>
    <x v="25"/>
    <x v="0"/>
    <x v="0"/>
    <x v="1"/>
    <x v="1"/>
  </r>
  <r>
    <x v="816"/>
    <x v="1"/>
    <x v="25"/>
    <x v="799"/>
    <x v="316"/>
    <x v="687"/>
    <x v="1"/>
    <x v="0"/>
    <x v="799"/>
    <x v="0"/>
    <x v="0"/>
    <x v="0"/>
    <x v="0"/>
    <x v="0"/>
    <x v="2"/>
    <x v="687"/>
    <x v="675"/>
    <x v="799"/>
    <x v="1"/>
    <x v="10"/>
    <x v="0"/>
    <x v="17"/>
    <x v="17"/>
    <x v="0"/>
    <x v="0"/>
    <x v="0"/>
    <x v="25"/>
    <x v="0"/>
    <x v="0"/>
    <x v="1"/>
    <x v="1"/>
  </r>
  <r>
    <x v="815"/>
    <x v="1"/>
    <x v="25"/>
    <x v="798"/>
    <x v="315"/>
    <x v="686"/>
    <x v="1"/>
    <x v="0"/>
    <x v="798"/>
    <x v="0"/>
    <x v="0"/>
    <x v="0"/>
    <x v="0"/>
    <x v="0"/>
    <x v="2"/>
    <x v="686"/>
    <x v="674"/>
    <x v="798"/>
    <x v="1"/>
    <x v="10"/>
    <x v="0"/>
    <x v="17"/>
    <x v="17"/>
    <x v="0"/>
    <x v="0"/>
    <x v="0"/>
    <x v="25"/>
    <x v="0"/>
    <x v="0"/>
    <x v="1"/>
    <x v="1"/>
  </r>
  <r>
    <x v="814"/>
    <x v="1"/>
    <x v="25"/>
    <x v="797"/>
    <x v="307"/>
    <x v="680"/>
    <x v="1"/>
    <x v="0"/>
    <x v="797"/>
    <x v="0"/>
    <x v="0"/>
    <x v="0"/>
    <x v="0"/>
    <x v="0"/>
    <x v="2"/>
    <x v="680"/>
    <x v="668"/>
    <x v="797"/>
    <x v="1"/>
    <x v="10"/>
    <x v="0"/>
    <x v="17"/>
    <x v="17"/>
    <x v="0"/>
    <x v="0"/>
    <x v="0"/>
    <x v="25"/>
    <x v="0"/>
    <x v="0"/>
    <x v="1"/>
    <x v="1"/>
  </r>
  <r>
    <x v="813"/>
    <x v="1"/>
    <x v="25"/>
    <x v="796"/>
    <x v="314"/>
    <x v="685"/>
    <x v="1"/>
    <x v="0"/>
    <x v="796"/>
    <x v="0"/>
    <x v="0"/>
    <x v="0"/>
    <x v="0"/>
    <x v="0"/>
    <x v="2"/>
    <x v="685"/>
    <x v="673"/>
    <x v="796"/>
    <x v="1"/>
    <x v="10"/>
    <x v="0"/>
    <x v="17"/>
    <x v="17"/>
    <x v="0"/>
    <x v="0"/>
    <x v="0"/>
    <x v="25"/>
    <x v="0"/>
    <x v="0"/>
    <x v="1"/>
    <x v="1"/>
  </r>
  <r>
    <x v="812"/>
    <x v="1"/>
    <x v="25"/>
    <x v="795"/>
    <x v="311"/>
    <x v="683"/>
    <x v="1"/>
    <x v="0"/>
    <x v="795"/>
    <x v="0"/>
    <x v="0"/>
    <x v="0"/>
    <x v="0"/>
    <x v="0"/>
    <x v="2"/>
    <x v="683"/>
    <x v="671"/>
    <x v="795"/>
    <x v="1"/>
    <x v="10"/>
    <x v="0"/>
    <x v="17"/>
    <x v="17"/>
    <x v="0"/>
    <x v="0"/>
    <x v="0"/>
    <x v="25"/>
    <x v="0"/>
    <x v="0"/>
    <x v="1"/>
    <x v="1"/>
  </r>
  <r>
    <x v="811"/>
    <x v="1"/>
    <x v="25"/>
    <x v="794"/>
    <x v="308"/>
    <x v="681"/>
    <x v="1"/>
    <x v="0"/>
    <x v="794"/>
    <x v="0"/>
    <x v="0"/>
    <x v="0"/>
    <x v="0"/>
    <x v="0"/>
    <x v="2"/>
    <x v="681"/>
    <x v="669"/>
    <x v="794"/>
    <x v="1"/>
    <x v="10"/>
    <x v="0"/>
    <x v="17"/>
    <x v="17"/>
    <x v="0"/>
    <x v="0"/>
    <x v="0"/>
    <x v="25"/>
    <x v="0"/>
    <x v="0"/>
    <x v="1"/>
    <x v="1"/>
  </r>
  <r>
    <x v="810"/>
    <x v="1"/>
    <x v="25"/>
    <x v="793"/>
    <x v="306"/>
    <x v="679"/>
    <x v="1"/>
    <x v="0"/>
    <x v="793"/>
    <x v="0"/>
    <x v="0"/>
    <x v="0"/>
    <x v="0"/>
    <x v="0"/>
    <x v="2"/>
    <x v="679"/>
    <x v="667"/>
    <x v="793"/>
    <x v="1"/>
    <x v="10"/>
    <x v="0"/>
    <x v="17"/>
    <x v="17"/>
    <x v="0"/>
    <x v="0"/>
    <x v="0"/>
    <x v="25"/>
    <x v="0"/>
    <x v="0"/>
    <x v="1"/>
    <x v="1"/>
  </r>
  <r>
    <x v="809"/>
    <x v="1"/>
    <x v="25"/>
    <x v="792"/>
    <x v="672"/>
    <x v="1048"/>
    <x v="1"/>
    <x v="0"/>
    <x v="792"/>
    <x v="0"/>
    <x v="0"/>
    <x v="0"/>
    <x v="0"/>
    <x v="0"/>
    <x v="2"/>
    <x v="1048"/>
    <x v="1036"/>
    <x v="792"/>
    <x v="1"/>
    <x v="10"/>
    <x v="0"/>
    <x v="17"/>
    <x v="17"/>
    <x v="0"/>
    <x v="0"/>
    <x v="0"/>
    <x v="25"/>
    <x v="0"/>
    <x v="0"/>
    <x v="1"/>
    <x v="1"/>
  </r>
  <r>
    <x v="808"/>
    <x v="1"/>
    <x v="25"/>
    <x v="791"/>
    <x v="664"/>
    <x v="561"/>
    <x v="1"/>
    <x v="0"/>
    <x v="791"/>
    <x v="0"/>
    <x v="0"/>
    <x v="0"/>
    <x v="0"/>
    <x v="0"/>
    <x v="2"/>
    <x v="561"/>
    <x v="549"/>
    <x v="791"/>
    <x v="1"/>
    <x v="10"/>
    <x v="0"/>
    <x v="17"/>
    <x v="17"/>
    <x v="0"/>
    <x v="0"/>
    <x v="0"/>
    <x v="25"/>
    <x v="0"/>
    <x v="0"/>
    <x v="1"/>
    <x v="1"/>
  </r>
  <r>
    <x v="807"/>
    <x v="1"/>
    <x v="25"/>
    <x v="790"/>
    <x v="663"/>
    <x v="560"/>
    <x v="1"/>
    <x v="0"/>
    <x v="790"/>
    <x v="0"/>
    <x v="0"/>
    <x v="0"/>
    <x v="0"/>
    <x v="0"/>
    <x v="2"/>
    <x v="560"/>
    <x v="548"/>
    <x v="790"/>
    <x v="1"/>
    <x v="10"/>
    <x v="0"/>
    <x v="17"/>
    <x v="17"/>
    <x v="0"/>
    <x v="0"/>
    <x v="0"/>
    <x v="25"/>
    <x v="0"/>
    <x v="0"/>
    <x v="1"/>
    <x v="1"/>
  </r>
  <r>
    <x v="806"/>
    <x v="1"/>
    <x v="25"/>
    <x v="789"/>
    <x v="662"/>
    <x v="559"/>
    <x v="1"/>
    <x v="0"/>
    <x v="789"/>
    <x v="0"/>
    <x v="0"/>
    <x v="0"/>
    <x v="0"/>
    <x v="0"/>
    <x v="2"/>
    <x v="559"/>
    <x v="547"/>
    <x v="789"/>
    <x v="1"/>
    <x v="10"/>
    <x v="0"/>
    <x v="17"/>
    <x v="17"/>
    <x v="0"/>
    <x v="0"/>
    <x v="0"/>
    <x v="25"/>
    <x v="0"/>
    <x v="0"/>
    <x v="1"/>
    <x v="1"/>
  </r>
  <r>
    <x v="805"/>
    <x v="1"/>
    <x v="25"/>
    <x v="788"/>
    <x v="667"/>
    <x v="789"/>
    <x v="1"/>
    <x v="0"/>
    <x v="788"/>
    <x v="0"/>
    <x v="0"/>
    <x v="0"/>
    <x v="0"/>
    <x v="0"/>
    <x v="2"/>
    <x v="789"/>
    <x v="777"/>
    <x v="788"/>
    <x v="1"/>
    <x v="10"/>
    <x v="0"/>
    <x v="17"/>
    <x v="17"/>
    <x v="0"/>
    <x v="0"/>
    <x v="0"/>
    <x v="25"/>
    <x v="0"/>
    <x v="0"/>
    <x v="1"/>
    <x v="1"/>
  </r>
  <r>
    <x v="804"/>
    <x v="1"/>
    <x v="25"/>
    <x v="787"/>
    <x v="671"/>
    <x v="882"/>
    <x v="1"/>
    <x v="0"/>
    <x v="787"/>
    <x v="0"/>
    <x v="0"/>
    <x v="0"/>
    <x v="0"/>
    <x v="0"/>
    <x v="2"/>
    <x v="882"/>
    <x v="870"/>
    <x v="787"/>
    <x v="1"/>
    <x v="10"/>
    <x v="0"/>
    <x v="17"/>
    <x v="17"/>
    <x v="0"/>
    <x v="0"/>
    <x v="0"/>
    <x v="25"/>
    <x v="0"/>
    <x v="0"/>
    <x v="1"/>
    <x v="1"/>
  </r>
  <r>
    <x v="803"/>
    <x v="1"/>
    <x v="25"/>
    <x v="786"/>
    <x v="669"/>
    <x v="881"/>
    <x v="1"/>
    <x v="0"/>
    <x v="786"/>
    <x v="0"/>
    <x v="0"/>
    <x v="0"/>
    <x v="0"/>
    <x v="0"/>
    <x v="2"/>
    <x v="881"/>
    <x v="869"/>
    <x v="786"/>
    <x v="1"/>
    <x v="10"/>
    <x v="0"/>
    <x v="17"/>
    <x v="17"/>
    <x v="0"/>
    <x v="0"/>
    <x v="0"/>
    <x v="25"/>
    <x v="0"/>
    <x v="0"/>
    <x v="1"/>
    <x v="1"/>
  </r>
  <r>
    <x v="802"/>
    <x v="1"/>
    <x v="25"/>
    <x v="785"/>
    <x v="668"/>
    <x v="880"/>
    <x v="1"/>
    <x v="0"/>
    <x v="785"/>
    <x v="0"/>
    <x v="0"/>
    <x v="0"/>
    <x v="0"/>
    <x v="0"/>
    <x v="2"/>
    <x v="880"/>
    <x v="868"/>
    <x v="785"/>
    <x v="1"/>
    <x v="10"/>
    <x v="0"/>
    <x v="17"/>
    <x v="17"/>
    <x v="0"/>
    <x v="0"/>
    <x v="0"/>
    <x v="25"/>
    <x v="0"/>
    <x v="0"/>
    <x v="1"/>
    <x v="1"/>
  </r>
  <r>
    <x v="801"/>
    <x v="1"/>
    <x v="25"/>
    <x v="784"/>
    <x v="673"/>
    <x v="1049"/>
    <x v="1"/>
    <x v="0"/>
    <x v="784"/>
    <x v="0"/>
    <x v="0"/>
    <x v="0"/>
    <x v="0"/>
    <x v="0"/>
    <x v="2"/>
    <x v="1049"/>
    <x v="1037"/>
    <x v="784"/>
    <x v="1"/>
    <x v="10"/>
    <x v="0"/>
    <x v="17"/>
    <x v="17"/>
    <x v="0"/>
    <x v="0"/>
    <x v="0"/>
    <x v="25"/>
    <x v="0"/>
    <x v="0"/>
    <x v="1"/>
    <x v="1"/>
  </r>
  <r>
    <x v="800"/>
    <x v="1"/>
    <x v="25"/>
    <x v="783"/>
    <x v="655"/>
    <x v="479"/>
    <x v="1"/>
    <x v="0"/>
    <x v="783"/>
    <x v="0"/>
    <x v="0"/>
    <x v="0"/>
    <x v="0"/>
    <x v="0"/>
    <x v="2"/>
    <x v="479"/>
    <x v="467"/>
    <x v="783"/>
    <x v="1"/>
    <x v="10"/>
    <x v="0"/>
    <x v="17"/>
    <x v="17"/>
    <x v="0"/>
    <x v="0"/>
    <x v="0"/>
    <x v="25"/>
    <x v="0"/>
    <x v="0"/>
    <x v="1"/>
    <x v="1"/>
  </r>
  <r>
    <x v="799"/>
    <x v="1"/>
    <x v="25"/>
    <x v="782"/>
    <x v="401"/>
    <x v="727"/>
    <x v="1"/>
    <x v="0"/>
    <x v="782"/>
    <x v="0"/>
    <x v="0"/>
    <x v="0"/>
    <x v="0"/>
    <x v="0"/>
    <x v="2"/>
    <x v="727"/>
    <x v="715"/>
    <x v="782"/>
    <x v="1"/>
    <x v="10"/>
    <x v="0"/>
    <x v="17"/>
    <x v="17"/>
    <x v="0"/>
    <x v="0"/>
    <x v="0"/>
    <x v="25"/>
    <x v="0"/>
    <x v="0"/>
    <x v="1"/>
    <x v="1"/>
  </r>
  <r>
    <x v="798"/>
    <x v="1"/>
    <x v="25"/>
    <x v="781"/>
    <x v="374"/>
    <x v="729"/>
    <x v="1"/>
    <x v="0"/>
    <x v="781"/>
    <x v="0"/>
    <x v="0"/>
    <x v="0"/>
    <x v="0"/>
    <x v="0"/>
    <x v="2"/>
    <x v="729"/>
    <x v="717"/>
    <x v="781"/>
    <x v="1"/>
    <x v="10"/>
    <x v="0"/>
    <x v="17"/>
    <x v="17"/>
    <x v="0"/>
    <x v="0"/>
    <x v="0"/>
    <x v="25"/>
    <x v="0"/>
    <x v="0"/>
    <x v="1"/>
    <x v="1"/>
  </r>
  <r>
    <x v="797"/>
    <x v="1"/>
    <x v="25"/>
    <x v="780"/>
    <x v="369"/>
    <x v="723"/>
    <x v="1"/>
    <x v="0"/>
    <x v="780"/>
    <x v="0"/>
    <x v="0"/>
    <x v="0"/>
    <x v="0"/>
    <x v="0"/>
    <x v="2"/>
    <x v="723"/>
    <x v="711"/>
    <x v="780"/>
    <x v="1"/>
    <x v="10"/>
    <x v="0"/>
    <x v="17"/>
    <x v="17"/>
    <x v="0"/>
    <x v="0"/>
    <x v="0"/>
    <x v="25"/>
    <x v="0"/>
    <x v="0"/>
    <x v="1"/>
    <x v="1"/>
  </r>
  <r>
    <x v="796"/>
    <x v="1"/>
    <x v="25"/>
    <x v="779"/>
    <x v="357"/>
    <x v="714"/>
    <x v="1"/>
    <x v="0"/>
    <x v="779"/>
    <x v="0"/>
    <x v="0"/>
    <x v="0"/>
    <x v="0"/>
    <x v="0"/>
    <x v="2"/>
    <x v="714"/>
    <x v="702"/>
    <x v="779"/>
    <x v="1"/>
    <x v="10"/>
    <x v="0"/>
    <x v="17"/>
    <x v="17"/>
    <x v="0"/>
    <x v="0"/>
    <x v="0"/>
    <x v="25"/>
    <x v="0"/>
    <x v="0"/>
    <x v="1"/>
    <x v="1"/>
  </r>
  <r>
    <x v="795"/>
    <x v="1"/>
    <x v="25"/>
    <x v="778"/>
    <x v="354"/>
    <x v="711"/>
    <x v="1"/>
    <x v="0"/>
    <x v="778"/>
    <x v="0"/>
    <x v="0"/>
    <x v="0"/>
    <x v="0"/>
    <x v="0"/>
    <x v="2"/>
    <x v="711"/>
    <x v="699"/>
    <x v="778"/>
    <x v="1"/>
    <x v="10"/>
    <x v="0"/>
    <x v="17"/>
    <x v="17"/>
    <x v="0"/>
    <x v="0"/>
    <x v="0"/>
    <x v="25"/>
    <x v="0"/>
    <x v="0"/>
    <x v="1"/>
    <x v="1"/>
  </r>
  <r>
    <x v="794"/>
    <x v="1"/>
    <x v="25"/>
    <x v="777"/>
    <x v="350"/>
    <x v="707"/>
    <x v="1"/>
    <x v="0"/>
    <x v="777"/>
    <x v="0"/>
    <x v="0"/>
    <x v="0"/>
    <x v="0"/>
    <x v="0"/>
    <x v="2"/>
    <x v="707"/>
    <x v="695"/>
    <x v="777"/>
    <x v="1"/>
    <x v="10"/>
    <x v="0"/>
    <x v="17"/>
    <x v="17"/>
    <x v="0"/>
    <x v="0"/>
    <x v="0"/>
    <x v="25"/>
    <x v="0"/>
    <x v="0"/>
    <x v="1"/>
    <x v="1"/>
  </r>
  <r>
    <x v="793"/>
    <x v="1"/>
    <x v="25"/>
    <x v="776"/>
    <x v="348"/>
    <x v="705"/>
    <x v="1"/>
    <x v="0"/>
    <x v="776"/>
    <x v="0"/>
    <x v="0"/>
    <x v="0"/>
    <x v="0"/>
    <x v="0"/>
    <x v="2"/>
    <x v="705"/>
    <x v="693"/>
    <x v="776"/>
    <x v="1"/>
    <x v="10"/>
    <x v="0"/>
    <x v="17"/>
    <x v="17"/>
    <x v="0"/>
    <x v="0"/>
    <x v="0"/>
    <x v="25"/>
    <x v="0"/>
    <x v="0"/>
    <x v="1"/>
    <x v="1"/>
  </r>
  <r>
    <x v="792"/>
    <x v="1"/>
    <x v="25"/>
    <x v="775"/>
    <x v="346"/>
    <x v="703"/>
    <x v="1"/>
    <x v="0"/>
    <x v="775"/>
    <x v="0"/>
    <x v="0"/>
    <x v="0"/>
    <x v="0"/>
    <x v="0"/>
    <x v="2"/>
    <x v="703"/>
    <x v="691"/>
    <x v="775"/>
    <x v="1"/>
    <x v="10"/>
    <x v="0"/>
    <x v="17"/>
    <x v="17"/>
    <x v="0"/>
    <x v="0"/>
    <x v="0"/>
    <x v="25"/>
    <x v="0"/>
    <x v="0"/>
    <x v="1"/>
    <x v="1"/>
  </r>
  <r>
    <x v="791"/>
    <x v="1"/>
    <x v="25"/>
    <x v="774"/>
    <x v="344"/>
    <x v="701"/>
    <x v="1"/>
    <x v="0"/>
    <x v="774"/>
    <x v="0"/>
    <x v="0"/>
    <x v="0"/>
    <x v="0"/>
    <x v="0"/>
    <x v="2"/>
    <x v="701"/>
    <x v="689"/>
    <x v="774"/>
    <x v="1"/>
    <x v="10"/>
    <x v="0"/>
    <x v="17"/>
    <x v="17"/>
    <x v="0"/>
    <x v="0"/>
    <x v="0"/>
    <x v="25"/>
    <x v="0"/>
    <x v="0"/>
    <x v="1"/>
    <x v="1"/>
  </r>
  <r>
    <x v="790"/>
    <x v="1"/>
    <x v="25"/>
    <x v="773"/>
    <x v="343"/>
    <x v="700"/>
    <x v="1"/>
    <x v="0"/>
    <x v="773"/>
    <x v="0"/>
    <x v="0"/>
    <x v="0"/>
    <x v="0"/>
    <x v="0"/>
    <x v="2"/>
    <x v="700"/>
    <x v="688"/>
    <x v="773"/>
    <x v="1"/>
    <x v="10"/>
    <x v="0"/>
    <x v="17"/>
    <x v="17"/>
    <x v="0"/>
    <x v="0"/>
    <x v="0"/>
    <x v="25"/>
    <x v="0"/>
    <x v="0"/>
    <x v="1"/>
    <x v="1"/>
  </r>
  <r>
    <x v="789"/>
    <x v="1"/>
    <x v="25"/>
    <x v="772"/>
    <x v="388"/>
    <x v="738"/>
    <x v="1"/>
    <x v="0"/>
    <x v="772"/>
    <x v="0"/>
    <x v="0"/>
    <x v="0"/>
    <x v="0"/>
    <x v="0"/>
    <x v="2"/>
    <x v="738"/>
    <x v="726"/>
    <x v="772"/>
    <x v="1"/>
    <x v="10"/>
    <x v="0"/>
    <x v="17"/>
    <x v="17"/>
    <x v="0"/>
    <x v="0"/>
    <x v="0"/>
    <x v="25"/>
    <x v="0"/>
    <x v="0"/>
    <x v="1"/>
    <x v="1"/>
  </r>
  <r>
    <x v="788"/>
    <x v="1"/>
    <x v="25"/>
    <x v="771"/>
    <x v="384"/>
    <x v="737"/>
    <x v="1"/>
    <x v="0"/>
    <x v="771"/>
    <x v="0"/>
    <x v="0"/>
    <x v="0"/>
    <x v="0"/>
    <x v="0"/>
    <x v="2"/>
    <x v="737"/>
    <x v="725"/>
    <x v="771"/>
    <x v="1"/>
    <x v="10"/>
    <x v="0"/>
    <x v="17"/>
    <x v="17"/>
    <x v="0"/>
    <x v="0"/>
    <x v="0"/>
    <x v="25"/>
    <x v="0"/>
    <x v="0"/>
    <x v="1"/>
    <x v="1"/>
  </r>
  <r>
    <x v="787"/>
    <x v="1"/>
    <x v="25"/>
    <x v="770"/>
    <x v="383"/>
    <x v="735"/>
    <x v="1"/>
    <x v="0"/>
    <x v="770"/>
    <x v="0"/>
    <x v="0"/>
    <x v="0"/>
    <x v="0"/>
    <x v="0"/>
    <x v="2"/>
    <x v="735"/>
    <x v="723"/>
    <x v="770"/>
    <x v="1"/>
    <x v="10"/>
    <x v="0"/>
    <x v="17"/>
    <x v="17"/>
    <x v="0"/>
    <x v="0"/>
    <x v="0"/>
    <x v="25"/>
    <x v="0"/>
    <x v="0"/>
    <x v="1"/>
    <x v="1"/>
  </r>
  <r>
    <x v="786"/>
    <x v="1"/>
    <x v="25"/>
    <x v="769"/>
    <x v="373"/>
    <x v="728"/>
    <x v="1"/>
    <x v="0"/>
    <x v="769"/>
    <x v="0"/>
    <x v="0"/>
    <x v="0"/>
    <x v="0"/>
    <x v="0"/>
    <x v="2"/>
    <x v="728"/>
    <x v="716"/>
    <x v="769"/>
    <x v="1"/>
    <x v="10"/>
    <x v="0"/>
    <x v="17"/>
    <x v="17"/>
    <x v="0"/>
    <x v="0"/>
    <x v="0"/>
    <x v="25"/>
    <x v="0"/>
    <x v="0"/>
    <x v="1"/>
    <x v="1"/>
  </r>
  <r>
    <x v="785"/>
    <x v="1"/>
    <x v="25"/>
    <x v="768"/>
    <x v="355"/>
    <x v="712"/>
    <x v="1"/>
    <x v="0"/>
    <x v="768"/>
    <x v="0"/>
    <x v="0"/>
    <x v="0"/>
    <x v="0"/>
    <x v="0"/>
    <x v="2"/>
    <x v="712"/>
    <x v="700"/>
    <x v="768"/>
    <x v="1"/>
    <x v="10"/>
    <x v="0"/>
    <x v="17"/>
    <x v="17"/>
    <x v="0"/>
    <x v="0"/>
    <x v="0"/>
    <x v="25"/>
    <x v="0"/>
    <x v="0"/>
    <x v="1"/>
    <x v="1"/>
  </r>
  <r>
    <x v="784"/>
    <x v="1"/>
    <x v="25"/>
    <x v="767"/>
    <x v="397"/>
    <x v="744"/>
    <x v="1"/>
    <x v="0"/>
    <x v="767"/>
    <x v="0"/>
    <x v="0"/>
    <x v="0"/>
    <x v="0"/>
    <x v="0"/>
    <x v="2"/>
    <x v="744"/>
    <x v="732"/>
    <x v="767"/>
    <x v="1"/>
    <x v="10"/>
    <x v="0"/>
    <x v="17"/>
    <x v="17"/>
    <x v="0"/>
    <x v="0"/>
    <x v="0"/>
    <x v="25"/>
    <x v="0"/>
    <x v="0"/>
    <x v="1"/>
    <x v="1"/>
  </r>
  <r>
    <x v="783"/>
    <x v="1"/>
    <x v="25"/>
    <x v="766"/>
    <x v="394"/>
    <x v="742"/>
    <x v="1"/>
    <x v="0"/>
    <x v="766"/>
    <x v="0"/>
    <x v="0"/>
    <x v="0"/>
    <x v="0"/>
    <x v="0"/>
    <x v="2"/>
    <x v="742"/>
    <x v="730"/>
    <x v="766"/>
    <x v="1"/>
    <x v="10"/>
    <x v="0"/>
    <x v="17"/>
    <x v="17"/>
    <x v="0"/>
    <x v="0"/>
    <x v="0"/>
    <x v="25"/>
    <x v="0"/>
    <x v="0"/>
    <x v="1"/>
    <x v="1"/>
  </r>
  <r>
    <x v="782"/>
    <x v="1"/>
    <x v="25"/>
    <x v="765"/>
    <x v="400"/>
    <x v="745"/>
    <x v="1"/>
    <x v="0"/>
    <x v="765"/>
    <x v="0"/>
    <x v="0"/>
    <x v="0"/>
    <x v="0"/>
    <x v="0"/>
    <x v="2"/>
    <x v="745"/>
    <x v="733"/>
    <x v="765"/>
    <x v="1"/>
    <x v="10"/>
    <x v="0"/>
    <x v="17"/>
    <x v="17"/>
    <x v="0"/>
    <x v="0"/>
    <x v="0"/>
    <x v="25"/>
    <x v="0"/>
    <x v="0"/>
    <x v="1"/>
    <x v="1"/>
  </r>
  <r>
    <x v="781"/>
    <x v="1"/>
    <x v="25"/>
    <x v="764"/>
    <x v="390"/>
    <x v="740"/>
    <x v="1"/>
    <x v="0"/>
    <x v="764"/>
    <x v="0"/>
    <x v="0"/>
    <x v="0"/>
    <x v="0"/>
    <x v="0"/>
    <x v="2"/>
    <x v="740"/>
    <x v="728"/>
    <x v="764"/>
    <x v="1"/>
    <x v="10"/>
    <x v="0"/>
    <x v="17"/>
    <x v="17"/>
    <x v="0"/>
    <x v="0"/>
    <x v="0"/>
    <x v="25"/>
    <x v="0"/>
    <x v="0"/>
    <x v="1"/>
    <x v="1"/>
  </r>
  <r>
    <x v="780"/>
    <x v="1"/>
    <x v="25"/>
    <x v="763"/>
    <x v="372"/>
    <x v="726"/>
    <x v="1"/>
    <x v="0"/>
    <x v="763"/>
    <x v="0"/>
    <x v="0"/>
    <x v="0"/>
    <x v="0"/>
    <x v="0"/>
    <x v="2"/>
    <x v="726"/>
    <x v="714"/>
    <x v="763"/>
    <x v="1"/>
    <x v="10"/>
    <x v="0"/>
    <x v="17"/>
    <x v="17"/>
    <x v="0"/>
    <x v="0"/>
    <x v="0"/>
    <x v="25"/>
    <x v="0"/>
    <x v="0"/>
    <x v="1"/>
    <x v="1"/>
  </r>
  <r>
    <x v="779"/>
    <x v="1"/>
    <x v="25"/>
    <x v="762"/>
    <x v="389"/>
    <x v="739"/>
    <x v="1"/>
    <x v="0"/>
    <x v="762"/>
    <x v="0"/>
    <x v="0"/>
    <x v="0"/>
    <x v="0"/>
    <x v="0"/>
    <x v="2"/>
    <x v="739"/>
    <x v="727"/>
    <x v="762"/>
    <x v="1"/>
    <x v="10"/>
    <x v="0"/>
    <x v="17"/>
    <x v="17"/>
    <x v="0"/>
    <x v="0"/>
    <x v="0"/>
    <x v="25"/>
    <x v="0"/>
    <x v="0"/>
    <x v="1"/>
    <x v="1"/>
  </r>
  <r>
    <x v="778"/>
    <x v="1"/>
    <x v="25"/>
    <x v="761"/>
    <x v="367"/>
    <x v="721"/>
    <x v="1"/>
    <x v="0"/>
    <x v="761"/>
    <x v="0"/>
    <x v="0"/>
    <x v="0"/>
    <x v="0"/>
    <x v="0"/>
    <x v="2"/>
    <x v="721"/>
    <x v="709"/>
    <x v="761"/>
    <x v="1"/>
    <x v="10"/>
    <x v="0"/>
    <x v="17"/>
    <x v="17"/>
    <x v="0"/>
    <x v="0"/>
    <x v="0"/>
    <x v="25"/>
    <x v="0"/>
    <x v="0"/>
    <x v="1"/>
    <x v="1"/>
  </r>
  <r>
    <x v="777"/>
    <x v="1"/>
    <x v="25"/>
    <x v="760"/>
    <x v="366"/>
    <x v="720"/>
    <x v="1"/>
    <x v="0"/>
    <x v="760"/>
    <x v="0"/>
    <x v="0"/>
    <x v="0"/>
    <x v="0"/>
    <x v="0"/>
    <x v="2"/>
    <x v="720"/>
    <x v="708"/>
    <x v="760"/>
    <x v="1"/>
    <x v="10"/>
    <x v="0"/>
    <x v="17"/>
    <x v="17"/>
    <x v="0"/>
    <x v="0"/>
    <x v="0"/>
    <x v="25"/>
    <x v="0"/>
    <x v="0"/>
    <x v="1"/>
    <x v="1"/>
  </r>
  <r>
    <x v="776"/>
    <x v="1"/>
    <x v="25"/>
    <x v="759"/>
    <x v="381"/>
    <x v="733"/>
    <x v="1"/>
    <x v="0"/>
    <x v="759"/>
    <x v="0"/>
    <x v="0"/>
    <x v="0"/>
    <x v="0"/>
    <x v="0"/>
    <x v="2"/>
    <x v="733"/>
    <x v="721"/>
    <x v="759"/>
    <x v="1"/>
    <x v="10"/>
    <x v="0"/>
    <x v="17"/>
    <x v="17"/>
    <x v="0"/>
    <x v="0"/>
    <x v="0"/>
    <x v="25"/>
    <x v="0"/>
    <x v="0"/>
    <x v="1"/>
    <x v="1"/>
  </r>
  <r>
    <x v="775"/>
    <x v="1"/>
    <x v="25"/>
    <x v="758"/>
    <x v="382"/>
    <x v="734"/>
    <x v="1"/>
    <x v="0"/>
    <x v="758"/>
    <x v="0"/>
    <x v="0"/>
    <x v="0"/>
    <x v="0"/>
    <x v="0"/>
    <x v="2"/>
    <x v="734"/>
    <x v="722"/>
    <x v="758"/>
    <x v="1"/>
    <x v="10"/>
    <x v="0"/>
    <x v="17"/>
    <x v="17"/>
    <x v="0"/>
    <x v="0"/>
    <x v="0"/>
    <x v="25"/>
    <x v="0"/>
    <x v="0"/>
    <x v="1"/>
    <x v="1"/>
  </r>
  <r>
    <x v="774"/>
    <x v="1"/>
    <x v="25"/>
    <x v="757"/>
    <x v="371"/>
    <x v="725"/>
    <x v="1"/>
    <x v="0"/>
    <x v="757"/>
    <x v="0"/>
    <x v="0"/>
    <x v="0"/>
    <x v="0"/>
    <x v="0"/>
    <x v="2"/>
    <x v="725"/>
    <x v="713"/>
    <x v="757"/>
    <x v="1"/>
    <x v="10"/>
    <x v="0"/>
    <x v="17"/>
    <x v="17"/>
    <x v="0"/>
    <x v="0"/>
    <x v="0"/>
    <x v="25"/>
    <x v="0"/>
    <x v="0"/>
    <x v="1"/>
    <x v="1"/>
  </r>
  <r>
    <x v="773"/>
    <x v="1"/>
    <x v="25"/>
    <x v="756"/>
    <x v="368"/>
    <x v="722"/>
    <x v="1"/>
    <x v="0"/>
    <x v="756"/>
    <x v="0"/>
    <x v="0"/>
    <x v="0"/>
    <x v="0"/>
    <x v="0"/>
    <x v="2"/>
    <x v="722"/>
    <x v="710"/>
    <x v="756"/>
    <x v="1"/>
    <x v="10"/>
    <x v="0"/>
    <x v="17"/>
    <x v="17"/>
    <x v="0"/>
    <x v="0"/>
    <x v="0"/>
    <x v="25"/>
    <x v="0"/>
    <x v="0"/>
    <x v="1"/>
    <x v="1"/>
  </r>
  <r>
    <x v="772"/>
    <x v="1"/>
    <x v="25"/>
    <x v="755"/>
    <x v="378"/>
    <x v="731"/>
    <x v="1"/>
    <x v="0"/>
    <x v="755"/>
    <x v="0"/>
    <x v="0"/>
    <x v="0"/>
    <x v="0"/>
    <x v="0"/>
    <x v="2"/>
    <x v="731"/>
    <x v="719"/>
    <x v="755"/>
    <x v="1"/>
    <x v="10"/>
    <x v="0"/>
    <x v="17"/>
    <x v="17"/>
    <x v="0"/>
    <x v="0"/>
    <x v="0"/>
    <x v="25"/>
    <x v="0"/>
    <x v="0"/>
    <x v="1"/>
    <x v="1"/>
  </r>
  <r>
    <x v="771"/>
    <x v="1"/>
    <x v="25"/>
    <x v="754"/>
    <x v="375"/>
    <x v="730"/>
    <x v="1"/>
    <x v="0"/>
    <x v="754"/>
    <x v="0"/>
    <x v="0"/>
    <x v="0"/>
    <x v="0"/>
    <x v="0"/>
    <x v="2"/>
    <x v="730"/>
    <x v="718"/>
    <x v="754"/>
    <x v="1"/>
    <x v="10"/>
    <x v="0"/>
    <x v="17"/>
    <x v="17"/>
    <x v="0"/>
    <x v="0"/>
    <x v="0"/>
    <x v="25"/>
    <x v="0"/>
    <x v="0"/>
    <x v="1"/>
    <x v="1"/>
  </r>
  <r>
    <x v="770"/>
    <x v="1"/>
    <x v="25"/>
    <x v="753"/>
    <x v="363"/>
    <x v="719"/>
    <x v="1"/>
    <x v="0"/>
    <x v="753"/>
    <x v="0"/>
    <x v="0"/>
    <x v="0"/>
    <x v="0"/>
    <x v="0"/>
    <x v="2"/>
    <x v="719"/>
    <x v="707"/>
    <x v="753"/>
    <x v="1"/>
    <x v="10"/>
    <x v="0"/>
    <x v="17"/>
    <x v="17"/>
    <x v="0"/>
    <x v="0"/>
    <x v="0"/>
    <x v="25"/>
    <x v="0"/>
    <x v="0"/>
    <x v="1"/>
    <x v="1"/>
  </r>
  <r>
    <x v="769"/>
    <x v="1"/>
    <x v="25"/>
    <x v="752"/>
    <x v="360"/>
    <x v="717"/>
    <x v="1"/>
    <x v="0"/>
    <x v="752"/>
    <x v="0"/>
    <x v="0"/>
    <x v="0"/>
    <x v="0"/>
    <x v="0"/>
    <x v="2"/>
    <x v="717"/>
    <x v="705"/>
    <x v="752"/>
    <x v="1"/>
    <x v="10"/>
    <x v="0"/>
    <x v="17"/>
    <x v="17"/>
    <x v="0"/>
    <x v="0"/>
    <x v="0"/>
    <x v="25"/>
    <x v="0"/>
    <x v="0"/>
    <x v="1"/>
    <x v="1"/>
  </r>
  <r>
    <x v="768"/>
    <x v="1"/>
    <x v="25"/>
    <x v="751"/>
    <x v="353"/>
    <x v="710"/>
    <x v="1"/>
    <x v="0"/>
    <x v="751"/>
    <x v="0"/>
    <x v="0"/>
    <x v="0"/>
    <x v="0"/>
    <x v="0"/>
    <x v="2"/>
    <x v="710"/>
    <x v="698"/>
    <x v="751"/>
    <x v="1"/>
    <x v="10"/>
    <x v="0"/>
    <x v="17"/>
    <x v="17"/>
    <x v="0"/>
    <x v="0"/>
    <x v="0"/>
    <x v="25"/>
    <x v="0"/>
    <x v="0"/>
    <x v="1"/>
    <x v="1"/>
  </r>
  <r>
    <x v="767"/>
    <x v="1"/>
    <x v="25"/>
    <x v="750"/>
    <x v="352"/>
    <x v="709"/>
    <x v="1"/>
    <x v="0"/>
    <x v="750"/>
    <x v="0"/>
    <x v="0"/>
    <x v="0"/>
    <x v="0"/>
    <x v="0"/>
    <x v="2"/>
    <x v="709"/>
    <x v="697"/>
    <x v="750"/>
    <x v="1"/>
    <x v="10"/>
    <x v="0"/>
    <x v="17"/>
    <x v="17"/>
    <x v="0"/>
    <x v="0"/>
    <x v="0"/>
    <x v="25"/>
    <x v="0"/>
    <x v="0"/>
    <x v="1"/>
    <x v="1"/>
  </r>
  <r>
    <x v="766"/>
    <x v="1"/>
    <x v="25"/>
    <x v="749"/>
    <x v="351"/>
    <x v="708"/>
    <x v="1"/>
    <x v="0"/>
    <x v="749"/>
    <x v="0"/>
    <x v="0"/>
    <x v="0"/>
    <x v="0"/>
    <x v="0"/>
    <x v="2"/>
    <x v="708"/>
    <x v="696"/>
    <x v="749"/>
    <x v="1"/>
    <x v="10"/>
    <x v="0"/>
    <x v="17"/>
    <x v="17"/>
    <x v="0"/>
    <x v="0"/>
    <x v="0"/>
    <x v="25"/>
    <x v="0"/>
    <x v="0"/>
    <x v="1"/>
    <x v="1"/>
  </r>
  <r>
    <x v="765"/>
    <x v="1"/>
    <x v="25"/>
    <x v="748"/>
    <x v="349"/>
    <x v="706"/>
    <x v="1"/>
    <x v="0"/>
    <x v="748"/>
    <x v="0"/>
    <x v="0"/>
    <x v="0"/>
    <x v="0"/>
    <x v="0"/>
    <x v="2"/>
    <x v="706"/>
    <x v="694"/>
    <x v="748"/>
    <x v="1"/>
    <x v="10"/>
    <x v="0"/>
    <x v="17"/>
    <x v="17"/>
    <x v="0"/>
    <x v="0"/>
    <x v="0"/>
    <x v="25"/>
    <x v="0"/>
    <x v="0"/>
    <x v="1"/>
    <x v="1"/>
  </r>
  <r>
    <x v="764"/>
    <x v="1"/>
    <x v="25"/>
    <x v="747"/>
    <x v="347"/>
    <x v="704"/>
    <x v="1"/>
    <x v="0"/>
    <x v="747"/>
    <x v="0"/>
    <x v="0"/>
    <x v="0"/>
    <x v="0"/>
    <x v="0"/>
    <x v="2"/>
    <x v="704"/>
    <x v="692"/>
    <x v="747"/>
    <x v="1"/>
    <x v="10"/>
    <x v="0"/>
    <x v="17"/>
    <x v="17"/>
    <x v="0"/>
    <x v="0"/>
    <x v="0"/>
    <x v="25"/>
    <x v="0"/>
    <x v="0"/>
    <x v="1"/>
    <x v="1"/>
  </r>
  <r>
    <x v="763"/>
    <x v="1"/>
    <x v="25"/>
    <x v="746"/>
    <x v="370"/>
    <x v="724"/>
    <x v="1"/>
    <x v="0"/>
    <x v="746"/>
    <x v="0"/>
    <x v="0"/>
    <x v="0"/>
    <x v="0"/>
    <x v="0"/>
    <x v="2"/>
    <x v="724"/>
    <x v="712"/>
    <x v="746"/>
    <x v="1"/>
    <x v="10"/>
    <x v="0"/>
    <x v="17"/>
    <x v="17"/>
    <x v="0"/>
    <x v="0"/>
    <x v="0"/>
    <x v="25"/>
    <x v="0"/>
    <x v="0"/>
    <x v="1"/>
    <x v="1"/>
  </r>
  <r>
    <x v="762"/>
    <x v="1"/>
    <x v="25"/>
    <x v="745"/>
    <x v="345"/>
    <x v="702"/>
    <x v="1"/>
    <x v="0"/>
    <x v="745"/>
    <x v="0"/>
    <x v="0"/>
    <x v="0"/>
    <x v="0"/>
    <x v="0"/>
    <x v="2"/>
    <x v="702"/>
    <x v="690"/>
    <x v="745"/>
    <x v="1"/>
    <x v="10"/>
    <x v="0"/>
    <x v="17"/>
    <x v="17"/>
    <x v="0"/>
    <x v="0"/>
    <x v="0"/>
    <x v="25"/>
    <x v="0"/>
    <x v="0"/>
    <x v="1"/>
    <x v="1"/>
  </r>
  <r>
    <x v="761"/>
    <x v="1"/>
    <x v="25"/>
    <x v="744"/>
    <x v="359"/>
    <x v="716"/>
    <x v="1"/>
    <x v="0"/>
    <x v="744"/>
    <x v="0"/>
    <x v="0"/>
    <x v="0"/>
    <x v="0"/>
    <x v="0"/>
    <x v="2"/>
    <x v="716"/>
    <x v="704"/>
    <x v="744"/>
    <x v="1"/>
    <x v="10"/>
    <x v="0"/>
    <x v="17"/>
    <x v="17"/>
    <x v="0"/>
    <x v="0"/>
    <x v="0"/>
    <x v="25"/>
    <x v="0"/>
    <x v="0"/>
    <x v="1"/>
    <x v="1"/>
  </r>
  <r>
    <x v="760"/>
    <x v="1"/>
    <x v="25"/>
    <x v="743"/>
    <x v="358"/>
    <x v="715"/>
    <x v="1"/>
    <x v="0"/>
    <x v="743"/>
    <x v="0"/>
    <x v="0"/>
    <x v="0"/>
    <x v="0"/>
    <x v="0"/>
    <x v="2"/>
    <x v="715"/>
    <x v="703"/>
    <x v="743"/>
    <x v="1"/>
    <x v="10"/>
    <x v="0"/>
    <x v="17"/>
    <x v="17"/>
    <x v="0"/>
    <x v="0"/>
    <x v="0"/>
    <x v="25"/>
    <x v="0"/>
    <x v="0"/>
    <x v="1"/>
    <x v="1"/>
  </r>
  <r>
    <x v="759"/>
    <x v="1"/>
    <x v="25"/>
    <x v="742"/>
    <x v="356"/>
    <x v="713"/>
    <x v="1"/>
    <x v="0"/>
    <x v="742"/>
    <x v="0"/>
    <x v="0"/>
    <x v="0"/>
    <x v="0"/>
    <x v="0"/>
    <x v="2"/>
    <x v="713"/>
    <x v="701"/>
    <x v="742"/>
    <x v="1"/>
    <x v="10"/>
    <x v="0"/>
    <x v="17"/>
    <x v="17"/>
    <x v="0"/>
    <x v="0"/>
    <x v="0"/>
    <x v="25"/>
    <x v="0"/>
    <x v="0"/>
    <x v="1"/>
    <x v="1"/>
  </r>
  <r>
    <x v="758"/>
    <x v="1"/>
    <x v="25"/>
    <x v="741"/>
    <x v="167"/>
    <x v="584"/>
    <x v="1"/>
    <x v="0"/>
    <x v="741"/>
    <x v="0"/>
    <x v="0"/>
    <x v="0"/>
    <x v="0"/>
    <x v="0"/>
    <x v="2"/>
    <x v="584"/>
    <x v="572"/>
    <x v="741"/>
    <x v="1"/>
    <x v="10"/>
    <x v="0"/>
    <x v="17"/>
    <x v="17"/>
    <x v="0"/>
    <x v="0"/>
    <x v="0"/>
    <x v="25"/>
    <x v="0"/>
    <x v="0"/>
    <x v="1"/>
    <x v="1"/>
  </r>
  <r>
    <x v="757"/>
    <x v="1"/>
    <x v="25"/>
    <x v="740"/>
    <x v="164"/>
    <x v="582"/>
    <x v="1"/>
    <x v="0"/>
    <x v="740"/>
    <x v="0"/>
    <x v="0"/>
    <x v="0"/>
    <x v="0"/>
    <x v="0"/>
    <x v="2"/>
    <x v="582"/>
    <x v="570"/>
    <x v="740"/>
    <x v="1"/>
    <x v="10"/>
    <x v="0"/>
    <x v="17"/>
    <x v="17"/>
    <x v="0"/>
    <x v="0"/>
    <x v="0"/>
    <x v="25"/>
    <x v="0"/>
    <x v="0"/>
    <x v="1"/>
    <x v="1"/>
  </r>
  <r>
    <x v="756"/>
    <x v="1"/>
    <x v="25"/>
    <x v="739"/>
    <x v="170"/>
    <x v="586"/>
    <x v="1"/>
    <x v="0"/>
    <x v="739"/>
    <x v="0"/>
    <x v="0"/>
    <x v="0"/>
    <x v="0"/>
    <x v="0"/>
    <x v="2"/>
    <x v="586"/>
    <x v="574"/>
    <x v="739"/>
    <x v="1"/>
    <x v="10"/>
    <x v="0"/>
    <x v="17"/>
    <x v="17"/>
    <x v="0"/>
    <x v="0"/>
    <x v="0"/>
    <x v="25"/>
    <x v="0"/>
    <x v="0"/>
    <x v="1"/>
    <x v="1"/>
  </r>
  <r>
    <x v="755"/>
    <x v="1"/>
    <x v="25"/>
    <x v="738"/>
    <x v="161"/>
    <x v="581"/>
    <x v="1"/>
    <x v="0"/>
    <x v="738"/>
    <x v="0"/>
    <x v="0"/>
    <x v="0"/>
    <x v="0"/>
    <x v="0"/>
    <x v="2"/>
    <x v="581"/>
    <x v="569"/>
    <x v="738"/>
    <x v="1"/>
    <x v="10"/>
    <x v="0"/>
    <x v="17"/>
    <x v="17"/>
    <x v="0"/>
    <x v="0"/>
    <x v="0"/>
    <x v="25"/>
    <x v="0"/>
    <x v="0"/>
    <x v="1"/>
    <x v="1"/>
  </r>
  <r>
    <x v="754"/>
    <x v="1"/>
    <x v="25"/>
    <x v="737"/>
    <x v="151"/>
    <x v="574"/>
    <x v="1"/>
    <x v="0"/>
    <x v="737"/>
    <x v="0"/>
    <x v="0"/>
    <x v="0"/>
    <x v="0"/>
    <x v="0"/>
    <x v="2"/>
    <x v="574"/>
    <x v="562"/>
    <x v="737"/>
    <x v="1"/>
    <x v="10"/>
    <x v="0"/>
    <x v="17"/>
    <x v="17"/>
    <x v="0"/>
    <x v="0"/>
    <x v="0"/>
    <x v="25"/>
    <x v="0"/>
    <x v="0"/>
    <x v="1"/>
    <x v="1"/>
  </r>
  <r>
    <x v="753"/>
    <x v="1"/>
    <x v="25"/>
    <x v="736"/>
    <x v="148"/>
    <x v="572"/>
    <x v="1"/>
    <x v="0"/>
    <x v="736"/>
    <x v="0"/>
    <x v="0"/>
    <x v="0"/>
    <x v="0"/>
    <x v="0"/>
    <x v="2"/>
    <x v="572"/>
    <x v="560"/>
    <x v="736"/>
    <x v="1"/>
    <x v="10"/>
    <x v="0"/>
    <x v="17"/>
    <x v="17"/>
    <x v="0"/>
    <x v="0"/>
    <x v="0"/>
    <x v="25"/>
    <x v="0"/>
    <x v="0"/>
    <x v="1"/>
    <x v="1"/>
  </r>
  <r>
    <x v="752"/>
    <x v="1"/>
    <x v="25"/>
    <x v="735"/>
    <x v="135"/>
    <x v="564"/>
    <x v="1"/>
    <x v="0"/>
    <x v="735"/>
    <x v="0"/>
    <x v="0"/>
    <x v="0"/>
    <x v="0"/>
    <x v="0"/>
    <x v="2"/>
    <x v="564"/>
    <x v="552"/>
    <x v="735"/>
    <x v="1"/>
    <x v="10"/>
    <x v="0"/>
    <x v="17"/>
    <x v="17"/>
    <x v="0"/>
    <x v="0"/>
    <x v="0"/>
    <x v="25"/>
    <x v="0"/>
    <x v="0"/>
    <x v="1"/>
    <x v="1"/>
  </r>
  <r>
    <x v="751"/>
    <x v="1"/>
    <x v="25"/>
    <x v="734"/>
    <x v="147"/>
    <x v="571"/>
    <x v="1"/>
    <x v="0"/>
    <x v="734"/>
    <x v="0"/>
    <x v="0"/>
    <x v="0"/>
    <x v="0"/>
    <x v="0"/>
    <x v="2"/>
    <x v="571"/>
    <x v="559"/>
    <x v="734"/>
    <x v="1"/>
    <x v="10"/>
    <x v="0"/>
    <x v="17"/>
    <x v="17"/>
    <x v="0"/>
    <x v="0"/>
    <x v="0"/>
    <x v="25"/>
    <x v="0"/>
    <x v="0"/>
    <x v="1"/>
    <x v="1"/>
  </r>
  <r>
    <x v="750"/>
    <x v="1"/>
    <x v="25"/>
    <x v="733"/>
    <x v="158"/>
    <x v="579"/>
    <x v="1"/>
    <x v="0"/>
    <x v="733"/>
    <x v="0"/>
    <x v="0"/>
    <x v="0"/>
    <x v="0"/>
    <x v="0"/>
    <x v="2"/>
    <x v="579"/>
    <x v="567"/>
    <x v="733"/>
    <x v="1"/>
    <x v="10"/>
    <x v="0"/>
    <x v="17"/>
    <x v="17"/>
    <x v="0"/>
    <x v="0"/>
    <x v="0"/>
    <x v="25"/>
    <x v="0"/>
    <x v="0"/>
    <x v="1"/>
    <x v="1"/>
  </r>
  <r>
    <x v="749"/>
    <x v="1"/>
    <x v="25"/>
    <x v="732"/>
    <x v="152"/>
    <x v="576"/>
    <x v="1"/>
    <x v="0"/>
    <x v="732"/>
    <x v="0"/>
    <x v="0"/>
    <x v="0"/>
    <x v="0"/>
    <x v="0"/>
    <x v="2"/>
    <x v="576"/>
    <x v="564"/>
    <x v="732"/>
    <x v="1"/>
    <x v="10"/>
    <x v="0"/>
    <x v="17"/>
    <x v="17"/>
    <x v="0"/>
    <x v="0"/>
    <x v="0"/>
    <x v="25"/>
    <x v="0"/>
    <x v="0"/>
    <x v="1"/>
    <x v="1"/>
  </r>
  <r>
    <x v="748"/>
    <x v="1"/>
    <x v="25"/>
    <x v="731"/>
    <x v="146"/>
    <x v="570"/>
    <x v="1"/>
    <x v="0"/>
    <x v="731"/>
    <x v="0"/>
    <x v="0"/>
    <x v="0"/>
    <x v="0"/>
    <x v="0"/>
    <x v="2"/>
    <x v="570"/>
    <x v="558"/>
    <x v="731"/>
    <x v="1"/>
    <x v="10"/>
    <x v="0"/>
    <x v="17"/>
    <x v="17"/>
    <x v="0"/>
    <x v="0"/>
    <x v="0"/>
    <x v="25"/>
    <x v="0"/>
    <x v="0"/>
    <x v="1"/>
    <x v="1"/>
  </r>
  <r>
    <x v="747"/>
    <x v="1"/>
    <x v="25"/>
    <x v="730"/>
    <x v="143"/>
    <x v="569"/>
    <x v="1"/>
    <x v="0"/>
    <x v="730"/>
    <x v="0"/>
    <x v="0"/>
    <x v="0"/>
    <x v="0"/>
    <x v="0"/>
    <x v="2"/>
    <x v="569"/>
    <x v="557"/>
    <x v="730"/>
    <x v="1"/>
    <x v="10"/>
    <x v="0"/>
    <x v="17"/>
    <x v="17"/>
    <x v="0"/>
    <x v="0"/>
    <x v="0"/>
    <x v="25"/>
    <x v="0"/>
    <x v="0"/>
    <x v="1"/>
    <x v="1"/>
  </r>
  <r>
    <x v="746"/>
    <x v="1"/>
    <x v="25"/>
    <x v="729"/>
    <x v="141"/>
    <x v="567"/>
    <x v="1"/>
    <x v="0"/>
    <x v="729"/>
    <x v="0"/>
    <x v="0"/>
    <x v="0"/>
    <x v="0"/>
    <x v="0"/>
    <x v="2"/>
    <x v="567"/>
    <x v="555"/>
    <x v="729"/>
    <x v="1"/>
    <x v="10"/>
    <x v="0"/>
    <x v="17"/>
    <x v="17"/>
    <x v="0"/>
    <x v="0"/>
    <x v="0"/>
    <x v="25"/>
    <x v="0"/>
    <x v="0"/>
    <x v="1"/>
    <x v="1"/>
  </r>
  <r>
    <x v="745"/>
    <x v="1"/>
    <x v="25"/>
    <x v="728"/>
    <x v="138"/>
    <x v="566"/>
    <x v="1"/>
    <x v="0"/>
    <x v="728"/>
    <x v="0"/>
    <x v="0"/>
    <x v="0"/>
    <x v="0"/>
    <x v="0"/>
    <x v="2"/>
    <x v="566"/>
    <x v="554"/>
    <x v="728"/>
    <x v="1"/>
    <x v="10"/>
    <x v="0"/>
    <x v="17"/>
    <x v="17"/>
    <x v="0"/>
    <x v="0"/>
    <x v="0"/>
    <x v="25"/>
    <x v="0"/>
    <x v="0"/>
    <x v="1"/>
    <x v="1"/>
  </r>
  <r>
    <x v="744"/>
    <x v="1"/>
    <x v="25"/>
    <x v="727"/>
    <x v="134"/>
    <x v="562"/>
    <x v="1"/>
    <x v="0"/>
    <x v="727"/>
    <x v="0"/>
    <x v="0"/>
    <x v="0"/>
    <x v="0"/>
    <x v="0"/>
    <x v="2"/>
    <x v="562"/>
    <x v="550"/>
    <x v="727"/>
    <x v="1"/>
    <x v="10"/>
    <x v="0"/>
    <x v="17"/>
    <x v="17"/>
    <x v="0"/>
    <x v="0"/>
    <x v="0"/>
    <x v="25"/>
    <x v="0"/>
    <x v="0"/>
    <x v="1"/>
    <x v="1"/>
  </r>
  <r>
    <x v="743"/>
    <x v="1"/>
    <x v="25"/>
    <x v="726"/>
    <x v="639"/>
    <x v="867"/>
    <x v="1"/>
    <x v="0"/>
    <x v="726"/>
    <x v="0"/>
    <x v="0"/>
    <x v="0"/>
    <x v="0"/>
    <x v="0"/>
    <x v="2"/>
    <x v="867"/>
    <x v="855"/>
    <x v="726"/>
    <x v="1"/>
    <x v="10"/>
    <x v="0"/>
    <x v="17"/>
    <x v="17"/>
    <x v="0"/>
    <x v="0"/>
    <x v="0"/>
    <x v="25"/>
    <x v="0"/>
    <x v="0"/>
    <x v="1"/>
    <x v="1"/>
  </r>
  <r>
    <x v="742"/>
    <x v="1"/>
    <x v="25"/>
    <x v="725"/>
    <x v="637"/>
    <x v="865"/>
    <x v="1"/>
    <x v="0"/>
    <x v="725"/>
    <x v="0"/>
    <x v="0"/>
    <x v="0"/>
    <x v="0"/>
    <x v="0"/>
    <x v="2"/>
    <x v="865"/>
    <x v="853"/>
    <x v="725"/>
    <x v="1"/>
    <x v="10"/>
    <x v="0"/>
    <x v="17"/>
    <x v="17"/>
    <x v="0"/>
    <x v="0"/>
    <x v="0"/>
    <x v="25"/>
    <x v="0"/>
    <x v="0"/>
    <x v="1"/>
    <x v="1"/>
  </r>
  <r>
    <x v="741"/>
    <x v="1"/>
    <x v="25"/>
    <x v="724"/>
    <x v="635"/>
    <x v="863"/>
    <x v="1"/>
    <x v="0"/>
    <x v="724"/>
    <x v="0"/>
    <x v="0"/>
    <x v="0"/>
    <x v="0"/>
    <x v="0"/>
    <x v="2"/>
    <x v="863"/>
    <x v="851"/>
    <x v="724"/>
    <x v="1"/>
    <x v="10"/>
    <x v="0"/>
    <x v="17"/>
    <x v="17"/>
    <x v="0"/>
    <x v="0"/>
    <x v="0"/>
    <x v="25"/>
    <x v="0"/>
    <x v="0"/>
    <x v="1"/>
    <x v="1"/>
  </r>
  <r>
    <x v="740"/>
    <x v="1"/>
    <x v="25"/>
    <x v="723"/>
    <x v="631"/>
    <x v="860"/>
    <x v="1"/>
    <x v="0"/>
    <x v="723"/>
    <x v="0"/>
    <x v="0"/>
    <x v="0"/>
    <x v="0"/>
    <x v="0"/>
    <x v="2"/>
    <x v="860"/>
    <x v="848"/>
    <x v="723"/>
    <x v="1"/>
    <x v="10"/>
    <x v="0"/>
    <x v="17"/>
    <x v="17"/>
    <x v="0"/>
    <x v="0"/>
    <x v="0"/>
    <x v="25"/>
    <x v="0"/>
    <x v="0"/>
    <x v="1"/>
    <x v="1"/>
  </r>
  <r>
    <x v="739"/>
    <x v="1"/>
    <x v="25"/>
    <x v="722"/>
    <x v="629"/>
    <x v="858"/>
    <x v="1"/>
    <x v="0"/>
    <x v="722"/>
    <x v="0"/>
    <x v="0"/>
    <x v="0"/>
    <x v="0"/>
    <x v="0"/>
    <x v="2"/>
    <x v="858"/>
    <x v="846"/>
    <x v="722"/>
    <x v="1"/>
    <x v="10"/>
    <x v="0"/>
    <x v="17"/>
    <x v="17"/>
    <x v="0"/>
    <x v="0"/>
    <x v="0"/>
    <x v="25"/>
    <x v="0"/>
    <x v="0"/>
    <x v="1"/>
    <x v="1"/>
  </r>
  <r>
    <x v="738"/>
    <x v="1"/>
    <x v="25"/>
    <x v="721"/>
    <x v="626"/>
    <x v="855"/>
    <x v="1"/>
    <x v="0"/>
    <x v="721"/>
    <x v="0"/>
    <x v="0"/>
    <x v="0"/>
    <x v="0"/>
    <x v="0"/>
    <x v="2"/>
    <x v="855"/>
    <x v="843"/>
    <x v="721"/>
    <x v="1"/>
    <x v="10"/>
    <x v="0"/>
    <x v="17"/>
    <x v="17"/>
    <x v="0"/>
    <x v="0"/>
    <x v="0"/>
    <x v="25"/>
    <x v="0"/>
    <x v="0"/>
    <x v="1"/>
    <x v="1"/>
  </r>
  <r>
    <x v="737"/>
    <x v="1"/>
    <x v="25"/>
    <x v="720"/>
    <x v="624"/>
    <x v="853"/>
    <x v="1"/>
    <x v="0"/>
    <x v="720"/>
    <x v="0"/>
    <x v="0"/>
    <x v="0"/>
    <x v="0"/>
    <x v="0"/>
    <x v="2"/>
    <x v="853"/>
    <x v="841"/>
    <x v="720"/>
    <x v="1"/>
    <x v="10"/>
    <x v="0"/>
    <x v="17"/>
    <x v="17"/>
    <x v="0"/>
    <x v="0"/>
    <x v="0"/>
    <x v="25"/>
    <x v="0"/>
    <x v="0"/>
    <x v="1"/>
    <x v="1"/>
  </r>
  <r>
    <x v="736"/>
    <x v="1"/>
    <x v="25"/>
    <x v="719"/>
    <x v="622"/>
    <x v="851"/>
    <x v="1"/>
    <x v="0"/>
    <x v="719"/>
    <x v="0"/>
    <x v="0"/>
    <x v="0"/>
    <x v="0"/>
    <x v="0"/>
    <x v="2"/>
    <x v="851"/>
    <x v="839"/>
    <x v="719"/>
    <x v="1"/>
    <x v="10"/>
    <x v="0"/>
    <x v="17"/>
    <x v="17"/>
    <x v="0"/>
    <x v="0"/>
    <x v="0"/>
    <x v="25"/>
    <x v="0"/>
    <x v="0"/>
    <x v="1"/>
    <x v="1"/>
  </r>
  <r>
    <x v="735"/>
    <x v="1"/>
    <x v="25"/>
    <x v="718"/>
    <x v="620"/>
    <x v="849"/>
    <x v="1"/>
    <x v="0"/>
    <x v="718"/>
    <x v="0"/>
    <x v="0"/>
    <x v="0"/>
    <x v="0"/>
    <x v="0"/>
    <x v="2"/>
    <x v="849"/>
    <x v="837"/>
    <x v="718"/>
    <x v="1"/>
    <x v="10"/>
    <x v="0"/>
    <x v="17"/>
    <x v="17"/>
    <x v="0"/>
    <x v="0"/>
    <x v="0"/>
    <x v="25"/>
    <x v="0"/>
    <x v="0"/>
    <x v="1"/>
    <x v="1"/>
  </r>
  <r>
    <x v="734"/>
    <x v="1"/>
    <x v="25"/>
    <x v="717"/>
    <x v="619"/>
    <x v="848"/>
    <x v="1"/>
    <x v="0"/>
    <x v="717"/>
    <x v="0"/>
    <x v="0"/>
    <x v="0"/>
    <x v="0"/>
    <x v="0"/>
    <x v="2"/>
    <x v="848"/>
    <x v="836"/>
    <x v="717"/>
    <x v="1"/>
    <x v="10"/>
    <x v="0"/>
    <x v="17"/>
    <x v="17"/>
    <x v="0"/>
    <x v="0"/>
    <x v="0"/>
    <x v="25"/>
    <x v="0"/>
    <x v="0"/>
    <x v="1"/>
    <x v="1"/>
  </r>
  <r>
    <x v="733"/>
    <x v="1"/>
    <x v="25"/>
    <x v="716"/>
    <x v="616"/>
    <x v="846"/>
    <x v="1"/>
    <x v="0"/>
    <x v="716"/>
    <x v="0"/>
    <x v="0"/>
    <x v="0"/>
    <x v="0"/>
    <x v="0"/>
    <x v="2"/>
    <x v="846"/>
    <x v="834"/>
    <x v="716"/>
    <x v="1"/>
    <x v="10"/>
    <x v="0"/>
    <x v="17"/>
    <x v="17"/>
    <x v="0"/>
    <x v="0"/>
    <x v="0"/>
    <x v="25"/>
    <x v="0"/>
    <x v="0"/>
    <x v="1"/>
    <x v="1"/>
  </r>
  <r>
    <x v="732"/>
    <x v="1"/>
    <x v="25"/>
    <x v="715"/>
    <x v="612"/>
    <x v="843"/>
    <x v="1"/>
    <x v="0"/>
    <x v="715"/>
    <x v="0"/>
    <x v="0"/>
    <x v="0"/>
    <x v="0"/>
    <x v="0"/>
    <x v="2"/>
    <x v="843"/>
    <x v="831"/>
    <x v="715"/>
    <x v="1"/>
    <x v="10"/>
    <x v="0"/>
    <x v="17"/>
    <x v="17"/>
    <x v="0"/>
    <x v="0"/>
    <x v="0"/>
    <x v="25"/>
    <x v="0"/>
    <x v="0"/>
    <x v="1"/>
    <x v="1"/>
  </r>
  <r>
    <x v="731"/>
    <x v="1"/>
    <x v="25"/>
    <x v="714"/>
    <x v="610"/>
    <x v="841"/>
    <x v="1"/>
    <x v="0"/>
    <x v="714"/>
    <x v="0"/>
    <x v="0"/>
    <x v="0"/>
    <x v="0"/>
    <x v="0"/>
    <x v="2"/>
    <x v="841"/>
    <x v="829"/>
    <x v="714"/>
    <x v="1"/>
    <x v="10"/>
    <x v="0"/>
    <x v="17"/>
    <x v="17"/>
    <x v="0"/>
    <x v="0"/>
    <x v="0"/>
    <x v="25"/>
    <x v="0"/>
    <x v="0"/>
    <x v="1"/>
    <x v="1"/>
  </r>
  <r>
    <x v="730"/>
    <x v="1"/>
    <x v="25"/>
    <x v="713"/>
    <x v="608"/>
    <x v="839"/>
    <x v="1"/>
    <x v="0"/>
    <x v="713"/>
    <x v="0"/>
    <x v="0"/>
    <x v="0"/>
    <x v="0"/>
    <x v="0"/>
    <x v="2"/>
    <x v="839"/>
    <x v="827"/>
    <x v="713"/>
    <x v="1"/>
    <x v="10"/>
    <x v="0"/>
    <x v="17"/>
    <x v="17"/>
    <x v="0"/>
    <x v="0"/>
    <x v="0"/>
    <x v="25"/>
    <x v="0"/>
    <x v="0"/>
    <x v="1"/>
    <x v="1"/>
  </r>
  <r>
    <x v="729"/>
    <x v="1"/>
    <x v="25"/>
    <x v="712"/>
    <x v="606"/>
    <x v="837"/>
    <x v="1"/>
    <x v="0"/>
    <x v="712"/>
    <x v="0"/>
    <x v="0"/>
    <x v="0"/>
    <x v="0"/>
    <x v="0"/>
    <x v="2"/>
    <x v="837"/>
    <x v="825"/>
    <x v="712"/>
    <x v="1"/>
    <x v="10"/>
    <x v="0"/>
    <x v="17"/>
    <x v="17"/>
    <x v="0"/>
    <x v="0"/>
    <x v="0"/>
    <x v="25"/>
    <x v="0"/>
    <x v="0"/>
    <x v="1"/>
    <x v="1"/>
  </r>
  <r>
    <x v="728"/>
    <x v="1"/>
    <x v="25"/>
    <x v="711"/>
    <x v="604"/>
    <x v="835"/>
    <x v="1"/>
    <x v="0"/>
    <x v="711"/>
    <x v="0"/>
    <x v="0"/>
    <x v="0"/>
    <x v="0"/>
    <x v="0"/>
    <x v="2"/>
    <x v="835"/>
    <x v="823"/>
    <x v="711"/>
    <x v="1"/>
    <x v="10"/>
    <x v="0"/>
    <x v="17"/>
    <x v="17"/>
    <x v="0"/>
    <x v="0"/>
    <x v="0"/>
    <x v="25"/>
    <x v="0"/>
    <x v="0"/>
    <x v="1"/>
    <x v="1"/>
  </r>
  <r>
    <x v="727"/>
    <x v="1"/>
    <x v="25"/>
    <x v="710"/>
    <x v="602"/>
    <x v="833"/>
    <x v="1"/>
    <x v="0"/>
    <x v="710"/>
    <x v="0"/>
    <x v="0"/>
    <x v="0"/>
    <x v="0"/>
    <x v="0"/>
    <x v="2"/>
    <x v="833"/>
    <x v="821"/>
    <x v="710"/>
    <x v="1"/>
    <x v="10"/>
    <x v="0"/>
    <x v="17"/>
    <x v="17"/>
    <x v="0"/>
    <x v="0"/>
    <x v="0"/>
    <x v="25"/>
    <x v="0"/>
    <x v="0"/>
    <x v="1"/>
    <x v="1"/>
  </r>
  <r>
    <x v="726"/>
    <x v="1"/>
    <x v="25"/>
    <x v="709"/>
    <x v="600"/>
    <x v="831"/>
    <x v="1"/>
    <x v="0"/>
    <x v="709"/>
    <x v="0"/>
    <x v="0"/>
    <x v="0"/>
    <x v="0"/>
    <x v="0"/>
    <x v="2"/>
    <x v="831"/>
    <x v="819"/>
    <x v="709"/>
    <x v="1"/>
    <x v="10"/>
    <x v="0"/>
    <x v="17"/>
    <x v="17"/>
    <x v="0"/>
    <x v="0"/>
    <x v="0"/>
    <x v="25"/>
    <x v="0"/>
    <x v="0"/>
    <x v="1"/>
    <x v="1"/>
  </r>
  <r>
    <x v="725"/>
    <x v="1"/>
    <x v="25"/>
    <x v="708"/>
    <x v="598"/>
    <x v="829"/>
    <x v="1"/>
    <x v="0"/>
    <x v="708"/>
    <x v="0"/>
    <x v="0"/>
    <x v="0"/>
    <x v="0"/>
    <x v="0"/>
    <x v="2"/>
    <x v="829"/>
    <x v="817"/>
    <x v="708"/>
    <x v="1"/>
    <x v="10"/>
    <x v="0"/>
    <x v="17"/>
    <x v="17"/>
    <x v="0"/>
    <x v="0"/>
    <x v="0"/>
    <x v="25"/>
    <x v="0"/>
    <x v="0"/>
    <x v="1"/>
    <x v="1"/>
  </r>
  <r>
    <x v="724"/>
    <x v="1"/>
    <x v="25"/>
    <x v="707"/>
    <x v="596"/>
    <x v="827"/>
    <x v="1"/>
    <x v="0"/>
    <x v="707"/>
    <x v="0"/>
    <x v="0"/>
    <x v="0"/>
    <x v="0"/>
    <x v="0"/>
    <x v="2"/>
    <x v="827"/>
    <x v="815"/>
    <x v="707"/>
    <x v="1"/>
    <x v="10"/>
    <x v="0"/>
    <x v="17"/>
    <x v="17"/>
    <x v="0"/>
    <x v="0"/>
    <x v="0"/>
    <x v="25"/>
    <x v="0"/>
    <x v="0"/>
    <x v="1"/>
    <x v="1"/>
  </r>
  <r>
    <x v="723"/>
    <x v="1"/>
    <x v="25"/>
    <x v="706"/>
    <x v="594"/>
    <x v="825"/>
    <x v="1"/>
    <x v="0"/>
    <x v="706"/>
    <x v="0"/>
    <x v="0"/>
    <x v="0"/>
    <x v="0"/>
    <x v="0"/>
    <x v="2"/>
    <x v="825"/>
    <x v="813"/>
    <x v="706"/>
    <x v="1"/>
    <x v="10"/>
    <x v="0"/>
    <x v="17"/>
    <x v="17"/>
    <x v="0"/>
    <x v="0"/>
    <x v="0"/>
    <x v="25"/>
    <x v="0"/>
    <x v="0"/>
    <x v="1"/>
    <x v="1"/>
  </r>
  <r>
    <x v="722"/>
    <x v="1"/>
    <x v="25"/>
    <x v="705"/>
    <x v="592"/>
    <x v="823"/>
    <x v="1"/>
    <x v="0"/>
    <x v="705"/>
    <x v="0"/>
    <x v="0"/>
    <x v="0"/>
    <x v="0"/>
    <x v="0"/>
    <x v="2"/>
    <x v="823"/>
    <x v="811"/>
    <x v="705"/>
    <x v="1"/>
    <x v="10"/>
    <x v="0"/>
    <x v="17"/>
    <x v="17"/>
    <x v="0"/>
    <x v="0"/>
    <x v="0"/>
    <x v="25"/>
    <x v="0"/>
    <x v="0"/>
    <x v="1"/>
    <x v="1"/>
  </r>
  <r>
    <x v="721"/>
    <x v="1"/>
    <x v="25"/>
    <x v="704"/>
    <x v="590"/>
    <x v="821"/>
    <x v="1"/>
    <x v="0"/>
    <x v="704"/>
    <x v="0"/>
    <x v="0"/>
    <x v="0"/>
    <x v="0"/>
    <x v="0"/>
    <x v="2"/>
    <x v="821"/>
    <x v="809"/>
    <x v="704"/>
    <x v="1"/>
    <x v="10"/>
    <x v="0"/>
    <x v="17"/>
    <x v="17"/>
    <x v="0"/>
    <x v="0"/>
    <x v="0"/>
    <x v="25"/>
    <x v="0"/>
    <x v="0"/>
    <x v="1"/>
    <x v="1"/>
  </r>
  <r>
    <x v="720"/>
    <x v="1"/>
    <x v="25"/>
    <x v="703"/>
    <x v="588"/>
    <x v="819"/>
    <x v="1"/>
    <x v="0"/>
    <x v="703"/>
    <x v="0"/>
    <x v="0"/>
    <x v="0"/>
    <x v="0"/>
    <x v="0"/>
    <x v="2"/>
    <x v="819"/>
    <x v="807"/>
    <x v="703"/>
    <x v="1"/>
    <x v="10"/>
    <x v="0"/>
    <x v="17"/>
    <x v="17"/>
    <x v="0"/>
    <x v="0"/>
    <x v="0"/>
    <x v="25"/>
    <x v="0"/>
    <x v="0"/>
    <x v="1"/>
    <x v="1"/>
  </r>
  <r>
    <x v="719"/>
    <x v="1"/>
    <x v="25"/>
    <x v="702"/>
    <x v="586"/>
    <x v="817"/>
    <x v="1"/>
    <x v="0"/>
    <x v="702"/>
    <x v="0"/>
    <x v="0"/>
    <x v="0"/>
    <x v="0"/>
    <x v="0"/>
    <x v="2"/>
    <x v="817"/>
    <x v="805"/>
    <x v="702"/>
    <x v="1"/>
    <x v="10"/>
    <x v="0"/>
    <x v="17"/>
    <x v="17"/>
    <x v="0"/>
    <x v="0"/>
    <x v="0"/>
    <x v="25"/>
    <x v="0"/>
    <x v="0"/>
    <x v="1"/>
    <x v="1"/>
  </r>
  <r>
    <x v="718"/>
    <x v="1"/>
    <x v="25"/>
    <x v="701"/>
    <x v="584"/>
    <x v="815"/>
    <x v="1"/>
    <x v="0"/>
    <x v="701"/>
    <x v="0"/>
    <x v="0"/>
    <x v="0"/>
    <x v="0"/>
    <x v="0"/>
    <x v="2"/>
    <x v="815"/>
    <x v="803"/>
    <x v="701"/>
    <x v="1"/>
    <x v="10"/>
    <x v="0"/>
    <x v="17"/>
    <x v="17"/>
    <x v="0"/>
    <x v="0"/>
    <x v="0"/>
    <x v="25"/>
    <x v="0"/>
    <x v="0"/>
    <x v="1"/>
    <x v="1"/>
  </r>
  <r>
    <x v="717"/>
    <x v="1"/>
    <x v="25"/>
    <x v="700"/>
    <x v="582"/>
    <x v="813"/>
    <x v="1"/>
    <x v="0"/>
    <x v="700"/>
    <x v="0"/>
    <x v="0"/>
    <x v="0"/>
    <x v="0"/>
    <x v="0"/>
    <x v="2"/>
    <x v="813"/>
    <x v="801"/>
    <x v="700"/>
    <x v="1"/>
    <x v="10"/>
    <x v="0"/>
    <x v="17"/>
    <x v="17"/>
    <x v="0"/>
    <x v="0"/>
    <x v="0"/>
    <x v="25"/>
    <x v="0"/>
    <x v="0"/>
    <x v="1"/>
    <x v="1"/>
  </r>
  <r>
    <x v="716"/>
    <x v="1"/>
    <x v="25"/>
    <x v="699"/>
    <x v="640"/>
    <x v="866"/>
    <x v="1"/>
    <x v="0"/>
    <x v="699"/>
    <x v="0"/>
    <x v="0"/>
    <x v="0"/>
    <x v="0"/>
    <x v="0"/>
    <x v="2"/>
    <x v="866"/>
    <x v="854"/>
    <x v="699"/>
    <x v="1"/>
    <x v="10"/>
    <x v="0"/>
    <x v="17"/>
    <x v="17"/>
    <x v="0"/>
    <x v="0"/>
    <x v="0"/>
    <x v="25"/>
    <x v="0"/>
    <x v="0"/>
    <x v="1"/>
    <x v="1"/>
  </r>
  <r>
    <x v="715"/>
    <x v="1"/>
    <x v="25"/>
    <x v="698"/>
    <x v="636"/>
    <x v="862"/>
    <x v="1"/>
    <x v="0"/>
    <x v="698"/>
    <x v="0"/>
    <x v="0"/>
    <x v="0"/>
    <x v="0"/>
    <x v="0"/>
    <x v="2"/>
    <x v="862"/>
    <x v="850"/>
    <x v="698"/>
    <x v="1"/>
    <x v="10"/>
    <x v="0"/>
    <x v="17"/>
    <x v="17"/>
    <x v="0"/>
    <x v="0"/>
    <x v="0"/>
    <x v="25"/>
    <x v="0"/>
    <x v="0"/>
    <x v="1"/>
    <x v="1"/>
  </r>
  <r>
    <x v="714"/>
    <x v="1"/>
    <x v="25"/>
    <x v="697"/>
    <x v="614"/>
    <x v="842"/>
    <x v="1"/>
    <x v="0"/>
    <x v="697"/>
    <x v="0"/>
    <x v="0"/>
    <x v="0"/>
    <x v="0"/>
    <x v="0"/>
    <x v="2"/>
    <x v="842"/>
    <x v="830"/>
    <x v="697"/>
    <x v="1"/>
    <x v="10"/>
    <x v="0"/>
    <x v="17"/>
    <x v="17"/>
    <x v="0"/>
    <x v="0"/>
    <x v="0"/>
    <x v="25"/>
    <x v="0"/>
    <x v="0"/>
    <x v="1"/>
    <x v="1"/>
  </r>
  <r>
    <x v="713"/>
    <x v="1"/>
    <x v="25"/>
    <x v="696"/>
    <x v="621"/>
    <x v="847"/>
    <x v="1"/>
    <x v="0"/>
    <x v="696"/>
    <x v="0"/>
    <x v="0"/>
    <x v="0"/>
    <x v="0"/>
    <x v="0"/>
    <x v="2"/>
    <x v="847"/>
    <x v="835"/>
    <x v="696"/>
    <x v="1"/>
    <x v="10"/>
    <x v="0"/>
    <x v="17"/>
    <x v="17"/>
    <x v="0"/>
    <x v="0"/>
    <x v="0"/>
    <x v="25"/>
    <x v="0"/>
    <x v="0"/>
    <x v="1"/>
    <x v="1"/>
  </r>
  <r>
    <x v="712"/>
    <x v="1"/>
    <x v="25"/>
    <x v="695"/>
    <x v="638"/>
    <x v="864"/>
    <x v="1"/>
    <x v="0"/>
    <x v="695"/>
    <x v="0"/>
    <x v="0"/>
    <x v="0"/>
    <x v="0"/>
    <x v="0"/>
    <x v="2"/>
    <x v="864"/>
    <x v="852"/>
    <x v="695"/>
    <x v="1"/>
    <x v="10"/>
    <x v="0"/>
    <x v="17"/>
    <x v="17"/>
    <x v="0"/>
    <x v="0"/>
    <x v="0"/>
    <x v="25"/>
    <x v="0"/>
    <x v="0"/>
    <x v="1"/>
    <x v="1"/>
  </r>
  <r>
    <x v="711"/>
    <x v="1"/>
    <x v="25"/>
    <x v="694"/>
    <x v="632"/>
    <x v="859"/>
    <x v="1"/>
    <x v="0"/>
    <x v="694"/>
    <x v="0"/>
    <x v="0"/>
    <x v="0"/>
    <x v="0"/>
    <x v="0"/>
    <x v="2"/>
    <x v="859"/>
    <x v="847"/>
    <x v="694"/>
    <x v="1"/>
    <x v="10"/>
    <x v="0"/>
    <x v="17"/>
    <x v="17"/>
    <x v="0"/>
    <x v="0"/>
    <x v="0"/>
    <x v="25"/>
    <x v="0"/>
    <x v="0"/>
    <x v="1"/>
    <x v="1"/>
  </r>
  <r>
    <x v="710"/>
    <x v="1"/>
    <x v="25"/>
    <x v="693"/>
    <x v="601"/>
    <x v="830"/>
    <x v="1"/>
    <x v="0"/>
    <x v="693"/>
    <x v="0"/>
    <x v="0"/>
    <x v="0"/>
    <x v="0"/>
    <x v="0"/>
    <x v="2"/>
    <x v="830"/>
    <x v="818"/>
    <x v="693"/>
    <x v="1"/>
    <x v="10"/>
    <x v="0"/>
    <x v="17"/>
    <x v="17"/>
    <x v="0"/>
    <x v="0"/>
    <x v="0"/>
    <x v="25"/>
    <x v="0"/>
    <x v="0"/>
    <x v="1"/>
    <x v="1"/>
  </r>
  <r>
    <x v="709"/>
    <x v="1"/>
    <x v="25"/>
    <x v="692"/>
    <x v="603"/>
    <x v="832"/>
    <x v="1"/>
    <x v="0"/>
    <x v="692"/>
    <x v="0"/>
    <x v="0"/>
    <x v="0"/>
    <x v="0"/>
    <x v="0"/>
    <x v="2"/>
    <x v="832"/>
    <x v="820"/>
    <x v="692"/>
    <x v="1"/>
    <x v="10"/>
    <x v="0"/>
    <x v="17"/>
    <x v="17"/>
    <x v="0"/>
    <x v="0"/>
    <x v="0"/>
    <x v="25"/>
    <x v="0"/>
    <x v="0"/>
    <x v="1"/>
    <x v="1"/>
  </r>
  <r>
    <x v="708"/>
    <x v="1"/>
    <x v="25"/>
    <x v="691"/>
    <x v="630"/>
    <x v="857"/>
    <x v="1"/>
    <x v="0"/>
    <x v="691"/>
    <x v="0"/>
    <x v="0"/>
    <x v="0"/>
    <x v="0"/>
    <x v="0"/>
    <x v="2"/>
    <x v="857"/>
    <x v="845"/>
    <x v="691"/>
    <x v="1"/>
    <x v="10"/>
    <x v="0"/>
    <x v="17"/>
    <x v="17"/>
    <x v="0"/>
    <x v="0"/>
    <x v="0"/>
    <x v="25"/>
    <x v="0"/>
    <x v="0"/>
    <x v="1"/>
    <x v="1"/>
  </r>
  <r>
    <x v="707"/>
    <x v="1"/>
    <x v="25"/>
    <x v="690"/>
    <x v="618"/>
    <x v="845"/>
    <x v="1"/>
    <x v="0"/>
    <x v="690"/>
    <x v="0"/>
    <x v="0"/>
    <x v="0"/>
    <x v="0"/>
    <x v="0"/>
    <x v="2"/>
    <x v="845"/>
    <x v="833"/>
    <x v="690"/>
    <x v="1"/>
    <x v="10"/>
    <x v="0"/>
    <x v="17"/>
    <x v="17"/>
    <x v="0"/>
    <x v="0"/>
    <x v="0"/>
    <x v="25"/>
    <x v="0"/>
    <x v="0"/>
    <x v="1"/>
    <x v="1"/>
  </r>
  <r>
    <x v="706"/>
    <x v="1"/>
    <x v="25"/>
    <x v="689"/>
    <x v="625"/>
    <x v="852"/>
    <x v="1"/>
    <x v="0"/>
    <x v="689"/>
    <x v="0"/>
    <x v="0"/>
    <x v="0"/>
    <x v="0"/>
    <x v="0"/>
    <x v="2"/>
    <x v="852"/>
    <x v="840"/>
    <x v="689"/>
    <x v="1"/>
    <x v="10"/>
    <x v="0"/>
    <x v="17"/>
    <x v="17"/>
    <x v="0"/>
    <x v="0"/>
    <x v="0"/>
    <x v="25"/>
    <x v="0"/>
    <x v="0"/>
    <x v="1"/>
    <x v="1"/>
  </r>
  <r>
    <x v="705"/>
    <x v="1"/>
    <x v="25"/>
    <x v="688"/>
    <x v="623"/>
    <x v="850"/>
    <x v="1"/>
    <x v="0"/>
    <x v="688"/>
    <x v="0"/>
    <x v="0"/>
    <x v="0"/>
    <x v="0"/>
    <x v="0"/>
    <x v="2"/>
    <x v="850"/>
    <x v="838"/>
    <x v="688"/>
    <x v="1"/>
    <x v="10"/>
    <x v="0"/>
    <x v="17"/>
    <x v="17"/>
    <x v="0"/>
    <x v="0"/>
    <x v="0"/>
    <x v="25"/>
    <x v="0"/>
    <x v="0"/>
    <x v="1"/>
    <x v="1"/>
  </r>
  <r>
    <x v="704"/>
    <x v="1"/>
    <x v="25"/>
    <x v="687"/>
    <x v="615"/>
    <x v="844"/>
    <x v="1"/>
    <x v="0"/>
    <x v="687"/>
    <x v="0"/>
    <x v="0"/>
    <x v="0"/>
    <x v="0"/>
    <x v="0"/>
    <x v="2"/>
    <x v="844"/>
    <x v="832"/>
    <x v="687"/>
    <x v="1"/>
    <x v="10"/>
    <x v="0"/>
    <x v="17"/>
    <x v="17"/>
    <x v="0"/>
    <x v="0"/>
    <x v="0"/>
    <x v="25"/>
    <x v="0"/>
    <x v="0"/>
    <x v="1"/>
    <x v="1"/>
  </r>
  <r>
    <x v="703"/>
    <x v="1"/>
    <x v="25"/>
    <x v="686"/>
    <x v="605"/>
    <x v="834"/>
    <x v="1"/>
    <x v="0"/>
    <x v="686"/>
    <x v="0"/>
    <x v="0"/>
    <x v="0"/>
    <x v="0"/>
    <x v="0"/>
    <x v="2"/>
    <x v="834"/>
    <x v="822"/>
    <x v="686"/>
    <x v="1"/>
    <x v="10"/>
    <x v="0"/>
    <x v="17"/>
    <x v="17"/>
    <x v="0"/>
    <x v="0"/>
    <x v="0"/>
    <x v="25"/>
    <x v="0"/>
    <x v="0"/>
    <x v="1"/>
    <x v="1"/>
  </r>
  <r>
    <x v="702"/>
    <x v="1"/>
    <x v="25"/>
    <x v="685"/>
    <x v="599"/>
    <x v="828"/>
    <x v="1"/>
    <x v="0"/>
    <x v="685"/>
    <x v="0"/>
    <x v="0"/>
    <x v="0"/>
    <x v="0"/>
    <x v="0"/>
    <x v="2"/>
    <x v="828"/>
    <x v="816"/>
    <x v="685"/>
    <x v="1"/>
    <x v="10"/>
    <x v="0"/>
    <x v="17"/>
    <x v="17"/>
    <x v="0"/>
    <x v="0"/>
    <x v="0"/>
    <x v="25"/>
    <x v="0"/>
    <x v="0"/>
    <x v="1"/>
    <x v="1"/>
  </r>
  <r>
    <x v="701"/>
    <x v="1"/>
    <x v="25"/>
    <x v="684"/>
    <x v="634"/>
    <x v="861"/>
    <x v="1"/>
    <x v="0"/>
    <x v="684"/>
    <x v="0"/>
    <x v="0"/>
    <x v="0"/>
    <x v="0"/>
    <x v="0"/>
    <x v="2"/>
    <x v="861"/>
    <x v="849"/>
    <x v="684"/>
    <x v="1"/>
    <x v="10"/>
    <x v="0"/>
    <x v="17"/>
    <x v="17"/>
    <x v="0"/>
    <x v="0"/>
    <x v="0"/>
    <x v="25"/>
    <x v="0"/>
    <x v="0"/>
    <x v="1"/>
    <x v="1"/>
  </r>
  <r>
    <x v="700"/>
    <x v="1"/>
    <x v="25"/>
    <x v="683"/>
    <x v="611"/>
    <x v="840"/>
    <x v="1"/>
    <x v="0"/>
    <x v="683"/>
    <x v="0"/>
    <x v="0"/>
    <x v="0"/>
    <x v="0"/>
    <x v="0"/>
    <x v="2"/>
    <x v="840"/>
    <x v="828"/>
    <x v="683"/>
    <x v="1"/>
    <x v="10"/>
    <x v="0"/>
    <x v="17"/>
    <x v="17"/>
    <x v="0"/>
    <x v="0"/>
    <x v="0"/>
    <x v="25"/>
    <x v="0"/>
    <x v="0"/>
    <x v="1"/>
    <x v="1"/>
  </r>
  <r>
    <x v="699"/>
    <x v="1"/>
    <x v="25"/>
    <x v="682"/>
    <x v="609"/>
    <x v="838"/>
    <x v="1"/>
    <x v="0"/>
    <x v="682"/>
    <x v="0"/>
    <x v="0"/>
    <x v="0"/>
    <x v="0"/>
    <x v="0"/>
    <x v="2"/>
    <x v="838"/>
    <x v="826"/>
    <x v="682"/>
    <x v="1"/>
    <x v="10"/>
    <x v="0"/>
    <x v="17"/>
    <x v="17"/>
    <x v="0"/>
    <x v="0"/>
    <x v="0"/>
    <x v="25"/>
    <x v="0"/>
    <x v="0"/>
    <x v="1"/>
    <x v="1"/>
  </r>
  <r>
    <x v="698"/>
    <x v="1"/>
    <x v="25"/>
    <x v="681"/>
    <x v="628"/>
    <x v="856"/>
    <x v="1"/>
    <x v="0"/>
    <x v="681"/>
    <x v="0"/>
    <x v="0"/>
    <x v="0"/>
    <x v="0"/>
    <x v="0"/>
    <x v="2"/>
    <x v="856"/>
    <x v="844"/>
    <x v="681"/>
    <x v="1"/>
    <x v="10"/>
    <x v="0"/>
    <x v="17"/>
    <x v="17"/>
    <x v="0"/>
    <x v="0"/>
    <x v="0"/>
    <x v="25"/>
    <x v="0"/>
    <x v="0"/>
    <x v="1"/>
    <x v="1"/>
  </r>
  <r>
    <x v="697"/>
    <x v="1"/>
    <x v="25"/>
    <x v="680"/>
    <x v="627"/>
    <x v="854"/>
    <x v="1"/>
    <x v="0"/>
    <x v="680"/>
    <x v="0"/>
    <x v="0"/>
    <x v="0"/>
    <x v="0"/>
    <x v="0"/>
    <x v="2"/>
    <x v="854"/>
    <x v="842"/>
    <x v="680"/>
    <x v="1"/>
    <x v="10"/>
    <x v="0"/>
    <x v="17"/>
    <x v="17"/>
    <x v="0"/>
    <x v="0"/>
    <x v="0"/>
    <x v="25"/>
    <x v="0"/>
    <x v="0"/>
    <x v="1"/>
    <x v="1"/>
  </r>
  <r>
    <x v="696"/>
    <x v="1"/>
    <x v="25"/>
    <x v="679"/>
    <x v="597"/>
    <x v="826"/>
    <x v="1"/>
    <x v="0"/>
    <x v="679"/>
    <x v="0"/>
    <x v="0"/>
    <x v="0"/>
    <x v="0"/>
    <x v="0"/>
    <x v="2"/>
    <x v="826"/>
    <x v="814"/>
    <x v="679"/>
    <x v="1"/>
    <x v="10"/>
    <x v="0"/>
    <x v="17"/>
    <x v="17"/>
    <x v="0"/>
    <x v="0"/>
    <x v="0"/>
    <x v="25"/>
    <x v="0"/>
    <x v="0"/>
    <x v="1"/>
    <x v="1"/>
  </r>
  <r>
    <x v="695"/>
    <x v="1"/>
    <x v="25"/>
    <x v="678"/>
    <x v="607"/>
    <x v="836"/>
    <x v="1"/>
    <x v="0"/>
    <x v="678"/>
    <x v="0"/>
    <x v="0"/>
    <x v="0"/>
    <x v="0"/>
    <x v="0"/>
    <x v="2"/>
    <x v="836"/>
    <x v="824"/>
    <x v="678"/>
    <x v="1"/>
    <x v="10"/>
    <x v="0"/>
    <x v="17"/>
    <x v="17"/>
    <x v="0"/>
    <x v="0"/>
    <x v="0"/>
    <x v="25"/>
    <x v="0"/>
    <x v="0"/>
    <x v="1"/>
    <x v="1"/>
  </r>
  <r>
    <x v="694"/>
    <x v="1"/>
    <x v="25"/>
    <x v="677"/>
    <x v="591"/>
    <x v="820"/>
    <x v="1"/>
    <x v="0"/>
    <x v="677"/>
    <x v="0"/>
    <x v="0"/>
    <x v="0"/>
    <x v="0"/>
    <x v="0"/>
    <x v="2"/>
    <x v="820"/>
    <x v="808"/>
    <x v="677"/>
    <x v="1"/>
    <x v="10"/>
    <x v="0"/>
    <x v="17"/>
    <x v="17"/>
    <x v="0"/>
    <x v="0"/>
    <x v="0"/>
    <x v="25"/>
    <x v="0"/>
    <x v="0"/>
    <x v="1"/>
    <x v="1"/>
  </r>
  <r>
    <x v="693"/>
    <x v="1"/>
    <x v="25"/>
    <x v="676"/>
    <x v="583"/>
    <x v="812"/>
    <x v="1"/>
    <x v="0"/>
    <x v="676"/>
    <x v="0"/>
    <x v="0"/>
    <x v="0"/>
    <x v="0"/>
    <x v="0"/>
    <x v="2"/>
    <x v="812"/>
    <x v="800"/>
    <x v="676"/>
    <x v="1"/>
    <x v="10"/>
    <x v="0"/>
    <x v="17"/>
    <x v="17"/>
    <x v="0"/>
    <x v="0"/>
    <x v="0"/>
    <x v="25"/>
    <x v="0"/>
    <x v="0"/>
    <x v="1"/>
    <x v="1"/>
  </r>
  <r>
    <x v="692"/>
    <x v="1"/>
    <x v="25"/>
    <x v="675"/>
    <x v="595"/>
    <x v="824"/>
    <x v="1"/>
    <x v="0"/>
    <x v="675"/>
    <x v="0"/>
    <x v="0"/>
    <x v="0"/>
    <x v="0"/>
    <x v="0"/>
    <x v="2"/>
    <x v="824"/>
    <x v="812"/>
    <x v="675"/>
    <x v="1"/>
    <x v="10"/>
    <x v="0"/>
    <x v="17"/>
    <x v="17"/>
    <x v="0"/>
    <x v="0"/>
    <x v="0"/>
    <x v="25"/>
    <x v="0"/>
    <x v="0"/>
    <x v="1"/>
    <x v="1"/>
  </r>
  <r>
    <x v="691"/>
    <x v="1"/>
    <x v="25"/>
    <x v="674"/>
    <x v="593"/>
    <x v="822"/>
    <x v="1"/>
    <x v="0"/>
    <x v="674"/>
    <x v="0"/>
    <x v="0"/>
    <x v="0"/>
    <x v="0"/>
    <x v="0"/>
    <x v="2"/>
    <x v="822"/>
    <x v="810"/>
    <x v="674"/>
    <x v="1"/>
    <x v="10"/>
    <x v="0"/>
    <x v="17"/>
    <x v="17"/>
    <x v="0"/>
    <x v="0"/>
    <x v="0"/>
    <x v="25"/>
    <x v="0"/>
    <x v="0"/>
    <x v="1"/>
    <x v="1"/>
  </r>
  <r>
    <x v="690"/>
    <x v="1"/>
    <x v="25"/>
    <x v="673"/>
    <x v="587"/>
    <x v="816"/>
    <x v="1"/>
    <x v="0"/>
    <x v="673"/>
    <x v="0"/>
    <x v="0"/>
    <x v="0"/>
    <x v="0"/>
    <x v="0"/>
    <x v="2"/>
    <x v="816"/>
    <x v="804"/>
    <x v="673"/>
    <x v="1"/>
    <x v="10"/>
    <x v="0"/>
    <x v="17"/>
    <x v="17"/>
    <x v="0"/>
    <x v="0"/>
    <x v="0"/>
    <x v="25"/>
    <x v="0"/>
    <x v="0"/>
    <x v="1"/>
    <x v="1"/>
  </r>
  <r>
    <x v="689"/>
    <x v="1"/>
    <x v="25"/>
    <x v="672"/>
    <x v="585"/>
    <x v="814"/>
    <x v="1"/>
    <x v="0"/>
    <x v="672"/>
    <x v="0"/>
    <x v="0"/>
    <x v="0"/>
    <x v="0"/>
    <x v="0"/>
    <x v="2"/>
    <x v="814"/>
    <x v="802"/>
    <x v="672"/>
    <x v="1"/>
    <x v="10"/>
    <x v="0"/>
    <x v="17"/>
    <x v="17"/>
    <x v="0"/>
    <x v="0"/>
    <x v="0"/>
    <x v="25"/>
    <x v="0"/>
    <x v="0"/>
    <x v="1"/>
    <x v="1"/>
  </r>
  <r>
    <x v="688"/>
    <x v="1"/>
    <x v="25"/>
    <x v="671"/>
    <x v="589"/>
    <x v="818"/>
    <x v="1"/>
    <x v="0"/>
    <x v="671"/>
    <x v="0"/>
    <x v="0"/>
    <x v="0"/>
    <x v="0"/>
    <x v="0"/>
    <x v="2"/>
    <x v="818"/>
    <x v="806"/>
    <x v="671"/>
    <x v="1"/>
    <x v="10"/>
    <x v="0"/>
    <x v="17"/>
    <x v="17"/>
    <x v="0"/>
    <x v="0"/>
    <x v="0"/>
    <x v="25"/>
    <x v="0"/>
    <x v="0"/>
    <x v="1"/>
    <x v="1"/>
  </r>
  <r>
    <x v="687"/>
    <x v="1"/>
    <x v="25"/>
    <x v="670"/>
    <x v="504"/>
    <x v="784"/>
    <x v="1"/>
    <x v="0"/>
    <x v="670"/>
    <x v="0"/>
    <x v="0"/>
    <x v="0"/>
    <x v="0"/>
    <x v="0"/>
    <x v="2"/>
    <x v="784"/>
    <x v="772"/>
    <x v="670"/>
    <x v="1"/>
    <x v="10"/>
    <x v="0"/>
    <x v="17"/>
    <x v="17"/>
    <x v="0"/>
    <x v="0"/>
    <x v="0"/>
    <x v="25"/>
    <x v="0"/>
    <x v="0"/>
    <x v="1"/>
    <x v="1"/>
  </r>
  <r>
    <x v="686"/>
    <x v="1"/>
    <x v="25"/>
    <x v="669"/>
    <x v="497"/>
    <x v="778"/>
    <x v="1"/>
    <x v="0"/>
    <x v="669"/>
    <x v="0"/>
    <x v="0"/>
    <x v="0"/>
    <x v="0"/>
    <x v="0"/>
    <x v="2"/>
    <x v="778"/>
    <x v="766"/>
    <x v="669"/>
    <x v="1"/>
    <x v="10"/>
    <x v="0"/>
    <x v="17"/>
    <x v="17"/>
    <x v="0"/>
    <x v="0"/>
    <x v="0"/>
    <x v="25"/>
    <x v="0"/>
    <x v="0"/>
    <x v="1"/>
    <x v="1"/>
  </r>
  <r>
    <x v="685"/>
    <x v="1"/>
    <x v="25"/>
    <x v="668"/>
    <x v="494"/>
    <x v="775"/>
    <x v="1"/>
    <x v="0"/>
    <x v="668"/>
    <x v="0"/>
    <x v="0"/>
    <x v="0"/>
    <x v="0"/>
    <x v="0"/>
    <x v="2"/>
    <x v="775"/>
    <x v="763"/>
    <x v="668"/>
    <x v="1"/>
    <x v="10"/>
    <x v="0"/>
    <x v="17"/>
    <x v="17"/>
    <x v="0"/>
    <x v="0"/>
    <x v="0"/>
    <x v="25"/>
    <x v="0"/>
    <x v="0"/>
    <x v="1"/>
    <x v="1"/>
  </r>
  <r>
    <x v="684"/>
    <x v="1"/>
    <x v="25"/>
    <x v="667"/>
    <x v="491"/>
    <x v="773"/>
    <x v="1"/>
    <x v="0"/>
    <x v="667"/>
    <x v="0"/>
    <x v="0"/>
    <x v="0"/>
    <x v="0"/>
    <x v="0"/>
    <x v="2"/>
    <x v="773"/>
    <x v="761"/>
    <x v="667"/>
    <x v="1"/>
    <x v="10"/>
    <x v="0"/>
    <x v="17"/>
    <x v="17"/>
    <x v="0"/>
    <x v="0"/>
    <x v="0"/>
    <x v="25"/>
    <x v="0"/>
    <x v="0"/>
    <x v="1"/>
    <x v="1"/>
  </r>
  <r>
    <x v="683"/>
    <x v="1"/>
    <x v="25"/>
    <x v="666"/>
    <x v="488"/>
    <x v="769"/>
    <x v="1"/>
    <x v="0"/>
    <x v="666"/>
    <x v="0"/>
    <x v="0"/>
    <x v="0"/>
    <x v="0"/>
    <x v="0"/>
    <x v="2"/>
    <x v="769"/>
    <x v="757"/>
    <x v="666"/>
    <x v="1"/>
    <x v="10"/>
    <x v="0"/>
    <x v="17"/>
    <x v="17"/>
    <x v="0"/>
    <x v="0"/>
    <x v="0"/>
    <x v="25"/>
    <x v="0"/>
    <x v="0"/>
    <x v="1"/>
    <x v="1"/>
  </r>
  <r>
    <x v="682"/>
    <x v="1"/>
    <x v="25"/>
    <x v="665"/>
    <x v="473"/>
    <x v="759"/>
    <x v="1"/>
    <x v="0"/>
    <x v="665"/>
    <x v="0"/>
    <x v="0"/>
    <x v="0"/>
    <x v="0"/>
    <x v="0"/>
    <x v="2"/>
    <x v="759"/>
    <x v="747"/>
    <x v="665"/>
    <x v="1"/>
    <x v="10"/>
    <x v="0"/>
    <x v="17"/>
    <x v="17"/>
    <x v="0"/>
    <x v="0"/>
    <x v="0"/>
    <x v="25"/>
    <x v="0"/>
    <x v="0"/>
    <x v="1"/>
    <x v="1"/>
  </r>
  <r>
    <x v="681"/>
    <x v="1"/>
    <x v="25"/>
    <x v="664"/>
    <x v="468"/>
    <x v="754"/>
    <x v="1"/>
    <x v="0"/>
    <x v="664"/>
    <x v="0"/>
    <x v="0"/>
    <x v="0"/>
    <x v="0"/>
    <x v="0"/>
    <x v="2"/>
    <x v="754"/>
    <x v="742"/>
    <x v="664"/>
    <x v="1"/>
    <x v="10"/>
    <x v="0"/>
    <x v="17"/>
    <x v="17"/>
    <x v="0"/>
    <x v="0"/>
    <x v="0"/>
    <x v="25"/>
    <x v="0"/>
    <x v="0"/>
    <x v="1"/>
    <x v="1"/>
  </r>
  <r>
    <x v="680"/>
    <x v="1"/>
    <x v="25"/>
    <x v="663"/>
    <x v="502"/>
    <x v="781"/>
    <x v="1"/>
    <x v="0"/>
    <x v="663"/>
    <x v="0"/>
    <x v="0"/>
    <x v="0"/>
    <x v="0"/>
    <x v="0"/>
    <x v="2"/>
    <x v="781"/>
    <x v="769"/>
    <x v="663"/>
    <x v="1"/>
    <x v="10"/>
    <x v="0"/>
    <x v="17"/>
    <x v="17"/>
    <x v="0"/>
    <x v="0"/>
    <x v="0"/>
    <x v="25"/>
    <x v="0"/>
    <x v="0"/>
    <x v="1"/>
    <x v="1"/>
  </r>
  <r>
    <x v="679"/>
    <x v="1"/>
    <x v="25"/>
    <x v="662"/>
    <x v="492"/>
    <x v="772"/>
    <x v="1"/>
    <x v="0"/>
    <x v="662"/>
    <x v="0"/>
    <x v="0"/>
    <x v="0"/>
    <x v="0"/>
    <x v="0"/>
    <x v="2"/>
    <x v="772"/>
    <x v="760"/>
    <x v="662"/>
    <x v="1"/>
    <x v="10"/>
    <x v="0"/>
    <x v="17"/>
    <x v="17"/>
    <x v="0"/>
    <x v="0"/>
    <x v="0"/>
    <x v="25"/>
    <x v="0"/>
    <x v="0"/>
    <x v="1"/>
    <x v="1"/>
  </r>
  <r>
    <x v="678"/>
    <x v="1"/>
    <x v="25"/>
    <x v="661"/>
    <x v="495"/>
    <x v="776"/>
    <x v="1"/>
    <x v="0"/>
    <x v="661"/>
    <x v="0"/>
    <x v="0"/>
    <x v="0"/>
    <x v="0"/>
    <x v="0"/>
    <x v="2"/>
    <x v="776"/>
    <x v="764"/>
    <x v="661"/>
    <x v="1"/>
    <x v="10"/>
    <x v="0"/>
    <x v="17"/>
    <x v="17"/>
    <x v="0"/>
    <x v="0"/>
    <x v="0"/>
    <x v="25"/>
    <x v="0"/>
    <x v="0"/>
    <x v="1"/>
    <x v="1"/>
  </r>
  <r>
    <x v="677"/>
    <x v="1"/>
    <x v="25"/>
    <x v="660"/>
    <x v="490"/>
    <x v="771"/>
    <x v="1"/>
    <x v="0"/>
    <x v="660"/>
    <x v="0"/>
    <x v="0"/>
    <x v="0"/>
    <x v="0"/>
    <x v="0"/>
    <x v="2"/>
    <x v="771"/>
    <x v="759"/>
    <x v="660"/>
    <x v="1"/>
    <x v="10"/>
    <x v="0"/>
    <x v="17"/>
    <x v="17"/>
    <x v="0"/>
    <x v="0"/>
    <x v="0"/>
    <x v="25"/>
    <x v="0"/>
    <x v="0"/>
    <x v="1"/>
    <x v="1"/>
  </r>
  <r>
    <x v="676"/>
    <x v="1"/>
    <x v="25"/>
    <x v="659"/>
    <x v="477"/>
    <x v="761"/>
    <x v="1"/>
    <x v="0"/>
    <x v="659"/>
    <x v="0"/>
    <x v="0"/>
    <x v="0"/>
    <x v="0"/>
    <x v="0"/>
    <x v="2"/>
    <x v="761"/>
    <x v="749"/>
    <x v="659"/>
    <x v="1"/>
    <x v="10"/>
    <x v="0"/>
    <x v="17"/>
    <x v="17"/>
    <x v="0"/>
    <x v="0"/>
    <x v="0"/>
    <x v="25"/>
    <x v="0"/>
    <x v="0"/>
    <x v="1"/>
    <x v="1"/>
  </r>
  <r>
    <x v="675"/>
    <x v="1"/>
    <x v="25"/>
    <x v="658"/>
    <x v="481"/>
    <x v="764"/>
    <x v="1"/>
    <x v="0"/>
    <x v="658"/>
    <x v="0"/>
    <x v="0"/>
    <x v="0"/>
    <x v="0"/>
    <x v="0"/>
    <x v="2"/>
    <x v="764"/>
    <x v="752"/>
    <x v="658"/>
    <x v="1"/>
    <x v="10"/>
    <x v="0"/>
    <x v="17"/>
    <x v="17"/>
    <x v="0"/>
    <x v="0"/>
    <x v="0"/>
    <x v="25"/>
    <x v="0"/>
    <x v="0"/>
    <x v="1"/>
    <x v="1"/>
  </r>
  <r>
    <x v="674"/>
    <x v="1"/>
    <x v="25"/>
    <x v="657"/>
    <x v="498"/>
    <x v="779"/>
    <x v="1"/>
    <x v="0"/>
    <x v="657"/>
    <x v="0"/>
    <x v="0"/>
    <x v="0"/>
    <x v="0"/>
    <x v="0"/>
    <x v="2"/>
    <x v="779"/>
    <x v="767"/>
    <x v="657"/>
    <x v="1"/>
    <x v="10"/>
    <x v="0"/>
    <x v="17"/>
    <x v="17"/>
    <x v="0"/>
    <x v="0"/>
    <x v="0"/>
    <x v="25"/>
    <x v="0"/>
    <x v="0"/>
    <x v="1"/>
    <x v="1"/>
  </r>
  <r>
    <x v="673"/>
    <x v="1"/>
    <x v="25"/>
    <x v="656"/>
    <x v="489"/>
    <x v="770"/>
    <x v="1"/>
    <x v="0"/>
    <x v="656"/>
    <x v="0"/>
    <x v="0"/>
    <x v="0"/>
    <x v="0"/>
    <x v="0"/>
    <x v="2"/>
    <x v="770"/>
    <x v="758"/>
    <x v="656"/>
    <x v="1"/>
    <x v="10"/>
    <x v="0"/>
    <x v="17"/>
    <x v="17"/>
    <x v="0"/>
    <x v="0"/>
    <x v="0"/>
    <x v="25"/>
    <x v="0"/>
    <x v="0"/>
    <x v="1"/>
    <x v="1"/>
  </r>
  <r>
    <x v="672"/>
    <x v="1"/>
    <x v="25"/>
    <x v="655"/>
    <x v="486"/>
    <x v="767"/>
    <x v="1"/>
    <x v="0"/>
    <x v="655"/>
    <x v="0"/>
    <x v="0"/>
    <x v="0"/>
    <x v="0"/>
    <x v="0"/>
    <x v="2"/>
    <x v="767"/>
    <x v="755"/>
    <x v="655"/>
    <x v="1"/>
    <x v="10"/>
    <x v="0"/>
    <x v="17"/>
    <x v="17"/>
    <x v="0"/>
    <x v="0"/>
    <x v="0"/>
    <x v="25"/>
    <x v="0"/>
    <x v="0"/>
    <x v="1"/>
    <x v="1"/>
  </r>
  <r>
    <x v="671"/>
    <x v="1"/>
    <x v="25"/>
    <x v="654"/>
    <x v="485"/>
    <x v="766"/>
    <x v="1"/>
    <x v="0"/>
    <x v="654"/>
    <x v="0"/>
    <x v="0"/>
    <x v="0"/>
    <x v="0"/>
    <x v="0"/>
    <x v="2"/>
    <x v="766"/>
    <x v="754"/>
    <x v="654"/>
    <x v="1"/>
    <x v="10"/>
    <x v="0"/>
    <x v="17"/>
    <x v="17"/>
    <x v="0"/>
    <x v="0"/>
    <x v="0"/>
    <x v="25"/>
    <x v="0"/>
    <x v="0"/>
    <x v="1"/>
    <x v="1"/>
  </r>
  <r>
    <x v="670"/>
    <x v="1"/>
    <x v="25"/>
    <x v="653"/>
    <x v="484"/>
    <x v="765"/>
    <x v="1"/>
    <x v="0"/>
    <x v="653"/>
    <x v="0"/>
    <x v="0"/>
    <x v="0"/>
    <x v="0"/>
    <x v="0"/>
    <x v="2"/>
    <x v="765"/>
    <x v="753"/>
    <x v="653"/>
    <x v="1"/>
    <x v="10"/>
    <x v="0"/>
    <x v="17"/>
    <x v="17"/>
    <x v="0"/>
    <x v="0"/>
    <x v="0"/>
    <x v="25"/>
    <x v="0"/>
    <x v="0"/>
    <x v="1"/>
    <x v="1"/>
  </r>
  <r>
    <x v="669"/>
    <x v="1"/>
    <x v="25"/>
    <x v="652"/>
    <x v="475"/>
    <x v="760"/>
    <x v="1"/>
    <x v="0"/>
    <x v="652"/>
    <x v="0"/>
    <x v="0"/>
    <x v="0"/>
    <x v="0"/>
    <x v="0"/>
    <x v="2"/>
    <x v="760"/>
    <x v="748"/>
    <x v="652"/>
    <x v="1"/>
    <x v="10"/>
    <x v="0"/>
    <x v="17"/>
    <x v="17"/>
    <x v="0"/>
    <x v="0"/>
    <x v="0"/>
    <x v="25"/>
    <x v="0"/>
    <x v="0"/>
    <x v="1"/>
    <x v="1"/>
  </r>
  <r>
    <x v="668"/>
    <x v="1"/>
    <x v="25"/>
    <x v="651"/>
    <x v="503"/>
    <x v="783"/>
    <x v="1"/>
    <x v="0"/>
    <x v="651"/>
    <x v="0"/>
    <x v="0"/>
    <x v="0"/>
    <x v="0"/>
    <x v="0"/>
    <x v="2"/>
    <x v="783"/>
    <x v="771"/>
    <x v="651"/>
    <x v="1"/>
    <x v="10"/>
    <x v="0"/>
    <x v="17"/>
    <x v="17"/>
    <x v="0"/>
    <x v="0"/>
    <x v="0"/>
    <x v="25"/>
    <x v="0"/>
    <x v="0"/>
    <x v="1"/>
    <x v="1"/>
  </r>
  <r>
    <x v="667"/>
    <x v="1"/>
    <x v="25"/>
    <x v="650"/>
    <x v="493"/>
    <x v="774"/>
    <x v="1"/>
    <x v="0"/>
    <x v="650"/>
    <x v="0"/>
    <x v="0"/>
    <x v="0"/>
    <x v="0"/>
    <x v="0"/>
    <x v="2"/>
    <x v="774"/>
    <x v="762"/>
    <x v="650"/>
    <x v="1"/>
    <x v="10"/>
    <x v="0"/>
    <x v="17"/>
    <x v="17"/>
    <x v="0"/>
    <x v="0"/>
    <x v="0"/>
    <x v="25"/>
    <x v="0"/>
    <x v="0"/>
    <x v="1"/>
    <x v="1"/>
  </r>
  <r>
    <x v="666"/>
    <x v="1"/>
    <x v="25"/>
    <x v="649"/>
    <x v="496"/>
    <x v="777"/>
    <x v="1"/>
    <x v="0"/>
    <x v="649"/>
    <x v="0"/>
    <x v="0"/>
    <x v="0"/>
    <x v="0"/>
    <x v="0"/>
    <x v="2"/>
    <x v="777"/>
    <x v="765"/>
    <x v="649"/>
    <x v="1"/>
    <x v="10"/>
    <x v="0"/>
    <x v="17"/>
    <x v="17"/>
    <x v="0"/>
    <x v="0"/>
    <x v="0"/>
    <x v="25"/>
    <x v="0"/>
    <x v="0"/>
    <x v="1"/>
    <x v="1"/>
  </r>
  <r>
    <x v="665"/>
    <x v="1"/>
    <x v="25"/>
    <x v="648"/>
    <x v="487"/>
    <x v="768"/>
    <x v="1"/>
    <x v="0"/>
    <x v="648"/>
    <x v="0"/>
    <x v="0"/>
    <x v="0"/>
    <x v="0"/>
    <x v="0"/>
    <x v="2"/>
    <x v="768"/>
    <x v="756"/>
    <x v="648"/>
    <x v="1"/>
    <x v="10"/>
    <x v="0"/>
    <x v="17"/>
    <x v="17"/>
    <x v="0"/>
    <x v="0"/>
    <x v="0"/>
    <x v="25"/>
    <x v="0"/>
    <x v="0"/>
    <x v="1"/>
    <x v="1"/>
  </r>
  <r>
    <x v="664"/>
    <x v="1"/>
    <x v="25"/>
    <x v="647"/>
    <x v="472"/>
    <x v="758"/>
    <x v="1"/>
    <x v="0"/>
    <x v="647"/>
    <x v="0"/>
    <x v="0"/>
    <x v="0"/>
    <x v="0"/>
    <x v="0"/>
    <x v="2"/>
    <x v="758"/>
    <x v="746"/>
    <x v="647"/>
    <x v="1"/>
    <x v="10"/>
    <x v="0"/>
    <x v="17"/>
    <x v="17"/>
    <x v="0"/>
    <x v="0"/>
    <x v="0"/>
    <x v="25"/>
    <x v="0"/>
    <x v="0"/>
    <x v="1"/>
    <x v="1"/>
  </r>
  <r>
    <x v="663"/>
    <x v="1"/>
    <x v="25"/>
    <x v="646"/>
    <x v="499"/>
    <x v="780"/>
    <x v="1"/>
    <x v="0"/>
    <x v="646"/>
    <x v="0"/>
    <x v="0"/>
    <x v="0"/>
    <x v="0"/>
    <x v="0"/>
    <x v="2"/>
    <x v="780"/>
    <x v="768"/>
    <x v="646"/>
    <x v="1"/>
    <x v="10"/>
    <x v="0"/>
    <x v="17"/>
    <x v="17"/>
    <x v="0"/>
    <x v="0"/>
    <x v="0"/>
    <x v="25"/>
    <x v="0"/>
    <x v="0"/>
    <x v="1"/>
    <x v="1"/>
  </r>
  <r>
    <x v="662"/>
    <x v="1"/>
    <x v="25"/>
    <x v="645"/>
    <x v="505"/>
    <x v="785"/>
    <x v="1"/>
    <x v="0"/>
    <x v="645"/>
    <x v="0"/>
    <x v="0"/>
    <x v="0"/>
    <x v="0"/>
    <x v="0"/>
    <x v="2"/>
    <x v="785"/>
    <x v="773"/>
    <x v="645"/>
    <x v="1"/>
    <x v="10"/>
    <x v="0"/>
    <x v="17"/>
    <x v="17"/>
    <x v="0"/>
    <x v="0"/>
    <x v="0"/>
    <x v="25"/>
    <x v="0"/>
    <x v="0"/>
    <x v="1"/>
    <x v="1"/>
  </r>
  <r>
    <x v="661"/>
    <x v="1"/>
    <x v="25"/>
    <x v="644"/>
    <x v="478"/>
    <x v="763"/>
    <x v="1"/>
    <x v="0"/>
    <x v="644"/>
    <x v="0"/>
    <x v="0"/>
    <x v="0"/>
    <x v="0"/>
    <x v="0"/>
    <x v="2"/>
    <x v="763"/>
    <x v="751"/>
    <x v="644"/>
    <x v="1"/>
    <x v="10"/>
    <x v="0"/>
    <x v="17"/>
    <x v="17"/>
    <x v="0"/>
    <x v="0"/>
    <x v="0"/>
    <x v="25"/>
    <x v="0"/>
    <x v="0"/>
    <x v="1"/>
    <x v="1"/>
  </r>
  <r>
    <x v="660"/>
    <x v="1"/>
    <x v="25"/>
    <x v="643"/>
    <x v="463"/>
    <x v="751"/>
    <x v="1"/>
    <x v="0"/>
    <x v="643"/>
    <x v="0"/>
    <x v="0"/>
    <x v="0"/>
    <x v="0"/>
    <x v="0"/>
    <x v="2"/>
    <x v="751"/>
    <x v="739"/>
    <x v="643"/>
    <x v="1"/>
    <x v="10"/>
    <x v="0"/>
    <x v="17"/>
    <x v="17"/>
    <x v="0"/>
    <x v="0"/>
    <x v="0"/>
    <x v="25"/>
    <x v="0"/>
    <x v="0"/>
    <x v="1"/>
    <x v="1"/>
  </r>
  <r>
    <x v="659"/>
    <x v="1"/>
    <x v="25"/>
    <x v="642"/>
    <x v="467"/>
    <x v="755"/>
    <x v="1"/>
    <x v="0"/>
    <x v="642"/>
    <x v="0"/>
    <x v="0"/>
    <x v="0"/>
    <x v="0"/>
    <x v="0"/>
    <x v="2"/>
    <x v="755"/>
    <x v="743"/>
    <x v="642"/>
    <x v="1"/>
    <x v="10"/>
    <x v="0"/>
    <x v="17"/>
    <x v="17"/>
    <x v="0"/>
    <x v="0"/>
    <x v="0"/>
    <x v="25"/>
    <x v="0"/>
    <x v="0"/>
    <x v="1"/>
    <x v="1"/>
  </r>
  <r>
    <x v="658"/>
    <x v="1"/>
    <x v="25"/>
    <x v="641"/>
    <x v="466"/>
    <x v="753"/>
    <x v="1"/>
    <x v="0"/>
    <x v="641"/>
    <x v="0"/>
    <x v="0"/>
    <x v="0"/>
    <x v="0"/>
    <x v="0"/>
    <x v="2"/>
    <x v="753"/>
    <x v="741"/>
    <x v="641"/>
    <x v="1"/>
    <x v="10"/>
    <x v="0"/>
    <x v="17"/>
    <x v="17"/>
    <x v="0"/>
    <x v="0"/>
    <x v="0"/>
    <x v="25"/>
    <x v="0"/>
    <x v="0"/>
    <x v="1"/>
    <x v="1"/>
  </r>
  <r>
    <x v="657"/>
    <x v="1"/>
    <x v="25"/>
    <x v="640"/>
    <x v="465"/>
    <x v="752"/>
    <x v="1"/>
    <x v="0"/>
    <x v="640"/>
    <x v="0"/>
    <x v="0"/>
    <x v="0"/>
    <x v="0"/>
    <x v="0"/>
    <x v="2"/>
    <x v="752"/>
    <x v="740"/>
    <x v="640"/>
    <x v="1"/>
    <x v="10"/>
    <x v="0"/>
    <x v="17"/>
    <x v="17"/>
    <x v="0"/>
    <x v="0"/>
    <x v="0"/>
    <x v="25"/>
    <x v="0"/>
    <x v="0"/>
    <x v="1"/>
    <x v="1"/>
  </r>
  <r>
    <x v="656"/>
    <x v="1"/>
    <x v="25"/>
    <x v="639"/>
    <x v="461"/>
    <x v="750"/>
    <x v="1"/>
    <x v="0"/>
    <x v="639"/>
    <x v="0"/>
    <x v="0"/>
    <x v="0"/>
    <x v="0"/>
    <x v="0"/>
    <x v="2"/>
    <x v="750"/>
    <x v="738"/>
    <x v="639"/>
    <x v="1"/>
    <x v="10"/>
    <x v="0"/>
    <x v="17"/>
    <x v="17"/>
    <x v="0"/>
    <x v="0"/>
    <x v="0"/>
    <x v="25"/>
    <x v="0"/>
    <x v="0"/>
    <x v="1"/>
    <x v="1"/>
  </r>
  <r>
    <x v="655"/>
    <x v="1"/>
    <x v="25"/>
    <x v="638"/>
    <x v="460"/>
    <x v="749"/>
    <x v="1"/>
    <x v="0"/>
    <x v="638"/>
    <x v="0"/>
    <x v="0"/>
    <x v="0"/>
    <x v="0"/>
    <x v="0"/>
    <x v="2"/>
    <x v="749"/>
    <x v="737"/>
    <x v="638"/>
    <x v="1"/>
    <x v="10"/>
    <x v="0"/>
    <x v="17"/>
    <x v="17"/>
    <x v="0"/>
    <x v="0"/>
    <x v="0"/>
    <x v="25"/>
    <x v="0"/>
    <x v="0"/>
    <x v="1"/>
    <x v="1"/>
  </r>
  <r>
    <x v="654"/>
    <x v="1"/>
    <x v="25"/>
    <x v="637"/>
    <x v="459"/>
    <x v="748"/>
    <x v="1"/>
    <x v="0"/>
    <x v="637"/>
    <x v="0"/>
    <x v="0"/>
    <x v="0"/>
    <x v="0"/>
    <x v="0"/>
    <x v="2"/>
    <x v="748"/>
    <x v="736"/>
    <x v="637"/>
    <x v="1"/>
    <x v="10"/>
    <x v="0"/>
    <x v="17"/>
    <x v="17"/>
    <x v="0"/>
    <x v="0"/>
    <x v="0"/>
    <x v="25"/>
    <x v="0"/>
    <x v="0"/>
    <x v="1"/>
    <x v="1"/>
  </r>
  <r>
    <x v="653"/>
    <x v="1"/>
    <x v="25"/>
    <x v="636"/>
    <x v="458"/>
    <x v="747"/>
    <x v="1"/>
    <x v="0"/>
    <x v="636"/>
    <x v="0"/>
    <x v="0"/>
    <x v="0"/>
    <x v="0"/>
    <x v="0"/>
    <x v="2"/>
    <x v="747"/>
    <x v="735"/>
    <x v="636"/>
    <x v="1"/>
    <x v="10"/>
    <x v="0"/>
    <x v="17"/>
    <x v="17"/>
    <x v="0"/>
    <x v="0"/>
    <x v="0"/>
    <x v="25"/>
    <x v="0"/>
    <x v="0"/>
    <x v="1"/>
    <x v="1"/>
  </r>
  <r>
    <x v="652"/>
    <x v="1"/>
    <x v="25"/>
    <x v="635"/>
    <x v="471"/>
    <x v="757"/>
    <x v="1"/>
    <x v="0"/>
    <x v="635"/>
    <x v="0"/>
    <x v="0"/>
    <x v="0"/>
    <x v="0"/>
    <x v="0"/>
    <x v="2"/>
    <x v="757"/>
    <x v="745"/>
    <x v="635"/>
    <x v="1"/>
    <x v="10"/>
    <x v="0"/>
    <x v="17"/>
    <x v="17"/>
    <x v="0"/>
    <x v="0"/>
    <x v="0"/>
    <x v="25"/>
    <x v="0"/>
    <x v="0"/>
    <x v="1"/>
    <x v="1"/>
  </r>
  <r>
    <x v="651"/>
    <x v="1"/>
    <x v="25"/>
    <x v="634"/>
    <x v="470"/>
    <x v="756"/>
    <x v="1"/>
    <x v="0"/>
    <x v="634"/>
    <x v="0"/>
    <x v="0"/>
    <x v="0"/>
    <x v="0"/>
    <x v="0"/>
    <x v="2"/>
    <x v="756"/>
    <x v="744"/>
    <x v="634"/>
    <x v="1"/>
    <x v="10"/>
    <x v="0"/>
    <x v="17"/>
    <x v="17"/>
    <x v="0"/>
    <x v="0"/>
    <x v="0"/>
    <x v="25"/>
    <x v="0"/>
    <x v="0"/>
    <x v="1"/>
    <x v="1"/>
  </r>
  <r>
    <x v="650"/>
    <x v="1"/>
    <x v="25"/>
    <x v="633"/>
    <x v="930"/>
    <x v="1027"/>
    <x v="1"/>
    <x v="0"/>
    <x v="633"/>
    <x v="0"/>
    <x v="0"/>
    <x v="0"/>
    <x v="0"/>
    <x v="0"/>
    <x v="2"/>
    <x v="1027"/>
    <x v="1015"/>
    <x v="633"/>
    <x v="1"/>
    <x v="10"/>
    <x v="0"/>
    <x v="17"/>
    <x v="17"/>
    <x v="0"/>
    <x v="0"/>
    <x v="0"/>
    <x v="25"/>
    <x v="0"/>
    <x v="0"/>
    <x v="1"/>
    <x v="1"/>
  </r>
  <r>
    <x v="649"/>
    <x v="1"/>
    <x v="25"/>
    <x v="632"/>
    <x v="929"/>
    <x v="1026"/>
    <x v="1"/>
    <x v="0"/>
    <x v="632"/>
    <x v="0"/>
    <x v="0"/>
    <x v="0"/>
    <x v="0"/>
    <x v="0"/>
    <x v="2"/>
    <x v="1026"/>
    <x v="1014"/>
    <x v="632"/>
    <x v="1"/>
    <x v="10"/>
    <x v="0"/>
    <x v="17"/>
    <x v="17"/>
    <x v="0"/>
    <x v="0"/>
    <x v="0"/>
    <x v="25"/>
    <x v="0"/>
    <x v="0"/>
    <x v="1"/>
    <x v="1"/>
  </r>
  <r>
    <x v="648"/>
    <x v="1"/>
    <x v="25"/>
    <x v="631"/>
    <x v="928"/>
    <x v="1025"/>
    <x v="1"/>
    <x v="0"/>
    <x v="631"/>
    <x v="0"/>
    <x v="0"/>
    <x v="0"/>
    <x v="0"/>
    <x v="0"/>
    <x v="2"/>
    <x v="1025"/>
    <x v="1013"/>
    <x v="631"/>
    <x v="1"/>
    <x v="10"/>
    <x v="0"/>
    <x v="17"/>
    <x v="17"/>
    <x v="0"/>
    <x v="0"/>
    <x v="0"/>
    <x v="25"/>
    <x v="0"/>
    <x v="0"/>
    <x v="1"/>
    <x v="1"/>
  </r>
  <r>
    <x v="647"/>
    <x v="1"/>
    <x v="25"/>
    <x v="630"/>
    <x v="932"/>
    <x v="1029"/>
    <x v="1"/>
    <x v="0"/>
    <x v="630"/>
    <x v="0"/>
    <x v="0"/>
    <x v="0"/>
    <x v="0"/>
    <x v="0"/>
    <x v="2"/>
    <x v="1029"/>
    <x v="1017"/>
    <x v="630"/>
    <x v="1"/>
    <x v="10"/>
    <x v="0"/>
    <x v="17"/>
    <x v="17"/>
    <x v="0"/>
    <x v="0"/>
    <x v="0"/>
    <x v="25"/>
    <x v="0"/>
    <x v="0"/>
    <x v="1"/>
    <x v="1"/>
  </r>
  <r>
    <x v="646"/>
    <x v="1"/>
    <x v="25"/>
    <x v="629"/>
    <x v="909"/>
    <x v="1021"/>
    <x v="1"/>
    <x v="0"/>
    <x v="629"/>
    <x v="0"/>
    <x v="0"/>
    <x v="0"/>
    <x v="0"/>
    <x v="0"/>
    <x v="2"/>
    <x v="1021"/>
    <x v="1009"/>
    <x v="629"/>
    <x v="1"/>
    <x v="10"/>
    <x v="0"/>
    <x v="17"/>
    <x v="17"/>
    <x v="0"/>
    <x v="0"/>
    <x v="0"/>
    <x v="25"/>
    <x v="0"/>
    <x v="0"/>
    <x v="1"/>
    <x v="1"/>
  </r>
  <r>
    <x v="645"/>
    <x v="1"/>
    <x v="25"/>
    <x v="628"/>
    <x v="931"/>
    <x v="1028"/>
    <x v="1"/>
    <x v="0"/>
    <x v="628"/>
    <x v="0"/>
    <x v="0"/>
    <x v="0"/>
    <x v="0"/>
    <x v="0"/>
    <x v="2"/>
    <x v="1028"/>
    <x v="1016"/>
    <x v="628"/>
    <x v="1"/>
    <x v="10"/>
    <x v="0"/>
    <x v="17"/>
    <x v="17"/>
    <x v="0"/>
    <x v="0"/>
    <x v="0"/>
    <x v="25"/>
    <x v="0"/>
    <x v="0"/>
    <x v="1"/>
    <x v="1"/>
  </r>
  <r>
    <x v="644"/>
    <x v="1"/>
    <x v="25"/>
    <x v="627"/>
    <x v="536"/>
    <x v="786"/>
    <x v="1"/>
    <x v="0"/>
    <x v="627"/>
    <x v="0"/>
    <x v="0"/>
    <x v="0"/>
    <x v="0"/>
    <x v="0"/>
    <x v="2"/>
    <x v="786"/>
    <x v="774"/>
    <x v="627"/>
    <x v="1"/>
    <x v="10"/>
    <x v="0"/>
    <x v="17"/>
    <x v="17"/>
    <x v="0"/>
    <x v="0"/>
    <x v="0"/>
    <x v="25"/>
    <x v="0"/>
    <x v="0"/>
    <x v="1"/>
    <x v="1"/>
  </r>
  <r>
    <x v="643"/>
    <x v="1"/>
    <x v="25"/>
    <x v="626"/>
    <x v="537"/>
    <x v="787"/>
    <x v="1"/>
    <x v="0"/>
    <x v="626"/>
    <x v="0"/>
    <x v="0"/>
    <x v="0"/>
    <x v="0"/>
    <x v="0"/>
    <x v="2"/>
    <x v="787"/>
    <x v="775"/>
    <x v="626"/>
    <x v="1"/>
    <x v="10"/>
    <x v="0"/>
    <x v="17"/>
    <x v="17"/>
    <x v="0"/>
    <x v="0"/>
    <x v="0"/>
    <x v="25"/>
    <x v="0"/>
    <x v="0"/>
    <x v="1"/>
    <x v="1"/>
  </r>
  <r>
    <x v="642"/>
    <x v="1"/>
    <x v="25"/>
    <x v="625"/>
    <x v="838"/>
    <x v="988"/>
    <x v="1"/>
    <x v="0"/>
    <x v="625"/>
    <x v="0"/>
    <x v="0"/>
    <x v="0"/>
    <x v="0"/>
    <x v="0"/>
    <x v="2"/>
    <x v="988"/>
    <x v="976"/>
    <x v="625"/>
    <x v="1"/>
    <x v="10"/>
    <x v="0"/>
    <x v="17"/>
    <x v="17"/>
    <x v="0"/>
    <x v="0"/>
    <x v="0"/>
    <x v="25"/>
    <x v="0"/>
    <x v="0"/>
    <x v="1"/>
    <x v="1"/>
  </r>
  <r>
    <x v="641"/>
    <x v="1"/>
    <x v="25"/>
    <x v="624"/>
    <x v="816"/>
    <x v="973"/>
    <x v="1"/>
    <x v="0"/>
    <x v="624"/>
    <x v="0"/>
    <x v="0"/>
    <x v="0"/>
    <x v="0"/>
    <x v="0"/>
    <x v="2"/>
    <x v="973"/>
    <x v="961"/>
    <x v="624"/>
    <x v="1"/>
    <x v="10"/>
    <x v="0"/>
    <x v="17"/>
    <x v="17"/>
    <x v="0"/>
    <x v="0"/>
    <x v="0"/>
    <x v="25"/>
    <x v="0"/>
    <x v="0"/>
    <x v="1"/>
    <x v="1"/>
  </r>
  <r>
    <x v="640"/>
    <x v="1"/>
    <x v="25"/>
    <x v="623"/>
    <x v="800"/>
    <x v="960"/>
    <x v="1"/>
    <x v="0"/>
    <x v="623"/>
    <x v="0"/>
    <x v="0"/>
    <x v="0"/>
    <x v="0"/>
    <x v="0"/>
    <x v="2"/>
    <x v="960"/>
    <x v="948"/>
    <x v="623"/>
    <x v="1"/>
    <x v="10"/>
    <x v="0"/>
    <x v="17"/>
    <x v="17"/>
    <x v="0"/>
    <x v="0"/>
    <x v="0"/>
    <x v="25"/>
    <x v="0"/>
    <x v="0"/>
    <x v="1"/>
    <x v="1"/>
  </r>
  <r>
    <x v="639"/>
    <x v="1"/>
    <x v="25"/>
    <x v="622"/>
    <x v="803"/>
    <x v="962"/>
    <x v="1"/>
    <x v="0"/>
    <x v="622"/>
    <x v="0"/>
    <x v="0"/>
    <x v="0"/>
    <x v="0"/>
    <x v="0"/>
    <x v="2"/>
    <x v="962"/>
    <x v="950"/>
    <x v="622"/>
    <x v="1"/>
    <x v="10"/>
    <x v="0"/>
    <x v="17"/>
    <x v="17"/>
    <x v="0"/>
    <x v="0"/>
    <x v="0"/>
    <x v="25"/>
    <x v="0"/>
    <x v="0"/>
    <x v="1"/>
    <x v="1"/>
  </r>
  <r>
    <x v="638"/>
    <x v="1"/>
    <x v="25"/>
    <x v="621"/>
    <x v="818"/>
    <x v="975"/>
    <x v="1"/>
    <x v="0"/>
    <x v="621"/>
    <x v="0"/>
    <x v="0"/>
    <x v="0"/>
    <x v="0"/>
    <x v="0"/>
    <x v="2"/>
    <x v="975"/>
    <x v="963"/>
    <x v="621"/>
    <x v="1"/>
    <x v="10"/>
    <x v="0"/>
    <x v="17"/>
    <x v="17"/>
    <x v="0"/>
    <x v="0"/>
    <x v="0"/>
    <x v="25"/>
    <x v="0"/>
    <x v="0"/>
    <x v="1"/>
    <x v="1"/>
  </r>
  <r>
    <x v="637"/>
    <x v="1"/>
    <x v="25"/>
    <x v="620"/>
    <x v="806"/>
    <x v="964"/>
    <x v="1"/>
    <x v="0"/>
    <x v="620"/>
    <x v="0"/>
    <x v="0"/>
    <x v="0"/>
    <x v="0"/>
    <x v="0"/>
    <x v="2"/>
    <x v="964"/>
    <x v="952"/>
    <x v="620"/>
    <x v="1"/>
    <x v="10"/>
    <x v="0"/>
    <x v="17"/>
    <x v="17"/>
    <x v="0"/>
    <x v="0"/>
    <x v="0"/>
    <x v="25"/>
    <x v="0"/>
    <x v="0"/>
    <x v="1"/>
    <x v="1"/>
  </r>
  <r>
    <x v="636"/>
    <x v="1"/>
    <x v="25"/>
    <x v="619"/>
    <x v="801"/>
    <x v="961"/>
    <x v="1"/>
    <x v="0"/>
    <x v="619"/>
    <x v="0"/>
    <x v="0"/>
    <x v="0"/>
    <x v="0"/>
    <x v="0"/>
    <x v="2"/>
    <x v="961"/>
    <x v="949"/>
    <x v="619"/>
    <x v="1"/>
    <x v="10"/>
    <x v="0"/>
    <x v="17"/>
    <x v="17"/>
    <x v="0"/>
    <x v="0"/>
    <x v="0"/>
    <x v="25"/>
    <x v="0"/>
    <x v="0"/>
    <x v="1"/>
    <x v="1"/>
  </r>
  <r>
    <x v="635"/>
    <x v="1"/>
    <x v="25"/>
    <x v="618"/>
    <x v="821"/>
    <x v="977"/>
    <x v="1"/>
    <x v="0"/>
    <x v="618"/>
    <x v="0"/>
    <x v="0"/>
    <x v="0"/>
    <x v="0"/>
    <x v="0"/>
    <x v="2"/>
    <x v="977"/>
    <x v="965"/>
    <x v="618"/>
    <x v="1"/>
    <x v="10"/>
    <x v="0"/>
    <x v="17"/>
    <x v="17"/>
    <x v="0"/>
    <x v="0"/>
    <x v="0"/>
    <x v="25"/>
    <x v="0"/>
    <x v="0"/>
    <x v="1"/>
    <x v="1"/>
  </r>
  <r>
    <x v="634"/>
    <x v="1"/>
    <x v="25"/>
    <x v="617"/>
    <x v="809"/>
    <x v="967"/>
    <x v="1"/>
    <x v="0"/>
    <x v="617"/>
    <x v="0"/>
    <x v="0"/>
    <x v="0"/>
    <x v="0"/>
    <x v="0"/>
    <x v="2"/>
    <x v="967"/>
    <x v="955"/>
    <x v="617"/>
    <x v="1"/>
    <x v="10"/>
    <x v="0"/>
    <x v="17"/>
    <x v="17"/>
    <x v="0"/>
    <x v="0"/>
    <x v="0"/>
    <x v="25"/>
    <x v="0"/>
    <x v="0"/>
    <x v="1"/>
    <x v="1"/>
  </r>
  <r>
    <x v="633"/>
    <x v="1"/>
    <x v="25"/>
    <x v="616"/>
    <x v="822"/>
    <x v="978"/>
    <x v="1"/>
    <x v="0"/>
    <x v="616"/>
    <x v="0"/>
    <x v="0"/>
    <x v="0"/>
    <x v="0"/>
    <x v="0"/>
    <x v="2"/>
    <x v="978"/>
    <x v="966"/>
    <x v="616"/>
    <x v="1"/>
    <x v="10"/>
    <x v="0"/>
    <x v="17"/>
    <x v="17"/>
    <x v="0"/>
    <x v="0"/>
    <x v="0"/>
    <x v="25"/>
    <x v="0"/>
    <x v="0"/>
    <x v="1"/>
    <x v="1"/>
  </r>
  <r>
    <x v="632"/>
    <x v="1"/>
    <x v="25"/>
    <x v="615"/>
    <x v="837"/>
    <x v="987"/>
    <x v="1"/>
    <x v="0"/>
    <x v="615"/>
    <x v="0"/>
    <x v="0"/>
    <x v="0"/>
    <x v="0"/>
    <x v="0"/>
    <x v="2"/>
    <x v="987"/>
    <x v="975"/>
    <x v="615"/>
    <x v="1"/>
    <x v="10"/>
    <x v="0"/>
    <x v="17"/>
    <x v="17"/>
    <x v="0"/>
    <x v="0"/>
    <x v="0"/>
    <x v="25"/>
    <x v="0"/>
    <x v="0"/>
    <x v="1"/>
    <x v="1"/>
  </r>
  <r>
    <x v="631"/>
    <x v="1"/>
    <x v="25"/>
    <x v="614"/>
    <x v="836"/>
    <x v="986"/>
    <x v="1"/>
    <x v="0"/>
    <x v="614"/>
    <x v="0"/>
    <x v="0"/>
    <x v="0"/>
    <x v="0"/>
    <x v="0"/>
    <x v="2"/>
    <x v="986"/>
    <x v="974"/>
    <x v="614"/>
    <x v="1"/>
    <x v="10"/>
    <x v="0"/>
    <x v="17"/>
    <x v="17"/>
    <x v="0"/>
    <x v="0"/>
    <x v="0"/>
    <x v="25"/>
    <x v="0"/>
    <x v="0"/>
    <x v="1"/>
    <x v="1"/>
  </r>
  <r>
    <x v="630"/>
    <x v="1"/>
    <x v="25"/>
    <x v="613"/>
    <x v="834"/>
    <x v="984"/>
    <x v="1"/>
    <x v="0"/>
    <x v="613"/>
    <x v="0"/>
    <x v="0"/>
    <x v="0"/>
    <x v="0"/>
    <x v="0"/>
    <x v="2"/>
    <x v="984"/>
    <x v="972"/>
    <x v="613"/>
    <x v="1"/>
    <x v="10"/>
    <x v="0"/>
    <x v="17"/>
    <x v="17"/>
    <x v="0"/>
    <x v="0"/>
    <x v="0"/>
    <x v="25"/>
    <x v="0"/>
    <x v="0"/>
    <x v="1"/>
    <x v="1"/>
  </r>
  <r>
    <x v="629"/>
    <x v="1"/>
    <x v="25"/>
    <x v="612"/>
    <x v="835"/>
    <x v="985"/>
    <x v="1"/>
    <x v="0"/>
    <x v="612"/>
    <x v="0"/>
    <x v="0"/>
    <x v="0"/>
    <x v="0"/>
    <x v="0"/>
    <x v="2"/>
    <x v="985"/>
    <x v="973"/>
    <x v="612"/>
    <x v="1"/>
    <x v="10"/>
    <x v="0"/>
    <x v="17"/>
    <x v="17"/>
    <x v="0"/>
    <x v="0"/>
    <x v="0"/>
    <x v="25"/>
    <x v="0"/>
    <x v="0"/>
    <x v="1"/>
    <x v="1"/>
  </r>
  <r>
    <x v="628"/>
    <x v="1"/>
    <x v="25"/>
    <x v="611"/>
    <x v="808"/>
    <x v="966"/>
    <x v="1"/>
    <x v="0"/>
    <x v="611"/>
    <x v="0"/>
    <x v="0"/>
    <x v="0"/>
    <x v="0"/>
    <x v="0"/>
    <x v="2"/>
    <x v="966"/>
    <x v="954"/>
    <x v="611"/>
    <x v="1"/>
    <x v="10"/>
    <x v="0"/>
    <x v="17"/>
    <x v="17"/>
    <x v="0"/>
    <x v="0"/>
    <x v="0"/>
    <x v="25"/>
    <x v="0"/>
    <x v="0"/>
    <x v="1"/>
    <x v="1"/>
  </r>
  <r>
    <x v="627"/>
    <x v="1"/>
    <x v="25"/>
    <x v="610"/>
    <x v="842"/>
    <x v="991"/>
    <x v="1"/>
    <x v="0"/>
    <x v="610"/>
    <x v="0"/>
    <x v="0"/>
    <x v="0"/>
    <x v="0"/>
    <x v="0"/>
    <x v="2"/>
    <x v="991"/>
    <x v="979"/>
    <x v="610"/>
    <x v="1"/>
    <x v="10"/>
    <x v="0"/>
    <x v="17"/>
    <x v="17"/>
    <x v="0"/>
    <x v="0"/>
    <x v="0"/>
    <x v="25"/>
    <x v="0"/>
    <x v="0"/>
    <x v="1"/>
    <x v="1"/>
  </r>
  <r>
    <x v="626"/>
    <x v="1"/>
    <x v="25"/>
    <x v="609"/>
    <x v="817"/>
    <x v="974"/>
    <x v="1"/>
    <x v="0"/>
    <x v="609"/>
    <x v="0"/>
    <x v="0"/>
    <x v="0"/>
    <x v="0"/>
    <x v="0"/>
    <x v="2"/>
    <x v="974"/>
    <x v="962"/>
    <x v="609"/>
    <x v="1"/>
    <x v="10"/>
    <x v="0"/>
    <x v="17"/>
    <x v="17"/>
    <x v="0"/>
    <x v="0"/>
    <x v="0"/>
    <x v="25"/>
    <x v="0"/>
    <x v="0"/>
    <x v="1"/>
    <x v="1"/>
  </r>
  <r>
    <x v="625"/>
    <x v="1"/>
    <x v="25"/>
    <x v="608"/>
    <x v="848"/>
    <x v="994"/>
    <x v="1"/>
    <x v="0"/>
    <x v="608"/>
    <x v="0"/>
    <x v="0"/>
    <x v="0"/>
    <x v="0"/>
    <x v="0"/>
    <x v="2"/>
    <x v="994"/>
    <x v="982"/>
    <x v="608"/>
    <x v="1"/>
    <x v="10"/>
    <x v="0"/>
    <x v="17"/>
    <x v="17"/>
    <x v="0"/>
    <x v="0"/>
    <x v="0"/>
    <x v="25"/>
    <x v="0"/>
    <x v="0"/>
    <x v="1"/>
    <x v="1"/>
  </r>
  <r>
    <x v="624"/>
    <x v="1"/>
    <x v="25"/>
    <x v="607"/>
    <x v="847"/>
    <x v="993"/>
    <x v="1"/>
    <x v="0"/>
    <x v="607"/>
    <x v="0"/>
    <x v="0"/>
    <x v="0"/>
    <x v="0"/>
    <x v="0"/>
    <x v="2"/>
    <x v="993"/>
    <x v="981"/>
    <x v="607"/>
    <x v="1"/>
    <x v="10"/>
    <x v="0"/>
    <x v="17"/>
    <x v="17"/>
    <x v="0"/>
    <x v="0"/>
    <x v="0"/>
    <x v="25"/>
    <x v="0"/>
    <x v="0"/>
    <x v="1"/>
    <x v="1"/>
  </r>
  <r>
    <x v="623"/>
    <x v="1"/>
    <x v="25"/>
    <x v="606"/>
    <x v="844"/>
    <x v="992"/>
    <x v="1"/>
    <x v="0"/>
    <x v="606"/>
    <x v="0"/>
    <x v="0"/>
    <x v="0"/>
    <x v="0"/>
    <x v="0"/>
    <x v="2"/>
    <x v="992"/>
    <x v="980"/>
    <x v="606"/>
    <x v="1"/>
    <x v="10"/>
    <x v="0"/>
    <x v="17"/>
    <x v="17"/>
    <x v="0"/>
    <x v="0"/>
    <x v="0"/>
    <x v="25"/>
    <x v="0"/>
    <x v="0"/>
    <x v="1"/>
    <x v="1"/>
  </r>
  <r>
    <x v="622"/>
    <x v="1"/>
    <x v="25"/>
    <x v="605"/>
    <x v="854"/>
    <x v="997"/>
    <x v="1"/>
    <x v="0"/>
    <x v="605"/>
    <x v="0"/>
    <x v="0"/>
    <x v="0"/>
    <x v="0"/>
    <x v="0"/>
    <x v="2"/>
    <x v="997"/>
    <x v="985"/>
    <x v="605"/>
    <x v="1"/>
    <x v="10"/>
    <x v="0"/>
    <x v="17"/>
    <x v="17"/>
    <x v="0"/>
    <x v="0"/>
    <x v="0"/>
    <x v="25"/>
    <x v="0"/>
    <x v="0"/>
    <x v="1"/>
    <x v="1"/>
  </r>
  <r>
    <x v="621"/>
    <x v="1"/>
    <x v="25"/>
    <x v="604"/>
    <x v="855"/>
    <x v="998"/>
    <x v="1"/>
    <x v="0"/>
    <x v="604"/>
    <x v="0"/>
    <x v="0"/>
    <x v="0"/>
    <x v="0"/>
    <x v="0"/>
    <x v="2"/>
    <x v="998"/>
    <x v="986"/>
    <x v="604"/>
    <x v="1"/>
    <x v="10"/>
    <x v="0"/>
    <x v="17"/>
    <x v="17"/>
    <x v="0"/>
    <x v="0"/>
    <x v="0"/>
    <x v="25"/>
    <x v="0"/>
    <x v="0"/>
    <x v="1"/>
    <x v="1"/>
  </r>
  <r>
    <x v="620"/>
    <x v="1"/>
    <x v="25"/>
    <x v="603"/>
    <x v="810"/>
    <x v="968"/>
    <x v="1"/>
    <x v="0"/>
    <x v="603"/>
    <x v="0"/>
    <x v="0"/>
    <x v="0"/>
    <x v="0"/>
    <x v="0"/>
    <x v="2"/>
    <x v="968"/>
    <x v="956"/>
    <x v="603"/>
    <x v="1"/>
    <x v="10"/>
    <x v="0"/>
    <x v="17"/>
    <x v="17"/>
    <x v="0"/>
    <x v="0"/>
    <x v="0"/>
    <x v="25"/>
    <x v="0"/>
    <x v="0"/>
    <x v="1"/>
    <x v="1"/>
  </r>
  <r>
    <x v="619"/>
    <x v="1"/>
    <x v="25"/>
    <x v="602"/>
    <x v="853"/>
    <x v="996"/>
    <x v="1"/>
    <x v="0"/>
    <x v="602"/>
    <x v="0"/>
    <x v="0"/>
    <x v="0"/>
    <x v="0"/>
    <x v="0"/>
    <x v="2"/>
    <x v="996"/>
    <x v="984"/>
    <x v="602"/>
    <x v="1"/>
    <x v="10"/>
    <x v="0"/>
    <x v="17"/>
    <x v="17"/>
    <x v="0"/>
    <x v="0"/>
    <x v="0"/>
    <x v="25"/>
    <x v="0"/>
    <x v="0"/>
    <x v="1"/>
    <x v="1"/>
  </r>
  <r>
    <x v="618"/>
    <x v="1"/>
    <x v="25"/>
    <x v="601"/>
    <x v="819"/>
    <x v="976"/>
    <x v="1"/>
    <x v="0"/>
    <x v="601"/>
    <x v="0"/>
    <x v="0"/>
    <x v="0"/>
    <x v="0"/>
    <x v="0"/>
    <x v="2"/>
    <x v="976"/>
    <x v="964"/>
    <x v="601"/>
    <x v="1"/>
    <x v="10"/>
    <x v="0"/>
    <x v="17"/>
    <x v="17"/>
    <x v="0"/>
    <x v="0"/>
    <x v="0"/>
    <x v="25"/>
    <x v="0"/>
    <x v="0"/>
    <x v="1"/>
    <x v="1"/>
  </r>
  <r>
    <x v="617"/>
    <x v="1"/>
    <x v="25"/>
    <x v="600"/>
    <x v="830"/>
    <x v="982"/>
    <x v="1"/>
    <x v="0"/>
    <x v="600"/>
    <x v="0"/>
    <x v="0"/>
    <x v="0"/>
    <x v="0"/>
    <x v="0"/>
    <x v="2"/>
    <x v="982"/>
    <x v="970"/>
    <x v="600"/>
    <x v="1"/>
    <x v="10"/>
    <x v="0"/>
    <x v="17"/>
    <x v="17"/>
    <x v="0"/>
    <x v="0"/>
    <x v="0"/>
    <x v="25"/>
    <x v="0"/>
    <x v="0"/>
    <x v="1"/>
    <x v="1"/>
  </r>
  <r>
    <x v="616"/>
    <x v="1"/>
    <x v="25"/>
    <x v="599"/>
    <x v="826"/>
    <x v="980"/>
    <x v="1"/>
    <x v="0"/>
    <x v="599"/>
    <x v="0"/>
    <x v="0"/>
    <x v="0"/>
    <x v="0"/>
    <x v="0"/>
    <x v="2"/>
    <x v="980"/>
    <x v="968"/>
    <x v="599"/>
    <x v="1"/>
    <x v="10"/>
    <x v="0"/>
    <x v="17"/>
    <x v="17"/>
    <x v="0"/>
    <x v="0"/>
    <x v="0"/>
    <x v="25"/>
    <x v="0"/>
    <x v="0"/>
    <x v="1"/>
    <x v="1"/>
  </r>
  <r>
    <x v="615"/>
    <x v="1"/>
    <x v="25"/>
    <x v="598"/>
    <x v="841"/>
    <x v="990"/>
    <x v="1"/>
    <x v="0"/>
    <x v="598"/>
    <x v="0"/>
    <x v="0"/>
    <x v="0"/>
    <x v="0"/>
    <x v="0"/>
    <x v="2"/>
    <x v="990"/>
    <x v="978"/>
    <x v="598"/>
    <x v="1"/>
    <x v="10"/>
    <x v="0"/>
    <x v="17"/>
    <x v="17"/>
    <x v="0"/>
    <x v="0"/>
    <x v="0"/>
    <x v="25"/>
    <x v="0"/>
    <x v="0"/>
    <x v="1"/>
    <x v="1"/>
  </r>
  <r>
    <x v="614"/>
    <x v="1"/>
    <x v="25"/>
    <x v="597"/>
    <x v="807"/>
    <x v="965"/>
    <x v="1"/>
    <x v="0"/>
    <x v="597"/>
    <x v="0"/>
    <x v="0"/>
    <x v="0"/>
    <x v="0"/>
    <x v="0"/>
    <x v="2"/>
    <x v="965"/>
    <x v="953"/>
    <x v="597"/>
    <x v="1"/>
    <x v="10"/>
    <x v="0"/>
    <x v="17"/>
    <x v="17"/>
    <x v="0"/>
    <x v="0"/>
    <x v="0"/>
    <x v="25"/>
    <x v="0"/>
    <x v="0"/>
    <x v="1"/>
    <x v="1"/>
  </r>
  <r>
    <x v="613"/>
    <x v="1"/>
    <x v="25"/>
    <x v="596"/>
    <x v="815"/>
    <x v="972"/>
    <x v="1"/>
    <x v="0"/>
    <x v="596"/>
    <x v="0"/>
    <x v="0"/>
    <x v="0"/>
    <x v="0"/>
    <x v="0"/>
    <x v="2"/>
    <x v="972"/>
    <x v="960"/>
    <x v="596"/>
    <x v="1"/>
    <x v="10"/>
    <x v="0"/>
    <x v="17"/>
    <x v="17"/>
    <x v="0"/>
    <x v="0"/>
    <x v="0"/>
    <x v="25"/>
    <x v="0"/>
    <x v="0"/>
    <x v="1"/>
    <x v="1"/>
  </r>
  <r>
    <x v="612"/>
    <x v="1"/>
    <x v="25"/>
    <x v="595"/>
    <x v="813"/>
    <x v="971"/>
    <x v="1"/>
    <x v="0"/>
    <x v="595"/>
    <x v="0"/>
    <x v="0"/>
    <x v="0"/>
    <x v="0"/>
    <x v="0"/>
    <x v="2"/>
    <x v="971"/>
    <x v="959"/>
    <x v="595"/>
    <x v="1"/>
    <x v="10"/>
    <x v="0"/>
    <x v="17"/>
    <x v="17"/>
    <x v="0"/>
    <x v="0"/>
    <x v="0"/>
    <x v="25"/>
    <x v="0"/>
    <x v="0"/>
    <x v="1"/>
    <x v="1"/>
  </r>
  <r>
    <x v="611"/>
    <x v="1"/>
    <x v="25"/>
    <x v="594"/>
    <x v="815"/>
    <x v="970"/>
    <x v="1"/>
    <x v="0"/>
    <x v="594"/>
    <x v="0"/>
    <x v="0"/>
    <x v="0"/>
    <x v="0"/>
    <x v="0"/>
    <x v="2"/>
    <x v="970"/>
    <x v="958"/>
    <x v="594"/>
    <x v="1"/>
    <x v="10"/>
    <x v="0"/>
    <x v="17"/>
    <x v="17"/>
    <x v="0"/>
    <x v="0"/>
    <x v="0"/>
    <x v="25"/>
    <x v="0"/>
    <x v="0"/>
    <x v="1"/>
    <x v="1"/>
  </r>
  <r>
    <x v="610"/>
    <x v="1"/>
    <x v="25"/>
    <x v="593"/>
    <x v="110"/>
    <x v="5"/>
    <x v="1"/>
    <x v="0"/>
    <x v="593"/>
    <x v="0"/>
    <x v="0"/>
    <x v="0"/>
    <x v="0"/>
    <x v="0"/>
    <x v="2"/>
    <x v="5"/>
    <x v="0"/>
    <x v="593"/>
    <x v="1"/>
    <x v="10"/>
    <x v="0"/>
    <x v="17"/>
    <x v="17"/>
    <x v="0"/>
    <x v="0"/>
    <x v="0"/>
    <x v="24"/>
    <x v="0"/>
    <x v="0"/>
    <x v="1"/>
    <x v="1"/>
  </r>
  <r>
    <x v="609"/>
    <x v="1"/>
    <x v="25"/>
    <x v="592"/>
    <x v="111"/>
    <x v="6"/>
    <x v="1"/>
    <x v="0"/>
    <x v="592"/>
    <x v="0"/>
    <x v="0"/>
    <x v="0"/>
    <x v="0"/>
    <x v="0"/>
    <x v="2"/>
    <x v="6"/>
    <x v="1"/>
    <x v="592"/>
    <x v="1"/>
    <x v="10"/>
    <x v="0"/>
    <x v="17"/>
    <x v="17"/>
    <x v="0"/>
    <x v="0"/>
    <x v="0"/>
    <x v="24"/>
    <x v="0"/>
    <x v="0"/>
    <x v="1"/>
    <x v="1"/>
  </r>
  <r>
    <x v="608"/>
    <x v="1"/>
    <x v="25"/>
    <x v="591"/>
    <x v="991"/>
    <x v="383"/>
    <x v="1"/>
    <x v="0"/>
    <x v="591"/>
    <x v="0"/>
    <x v="0"/>
    <x v="0"/>
    <x v="0"/>
    <x v="0"/>
    <x v="2"/>
    <x v="383"/>
    <x v="372"/>
    <x v="591"/>
    <x v="1"/>
    <x v="10"/>
    <x v="0"/>
    <x v="17"/>
    <x v="17"/>
    <x v="0"/>
    <x v="0"/>
    <x v="0"/>
    <x v="24"/>
    <x v="0"/>
    <x v="0"/>
    <x v="1"/>
    <x v="1"/>
  </r>
  <r>
    <x v="607"/>
    <x v="1"/>
    <x v="25"/>
    <x v="590"/>
    <x v="118"/>
    <x v="17"/>
    <x v="1"/>
    <x v="0"/>
    <x v="590"/>
    <x v="0"/>
    <x v="0"/>
    <x v="0"/>
    <x v="0"/>
    <x v="0"/>
    <x v="2"/>
    <x v="17"/>
    <x v="13"/>
    <x v="590"/>
    <x v="1"/>
    <x v="9"/>
    <x v="0"/>
    <x v="17"/>
    <x v="17"/>
    <x v="0"/>
    <x v="0"/>
    <x v="0"/>
    <x v="24"/>
    <x v="0"/>
    <x v="0"/>
    <x v="1"/>
    <x v="1"/>
  </r>
  <r>
    <x v="606"/>
    <x v="1"/>
    <x v="25"/>
    <x v="589"/>
    <x v="678"/>
    <x v="18"/>
    <x v="1"/>
    <x v="0"/>
    <x v="589"/>
    <x v="0"/>
    <x v="0"/>
    <x v="0"/>
    <x v="0"/>
    <x v="0"/>
    <x v="2"/>
    <x v="18"/>
    <x v="14"/>
    <x v="589"/>
    <x v="1"/>
    <x v="10"/>
    <x v="0"/>
    <x v="17"/>
    <x v="17"/>
    <x v="0"/>
    <x v="0"/>
    <x v="0"/>
    <x v="33"/>
    <x v="0"/>
    <x v="0"/>
    <x v="1"/>
    <x v="1"/>
  </r>
  <r>
    <x v="591"/>
    <x v="1"/>
    <x v="25"/>
    <x v="588"/>
    <x v="997"/>
    <x v="19"/>
    <x v="1"/>
    <x v="0"/>
    <x v="574"/>
    <x v="0"/>
    <x v="0"/>
    <x v="0"/>
    <x v="0"/>
    <x v="0"/>
    <x v="2"/>
    <x v="19"/>
    <x v="15"/>
    <x v="588"/>
    <x v="1"/>
    <x v="10"/>
    <x v="0"/>
    <x v="17"/>
    <x v="17"/>
    <x v="0"/>
    <x v="0"/>
    <x v="0"/>
    <x v="31"/>
    <x v="0"/>
    <x v="0"/>
    <x v="1"/>
    <x v="1"/>
  </r>
  <r>
    <x v="590"/>
    <x v="1"/>
    <x v="25"/>
    <x v="587"/>
    <x v="114"/>
    <x v="7"/>
    <x v="1"/>
    <x v="0"/>
    <x v="573"/>
    <x v="0"/>
    <x v="0"/>
    <x v="0"/>
    <x v="0"/>
    <x v="0"/>
    <x v="2"/>
    <x v="7"/>
    <x v="2"/>
    <x v="587"/>
    <x v="1"/>
    <x v="10"/>
    <x v="0"/>
    <x v="17"/>
    <x v="17"/>
    <x v="0"/>
    <x v="0"/>
    <x v="0"/>
    <x v="31"/>
    <x v="0"/>
    <x v="0"/>
    <x v="1"/>
    <x v="1"/>
  </r>
  <r>
    <x v="462"/>
    <x v="1"/>
    <x v="25"/>
    <x v="586"/>
    <x v="117"/>
    <x v="1152"/>
    <x v="1"/>
    <x v="0"/>
    <x v="445"/>
    <x v="0"/>
    <x v="0"/>
    <x v="0"/>
    <x v="0"/>
    <x v="0"/>
    <x v="2"/>
    <x v="1152"/>
    <x v="1140"/>
    <x v="586"/>
    <x v="0"/>
    <x v="10"/>
    <x v="0"/>
    <x v="17"/>
    <x v="17"/>
    <x v="0"/>
    <x v="0"/>
    <x v="0"/>
    <x v="31"/>
    <x v="0"/>
    <x v="0"/>
    <x v="1"/>
    <x v="1"/>
  </r>
  <r>
    <x v="605"/>
    <x v="1"/>
    <x v="25"/>
    <x v="585"/>
    <x v="107"/>
    <x v="1149"/>
    <x v="1"/>
    <x v="0"/>
    <x v="588"/>
    <x v="0"/>
    <x v="0"/>
    <x v="0"/>
    <x v="0"/>
    <x v="0"/>
    <x v="2"/>
    <x v="1149"/>
    <x v="1137"/>
    <x v="585"/>
    <x v="1"/>
    <x v="10"/>
    <x v="0"/>
    <x v="17"/>
    <x v="17"/>
    <x v="0"/>
    <x v="0"/>
    <x v="0"/>
    <x v="31"/>
    <x v="0"/>
    <x v="0"/>
    <x v="1"/>
    <x v="1"/>
  </r>
  <r>
    <x v="604"/>
    <x v="1"/>
    <x v="25"/>
    <x v="584"/>
    <x v="106"/>
    <x v="1148"/>
    <x v="1"/>
    <x v="0"/>
    <x v="587"/>
    <x v="0"/>
    <x v="0"/>
    <x v="0"/>
    <x v="0"/>
    <x v="0"/>
    <x v="2"/>
    <x v="1148"/>
    <x v="1136"/>
    <x v="584"/>
    <x v="1"/>
    <x v="10"/>
    <x v="0"/>
    <x v="17"/>
    <x v="17"/>
    <x v="0"/>
    <x v="0"/>
    <x v="0"/>
    <x v="31"/>
    <x v="0"/>
    <x v="0"/>
    <x v="1"/>
    <x v="1"/>
  </r>
  <r>
    <x v="603"/>
    <x v="1"/>
    <x v="25"/>
    <x v="583"/>
    <x v="105"/>
    <x v="1147"/>
    <x v="1"/>
    <x v="0"/>
    <x v="586"/>
    <x v="0"/>
    <x v="0"/>
    <x v="0"/>
    <x v="0"/>
    <x v="0"/>
    <x v="2"/>
    <x v="1147"/>
    <x v="1135"/>
    <x v="583"/>
    <x v="1"/>
    <x v="10"/>
    <x v="0"/>
    <x v="17"/>
    <x v="17"/>
    <x v="0"/>
    <x v="0"/>
    <x v="0"/>
    <x v="31"/>
    <x v="0"/>
    <x v="0"/>
    <x v="1"/>
    <x v="1"/>
  </r>
  <r>
    <x v="602"/>
    <x v="1"/>
    <x v="25"/>
    <x v="582"/>
    <x v="104"/>
    <x v="1146"/>
    <x v="1"/>
    <x v="0"/>
    <x v="585"/>
    <x v="0"/>
    <x v="0"/>
    <x v="0"/>
    <x v="0"/>
    <x v="0"/>
    <x v="2"/>
    <x v="1146"/>
    <x v="1134"/>
    <x v="582"/>
    <x v="1"/>
    <x v="10"/>
    <x v="0"/>
    <x v="17"/>
    <x v="17"/>
    <x v="0"/>
    <x v="0"/>
    <x v="0"/>
    <x v="31"/>
    <x v="0"/>
    <x v="0"/>
    <x v="1"/>
    <x v="1"/>
  </r>
  <r>
    <x v="601"/>
    <x v="1"/>
    <x v="25"/>
    <x v="581"/>
    <x v="103"/>
    <x v="1145"/>
    <x v="1"/>
    <x v="0"/>
    <x v="584"/>
    <x v="0"/>
    <x v="0"/>
    <x v="0"/>
    <x v="0"/>
    <x v="0"/>
    <x v="2"/>
    <x v="1145"/>
    <x v="1133"/>
    <x v="581"/>
    <x v="1"/>
    <x v="10"/>
    <x v="0"/>
    <x v="17"/>
    <x v="17"/>
    <x v="0"/>
    <x v="0"/>
    <x v="0"/>
    <x v="31"/>
    <x v="0"/>
    <x v="0"/>
    <x v="1"/>
    <x v="1"/>
  </r>
  <r>
    <x v="600"/>
    <x v="1"/>
    <x v="25"/>
    <x v="580"/>
    <x v="102"/>
    <x v="1144"/>
    <x v="1"/>
    <x v="0"/>
    <x v="583"/>
    <x v="0"/>
    <x v="0"/>
    <x v="0"/>
    <x v="0"/>
    <x v="0"/>
    <x v="2"/>
    <x v="1144"/>
    <x v="1132"/>
    <x v="580"/>
    <x v="1"/>
    <x v="10"/>
    <x v="0"/>
    <x v="17"/>
    <x v="17"/>
    <x v="0"/>
    <x v="0"/>
    <x v="0"/>
    <x v="31"/>
    <x v="0"/>
    <x v="0"/>
    <x v="1"/>
    <x v="1"/>
  </r>
  <r>
    <x v="599"/>
    <x v="1"/>
    <x v="25"/>
    <x v="579"/>
    <x v="101"/>
    <x v="1143"/>
    <x v="1"/>
    <x v="0"/>
    <x v="582"/>
    <x v="0"/>
    <x v="0"/>
    <x v="0"/>
    <x v="0"/>
    <x v="0"/>
    <x v="2"/>
    <x v="1143"/>
    <x v="1131"/>
    <x v="579"/>
    <x v="1"/>
    <x v="10"/>
    <x v="0"/>
    <x v="17"/>
    <x v="17"/>
    <x v="0"/>
    <x v="0"/>
    <x v="0"/>
    <x v="31"/>
    <x v="0"/>
    <x v="0"/>
    <x v="1"/>
    <x v="1"/>
  </r>
  <r>
    <x v="598"/>
    <x v="1"/>
    <x v="25"/>
    <x v="578"/>
    <x v="100"/>
    <x v="1142"/>
    <x v="1"/>
    <x v="0"/>
    <x v="581"/>
    <x v="0"/>
    <x v="0"/>
    <x v="0"/>
    <x v="0"/>
    <x v="0"/>
    <x v="2"/>
    <x v="1142"/>
    <x v="1130"/>
    <x v="578"/>
    <x v="1"/>
    <x v="10"/>
    <x v="0"/>
    <x v="17"/>
    <x v="17"/>
    <x v="0"/>
    <x v="0"/>
    <x v="0"/>
    <x v="31"/>
    <x v="0"/>
    <x v="0"/>
    <x v="1"/>
    <x v="1"/>
  </r>
  <r>
    <x v="597"/>
    <x v="1"/>
    <x v="25"/>
    <x v="577"/>
    <x v="99"/>
    <x v="1141"/>
    <x v="1"/>
    <x v="0"/>
    <x v="580"/>
    <x v="0"/>
    <x v="0"/>
    <x v="0"/>
    <x v="0"/>
    <x v="0"/>
    <x v="2"/>
    <x v="1141"/>
    <x v="1129"/>
    <x v="577"/>
    <x v="1"/>
    <x v="10"/>
    <x v="0"/>
    <x v="17"/>
    <x v="17"/>
    <x v="0"/>
    <x v="0"/>
    <x v="0"/>
    <x v="31"/>
    <x v="0"/>
    <x v="0"/>
    <x v="1"/>
    <x v="1"/>
  </r>
  <r>
    <x v="596"/>
    <x v="1"/>
    <x v="25"/>
    <x v="576"/>
    <x v="98"/>
    <x v="1140"/>
    <x v="1"/>
    <x v="0"/>
    <x v="579"/>
    <x v="0"/>
    <x v="0"/>
    <x v="0"/>
    <x v="0"/>
    <x v="0"/>
    <x v="2"/>
    <x v="1140"/>
    <x v="1128"/>
    <x v="576"/>
    <x v="1"/>
    <x v="10"/>
    <x v="0"/>
    <x v="17"/>
    <x v="17"/>
    <x v="0"/>
    <x v="0"/>
    <x v="0"/>
    <x v="31"/>
    <x v="0"/>
    <x v="0"/>
    <x v="1"/>
    <x v="1"/>
  </r>
  <r>
    <x v="595"/>
    <x v="1"/>
    <x v="25"/>
    <x v="575"/>
    <x v="97"/>
    <x v="1139"/>
    <x v="1"/>
    <x v="0"/>
    <x v="578"/>
    <x v="0"/>
    <x v="0"/>
    <x v="0"/>
    <x v="0"/>
    <x v="0"/>
    <x v="2"/>
    <x v="1139"/>
    <x v="1127"/>
    <x v="575"/>
    <x v="1"/>
    <x v="10"/>
    <x v="0"/>
    <x v="17"/>
    <x v="17"/>
    <x v="0"/>
    <x v="0"/>
    <x v="0"/>
    <x v="31"/>
    <x v="0"/>
    <x v="0"/>
    <x v="1"/>
    <x v="1"/>
  </r>
  <r>
    <x v="594"/>
    <x v="1"/>
    <x v="25"/>
    <x v="574"/>
    <x v="96"/>
    <x v="1138"/>
    <x v="1"/>
    <x v="0"/>
    <x v="577"/>
    <x v="0"/>
    <x v="0"/>
    <x v="0"/>
    <x v="0"/>
    <x v="0"/>
    <x v="2"/>
    <x v="1138"/>
    <x v="1126"/>
    <x v="574"/>
    <x v="1"/>
    <x v="10"/>
    <x v="0"/>
    <x v="17"/>
    <x v="17"/>
    <x v="0"/>
    <x v="0"/>
    <x v="0"/>
    <x v="31"/>
    <x v="0"/>
    <x v="0"/>
    <x v="1"/>
    <x v="1"/>
  </r>
  <r>
    <x v="593"/>
    <x v="1"/>
    <x v="25"/>
    <x v="573"/>
    <x v="116"/>
    <x v="1151"/>
    <x v="1"/>
    <x v="0"/>
    <x v="576"/>
    <x v="0"/>
    <x v="0"/>
    <x v="0"/>
    <x v="0"/>
    <x v="0"/>
    <x v="2"/>
    <x v="1151"/>
    <x v="1139"/>
    <x v="573"/>
    <x v="1"/>
    <x v="10"/>
    <x v="0"/>
    <x v="17"/>
    <x v="17"/>
    <x v="0"/>
    <x v="0"/>
    <x v="0"/>
    <x v="31"/>
    <x v="0"/>
    <x v="0"/>
    <x v="1"/>
    <x v="1"/>
  </r>
  <r>
    <x v="592"/>
    <x v="1"/>
    <x v="25"/>
    <x v="572"/>
    <x v="115"/>
    <x v="1150"/>
    <x v="1"/>
    <x v="0"/>
    <x v="575"/>
    <x v="0"/>
    <x v="0"/>
    <x v="0"/>
    <x v="0"/>
    <x v="0"/>
    <x v="2"/>
    <x v="1150"/>
    <x v="1138"/>
    <x v="572"/>
    <x v="1"/>
    <x v="10"/>
    <x v="0"/>
    <x v="17"/>
    <x v="17"/>
    <x v="0"/>
    <x v="0"/>
    <x v="0"/>
    <x v="31"/>
    <x v="0"/>
    <x v="0"/>
    <x v="1"/>
    <x v="1"/>
  </r>
  <r>
    <x v="589"/>
    <x v="1"/>
    <x v="25"/>
    <x v="571"/>
    <x v="212"/>
    <x v="1162"/>
    <x v="1"/>
    <x v="0"/>
    <x v="572"/>
    <x v="0"/>
    <x v="0"/>
    <x v="0"/>
    <x v="0"/>
    <x v="0"/>
    <x v="2"/>
    <x v="1162"/>
    <x v="1150"/>
    <x v="571"/>
    <x v="1"/>
    <x v="3"/>
    <x v="0"/>
    <x v="17"/>
    <x v="17"/>
    <x v="0"/>
    <x v="0"/>
    <x v="0"/>
    <x v="24"/>
    <x v="0"/>
    <x v="0"/>
    <x v="1"/>
    <x v="1"/>
  </r>
  <r>
    <x v="588"/>
    <x v="1"/>
    <x v="25"/>
    <x v="570"/>
    <x v="211"/>
    <x v="1161"/>
    <x v="1"/>
    <x v="0"/>
    <x v="571"/>
    <x v="0"/>
    <x v="0"/>
    <x v="0"/>
    <x v="0"/>
    <x v="0"/>
    <x v="2"/>
    <x v="1161"/>
    <x v="1149"/>
    <x v="570"/>
    <x v="1"/>
    <x v="4"/>
    <x v="0"/>
    <x v="17"/>
    <x v="17"/>
    <x v="0"/>
    <x v="0"/>
    <x v="0"/>
    <x v="24"/>
    <x v="0"/>
    <x v="0"/>
    <x v="1"/>
    <x v="1"/>
  </r>
  <r>
    <x v="586"/>
    <x v="1"/>
    <x v="25"/>
    <x v="569"/>
    <x v="133"/>
    <x v="11"/>
    <x v="1"/>
    <x v="0"/>
    <x v="569"/>
    <x v="0"/>
    <x v="0"/>
    <x v="0"/>
    <x v="0"/>
    <x v="0"/>
    <x v="2"/>
    <x v="11"/>
    <x v="6"/>
    <x v="569"/>
    <x v="1"/>
    <x v="7"/>
    <x v="0"/>
    <x v="17"/>
    <x v="17"/>
    <x v="0"/>
    <x v="0"/>
    <x v="0"/>
    <x v="24"/>
    <x v="0"/>
    <x v="0"/>
    <x v="1"/>
    <x v="1"/>
  </r>
  <r>
    <x v="587"/>
    <x v="1"/>
    <x v="25"/>
    <x v="568"/>
    <x v="132"/>
    <x v="10"/>
    <x v="1"/>
    <x v="0"/>
    <x v="570"/>
    <x v="0"/>
    <x v="0"/>
    <x v="0"/>
    <x v="0"/>
    <x v="0"/>
    <x v="2"/>
    <x v="10"/>
    <x v="5"/>
    <x v="568"/>
    <x v="1"/>
    <x v="7"/>
    <x v="0"/>
    <x v="17"/>
    <x v="17"/>
    <x v="0"/>
    <x v="0"/>
    <x v="0"/>
    <x v="24"/>
    <x v="0"/>
    <x v="0"/>
    <x v="1"/>
    <x v="1"/>
  </r>
  <r>
    <x v="584"/>
    <x v="1"/>
    <x v="25"/>
    <x v="567"/>
    <x v="131"/>
    <x v="9"/>
    <x v="1"/>
    <x v="0"/>
    <x v="567"/>
    <x v="0"/>
    <x v="0"/>
    <x v="0"/>
    <x v="0"/>
    <x v="0"/>
    <x v="2"/>
    <x v="9"/>
    <x v="4"/>
    <x v="567"/>
    <x v="1"/>
    <x v="10"/>
    <x v="0"/>
    <x v="17"/>
    <x v="17"/>
    <x v="0"/>
    <x v="0"/>
    <x v="0"/>
    <x v="24"/>
    <x v="0"/>
    <x v="0"/>
    <x v="1"/>
    <x v="1"/>
  </r>
  <r>
    <x v="585"/>
    <x v="1"/>
    <x v="25"/>
    <x v="566"/>
    <x v="130"/>
    <x v="9"/>
    <x v="1"/>
    <x v="0"/>
    <x v="568"/>
    <x v="0"/>
    <x v="0"/>
    <x v="0"/>
    <x v="0"/>
    <x v="0"/>
    <x v="2"/>
    <x v="9"/>
    <x v="4"/>
    <x v="566"/>
    <x v="1"/>
    <x v="10"/>
    <x v="0"/>
    <x v="17"/>
    <x v="17"/>
    <x v="0"/>
    <x v="0"/>
    <x v="0"/>
    <x v="24"/>
    <x v="0"/>
    <x v="0"/>
    <x v="1"/>
    <x v="1"/>
  </r>
  <r>
    <x v="583"/>
    <x v="1"/>
    <x v="25"/>
    <x v="565"/>
    <x v="540"/>
    <x v="14"/>
    <x v="1"/>
    <x v="0"/>
    <x v="566"/>
    <x v="0"/>
    <x v="0"/>
    <x v="0"/>
    <x v="0"/>
    <x v="0"/>
    <x v="2"/>
    <x v="14"/>
    <x v="10"/>
    <x v="565"/>
    <x v="1"/>
    <x v="10"/>
    <x v="0"/>
    <x v="17"/>
    <x v="17"/>
    <x v="0"/>
    <x v="0"/>
    <x v="0"/>
    <x v="24"/>
    <x v="0"/>
    <x v="0"/>
    <x v="1"/>
    <x v="1"/>
  </r>
  <r>
    <x v="582"/>
    <x v="1"/>
    <x v="25"/>
    <x v="564"/>
    <x v="539"/>
    <x v="13"/>
    <x v="1"/>
    <x v="0"/>
    <x v="565"/>
    <x v="0"/>
    <x v="0"/>
    <x v="0"/>
    <x v="0"/>
    <x v="0"/>
    <x v="2"/>
    <x v="13"/>
    <x v="8"/>
    <x v="564"/>
    <x v="1"/>
    <x v="10"/>
    <x v="0"/>
    <x v="17"/>
    <x v="17"/>
    <x v="0"/>
    <x v="0"/>
    <x v="0"/>
    <x v="24"/>
    <x v="0"/>
    <x v="0"/>
    <x v="1"/>
    <x v="1"/>
  </r>
  <r>
    <x v="580"/>
    <x v="1"/>
    <x v="25"/>
    <x v="563"/>
    <x v="542"/>
    <x v="16"/>
    <x v="1"/>
    <x v="0"/>
    <x v="563"/>
    <x v="0"/>
    <x v="0"/>
    <x v="0"/>
    <x v="0"/>
    <x v="0"/>
    <x v="2"/>
    <x v="16"/>
    <x v="12"/>
    <x v="563"/>
    <x v="1"/>
    <x v="10"/>
    <x v="0"/>
    <x v="17"/>
    <x v="17"/>
    <x v="0"/>
    <x v="0"/>
    <x v="0"/>
    <x v="24"/>
    <x v="0"/>
    <x v="0"/>
    <x v="1"/>
    <x v="1"/>
  </r>
  <r>
    <x v="581"/>
    <x v="1"/>
    <x v="25"/>
    <x v="562"/>
    <x v="541"/>
    <x v="15"/>
    <x v="1"/>
    <x v="0"/>
    <x v="564"/>
    <x v="0"/>
    <x v="0"/>
    <x v="0"/>
    <x v="0"/>
    <x v="0"/>
    <x v="2"/>
    <x v="15"/>
    <x v="11"/>
    <x v="562"/>
    <x v="1"/>
    <x v="10"/>
    <x v="0"/>
    <x v="17"/>
    <x v="17"/>
    <x v="0"/>
    <x v="0"/>
    <x v="0"/>
    <x v="24"/>
    <x v="0"/>
    <x v="0"/>
    <x v="1"/>
    <x v="1"/>
  </r>
  <r>
    <x v="579"/>
    <x v="1"/>
    <x v="25"/>
    <x v="561"/>
    <x v="129"/>
    <x v="8"/>
    <x v="1"/>
    <x v="0"/>
    <x v="562"/>
    <x v="0"/>
    <x v="0"/>
    <x v="0"/>
    <x v="0"/>
    <x v="0"/>
    <x v="2"/>
    <x v="8"/>
    <x v="3"/>
    <x v="561"/>
    <x v="1"/>
    <x v="6"/>
    <x v="0"/>
    <x v="17"/>
    <x v="17"/>
    <x v="0"/>
    <x v="0"/>
    <x v="0"/>
    <x v="24"/>
    <x v="0"/>
    <x v="0"/>
    <x v="1"/>
    <x v="1"/>
  </r>
  <r>
    <x v="578"/>
    <x v="1"/>
    <x v="25"/>
    <x v="560"/>
    <x v="95"/>
    <x v="1136"/>
    <x v="1"/>
    <x v="0"/>
    <x v="561"/>
    <x v="0"/>
    <x v="0"/>
    <x v="0"/>
    <x v="0"/>
    <x v="0"/>
    <x v="2"/>
    <x v="1136"/>
    <x v="1124"/>
    <x v="560"/>
    <x v="1"/>
    <x v="10"/>
    <x v="0"/>
    <x v="17"/>
    <x v="17"/>
    <x v="0"/>
    <x v="0"/>
    <x v="0"/>
    <x v="24"/>
    <x v="0"/>
    <x v="0"/>
    <x v="1"/>
    <x v="1"/>
  </r>
  <r>
    <x v="577"/>
    <x v="1"/>
    <x v="25"/>
    <x v="559"/>
    <x v="516"/>
    <x v="1244"/>
    <x v="1"/>
    <x v="0"/>
    <x v="560"/>
    <x v="0"/>
    <x v="0"/>
    <x v="0"/>
    <x v="0"/>
    <x v="0"/>
    <x v="2"/>
    <x v="1244"/>
    <x v="1232"/>
    <x v="559"/>
    <x v="1"/>
    <x v="5"/>
    <x v="0"/>
    <x v="17"/>
    <x v="17"/>
    <x v="0"/>
    <x v="0"/>
    <x v="0"/>
    <x v="32"/>
    <x v="0"/>
    <x v="0"/>
    <x v="1"/>
    <x v="1"/>
  </r>
  <r>
    <x v="576"/>
    <x v="1"/>
    <x v="25"/>
    <x v="558"/>
    <x v="515"/>
    <x v="1243"/>
    <x v="1"/>
    <x v="0"/>
    <x v="559"/>
    <x v="0"/>
    <x v="0"/>
    <x v="0"/>
    <x v="0"/>
    <x v="0"/>
    <x v="2"/>
    <x v="1243"/>
    <x v="1231"/>
    <x v="558"/>
    <x v="1"/>
    <x v="5"/>
    <x v="0"/>
    <x v="17"/>
    <x v="17"/>
    <x v="0"/>
    <x v="0"/>
    <x v="0"/>
    <x v="32"/>
    <x v="0"/>
    <x v="0"/>
    <x v="1"/>
    <x v="1"/>
  </r>
  <r>
    <x v="575"/>
    <x v="1"/>
    <x v="25"/>
    <x v="557"/>
    <x v="535"/>
    <x v="1242"/>
    <x v="1"/>
    <x v="0"/>
    <x v="558"/>
    <x v="0"/>
    <x v="0"/>
    <x v="0"/>
    <x v="0"/>
    <x v="0"/>
    <x v="2"/>
    <x v="1242"/>
    <x v="1230"/>
    <x v="557"/>
    <x v="1"/>
    <x v="5"/>
    <x v="0"/>
    <x v="17"/>
    <x v="17"/>
    <x v="0"/>
    <x v="0"/>
    <x v="0"/>
    <x v="32"/>
    <x v="0"/>
    <x v="0"/>
    <x v="1"/>
    <x v="1"/>
  </r>
  <r>
    <x v="574"/>
    <x v="1"/>
    <x v="25"/>
    <x v="556"/>
    <x v="534"/>
    <x v="1241"/>
    <x v="1"/>
    <x v="0"/>
    <x v="557"/>
    <x v="0"/>
    <x v="0"/>
    <x v="0"/>
    <x v="0"/>
    <x v="0"/>
    <x v="2"/>
    <x v="1241"/>
    <x v="1229"/>
    <x v="556"/>
    <x v="1"/>
    <x v="5"/>
    <x v="0"/>
    <x v="17"/>
    <x v="17"/>
    <x v="0"/>
    <x v="0"/>
    <x v="0"/>
    <x v="32"/>
    <x v="0"/>
    <x v="0"/>
    <x v="1"/>
    <x v="1"/>
  </r>
  <r>
    <x v="573"/>
    <x v="1"/>
    <x v="25"/>
    <x v="555"/>
    <x v="531"/>
    <x v="1240"/>
    <x v="1"/>
    <x v="0"/>
    <x v="556"/>
    <x v="0"/>
    <x v="0"/>
    <x v="0"/>
    <x v="0"/>
    <x v="0"/>
    <x v="2"/>
    <x v="1240"/>
    <x v="1228"/>
    <x v="555"/>
    <x v="1"/>
    <x v="1"/>
    <x v="0"/>
    <x v="17"/>
    <x v="17"/>
    <x v="0"/>
    <x v="0"/>
    <x v="0"/>
    <x v="32"/>
    <x v="0"/>
    <x v="0"/>
    <x v="1"/>
    <x v="1"/>
  </r>
  <r>
    <x v="572"/>
    <x v="1"/>
    <x v="25"/>
    <x v="554"/>
    <x v="530"/>
    <x v="1239"/>
    <x v="1"/>
    <x v="0"/>
    <x v="555"/>
    <x v="0"/>
    <x v="0"/>
    <x v="0"/>
    <x v="0"/>
    <x v="0"/>
    <x v="2"/>
    <x v="1239"/>
    <x v="1227"/>
    <x v="554"/>
    <x v="1"/>
    <x v="1"/>
    <x v="0"/>
    <x v="17"/>
    <x v="17"/>
    <x v="0"/>
    <x v="0"/>
    <x v="0"/>
    <x v="32"/>
    <x v="0"/>
    <x v="0"/>
    <x v="1"/>
    <x v="1"/>
  </r>
  <r>
    <x v="571"/>
    <x v="1"/>
    <x v="25"/>
    <x v="553"/>
    <x v="529"/>
    <x v="1238"/>
    <x v="1"/>
    <x v="0"/>
    <x v="554"/>
    <x v="0"/>
    <x v="0"/>
    <x v="0"/>
    <x v="0"/>
    <x v="0"/>
    <x v="2"/>
    <x v="1238"/>
    <x v="1226"/>
    <x v="553"/>
    <x v="1"/>
    <x v="1"/>
    <x v="0"/>
    <x v="17"/>
    <x v="17"/>
    <x v="0"/>
    <x v="0"/>
    <x v="0"/>
    <x v="32"/>
    <x v="0"/>
    <x v="0"/>
    <x v="1"/>
    <x v="1"/>
  </r>
  <r>
    <x v="570"/>
    <x v="1"/>
    <x v="25"/>
    <x v="552"/>
    <x v="528"/>
    <x v="1237"/>
    <x v="1"/>
    <x v="0"/>
    <x v="553"/>
    <x v="0"/>
    <x v="0"/>
    <x v="0"/>
    <x v="0"/>
    <x v="0"/>
    <x v="2"/>
    <x v="1237"/>
    <x v="1225"/>
    <x v="552"/>
    <x v="1"/>
    <x v="1"/>
    <x v="0"/>
    <x v="17"/>
    <x v="17"/>
    <x v="0"/>
    <x v="0"/>
    <x v="0"/>
    <x v="32"/>
    <x v="0"/>
    <x v="0"/>
    <x v="1"/>
    <x v="1"/>
  </r>
  <r>
    <x v="569"/>
    <x v="1"/>
    <x v="25"/>
    <x v="551"/>
    <x v="527"/>
    <x v="1236"/>
    <x v="1"/>
    <x v="0"/>
    <x v="552"/>
    <x v="0"/>
    <x v="0"/>
    <x v="0"/>
    <x v="0"/>
    <x v="0"/>
    <x v="2"/>
    <x v="1236"/>
    <x v="1224"/>
    <x v="551"/>
    <x v="1"/>
    <x v="1"/>
    <x v="0"/>
    <x v="17"/>
    <x v="17"/>
    <x v="0"/>
    <x v="0"/>
    <x v="0"/>
    <x v="32"/>
    <x v="0"/>
    <x v="0"/>
    <x v="1"/>
    <x v="1"/>
  </r>
  <r>
    <x v="568"/>
    <x v="1"/>
    <x v="25"/>
    <x v="550"/>
    <x v="526"/>
    <x v="1235"/>
    <x v="1"/>
    <x v="0"/>
    <x v="551"/>
    <x v="0"/>
    <x v="0"/>
    <x v="0"/>
    <x v="0"/>
    <x v="0"/>
    <x v="2"/>
    <x v="1235"/>
    <x v="1223"/>
    <x v="550"/>
    <x v="1"/>
    <x v="1"/>
    <x v="0"/>
    <x v="17"/>
    <x v="17"/>
    <x v="0"/>
    <x v="0"/>
    <x v="0"/>
    <x v="32"/>
    <x v="0"/>
    <x v="0"/>
    <x v="1"/>
    <x v="1"/>
  </r>
  <r>
    <x v="567"/>
    <x v="1"/>
    <x v="25"/>
    <x v="549"/>
    <x v="525"/>
    <x v="1234"/>
    <x v="1"/>
    <x v="0"/>
    <x v="550"/>
    <x v="0"/>
    <x v="0"/>
    <x v="0"/>
    <x v="0"/>
    <x v="0"/>
    <x v="2"/>
    <x v="1234"/>
    <x v="1222"/>
    <x v="549"/>
    <x v="1"/>
    <x v="0"/>
    <x v="0"/>
    <x v="17"/>
    <x v="17"/>
    <x v="0"/>
    <x v="0"/>
    <x v="0"/>
    <x v="32"/>
    <x v="0"/>
    <x v="0"/>
    <x v="1"/>
    <x v="1"/>
  </r>
  <r>
    <x v="566"/>
    <x v="1"/>
    <x v="25"/>
    <x v="548"/>
    <x v="524"/>
    <x v="1233"/>
    <x v="1"/>
    <x v="0"/>
    <x v="549"/>
    <x v="0"/>
    <x v="0"/>
    <x v="0"/>
    <x v="0"/>
    <x v="0"/>
    <x v="2"/>
    <x v="1233"/>
    <x v="1221"/>
    <x v="548"/>
    <x v="1"/>
    <x v="0"/>
    <x v="0"/>
    <x v="17"/>
    <x v="17"/>
    <x v="0"/>
    <x v="0"/>
    <x v="0"/>
    <x v="32"/>
    <x v="0"/>
    <x v="0"/>
    <x v="1"/>
    <x v="1"/>
  </r>
  <r>
    <x v="565"/>
    <x v="1"/>
    <x v="25"/>
    <x v="547"/>
    <x v="523"/>
    <x v="1232"/>
    <x v="1"/>
    <x v="0"/>
    <x v="548"/>
    <x v="0"/>
    <x v="0"/>
    <x v="0"/>
    <x v="0"/>
    <x v="0"/>
    <x v="2"/>
    <x v="1232"/>
    <x v="1220"/>
    <x v="547"/>
    <x v="1"/>
    <x v="0"/>
    <x v="0"/>
    <x v="17"/>
    <x v="17"/>
    <x v="0"/>
    <x v="0"/>
    <x v="0"/>
    <x v="32"/>
    <x v="0"/>
    <x v="0"/>
    <x v="1"/>
    <x v="1"/>
  </r>
  <r>
    <x v="564"/>
    <x v="1"/>
    <x v="25"/>
    <x v="546"/>
    <x v="522"/>
    <x v="1231"/>
    <x v="1"/>
    <x v="0"/>
    <x v="547"/>
    <x v="0"/>
    <x v="0"/>
    <x v="0"/>
    <x v="0"/>
    <x v="0"/>
    <x v="2"/>
    <x v="1231"/>
    <x v="1219"/>
    <x v="546"/>
    <x v="1"/>
    <x v="0"/>
    <x v="0"/>
    <x v="17"/>
    <x v="17"/>
    <x v="0"/>
    <x v="0"/>
    <x v="0"/>
    <x v="32"/>
    <x v="0"/>
    <x v="0"/>
    <x v="1"/>
    <x v="1"/>
  </r>
  <r>
    <x v="563"/>
    <x v="1"/>
    <x v="25"/>
    <x v="545"/>
    <x v="521"/>
    <x v="1230"/>
    <x v="1"/>
    <x v="0"/>
    <x v="546"/>
    <x v="0"/>
    <x v="0"/>
    <x v="0"/>
    <x v="0"/>
    <x v="0"/>
    <x v="2"/>
    <x v="1230"/>
    <x v="1218"/>
    <x v="545"/>
    <x v="1"/>
    <x v="5"/>
    <x v="0"/>
    <x v="17"/>
    <x v="17"/>
    <x v="0"/>
    <x v="0"/>
    <x v="0"/>
    <x v="32"/>
    <x v="0"/>
    <x v="0"/>
    <x v="1"/>
    <x v="1"/>
  </r>
  <r>
    <x v="562"/>
    <x v="1"/>
    <x v="25"/>
    <x v="544"/>
    <x v="520"/>
    <x v="1229"/>
    <x v="1"/>
    <x v="0"/>
    <x v="545"/>
    <x v="0"/>
    <x v="0"/>
    <x v="0"/>
    <x v="0"/>
    <x v="0"/>
    <x v="2"/>
    <x v="1229"/>
    <x v="1217"/>
    <x v="544"/>
    <x v="1"/>
    <x v="5"/>
    <x v="0"/>
    <x v="17"/>
    <x v="17"/>
    <x v="0"/>
    <x v="0"/>
    <x v="0"/>
    <x v="32"/>
    <x v="0"/>
    <x v="0"/>
    <x v="1"/>
    <x v="1"/>
  </r>
  <r>
    <x v="561"/>
    <x v="1"/>
    <x v="25"/>
    <x v="543"/>
    <x v="519"/>
    <x v="1228"/>
    <x v="1"/>
    <x v="0"/>
    <x v="544"/>
    <x v="0"/>
    <x v="0"/>
    <x v="0"/>
    <x v="0"/>
    <x v="0"/>
    <x v="2"/>
    <x v="1228"/>
    <x v="1216"/>
    <x v="543"/>
    <x v="1"/>
    <x v="5"/>
    <x v="0"/>
    <x v="17"/>
    <x v="17"/>
    <x v="0"/>
    <x v="0"/>
    <x v="0"/>
    <x v="32"/>
    <x v="0"/>
    <x v="0"/>
    <x v="1"/>
    <x v="1"/>
  </r>
  <r>
    <x v="560"/>
    <x v="1"/>
    <x v="25"/>
    <x v="542"/>
    <x v="518"/>
    <x v="1227"/>
    <x v="1"/>
    <x v="0"/>
    <x v="543"/>
    <x v="0"/>
    <x v="0"/>
    <x v="0"/>
    <x v="0"/>
    <x v="0"/>
    <x v="2"/>
    <x v="1227"/>
    <x v="1215"/>
    <x v="542"/>
    <x v="1"/>
    <x v="5"/>
    <x v="0"/>
    <x v="17"/>
    <x v="17"/>
    <x v="0"/>
    <x v="0"/>
    <x v="0"/>
    <x v="32"/>
    <x v="0"/>
    <x v="0"/>
    <x v="1"/>
    <x v="1"/>
  </r>
  <r>
    <x v="559"/>
    <x v="1"/>
    <x v="25"/>
    <x v="541"/>
    <x v="517"/>
    <x v="1226"/>
    <x v="1"/>
    <x v="0"/>
    <x v="542"/>
    <x v="0"/>
    <x v="0"/>
    <x v="0"/>
    <x v="0"/>
    <x v="0"/>
    <x v="2"/>
    <x v="1226"/>
    <x v="1214"/>
    <x v="541"/>
    <x v="1"/>
    <x v="5"/>
    <x v="0"/>
    <x v="17"/>
    <x v="17"/>
    <x v="0"/>
    <x v="0"/>
    <x v="0"/>
    <x v="32"/>
    <x v="0"/>
    <x v="0"/>
    <x v="1"/>
    <x v="1"/>
  </r>
  <r>
    <x v="558"/>
    <x v="1"/>
    <x v="25"/>
    <x v="540"/>
    <x v="514"/>
    <x v="1225"/>
    <x v="1"/>
    <x v="0"/>
    <x v="541"/>
    <x v="0"/>
    <x v="0"/>
    <x v="0"/>
    <x v="0"/>
    <x v="0"/>
    <x v="2"/>
    <x v="1225"/>
    <x v="1213"/>
    <x v="540"/>
    <x v="1"/>
    <x v="1"/>
    <x v="0"/>
    <x v="17"/>
    <x v="17"/>
    <x v="0"/>
    <x v="0"/>
    <x v="0"/>
    <x v="32"/>
    <x v="0"/>
    <x v="0"/>
    <x v="1"/>
    <x v="1"/>
  </r>
  <r>
    <x v="557"/>
    <x v="1"/>
    <x v="25"/>
    <x v="539"/>
    <x v="513"/>
    <x v="1224"/>
    <x v="1"/>
    <x v="0"/>
    <x v="540"/>
    <x v="0"/>
    <x v="0"/>
    <x v="0"/>
    <x v="0"/>
    <x v="0"/>
    <x v="2"/>
    <x v="1224"/>
    <x v="1212"/>
    <x v="539"/>
    <x v="1"/>
    <x v="1"/>
    <x v="0"/>
    <x v="17"/>
    <x v="17"/>
    <x v="0"/>
    <x v="0"/>
    <x v="0"/>
    <x v="32"/>
    <x v="0"/>
    <x v="0"/>
    <x v="1"/>
    <x v="1"/>
  </r>
  <r>
    <x v="556"/>
    <x v="1"/>
    <x v="25"/>
    <x v="538"/>
    <x v="512"/>
    <x v="1223"/>
    <x v="1"/>
    <x v="0"/>
    <x v="539"/>
    <x v="0"/>
    <x v="0"/>
    <x v="0"/>
    <x v="0"/>
    <x v="0"/>
    <x v="2"/>
    <x v="1223"/>
    <x v="1211"/>
    <x v="538"/>
    <x v="1"/>
    <x v="1"/>
    <x v="0"/>
    <x v="17"/>
    <x v="17"/>
    <x v="0"/>
    <x v="0"/>
    <x v="0"/>
    <x v="32"/>
    <x v="0"/>
    <x v="0"/>
    <x v="1"/>
    <x v="1"/>
  </r>
  <r>
    <x v="555"/>
    <x v="1"/>
    <x v="25"/>
    <x v="537"/>
    <x v="511"/>
    <x v="1222"/>
    <x v="1"/>
    <x v="0"/>
    <x v="538"/>
    <x v="0"/>
    <x v="0"/>
    <x v="0"/>
    <x v="0"/>
    <x v="0"/>
    <x v="2"/>
    <x v="1222"/>
    <x v="1210"/>
    <x v="537"/>
    <x v="1"/>
    <x v="1"/>
    <x v="0"/>
    <x v="17"/>
    <x v="17"/>
    <x v="0"/>
    <x v="0"/>
    <x v="0"/>
    <x v="32"/>
    <x v="0"/>
    <x v="0"/>
    <x v="1"/>
    <x v="1"/>
  </r>
  <r>
    <x v="554"/>
    <x v="1"/>
    <x v="25"/>
    <x v="536"/>
    <x v="510"/>
    <x v="1221"/>
    <x v="1"/>
    <x v="0"/>
    <x v="537"/>
    <x v="0"/>
    <x v="0"/>
    <x v="0"/>
    <x v="0"/>
    <x v="0"/>
    <x v="2"/>
    <x v="1221"/>
    <x v="1209"/>
    <x v="536"/>
    <x v="1"/>
    <x v="1"/>
    <x v="0"/>
    <x v="17"/>
    <x v="17"/>
    <x v="0"/>
    <x v="0"/>
    <x v="0"/>
    <x v="32"/>
    <x v="0"/>
    <x v="0"/>
    <x v="1"/>
    <x v="1"/>
  </r>
  <r>
    <x v="553"/>
    <x v="1"/>
    <x v="25"/>
    <x v="535"/>
    <x v="509"/>
    <x v="1220"/>
    <x v="1"/>
    <x v="0"/>
    <x v="536"/>
    <x v="0"/>
    <x v="0"/>
    <x v="0"/>
    <x v="0"/>
    <x v="0"/>
    <x v="2"/>
    <x v="1220"/>
    <x v="1208"/>
    <x v="535"/>
    <x v="1"/>
    <x v="1"/>
    <x v="0"/>
    <x v="17"/>
    <x v="17"/>
    <x v="0"/>
    <x v="0"/>
    <x v="0"/>
    <x v="32"/>
    <x v="0"/>
    <x v="0"/>
    <x v="1"/>
    <x v="1"/>
  </r>
  <r>
    <x v="552"/>
    <x v="1"/>
    <x v="25"/>
    <x v="534"/>
    <x v="508"/>
    <x v="1219"/>
    <x v="1"/>
    <x v="0"/>
    <x v="535"/>
    <x v="0"/>
    <x v="0"/>
    <x v="0"/>
    <x v="0"/>
    <x v="0"/>
    <x v="2"/>
    <x v="1219"/>
    <x v="1207"/>
    <x v="534"/>
    <x v="1"/>
    <x v="1"/>
    <x v="0"/>
    <x v="17"/>
    <x v="17"/>
    <x v="0"/>
    <x v="0"/>
    <x v="0"/>
    <x v="32"/>
    <x v="0"/>
    <x v="0"/>
    <x v="1"/>
    <x v="1"/>
  </r>
  <r>
    <x v="551"/>
    <x v="1"/>
    <x v="25"/>
    <x v="533"/>
    <x v="507"/>
    <x v="1218"/>
    <x v="1"/>
    <x v="0"/>
    <x v="534"/>
    <x v="0"/>
    <x v="0"/>
    <x v="0"/>
    <x v="0"/>
    <x v="0"/>
    <x v="2"/>
    <x v="1218"/>
    <x v="1206"/>
    <x v="533"/>
    <x v="1"/>
    <x v="1"/>
    <x v="0"/>
    <x v="17"/>
    <x v="17"/>
    <x v="0"/>
    <x v="0"/>
    <x v="0"/>
    <x v="32"/>
    <x v="0"/>
    <x v="0"/>
    <x v="1"/>
    <x v="1"/>
  </r>
  <r>
    <x v="550"/>
    <x v="1"/>
    <x v="25"/>
    <x v="532"/>
    <x v="506"/>
    <x v="1217"/>
    <x v="1"/>
    <x v="0"/>
    <x v="533"/>
    <x v="0"/>
    <x v="0"/>
    <x v="0"/>
    <x v="0"/>
    <x v="0"/>
    <x v="2"/>
    <x v="1217"/>
    <x v="1205"/>
    <x v="532"/>
    <x v="1"/>
    <x v="1"/>
    <x v="0"/>
    <x v="17"/>
    <x v="17"/>
    <x v="0"/>
    <x v="0"/>
    <x v="0"/>
    <x v="32"/>
    <x v="0"/>
    <x v="0"/>
    <x v="1"/>
    <x v="1"/>
  </r>
  <r>
    <x v="549"/>
    <x v="1"/>
    <x v="25"/>
    <x v="531"/>
    <x v="532"/>
    <x v="1245"/>
    <x v="1"/>
    <x v="0"/>
    <x v="532"/>
    <x v="0"/>
    <x v="0"/>
    <x v="0"/>
    <x v="0"/>
    <x v="0"/>
    <x v="2"/>
    <x v="1245"/>
    <x v="1233"/>
    <x v="531"/>
    <x v="1"/>
    <x v="2"/>
    <x v="0"/>
    <x v="17"/>
    <x v="17"/>
    <x v="0"/>
    <x v="0"/>
    <x v="0"/>
    <x v="32"/>
    <x v="0"/>
    <x v="0"/>
    <x v="1"/>
    <x v="1"/>
  </r>
  <r>
    <x v="548"/>
    <x v="1"/>
    <x v="25"/>
    <x v="530"/>
    <x v="122"/>
    <x v="1154"/>
    <x v="1"/>
    <x v="0"/>
    <x v="531"/>
    <x v="0"/>
    <x v="0"/>
    <x v="0"/>
    <x v="0"/>
    <x v="0"/>
    <x v="2"/>
    <x v="1154"/>
    <x v="1142"/>
    <x v="530"/>
    <x v="1"/>
    <x v="10"/>
    <x v="0"/>
    <x v="17"/>
    <x v="17"/>
    <x v="0"/>
    <x v="0"/>
    <x v="0"/>
    <x v="27"/>
    <x v="0"/>
    <x v="0"/>
    <x v="1"/>
    <x v="1"/>
  </r>
  <r>
    <x v="547"/>
    <x v="1"/>
    <x v="25"/>
    <x v="529"/>
    <x v="121"/>
    <x v="1155"/>
    <x v="1"/>
    <x v="0"/>
    <x v="530"/>
    <x v="0"/>
    <x v="0"/>
    <x v="0"/>
    <x v="0"/>
    <x v="0"/>
    <x v="2"/>
    <x v="1155"/>
    <x v="1143"/>
    <x v="529"/>
    <x v="1"/>
    <x v="10"/>
    <x v="0"/>
    <x v="17"/>
    <x v="17"/>
    <x v="0"/>
    <x v="0"/>
    <x v="0"/>
    <x v="27"/>
    <x v="0"/>
    <x v="0"/>
    <x v="1"/>
    <x v="1"/>
  </r>
  <r>
    <x v="545"/>
    <x v="1"/>
    <x v="25"/>
    <x v="528"/>
    <x v="112"/>
    <x v="1263"/>
    <x v="1"/>
    <x v="0"/>
    <x v="528"/>
    <x v="0"/>
    <x v="0"/>
    <x v="0"/>
    <x v="0"/>
    <x v="0"/>
    <x v="2"/>
    <x v="1263"/>
    <x v="1251"/>
    <x v="528"/>
    <x v="1"/>
    <x v="10"/>
    <x v="0"/>
    <x v="17"/>
    <x v="17"/>
    <x v="0"/>
    <x v="0"/>
    <x v="0"/>
    <x v="27"/>
    <x v="0"/>
    <x v="0"/>
    <x v="1"/>
    <x v="1"/>
  </r>
  <r>
    <x v="546"/>
    <x v="1"/>
    <x v="25"/>
    <x v="527"/>
    <x v="119"/>
    <x v="1153"/>
    <x v="1"/>
    <x v="0"/>
    <x v="529"/>
    <x v="0"/>
    <x v="0"/>
    <x v="0"/>
    <x v="0"/>
    <x v="0"/>
    <x v="2"/>
    <x v="1153"/>
    <x v="1141"/>
    <x v="527"/>
    <x v="1"/>
    <x v="10"/>
    <x v="0"/>
    <x v="17"/>
    <x v="17"/>
    <x v="0"/>
    <x v="0"/>
    <x v="0"/>
    <x v="24"/>
    <x v="0"/>
    <x v="0"/>
    <x v="1"/>
    <x v="1"/>
  </r>
  <r>
    <x v="544"/>
    <x v="1"/>
    <x v="25"/>
    <x v="526"/>
    <x v="124"/>
    <x v="1137"/>
    <x v="1"/>
    <x v="0"/>
    <x v="527"/>
    <x v="0"/>
    <x v="0"/>
    <x v="0"/>
    <x v="0"/>
    <x v="0"/>
    <x v="2"/>
    <x v="1137"/>
    <x v="1125"/>
    <x v="526"/>
    <x v="1"/>
    <x v="10"/>
    <x v="0"/>
    <x v="17"/>
    <x v="17"/>
    <x v="0"/>
    <x v="0"/>
    <x v="0"/>
    <x v="24"/>
    <x v="0"/>
    <x v="0"/>
    <x v="1"/>
    <x v="1"/>
  </r>
  <r>
    <x v="543"/>
    <x v="1"/>
    <x v="25"/>
    <x v="525"/>
    <x v="123"/>
    <x v="12"/>
    <x v="1"/>
    <x v="0"/>
    <x v="526"/>
    <x v="0"/>
    <x v="0"/>
    <x v="0"/>
    <x v="0"/>
    <x v="0"/>
    <x v="2"/>
    <x v="12"/>
    <x v="7"/>
    <x v="525"/>
    <x v="1"/>
    <x v="10"/>
    <x v="0"/>
    <x v="17"/>
    <x v="17"/>
    <x v="0"/>
    <x v="0"/>
    <x v="0"/>
    <x v="24"/>
    <x v="0"/>
    <x v="0"/>
    <x v="1"/>
    <x v="1"/>
  </r>
  <r>
    <x v="542"/>
    <x v="1"/>
    <x v="25"/>
    <x v="524"/>
    <x v="402"/>
    <x v="1163"/>
    <x v="1"/>
    <x v="0"/>
    <x v="525"/>
    <x v="0"/>
    <x v="0"/>
    <x v="0"/>
    <x v="0"/>
    <x v="0"/>
    <x v="2"/>
    <x v="1163"/>
    <x v="1151"/>
    <x v="524"/>
    <x v="1"/>
    <x v="10"/>
    <x v="0"/>
    <x v="17"/>
    <x v="17"/>
    <x v="0"/>
    <x v="0"/>
    <x v="0"/>
    <x v="24"/>
    <x v="0"/>
    <x v="0"/>
    <x v="1"/>
    <x v="1"/>
  </r>
  <r>
    <x v="541"/>
    <x v="1"/>
    <x v="25"/>
    <x v="523"/>
    <x v="954"/>
    <x v="1255"/>
    <x v="1"/>
    <x v="0"/>
    <x v="524"/>
    <x v="0"/>
    <x v="0"/>
    <x v="0"/>
    <x v="0"/>
    <x v="0"/>
    <x v="2"/>
    <x v="1255"/>
    <x v="1243"/>
    <x v="523"/>
    <x v="1"/>
    <x v="10"/>
    <x v="0"/>
    <x v="17"/>
    <x v="17"/>
    <x v="0"/>
    <x v="0"/>
    <x v="0"/>
    <x v="24"/>
    <x v="0"/>
    <x v="0"/>
    <x v="1"/>
    <x v="1"/>
  </r>
  <r>
    <x v="540"/>
    <x v="1"/>
    <x v="25"/>
    <x v="522"/>
    <x v="960"/>
    <x v="1258"/>
    <x v="1"/>
    <x v="0"/>
    <x v="523"/>
    <x v="0"/>
    <x v="0"/>
    <x v="0"/>
    <x v="0"/>
    <x v="0"/>
    <x v="2"/>
    <x v="1258"/>
    <x v="1246"/>
    <x v="522"/>
    <x v="1"/>
    <x v="10"/>
    <x v="0"/>
    <x v="17"/>
    <x v="17"/>
    <x v="0"/>
    <x v="0"/>
    <x v="0"/>
    <x v="24"/>
    <x v="0"/>
    <x v="0"/>
    <x v="1"/>
    <x v="1"/>
  </r>
  <r>
    <x v="539"/>
    <x v="1"/>
    <x v="25"/>
    <x v="521"/>
    <x v="1355"/>
    <x v="1266"/>
    <x v="1"/>
    <x v="0"/>
    <x v="522"/>
    <x v="0"/>
    <x v="0"/>
    <x v="0"/>
    <x v="0"/>
    <x v="0"/>
    <x v="2"/>
    <x v="1266"/>
    <x v="1254"/>
    <x v="521"/>
    <x v="1"/>
    <x v="10"/>
    <x v="0"/>
    <x v="17"/>
    <x v="17"/>
    <x v="0"/>
    <x v="0"/>
    <x v="0"/>
    <x v="24"/>
    <x v="0"/>
    <x v="0"/>
    <x v="1"/>
    <x v="1"/>
  </r>
  <r>
    <x v="538"/>
    <x v="1"/>
    <x v="25"/>
    <x v="520"/>
    <x v="953"/>
    <x v="1254"/>
    <x v="1"/>
    <x v="0"/>
    <x v="521"/>
    <x v="0"/>
    <x v="0"/>
    <x v="0"/>
    <x v="0"/>
    <x v="0"/>
    <x v="2"/>
    <x v="1254"/>
    <x v="1242"/>
    <x v="520"/>
    <x v="1"/>
    <x v="10"/>
    <x v="0"/>
    <x v="17"/>
    <x v="17"/>
    <x v="0"/>
    <x v="0"/>
    <x v="0"/>
    <x v="24"/>
    <x v="0"/>
    <x v="0"/>
    <x v="1"/>
    <x v="1"/>
  </r>
  <r>
    <x v="537"/>
    <x v="1"/>
    <x v="25"/>
    <x v="519"/>
    <x v="957"/>
    <x v="1256"/>
    <x v="1"/>
    <x v="0"/>
    <x v="520"/>
    <x v="0"/>
    <x v="0"/>
    <x v="0"/>
    <x v="0"/>
    <x v="0"/>
    <x v="2"/>
    <x v="1256"/>
    <x v="1244"/>
    <x v="519"/>
    <x v="1"/>
    <x v="10"/>
    <x v="0"/>
    <x v="17"/>
    <x v="17"/>
    <x v="0"/>
    <x v="0"/>
    <x v="0"/>
    <x v="24"/>
    <x v="0"/>
    <x v="0"/>
    <x v="1"/>
    <x v="1"/>
  </r>
  <r>
    <x v="536"/>
    <x v="1"/>
    <x v="25"/>
    <x v="518"/>
    <x v="1356"/>
    <x v="1267"/>
    <x v="1"/>
    <x v="0"/>
    <x v="519"/>
    <x v="0"/>
    <x v="0"/>
    <x v="0"/>
    <x v="0"/>
    <x v="0"/>
    <x v="2"/>
    <x v="1267"/>
    <x v="1255"/>
    <x v="518"/>
    <x v="1"/>
    <x v="10"/>
    <x v="0"/>
    <x v="17"/>
    <x v="17"/>
    <x v="0"/>
    <x v="0"/>
    <x v="0"/>
    <x v="24"/>
    <x v="0"/>
    <x v="0"/>
    <x v="1"/>
    <x v="1"/>
  </r>
  <r>
    <x v="535"/>
    <x v="1"/>
    <x v="25"/>
    <x v="517"/>
    <x v="1357"/>
    <x v="1268"/>
    <x v="1"/>
    <x v="0"/>
    <x v="518"/>
    <x v="0"/>
    <x v="0"/>
    <x v="0"/>
    <x v="0"/>
    <x v="0"/>
    <x v="2"/>
    <x v="1268"/>
    <x v="1256"/>
    <x v="517"/>
    <x v="1"/>
    <x v="10"/>
    <x v="0"/>
    <x v="17"/>
    <x v="17"/>
    <x v="0"/>
    <x v="0"/>
    <x v="0"/>
    <x v="33"/>
    <x v="0"/>
    <x v="0"/>
    <x v="1"/>
    <x v="1"/>
  </r>
  <r>
    <x v="533"/>
    <x v="1"/>
    <x v="25"/>
    <x v="516"/>
    <x v="950"/>
    <x v="1264"/>
    <x v="1"/>
    <x v="0"/>
    <x v="516"/>
    <x v="0"/>
    <x v="0"/>
    <x v="0"/>
    <x v="0"/>
    <x v="0"/>
    <x v="2"/>
    <x v="1264"/>
    <x v="1252"/>
    <x v="516"/>
    <x v="1"/>
    <x v="10"/>
    <x v="0"/>
    <x v="17"/>
    <x v="17"/>
    <x v="0"/>
    <x v="0"/>
    <x v="0"/>
    <x v="24"/>
    <x v="0"/>
    <x v="0"/>
    <x v="1"/>
    <x v="1"/>
  </r>
  <r>
    <x v="534"/>
    <x v="1"/>
    <x v="25"/>
    <x v="515"/>
    <x v="955"/>
    <x v="1248"/>
    <x v="1"/>
    <x v="0"/>
    <x v="517"/>
    <x v="0"/>
    <x v="0"/>
    <x v="0"/>
    <x v="0"/>
    <x v="0"/>
    <x v="2"/>
    <x v="1248"/>
    <x v="1236"/>
    <x v="515"/>
    <x v="1"/>
    <x v="10"/>
    <x v="0"/>
    <x v="17"/>
    <x v="17"/>
    <x v="0"/>
    <x v="0"/>
    <x v="0"/>
    <x v="24"/>
    <x v="0"/>
    <x v="0"/>
    <x v="1"/>
    <x v="1"/>
  </r>
  <r>
    <x v="531"/>
    <x v="1"/>
    <x v="25"/>
    <x v="514"/>
    <x v="952"/>
    <x v="1265"/>
    <x v="1"/>
    <x v="0"/>
    <x v="514"/>
    <x v="0"/>
    <x v="0"/>
    <x v="0"/>
    <x v="0"/>
    <x v="0"/>
    <x v="2"/>
    <x v="1265"/>
    <x v="1253"/>
    <x v="514"/>
    <x v="1"/>
    <x v="10"/>
    <x v="0"/>
    <x v="17"/>
    <x v="17"/>
    <x v="0"/>
    <x v="0"/>
    <x v="0"/>
    <x v="24"/>
    <x v="0"/>
    <x v="0"/>
    <x v="1"/>
    <x v="1"/>
  </r>
  <r>
    <x v="532"/>
    <x v="1"/>
    <x v="25"/>
    <x v="513"/>
    <x v="958"/>
    <x v="1257"/>
    <x v="1"/>
    <x v="0"/>
    <x v="515"/>
    <x v="0"/>
    <x v="0"/>
    <x v="0"/>
    <x v="0"/>
    <x v="0"/>
    <x v="2"/>
    <x v="1257"/>
    <x v="1245"/>
    <x v="513"/>
    <x v="1"/>
    <x v="10"/>
    <x v="0"/>
    <x v="17"/>
    <x v="17"/>
    <x v="0"/>
    <x v="0"/>
    <x v="0"/>
    <x v="30"/>
    <x v="0"/>
    <x v="0"/>
    <x v="1"/>
    <x v="1"/>
  </r>
  <r>
    <x v="461"/>
    <x v="1"/>
    <x v="25"/>
    <x v="512"/>
    <x v="949"/>
    <x v="1261"/>
    <x v="1"/>
    <x v="0"/>
    <x v="444"/>
    <x v="0"/>
    <x v="0"/>
    <x v="0"/>
    <x v="0"/>
    <x v="0"/>
    <x v="2"/>
    <x v="1261"/>
    <x v="1249"/>
    <x v="512"/>
    <x v="0"/>
    <x v="10"/>
    <x v="0"/>
    <x v="17"/>
    <x v="17"/>
    <x v="0"/>
    <x v="0"/>
    <x v="0"/>
    <x v="24"/>
    <x v="0"/>
    <x v="0"/>
    <x v="1"/>
    <x v="1"/>
  </r>
  <r>
    <x v="460"/>
    <x v="1"/>
    <x v="25"/>
    <x v="511"/>
    <x v="948"/>
    <x v="1260"/>
    <x v="1"/>
    <x v="0"/>
    <x v="443"/>
    <x v="0"/>
    <x v="0"/>
    <x v="0"/>
    <x v="0"/>
    <x v="0"/>
    <x v="2"/>
    <x v="1260"/>
    <x v="1248"/>
    <x v="511"/>
    <x v="0"/>
    <x v="10"/>
    <x v="0"/>
    <x v="17"/>
    <x v="17"/>
    <x v="0"/>
    <x v="0"/>
    <x v="0"/>
    <x v="24"/>
    <x v="0"/>
    <x v="0"/>
    <x v="1"/>
    <x v="1"/>
  </r>
  <r>
    <x v="530"/>
    <x v="1"/>
    <x v="25"/>
    <x v="510"/>
    <x v="963"/>
    <x v="1249"/>
    <x v="1"/>
    <x v="0"/>
    <x v="513"/>
    <x v="0"/>
    <x v="0"/>
    <x v="0"/>
    <x v="0"/>
    <x v="0"/>
    <x v="2"/>
    <x v="1249"/>
    <x v="1237"/>
    <x v="510"/>
    <x v="1"/>
    <x v="10"/>
    <x v="0"/>
    <x v="17"/>
    <x v="17"/>
    <x v="0"/>
    <x v="0"/>
    <x v="0"/>
    <x v="30"/>
    <x v="0"/>
    <x v="0"/>
    <x v="1"/>
    <x v="1"/>
  </r>
  <r>
    <x v="529"/>
    <x v="1"/>
    <x v="25"/>
    <x v="509"/>
    <x v="956"/>
    <x v="1248"/>
    <x v="1"/>
    <x v="0"/>
    <x v="512"/>
    <x v="0"/>
    <x v="0"/>
    <x v="0"/>
    <x v="0"/>
    <x v="0"/>
    <x v="2"/>
    <x v="1248"/>
    <x v="1236"/>
    <x v="509"/>
    <x v="1"/>
    <x v="10"/>
    <x v="0"/>
    <x v="17"/>
    <x v="17"/>
    <x v="0"/>
    <x v="0"/>
    <x v="0"/>
    <x v="30"/>
    <x v="0"/>
    <x v="0"/>
    <x v="1"/>
    <x v="1"/>
  </r>
  <r>
    <x v="528"/>
    <x v="1"/>
    <x v="25"/>
    <x v="508"/>
    <x v="959"/>
    <x v="1252"/>
    <x v="1"/>
    <x v="0"/>
    <x v="511"/>
    <x v="0"/>
    <x v="0"/>
    <x v="0"/>
    <x v="0"/>
    <x v="0"/>
    <x v="2"/>
    <x v="1252"/>
    <x v="1240"/>
    <x v="508"/>
    <x v="1"/>
    <x v="10"/>
    <x v="0"/>
    <x v="17"/>
    <x v="17"/>
    <x v="0"/>
    <x v="0"/>
    <x v="0"/>
    <x v="30"/>
    <x v="0"/>
    <x v="0"/>
    <x v="1"/>
    <x v="1"/>
  </r>
  <r>
    <x v="527"/>
    <x v="1"/>
    <x v="25"/>
    <x v="507"/>
    <x v="964"/>
    <x v="1250"/>
    <x v="1"/>
    <x v="0"/>
    <x v="510"/>
    <x v="0"/>
    <x v="0"/>
    <x v="0"/>
    <x v="0"/>
    <x v="0"/>
    <x v="2"/>
    <x v="1250"/>
    <x v="1238"/>
    <x v="507"/>
    <x v="1"/>
    <x v="10"/>
    <x v="0"/>
    <x v="17"/>
    <x v="17"/>
    <x v="0"/>
    <x v="0"/>
    <x v="0"/>
    <x v="30"/>
    <x v="0"/>
    <x v="0"/>
    <x v="1"/>
    <x v="1"/>
  </r>
  <r>
    <x v="526"/>
    <x v="1"/>
    <x v="25"/>
    <x v="506"/>
    <x v="951"/>
    <x v="1251"/>
    <x v="1"/>
    <x v="0"/>
    <x v="509"/>
    <x v="0"/>
    <x v="0"/>
    <x v="0"/>
    <x v="0"/>
    <x v="0"/>
    <x v="2"/>
    <x v="1251"/>
    <x v="1239"/>
    <x v="506"/>
    <x v="1"/>
    <x v="10"/>
    <x v="0"/>
    <x v="17"/>
    <x v="17"/>
    <x v="0"/>
    <x v="0"/>
    <x v="0"/>
    <x v="24"/>
    <x v="0"/>
    <x v="0"/>
    <x v="1"/>
    <x v="1"/>
  </r>
  <r>
    <x v="525"/>
    <x v="1"/>
    <x v="25"/>
    <x v="505"/>
    <x v="946"/>
    <x v="1253"/>
    <x v="1"/>
    <x v="0"/>
    <x v="508"/>
    <x v="0"/>
    <x v="0"/>
    <x v="0"/>
    <x v="0"/>
    <x v="0"/>
    <x v="2"/>
    <x v="1253"/>
    <x v="1241"/>
    <x v="505"/>
    <x v="1"/>
    <x v="10"/>
    <x v="0"/>
    <x v="17"/>
    <x v="17"/>
    <x v="0"/>
    <x v="0"/>
    <x v="0"/>
    <x v="30"/>
    <x v="0"/>
    <x v="0"/>
    <x v="1"/>
    <x v="1"/>
  </r>
  <r>
    <x v="524"/>
    <x v="1"/>
    <x v="25"/>
    <x v="504"/>
    <x v="173"/>
    <x v="1160"/>
    <x v="1"/>
    <x v="0"/>
    <x v="507"/>
    <x v="0"/>
    <x v="0"/>
    <x v="0"/>
    <x v="0"/>
    <x v="0"/>
    <x v="2"/>
    <x v="1160"/>
    <x v="1148"/>
    <x v="504"/>
    <x v="1"/>
    <x v="8"/>
    <x v="0"/>
    <x v="17"/>
    <x v="17"/>
    <x v="0"/>
    <x v="0"/>
    <x v="0"/>
    <x v="24"/>
    <x v="0"/>
    <x v="0"/>
    <x v="1"/>
    <x v="1"/>
  </r>
  <r>
    <x v="523"/>
    <x v="1"/>
    <x v="25"/>
    <x v="503"/>
    <x v="213"/>
    <x v="1246"/>
    <x v="1"/>
    <x v="0"/>
    <x v="506"/>
    <x v="0"/>
    <x v="0"/>
    <x v="0"/>
    <x v="0"/>
    <x v="0"/>
    <x v="2"/>
    <x v="1246"/>
    <x v="1234"/>
    <x v="503"/>
    <x v="1"/>
    <x v="10"/>
    <x v="0"/>
    <x v="17"/>
    <x v="17"/>
    <x v="0"/>
    <x v="0"/>
    <x v="0"/>
    <x v="24"/>
    <x v="0"/>
    <x v="0"/>
    <x v="1"/>
    <x v="1"/>
  </r>
  <r>
    <x v="522"/>
    <x v="1"/>
    <x v="25"/>
    <x v="502"/>
    <x v="990"/>
    <x v="1159"/>
    <x v="1"/>
    <x v="0"/>
    <x v="505"/>
    <x v="0"/>
    <x v="0"/>
    <x v="0"/>
    <x v="0"/>
    <x v="0"/>
    <x v="2"/>
    <x v="1159"/>
    <x v="1147"/>
    <x v="502"/>
    <x v="1"/>
    <x v="10"/>
    <x v="0"/>
    <x v="17"/>
    <x v="17"/>
    <x v="0"/>
    <x v="0"/>
    <x v="0"/>
    <x v="29"/>
    <x v="0"/>
    <x v="0"/>
    <x v="1"/>
    <x v="1"/>
  </r>
  <r>
    <x v="521"/>
    <x v="1"/>
    <x v="25"/>
    <x v="501"/>
    <x v="962"/>
    <x v="1259"/>
    <x v="1"/>
    <x v="0"/>
    <x v="504"/>
    <x v="0"/>
    <x v="0"/>
    <x v="0"/>
    <x v="0"/>
    <x v="0"/>
    <x v="2"/>
    <x v="1259"/>
    <x v="1247"/>
    <x v="501"/>
    <x v="1"/>
    <x v="10"/>
    <x v="0"/>
    <x v="17"/>
    <x v="17"/>
    <x v="0"/>
    <x v="0"/>
    <x v="0"/>
    <x v="24"/>
    <x v="0"/>
    <x v="0"/>
    <x v="1"/>
    <x v="1"/>
  </r>
  <r>
    <x v="520"/>
    <x v="1"/>
    <x v="25"/>
    <x v="500"/>
    <x v="18"/>
    <x v="1065"/>
    <x v="1"/>
    <x v="0"/>
    <x v="503"/>
    <x v="0"/>
    <x v="0"/>
    <x v="0"/>
    <x v="0"/>
    <x v="0"/>
    <x v="2"/>
    <x v="1065"/>
    <x v="1053"/>
    <x v="500"/>
    <x v="1"/>
    <x v="10"/>
    <x v="0"/>
    <x v="17"/>
    <x v="17"/>
    <x v="0"/>
    <x v="0"/>
    <x v="0"/>
    <x v="25"/>
    <x v="0"/>
    <x v="0"/>
    <x v="1"/>
    <x v="1"/>
  </r>
  <r>
    <x v="519"/>
    <x v="1"/>
    <x v="25"/>
    <x v="499"/>
    <x v="25"/>
    <x v="1066"/>
    <x v="1"/>
    <x v="0"/>
    <x v="502"/>
    <x v="0"/>
    <x v="0"/>
    <x v="0"/>
    <x v="0"/>
    <x v="0"/>
    <x v="2"/>
    <x v="1066"/>
    <x v="1054"/>
    <x v="499"/>
    <x v="1"/>
    <x v="10"/>
    <x v="0"/>
    <x v="17"/>
    <x v="17"/>
    <x v="0"/>
    <x v="0"/>
    <x v="0"/>
    <x v="25"/>
    <x v="0"/>
    <x v="0"/>
    <x v="1"/>
    <x v="1"/>
  </r>
  <r>
    <x v="518"/>
    <x v="1"/>
    <x v="25"/>
    <x v="498"/>
    <x v="9"/>
    <x v="1058"/>
    <x v="1"/>
    <x v="0"/>
    <x v="501"/>
    <x v="0"/>
    <x v="0"/>
    <x v="0"/>
    <x v="0"/>
    <x v="0"/>
    <x v="2"/>
    <x v="1058"/>
    <x v="1046"/>
    <x v="498"/>
    <x v="1"/>
    <x v="10"/>
    <x v="0"/>
    <x v="17"/>
    <x v="17"/>
    <x v="0"/>
    <x v="0"/>
    <x v="0"/>
    <x v="25"/>
    <x v="0"/>
    <x v="0"/>
    <x v="1"/>
    <x v="1"/>
  </r>
  <r>
    <x v="517"/>
    <x v="1"/>
    <x v="25"/>
    <x v="497"/>
    <x v="0"/>
    <x v="477"/>
    <x v="1"/>
    <x v="0"/>
    <x v="500"/>
    <x v="0"/>
    <x v="0"/>
    <x v="0"/>
    <x v="0"/>
    <x v="0"/>
    <x v="2"/>
    <x v="477"/>
    <x v="465"/>
    <x v="497"/>
    <x v="1"/>
    <x v="10"/>
    <x v="0"/>
    <x v="17"/>
    <x v="17"/>
    <x v="0"/>
    <x v="0"/>
    <x v="0"/>
    <x v="25"/>
    <x v="0"/>
    <x v="0"/>
    <x v="1"/>
    <x v="1"/>
  </r>
  <r>
    <x v="464"/>
    <x v="1"/>
    <x v="25"/>
    <x v="496"/>
    <x v="403"/>
    <x v="1216"/>
    <x v="1"/>
    <x v="0"/>
    <x v="447"/>
    <x v="0"/>
    <x v="0"/>
    <x v="0"/>
    <x v="0"/>
    <x v="0"/>
    <x v="2"/>
    <x v="1216"/>
    <x v="1204"/>
    <x v="496"/>
    <x v="1"/>
    <x v="10"/>
    <x v="0"/>
    <x v="17"/>
    <x v="17"/>
    <x v="0"/>
    <x v="0"/>
    <x v="0"/>
    <x v="31"/>
    <x v="0"/>
    <x v="0"/>
    <x v="1"/>
    <x v="1"/>
  </r>
  <r>
    <x v="516"/>
    <x v="1"/>
    <x v="25"/>
    <x v="495"/>
    <x v="455"/>
    <x v="1215"/>
    <x v="1"/>
    <x v="0"/>
    <x v="499"/>
    <x v="0"/>
    <x v="0"/>
    <x v="0"/>
    <x v="0"/>
    <x v="0"/>
    <x v="2"/>
    <x v="1215"/>
    <x v="1203"/>
    <x v="495"/>
    <x v="1"/>
    <x v="10"/>
    <x v="0"/>
    <x v="17"/>
    <x v="17"/>
    <x v="0"/>
    <x v="0"/>
    <x v="0"/>
    <x v="31"/>
    <x v="0"/>
    <x v="0"/>
    <x v="1"/>
    <x v="1"/>
  </r>
  <r>
    <x v="515"/>
    <x v="1"/>
    <x v="25"/>
    <x v="494"/>
    <x v="454"/>
    <x v="1214"/>
    <x v="1"/>
    <x v="0"/>
    <x v="498"/>
    <x v="0"/>
    <x v="0"/>
    <x v="0"/>
    <x v="0"/>
    <x v="0"/>
    <x v="2"/>
    <x v="1214"/>
    <x v="1202"/>
    <x v="494"/>
    <x v="1"/>
    <x v="10"/>
    <x v="0"/>
    <x v="17"/>
    <x v="17"/>
    <x v="0"/>
    <x v="0"/>
    <x v="0"/>
    <x v="31"/>
    <x v="0"/>
    <x v="0"/>
    <x v="1"/>
    <x v="1"/>
  </r>
  <r>
    <x v="514"/>
    <x v="1"/>
    <x v="25"/>
    <x v="493"/>
    <x v="453"/>
    <x v="1213"/>
    <x v="1"/>
    <x v="0"/>
    <x v="497"/>
    <x v="0"/>
    <x v="0"/>
    <x v="0"/>
    <x v="0"/>
    <x v="0"/>
    <x v="2"/>
    <x v="1213"/>
    <x v="1201"/>
    <x v="493"/>
    <x v="1"/>
    <x v="10"/>
    <x v="0"/>
    <x v="17"/>
    <x v="17"/>
    <x v="0"/>
    <x v="0"/>
    <x v="0"/>
    <x v="31"/>
    <x v="0"/>
    <x v="0"/>
    <x v="1"/>
    <x v="1"/>
  </r>
  <r>
    <x v="513"/>
    <x v="1"/>
    <x v="25"/>
    <x v="492"/>
    <x v="452"/>
    <x v="1212"/>
    <x v="1"/>
    <x v="0"/>
    <x v="496"/>
    <x v="0"/>
    <x v="0"/>
    <x v="0"/>
    <x v="0"/>
    <x v="0"/>
    <x v="2"/>
    <x v="1212"/>
    <x v="1200"/>
    <x v="492"/>
    <x v="1"/>
    <x v="10"/>
    <x v="0"/>
    <x v="17"/>
    <x v="17"/>
    <x v="0"/>
    <x v="0"/>
    <x v="0"/>
    <x v="31"/>
    <x v="0"/>
    <x v="0"/>
    <x v="1"/>
    <x v="1"/>
  </r>
  <r>
    <x v="512"/>
    <x v="1"/>
    <x v="25"/>
    <x v="491"/>
    <x v="451"/>
    <x v="1211"/>
    <x v="1"/>
    <x v="0"/>
    <x v="495"/>
    <x v="0"/>
    <x v="0"/>
    <x v="0"/>
    <x v="0"/>
    <x v="0"/>
    <x v="2"/>
    <x v="1211"/>
    <x v="1199"/>
    <x v="491"/>
    <x v="1"/>
    <x v="10"/>
    <x v="0"/>
    <x v="17"/>
    <x v="17"/>
    <x v="0"/>
    <x v="0"/>
    <x v="0"/>
    <x v="31"/>
    <x v="0"/>
    <x v="0"/>
    <x v="1"/>
    <x v="1"/>
  </r>
  <r>
    <x v="511"/>
    <x v="1"/>
    <x v="25"/>
    <x v="490"/>
    <x v="450"/>
    <x v="1210"/>
    <x v="1"/>
    <x v="0"/>
    <x v="494"/>
    <x v="0"/>
    <x v="0"/>
    <x v="0"/>
    <x v="0"/>
    <x v="0"/>
    <x v="2"/>
    <x v="1210"/>
    <x v="1198"/>
    <x v="490"/>
    <x v="1"/>
    <x v="10"/>
    <x v="0"/>
    <x v="17"/>
    <x v="17"/>
    <x v="0"/>
    <x v="0"/>
    <x v="0"/>
    <x v="31"/>
    <x v="0"/>
    <x v="0"/>
    <x v="1"/>
    <x v="1"/>
  </r>
  <r>
    <x v="510"/>
    <x v="1"/>
    <x v="25"/>
    <x v="489"/>
    <x v="449"/>
    <x v="1209"/>
    <x v="1"/>
    <x v="0"/>
    <x v="493"/>
    <x v="0"/>
    <x v="0"/>
    <x v="0"/>
    <x v="0"/>
    <x v="0"/>
    <x v="2"/>
    <x v="1209"/>
    <x v="1197"/>
    <x v="489"/>
    <x v="1"/>
    <x v="10"/>
    <x v="0"/>
    <x v="17"/>
    <x v="17"/>
    <x v="0"/>
    <x v="0"/>
    <x v="0"/>
    <x v="31"/>
    <x v="0"/>
    <x v="0"/>
    <x v="1"/>
    <x v="1"/>
  </r>
  <r>
    <x v="509"/>
    <x v="1"/>
    <x v="25"/>
    <x v="488"/>
    <x v="448"/>
    <x v="1208"/>
    <x v="1"/>
    <x v="0"/>
    <x v="492"/>
    <x v="0"/>
    <x v="0"/>
    <x v="0"/>
    <x v="0"/>
    <x v="0"/>
    <x v="2"/>
    <x v="1208"/>
    <x v="1196"/>
    <x v="488"/>
    <x v="1"/>
    <x v="10"/>
    <x v="0"/>
    <x v="17"/>
    <x v="17"/>
    <x v="0"/>
    <x v="0"/>
    <x v="0"/>
    <x v="31"/>
    <x v="0"/>
    <x v="0"/>
    <x v="1"/>
    <x v="1"/>
  </r>
  <r>
    <x v="508"/>
    <x v="1"/>
    <x v="25"/>
    <x v="487"/>
    <x v="447"/>
    <x v="1207"/>
    <x v="1"/>
    <x v="0"/>
    <x v="491"/>
    <x v="0"/>
    <x v="0"/>
    <x v="0"/>
    <x v="0"/>
    <x v="0"/>
    <x v="2"/>
    <x v="1207"/>
    <x v="1195"/>
    <x v="487"/>
    <x v="1"/>
    <x v="10"/>
    <x v="0"/>
    <x v="17"/>
    <x v="17"/>
    <x v="0"/>
    <x v="0"/>
    <x v="0"/>
    <x v="31"/>
    <x v="0"/>
    <x v="0"/>
    <x v="1"/>
    <x v="1"/>
  </r>
  <r>
    <x v="507"/>
    <x v="1"/>
    <x v="25"/>
    <x v="486"/>
    <x v="446"/>
    <x v="1206"/>
    <x v="1"/>
    <x v="0"/>
    <x v="490"/>
    <x v="0"/>
    <x v="0"/>
    <x v="0"/>
    <x v="0"/>
    <x v="0"/>
    <x v="2"/>
    <x v="1206"/>
    <x v="1194"/>
    <x v="486"/>
    <x v="1"/>
    <x v="10"/>
    <x v="0"/>
    <x v="17"/>
    <x v="17"/>
    <x v="0"/>
    <x v="0"/>
    <x v="0"/>
    <x v="31"/>
    <x v="0"/>
    <x v="0"/>
    <x v="1"/>
    <x v="1"/>
  </r>
  <r>
    <x v="506"/>
    <x v="1"/>
    <x v="25"/>
    <x v="485"/>
    <x v="445"/>
    <x v="1205"/>
    <x v="1"/>
    <x v="0"/>
    <x v="489"/>
    <x v="0"/>
    <x v="0"/>
    <x v="0"/>
    <x v="0"/>
    <x v="0"/>
    <x v="2"/>
    <x v="1205"/>
    <x v="1193"/>
    <x v="485"/>
    <x v="1"/>
    <x v="10"/>
    <x v="0"/>
    <x v="17"/>
    <x v="17"/>
    <x v="0"/>
    <x v="0"/>
    <x v="0"/>
    <x v="31"/>
    <x v="0"/>
    <x v="0"/>
    <x v="1"/>
    <x v="1"/>
  </r>
  <r>
    <x v="505"/>
    <x v="1"/>
    <x v="25"/>
    <x v="484"/>
    <x v="444"/>
    <x v="1204"/>
    <x v="1"/>
    <x v="0"/>
    <x v="488"/>
    <x v="0"/>
    <x v="0"/>
    <x v="0"/>
    <x v="0"/>
    <x v="0"/>
    <x v="2"/>
    <x v="1204"/>
    <x v="1192"/>
    <x v="484"/>
    <x v="1"/>
    <x v="10"/>
    <x v="0"/>
    <x v="17"/>
    <x v="17"/>
    <x v="0"/>
    <x v="0"/>
    <x v="0"/>
    <x v="31"/>
    <x v="0"/>
    <x v="0"/>
    <x v="1"/>
    <x v="1"/>
  </r>
  <r>
    <x v="504"/>
    <x v="1"/>
    <x v="25"/>
    <x v="483"/>
    <x v="443"/>
    <x v="1203"/>
    <x v="1"/>
    <x v="0"/>
    <x v="487"/>
    <x v="0"/>
    <x v="0"/>
    <x v="0"/>
    <x v="0"/>
    <x v="0"/>
    <x v="2"/>
    <x v="1203"/>
    <x v="1191"/>
    <x v="483"/>
    <x v="1"/>
    <x v="10"/>
    <x v="0"/>
    <x v="17"/>
    <x v="17"/>
    <x v="0"/>
    <x v="0"/>
    <x v="0"/>
    <x v="31"/>
    <x v="0"/>
    <x v="0"/>
    <x v="1"/>
    <x v="1"/>
  </r>
  <r>
    <x v="503"/>
    <x v="1"/>
    <x v="25"/>
    <x v="482"/>
    <x v="442"/>
    <x v="1202"/>
    <x v="1"/>
    <x v="0"/>
    <x v="486"/>
    <x v="0"/>
    <x v="0"/>
    <x v="0"/>
    <x v="0"/>
    <x v="0"/>
    <x v="2"/>
    <x v="1202"/>
    <x v="1190"/>
    <x v="482"/>
    <x v="1"/>
    <x v="10"/>
    <x v="0"/>
    <x v="17"/>
    <x v="17"/>
    <x v="0"/>
    <x v="0"/>
    <x v="0"/>
    <x v="31"/>
    <x v="0"/>
    <x v="0"/>
    <x v="1"/>
    <x v="1"/>
  </r>
  <r>
    <x v="502"/>
    <x v="1"/>
    <x v="25"/>
    <x v="481"/>
    <x v="441"/>
    <x v="1201"/>
    <x v="1"/>
    <x v="0"/>
    <x v="485"/>
    <x v="0"/>
    <x v="0"/>
    <x v="0"/>
    <x v="0"/>
    <x v="0"/>
    <x v="2"/>
    <x v="1201"/>
    <x v="1189"/>
    <x v="481"/>
    <x v="1"/>
    <x v="10"/>
    <x v="0"/>
    <x v="17"/>
    <x v="17"/>
    <x v="0"/>
    <x v="0"/>
    <x v="0"/>
    <x v="31"/>
    <x v="0"/>
    <x v="0"/>
    <x v="1"/>
    <x v="1"/>
  </r>
  <r>
    <x v="501"/>
    <x v="1"/>
    <x v="25"/>
    <x v="480"/>
    <x v="440"/>
    <x v="1200"/>
    <x v="1"/>
    <x v="0"/>
    <x v="484"/>
    <x v="0"/>
    <x v="0"/>
    <x v="0"/>
    <x v="0"/>
    <x v="0"/>
    <x v="2"/>
    <x v="1200"/>
    <x v="1188"/>
    <x v="480"/>
    <x v="1"/>
    <x v="10"/>
    <x v="0"/>
    <x v="17"/>
    <x v="17"/>
    <x v="0"/>
    <x v="0"/>
    <x v="0"/>
    <x v="31"/>
    <x v="0"/>
    <x v="0"/>
    <x v="1"/>
    <x v="1"/>
  </r>
  <r>
    <x v="500"/>
    <x v="1"/>
    <x v="25"/>
    <x v="479"/>
    <x v="439"/>
    <x v="1199"/>
    <x v="1"/>
    <x v="0"/>
    <x v="483"/>
    <x v="0"/>
    <x v="0"/>
    <x v="0"/>
    <x v="0"/>
    <x v="0"/>
    <x v="2"/>
    <x v="1199"/>
    <x v="1187"/>
    <x v="479"/>
    <x v="1"/>
    <x v="10"/>
    <x v="0"/>
    <x v="17"/>
    <x v="17"/>
    <x v="0"/>
    <x v="0"/>
    <x v="0"/>
    <x v="31"/>
    <x v="0"/>
    <x v="0"/>
    <x v="1"/>
    <x v="1"/>
  </r>
  <r>
    <x v="499"/>
    <x v="1"/>
    <x v="25"/>
    <x v="478"/>
    <x v="438"/>
    <x v="1198"/>
    <x v="1"/>
    <x v="0"/>
    <x v="482"/>
    <x v="0"/>
    <x v="0"/>
    <x v="0"/>
    <x v="0"/>
    <x v="0"/>
    <x v="2"/>
    <x v="1198"/>
    <x v="1186"/>
    <x v="478"/>
    <x v="1"/>
    <x v="10"/>
    <x v="0"/>
    <x v="17"/>
    <x v="17"/>
    <x v="0"/>
    <x v="0"/>
    <x v="0"/>
    <x v="31"/>
    <x v="0"/>
    <x v="0"/>
    <x v="1"/>
    <x v="1"/>
  </r>
  <r>
    <x v="498"/>
    <x v="1"/>
    <x v="25"/>
    <x v="477"/>
    <x v="437"/>
    <x v="1197"/>
    <x v="1"/>
    <x v="0"/>
    <x v="481"/>
    <x v="0"/>
    <x v="0"/>
    <x v="0"/>
    <x v="0"/>
    <x v="0"/>
    <x v="2"/>
    <x v="1197"/>
    <x v="1185"/>
    <x v="477"/>
    <x v="1"/>
    <x v="10"/>
    <x v="0"/>
    <x v="17"/>
    <x v="17"/>
    <x v="0"/>
    <x v="0"/>
    <x v="0"/>
    <x v="31"/>
    <x v="0"/>
    <x v="0"/>
    <x v="1"/>
    <x v="1"/>
  </r>
  <r>
    <x v="497"/>
    <x v="1"/>
    <x v="25"/>
    <x v="476"/>
    <x v="436"/>
    <x v="1196"/>
    <x v="1"/>
    <x v="0"/>
    <x v="480"/>
    <x v="0"/>
    <x v="0"/>
    <x v="0"/>
    <x v="0"/>
    <x v="0"/>
    <x v="2"/>
    <x v="1196"/>
    <x v="1184"/>
    <x v="476"/>
    <x v="1"/>
    <x v="10"/>
    <x v="0"/>
    <x v="17"/>
    <x v="17"/>
    <x v="0"/>
    <x v="0"/>
    <x v="0"/>
    <x v="31"/>
    <x v="0"/>
    <x v="0"/>
    <x v="1"/>
    <x v="1"/>
  </r>
  <r>
    <x v="496"/>
    <x v="1"/>
    <x v="25"/>
    <x v="475"/>
    <x v="435"/>
    <x v="1195"/>
    <x v="1"/>
    <x v="0"/>
    <x v="479"/>
    <x v="0"/>
    <x v="0"/>
    <x v="0"/>
    <x v="0"/>
    <x v="0"/>
    <x v="2"/>
    <x v="1195"/>
    <x v="1183"/>
    <x v="475"/>
    <x v="1"/>
    <x v="10"/>
    <x v="0"/>
    <x v="17"/>
    <x v="17"/>
    <x v="0"/>
    <x v="0"/>
    <x v="0"/>
    <x v="31"/>
    <x v="0"/>
    <x v="0"/>
    <x v="1"/>
    <x v="1"/>
  </r>
  <r>
    <x v="495"/>
    <x v="1"/>
    <x v="25"/>
    <x v="474"/>
    <x v="434"/>
    <x v="1194"/>
    <x v="1"/>
    <x v="0"/>
    <x v="478"/>
    <x v="0"/>
    <x v="0"/>
    <x v="0"/>
    <x v="0"/>
    <x v="0"/>
    <x v="2"/>
    <x v="1194"/>
    <x v="1182"/>
    <x v="474"/>
    <x v="1"/>
    <x v="10"/>
    <x v="0"/>
    <x v="17"/>
    <x v="17"/>
    <x v="0"/>
    <x v="0"/>
    <x v="0"/>
    <x v="31"/>
    <x v="0"/>
    <x v="0"/>
    <x v="1"/>
    <x v="1"/>
  </r>
  <r>
    <x v="494"/>
    <x v="1"/>
    <x v="25"/>
    <x v="473"/>
    <x v="433"/>
    <x v="1193"/>
    <x v="1"/>
    <x v="0"/>
    <x v="477"/>
    <x v="0"/>
    <x v="0"/>
    <x v="0"/>
    <x v="0"/>
    <x v="0"/>
    <x v="2"/>
    <x v="1193"/>
    <x v="1181"/>
    <x v="473"/>
    <x v="1"/>
    <x v="10"/>
    <x v="0"/>
    <x v="17"/>
    <x v="17"/>
    <x v="0"/>
    <x v="0"/>
    <x v="0"/>
    <x v="31"/>
    <x v="0"/>
    <x v="0"/>
    <x v="1"/>
    <x v="1"/>
  </r>
  <r>
    <x v="493"/>
    <x v="1"/>
    <x v="25"/>
    <x v="472"/>
    <x v="432"/>
    <x v="1192"/>
    <x v="1"/>
    <x v="0"/>
    <x v="476"/>
    <x v="0"/>
    <x v="0"/>
    <x v="0"/>
    <x v="0"/>
    <x v="0"/>
    <x v="2"/>
    <x v="1192"/>
    <x v="1180"/>
    <x v="472"/>
    <x v="1"/>
    <x v="10"/>
    <x v="0"/>
    <x v="17"/>
    <x v="17"/>
    <x v="0"/>
    <x v="0"/>
    <x v="0"/>
    <x v="31"/>
    <x v="0"/>
    <x v="0"/>
    <x v="1"/>
    <x v="1"/>
  </r>
  <r>
    <x v="492"/>
    <x v="1"/>
    <x v="25"/>
    <x v="471"/>
    <x v="431"/>
    <x v="1191"/>
    <x v="1"/>
    <x v="0"/>
    <x v="475"/>
    <x v="0"/>
    <x v="0"/>
    <x v="0"/>
    <x v="0"/>
    <x v="0"/>
    <x v="2"/>
    <x v="1191"/>
    <x v="1179"/>
    <x v="471"/>
    <x v="1"/>
    <x v="10"/>
    <x v="0"/>
    <x v="17"/>
    <x v="17"/>
    <x v="0"/>
    <x v="0"/>
    <x v="0"/>
    <x v="31"/>
    <x v="0"/>
    <x v="0"/>
    <x v="1"/>
    <x v="1"/>
  </r>
  <r>
    <x v="491"/>
    <x v="1"/>
    <x v="25"/>
    <x v="470"/>
    <x v="430"/>
    <x v="1190"/>
    <x v="1"/>
    <x v="0"/>
    <x v="474"/>
    <x v="0"/>
    <x v="0"/>
    <x v="0"/>
    <x v="0"/>
    <x v="0"/>
    <x v="2"/>
    <x v="1190"/>
    <x v="1178"/>
    <x v="470"/>
    <x v="1"/>
    <x v="10"/>
    <x v="0"/>
    <x v="17"/>
    <x v="17"/>
    <x v="0"/>
    <x v="0"/>
    <x v="0"/>
    <x v="31"/>
    <x v="0"/>
    <x v="0"/>
    <x v="1"/>
    <x v="1"/>
  </r>
  <r>
    <x v="490"/>
    <x v="1"/>
    <x v="25"/>
    <x v="469"/>
    <x v="429"/>
    <x v="1189"/>
    <x v="1"/>
    <x v="0"/>
    <x v="473"/>
    <x v="0"/>
    <x v="0"/>
    <x v="0"/>
    <x v="0"/>
    <x v="0"/>
    <x v="2"/>
    <x v="1189"/>
    <x v="1177"/>
    <x v="469"/>
    <x v="1"/>
    <x v="10"/>
    <x v="0"/>
    <x v="17"/>
    <x v="17"/>
    <x v="0"/>
    <x v="0"/>
    <x v="0"/>
    <x v="31"/>
    <x v="0"/>
    <x v="0"/>
    <x v="1"/>
    <x v="1"/>
  </r>
  <r>
    <x v="489"/>
    <x v="1"/>
    <x v="25"/>
    <x v="468"/>
    <x v="428"/>
    <x v="1188"/>
    <x v="1"/>
    <x v="0"/>
    <x v="472"/>
    <x v="0"/>
    <x v="0"/>
    <x v="0"/>
    <x v="0"/>
    <x v="0"/>
    <x v="2"/>
    <x v="1188"/>
    <x v="1176"/>
    <x v="468"/>
    <x v="1"/>
    <x v="10"/>
    <x v="0"/>
    <x v="17"/>
    <x v="17"/>
    <x v="0"/>
    <x v="0"/>
    <x v="0"/>
    <x v="31"/>
    <x v="0"/>
    <x v="0"/>
    <x v="1"/>
    <x v="1"/>
  </r>
  <r>
    <x v="488"/>
    <x v="1"/>
    <x v="25"/>
    <x v="467"/>
    <x v="427"/>
    <x v="1187"/>
    <x v="1"/>
    <x v="0"/>
    <x v="471"/>
    <x v="0"/>
    <x v="0"/>
    <x v="0"/>
    <x v="0"/>
    <x v="0"/>
    <x v="2"/>
    <x v="1187"/>
    <x v="1175"/>
    <x v="467"/>
    <x v="1"/>
    <x v="10"/>
    <x v="0"/>
    <x v="17"/>
    <x v="17"/>
    <x v="0"/>
    <x v="0"/>
    <x v="0"/>
    <x v="31"/>
    <x v="0"/>
    <x v="0"/>
    <x v="1"/>
    <x v="1"/>
  </r>
  <r>
    <x v="487"/>
    <x v="1"/>
    <x v="25"/>
    <x v="466"/>
    <x v="426"/>
    <x v="1186"/>
    <x v="1"/>
    <x v="0"/>
    <x v="470"/>
    <x v="0"/>
    <x v="0"/>
    <x v="0"/>
    <x v="0"/>
    <x v="0"/>
    <x v="2"/>
    <x v="1186"/>
    <x v="1174"/>
    <x v="466"/>
    <x v="1"/>
    <x v="10"/>
    <x v="0"/>
    <x v="17"/>
    <x v="17"/>
    <x v="0"/>
    <x v="0"/>
    <x v="0"/>
    <x v="31"/>
    <x v="0"/>
    <x v="0"/>
    <x v="1"/>
    <x v="1"/>
  </r>
  <r>
    <x v="486"/>
    <x v="1"/>
    <x v="25"/>
    <x v="465"/>
    <x v="425"/>
    <x v="1185"/>
    <x v="1"/>
    <x v="0"/>
    <x v="469"/>
    <x v="0"/>
    <x v="0"/>
    <x v="0"/>
    <x v="0"/>
    <x v="0"/>
    <x v="2"/>
    <x v="1185"/>
    <x v="1173"/>
    <x v="465"/>
    <x v="1"/>
    <x v="10"/>
    <x v="0"/>
    <x v="17"/>
    <x v="17"/>
    <x v="0"/>
    <x v="0"/>
    <x v="0"/>
    <x v="31"/>
    <x v="0"/>
    <x v="0"/>
    <x v="1"/>
    <x v="1"/>
  </r>
  <r>
    <x v="485"/>
    <x v="1"/>
    <x v="25"/>
    <x v="464"/>
    <x v="424"/>
    <x v="1184"/>
    <x v="1"/>
    <x v="0"/>
    <x v="468"/>
    <x v="0"/>
    <x v="0"/>
    <x v="0"/>
    <x v="0"/>
    <x v="0"/>
    <x v="2"/>
    <x v="1184"/>
    <x v="1172"/>
    <x v="464"/>
    <x v="1"/>
    <x v="10"/>
    <x v="0"/>
    <x v="17"/>
    <x v="17"/>
    <x v="0"/>
    <x v="0"/>
    <x v="0"/>
    <x v="31"/>
    <x v="0"/>
    <x v="0"/>
    <x v="1"/>
    <x v="1"/>
  </r>
  <r>
    <x v="484"/>
    <x v="1"/>
    <x v="25"/>
    <x v="463"/>
    <x v="423"/>
    <x v="1183"/>
    <x v="1"/>
    <x v="0"/>
    <x v="467"/>
    <x v="0"/>
    <x v="0"/>
    <x v="0"/>
    <x v="0"/>
    <x v="0"/>
    <x v="2"/>
    <x v="1183"/>
    <x v="1171"/>
    <x v="463"/>
    <x v="1"/>
    <x v="10"/>
    <x v="0"/>
    <x v="17"/>
    <x v="17"/>
    <x v="0"/>
    <x v="0"/>
    <x v="0"/>
    <x v="31"/>
    <x v="0"/>
    <x v="0"/>
    <x v="1"/>
    <x v="1"/>
  </r>
  <r>
    <x v="483"/>
    <x v="1"/>
    <x v="25"/>
    <x v="462"/>
    <x v="422"/>
    <x v="1182"/>
    <x v="1"/>
    <x v="0"/>
    <x v="466"/>
    <x v="0"/>
    <x v="0"/>
    <x v="0"/>
    <x v="0"/>
    <x v="0"/>
    <x v="2"/>
    <x v="1182"/>
    <x v="1170"/>
    <x v="462"/>
    <x v="1"/>
    <x v="10"/>
    <x v="0"/>
    <x v="17"/>
    <x v="17"/>
    <x v="0"/>
    <x v="0"/>
    <x v="0"/>
    <x v="31"/>
    <x v="0"/>
    <x v="0"/>
    <x v="1"/>
    <x v="1"/>
  </r>
  <r>
    <x v="482"/>
    <x v="1"/>
    <x v="25"/>
    <x v="461"/>
    <x v="421"/>
    <x v="1181"/>
    <x v="1"/>
    <x v="0"/>
    <x v="465"/>
    <x v="0"/>
    <x v="0"/>
    <x v="0"/>
    <x v="0"/>
    <x v="0"/>
    <x v="2"/>
    <x v="1181"/>
    <x v="1169"/>
    <x v="461"/>
    <x v="1"/>
    <x v="10"/>
    <x v="0"/>
    <x v="17"/>
    <x v="17"/>
    <x v="0"/>
    <x v="0"/>
    <x v="0"/>
    <x v="31"/>
    <x v="0"/>
    <x v="0"/>
    <x v="1"/>
    <x v="1"/>
  </r>
  <r>
    <x v="481"/>
    <x v="1"/>
    <x v="25"/>
    <x v="460"/>
    <x v="420"/>
    <x v="1180"/>
    <x v="1"/>
    <x v="0"/>
    <x v="464"/>
    <x v="0"/>
    <x v="0"/>
    <x v="0"/>
    <x v="0"/>
    <x v="0"/>
    <x v="2"/>
    <x v="1180"/>
    <x v="1168"/>
    <x v="460"/>
    <x v="1"/>
    <x v="10"/>
    <x v="0"/>
    <x v="17"/>
    <x v="17"/>
    <x v="0"/>
    <x v="0"/>
    <x v="0"/>
    <x v="31"/>
    <x v="0"/>
    <x v="0"/>
    <x v="1"/>
    <x v="1"/>
  </r>
  <r>
    <x v="480"/>
    <x v="1"/>
    <x v="25"/>
    <x v="459"/>
    <x v="419"/>
    <x v="1179"/>
    <x v="1"/>
    <x v="0"/>
    <x v="463"/>
    <x v="0"/>
    <x v="0"/>
    <x v="0"/>
    <x v="0"/>
    <x v="0"/>
    <x v="2"/>
    <x v="1179"/>
    <x v="1167"/>
    <x v="459"/>
    <x v="1"/>
    <x v="10"/>
    <x v="0"/>
    <x v="17"/>
    <x v="17"/>
    <x v="0"/>
    <x v="0"/>
    <x v="0"/>
    <x v="31"/>
    <x v="0"/>
    <x v="0"/>
    <x v="1"/>
    <x v="1"/>
  </r>
  <r>
    <x v="479"/>
    <x v="1"/>
    <x v="25"/>
    <x v="458"/>
    <x v="418"/>
    <x v="1178"/>
    <x v="1"/>
    <x v="0"/>
    <x v="462"/>
    <x v="0"/>
    <x v="0"/>
    <x v="0"/>
    <x v="0"/>
    <x v="0"/>
    <x v="2"/>
    <x v="1178"/>
    <x v="1166"/>
    <x v="458"/>
    <x v="1"/>
    <x v="10"/>
    <x v="0"/>
    <x v="17"/>
    <x v="17"/>
    <x v="0"/>
    <x v="0"/>
    <x v="0"/>
    <x v="31"/>
    <x v="0"/>
    <x v="0"/>
    <x v="1"/>
    <x v="1"/>
  </r>
  <r>
    <x v="478"/>
    <x v="1"/>
    <x v="25"/>
    <x v="457"/>
    <x v="417"/>
    <x v="1177"/>
    <x v="1"/>
    <x v="0"/>
    <x v="461"/>
    <x v="0"/>
    <x v="0"/>
    <x v="0"/>
    <x v="0"/>
    <x v="0"/>
    <x v="2"/>
    <x v="1177"/>
    <x v="1165"/>
    <x v="457"/>
    <x v="1"/>
    <x v="10"/>
    <x v="0"/>
    <x v="17"/>
    <x v="17"/>
    <x v="0"/>
    <x v="0"/>
    <x v="0"/>
    <x v="31"/>
    <x v="0"/>
    <x v="0"/>
    <x v="1"/>
    <x v="1"/>
  </r>
  <r>
    <x v="477"/>
    <x v="1"/>
    <x v="25"/>
    <x v="456"/>
    <x v="416"/>
    <x v="1176"/>
    <x v="1"/>
    <x v="0"/>
    <x v="460"/>
    <x v="0"/>
    <x v="0"/>
    <x v="0"/>
    <x v="0"/>
    <x v="0"/>
    <x v="2"/>
    <x v="1176"/>
    <x v="1164"/>
    <x v="456"/>
    <x v="1"/>
    <x v="10"/>
    <x v="0"/>
    <x v="17"/>
    <x v="17"/>
    <x v="0"/>
    <x v="0"/>
    <x v="0"/>
    <x v="31"/>
    <x v="0"/>
    <x v="0"/>
    <x v="1"/>
    <x v="1"/>
  </r>
  <r>
    <x v="476"/>
    <x v="1"/>
    <x v="25"/>
    <x v="455"/>
    <x v="415"/>
    <x v="1175"/>
    <x v="1"/>
    <x v="0"/>
    <x v="459"/>
    <x v="0"/>
    <x v="0"/>
    <x v="0"/>
    <x v="0"/>
    <x v="0"/>
    <x v="2"/>
    <x v="1175"/>
    <x v="1163"/>
    <x v="455"/>
    <x v="1"/>
    <x v="10"/>
    <x v="0"/>
    <x v="17"/>
    <x v="17"/>
    <x v="0"/>
    <x v="0"/>
    <x v="0"/>
    <x v="31"/>
    <x v="0"/>
    <x v="0"/>
    <x v="1"/>
    <x v="1"/>
  </r>
  <r>
    <x v="475"/>
    <x v="1"/>
    <x v="25"/>
    <x v="454"/>
    <x v="414"/>
    <x v="1174"/>
    <x v="1"/>
    <x v="0"/>
    <x v="458"/>
    <x v="0"/>
    <x v="0"/>
    <x v="0"/>
    <x v="0"/>
    <x v="0"/>
    <x v="2"/>
    <x v="1174"/>
    <x v="1162"/>
    <x v="454"/>
    <x v="1"/>
    <x v="10"/>
    <x v="0"/>
    <x v="17"/>
    <x v="17"/>
    <x v="0"/>
    <x v="0"/>
    <x v="0"/>
    <x v="31"/>
    <x v="0"/>
    <x v="0"/>
    <x v="1"/>
    <x v="1"/>
  </r>
  <r>
    <x v="474"/>
    <x v="1"/>
    <x v="25"/>
    <x v="453"/>
    <x v="413"/>
    <x v="1173"/>
    <x v="1"/>
    <x v="0"/>
    <x v="457"/>
    <x v="0"/>
    <x v="0"/>
    <x v="0"/>
    <x v="0"/>
    <x v="0"/>
    <x v="2"/>
    <x v="1173"/>
    <x v="1161"/>
    <x v="453"/>
    <x v="1"/>
    <x v="10"/>
    <x v="0"/>
    <x v="17"/>
    <x v="17"/>
    <x v="0"/>
    <x v="0"/>
    <x v="0"/>
    <x v="31"/>
    <x v="0"/>
    <x v="0"/>
    <x v="1"/>
    <x v="1"/>
  </r>
  <r>
    <x v="473"/>
    <x v="1"/>
    <x v="25"/>
    <x v="452"/>
    <x v="412"/>
    <x v="1172"/>
    <x v="1"/>
    <x v="0"/>
    <x v="456"/>
    <x v="0"/>
    <x v="0"/>
    <x v="0"/>
    <x v="0"/>
    <x v="0"/>
    <x v="2"/>
    <x v="1172"/>
    <x v="1160"/>
    <x v="452"/>
    <x v="1"/>
    <x v="10"/>
    <x v="0"/>
    <x v="17"/>
    <x v="17"/>
    <x v="0"/>
    <x v="0"/>
    <x v="0"/>
    <x v="31"/>
    <x v="0"/>
    <x v="0"/>
    <x v="1"/>
    <x v="1"/>
  </r>
  <r>
    <x v="472"/>
    <x v="1"/>
    <x v="25"/>
    <x v="451"/>
    <x v="411"/>
    <x v="1171"/>
    <x v="1"/>
    <x v="0"/>
    <x v="455"/>
    <x v="0"/>
    <x v="0"/>
    <x v="0"/>
    <x v="0"/>
    <x v="0"/>
    <x v="2"/>
    <x v="1171"/>
    <x v="1159"/>
    <x v="451"/>
    <x v="1"/>
    <x v="10"/>
    <x v="0"/>
    <x v="17"/>
    <x v="17"/>
    <x v="0"/>
    <x v="0"/>
    <x v="0"/>
    <x v="31"/>
    <x v="0"/>
    <x v="0"/>
    <x v="1"/>
    <x v="1"/>
  </r>
  <r>
    <x v="471"/>
    <x v="1"/>
    <x v="25"/>
    <x v="450"/>
    <x v="410"/>
    <x v="1170"/>
    <x v="1"/>
    <x v="0"/>
    <x v="454"/>
    <x v="0"/>
    <x v="0"/>
    <x v="0"/>
    <x v="0"/>
    <x v="0"/>
    <x v="2"/>
    <x v="1170"/>
    <x v="1158"/>
    <x v="450"/>
    <x v="1"/>
    <x v="10"/>
    <x v="0"/>
    <x v="17"/>
    <x v="17"/>
    <x v="0"/>
    <x v="0"/>
    <x v="0"/>
    <x v="31"/>
    <x v="0"/>
    <x v="0"/>
    <x v="1"/>
    <x v="1"/>
  </r>
  <r>
    <x v="470"/>
    <x v="1"/>
    <x v="25"/>
    <x v="449"/>
    <x v="409"/>
    <x v="1169"/>
    <x v="1"/>
    <x v="0"/>
    <x v="453"/>
    <x v="0"/>
    <x v="0"/>
    <x v="0"/>
    <x v="0"/>
    <x v="0"/>
    <x v="2"/>
    <x v="1169"/>
    <x v="1157"/>
    <x v="449"/>
    <x v="1"/>
    <x v="10"/>
    <x v="0"/>
    <x v="17"/>
    <x v="17"/>
    <x v="0"/>
    <x v="0"/>
    <x v="0"/>
    <x v="31"/>
    <x v="0"/>
    <x v="0"/>
    <x v="1"/>
    <x v="1"/>
  </r>
  <r>
    <x v="469"/>
    <x v="1"/>
    <x v="25"/>
    <x v="448"/>
    <x v="408"/>
    <x v="1168"/>
    <x v="1"/>
    <x v="0"/>
    <x v="452"/>
    <x v="0"/>
    <x v="0"/>
    <x v="0"/>
    <x v="0"/>
    <x v="0"/>
    <x v="2"/>
    <x v="1168"/>
    <x v="1156"/>
    <x v="448"/>
    <x v="1"/>
    <x v="10"/>
    <x v="0"/>
    <x v="17"/>
    <x v="17"/>
    <x v="0"/>
    <x v="0"/>
    <x v="0"/>
    <x v="31"/>
    <x v="0"/>
    <x v="0"/>
    <x v="1"/>
    <x v="1"/>
  </r>
  <r>
    <x v="468"/>
    <x v="1"/>
    <x v="25"/>
    <x v="447"/>
    <x v="407"/>
    <x v="1167"/>
    <x v="1"/>
    <x v="0"/>
    <x v="451"/>
    <x v="0"/>
    <x v="0"/>
    <x v="0"/>
    <x v="0"/>
    <x v="0"/>
    <x v="2"/>
    <x v="1167"/>
    <x v="1155"/>
    <x v="447"/>
    <x v="1"/>
    <x v="10"/>
    <x v="0"/>
    <x v="17"/>
    <x v="17"/>
    <x v="0"/>
    <x v="0"/>
    <x v="0"/>
    <x v="31"/>
    <x v="0"/>
    <x v="0"/>
    <x v="1"/>
    <x v="1"/>
  </r>
  <r>
    <x v="467"/>
    <x v="1"/>
    <x v="25"/>
    <x v="446"/>
    <x v="406"/>
    <x v="1166"/>
    <x v="1"/>
    <x v="0"/>
    <x v="450"/>
    <x v="0"/>
    <x v="0"/>
    <x v="0"/>
    <x v="0"/>
    <x v="0"/>
    <x v="2"/>
    <x v="1166"/>
    <x v="1154"/>
    <x v="446"/>
    <x v="1"/>
    <x v="10"/>
    <x v="0"/>
    <x v="17"/>
    <x v="17"/>
    <x v="0"/>
    <x v="0"/>
    <x v="0"/>
    <x v="31"/>
    <x v="0"/>
    <x v="0"/>
    <x v="1"/>
    <x v="1"/>
  </r>
  <r>
    <x v="466"/>
    <x v="1"/>
    <x v="25"/>
    <x v="445"/>
    <x v="405"/>
    <x v="1165"/>
    <x v="1"/>
    <x v="0"/>
    <x v="449"/>
    <x v="0"/>
    <x v="0"/>
    <x v="0"/>
    <x v="0"/>
    <x v="0"/>
    <x v="2"/>
    <x v="1165"/>
    <x v="1153"/>
    <x v="445"/>
    <x v="1"/>
    <x v="10"/>
    <x v="0"/>
    <x v="17"/>
    <x v="17"/>
    <x v="0"/>
    <x v="0"/>
    <x v="0"/>
    <x v="31"/>
    <x v="0"/>
    <x v="0"/>
    <x v="1"/>
    <x v="1"/>
  </r>
  <r>
    <x v="465"/>
    <x v="1"/>
    <x v="25"/>
    <x v="444"/>
    <x v="404"/>
    <x v="1164"/>
    <x v="1"/>
    <x v="0"/>
    <x v="448"/>
    <x v="0"/>
    <x v="0"/>
    <x v="0"/>
    <x v="0"/>
    <x v="0"/>
    <x v="2"/>
    <x v="1164"/>
    <x v="1152"/>
    <x v="444"/>
    <x v="1"/>
    <x v="10"/>
    <x v="0"/>
    <x v="17"/>
    <x v="17"/>
    <x v="0"/>
    <x v="0"/>
    <x v="0"/>
    <x v="31"/>
    <x v="0"/>
    <x v="0"/>
    <x v="1"/>
    <x v="1"/>
  </r>
  <r>
    <x v="463"/>
    <x v="1"/>
    <x v="25"/>
    <x v="443"/>
    <x v="1047"/>
    <x v="1262"/>
    <x v="1"/>
    <x v="0"/>
    <x v="446"/>
    <x v="0"/>
    <x v="0"/>
    <x v="0"/>
    <x v="0"/>
    <x v="0"/>
    <x v="2"/>
    <x v="1262"/>
    <x v="1250"/>
    <x v="443"/>
    <x v="1"/>
    <x v="10"/>
    <x v="0"/>
    <x v="17"/>
    <x v="17"/>
    <x v="0"/>
    <x v="0"/>
    <x v="0"/>
    <x v="24"/>
    <x v="0"/>
    <x v="0"/>
    <x v="1"/>
    <x v="1"/>
  </r>
  <r>
    <x v="380"/>
    <x v="1"/>
    <x v="25"/>
    <x v="363"/>
    <x v="825"/>
    <x v="443"/>
    <x v="1"/>
    <x v="0"/>
    <x v="363"/>
    <x v="0"/>
    <x v="0"/>
    <x v="0"/>
    <x v="0"/>
    <x v="0"/>
    <x v="3"/>
    <x v="443"/>
    <x v="432"/>
    <x v="363"/>
    <x v="2"/>
    <x v="10"/>
    <x v="0"/>
    <x v="2"/>
    <x v="15"/>
    <x v="0"/>
    <x v="0"/>
    <x v="0"/>
    <x v="19"/>
    <x v="0"/>
    <x v="0"/>
    <x v="1"/>
    <x v="1"/>
  </r>
  <r>
    <x v="381"/>
    <x v="1"/>
    <x v="25"/>
    <x v="364"/>
    <x v="840"/>
    <x v="446"/>
    <x v="1"/>
    <x v="0"/>
    <x v="364"/>
    <x v="0"/>
    <x v="0"/>
    <x v="0"/>
    <x v="0"/>
    <x v="0"/>
    <x v="3"/>
    <x v="446"/>
    <x v="435"/>
    <x v="364"/>
    <x v="2"/>
    <x v="10"/>
    <x v="0"/>
    <x v="2"/>
    <x v="15"/>
    <x v="0"/>
    <x v="0"/>
    <x v="0"/>
    <x v="19"/>
    <x v="0"/>
    <x v="0"/>
    <x v="1"/>
    <x v="1"/>
  </r>
  <r>
    <x v="382"/>
    <x v="1"/>
    <x v="25"/>
    <x v="365"/>
    <x v="829"/>
    <x v="444"/>
    <x v="1"/>
    <x v="0"/>
    <x v="365"/>
    <x v="0"/>
    <x v="0"/>
    <x v="0"/>
    <x v="0"/>
    <x v="0"/>
    <x v="3"/>
    <x v="444"/>
    <x v="433"/>
    <x v="365"/>
    <x v="2"/>
    <x v="10"/>
    <x v="0"/>
    <x v="2"/>
    <x v="15"/>
    <x v="0"/>
    <x v="0"/>
    <x v="0"/>
    <x v="19"/>
    <x v="0"/>
    <x v="0"/>
    <x v="1"/>
    <x v="1"/>
  </r>
  <r>
    <x v="383"/>
    <x v="1"/>
    <x v="25"/>
    <x v="366"/>
    <x v="805"/>
    <x v="441"/>
    <x v="1"/>
    <x v="0"/>
    <x v="366"/>
    <x v="0"/>
    <x v="0"/>
    <x v="0"/>
    <x v="0"/>
    <x v="0"/>
    <x v="3"/>
    <x v="441"/>
    <x v="430"/>
    <x v="366"/>
    <x v="2"/>
    <x v="10"/>
    <x v="0"/>
    <x v="2"/>
    <x v="15"/>
    <x v="0"/>
    <x v="0"/>
    <x v="0"/>
    <x v="19"/>
    <x v="0"/>
    <x v="0"/>
    <x v="1"/>
    <x v="1"/>
  </r>
  <r>
    <x v="431"/>
    <x v="1"/>
    <x v="25"/>
    <x v="367"/>
    <x v="812"/>
    <x v="442"/>
    <x v="1"/>
    <x v="0"/>
    <x v="414"/>
    <x v="0"/>
    <x v="0"/>
    <x v="0"/>
    <x v="0"/>
    <x v="0"/>
    <x v="3"/>
    <x v="442"/>
    <x v="431"/>
    <x v="367"/>
    <x v="2"/>
    <x v="10"/>
    <x v="0"/>
    <x v="2"/>
    <x v="15"/>
    <x v="0"/>
    <x v="0"/>
    <x v="0"/>
    <x v="19"/>
    <x v="0"/>
    <x v="0"/>
    <x v="1"/>
    <x v="1"/>
  </r>
  <r>
    <x v="384"/>
    <x v="1"/>
    <x v="25"/>
    <x v="368"/>
    <x v="832"/>
    <x v="445"/>
    <x v="1"/>
    <x v="0"/>
    <x v="367"/>
    <x v="0"/>
    <x v="0"/>
    <x v="0"/>
    <x v="0"/>
    <x v="0"/>
    <x v="3"/>
    <x v="445"/>
    <x v="434"/>
    <x v="368"/>
    <x v="2"/>
    <x v="10"/>
    <x v="0"/>
    <x v="2"/>
    <x v="15"/>
    <x v="0"/>
    <x v="0"/>
    <x v="0"/>
    <x v="19"/>
    <x v="0"/>
    <x v="0"/>
    <x v="1"/>
    <x v="1"/>
  </r>
  <r>
    <x v="432"/>
    <x v="1"/>
    <x v="25"/>
    <x v="369"/>
    <x v="850"/>
    <x v="447"/>
    <x v="1"/>
    <x v="0"/>
    <x v="415"/>
    <x v="0"/>
    <x v="0"/>
    <x v="0"/>
    <x v="0"/>
    <x v="0"/>
    <x v="3"/>
    <x v="447"/>
    <x v="436"/>
    <x v="369"/>
    <x v="2"/>
    <x v="10"/>
    <x v="0"/>
    <x v="2"/>
    <x v="15"/>
    <x v="0"/>
    <x v="0"/>
    <x v="0"/>
    <x v="19"/>
    <x v="0"/>
    <x v="0"/>
    <x v="1"/>
    <x v="1"/>
  </r>
  <r>
    <x v="385"/>
    <x v="1"/>
    <x v="25"/>
    <x v="370"/>
    <x v="938"/>
    <x v="453"/>
    <x v="1"/>
    <x v="0"/>
    <x v="368"/>
    <x v="0"/>
    <x v="0"/>
    <x v="0"/>
    <x v="0"/>
    <x v="0"/>
    <x v="3"/>
    <x v="453"/>
    <x v="442"/>
    <x v="370"/>
    <x v="2"/>
    <x v="10"/>
    <x v="0"/>
    <x v="2"/>
    <x v="15"/>
    <x v="0"/>
    <x v="0"/>
    <x v="0"/>
    <x v="19"/>
    <x v="0"/>
    <x v="0"/>
    <x v="1"/>
    <x v="1"/>
  </r>
  <r>
    <x v="386"/>
    <x v="1"/>
    <x v="25"/>
    <x v="371"/>
    <x v="927"/>
    <x v="452"/>
    <x v="1"/>
    <x v="0"/>
    <x v="369"/>
    <x v="0"/>
    <x v="0"/>
    <x v="0"/>
    <x v="0"/>
    <x v="0"/>
    <x v="3"/>
    <x v="452"/>
    <x v="441"/>
    <x v="371"/>
    <x v="2"/>
    <x v="10"/>
    <x v="0"/>
    <x v="2"/>
    <x v="15"/>
    <x v="0"/>
    <x v="0"/>
    <x v="0"/>
    <x v="19"/>
    <x v="0"/>
    <x v="0"/>
    <x v="1"/>
    <x v="1"/>
  </r>
  <r>
    <x v="387"/>
    <x v="1"/>
    <x v="25"/>
    <x v="372"/>
    <x v="945"/>
    <x v="454"/>
    <x v="1"/>
    <x v="0"/>
    <x v="370"/>
    <x v="0"/>
    <x v="0"/>
    <x v="0"/>
    <x v="0"/>
    <x v="0"/>
    <x v="3"/>
    <x v="454"/>
    <x v="443"/>
    <x v="372"/>
    <x v="2"/>
    <x v="10"/>
    <x v="0"/>
    <x v="2"/>
    <x v="15"/>
    <x v="0"/>
    <x v="0"/>
    <x v="0"/>
    <x v="19"/>
    <x v="0"/>
    <x v="0"/>
    <x v="1"/>
    <x v="1"/>
  </r>
  <r>
    <x v="433"/>
    <x v="1"/>
    <x v="25"/>
    <x v="373"/>
    <x v="919"/>
    <x v="450"/>
    <x v="1"/>
    <x v="0"/>
    <x v="416"/>
    <x v="0"/>
    <x v="0"/>
    <x v="0"/>
    <x v="0"/>
    <x v="0"/>
    <x v="3"/>
    <x v="450"/>
    <x v="439"/>
    <x v="373"/>
    <x v="2"/>
    <x v="10"/>
    <x v="0"/>
    <x v="2"/>
    <x v="15"/>
    <x v="0"/>
    <x v="0"/>
    <x v="0"/>
    <x v="19"/>
    <x v="0"/>
    <x v="0"/>
    <x v="1"/>
    <x v="1"/>
  </r>
  <r>
    <x v="388"/>
    <x v="1"/>
    <x v="25"/>
    <x v="374"/>
    <x v="925"/>
    <x v="451"/>
    <x v="1"/>
    <x v="0"/>
    <x v="371"/>
    <x v="0"/>
    <x v="0"/>
    <x v="0"/>
    <x v="0"/>
    <x v="0"/>
    <x v="3"/>
    <x v="451"/>
    <x v="440"/>
    <x v="374"/>
    <x v="2"/>
    <x v="10"/>
    <x v="0"/>
    <x v="2"/>
    <x v="15"/>
    <x v="0"/>
    <x v="0"/>
    <x v="0"/>
    <x v="19"/>
    <x v="0"/>
    <x v="0"/>
    <x v="1"/>
    <x v="1"/>
  </r>
  <r>
    <x v="434"/>
    <x v="1"/>
    <x v="25"/>
    <x v="375"/>
    <x v="501"/>
    <x v="414"/>
    <x v="1"/>
    <x v="0"/>
    <x v="417"/>
    <x v="0"/>
    <x v="0"/>
    <x v="0"/>
    <x v="0"/>
    <x v="0"/>
    <x v="3"/>
    <x v="414"/>
    <x v="403"/>
    <x v="375"/>
    <x v="2"/>
    <x v="10"/>
    <x v="0"/>
    <x v="2"/>
    <x v="15"/>
    <x v="0"/>
    <x v="0"/>
    <x v="0"/>
    <x v="19"/>
    <x v="0"/>
    <x v="0"/>
    <x v="1"/>
    <x v="1"/>
  </r>
  <r>
    <x v="389"/>
    <x v="1"/>
    <x v="25"/>
    <x v="376"/>
    <x v="480"/>
    <x v="413"/>
    <x v="1"/>
    <x v="0"/>
    <x v="372"/>
    <x v="0"/>
    <x v="0"/>
    <x v="0"/>
    <x v="0"/>
    <x v="0"/>
    <x v="3"/>
    <x v="413"/>
    <x v="402"/>
    <x v="376"/>
    <x v="2"/>
    <x v="10"/>
    <x v="0"/>
    <x v="2"/>
    <x v="15"/>
    <x v="0"/>
    <x v="0"/>
    <x v="0"/>
    <x v="19"/>
    <x v="0"/>
    <x v="0"/>
    <x v="1"/>
    <x v="1"/>
  </r>
  <r>
    <x v="435"/>
    <x v="1"/>
    <x v="25"/>
    <x v="377"/>
    <x v="457"/>
    <x v="412"/>
    <x v="1"/>
    <x v="0"/>
    <x v="418"/>
    <x v="0"/>
    <x v="0"/>
    <x v="0"/>
    <x v="0"/>
    <x v="0"/>
    <x v="3"/>
    <x v="412"/>
    <x v="401"/>
    <x v="377"/>
    <x v="2"/>
    <x v="10"/>
    <x v="0"/>
    <x v="2"/>
    <x v="15"/>
    <x v="0"/>
    <x v="0"/>
    <x v="0"/>
    <x v="19"/>
    <x v="0"/>
    <x v="0"/>
    <x v="1"/>
    <x v="1"/>
  </r>
  <r>
    <x v="436"/>
    <x v="1"/>
    <x v="25"/>
    <x v="378"/>
    <x v="150"/>
    <x v="387"/>
    <x v="1"/>
    <x v="0"/>
    <x v="419"/>
    <x v="0"/>
    <x v="0"/>
    <x v="0"/>
    <x v="0"/>
    <x v="0"/>
    <x v="3"/>
    <x v="387"/>
    <x v="376"/>
    <x v="378"/>
    <x v="2"/>
    <x v="10"/>
    <x v="0"/>
    <x v="2"/>
    <x v="15"/>
    <x v="0"/>
    <x v="0"/>
    <x v="0"/>
    <x v="19"/>
    <x v="0"/>
    <x v="0"/>
    <x v="1"/>
    <x v="1"/>
  </r>
  <r>
    <x v="390"/>
    <x v="1"/>
    <x v="25"/>
    <x v="379"/>
    <x v="172"/>
    <x v="394"/>
    <x v="1"/>
    <x v="0"/>
    <x v="373"/>
    <x v="0"/>
    <x v="0"/>
    <x v="0"/>
    <x v="0"/>
    <x v="0"/>
    <x v="3"/>
    <x v="394"/>
    <x v="383"/>
    <x v="379"/>
    <x v="2"/>
    <x v="10"/>
    <x v="0"/>
    <x v="2"/>
    <x v="15"/>
    <x v="0"/>
    <x v="0"/>
    <x v="0"/>
    <x v="19"/>
    <x v="0"/>
    <x v="0"/>
    <x v="1"/>
    <x v="1"/>
  </r>
  <r>
    <x v="391"/>
    <x v="1"/>
    <x v="25"/>
    <x v="380"/>
    <x v="169"/>
    <x v="393"/>
    <x v="1"/>
    <x v="0"/>
    <x v="374"/>
    <x v="0"/>
    <x v="0"/>
    <x v="0"/>
    <x v="0"/>
    <x v="0"/>
    <x v="3"/>
    <x v="393"/>
    <x v="382"/>
    <x v="380"/>
    <x v="2"/>
    <x v="10"/>
    <x v="0"/>
    <x v="2"/>
    <x v="15"/>
    <x v="0"/>
    <x v="0"/>
    <x v="0"/>
    <x v="19"/>
    <x v="0"/>
    <x v="0"/>
    <x v="1"/>
    <x v="1"/>
  </r>
  <r>
    <x v="392"/>
    <x v="1"/>
    <x v="25"/>
    <x v="381"/>
    <x v="160"/>
    <x v="390"/>
    <x v="1"/>
    <x v="0"/>
    <x v="375"/>
    <x v="0"/>
    <x v="0"/>
    <x v="0"/>
    <x v="0"/>
    <x v="0"/>
    <x v="3"/>
    <x v="390"/>
    <x v="379"/>
    <x v="381"/>
    <x v="2"/>
    <x v="10"/>
    <x v="0"/>
    <x v="2"/>
    <x v="15"/>
    <x v="0"/>
    <x v="0"/>
    <x v="0"/>
    <x v="19"/>
    <x v="0"/>
    <x v="0"/>
    <x v="1"/>
    <x v="1"/>
  </r>
  <r>
    <x v="393"/>
    <x v="1"/>
    <x v="25"/>
    <x v="382"/>
    <x v="145"/>
    <x v="386"/>
    <x v="1"/>
    <x v="0"/>
    <x v="376"/>
    <x v="0"/>
    <x v="0"/>
    <x v="0"/>
    <x v="0"/>
    <x v="0"/>
    <x v="3"/>
    <x v="386"/>
    <x v="375"/>
    <x v="382"/>
    <x v="2"/>
    <x v="10"/>
    <x v="0"/>
    <x v="2"/>
    <x v="15"/>
    <x v="0"/>
    <x v="0"/>
    <x v="0"/>
    <x v="19"/>
    <x v="0"/>
    <x v="0"/>
    <x v="1"/>
    <x v="1"/>
  </r>
  <r>
    <x v="394"/>
    <x v="1"/>
    <x v="25"/>
    <x v="383"/>
    <x v="154"/>
    <x v="388"/>
    <x v="1"/>
    <x v="0"/>
    <x v="377"/>
    <x v="0"/>
    <x v="0"/>
    <x v="0"/>
    <x v="0"/>
    <x v="0"/>
    <x v="3"/>
    <x v="388"/>
    <x v="377"/>
    <x v="383"/>
    <x v="2"/>
    <x v="10"/>
    <x v="0"/>
    <x v="2"/>
    <x v="15"/>
    <x v="0"/>
    <x v="0"/>
    <x v="0"/>
    <x v="19"/>
    <x v="0"/>
    <x v="0"/>
    <x v="1"/>
    <x v="1"/>
  </r>
  <r>
    <x v="395"/>
    <x v="1"/>
    <x v="25"/>
    <x v="384"/>
    <x v="137"/>
    <x v="384"/>
    <x v="1"/>
    <x v="0"/>
    <x v="378"/>
    <x v="0"/>
    <x v="0"/>
    <x v="0"/>
    <x v="0"/>
    <x v="0"/>
    <x v="3"/>
    <x v="384"/>
    <x v="373"/>
    <x v="384"/>
    <x v="2"/>
    <x v="10"/>
    <x v="0"/>
    <x v="2"/>
    <x v="15"/>
    <x v="0"/>
    <x v="0"/>
    <x v="0"/>
    <x v="19"/>
    <x v="0"/>
    <x v="0"/>
    <x v="1"/>
    <x v="1"/>
  </r>
  <r>
    <x v="396"/>
    <x v="1"/>
    <x v="25"/>
    <x v="385"/>
    <x v="163"/>
    <x v="391"/>
    <x v="1"/>
    <x v="0"/>
    <x v="379"/>
    <x v="0"/>
    <x v="0"/>
    <x v="0"/>
    <x v="0"/>
    <x v="0"/>
    <x v="3"/>
    <x v="391"/>
    <x v="380"/>
    <x v="385"/>
    <x v="2"/>
    <x v="10"/>
    <x v="0"/>
    <x v="2"/>
    <x v="15"/>
    <x v="0"/>
    <x v="0"/>
    <x v="0"/>
    <x v="19"/>
    <x v="0"/>
    <x v="0"/>
    <x v="1"/>
    <x v="1"/>
  </r>
  <r>
    <x v="397"/>
    <x v="1"/>
    <x v="25"/>
    <x v="386"/>
    <x v="166"/>
    <x v="392"/>
    <x v="1"/>
    <x v="0"/>
    <x v="380"/>
    <x v="0"/>
    <x v="0"/>
    <x v="0"/>
    <x v="0"/>
    <x v="0"/>
    <x v="3"/>
    <x v="392"/>
    <x v="381"/>
    <x v="386"/>
    <x v="2"/>
    <x v="10"/>
    <x v="0"/>
    <x v="2"/>
    <x v="15"/>
    <x v="0"/>
    <x v="0"/>
    <x v="0"/>
    <x v="19"/>
    <x v="0"/>
    <x v="0"/>
    <x v="1"/>
    <x v="1"/>
  </r>
  <r>
    <x v="398"/>
    <x v="1"/>
    <x v="25"/>
    <x v="387"/>
    <x v="140"/>
    <x v="385"/>
    <x v="1"/>
    <x v="0"/>
    <x v="381"/>
    <x v="0"/>
    <x v="0"/>
    <x v="0"/>
    <x v="0"/>
    <x v="0"/>
    <x v="3"/>
    <x v="385"/>
    <x v="374"/>
    <x v="387"/>
    <x v="2"/>
    <x v="10"/>
    <x v="0"/>
    <x v="2"/>
    <x v="15"/>
    <x v="0"/>
    <x v="0"/>
    <x v="0"/>
    <x v="19"/>
    <x v="0"/>
    <x v="0"/>
    <x v="1"/>
    <x v="1"/>
  </r>
  <r>
    <x v="399"/>
    <x v="1"/>
    <x v="25"/>
    <x v="388"/>
    <x v="157"/>
    <x v="389"/>
    <x v="1"/>
    <x v="0"/>
    <x v="382"/>
    <x v="0"/>
    <x v="0"/>
    <x v="0"/>
    <x v="0"/>
    <x v="0"/>
    <x v="3"/>
    <x v="389"/>
    <x v="378"/>
    <x v="388"/>
    <x v="2"/>
    <x v="10"/>
    <x v="0"/>
    <x v="2"/>
    <x v="15"/>
    <x v="0"/>
    <x v="0"/>
    <x v="0"/>
    <x v="19"/>
    <x v="0"/>
    <x v="0"/>
    <x v="1"/>
    <x v="1"/>
  </r>
  <r>
    <x v="437"/>
    <x v="1"/>
    <x v="25"/>
    <x v="389"/>
    <x v="386"/>
    <x v="409"/>
    <x v="1"/>
    <x v="0"/>
    <x v="420"/>
    <x v="0"/>
    <x v="0"/>
    <x v="0"/>
    <x v="0"/>
    <x v="0"/>
    <x v="3"/>
    <x v="409"/>
    <x v="398"/>
    <x v="389"/>
    <x v="2"/>
    <x v="10"/>
    <x v="0"/>
    <x v="2"/>
    <x v="15"/>
    <x v="0"/>
    <x v="0"/>
    <x v="0"/>
    <x v="19"/>
    <x v="0"/>
    <x v="0"/>
    <x v="1"/>
    <x v="1"/>
  </r>
  <r>
    <x v="438"/>
    <x v="1"/>
    <x v="25"/>
    <x v="390"/>
    <x v="380"/>
    <x v="408"/>
    <x v="1"/>
    <x v="0"/>
    <x v="421"/>
    <x v="0"/>
    <x v="0"/>
    <x v="0"/>
    <x v="0"/>
    <x v="0"/>
    <x v="3"/>
    <x v="408"/>
    <x v="397"/>
    <x v="390"/>
    <x v="2"/>
    <x v="10"/>
    <x v="0"/>
    <x v="2"/>
    <x v="15"/>
    <x v="0"/>
    <x v="0"/>
    <x v="0"/>
    <x v="19"/>
    <x v="0"/>
    <x v="0"/>
    <x v="1"/>
    <x v="1"/>
  </r>
  <r>
    <x v="439"/>
    <x v="1"/>
    <x v="25"/>
    <x v="391"/>
    <x v="399"/>
    <x v="411"/>
    <x v="1"/>
    <x v="0"/>
    <x v="422"/>
    <x v="0"/>
    <x v="0"/>
    <x v="0"/>
    <x v="0"/>
    <x v="0"/>
    <x v="3"/>
    <x v="411"/>
    <x v="400"/>
    <x v="391"/>
    <x v="2"/>
    <x v="10"/>
    <x v="0"/>
    <x v="2"/>
    <x v="15"/>
    <x v="0"/>
    <x v="0"/>
    <x v="0"/>
    <x v="19"/>
    <x v="0"/>
    <x v="0"/>
    <x v="1"/>
    <x v="1"/>
  </r>
  <r>
    <x v="440"/>
    <x v="1"/>
    <x v="25"/>
    <x v="392"/>
    <x v="393"/>
    <x v="410"/>
    <x v="1"/>
    <x v="0"/>
    <x v="423"/>
    <x v="0"/>
    <x v="0"/>
    <x v="0"/>
    <x v="0"/>
    <x v="0"/>
    <x v="3"/>
    <x v="410"/>
    <x v="399"/>
    <x v="392"/>
    <x v="2"/>
    <x v="10"/>
    <x v="0"/>
    <x v="2"/>
    <x v="15"/>
    <x v="0"/>
    <x v="0"/>
    <x v="0"/>
    <x v="19"/>
    <x v="0"/>
    <x v="0"/>
    <x v="1"/>
    <x v="1"/>
  </r>
  <r>
    <x v="400"/>
    <x v="1"/>
    <x v="25"/>
    <x v="393"/>
    <x v="362"/>
    <x v="407"/>
    <x v="1"/>
    <x v="0"/>
    <x v="383"/>
    <x v="0"/>
    <x v="0"/>
    <x v="0"/>
    <x v="0"/>
    <x v="0"/>
    <x v="3"/>
    <x v="407"/>
    <x v="396"/>
    <x v="393"/>
    <x v="2"/>
    <x v="10"/>
    <x v="0"/>
    <x v="2"/>
    <x v="15"/>
    <x v="0"/>
    <x v="0"/>
    <x v="0"/>
    <x v="19"/>
    <x v="0"/>
    <x v="0"/>
    <x v="1"/>
    <x v="1"/>
  </r>
  <r>
    <x v="401"/>
    <x v="1"/>
    <x v="25"/>
    <x v="394"/>
    <x v="652"/>
    <x v="422"/>
    <x v="1"/>
    <x v="0"/>
    <x v="384"/>
    <x v="0"/>
    <x v="0"/>
    <x v="0"/>
    <x v="0"/>
    <x v="0"/>
    <x v="3"/>
    <x v="422"/>
    <x v="411"/>
    <x v="394"/>
    <x v="2"/>
    <x v="10"/>
    <x v="0"/>
    <x v="2"/>
    <x v="15"/>
    <x v="0"/>
    <x v="0"/>
    <x v="0"/>
    <x v="19"/>
    <x v="0"/>
    <x v="0"/>
    <x v="1"/>
    <x v="1"/>
  </r>
  <r>
    <x v="441"/>
    <x v="1"/>
    <x v="25"/>
    <x v="395"/>
    <x v="658"/>
    <x v="424"/>
    <x v="1"/>
    <x v="0"/>
    <x v="424"/>
    <x v="0"/>
    <x v="0"/>
    <x v="0"/>
    <x v="0"/>
    <x v="0"/>
    <x v="3"/>
    <x v="424"/>
    <x v="413"/>
    <x v="395"/>
    <x v="2"/>
    <x v="10"/>
    <x v="0"/>
    <x v="2"/>
    <x v="15"/>
    <x v="0"/>
    <x v="0"/>
    <x v="0"/>
    <x v="19"/>
    <x v="0"/>
    <x v="0"/>
    <x v="1"/>
    <x v="1"/>
  </r>
  <r>
    <x v="402"/>
    <x v="1"/>
    <x v="25"/>
    <x v="396"/>
    <x v="675"/>
    <x v="426"/>
    <x v="1"/>
    <x v="0"/>
    <x v="385"/>
    <x v="0"/>
    <x v="0"/>
    <x v="0"/>
    <x v="0"/>
    <x v="0"/>
    <x v="3"/>
    <x v="426"/>
    <x v="415"/>
    <x v="396"/>
    <x v="2"/>
    <x v="10"/>
    <x v="0"/>
    <x v="2"/>
    <x v="15"/>
    <x v="0"/>
    <x v="0"/>
    <x v="0"/>
    <x v="19"/>
    <x v="0"/>
    <x v="0"/>
    <x v="1"/>
    <x v="1"/>
  </r>
  <r>
    <x v="442"/>
    <x v="1"/>
    <x v="25"/>
    <x v="397"/>
    <x v="666"/>
    <x v="425"/>
    <x v="1"/>
    <x v="0"/>
    <x v="425"/>
    <x v="0"/>
    <x v="0"/>
    <x v="0"/>
    <x v="0"/>
    <x v="0"/>
    <x v="3"/>
    <x v="425"/>
    <x v="414"/>
    <x v="397"/>
    <x v="2"/>
    <x v="10"/>
    <x v="0"/>
    <x v="2"/>
    <x v="15"/>
    <x v="0"/>
    <x v="0"/>
    <x v="0"/>
    <x v="19"/>
    <x v="0"/>
    <x v="0"/>
    <x v="1"/>
    <x v="1"/>
  </r>
  <r>
    <x v="403"/>
    <x v="1"/>
    <x v="25"/>
    <x v="398"/>
    <x v="654"/>
    <x v="423"/>
    <x v="1"/>
    <x v="0"/>
    <x v="386"/>
    <x v="0"/>
    <x v="0"/>
    <x v="0"/>
    <x v="0"/>
    <x v="0"/>
    <x v="3"/>
    <x v="423"/>
    <x v="412"/>
    <x v="398"/>
    <x v="2"/>
    <x v="10"/>
    <x v="0"/>
    <x v="2"/>
    <x v="15"/>
    <x v="0"/>
    <x v="0"/>
    <x v="0"/>
    <x v="19"/>
    <x v="0"/>
    <x v="0"/>
    <x v="1"/>
    <x v="1"/>
  </r>
  <r>
    <x v="404"/>
    <x v="1"/>
    <x v="25"/>
    <x v="399"/>
    <x v="324"/>
    <x v="404"/>
    <x v="1"/>
    <x v="0"/>
    <x v="387"/>
    <x v="0"/>
    <x v="0"/>
    <x v="0"/>
    <x v="0"/>
    <x v="0"/>
    <x v="3"/>
    <x v="404"/>
    <x v="393"/>
    <x v="399"/>
    <x v="2"/>
    <x v="10"/>
    <x v="0"/>
    <x v="2"/>
    <x v="15"/>
    <x v="0"/>
    <x v="0"/>
    <x v="0"/>
    <x v="19"/>
    <x v="0"/>
    <x v="0"/>
    <x v="1"/>
    <x v="1"/>
  </r>
  <r>
    <x v="405"/>
    <x v="1"/>
    <x v="25"/>
    <x v="400"/>
    <x v="328"/>
    <x v="405"/>
    <x v="1"/>
    <x v="0"/>
    <x v="388"/>
    <x v="0"/>
    <x v="0"/>
    <x v="0"/>
    <x v="0"/>
    <x v="0"/>
    <x v="3"/>
    <x v="405"/>
    <x v="394"/>
    <x v="400"/>
    <x v="2"/>
    <x v="10"/>
    <x v="0"/>
    <x v="2"/>
    <x v="15"/>
    <x v="0"/>
    <x v="0"/>
    <x v="0"/>
    <x v="19"/>
    <x v="0"/>
    <x v="0"/>
    <x v="1"/>
    <x v="1"/>
  </r>
  <r>
    <x v="406"/>
    <x v="1"/>
    <x v="25"/>
    <x v="401"/>
    <x v="341"/>
    <x v="406"/>
    <x v="1"/>
    <x v="0"/>
    <x v="389"/>
    <x v="0"/>
    <x v="0"/>
    <x v="0"/>
    <x v="0"/>
    <x v="0"/>
    <x v="3"/>
    <x v="406"/>
    <x v="395"/>
    <x v="401"/>
    <x v="2"/>
    <x v="10"/>
    <x v="0"/>
    <x v="2"/>
    <x v="15"/>
    <x v="0"/>
    <x v="0"/>
    <x v="0"/>
    <x v="19"/>
    <x v="0"/>
    <x v="0"/>
    <x v="1"/>
    <x v="1"/>
  </r>
  <r>
    <x v="407"/>
    <x v="1"/>
    <x v="25"/>
    <x v="402"/>
    <x v="228"/>
    <x v="397"/>
    <x v="1"/>
    <x v="0"/>
    <x v="390"/>
    <x v="0"/>
    <x v="0"/>
    <x v="0"/>
    <x v="0"/>
    <x v="0"/>
    <x v="3"/>
    <x v="397"/>
    <x v="386"/>
    <x v="402"/>
    <x v="2"/>
    <x v="10"/>
    <x v="0"/>
    <x v="2"/>
    <x v="15"/>
    <x v="0"/>
    <x v="0"/>
    <x v="0"/>
    <x v="19"/>
    <x v="0"/>
    <x v="0"/>
    <x v="1"/>
    <x v="1"/>
  </r>
  <r>
    <x v="408"/>
    <x v="1"/>
    <x v="25"/>
    <x v="403"/>
    <x v="218"/>
    <x v="396"/>
    <x v="1"/>
    <x v="0"/>
    <x v="391"/>
    <x v="0"/>
    <x v="0"/>
    <x v="0"/>
    <x v="0"/>
    <x v="0"/>
    <x v="3"/>
    <x v="396"/>
    <x v="385"/>
    <x v="403"/>
    <x v="2"/>
    <x v="10"/>
    <x v="0"/>
    <x v="2"/>
    <x v="15"/>
    <x v="0"/>
    <x v="0"/>
    <x v="0"/>
    <x v="19"/>
    <x v="0"/>
    <x v="0"/>
    <x v="1"/>
    <x v="1"/>
  </r>
  <r>
    <x v="409"/>
    <x v="1"/>
    <x v="25"/>
    <x v="404"/>
    <x v="237"/>
    <x v="398"/>
    <x v="1"/>
    <x v="0"/>
    <x v="392"/>
    <x v="0"/>
    <x v="0"/>
    <x v="0"/>
    <x v="0"/>
    <x v="0"/>
    <x v="3"/>
    <x v="398"/>
    <x v="387"/>
    <x v="404"/>
    <x v="2"/>
    <x v="10"/>
    <x v="0"/>
    <x v="2"/>
    <x v="15"/>
    <x v="0"/>
    <x v="0"/>
    <x v="0"/>
    <x v="19"/>
    <x v="0"/>
    <x v="0"/>
    <x v="1"/>
    <x v="1"/>
  </r>
  <r>
    <x v="410"/>
    <x v="1"/>
    <x v="25"/>
    <x v="405"/>
    <x v="785"/>
    <x v="440"/>
    <x v="1"/>
    <x v="0"/>
    <x v="393"/>
    <x v="0"/>
    <x v="0"/>
    <x v="0"/>
    <x v="0"/>
    <x v="0"/>
    <x v="3"/>
    <x v="440"/>
    <x v="429"/>
    <x v="405"/>
    <x v="2"/>
    <x v="10"/>
    <x v="0"/>
    <x v="2"/>
    <x v="15"/>
    <x v="0"/>
    <x v="0"/>
    <x v="0"/>
    <x v="19"/>
    <x v="0"/>
    <x v="0"/>
    <x v="1"/>
    <x v="1"/>
  </r>
  <r>
    <x v="411"/>
    <x v="1"/>
    <x v="25"/>
    <x v="406"/>
    <x v="777"/>
    <x v="439"/>
    <x v="1"/>
    <x v="0"/>
    <x v="394"/>
    <x v="0"/>
    <x v="0"/>
    <x v="0"/>
    <x v="0"/>
    <x v="0"/>
    <x v="3"/>
    <x v="439"/>
    <x v="428"/>
    <x v="406"/>
    <x v="2"/>
    <x v="10"/>
    <x v="0"/>
    <x v="2"/>
    <x v="15"/>
    <x v="0"/>
    <x v="0"/>
    <x v="0"/>
    <x v="19"/>
    <x v="0"/>
    <x v="0"/>
    <x v="1"/>
    <x v="1"/>
  </r>
  <r>
    <x v="443"/>
    <x v="1"/>
    <x v="25"/>
    <x v="407"/>
    <x v="552"/>
    <x v="416"/>
    <x v="1"/>
    <x v="0"/>
    <x v="426"/>
    <x v="0"/>
    <x v="0"/>
    <x v="0"/>
    <x v="0"/>
    <x v="0"/>
    <x v="3"/>
    <x v="416"/>
    <x v="405"/>
    <x v="407"/>
    <x v="2"/>
    <x v="10"/>
    <x v="0"/>
    <x v="2"/>
    <x v="15"/>
    <x v="0"/>
    <x v="0"/>
    <x v="0"/>
    <x v="19"/>
    <x v="0"/>
    <x v="0"/>
    <x v="1"/>
    <x v="1"/>
  </r>
  <r>
    <x v="444"/>
    <x v="1"/>
    <x v="25"/>
    <x v="408"/>
    <x v="576"/>
    <x v="420"/>
    <x v="1"/>
    <x v="0"/>
    <x v="427"/>
    <x v="0"/>
    <x v="0"/>
    <x v="0"/>
    <x v="0"/>
    <x v="0"/>
    <x v="3"/>
    <x v="420"/>
    <x v="409"/>
    <x v="408"/>
    <x v="2"/>
    <x v="10"/>
    <x v="0"/>
    <x v="2"/>
    <x v="15"/>
    <x v="0"/>
    <x v="0"/>
    <x v="0"/>
    <x v="19"/>
    <x v="0"/>
    <x v="0"/>
    <x v="1"/>
    <x v="1"/>
  </r>
  <r>
    <x v="412"/>
    <x v="1"/>
    <x v="25"/>
    <x v="409"/>
    <x v="546"/>
    <x v="415"/>
    <x v="1"/>
    <x v="0"/>
    <x v="395"/>
    <x v="0"/>
    <x v="0"/>
    <x v="0"/>
    <x v="0"/>
    <x v="0"/>
    <x v="3"/>
    <x v="415"/>
    <x v="404"/>
    <x v="409"/>
    <x v="2"/>
    <x v="10"/>
    <x v="0"/>
    <x v="2"/>
    <x v="15"/>
    <x v="0"/>
    <x v="0"/>
    <x v="0"/>
    <x v="19"/>
    <x v="0"/>
    <x v="0"/>
    <x v="1"/>
    <x v="1"/>
  </r>
  <r>
    <x v="413"/>
    <x v="1"/>
    <x v="25"/>
    <x v="410"/>
    <x v="572"/>
    <x v="419"/>
    <x v="1"/>
    <x v="0"/>
    <x v="396"/>
    <x v="0"/>
    <x v="0"/>
    <x v="0"/>
    <x v="0"/>
    <x v="0"/>
    <x v="3"/>
    <x v="419"/>
    <x v="408"/>
    <x v="410"/>
    <x v="2"/>
    <x v="10"/>
    <x v="0"/>
    <x v="2"/>
    <x v="15"/>
    <x v="0"/>
    <x v="0"/>
    <x v="0"/>
    <x v="19"/>
    <x v="0"/>
    <x v="0"/>
    <x v="1"/>
    <x v="1"/>
  </r>
  <r>
    <x v="414"/>
    <x v="1"/>
    <x v="25"/>
    <x v="411"/>
    <x v="579"/>
    <x v="421"/>
    <x v="1"/>
    <x v="0"/>
    <x v="397"/>
    <x v="0"/>
    <x v="0"/>
    <x v="0"/>
    <x v="0"/>
    <x v="0"/>
    <x v="3"/>
    <x v="421"/>
    <x v="410"/>
    <x v="411"/>
    <x v="2"/>
    <x v="10"/>
    <x v="0"/>
    <x v="2"/>
    <x v="15"/>
    <x v="0"/>
    <x v="0"/>
    <x v="0"/>
    <x v="19"/>
    <x v="0"/>
    <x v="0"/>
    <x v="1"/>
    <x v="1"/>
  </r>
  <r>
    <x v="415"/>
    <x v="1"/>
    <x v="25"/>
    <x v="412"/>
    <x v="556"/>
    <x v="417"/>
    <x v="1"/>
    <x v="0"/>
    <x v="398"/>
    <x v="0"/>
    <x v="0"/>
    <x v="0"/>
    <x v="0"/>
    <x v="0"/>
    <x v="3"/>
    <x v="417"/>
    <x v="406"/>
    <x v="412"/>
    <x v="2"/>
    <x v="10"/>
    <x v="0"/>
    <x v="2"/>
    <x v="15"/>
    <x v="0"/>
    <x v="0"/>
    <x v="0"/>
    <x v="19"/>
    <x v="0"/>
    <x v="0"/>
    <x v="1"/>
    <x v="1"/>
  </r>
  <r>
    <x v="445"/>
    <x v="1"/>
    <x v="25"/>
    <x v="413"/>
    <x v="570"/>
    <x v="418"/>
    <x v="1"/>
    <x v="0"/>
    <x v="428"/>
    <x v="0"/>
    <x v="0"/>
    <x v="0"/>
    <x v="0"/>
    <x v="0"/>
    <x v="3"/>
    <x v="418"/>
    <x v="407"/>
    <x v="413"/>
    <x v="2"/>
    <x v="10"/>
    <x v="0"/>
    <x v="2"/>
    <x v="15"/>
    <x v="0"/>
    <x v="0"/>
    <x v="0"/>
    <x v="19"/>
    <x v="0"/>
    <x v="0"/>
    <x v="1"/>
    <x v="1"/>
  </r>
  <r>
    <x v="416"/>
    <x v="1"/>
    <x v="25"/>
    <x v="414"/>
    <x v="719"/>
    <x v="434"/>
    <x v="1"/>
    <x v="0"/>
    <x v="399"/>
    <x v="0"/>
    <x v="0"/>
    <x v="0"/>
    <x v="0"/>
    <x v="0"/>
    <x v="3"/>
    <x v="434"/>
    <x v="423"/>
    <x v="414"/>
    <x v="2"/>
    <x v="10"/>
    <x v="0"/>
    <x v="2"/>
    <x v="15"/>
    <x v="0"/>
    <x v="0"/>
    <x v="0"/>
    <x v="19"/>
    <x v="0"/>
    <x v="0"/>
    <x v="1"/>
    <x v="1"/>
  </r>
  <r>
    <x v="446"/>
    <x v="1"/>
    <x v="25"/>
    <x v="415"/>
    <x v="707"/>
    <x v="431"/>
    <x v="1"/>
    <x v="0"/>
    <x v="429"/>
    <x v="0"/>
    <x v="0"/>
    <x v="0"/>
    <x v="0"/>
    <x v="0"/>
    <x v="3"/>
    <x v="431"/>
    <x v="420"/>
    <x v="415"/>
    <x v="2"/>
    <x v="10"/>
    <x v="0"/>
    <x v="2"/>
    <x v="15"/>
    <x v="0"/>
    <x v="0"/>
    <x v="0"/>
    <x v="19"/>
    <x v="0"/>
    <x v="0"/>
    <x v="1"/>
    <x v="1"/>
  </r>
  <r>
    <x v="447"/>
    <x v="1"/>
    <x v="25"/>
    <x v="416"/>
    <x v="703"/>
    <x v="430"/>
    <x v="1"/>
    <x v="0"/>
    <x v="430"/>
    <x v="0"/>
    <x v="0"/>
    <x v="0"/>
    <x v="0"/>
    <x v="0"/>
    <x v="3"/>
    <x v="430"/>
    <x v="419"/>
    <x v="416"/>
    <x v="2"/>
    <x v="10"/>
    <x v="0"/>
    <x v="2"/>
    <x v="15"/>
    <x v="0"/>
    <x v="0"/>
    <x v="0"/>
    <x v="19"/>
    <x v="0"/>
    <x v="0"/>
    <x v="1"/>
    <x v="1"/>
  </r>
  <r>
    <x v="417"/>
    <x v="1"/>
    <x v="25"/>
    <x v="417"/>
    <x v="716"/>
    <x v="433"/>
    <x v="1"/>
    <x v="0"/>
    <x v="400"/>
    <x v="0"/>
    <x v="0"/>
    <x v="0"/>
    <x v="0"/>
    <x v="0"/>
    <x v="3"/>
    <x v="433"/>
    <x v="422"/>
    <x v="417"/>
    <x v="2"/>
    <x v="10"/>
    <x v="0"/>
    <x v="2"/>
    <x v="15"/>
    <x v="0"/>
    <x v="0"/>
    <x v="0"/>
    <x v="19"/>
    <x v="0"/>
    <x v="0"/>
    <x v="1"/>
    <x v="1"/>
  </r>
  <r>
    <x v="418"/>
    <x v="1"/>
    <x v="25"/>
    <x v="418"/>
    <x v="692"/>
    <x v="428"/>
    <x v="1"/>
    <x v="0"/>
    <x v="401"/>
    <x v="0"/>
    <x v="0"/>
    <x v="0"/>
    <x v="0"/>
    <x v="0"/>
    <x v="3"/>
    <x v="428"/>
    <x v="417"/>
    <x v="418"/>
    <x v="2"/>
    <x v="10"/>
    <x v="0"/>
    <x v="2"/>
    <x v="15"/>
    <x v="0"/>
    <x v="0"/>
    <x v="0"/>
    <x v="19"/>
    <x v="0"/>
    <x v="0"/>
    <x v="1"/>
    <x v="1"/>
  </r>
  <r>
    <x v="419"/>
    <x v="1"/>
    <x v="25"/>
    <x v="419"/>
    <x v="696"/>
    <x v="429"/>
    <x v="1"/>
    <x v="0"/>
    <x v="402"/>
    <x v="0"/>
    <x v="0"/>
    <x v="0"/>
    <x v="0"/>
    <x v="0"/>
    <x v="3"/>
    <x v="429"/>
    <x v="418"/>
    <x v="419"/>
    <x v="2"/>
    <x v="10"/>
    <x v="0"/>
    <x v="2"/>
    <x v="15"/>
    <x v="0"/>
    <x v="0"/>
    <x v="0"/>
    <x v="19"/>
    <x v="0"/>
    <x v="0"/>
    <x v="1"/>
    <x v="1"/>
  </r>
  <r>
    <x v="420"/>
    <x v="1"/>
    <x v="25"/>
    <x v="420"/>
    <x v="730"/>
    <x v="437"/>
    <x v="1"/>
    <x v="0"/>
    <x v="403"/>
    <x v="0"/>
    <x v="0"/>
    <x v="0"/>
    <x v="0"/>
    <x v="0"/>
    <x v="3"/>
    <x v="437"/>
    <x v="426"/>
    <x v="420"/>
    <x v="2"/>
    <x v="10"/>
    <x v="0"/>
    <x v="2"/>
    <x v="15"/>
    <x v="0"/>
    <x v="0"/>
    <x v="0"/>
    <x v="19"/>
    <x v="0"/>
    <x v="0"/>
    <x v="1"/>
    <x v="1"/>
  </r>
  <r>
    <x v="421"/>
    <x v="1"/>
    <x v="25"/>
    <x v="421"/>
    <x v="728"/>
    <x v="436"/>
    <x v="1"/>
    <x v="0"/>
    <x v="404"/>
    <x v="0"/>
    <x v="0"/>
    <x v="0"/>
    <x v="0"/>
    <x v="0"/>
    <x v="3"/>
    <x v="436"/>
    <x v="425"/>
    <x v="421"/>
    <x v="2"/>
    <x v="10"/>
    <x v="0"/>
    <x v="2"/>
    <x v="15"/>
    <x v="0"/>
    <x v="0"/>
    <x v="0"/>
    <x v="19"/>
    <x v="0"/>
    <x v="0"/>
    <x v="1"/>
    <x v="1"/>
  </r>
  <r>
    <x v="422"/>
    <x v="1"/>
    <x v="25"/>
    <x v="422"/>
    <x v="683"/>
    <x v="427"/>
    <x v="1"/>
    <x v="0"/>
    <x v="405"/>
    <x v="0"/>
    <x v="0"/>
    <x v="0"/>
    <x v="0"/>
    <x v="0"/>
    <x v="3"/>
    <x v="427"/>
    <x v="416"/>
    <x v="422"/>
    <x v="2"/>
    <x v="10"/>
    <x v="0"/>
    <x v="2"/>
    <x v="15"/>
    <x v="0"/>
    <x v="0"/>
    <x v="0"/>
    <x v="19"/>
    <x v="0"/>
    <x v="0"/>
    <x v="1"/>
    <x v="1"/>
  </r>
  <r>
    <x v="448"/>
    <x v="1"/>
    <x v="25"/>
    <x v="423"/>
    <x v="713"/>
    <x v="432"/>
    <x v="1"/>
    <x v="0"/>
    <x v="431"/>
    <x v="0"/>
    <x v="0"/>
    <x v="0"/>
    <x v="0"/>
    <x v="0"/>
    <x v="3"/>
    <x v="432"/>
    <x v="421"/>
    <x v="423"/>
    <x v="2"/>
    <x v="10"/>
    <x v="0"/>
    <x v="2"/>
    <x v="15"/>
    <x v="0"/>
    <x v="0"/>
    <x v="0"/>
    <x v="19"/>
    <x v="0"/>
    <x v="0"/>
    <x v="1"/>
    <x v="1"/>
  </r>
  <r>
    <x v="449"/>
    <x v="1"/>
    <x v="25"/>
    <x v="424"/>
    <x v="736"/>
    <x v="438"/>
    <x v="1"/>
    <x v="0"/>
    <x v="432"/>
    <x v="0"/>
    <x v="0"/>
    <x v="0"/>
    <x v="0"/>
    <x v="0"/>
    <x v="3"/>
    <x v="438"/>
    <x v="427"/>
    <x v="424"/>
    <x v="2"/>
    <x v="10"/>
    <x v="0"/>
    <x v="2"/>
    <x v="15"/>
    <x v="0"/>
    <x v="0"/>
    <x v="0"/>
    <x v="19"/>
    <x v="0"/>
    <x v="0"/>
    <x v="1"/>
    <x v="1"/>
  </r>
  <r>
    <x v="450"/>
    <x v="1"/>
    <x v="25"/>
    <x v="425"/>
    <x v="722"/>
    <x v="435"/>
    <x v="1"/>
    <x v="0"/>
    <x v="433"/>
    <x v="0"/>
    <x v="0"/>
    <x v="0"/>
    <x v="0"/>
    <x v="0"/>
    <x v="3"/>
    <x v="435"/>
    <x v="424"/>
    <x v="425"/>
    <x v="2"/>
    <x v="10"/>
    <x v="0"/>
    <x v="2"/>
    <x v="15"/>
    <x v="0"/>
    <x v="0"/>
    <x v="0"/>
    <x v="19"/>
    <x v="0"/>
    <x v="0"/>
    <x v="1"/>
    <x v="1"/>
  </r>
  <r>
    <x v="423"/>
    <x v="1"/>
    <x v="25"/>
    <x v="426"/>
    <x v="278"/>
    <x v="401"/>
    <x v="1"/>
    <x v="0"/>
    <x v="406"/>
    <x v="0"/>
    <x v="0"/>
    <x v="0"/>
    <x v="0"/>
    <x v="0"/>
    <x v="3"/>
    <x v="401"/>
    <x v="390"/>
    <x v="426"/>
    <x v="2"/>
    <x v="10"/>
    <x v="0"/>
    <x v="2"/>
    <x v="15"/>
    <x v="0"/>
    <x v="0"/>
    <x v="0"/>
    <x v="19"/>
    <x v="0"/>
    <x v="0"/>
    <x v="1"/>
    <x v="1"/>
  </r>
  <r>
    <x v="451"/>
    <x v="1"/>
    <x v="25"/>
    <x v="427"/>
    <x v="268"/>
    <x v="400"/>
    <x v="1"/>
    <x v="0"/>
    <x v="434"/>
    <x v="0"/>
    <x v="0"/>
    <x v="0"/>
    <x v="0"/>
    <x v="0"/>
    <x v="3"/>
    <x v="400"/>
    <x v="389"/>
    <x v="427"/>
    <x v="2"/>
    <x v="10"/>
    <x v="0"/>
    <x v="2"/>
    <x v="15"/>
    <x v="0"/>
    <x v="0"/>
    <x v="0"/>
    <x v="19"/>
    <x v="0"/>
    <x v="0"/>
    <x v="1"/>
    <x v="1"/>
  </r>
  <r>
    <x v="452"/>
    <x v="1"/>
    <x v="25"/>
    <x v="428"/>
    <x v="263"/>
    <x v="399"/>
    <x v="1"/>
    <x v="0"/>
    <x v="435"/>
    <x v="0"/>
    <x v="0"/>
    <x v="0"/>
    <x v="0"/>
    <x v="0"/>
    <x v="3"/>
    <x v="399"/>
    <x v="388"/>
    <x v="428"/>
    <x v="2"/>
    <x v="10"/>
    <x v="0"/>
    <x v="2"/>
    <x v="15"/>
    <x v="0"/>
    <x v="0"/>
    <x v="0"/>
    <x v="19"/>
    <x v="0"/>
    <x v="0"/>
    <x v="1"/>
    <x v="1"/>
  </r>
  <r>
    <x v="453"/>
    <x v="1"/>
    <x v="25"/>
    <x v="429"/>
    <x v="286"/>
    <x v="402"/>
    <x v="1"/>
    <x v="0"/>
    <x v="436"/>
    <x v="0"/>
    <x v="0"/>
    <x v="0"/>
    <x v="0"/>
    <x v="0"/>
    <x v="3"/>
    <x v="402"/>
    <x v="391"/>
    <x v="429"/>
    <x v="2"/>
    <x v="10"/>
    <x v="0"/>
    <x v="2"/>
    <x v="15"/>
    <x v="0"/>
    <x v="0"/>
    <x v="0"/>
    <x v="19"/>
    <x v="0"/>
    <x v="0"/>
    <x v="1"/>
    <x v="1"/>
  </r>
  <r>
    <x v="454"/>
    <x v="1"/>
    <x v="25"/>
    <x v="430"/>
    <x v="300"/>
    <x v="403"/>
    <x v="1"/>
    <x v="0"/>
    <x v="437"/>
    <x v="0"/>
    <x v="0"/>
    <x v="0"/>
    <x v="0"/>
    <x v="0"/>
    <x v="3"/>
    <x v="403"/>
    <x v="392"/>
    <x v="430"/>
    <x v="2"/>
    <x v="10"/>
    <x v="0"/>
    <x v="2"/>
    <x v="15"/>
    <x v="0"/>
    <x v="0"/>
    <x v="0"/>
    <x v="19"/>
    <x v="0"/>
    <x v="0"/>
    <x v="1"/>
    <x v="1"/>
  </r>
  <r>
    <x v="455"/>
    <x v="1"/>
    <x v="25"/>
    <x v="431"/>
    <x v="182"/>
    <x v="395"/>
    <x v="1"/>
    <x v="0"/>
    <x v="438"/>
    <x v="0"/>
    <x v="0"/>
    <x v="0"/>
    <x v="0"/>
    <x v="0"/>
    <x v="3"/>
    <x v="395"/>
    <x v="384"/>
    <x v="431"/>
    <x v="2"/>
    <x v="10"/>
    <x v="0"/>
    <x v="2"/>
    <x v="15"/>
    <x v="0"/>
    <x v="0"/>
    <x v="0"/>
    <x v="19"/>
    <x v="0"/>
    <x v="0"/>
    <x v="1"/>
    <x v="1"/>
  </r>
  <r>
    <x v="424"/>
    <x v="1"/>
    <x v="25"/>
    <x v="432"/>
    <x v="895"/>
    <x v="448"/>
    <x v="1"/>
    <x v="0"/>
    <x v="407"/>
    <x v="0"/>
    <x v="0"/>
    <x v="0"/>
    <x v="0"/>
    <x v="0"/>
    <x v="3"/>
    <x v="448"/>
    <x v="437"/>
    <x v="432"/>
    <x v="2"/>
    <x v="10"/>
    <x v="0"/>
    <x v="2"/>
    <x v="15"/>
    <x v="0"/>
    <x v="0"/>
    <x v="0"/>
    <x v="19"/>
    <x v="0"/>
    <x v="0"/>
    <x v="1"/>
    <x v="1"/>
  </r>
  <r>
    <x v="456"/>
    <x v="1"/>
    <x v="25"/>
    <x v="433"/>
    <x v="897"/>
    <x v="449"/>
    <x v="1"/>
    <x v="0"/>
    <x v="439"/>
    <x v="0"/>
    <x v="0"/>
    <x v="0"/>
    <x v="0"/>
    <x v="0"/>
    <x v="3"/>
    <x v="449"/>
    <x v="438"/>
    <x v="433"/>
    <x v="2"/>
    <x v="10"/>
    <x v="0"/>
    <x v="2"/>
    <x v="15"/>
    <x v="0"/>
    <x v="0"/>
    <x v="0"/>
    <x v="19"/>
    <x v="0"/>
    <x v="0"/>
    <x v="1"/>
    <x v="1"/>
  </r>
  <r>
    <x v="425"/>
    <x v="1"/>
    <x v="25"/>
    <x v="434"/>
    <x v="983"/>
    <x v="460"/>
    <x v="1"/>
    <x v="0"/>
    <x v="408"/>
    <x v="0"/>
    <x v="0"/>
    <x v="0"/>
    <x v="0"/>
    <x v="0"/>
    <x v="3"/>
    <x v="460"/>
    <x v="449"/>
    <x v="434"/>
    <x v="2"/>
    <x v="10"/>
    <x v="0"/>
    <x v="2"/>
    <x v="15"/>
    <x v="0"/>
    <x v="0"/>
    <x v="0"/>
    <x v="19"/>
    <x v="0"/>
    <x v="0"/>
    <x v="1"/>
    <x v="1"/>
  </r>
  <r>
    <x v="426"/>
    <x v="1"/>
    <x v="25"/>
    <x v="435"/>
    <x v="970"/>
    <x v="456"/>
    <x v="1"/>
    <x v="0"/>
    <x v="409"/>
    <x v="0"/>
    <x v="0"/>
    <x v="0"/>
    <x v="0"/>
    <x v="0"/>
    <x v="3"/>
    <x v="456"/>
    <x v="445"/>
    <x v="435"/>
    <x v="2"/>
    <x v="10"/>
    <x v="0"/>
    <x v="2"/>
    <x v="15"/>
    <x v="0"/>
    <x v="0"/>
    <x v="0"/>
    <x v="19"/>
    <x v="0"/>
    <x v="0"/>
    <x v="1"/>
    <x v="1"/>
  </r>
  <r>
    <x v="427"/>
    <x v="1"/>
    <x v="25"/>
    <x v="436"/>
    <x v="987"/>
    <x v="462"/>
    <x v="1"/>
    <x v="0"/>
    <x v="410"/>
    <x v="0"/>
    <x v="0"/>
    <x v="0"/>
    <x v="0"/>
    <x v="0"/>
    <x v="3"/>
    <x v="462"/>
    <x v="451"/>
    <x v="436"/>
    <x v="2"/>
    <x v="10"/>
    <x v="0"/>
    <x v="2"/>
    <x v="15"/>
    <x v="0"/>
    <x v="0"/>
    <x v="0"/>
    <x v="19"/>
    <x v="0"/>
    <x v="0"/>
    <x v="1"/>
    <x v="1"/>
  </r>
  <r>
    <x v="428"/>
    <x v="1"/>
    <x v="25"/>
    <x v="437"/>
    <x v="973"/>
    <x v="457"/>
    <x v="1"/>
    <x v="0"/>
    <x v="411"/>
    <x v="0"/>
    <x v="0"/>
    <x v="0"/>
    <x v="0"/>
    <x v="0"/>
    <x v="3"/>
    <x v="457"/>
    <x v="446"/>
    <x v="437"/>
    <x v="2"/>
    <x v="10"/>
    <x v="0"/>
    <x v="2"/>
    <x v="15"/>
    <x v="0"/>
    <x v="0"/>
    <x v="0"/>
    <x v="19"/>
    <x v="0"/>
    <x v="0"/>
    <x v="1"/>
    <x v="1"/>
  </r>
  <r>
    <x v="429"/>
    <x v="1"/>
    <x v="25"/>
    <x v="438"/>
    <x v="976"/>
    <x v="458"/>
    <x v="1"/>
    <x v="0"/>
    <x v="412"/>
    <x v="0"/>
    <x v="0"/>
    <x v="0"/>
    <x v="0"/>
    <x v="0"/>
    <x v="3"/>
    <x v="458"/>
    <x v="447"/>
    <x v="438"/>
    <x v="2"/>
    <x v="10"/>
    <x v="0"/>
    <x v="2"/>
    <x v="15"/>
    <x v="0"/>
    <x v="0"/>
    <x v="0"/>
    <x v="19"/>
    <x v="0"/>
    <x v="0"/>
    <x v="1"/>
    <x v="1"/>
  </r>
  <r>
    <x v="430"/>
    <x v="1"/>
    <x v="25"/>
    <x v="439"/>
    <x v="968"/>
    <x v="455"/>
    <x v="1"/>
    <x v="0"/>
    <x v="413"/>
    <x v="0"/>
    <x v="0"/>
    <x v="0"/>
    <x v="0"/>
    <x v="0"/>
    <x v="3"/>
    <x v="455"/>
    <x v="444"/>
    <x v="439"/>
    <x v="2"/>
    <x v="10"/>
    <x v="0"/>
    <x v="2"/>
    <x v="15"/>
    <x v="0"/>
    <x v="0"/>
    <x v="0"/>
    <x v="19"/>
    <x v="0"/>
    <x v="0"/>
    <x v="1"/>
    <x v="1"/>
  </r>
  <r>
    <x v="457"/>
    <x v="1"/>
    <x v="25"/>
    <x v="440"/>
    <x v="980"/>
    <x v="459"/>
    <x v="1"/>
    <x v="0"/>
    <x v="440"/>
    <x v="0"/>
    <x v="0"/>
    <x v="0"/>
    <x v="0"/>
    <x v="0"/>
    <x v="3"/>
    <x v="459"/>
    <x v="448"/>
    <x v="440"/>
    <x v="2"/>
    <x v="10"/>
    <x v="0"/>
    <x v="2"/>
    <x v="15"/>
    <x v="0"/>
    <x v="0"/>
    <x v="0"/>
    <x v="19"/>
    <x v="0"/>
    <x v="0"/>
    <x v="1"/>
    <x v="1"/>
  </r>
  <r>
    <x v="458"/>
    <x v="1"/>
    <x v="25"/>
    <x v="441"/>
    <x v="985"/>
    <x v="461"/>
    <x v="1"/>
    <x v="0"/>
    <x v="441"/>
    <x v="0"/>
    <x v="0"/>
    <x v="0"/>
    <x v="0"/>
    <x v="0"/>
    <x v="3"/>
    <x v="461"/>
    <x v="450"/>
    <x v="441"/>
    <x v="2"/>
    <x v="10"/>
    <x v="0"/>
    <x v="2"/>
    <x v="15"/>
    <x v="0"/>
    <x v="0"/>
    <x v="0"/>
    <x v="19"/>
    <x v="0"/>
    <x v="0"/>
    <x v="1"/>
    <x v="1"/>
  </r>
  <r>
    <x v="378"/>
    <x v="1"/>
    <x v="25"/>
    <x v="362"/>
    <x v="120"/>
    <x v="464"/>
    <x v="1"/>
    <x v="0"/>
    <x v="361"/>
    <x v="0"/>
    <x v="0"/>
    <x v="0"/>
    <x v="0"/>
    <x v="0"/>
    <x v="1"/>
    <x v="464"/>
    <x v="453"/>
    <x v="362"/>
    <x v="2"/>
    <x v="10"/>
    <x v="0"/>
    <x v="3"/>
    <x v="14"/>
    <x v="0"/>
    <x v="0"/>
    <x v="0"/>
    <x v="20"/>
    <x v="0"/>
    <x v="0"/>
    <x v="1"/>
    <x v="1"/>
  </r>
  <r>
    <x v="93"/>
    <x v="0"/>
    <x v="6"/>
    <x v="50"/>
    <x v="1350"/>
    <x v="20"/>
    <x v="1"/>
    <x v="0"/>
    <x v="90"/>
    <x v="0"/>
    <x v="0"/>
    <x v="0"/>
    <x v="0"/>
    <x v="0"/>
    <x v="5"/>
    <x v="20"/>
    <x v="16"/>
    <x v="50"/>
    <x v="3"/>
    <x v="10"/>
    <x v="0"/>
    <x v="4"/>
    <x v="3"/>
    <x v="0"/>
    <x v="0"/>
    <x v="0"/>
    <x v="3"/>
    <x v="0"/>
    <x v="0"/>
    <x v="1"/>
    <x v="1"/>
  </r>
  <r>
    <x v="70"/>
    <x v="0"/>
    <x v="10"/>
    <x v="49"/>
    <x v="1351"/>
    <x v="21"/>
    <x v="1"/>
    <x v="0"/>
    <x v="67"/>
    <x v="0"/>
    <x v="0"/>
    <x v="0"/>
    <x v="0"/>
    <x v="0"/>
    <x v="5"/>
    <x v="21"/>
    <x v="17"/>
    <x v="49"/>
    <x v="3"/>
    <x v="10"/>
    <x v="0"/>
    <x v="4"/>
    <x v="3"/>
    <x v="0"/>
    <x v="0"/>
    <x v="0"/>
    <x v="4"/>
    <x v="0"/>
    <x v="0"/>
    <x v="1"/>
    <x v="1"/>
  </r>
  <r>
    <x v="376"/>
    <x v="1"/>
    <x v="25"/>
    <x v="188"/>
    <x v="125"/>
    <x v="465"/>
    <x v="1"/>
    <x v="0"/>
    <x v="359"/>
    <x v="0"/>
    <x v="0"/>
    <x v="0"/>
    <x v="0"/>
    <x v="0"/>
    <x v="6"/>
    <x v="465"/>
    <x v="454"/>
    <x v="188"/>
    <x v="2"/>
    <x v="10"/>
    <x v="0"/>
    <x v="5"/>
    <x v="5"/>
    <x v="0"/>
    <x v="0"/>
    <x v="0"/>
    <x v="20"/>
    <x v="0"/>
    <x v="0"/>
    <x v="1"/>
    <x v="1"/>
  </r>
  <r>
    <x v="373"/>
    <x v="1"/>
    <x v="25"/>
    <x v="189"/>
    <x v="126"/>
    <x v="469"/>
    <x v="1"/>
    <x v="0"/>
    <x v="356"/>
    <x v="0"/>
    <x v="0"/>
    <x v="0"/>
    <x v="0"/>
    <x v="0"/>
    <x v="0"/>
    <x v="469"/>
    <x v="457"/>
    <x v="189"/>
    <x v="1"/>
    <x v="10"/>
    <x v="0"/>
    <x v="6"/>
    <x v="6"/>
    <x v="0"/>
    <x v="0"/>
    <x v="0"/>
    <x v="23"/>
    <x v="0"/>
    <x v="0"/>
    <x v="1"/>
    <x v="1"/>
  </r>
  <r>
    <x v="374"/>
    <x v="1"/>
    <x v="25"/>
    <x v="190"/>
    <x v="126"/>
    <x v="1156"/>
    <x v="1"/>
    <x v="0"/>
    <x v="357"/>
    <x v="0"/>
    <x v="0"/>
    <x v="0"/>
    <x v="0"/>
    <x v="0"/>
    <x v="7"/>
    <x v="1156"/>
    <x v="1144"/>
    <x v="190"/>
    <x v="1"/>
    <x v="10"/>
    <x v="0"/>
    <x v="7"/>
    <x v="7"/>
    <x v="0"/>
    <x v="0"/>
    <x v="0"/>
    <x v="27"/>
    <x v="0"/>
    <x v="0"/>
    <x v="1"/>
    <x v="1"/>
  </r>
  <r>
    <x v="77"/>
    <x v="0"/>
    <x v="17"/>
    <x v="125"/>
    <x v="1048"/>
    <x v="68"/>
    <x v="0"/>
    <x v="0"/>
    <x v="74"/>
    <x v="0"/>
    <x v="0"/>
    <x v="0"/>
    <x v="0"/>
    <x v="0"/>
    <x v="8"/>
    <x v="68"/>
    <x v="64"/>
    <x v="125"/>
    <x v="3"/>
    <x v="10"/>
    <x v="0"/>
    <x v="8"/>
    <x v="4"/>
    <x v="0"/>
    <x v="0"/>
    <x v="0"/>
    <x v="4"/>
    <x v="0"/>
    <x v="0"/>
    <x v="0"/>
    <x v="0"/>
  </r>
  <r>
    <x v="88"/>
    <x v="0"/>
    <x v="17"/>
    <x v="136"/>
    <x v="1049"/>
    <x v="69"/>
    <x v="0"/>
    <x v="0"/>
    <x v="85"/>
    <x v="0"/>
    <x v="0"/>
    <x v="0"/>
    <x v="0"/>
    <x v="0"/>
    <x v="8"/>
    <x v="69"/>
    <x v="65"/>
    <x v="136"/>
    <x v="3"/>
    <x v="10"/>
    <x v="0"/>
    <x v="8"/>
    <x v="4"/>
    <x v="0"/>
    <x v="0"/>
    <x v="0"/>
    <x v="4"/>
    <x v="0"/>
    <x v="0"/>
    <x v="0"/>
    <x v="0"/>
  </r>
  <r>
    <x v="90"/>
    <x v="0"/>
    <x v="17"/>
    <x v="138"/>
    <x v="1050"/>
    <x v="70"/>
    <x v="0"/>
    <x v="0"/>
    <x v="87"/>
    <x v="0"/>
    <x v="0"/>
    <x v="0"/>
    <x v="0"/>
    <x v="0"/>
    <x v="8"/>
    <x v="70"/>
    <x v="66"/>
    <x v="138"/>
    <x v="3"/>
    <x v="10"/>
    <x v="0"/>
    <x v="8"/>
    <x v="4"/>
    <x v="0"/>
    <x v="0"/>
    <x v="0"/>
    <x v="4"/>
    <x v="0"/>
    <x v="0"/>
    <x v="0"/>
    <x v="0"/>
  </r>
  <r>
    <x v="82"/>
    <x v="0"/>
    <x v="17"/>
    <x v="130"/>
    <x v="1051"/>
    <x v="71"/>
    <x v="0"/>
    <x v="0"/>
    <x v="79"/>
    <x v="0"/>
    <x v="0"/>
    <x v="0"/>
    <x v="0"/>
    <x v="0"/>
    <x v="8"/>
    <x v="71"/>
    <x v="67"/>
    <x v="130"/>
    <x v="3"/>
    <x v="10"/>
    <x v="0"/>
    <x v="8"/>
    <x v="4"/>
    <x v="0"/>
    <x v="0"/>
    <x v="0"/>
    <x v="4"/>
    <x v="0"/>
    <x v="0"/>
    <x v="0"/>
    <x v="0"/>
  </r>
  <r>
    <x v="87"/>
    <x v="0"/>
    <x v="17"/>
    <x v="135"/>
    <x v="1052"/>
    <x v="72"/>
    <x v="0"/>
    <x v="0"/>
    <x v="84"/>
    <x v="0"/>
    <x v="0"/>
    <x v="0"/>
    <x v="0"/>
    <x v="0"/>
    <x v="8"/>
    <x v="72"/>
    <x v="68"/>
    <x v="135"/>
    <x v="3"/>
    <x v="10"/>
    <x v="0"/>
    <x v="8"/>
    <x v="4"/>
    <x v="0"/>
    <x v="0"/>
    <x v="0"/>
    <x v="4"/>
    <x v="0"/>
    <x v="0"/>
    <x v="0"/>
    <x v="0"/>
  </r>
  <r>
    <x v="81"/>
    <x v="0"/>
    <x v="17"/>
    <x v="129"/>
    <x v="1053"/>
    <x v="73"/>
    <x v="0"/>
    <x v="0"/>
    <x v="78"/>
    <x v="0"/>
    <x v="0"/>
    <x v="0"/>
    <x v="0"/>
    <x v="0"/>
    <x v="8"/>
    <x v="73"/>
    <x v="69"/>
    <x v="129"/>
    <x v="3"/>
    <x v="10"/>
    <x v="0"/>
    <x v="8"/>
    <x v="4"/>
    <x v="0"/>
    <x v="0"/>
    <x v="0"/>
    <x v="4"/>
    <x v="0"/>
    <x v="0"/>
    <x v="0"/>
    <x v="0"/>
  </r>
  <r>
    <x v="78"/>
    <x v="0"/>
    <x v="17"/>
    <x v="126"/>
    <x v="1054"/>
    <x v="74"/>
    <x v="0"/>
    <x v="0"/>
    <x v="75"/>
    <x v="0"/>
    <x v="0"/>
    <x v="0"/>
    <x v="0"/>
    <x v="0"/>
    <x v="8"/>
    <x v="74"/>
    <x v="70"/>
    <x v="126"/>
    <x v="3"/>
    <x v="10"/>
    <x v="0"/>
    <x v="8"/>
    <x v="4"/>
    <x v="0"/>
    <x v="0"/>
    <x v="0"/>
    <x v="4"/>
    <x v="0"/>
    <x v="0"/>
    <x v="0"/>
    <x v="0"/>
  </r>
  <r>
    <x v="75"/>
    <x v="0"/>
    <x v="17"/>
    <x v="123"/>
    <x v="1055"/>
    <x v="75"/>
    <x v="0"/>
    <x v="0"/>
    <x v="72"/>
    <x v="0"/>
    <x v="0"/>
    <x v="0"/>
    <x v="0"/>
    <x v="0"/>
    <x v="8"/>
    <x v="75"/>
    <x v="71"/>
    <x v="123"/>
    <x v="3"/>
    <x v="10"/>
    <x v="0"/>
    <x v="8"/>
    <x v="4"/>
    <x v="0"/>
    <x v="0"/>
    <x v="0"/>
    <x v="4"/>
    <x v="0"/>
    <x v="0"/>
    <x v="0"/>
    <x v="0"/>
  </r>
  <r>
    <x v="73"/>
    <x v="0"/>
    <x v="17"/>
    <x v="121"/>
    <x v="1056"/>
    <x v="76"/>
    <x v="0"/>
    <x v="0"/>
    <x v="70"/>
    <x v="0"/>
    <x v="0"/>
    <x v="0"/>
    <x v="0"/>
    <x v="0"/>
    <x v="8"/>
    <x v="76"/>
    <x v="72"/>
    <x v="121"/>
    <x v="3"/>
    <x v="10"/>
    <x v="0"/>
    <x v="8"/>
    <x v="4"/>
    <x v="0"/>
    <x v="0"/>
    <x v="0"/>
    <x v="4"/>
    <x v="0"/>
    <x v="0"/>
    <x v="0"/>
    <x v="0"/>
  </r>
  <r>
    <x v="92"/>
    <x v="0"/>
    <x v="17"/>
    <x v="140"/>
    <x v="1057"/>
    <x v="77"/>
    <x v="0"/>
    <x v="0"/>
    <x v="89"/>
    <x v="0"/>
    <x v="0"/>
    <x v="0"/>
    <x v="0"/>
    <x v="0"/>
    <x v="8"/>
    <x v="77"/>
    <x v="73"/>
    <x v="140"/>
    <x v="3"/>
    <x v="10"/>
    <x v="0"/>
    <x v="8"/>
    <x v="4"/>
    <x v="0"/>
    <x v="0"/>
    <x v="0"/>
    <x v="4"/>
    <x v="0"/>
    <x v="0"/>
    <x v="0"/>
    <x v="0"/>
  </r>
  <r>
    <x v="85"/>
    <x v="0"/>
    <x v="17"/>
    <x v="133"/>
    <x v="1058"/>
    <x v="78"/>
    <x v="0"/>
    <x v="0"/>
    <x v="82"/>
    <x v="0"/>
    <x v="0"/>
    <x v="0"/>
    <x v="0"/>
    <x v="0"/>
    <x v="8"/>
    <x v="78"/>
    <x v="74"/>
    <x v="133"/>
    <x v="3"/>
    <x v="10"/>
    <x v="0"/>
    <x v="8"/>
    <x v="4"/>
    <x v="0"/>
    <x v="0"/>
    <x v="0"/>
    <x v="4"/>
    <x v="0"/>
    <x v="0"/>
    <x v="0"/>
    <x v="0"/>
  </r>
  <r>
    <x v="76"/>
    <x v="0"/>
    <x v="17"/>
    <x v="124"/>
    <x v="1059"/>
    <x v="79"/>
    <x v="0"/>
    <x v="0"/>
    <x v="73"/>
    <x v="0"/>
    <x v="0"/>
    <x v="0"/>
    <x v="0"/>
    <x v="0"/>
    <x v="8"/>
    <x v="79"/>
    <x v="75"/>
    <x v="124"/>
    <x v="3"/>
    <x v="10"/>
    <x v="0"/>
    <x v="8"/>
    <x v="4"/>
    <x v="0"/>
    <x v="0"/>
    <x v="0"/>
    <x v="4"/>
    <x v="0"/>
    <x v="0"/>
    <x v="0"/>
    <x v="0"/>
  </r>
  <r>
    <x v="84"/>
    <x v="0"/>
    <x v="17"/>
    <x v="132"/>
    <x v="1060"/>
    <x v="80"/>
    <x v="0"/>
    <x v="0"/>
    <x v="81"/>
    <x v="0"/>
    <x v="0"/>
    <x v="0"/>
    <x v="0"/>
    <x v="0"/>
    <x v="8"/>
    <x v="80"/>
    <x v="76"/>
    <x v="132"/>
    <x v="3"/>
    <x v="10"/>
    <x v="0"/>
    <x v="8"/>
    <x v="4"/>
    <x v="0"/>
    <x v="0"/>
    <x v="0"/>
    <x v="4"/>
    <x v="0"/>
    <x v="0"/>
    <x v="0"/>
    <x v="0"/>
  </r>
  <r>
    <x v="80"/>
    <x v="0"/>
    <x v="17"/>
    <x v="128"/>
    <x v="1061"/>
    <x v="81"/>
    <x v="0"/>
    <x v="0"/>
    <x v="77"/>
    <x v="0"/>
    <x v="0"/>
    <x v="0"/>
    <x v="0"/>
    <x v="0"/>
    <x v="8"/>
    <x v="81"/>
    <x v="77"/>
    <x v="128"/>
    <x v="3"/>
    <x v="10"/>
    <x v="0"/>
    <x v="8"/>
    <x v="4"/>
    <x v="0"/>
    <x v="0"/>
    <x v="0"/>
    <x v="4"/>
    <x v="0"/>
    <x v="0"/>
    <x v="0"/>
    <x v="0"/>
  </r>
  <r>
    <x v="79"/>
    <x v="0"/>
    <x v="17"/>
    <x v="127"/>
    <x v="1062"/>
    <x v="82"/>
    <x v="0"/>
    <x v="0"/>
    <x v="76"/>
    <x v="0"/>
    <x v="0"/>
    <x v="0"/>
    <x v="0"/>
    <x v="0"/>
    <x v="8"/>
    <x v="82"/>
    <x v="78"/>
    <x v="127"/>
    <x v="3"/>
    <x v="10"/>
    <x v="0"/>
    <x v="8"/>
    <x v="4"/>
    <x v="0"/>
    <x v="0"/>
    <x v="0"/>
    <x v="4"/>
    <x v="0"/>
    <x v="0"/>
    <x v="0"/>
    <x v="0"/>
  </r>
  <r>
    <x v="86"/>
    <x v="0"/>
    <x v="17"/>
    <x v="134"/>
    <x v="1063"/>
    <x v="83"/>
    <x v="0"/>
    <x v="0"/>
    <x v="83"/>
    <x v="0"/>
    <x v="0"/>
    <x v="0"/>
    <x v="0"/>
    <x v="0"/>
    <x v="8"/>
    <x v="83"/>
    <x v="79"/>
    <x v="134"/>
    <x v="3"/>
    <x v="10"/>
    <x v="0"/>
    <x v="8"/>
    <x v="4"/>
    <x v="0"/>
    <x v="0"/>
    <x v="0"/>
    <x v="4"/>
    <x v="0"/>
    <x v="0"/>
    <x v="0"/>
    <x v="0"/>
  </r>
  <r>
    <x v="83"/>
    <x v="0"/>
    <x v="17"/>
    <x v="131"/>
    <x v="1064"/>
    <x v="84"/>
    <x v="0"/>
    <x v="0"/>
    <x v="80"/>
    <x v="0"/>
    <x v="0"/>
    <x v="0"/>
    <x v="0"/>
    <x v="0"/>
    <x v="8"/>
    <x v="84"/>
    <x v="80"/>
    <x v="131"/>
    <x v="3"/>
    <x v="10"/>
    <x v="0"/>
    <x v="8"/>
    <x v="4"/>
    <x v="0"/>
    <x v="0"/>
    <x v="0"/>
    <x v="4"/>
    <x v="0"/>
    <x v="0"/>
    <x v="0"/>
    <x v="0"/>
  </r>
  <r>
    <x v="72"/>
    <x v="0"/>
    <x v="17"/>
    <x v="120"/>
    <x v="1065"/>
    <x v="85"/>
    <x v="0"/>
    <x v="0"/>
    <x v="69"/>
    <x v="0"/>
    <x v="0"/>
    <x v="0"/>
    <x v="0"/>
    <x v="0"/>
    <x v="8"/>
    <x v="85"/>
    <x v="81"/>
    <x v="120"/>
    <x v="3"/>
    <x v="10"/>
    <x v="0"/>
    <x v="8"/>
    <x v="4"/>
    <x v="0"/>
    <x v="0"/>
    <x v="0"/>
    <x v="4"/>
    <x v="0"/>
    <x v="0"/>
    <x v="0"/>
    <x v="0"/>
  </r>
  <r>
    <x v="71"/>
    <x v="0"/>
    <x v="17"/>
    <x v="119"/>
    <x v="1066"/>
    <x v="86"/>
    <x v="0"/>
    <x v="0"/>
    <x v="68"/>
    <x v="0"/>
    <x v="0"/>
    <x v="0"/>
    <x v="0"/>
    <x v="0"/>
    <x v="8"/>
    <x v="86"/>
    <x v="82"/>
    <x v="119"/>
    <x v="3"/>
    <x v="10"/>
    <x v="0"/>
    <x v="8"/>
    <x v="4"/>
    <x v="0"/>
    <x v="0"/>
    <x v="0"/>
    <x v="4"/>
    <x v="0"/>
    <x v="0"/>
    <x v="0"/>
    <x v="0"/>
  </r>
  <r>
    <x v="89"/>
    <x v="0"/>
    <x v="17"/>
    <x v="137"/>
    <x v="1067"/>
    <x v="87"/>
    <x v="0"/>
    <x v="0"/>
    <x v="86"/>
    <x v="0"/>
    <x v="0"/>
    <x v="0"/>
    <x v="0"/>
    <x v="0"/>
    <x v="8"/>
    <x v="87"/>
    <x v="83"/>
    <x v="137"/>
    <x v="3"/>
    <x v="10"/>
    <x v="0"/>
    <x v="8"/>
    <x v="4"/>
    <x v="0"/>
    <x v="0"/>
    <x v="0"/>
    <x v="4"/>
    <x v="0"/>
    <x v="0"/>
    <x v="0"/>
    <x v="0"/>
  </r>
  <r>
    <x v="74"/>
    <x v="0"/>
    <x v="17"/>
    <x v="122"/>
    <x v="1068"/>
    <x v="88"/>
    <x v="0"/>
    <x v="0"/>
    <x v="71"/>
    <x v="0"/>
    <x v="0"/>
    <x v="0"/>
    <x v="0"/>
    <x v="0"/>
    <x v="8"/>
    <x v="88"/>
    <x v="84"/>
    <x v="122"/>
    <x v="3"/>
    <x v="10"/>
    <x v="0"/>
    <x v="8"/>
    <x v="4"/>
    <x v="0"/>
    <x v="0"/>
    <x v="0"/>
    <x v="4"/>
    <x v="0"/>
    <x v="0"/>
    <x v="0"/>
    <x v="0"/>
  </r>
  <r>
    <x v="91"/>
    <x v="0"/>
    <x v="17"/>
    <x v="139"/>
    <x v="1069"/>
    <x v="89"/>
    <x v="0"/>
    <x v="0"/>
    <x v="88"/>
    <x v="0"/>
    <x v="0"/>
    <x v="0"/>
    <x v="0"/>
    <x v="0"/>
    <x v="8"/>
    <x v="89"/>
    <x v="85"/>
    <x v="139"/>
    <x v="3"/>
    <x v="10"/>
    <x v="0"/>
    <x v="8"/>
    <x v="4"/>
    <x v="0"/>
    <x v="0"/>
    <x v="0"/>
    <x v="4"/>
    <x v="0"/>
    <x v="0"/>
    <x v="0"/>
    <x v="0"/>
  </r>
  <r>
    <x v="54"/>
    <x v="0"/>
    <x v="16"/>
    <x v="103"/>
    <x v="1070"/>
    <x v="112"/>
    <x v="0"/>
    <x v="0"/>
    <x v="51"/>
    <x v="0"/>
    <x v="0"/>
    <x v="0"/>
    <x v="0"/>
    <x v="0"/>
    <x v="8"/>
    <x v="112"/>
    <x v="108"/>
    <x v="103"/>
    <x v="3"/>
    <x v="10"/>
    <x v="0"/>
    <x v="8"/>
    <x v="4"/>
    <x v="0"/>
    <x v="0"/>
    <x v="0"/>
    <x v="1"/>
    <x v="0"/>
    <x v="0"/>
    <x v="0"/>
    <x v="0"/>
  </r>
  <r>
    <x v="65"/>
    <x v="0"/>
    <x v="16"/>
    <x v="114"/>
    <x v="1071"/>
    <x v="113"/>
    <x v="0"/>
    <x v="0"/>
    <x v="62"/>
    <x v="0"/>
    <x v="0"/>
    <x v="0"/>
    <x v="0"/>
    <x v="0"/>
    <x v="8"/>
    <x v="113"/>
    <x v="109"/>
    <x v="114"/>
    <x v="3"/>
    <x v="10"/>
    <x v="0"/>
    <x v="8"/>
    <x v="4"/>
    <x v="0"/>
    <x v="0"/>
    <x v="0"/>
    <x v="1"/>
    <x v="0"/>
    <x v="0"/>
    <x v="0"/>
    <x v="0"/>
  </r>
  <r>
    <x v="67"/>
    <x v="0"/>
    <x v="16"/>
    <x v="116"/>
    <x v="1072"/>
    <x v="114"/>
    <x v="0"/>
    <x v="0"/>
    <x v="64"/>
    <x v="0"/>
    <x v="0"/>
    <x v="0"/>
    <x v="0"/>
    <x v="0"/>
    <x v="8"/>
    <x v="114"/>
    <x v="110"/>
    <x v="116"/>
    <x v="3"/>
    <x v="10"/>
    <x v="0"/>
    <x v="8"/>
    <x v="4"/>
    <x v="0"/>
    <x v="0"/>
    <x v="0"/>
    <x v="1"/>
    <x v="0"/>
    <x v="0"/>
    <x v="0"/>
    <x v="0"/>
  </r>
  <r>
    <x v="59"/>
    <x v="0"/>
    <x v="16"/>
    <x v="108"/>
    <x v="1073"/>
    <x v="115"/>
    <x v="0"/>
    <x v="0"/>
    <x v="56"/>
    <x v="0"/>
    <x v="0"/>
    <x v="0"/>
    <x v="0"/>
    <x v="0"/>
    <x v="8"/>
    <x v="115"/>
    <x v="111"/>
    <x v="108"/>
    <x v="3"/>
    <x v="10"/>
    <x v="0"/>
    <x v="8"/>
    <x v="4"/>
    <x v="0"/>
    <x v="0"/>
    <x v="0"/>
    <x v="1"/>
    <x v="0"/>
    <x v="0"/>
    <x v="0"/>
    <x v="0"/>
  </r>
  <r>
    <x v="64"/>
    <x v="0"/>
    <x v="16"/>
    <x v="113"/>
    <x v="1074"/>
    <x v="116"/>
    <x v="0"/>
    <x v="0"/>
    <x v="61"/>
    <x v="0"/>
    <x v="0"/>
    <x v="0"/>
    <x v="0"/>
    <x v="0"/>
    <x v="8"/>
    <x v="116"/>
    <x v="112"/>
    <x v="113"/>
    <x v="3"/>
    <x v="10"/>
    <x v="0"/>
    <x v="8"/>
    <x v="4"/>
    <x v="0"/>
    <x v="0"/>
    <x v="0"/>
    <x v="1"/>
    <x v="0"/>
    <x v="0"/>
    <x v="0"/>
    <x v="0"/>
  </r>
  <r>
    <x v="58"/>
    <x v="0"/>
    <x v="16"/>
    <x v="107"/>
    <x v="1075"/>
    <x v="117"/>
    <x v="0"/>
    <x v="0"/>
    <x v="55"/>
    <x v="0"/>
    <x v="0"/>
    <x v="0"/>
    <x v="0"/>
    <x v="0"/>
    <x v="8"/>
    <x v="117"/>
    <x v="113"/>
    <x v="107"/>
    <x v="3"/>
    <x v="10"/>
    <x v="0"/>
    <x v="8"/>
    <x v="4"/>
    <x v="0"/>
    <x v="0"/>
    <x v="0"/>
    <x v="1"/>
    <x v="0"/>
    <x v="0"/>
    <x v="0"/>
    <x v="0"/>
  </r>
  <r>
    <x v="55"/>
    <x v="0"/>
    <x v="16"/>
    <x v="104"/>
    <x v="1076"/>
    <x v="118"/>
    <x v="0"/>
    <x v="0"/>
    <x v="52"/>
    <x v="0"/>
    <x v="0"/>
    <x v="0"/>
    <x v="0"/>
    <x v="0"/>
    <x v="8"/>
    <x v="118"/>
    <x v="114"/>
    <x v="104"/>
    <x v="3"/>
    <x v="10"/>
    <x v="0"/>
    <x v="8"/>
    <x v="4"/>
    <x v="0"/>
    <x v="0"/>
    <x v="0"/>
    <x v="1"/>
    <x v="0"/>
    <x v="0"/>
    <x v="0"/>
    <x v="0"/>
  </r>
  <r>
    <x v="52"/>
    <x v="0"/>
    <x v="16"/>
    <x v="101"/>
    <x v="1077"/>
    <x v="119"/>
    <x v="0"/>
    <x v="0"/>
    <x v="49"/>
    <x v="0"/>
    <x v="0"/>
    <x v="0"/>
    <x v="0"/>
    <x v="0"/>
    <x v="8"/>
    <x v="119"/>
    <x v="115"/>
    <x v="101"/>
    <x v="3"/>
    <x v="10"/>
    <x v="0"/>
    <x v="8"/>
    <x v="4"/>
    <x v="0"/>
    <x v="0"/>
    <x v="0"/>
    <x v="1"/>
    <x v="0"/>
    <x v="0"/>
    <x v="0"/>
    <x v="0"/>
  </r>
  <r>
    <x v="50"/>
    <x v="0"/>
    <x v="16"/>
    <x v="99"/>
    <x v="1078"/>
    <x v="120"/>
    <x v="0"/>
    <x v="0"/>
    <x v="47"/>
    <x v="0"/>
    <x v="0"/>
    <x v="0"/>
    <x v="0"/>
    <x v="0"/>
    <x v="8"/>
    <x v="120"/>
    <x v="116"/>
    <x v="99"/>
    <x v="3"/>
    <x v="10"/>
    <x v="0"/>
    <x v="8"/>
    <x v="4"/>
    <x v="0"/>
    <x v="0"/>
    <x v="0"/>
    <x v="1"/>
    <x v="0"/>
    <x v="0"/>
    <x v="0"/>
    <x v="0"/>
  </r>
  <r>
    <x v="69"/>
    <x v="0"/>
    <x v="16"/>
    <x v="118"/>
    <x v="1079"/>
    <x v="121"/>
    <x v="0"/>
    <x v="0"/>
    <x v="66"/>
    <x v="0"/>
    <x v="0"/>
    <x v="0"/>
    <x v="0"/>
    <x v="0"/>
    <x v="8"/>
    <x v="121"/>
    <x v="117"/>
    <x v="118"/>
    <x v="3"/>
    <x v="10"/>
    <x v="0"/>
    <x v="8"/>
    <x v="4"/>
    <x v="0"/>
    <x v="0"/>
    <x v="0"/>
    <x v="1"/>
    <x v="0"/>
    <x v="0"/>
    <x v="0"/>
    <x v="0"/>
  </r>
  <r>
    <x v="62"/>
    <x v="0"/>
    <x v="16"/>
    <x v="111"/>
    <x v="1080"/>
    <x v="122"/>
    <x v="0"/>
    <x v="0"/>
    <x v="59"/>
    <x v="0"/>
    <x v="0"/>
    <x v="0"/>
    <x v="0"/>
    <x v="0"/>
    <x v="8"/>
    <x v="122"/>
    <x v="118"/>
    <x v="111"/>
    <x v="3"/>
    <x v="10"/>
    <x v="0"/>
    <x v="8"/>
    <x v="4"/>
    <x v="0"/>
    <x v="0"/>
    <x v="0"/>
    <x v="1"/>
    <x v="0"/>
    <x v="0"/>
    <x v="0"/>
    <x v="0"/>
  </r>
  <r>
    <x v="53"/>
    <x v="0"/>
    <x v="16"/>
    <x v="102"/>
    <x v="1081"/>
    <x v="123"/>
    <x v="0"/>
    <x v="0"/>
    <x v="50"/>
    <x v="0"/>
    <x v="0"/>
    <x v="0"/>
    <x v="0"/>
    <x v="0"/>
    <x v="8"/>
    <x v="123"/>
    <x v="119"/>
    <x v="102"/>
    <x v="3"/>
    <x v="10"/>
    <x v="0"/>
    <x v="8"/>
    <x v="4"/>
    <x v="0"/>
    <x v="0"/>
    <x v="0"/>
    <x v="1"/>
    <x v="0"/>
    <x v="0"/>
    <x v="0"/>
    <x v="0"/>
  </r>
  <r>
    <x v="61"/>
    <x v="0"/>
    <x v="16"/>
    <x v="110"/>
    <x v="1082"/>
    <x v="124"/>
    <x v="0"/>
    <x v="0"/>
    <x v="58"/>
    <x v="0"/>
    <x v="0"/>
    <x v="0"/>
    <x v="0"/>
    <x v="0"/>
    <x v="8"/>
    <x v="124"/>
    <x v="120"/>
    <x v="110"/>
    <x v="3"/>
    <x v="10"/>
    <x v="0"/>
    <x v="8"/>
    <x v="4"/>
    <x v="0"/>
    <x v="0"/>
    <x v="0"/>
    <x v="1"/>
    <x v="0"/>
    <x v="0"/>
    <x v="0"/>
    <x v="0"/>
  </r>
  <r>
    <x v="57"/>
    <x v="0"/>
    <x v="16"/>
    <x v="106"/>
    <x v="1083"/>
    <x v="125"/>
    <x v="0"/>
    <x v="0"/>
    <x v="54"/>
    <x v="0"/>
    <x v="0"/>
    <x v="0"/>
    <x v="0"/>
    <x v="0"/>
    <x v="8"/>
    <x v="125"/>
    <x v="121"/>
    <x v="106"/>
    <x v="3"/>
    <x v="10"/>
    <x v="0"/>
    <x v="8"/>
    <x v="4"/>
    <x v="0"/>
    <x v="0"/>
    <x v="0"/>
    <x v="1"/>
    <x v="0"/>
    <x v="0"/>
    <x v="0"/>
    <x v="0"/>
  </r>
  <r>
    <x v="56"/>
    <x v="0"/>
    <x v="16"/>
    <x v="105"/>
    <x v="1084"/>
    <x v="126"/>
    <x v="0"/>
    <x v="0"/>
    <x v="53"/>
    <x v="0"/>
    <x v="0"/>
    <x v="0"/>
    <x v="0"/>
    <x v="0"/>
    <x v="8"/>
    <x v="126"/>
    <x v="122"/>
    <x v="105"/>
    <x v="3"/>
    <x v="10"/>
    <x v="0"/>
    <x v="8"/>
    <x v="4"/>
    <x v="0"/>
    <x v="0"/>
    <x v="0"/>
    <x v="1"/>
    <x v="0"/>
    <x v="0"/>
    <x v="0"/>
    <x v="0"/>
  </r>
  <r>
    <x v="63"/>
    <x v="0"/>
    <x v="16"/>
    <x v="112"/>
    <x v="1085"/>
    <x v="127"/>
    <x v="0"/>
    <x v="0"/>
    <x v="60"/>
    <x v="0"/>
    <x v="0"/>
    <x v="0"/>
    <x v="0"/>
    <x v="0"/>
    <x v="8"/>
    <x v="127"/>
    <x v="123"/>
    <x v="112"/>
    <x v="3"/>
    <x v="10"/>
    <x v="0"/>
    <x v="8"/>
    <x v="4"/>
    <x v="0"/>
    <x v="0"/>
    <x v="0"/>
    <x v="1"/>
    <x v="0"/>
    <x v="0"/>
    <x v="0"/>
    <x v="0"/>
  </r>
  <r>
    <x v="60"/>
    <x v="0"/>
    <x v="16"/>
    <x v="109"/>
    <x v="1086"/>
    <x v="128"/>
    <x v="0"/>
    <x v="0"/>
    <x v="57"/>
    <x v="0"/>
    <x v="0"/>
    <x v="0"/>
    <x v="0"/>
    <x v="0"/>
    <x v="8"/>
    <x v="128"/>
    <x v="124"/>
    <x v="109"/>
    <x v="3"/>
    <x v="10"/>
    <x v="0"/>
    <x v="8"/>
    <x v="4"/>
    <x v="0"/>
    <x v="0"/>
    <x v="0"/>
    <x v="1"/>
    <x v="0"/>
    <x v="0"/>
    <x v="0"/>
    <x v="0"/>
  </r>
  <r>
    <x v="49"/>
    <x v="0"/>
    <x v="16"/>
    <x v="98"/>
    <x v="1087"/>
    <x v="129"/>
    <x v="0"/>
    <x v="0"/>
    <x v="46"/>
    <x v="0"/>
    <x v="0"/>
    <x v="0"/>
    <x v="0"/>
    <x v="0"/>
    <x v="8"/>
    <x v="129"/>
    <x v="125"/>
    <x v="98"/>
    <x v="3"/>
    <x v="10"/>
    <x v="0"/>
    <x v="8"/>
    <x v="4"/>
    <x v="0"/>
    <x v="0"/>
    <x v="0"/>
    <x v="1"/>
    <x v="0"/>
    <x v="0"/>
    <x v="0"/>
    <x v="0"/>
  </r>
  <r>
    <x v="48"/>
    <x v="0"/>
    <x v="16"/>
    <x v="97"/>
    <x v="1088"/>
    <x v="130"/>
    <x v="0"/>
    <x v="0"/>
    <x v="45"/>
    <x v="0"/>
    <x v="0"/>
    <x v="0"/>
    <x v="0"/>
    <x v="0"/>
    <x v="8"/>
    <x v="130"/>
    <x v="126"/>
    <x v="97"/>
    <x v="3"/>
    <x v="10"/>
    <x v="0"/>
    <x v="8"/>
    <x v="4"/>
    <x v="0"/>
    <x v="0"/>
    <x v="0"/>
    <x v="1"/>
    <x v="0"/>
    <x v="0"/>
    <x v="0"/>
    <x v="0"/>
  </r>
  <r>
    <x v="66"/>
    <x v="0"/>
    <x v="16"/>
    <x v="115"/>
    <x v="1089"/>
    <x v="131"/>
    <x v="0"/>
    <x v="0"/>
    <x v="63"/>
    <x v="0"/>
    <x v="0"/>
    <x v="0"/>
    <x v="0"/>
    <x v="0"/>
    <x v="8"/>
    <x v="131"/>
    <x v="127"/>
    <x v="115"/>
    <x v="3"/>
    <x v="10"/>
    <x v="0"/>
    <x v="8"/>
    <x v="4"/>
    <x v="0"/>
    <x v="0"/>
    <x v="0"/>
    <x v="1"/>
    <x v="0"/>
    <x v="0"/>
    <x v="0"/>
    <x v="0"/>
  </r>
  <r>
    <x v="51"/>
    <x v="0"/>
    <x v="16"/>
    <x v="100"/>
    <x v="1090"/>
    <x v="132"/>
    <x v="0"/>
    <x v="0"/>
    <x v="48"/>
    <x v="0"/>
    <x v="0"/>
    <x v="0"/>
    <x v="0"/>
    <x v="0"/>
    <x v="8"/>
    <x v="132"/>
    <x v="128"/>
    <x v="100"/>
    <x v="3"/>
    <x v="10"/>
    <x v="0"/>
    <x v="8"/>
    <x v="4"/>
    <x v="0"/>
    <x v="0"/>
    <x v="0"/>
    <x v="1"/>
    <x v="0"/>
    <x v="0"/>
    <x v="0"/>
    <x v="0"/>
  </r>
  <r>
    <x v="68"/>
    <x v="0"/>
    <x v="16"/>
    <x v="117"/>
    <x v="1091"/>
    <x v="133"/>
    <x v="0"/>
    <x v="0"/>
    <x v="65"/>
    <x v="0"/>
    <x v="0"/>
    <x v="0"/>
    <x v="0"/>
    <x v="0"/>
    <x v="8"/>
    <x v="133"/>
    <x v="129"/>
    <x v="117"/>
    <x v="3"/>
    <x v="10"/>
    <x v="0"/>
    <x v="8"/>
    <x v="4"/>
    <x v="0"/>
    <x v="0"/>
    <x v="0"/>
    <x v="1"/>
    <x v="0"/>
    <x v="0"/>
    <x v="0"/>
    <x v="0"/>
  </r>
  <r>
    <x v="334"/>
    <x v="0"/>
    <x v="3"/>
    <x v="141"/>
    <x v="1092"/>
    <x v="158"/>
    <x v="1"/>
    <x v="0"/>
    <x v="331"/>
    <x v="0"/>
    <x v="0"/>
    <x v="0"/>
    <x v="0"/>
    <x v="0"/>
    <x v="8"/>
    <x v="158"/>
    <x v="154"/>
    <x v="141"/>
    <x v="3"/>
    <x v="10"/>
    <x v="0"/>
    <x v="8"/>
    <x v="4"/>
    <x v="0"/>
    <x v="0"/>
    <x v="0"/>
    <x v="4"/>
    <x v="0"/>
    <x v="0"/>
    <x v="1"/>
    <x v="1"/>
  </r>
  <r>
    <x v="341"/>
    <x v="0"/>
    <x v="16"/>
    <x v="148"/>
    <x v="1093"/>
    <x v="45"/>
    <x v="0"/>
    <x v="0"/>
    <x v="338"/>
    <x v="0"/>
    <x v="0"/>
    <x v="0"/>
    <x v="0"/>
    <x v="0"/>
    <x v="8"/>
    <x v="45"/>
    <x v="41"/>
    <x v="148"/>
    <x v="3"/>
    <x v="10"/>
    <x v="0"/>
    <x v="8"/>
    <x v="4"/>
    <x v="0"/>
    <x v="0"/>
    <x v="0"/>
    <x v="4"/>
    <x v="0"/>
    <x v="0"/>
    <x v="0"/>
    <x v="0"/>
  </r>
  <r>
    <x v="352"/>
    <x v="0"/>
    <x v="16"/>
    <x v="159"/>
    <x v="1094"/>
    <x v="46"/>
    <x v="0"/>
    <x v="0"/>
    <x v="349"/>
    <x v="0"/>
    <x v="0"/>
    <x v="0"/>
    <x v="0"/>
    <x v="0"/>
    <x v="8"/>
    <x v="46"/>
    <x v="42"/>
    <x v="159"/>
    <x v="3"/>
    <x v="10"/>
    <x v="0"/>
    <x v="8"/>
    <x v="4"/>
    <x v="0"/>
    <x v="0"/>
    <x v="0"/>
    <x v="4"/>
    <x v="0"/>
    <x v="0"/>
    <x v="0"/>
    <x v="0"/>
  </r>
  <r>
    <x v="354"/>
    <x v="0"/>
    <x v="16"/>
    <x v="161"/>
    <x v="1095"/>
    <x v="47"/>
    <x v="0"/>
    <x v="0"/>
    <x v="351"/>
    <x v="0"/>
    <x v="0"/>
    <x v="0"/>
    <x v="0"/>
    <x v="0"/>
    <x v="8"/>
    <x v="47"/>
    <x v="43"/>
    <x v="161"/>
    <x v="3"/>
    <x v="10"/>
    <x v="0"/>
    <x v="8"/>
    <x v="4"/>
    <x v="0"/>
    <x v="0"/>
    <x v="0"/>
    <x v="4"/>
    <x v="0"/>
    <x v="0"/>
    <x v="0"/>
    <x v="0"/>
  </r>
  <r>
    <x v="346"/>
    <x v="0"/>
    <x v="16"/>
    <x v="153"/>
    <x v="1096"/>
    <x v="48"/>
    <x v="0"/>
    <x v="0"/>
    <x v="343"/>
    <x v="0"/>
    <x v="0"/>
    <x v="0"/>
    <x v="0"/>
    <x v="0"/>
    <x v="8"/>
    <x v="48"/>
    <x v="44"/>
    <x v="153"/>
    <x v="3"/>
    <x v="10"/>
    <x v="0"/>
    <x v="8"/>
    <x v="4"/>
    <x v="0"/>
    <x v="0"/>
    <x v="0"/>
    <x v="4"/>
    <x v="0"/>
    <x v="0"/>
    <x v="0"/>
    <x v="0"/>
  </r>
  <r>
    <x v="351"/>
    <x v="0"/>
    <x v="16"/>
    <x v="158"/>
    <x v="1097"/>
    <x v="49"/>
    <x v="0"/>
    <x v="0"/>
    <x v="348"/>
    <x v="0"/>
    <x v="0"/>
    <x v="0"/>
    <x v="0"/>
    <x v="0"/>
    <x v="8"/>
    <x v="49"/>
    <x v="45"/>
    <x v="158"/>
    <x v="3"/>
    <x v="10"/>
    <x v="0"/>
    <x v="8"/>
    <x v="4"/>
    <x v="0"/>
    <x v="0"/>
    <x v="0"/>
    <x v="4"/>
    <x v="0"/>
    <x v="0"/>
    <x v="0"/>
    <x v="0"/>
  </r>
  <r>
    <x v="345"/>
    <x v="0"/>
    <x v="16"/>
    <x v="152"/>
    <x v="1098"/>
    <x v="50"/>
    <x v="0"/>
    <x v="0"/>
    <x v="342"/>
    <x v="0"/>
    <x v="0"/>
    <x v="0"/>
    <x v="0"/>
    <x v="0"/>
    <x v="8"/>
    <x v="50"/>
    <x v="46"/>
    <x v="152"/>
    <x v="3"/>
    <x v="10"/>
    <x v="0"/>
    <x v="8"/>
    <x v="4"/>
    <x v="0"/>
    <x v="0"/>
    <x v="0"/>
    <x v="4"/>
    <x v="0"/>
    <x v="0"/>
    <x v="0"/>
    <x v="0"/>
  </r>
  <r>
    <x v="342"/>
    <x v="0"/>
    <x v="16"/>
    <x v="149"/>
    <x v="1099"/>
    <x v="51"/>
    <x v="0"/>
    <x v="0"/>
    <x v="339"/>
    <x v="0"/>
    <x v="0"/>
    <x v="0"/>
    <x v="0"/>
    <x v="0"/>
    <x v="8"/>
    <x v="51"/>
    <x v="47"/>
    <x v="149"/>
    <x v="3"/>
    <x v="10"/>
    <x v="0"/>
    <x v="8"/>
    <x v="4"/>
    <x v="0"/>
    <x v="0"/>
    <x v="0"/>
    <x v="4"/>
    <x v="0"/>
    <x v="0"/>
    <x v="0"/>
    <x v="0"/>
  </r>
  <r>
    <x v="339"/>
    <x v="0"/>
    <x v="16"/>
    <x v="146"/>
    <x v="1100"/>
    <x v="52"/>
    <x v="0"/>
    <x v="0"/>
    <x v="336"/>
    <x v="0"/>
    <x v="0"/>
    <x v="0"/>
    <x v="0"/>
    <x v="0"/>
    <x v="8"/>
    <x v="52"/>
    <x v="48"/>
    <x v="146"/>
    <x v="3"/>
    <x v="10"/>
    <x v="0"/>
    <x v="8"/>
    <x v="4"/>
    <x v="0"/>
    <x v="0"/>
    <x v="0"/>
    <x v="4"/>
    <x v="0"/>
    <x v="0"/>
    <x v="0"/>
    <x v="0"/>
  </r>
  <r>
    <x v="337"/>
    <x v="0"/>
    <x v="16"/>
    <x v="144"/>
    <x v="1101"/>
    <x v="53"/>
    <x v="0"/>
    <x v="0"/>
    <x v="334"/>
    <x v="0"/>
    <x v="0"/>
    <x v="0"/>
    <x v="0"/>
    <x v="0"/>
    <x v="8"/>
    <x v="53"/>
    <x v="49"/>
    <x v="144"/>
    <x v="3"/>
    <x v="10"/>
    <x v="0"/>
    <x v="8"/>
    <x v="4"/>
    <x v="0"/>
    <x v="0"/>
    <x v="0"/>
    <x v="4"/>
    <x v="0"/>
    <x v="0"/>
    <x v="0"/>
    <x v="0"/>
  </r>
  <r>
    <x v="356"/>
    <x v="0"/>
    <x v="16"/>
    <x v="163"/>
    <x v="1102"/>
    <x v="54"/>
    <x v="0"/>
    <x v="0"/>
    <x v="353"/>
    <x v="0"/>
    <x v="0"/>
    <x v="0"/>
    <x v="0"/>
    <x v="0"/>
    <x v="8"/>
    <x v="54"/>
    <x v="50"/>
    <x v="163"/>
    <x v="3"/>
    <x v="10"/>
    <x v="0"/>
    <x v="8"/>
    <x v="4"/>
    <x v="0"/>
    <x v="0"/>
    <x v="0"/>
    <x v="4"/>
    <x v="0"/>
    <x v="0"/>
    <x v="0"/>
    <x v="0"/>
  </r>
  <r>
    <x v="349"/>
    <x v="0"/>
    <x v="16"/>
    <x v="156"/>
    <x v="1103"/>
    <x v="55"/>
    <x v="0"/>
    <x v="0"/>
    <x v="346"/>
    <x v="0"/>
    <x v="0"/>
    <x v="0"/>
    <x v="0"/>
    <x v="0"/>
    <x v="8"/>
    <x v="55"/>
    <x v="51"/>
    <x v="156"/>
    <x v="3"/>
    <x v="10"/>
    <x v="0"/>
    <x v="8"/>
    <x v="4"/>
    <x v="0"/>
    <x v="0"/>
    <x v="0"/>
    <x v="4"/>
    <x v="0"/>
    <x v="0"/>
    <x v="0"/>
    <x v="0"/>
  </r>
  <r>
    <x v="340"/>
    <x v="0"/>
    <x v="16"/>
    <x v="147"/>
    <x v="1104"/>
    <x v="56"/>
    <x v="0"/>
    <x v="0"/>
    <x v="337"/>
    <x v="0"/>
    <x v="0"/>
    <x v="0"/>
    <x v="0"/>
    <x v="0"/>
    <x v="8"/>
    <x v="56"/>
    <x v="52"/>
    <x v="147"/>
    <x v="3"/>
    <x v="10"/>
    <x v="0"/>
    <x v="8"/>
    <x v="4"/>
    <x v="0"/>
    <x v="0"/>
    <x v="0"/>
    <x v="4"/>
    <x v="0"/>
    <x v="0"/>
    <x v="0"/>
    <x v="0"/>
  </r>
  <r>
    <x v="348"/>
    <x v="0"/>
    <x v="16"/>
    <x v="155"/>
    <x v="1105"/>
    <x v="57"/>
    <x v="0"/>
    <x v="0"/>
    <x v="345"/>
    <x v="0"/>
    <x v="0"/>
    <x v="0"/>
    <x v="0"/>
    <x v="0"/>
    <x v="8"/>
    <x v="57"/>
    <x v="53"/>
    <x v="155"/>
    <x v="3"/>
    <x v="10"/>
    <x v="0"/>
    <x v="8"/>
    <x v="4"/>
    <x v="0"/>
    <x v="0"/>
    <x v="0"/>
    <x v="4"/>
    <x v="0"/>
    <x v="0"/>
    <x v="0"/>
    <x v="0"/>
  </r>
  <r>
    <x v="344"/>
    <x v="0"/>
    <x v="16"/>
    <x v="151"/>
    <x v="1106"/>
    <x v="58"/>
    <x v="0"/>
    <x v="0"/>
    <x v="341"/>
    <x v="0"/>
    <x v="0"/>
    <x v="0"/>
    <x v="0"/>
    <x v="0"/>
    <x v="8"/>
    <x v="58"/>
    <x v="54"/>
    <x v="151"/>
    <x v="3"/>
    <x v="10"/>
    <x v="0"/>
    <x v="8"/>
    <x v="4"/>
    <x v="0"/>
    <x v="0"/>
    <x v="0"/>
    <x v="4"/>
    <x v="0"/>
    <x v="0"/>
    <x v="0"/>
    <x v="0"/>
  </r>
  <r>
    <x v="343"/>
    <x v="0"/>
    <x v="16"/>
    <x v="150"/>
    <x v="1107"/>
    <x v="59"/>
    <x v="0"/>
    <x v="0"/>
    <x v="340"/>
    <x v="0"/>
    <x v="0"/>
    <x v="0"/>
    <x v="0"/>
    <x v="0"/>
    <x v="8"/>
    <x v="59"/>
    <x v="55"/>
    <x v="150"/>
    <x v="3"/>
    <x v="10"/>
    <x v="0"/>
    <x v="8"/>
    <x v="4"/>
    <x v="0"/>
    <x v="0"/>
    <x v="0"/>
    <x v="4"/>
    <x v="0"/>
    <x v="0"/>
    <x v="0"/>
    <x v="0"/>
  </r>
  <r>
    <x v="350"/>
    <x v="0"/>
    <x v="16"/>
    <x v="157"/>
    <x v="1108"/>
    <x v="60"/>
    <x v="0"/>
    <x v="0"/>
    <x v="347"/>
    <x v="0"/>
    <x v="0"/>
    <x v="0"/>
    <x v="0"/>
    <x v="0"/>
    <x v="8"/>
    <x v="60"/>
    <x v="56"/>
    <x v="157"/>
    <x v="3"/>
    <x v="10"/>
    <x v="0"/>
    <x v="8"/>
    <x v="4"/>
    <x v="0"/>
    <x v="0"/>
    <x v="0"/>
    <x v="4"/>
    <x v="0"/>
    <x v="0"/>
    <x v="0"/>
    <x v="0"/>
  </r>
  <r>
    <x v="347"/>
    <x v="0"/>
    <x v="16"/>
    <x v="154"/>
    <x v="1109"/>
    <x v="61"/>
    <x v="0"/>
    <x v="0"/>
    <x v="344"/>
    <x v="0"/>
    <x v="0"/>
    <x v="0"/>
    <x v="0"/>
    <x v="0"/>
    <x v="8"/>
    <x v="61"/>
    <x v="57"/>
    <x v="154"/>
    <x v="3"/>
    <x v="10"/>
    <x v="0"/>
    <x v="8"/>
    <x v="4"/>
    <x v="0"/>
    <x v="0"/>
    <x v="0"/>
    <x v="4"/>
    <x v="0"/>
    <x v="0"/>
    <x v="0"/>
    <x v="0"/>
  </r>
  <r>
    <x v="336"/>
    <x v="0"/>
    <x v="16"/>
    <x v="143"/>
    <x v="1110"/>
    <x v="62"/>
    <x v="0"/>
    <x v="0"/>
    <x v="333"/>
    <x v="0"/>
    <x v="0"/>
    <x v="0"/>
    <x v="0"/>
    <x v="0"/>
    <x v="8"/>
    <x v="62"/>
    <x v="58"/>
    <x v="143"/>
    <x v="3"/>
    <x v="10"/>
    <x v="0"/>
    <x v="8"/>
    <x v="4"/>
    <x v="0"/>
    <x v="0"/>
    <x v="0"/>
    <x v="4"/>
    <x v="0"/>
    <x v="0"/>
    <x v="0"/>
    <x v="0"/>
  </r>
  <r>
    <x v="335"/>
    <x v="0"/>
    <x v="16"/>
    <x v="142"/>
    <x v="1111"/>
    <x v="63"/>
    <x v="0"/>
    <x v="0"/>
    <x v="332"/>
    <x v="0"/>
    <x v="0"/>
    <x v="0"/>
    <x v="0"/>
    <x v="0"/>
    <x v="8"/>
    <x v="63"/>
    <x v="59"/>
    <x v="142"/>
    <x v="3"/>
    <x v="10"/>
    <x v="0"/>
    <x v="8"/>
    <x v="4"/>
    <x v="0"/>
    <x v="0"/>
    <x v="0"/>
    <x v="4"/>
    <x v="0"/>
    <x v="0"/>
    <x v="0"/>
    <x v="0"/>
  </r>
  <r>
    <x v="353"/>
    <x v="0"/>
    <x v="16"/>
    <x v="160"/>
    <x v="1112"/>
    <x v="64"/>
    <x v="0"/>
    <x v="0"/>
    <x v="350"/>
    <x v="0"/>
    <x v="0"/>
    <x v="0"/>
    <x v="0"/>
    <x v="0"/>
    <x v="8"/>
    <x v="64"/>
    <x v="60"/>
    <x v="160"/>
    <x v="3"/>
    <x v="10"/>
    <x v="0"/>
    <x v="8"/>
    <x v="4"/>
    <x v="0"/>
    <x v="0"/>
    <x v="0"/>
    <x v="4"/>
    <x v="0"/>
    <x v="0"/>
    <x v="0"/>
    <x v="0"/>
  </r>
  <r>
    <x v="338"/>
    <x v="0"/>
    <x v="16"/>
    <x v="145"/>
    <x v="1113"/>
    <x v="65"/>
    <x v="0"/>
    <x v="0"/>
    <x v="335"/>
    <x v="0"/>
    <x v="0"/>
    <x v="0"/>
    <x v="0"/>
    <x v="0"/>
    <x v="8"/>
    <x v="65"/>
    <x v="61"/>
    <x v="145"/>
    <x v="3"/>
    <x v="10"/>
    <x v="0"/>
    <x v="8"/>
    <x v="4"/>
    <x v="0"/>
    <x v="0"/>
    <x v="0"/>
    <x v="4"/>
    <x v="0"/>
    <x v="0"/>
    <x v="0"/>
    <x v="0"/>
  </r>
  <r>
    <x v="355"/>
    <x v="0"/>
    <x v="16"/>
    <x v="162"/>
    <x v="1114"/>
    <x v="66"/>
    <x v="0"/>
    <x v="0"/>
    <x v="352"/>
    <x v="0"/>
    <x v="0"/>
    <x v="0"/>
    <x v="0"/>
    <x v="0"/>
    <x v="8"/>
    <x v="66"/>
    <x v="62"/>
    <x v="162"/>
    <x v="3"/>
    <x v="10"/>
    <x v="0"/>
    <x v="8"/>
    <x v="4"/>
    <x v="0"/>
    <x v="0"/>
    <x v="0"/>
    <x v="4"/>
    <x v="0"/>
    <x v="0"/>
    <x v="0"/>
    <x v="0"/>
  </r>
  <r>
    <x v="358"/>
    <x v="1"/>
    <x v="25"/>
    <x v="186"/>
    <x v="1115"/>
    <x v="67"/>
    <x v="1"/>
    <x v="0"/>
    <x v="355"/>
    <x v="0"/>
    <x v="0"/>
    <x v="0"/>
    <x v="0"/>
    <x v="0"/>
    <x v="8"/>
    <x v="67"/>
    <x v="63"/>
    <x v="186"/>
    <x v="3"/>
    <x v="10"/>
    <x v="0"/>
    <x v="8"/>
    <x v="4"/>
    <x v="0"/>
    <x v="0"/>
    <x v="0"/>
    <x v="4"/>
    <x v="0"/>
    <x v="0"/>
    <x v="1"/>
    <x v="1"/>
  </r>
  <r>
    <x v="357"/>
    <x v="1"/>
    <x v="25"/>
    <x v="187"/>
    <x v="1116"/>
    <x v="44"/>
    <x v="1"/>
    <x v="0"/>
    <x v="354"/>
    <x v="0"/>
    <x v="0"/>
    <x v="0"/>
    <x v="0"/>
    <x v="0"/>
    <x v="8"/>
    <x v="44"/>
    <x v="40"/>
    <x v="187"/>
    <x v="3"/>
    <x v="10"/>
    <x v="0"/>
    <x v="8"/>
    <x v="4"/>
    <x v="0"/>
    <x v="0"/>
    <x v="0"/>
    <x v="4"/>
    <x v="0"/>
    <x v="0"/>
    <x v="1"/>
    <x v="1"/>
  </r>
  <r>
    <x v="9"/>
    <x v="0"/>
    <x v="16"/>
    <x v="58"/>
    <x v="1117"/>
    <x v="134"/>
    <x v="0"/>
    <x v="0"/>
    <x v="6"/>
    <x v="0"/>
    <x v="0"/>
    <x v="0"/>
    <x v="0"/>
    <x v="0"/>
    <x v="8"/>
    <x v="134"/>
    <x v="130"/>
    <x v="58"/>
    <x v="3"/>
    <x v="10"/>
    <x v="0"/>
    <x v="8"/>
    <x v="4"/>
    <x v="0"/>
    <x v="0"/>
    <x v="0"/>
    <x v="1"/>
    <x v="0"/>
    <x v="0"/>
    <x v="0"/>
    <x v="0"/>
  </r>
  <r>
    <x v="20"/>
    <x v="0"/>
    <x v="16"/>
    <x v="69"/>
    <x v="1118"/>
    <x v="135"/>
    <x v="0"/>
    <x v="0"/>
    <x v="17"/>
    <x v="0"/>
    <x v="0"/>
    <x v="0"/>
    <x v="0"/>
    <x v="0"/>
    <x v="8"/>
    <x v="135"/>
    <x v="131"/>
    <x v="69"/>
    <x v="3"/>
    <x v="10"/>
    <x v="0"/>
    <x v="8"/>
    <x v="4"/>
    <x v="0"/>
    <x v="0"/>
    <x v="0"/>
    <x v="1"/>
    <x v="0"/>
    <x v="0"/>
    <x v="0"/>
    <x v="0"/>
  </r>
  <r>
    <x v="22"/>
    <x v="0"/>
    <x v="16"/>
    <x v="71"/>
    <x v="1119"/>
    <x v="136"/>
    <x v="0"/>
    <x v="0"/>
    <x v="19"/>
    <x v="0"/>
    <x v="0"/>
    <x v="0"/>
    <x v="0"/>
    <x v="0"/>
    <x v="8"/>
    <x v="136"/>
    <x v="132"/>
    <x v="71"/>
    <x v="3"/>
    <x v="10"/>
    <x v="0"/>
    <x v="8"/>
    <x v="4"/>
    <x v="0"/>
    <x v="0"/>
    <x v="0"/>
    <x v="1"/>
    <x v="0"/>
    <x v="0"/>
    <x v="0"/>
    <x v="0"/>
  </r>
  <r>
    <x v="14"/>
    <x v="0"/>
    <x v="16"/>
    <x v="63"/>
    <x v="1120"/>
    <x v="137"/>
    <x v="0"/>
    <x v="0"/>
    <x v="11"/>
    <x v="0"/>
    <x v="0"/>
    <x v="0"/>
    <x v="0"/>
    <x v="0"/>
    <x v="8"/>
    <x v="137"/>
    <x v="133"/>
    <x v="63"/>
    <x v="3"/>
    <x v="10"/>
    <x v="0"/>
    <x v="8"/>
    <x v="4"/>
    <x v="0"/>
    <x v="0"/>
    <x v="0"/>
    <x v="1"/>
    <x v="0"/>
    <x v="0"/>
    <x v="0"/>
    <x v="0"/>
  </r>
  <r>
    <x v="19"/>
    <x v="0"/>
    <x v="16"/>
    <x v="68"/>
    <x v="1121"/>
    <x v="138"/>
    <x v="0"/>
    <x v="0"/>
    <x v="16"/>
    <x v="0"/>
    <x v="0"/>
    <x v="0"/>
    <x v="0"/>
    <x v="0"/>
    <x v="8"/>
    <x v="138"/>
    <x v="134"/>
    <x v="68"/>
    <x v="3"/>
    <x v="10"/>
    <x v="0"/>
    <x v="8"/>
    <x v="4"/>
    <x v="0"/>
    <x v="0"/>
    <x v="0"/>
    <x v="1"/>
    <x v="0"/>
    <x v="0"/>
    <x v="0"/>
    <x v="0"/>
  </r>
  <r>
    <x v="13"/>
    <x v="0"/>
    <x v="16"/>
    <x v="62"/>
    <x v="1122"/>
    <x v="139"/>
    <x v="0"/>
    <x v="0"/>
    <x v="10"/>
    <x v="0"/>
    <x v="0"/>
    <x v="0"/>
    <x v="0"/>
    <x v="0"/>
    <x v="8"/>
    <x v="139"/>
    <x v="135"/>
    <x v="62"/>
    <x v="3"/>
    <x v="10"/>
    <x v="0"/>
    <x v="8"/>
    <x v="4"/>
    <x v="0"/>
    <x v="0"/>
    <x v="0"/>
    <x v="1"/>
    <x v="0"/>
    <x v="0"/>
    <x v="0"/>
    <x v="0"/>
  </r>
  <r>
    <x v="10"/>
    <x v="0"/>
    <x v="16"/>
    <x v="59"/>
    <x v="1123"/>
    <x v="140"/>
    <x v="0"/>
    <x v="0"/>
    <x v="7"/>
    <x v="0"/>
    <x v="0"/>
    <x v="0"/>
    <x v="0"/>
    <x v="0"/>
    <x v="8"/>
    <x v="140"/>
    <x v="136"/>
    <x v="59"/>
    <x v="3"/>
    <x v="10"/>
    <x v="0"/>
    <x v="8"/>
    <x v="4"/>
    <x v="0"/>
    <x v="0"/>
    <x v="0"/>
    <x v="1"/>
    <x v="0"/>
    <x v="0"/>
    <x v="0"/>
    <x v="0"/>
  </r>
  <r>
    <x v="7"/>
    <x v="0"/>
    <x v="16"/>
    <x v="56"/>
    <x v="1124"/>
    <x v="141"/>
    <x v="0"/>
    <x v="0"/>
    <x v="4"/>
    <x v="0"/>
    <x v="0"/>
    <x v="0"/>
    <x v="0"/>
    <x v="0"/>
    <x v="8"/>
    <x v="141"/>
    <x v="137"/>
    <x v="56"/>
    <x v="3"/>
    <x v="10"/>
    <x v="0"/>
    <x v="8"/>
    <x v="4"/>
    <x v="0"/>
    <x v="0"/>
    <x v="0"/>
    <x v="1"/>
    <x v="0"/>
    <x v="0"/>
    <x v="0"/>
    <x v="0"/>
  </r>
  <r>
    <x v="5"/>
    <x v="0"/>
    <x v="16"/>
    <x v="54"/>
    <x v="1125"/>
    <x v="142"/>
    <x v="0"/>
    <x v="0"/>
    <x v="2"/>
    <x v="0"/>
    <x v="0"/>
    <x v="0"/>
    <x v="0"/>
    <x v="0"/>
    <x v="8"/>
    <x v="142"/>
    <x v="138"/>
    <x v="54"/>
    <x v="3"/>
    <x v="10"/>
    <x v="0"/>
    <x v="8"/>
    <x v="4"/>
    <x v="0"/>
    <x v="0"/>
    <x v="0"/>
    <x v="1"/>
    <x v="0"/>
    <x v="0"/>
    <x v="0"/>
    <x v="0"/>
  </r>
  <r>
    <x v="24"/>
    <x v="0"/>
    <x v="16"/>
    <x v="73"/>
    <x v="1126"/>
    <x v="143"/>
    <x v="0"/>
    <x v="0"/>
    <x v="21"/>
    <x v="0"/>
    <x v="0"/>
    <x v="0"/>
    <x v="0"/>
    <x v="0"/>
    <x v="8"/>
    <x v="143"/>
    <x v="139"/>
    <x v="73"/>
    <x v="3"/>
    <x v="10"/>
    <x v="0"/>
    <x v="8"/>
    <x v="4"/>
    <x v="0"/>
    <x v="0"/>
    <x v="0"/>
    <x v="1"/>
    <x v="0"/>
    <x v="0"/>
    <x v="0"/>
    <x v="0"/>
  </r>
  <r>
    <x v="17"/>
    <x v="0"/>
    <x v="16"/>
    <x v="66"/>
    <x v="1127"/>
    <x v="144"/>
    <x v="0"/>
    <x v="0"/>
    <x v="14"/>
    <x v="0"/>
    <x v="0"/>
    <x v="0"/>
    <x v="0"/>
    <x v="0"/>
    <x v="8"/>
    <x v="144"/>
    <x v="140"/>
    <x v="66"/>
    <x v="3"/>
    <x v="10"/>
    <x v="0"/>
    <x v="8"/>
    <x v="4"/>
    <x v="0"/>
    <x v="0"/>
    <x v="0"/>
    <x v="1"/>
    <x v="0"/>
    <x v="0"/>
    <x v="0"/>
    <x v="0"/>
  </r>
  <r>
    <x v="8"/>
    <x v="0"/>
    <x v="16"/>
    <x v="57"/>
    <x v="1128"/>
    <x v="145"/>
    <x v="0"/>
    <x v="0"/>
    <x v="5"/>
    <x v="0"/>
    <x v="0"/>
    <x v="0"/>
    <x v="0"/>
    <x v="0"/>
    <x v="8"/>
    <x v="145"/>
    <x v="141"/>
    <x v="57"/>
    <x v="3"/>
    <x v="10"/>
    <x v="0"/>
    <x v="8"/>
    <x v="4"/>
    <x v="0"/>
    <x v="0"/>
    <x v="0"/>
    <x v="1"/>
    <x v="0"/>
    <x v="0"/>
    <x v="0"/>
    <x v="0"/>
  </r>
  <r>
    <x v="16"/>
    <x v="0"/>
    <x v="16"/>
    <x v="65"/>
    <x v="1129"/>
    <x v="146"/>
    <x v="0"/>
    <x v="0"/>
    <x v="13"/>
    <x v="0"/>
    <x v="0"/>
    <x v="0"/>
    <x v="0"/>
    <x v="0"/>
    <x v="8"/>
    <x v="146"/>
    <x v="142"/>
    <x v="65"/>
    <x v="3"/>
    <x v="10"/>
    <x v="0"/>
    <x v="8"/>
    <x v="4"/>
    <x v="0"/>
    <x v="0"/>
    <x v="0"/>
    <x v="1"/>
    <x v="0"/>
    <x v="0"/>
    <x v="0"/>
    <x v="0"/>
  </r>
  <r>
    <x v="12"/>
    <x v="0"/>
    <x v="16"/>
    <x v="61"/>
    <x v="1130"/>
    <x v="147"/>
    <x v="0"/>
    <x v="0"/>
    <x v="9"/>
    <x v="0"/>
    <x v="0"/>
    <x v="0"/>
    <x v="0"/>
    <x v="0"/>
    <x v="8"/>
    <x v="147"/>
    <x v="143"/>
    <x v="61"/>
    <x v="3"/>
    <x v="10"/>
    <x v="0"/>
    <x v="8"/>
    <x v="4"/>
    <x v="0"/>
    <x v="0"/>
    <x v="0"/>
    <x v="1"/>
    <x v="0"/>
    <x v="0"/>
    <x v="0"/>
    <x v="0"/>
  </r>
  <r>
    <x v="11"/>
    <x v="0"/>
    <x v="16"/>
    <x v="60"/>
    <x v="1131"/>
    <x v="148"/>
    <x v="0"/>
    <x v="0"/>
    <x v="8"/>
    <x v="0"/>
    <x v="0"/>
    <x v="0"/>
    <x v="0"/>
    <x v="0"/>
    <x v="8"/>
    <x v="148"/>
    <x v="144"/>
    <x v="60"/>
    <x v="3"/>
    <x v="10"/>
    <x v="0"/>
    <x v="8"/>
    <x v="4"/>
    <x v="0"/>
    <x v="0"/>
    <x v="0"/>
    <x v="1"/>
    <x v="0"/>
    <x v="0"/>
    <x v="0"/>
    <x v="0"/>
  </r>
  <r>
    <x v="18"/>
    <x v="0"/>
    <x v="16"/>
    <x v="67"/>
    <x v="1132"/>
    <x v="149"/>
    <x v="0"/>
    <x v="0"/>
    <x v="15"/>
    <x v="0"/>
    <x v="0"/>
    <x v="0"/>
    <x v="0"/>
    <x v="0"/>
    <x v="8"/>
    <x v="149"/>
    <x v="145"/>
    <x v="67"/>
    <x v="3"/>
    <x v="10"/>
    <x v="0"/>
    <x v="8"/>
    <x v="4"/>
    <x v="0"/>
    <x v="0"/>
    <x v="0"/>
    <x v="1"/>
    <x v="0"/>
    <x v="0"/>
    <x v="0"/>
    <x v="0"/>
  </r>
  <r>
    <x v="15"/>
    <x v="0"/>
    <x v="16"/>
    <x v="64"/>
    <x v="1133"/>
    <x v="150"/>
    <x v="0"/>
    <x v="0"/>
    <x v="12"/>
    <x v="0"/>
    <x v="0"/>
    <x v="0"/>
    <x v="0"/>
    <x v="0"/>
    <x v="8"/>
    <x v="150"/>
    <x v="146"/>
    <x v="64"/>
    <x v="3"/>
    <x v="10"/>
    <x v="0"/>
    <x v="8"/>
    <x v="4"/>
    <x v="0"/>
    <x v="0"/>
    <x v="0"/>
    <x v="1"/>
    <x v="0"/>
    <x v="0"/>
    <x v="0"/>
    <x v="0"/>
  </r>
  <r>
    <x v="4"/>
    <x v="0"/>
    <x v="16"/>
    <x v="53"/>
    <x v="1134"/>
    <x v="151"/>
    <x v="0"/>
    <x v="0"/>
    <x v="1"/>
    <x v="0"/>
    <x v="0"/>
    <x v="0"/>
    <x v="0"/>
    <x v="0"/>
    <x v="8"/>
    <x v="151"/>
    <x v="147"/>
    <x v="53"/>
    <x v="3"/>
    <x v="10"/>
    <x v="0"/>
    <x v="8"/>
    <x v="4"/>
    <x v="0"/>
    <x v="0"/>
    <x v="0"/>
    <x v="1"/>
    <x v="0"/>
    <x v="0"/>
    <x v="0"/>
    <x v="0"/>
  </r>
  <r>
    <x v="3"/>
    <x v="0"/>
    <x v="16"/>
    <x v="52"/>
    <x v="1135"/>
    <x v="152"/>
    <x v="0"/>
    <x v="0"/>
    <x v="0"/>
    <x v="0"/>
    <x v="0"/>
    <x v="0"/>
    <x v="0"/>
    <x v="0"/>
    <x v="8"/>
    <x v="152"/>
    <x v="148"/>
    <x v="52"/>
    <x v="3"/>
    <x v="10"/>
    <x v="0"/>
    <x v="8"/>
    <x v="4"/>
    <x v="0"/>
    <x v="0"/>
    <x v="0"/>
    <x v="1"/>
    <x v="0"/>
    <x v="0"/>
    <x v="0"/>
    <x v="0"/>
  </r>
  <r>
    <x v="21"/>
    <x v="0"/>
    <x v="16"/>
    <x v="70"/>
    <x v="1136"/>
    <x v="153"/>
    <x v="0"/>
    <x v="0"/>
    <x v="18"/>
    <x v="0"/>
    <x v="0"/>
    <x v="0"/>
    <x v="0"/>
    <x v="0"/>
    <x v="8"/>
    <x v="153"/>
    <x v="149"/>
    <x v="70"/>
    <x v="3"/>
    <x v="10"/>
    <x v="0"/>
    <x v="8"/>
    <x v="4"/>
    <x v="0"/>
    <x v="0"/>
    <x v="0"/>
    <x v="1"/>
    <x v="0"/>
    <x v="0"/>
    <x v="0"/>
    <x v="0"/>
  </r>
  <r>
    <x v="6"/>
    <x v="0"/>
    <x v="16"/>
    <x v="55"/>
    <x v="1137"/>
    <x v="154"/>
    <x v="0"/>
    <x v="0"/>
    <x v="3"/>
    <x v="0"/>
    <x v="0"/>
    <x v="0"/>
    <x v="0"/>
    <x v="0"/>
    <x v="8"/>
    <x v="154"/>
    <x v="150"/>
    <x v="55"/>
    <x v="3"/>
    <x v="10"/>
    <x v="0"/>
    <x v="8"/>
    <x v="4"/>
    <x v="0"/>
    <x v="0"/>
    <x v="0"/>
    <x v="1"/>
    <x v="0"/>
    <x v="0"/>
    <x v="0"/>
    <x v="0"/>
  </r>
  <r>
    <x v="23"/>
    <x v="0"/>
    <x v="16"/>
    <x v="72"/>
    <x v="1138"/>
    <x v="155"/>
    <x v="0"/>
    <x v="0"/>
    <x v="20"/>
    <x v="0"/>
    <x v="0"/>
    <x v="0"/>
    <x v="0"/>
    <x v="0"/>
    <x v="8"/>
    <x v="155"/>
    <x v="151"/>
    <x v="72"/>
    <x v="3"/>
    <x v="10"/>
    <x v="0"/>
    <x v="8"/>
    <x v="4"/>
    <x v="0"/>
    <x v="0"/>
    <x v="0"/>
    <x v="1"/>
    <x v="0"/>
    <x v="0"/>
    <x v="0"/>
    <x v="0"/>
  </r>
  <r>
    <x v="216"/>
    <x v="0"/>
    <x v="15"/>
    <x v="170"/>
    <x v="1139"/>
    <x v="22"/>
    <x v="0"/>
    <x v="0"/>
    <x v="213"/>
    <x v="0"/>
    <x v="0"/>
    <x v="0"/>
    <x v="0"/>
    <x v="0"/>
    <x v="8"/>
    <x v="22"/>
    <x v="18"/>
    <x v="170"/>
    <x v="3"/>
    <x v="10"/>
    <x v="0"/>
    <x v="8"/>
    <x v="4"/>
    <x v="0"/>
    <x v="0"/>
    <x v="0"/>
    <x v="1"/>
    <x v="0"/>
    <x v="0"/>
    <x v="0"/>
    <x v="0"/>
  </r>
  <r>
    <x v="227"/>
    <x v="0"/>
    <x v="15"/>
    <x v="181"/>
    <x v="1140"/>
    <x v="23"/>
    <x v="0"/>
    <x v="0"/>
    <x v="224"/>
    <x v="0"/>
    <x v="0"/>
    <x v="0"/>
    <x v="0"/>
    <x v="0"/>
    <x v="8"/>
    <x v="23"/>
    <x v="19"/>
    <x v="181"/>
    <x v="3"/>
    <x v="10"/>
    <x v="0"/>
    <x v="8"/>
    <x v="4"/>
    <x v="0"/>
    <x v="0"/>
    <x v="0"/>
    <x v="1"/>
    <x v="0"/>
    <x v="0"/>
    <x v="0"/>
    <x v="0"/>
  </r>
  <r>
    <x v="229"/>
    <x v="0"/>
    <x v="15"/>
    <x v="183"/>
    <x v="1141"/>
    <x v="24"/>
    <x v="0"/>
    <x v="0"/>
    <x v="226"/>
    <x v="0"/>
    <x v="0"/>
    <x v="0"/>
    <x v="0"/>
    <x v="0"/>
    <x v="8"/>
    <x v="24"/>
    <x v="20"/>
    <x v="183"/>
    <x v="3"/>
    <x v="10"/>
    <x v="0"/>
    <x v="8"/>
    <x v="4"/>
    <x v="0"/>
    <x v="0"/>
    <x v="0"/>
    <x v="1"/>
    <x v="0"/>
    <x v="0"/>
    <x v="0"/>
    <x v="0"/>
  </r>
  <r>
    <x v="221"/>
    <x v="0"/>
    <x v="15"/>
    <x v="175"/>
    <x v="1142"/>
    <x v="25"/>
    <x v="0"/>
    <x v="0"/>
    <x v="218"/>
    <x v="0"/>
    <x v="0"/>
    <x v="0"/>
    <x v="0"/>
    <x v="0"/>
    <x v="8"/>
    <x v="25"/>
    <x v="21"/>
    <x v="175"/>
    <x v="3"/>
    <x v="10"/>
    <x v="0"/>
    <x v="8"/>
    <x v="4"/>
    <x v="0"/>
    <x v="0"/>
    <x v="0"/>
    <x v="1"/>
    <x v="0"/>
    <x v="0"/>
    <x v="0"/>
    <x v="0"/>
  </r>
  <r>
    <x v="226"/>
    <x v="0"/>
    <x v="15"/>
    <x v="180"/>
    <x v="1143"/>
    <x v="26"/>
    <x v="0"/>
    <x v="0"/>
    <x v="223"/>
    <x v="0"/>
    <x v="0"/>
    <x v="0"/>
    <x v="0"/>
    <x v="0"/>
    <x v="8"/>
    <x v="26"/>
    <x v="22"/>
    <x v="180"/>
    <x v="3"/>
    <x v="10"/>
    <x v="0"/>
    <x v="8"/>
    <x v="4"/>
    <x v="0"/>
    <x v="0"/>
    <x v="0"/>
    <x v="1"/>
    <x v="0"/>
    <x v="0"/>
    <x v="0"/>
    <x v="0"/>
  </r>
  <r>
    <x v="220"/>
    <x v="0"/>
    <x v="15"/>
    <x v="174"/>
    <x v="1144"/>
    <x v="27"/>
    <x v="0"/>
    <x v="0"/>
    <x v="217"/>
    <x v="0"/>
    <x v="0"/>
    <x v="0"/>
    <x v="0"/>
    <x v="0"/>
    <x v="8"/>
    <x v="27"/>
    <x v="23"/>
    <x v="174"/>
    <x v="3"/>
    <x v="10"/>
    <x v="0"/>
    <x v="8"/>
    <x v="4"/>
    <x v="0"/>
    <x v="0"/>
    <x v="0"/>
    <x v="1"/>
    <x v="0"/>
    <x v="0"/>
    <x v="0"/>
    <x v="0"/>
  </r>
  <r>
    <x v="217"/>
    <x v="0"/>
    <x v="15"/>
    <x v="171"/>
    <x v="1145"/>
    <x v="28"/>
    <x v="0"/>
    <x v="0"/>
    <x v="214"/>
    <x v="0"/>
    <x v="0"/>
    <x v="0"/>
    <x v="0"/>
    <x v="0"/>
    <x v="8"/>
    <x v="28"/>
    <x v="24"/>
    <x v="171"/>
    <x v="3"/>
    <x v="10"/>
    <x v="0"/>
    <x v="8"/>
    <x v="4"/>
    <x v="0"/>
    <x v="0"/>
    <x v="0"/>
    <x v="1"/>
    <x v="0"/>
    <x v="0"/>
    <x v="0"/>
    <x v="0"/>
  </r>
  <r>
    <x v="214"/>
    <x v="0"/>
    <x v="15"/>
    <x v="168"/>
    <x v="1146"/>
    <x v="29"/>
    <x v="0"/>
    <x v="0"/>
    <x v="211"/>
    <x v="0"/>
    <x v="0"/>
    <x v="0"/>
    <x v="0"/>
    <x v="0"/>
    <x v="8"/>
    <x v="29"/>
    <x v="25"/>
    <x v="168"/>
    <x v="3"/>
    <x v="10"/>
    <x v="0"/>
    <x v="8"/>
    <x v="4"/>
    <x v="0"/>
    <x v="0"/>
    <x v="0"/>
    <x v="1"/>
    <x v="0"/>
    <x v="0"/>
    <x v="0"/>
    <x v="0"/>
  </r>
  <r>
    <x v="212"/>
    <x v="0"/>
    <x v="15"/>
    <x v="166"/>
    <x v="1147"/>
    <x v="30"/>
    <x v="0"/>
    <x v="0"/>
    <x v="209"/>
    <x v="0"/>
    <x v="0"/>
    <x v="0"/>
    <x v="0"/>
    <x v="0"/>
    <x v="8"/>
    <x v="30"/>
    <x v="26"/>
    <x v="166"/>
    <x v="3"/>
    <x v="10"/>
    <x v="0"/>
    <x v="8"/>
    <x v="4"/>
    <x v="0"/>
    <x v="0"/>
    <x v="0"/>
    <x v="1"/>
    <x v="0"/>
    <x v="0"/>
    <x v="0"/>
    <x v="0"/>
  </r>
  <r>
    <x v="231"/>
    <x v="0"/>
    <x v="15"/>
    <x v="185"/>
    <x v="1148"/>
    <x v="31"/>
    <x v="0"/>
    <x v="0"/>
    <x v="228"/>
    <x v="0"/>
    <x v="0"/>
    <x v="0"/>
    <x v="0"/>
    <x v="0"/>
    <x v="8"/>
    <x v="31"/>
    <x v="27"/>
    <x v="185"/>
    <x v="3"/>
    <x v="10"/>
    <x v="0"/>
    <x v="8"/>
    <x v="4"/>
    <x v="0"/>
    <x v="0"/>
    <x v="0"/>
    <x v="1"/>
    <x v="0"/>
    <x v="0"/>
    <x v="0"/>
    <x v="0"/>
  </r>
  <r>
    <x v="224"/>
    <x v="0"/>
    <x v="15"/>
    <x v="178"/>
    <x v="1149"/>
    <x v="32"/>
    <x v="0"/>
    <x v="0"/>
    <x v="221"/>
    <x v="0"/>
    <x v="0"/>
    <x v="0"/>
    <x v="0"/>
    <x v="0"/>
    <x v="8"/>
    <x v="32"/>
    <x v="28"/>
    <x v="178"/>
    <x v="3"/>
    <x v="10"/>
    <x v="0"/>
    <x v="8"/>
    <x v="4"/>
    <x v="0"/>
    <x v="0"/>
    <x v="0"/>
    <x v="1"/>
    <x v="0"/>
    <x v="0"/>
    <x v="0"/>
    <x v="0"/>
  </r>
  <r>
    <x v="215"/>
    <x v="0"/>
    <x v="15"/>
    <x v="169"/>
    <x v="1150"/>
    <x v="33"/>
    <x v="0"/>
    <x v="0"/>
    <x v="212"/>
    <x v="0"/>
    <x v="0"/>
    <x v="0"/>
    <x v="0"/>
    <x v="0"/>
    <x v="8"/>
    <x v="33"/>
    <x v="29"/>
    <x v="169"/>
    <x v="3"/>
    <x v="10"/>
    <x v="0"/>
    <x v="8"/>
    <x v="4"/>
    <x v="0"/>
    <x v="0"/>
    <x v="0"/>
    <x v="1"/>
    <x v="0"/>
    <x v="0"/>
    <x v="0"/>
    <x v="0"/>
  </r>
  <r>
    <x v="223"/>
    <x v="0"/>
    <x v="15"/>
    <x v="177"/>
    <x v="1151"/>
    <x v="34"/>
    <x v="0"/>
    <x v="0"/>
    <x v="220"/>
    <x v="0"/>
    <x v="0"/>
    <x v="0"/>
    <x v="0"/>
    <x v="0"/>
    <x v="8"/>
    <x v="34"/>
    <x v="30"/>
    <x v="177"/>
    <x v="3"/>
    <x v="10"/>
    <x v="0"/>
    <x v="8"/>
    <x v="4"/>
    <x v="0"/>
    <x v="0"/>
    <x v="0"/>
    <x v="1"/>
    <x v="0"/>
    <x v="0"/>
    <x v="0"/>
    <x v="0"/>
  </r>
  <r>
    <x v="219"/>
    <x v="0"/>
    <x v="15"/>
    <x v="173"/>
    <x v="1152"/>
    <x v="35"/>
    <x v="0"/>
    <x v="0"/>
    <x v="216"/>
    <x v="0"/>
    <x v="0"/>
    <x v="0"/>
    <x v="0"/>
    <x v="0"/>
    <x v="8"/>
    <x v="35"/>
    <x v="31"/>
    <x v="173"/>
    <x v="3"/>
    <x v="10"/>
    <x v="0"/>
    <x v="8"/>
    <x v="4"/>
    <x v="0"/>
    <x v="0"/>
    <x v="0"/>
    <x v="1"/>
    <x v="0"/>
    <x v="0"/>
    <x v="0"/>
    <x v="0"/>
  </r>
  <r>
    <x v="218"/>
    <x v="0"/>
    <x v="15"/>
    <x v="172"/>
    <x v="1153"/>
    <x v="36"/>
    <x v="0"/>
    <x v="0"/>
    <x v="215"/>
    <x v="0"/>
    <x v="0"/>
    <x v="0"/>
    <x v="0"/>
    <x v="0"/>
    <x v="8"/>
    <x v="36"/>
    <x v="32"/>
    <x v="172"/>
    <x v="3"/>
    <x v="10"/>
    <x v="0"/>
    <x v="8"/>
    <x v="4"/>
    <x v="0"/>
    <x v="0"/>
    <x v="0"/>
    <x v="1"/>
    <x v="0"/>
    <x v="0"/>
    <x v="0"/>
    <x v="0"/>
  </r>
  <r>
    <x v="225"/>
    <x v="0"/>
    <x v="15"/>
    <x v="179"/>
    <x v="1154"/>
    <x v="37"/>
    <x v="0"/>
    <x v="0"/>
    <x v="222"/>
    <x v="0"/>
    <x v="0"/>
    <x v="0"/>
    <x v="0"/>
    <x v="0"/>
    <x v="8"/>
    <x v="37"/>
    <x v="33"/>
    <x v="179"/>
    <x v="3"/>
    <x v="10"/>
    <x v="0"/>
    <x v="8"/>
    <x v="4"/>
    <x v="0"/>
    <x v="0"/>
    <x v="0"/>
    <x v="1"/>
    <x v="0"/>
    <x v="0"/>
    <x v="0"/>
    <x v="0"/>
  </r>
  <r>
    <x v="222"/>
    <x v="0"/>
    <x v="15"/>
    <x v="176"/>
    <x v="1155"/>
    <x v="38"/>
    <x v="0"/>
    <x v="0"/>
    <x v="219"/>
    <x v="0"/>
    <x v="0"/>
    <x v="0"/>
    <x v="0"/>
    <x v="0"/>
    <x v="8"/>
    <x v="38"/>
    <x v="34"/>
    <x v="176"/>
    <x v="3"/>
    <x v="10"/>
    <x v="0"/>
    <x v="8"/>
    <x v="4"/>
    <x v="0"/>
    <x v="0"/>
    <x v="0"/>
    <x v="1"/>
    <x v="0"/>
    <x v="0"/>
    <x v="0"/>
    <x v="0"/>
  </r>
  <r>
    <x v="211"/>
    <x v="0"/>
    <x v="15"/>
    <x v="165"/>
    <x v="1156"/>
    <x v="39"/>
    <x v="0"/>
    <x v="0"/>
    <x v="208"/>
    <x v="0"/>
    <x v="0"/>
    <x v="0"/>
    <x v="0"/>
    <x v="0"/>
    <x v="8"/>
    <x v="39"/>
    <x v="35"/>
    <x v="165"/>
    <x v="3"/>
    <x v="10"/>
    <x v="0"/>
    <x v="8"/>
    <x v="4"/>
    <x v="0"/>
    <x v="0"/>
    <x v="0"/>
    <x v="1"/>
    <x v="0"/>
    <x v="0"/>
    <x v="0"/>
    <x v="0"/>
  </r>
  <r>
    <x v="210"/>
    <x v="0"/>
    <x v="15"/>
    <x v="164"/>
    <x v="1157"/>
    <x v="40"/>
    <x v="0"/>
    <x v="0"/>
    <x v="207"/>
    <x v="0"/>
    <x v="0"/>
    <x v="0"/>
    <x v="0"/>
    <x v="0"/>
    <x v="8"/>
    <x v="40"/>
    <x v="36"/>
    <x v="164"/>
    <x v="3"/>
    <x v="10"/>
    <x v="0"/>
    <x v="8"/>
    <x v="4"/>
    <x v="0"/>
    <x v="0"/>
    <x v="0"/>
    <x v="1"/>
    <x v="0"/>
    <x v="0"/>
    <x v="0"/>
    <x v="0"/>
  </r>
  <r>
    <x v="228"/>
    <x v="0"/>
    <x v="15"/>
    <x v="182"/>
    <x v="1158"/>
    <x v="41"/>
    <x v="0"/>
    <x v="0"/>
    <x v="225"/>
    <x v="0"/>
    <x v="0"/>
    <x v="0"/>
    <x v="0"/>
    <x v="0"/>
    <x v="8"/>
    <x v="41"/>
    <x v="37"/>
    <x v="182"/>
    <x v="3"/>
    <x v="10"/>
    <x v="0"/>
    <x v="8"/>
    <x v="4"/>
    <x v="0"/>
    <x v="0"/>
    <x v="0"/>
    <x v="1"/>
    <x v="0"/>
    <x v="0"/>
    <x v="0"/>
    <x v="0"/>
  </r>
  <r>
    <x v="213"/>
    <x v="0"/>
    <x v="15"/>
    <x v="167"/>
    <x v="1159"/>
    <x v="42"/>
    <x v="0"/>
    <x v="0"/>
    <x v="210"/>
    <x v="0"/>
    <x v="0"/>
    <x v="0"/>
    <x v="0"/>
    <x v="0"/>
    <x v="8"/>
    <x v="42"/>
    <x v="38"/>
    <x v="167"/>
    <x v="3"/>
    <x v="10"/>
    <x v="0"/>
    <x v="8"/>
    <x v="4"/>
    <x v="0"/>
    <x v="0"/>
    <x v="0"/>
    <x v="1"/>
    <x v="0"/>
    <x v="0"/>
    <x v="0"/>
    <x v="0"/>
  </r>
  <r>
    <x v="230"/>
    <x v="0"/>
    <x v="15"/>
    <x v="184"/>
    <x v="1160"/>
    <x v="43"/>
    <x v="0"/>
    <x v="0"/>
    <x v="227"/>
    <x v="0"/>
    <x v="0"/>
    <x v="0"/>
    <x v="0"/>
    <x v="0"/>
    <x v="8"/>
    <x v="43"/>
    <x v="39"/>
    <x v="184"/>
    <x v="3"/>
    <x v="10"/>
    <x v="0"/>
    <x v="8"/>
    <x v="4"/>
    <x v="0"/>
    <x v="0"/>
    <x v="0"/>
    <x v="1"/>
    <x v="0"/>
    <x v="0"/>
    <x v="0"/>
    <x v="0"/>
  </r>
  <r>
    <x v="94"/>
    <x v="0"/>
    <x v="12"/>
    <x v="51"/>
    <x v="1161"/>
    <x v="156"/>
    <x v="1"/>
    <x v="0"/>
    <x v="91"/>
    <x v="0"/>
    <x v="0"/>
    <x v="0"/>
    <x v="0"/>
    <x v="0"/>
    <x v="8"/>
    <x v="156"/>
    <x v="152"/>
    <x v="51"/>
    <x v="3"/>
    <x v="10"/>
    <x v="0"/>
    <x v="8"/>
    <x v="4"/>
    <x v="0"/>
    <x v="0"/>
    <x v="0"/>
    <x v="7"/>
    <x v="0"/>
    <x v="0"/>
    <x v="1"/>
    <x v="1"/>
  </r>
  <r>
    <x v="47"/>
    <x v="0"/>
    <x v="4"/>
    <x v="96"/>
    <x v="1162"/>
    <x v="157"/>
    <x v="1"/>
    <x v="0"/>
    <x v="44"/>
    <x v="0"/>
    <x v="0"/>
    <x v="0"/>
    <x v="0"/>
    <x v="0"/>
    <x v="8"/>
    <x v="157"/>
    <x v="153"/>
    <x v="96"/>
    <x v="3"/>
    <x v="10"/>
    <x v="0"/>
    <x v="8"/>
    <x v="4"/>
    <x v="0"/>
    <x v="0"/>
    <x v="0"/>
    <x v="4"/>
    <x v="0"/>
    <x v="0"/>
    <x v="1"/>
    <x v="1"/>
  </r>
  <r>
    <x v="31"/>
    <x v="0"/>
    <x v="16"/>
    <x v="80"/>
    <x v="1163"/>
    <x v="90"/>
    <x v="0"/>
    <x v="0"/>
    <x v="28"/>
    <x v="0"/>
    <x v="0"/>
    <x v="0"/>
    <x v="0"/>
    <x v="0"/>
    <x v="8"/>
    <x v="90"/>
    <x v="86"/>
    <x v="80"/>
    <x v="3"/>
    <x v="10"/>
    <x v="0"/>
    <x v="8"/>
    <x v="4"/>
    <x v="0"/>
    <x v="0"/>
    <x v="0"/>
    <x v="1"/>
    <x v="0"/>
    <x v="0"/>
    <x v="0"/>
    <x v="0"/>
  </r>
  <r>
    <x v="42"/>
    <x v="0"/>
    <x v="16"/>
    <x v="91"/>
    <x v="1164"/>
    <x v="91"/>
    <x v="0"/>
    <x v="0"/>
    <x v="39"/>
    <x v="0"/>
    <x v="0"/>
    <x v="0"/>
    <x v="0"/>
    <x v="0"/>
    <x v="8"/>
    <x v="91"/>
    <x v="87"/>
    <x v="91"/>
    <x v="3"/>
    <x v="10"/>
    <x v="0"/>
    <x v="8"/>
    <x v="4"/>
    <x v="0"/>
    <x v="0"/>
    <x v="0"/>
    <x v="1"/>
    <x v="0"/>
    <x v="0"/>
    <x v="0"/>
    <x v="0"/>
  </r>
  <r>
    <x v="44"/>
    <x v="0"/>
    <x v="16"/>
    <x v="93"/>
    <x v="1165"/>
    <x v="92"/>
    <x v="0"/>
    <x v="0"/>
    <x v="41"/>
    <x v="0"/>
    <x v="0"/>
    <x v="0"/>
    <x v="0"/>
    <x v="0"/>
    <x v="8"/>
    <x v="92"/>
    <x v="88"/>
    <x v="93"/>
    <x v="3"/>
    <x v="10"/>
    <x v="0"/>
    <x v="8"/>
    <x v="4"/>
    <x v="0"/>
    <x v="0"/>
    <x v="0"/>
    <x v="1"/>
    <x v="0"/>
    <x v="0"/>
    <x v="0"/>
    <x v="0"/>
  </r>
  <r>
    <x v="36"/>
    <x v="0"/>
    <x v="16"/>
    <x v="85"/>
    <x v="1166"/>
    <x v="93"/>
    <x v="0"/>
    <x v="0"/>
    <x v="33"/>
    <x v="0"/>
    <x v="0"/>
    <x v="0"/>
    <x v="0"/>
    <x v="0"/>
    <x v="8"/>
    <x v="93"/>
    <x v="89"/>
    <x v="85"/>
    <x v="3"/>
    <x v="10"/>
    <x v="0"/>
    <x v="8"/>
    <x v="4"/>
    <x v="0"/>
    <x v="0"/>
    <x v="0"/>
    <x v="1"/>
    <x v="0"/>
    <x v="0"/>
    <x v="0"/>
    <x v="0"/>
  </r>
  <r>
    <x v="41"/>
    <x v="0"/>
    <x v="16"/>
    <x v="90"/>
    <x v="1167"/>
    <x v="94"/>
    <x v="0"/>
    <x v="0"/>
    <x v="38"/>
    <x v="0"/>
    <x v="0"/>
    <x v="0"/>
    <x v="0"/>
    <x v="0"/>
    <x v="8"/>
    <x v="94"/>
    <x v="90"/>
    <x v="90"/>
    <x v="3"/>
    <x v="10"/>
    <x v="0"/>
    <x v="8"/>
    <x v="4"/>
    <x v="0"/>
    <x v="0"/>
    <x v="0"/>
    <x v="1"/>
    <x v="0"/>
    <x v="0"/>
    <x v="0"/>
    <x v="0"/>
  </r>
  <r>
    <x v="35"/>
    <x v="0"/>
    <x v="16"/>
    <x v="84"/>
    <x v="1168"/>
    <x v="95"/>
    <x v="0"/>
    <x v="0"/>
    <x v="32"/>
    <x v="0"/>
    <x v="0"/>
    <x v="0"/>
    <x v="0"/>
    <x v="0"/>
    <x v="8"/>
    <x v="95"/>
    <x v="91"/>
    <x v="84"/>
    <x v="3"/>
    <x v="10"/>
    <x v="0"/>
    <x v="8"/>
    <x v="4"/>
    <x v="0"/>
    <x v="0"/>
    <x v="0"/>
    <x v="1"/>
    <x v="0"/>
    <x v="0"/>
    <x v="0"/>
    <x v="0"/>
  </r>
  <r>
    <x v="32"/>
    <x v="0"/>
    <x v="16"/>
    <x v="81"/>
    <x v="1169"/>
    <x v="96"/>
    <x v="0"/>
    <x v="0"/>
    <x v="29"/>
    <x v="0"/>
    <x v="0"/>
    <x v="0"/>
    <x v="0"/>
    <x v="0"/>
    <x v="8"/>
    <x v="96"/>
    <x v="92"/>
    <x v="81"/>
    <x v="3"/>
    <x v="10"/>
    <x v="0"/>
    <x v="8"/>
    <x v="4"/>
    <x v="0"/>
    <x v="0"/>
    <x v="0"/>
    <x v="1"/>
    <x v="0"/>
    <x v="0"/>
    <x v="0"/>
    <x v="0"/>
  </r>
  <r>
    <x v="29"/>
    <x v="0"/>
    <x v="16"/>
    <x v="78"/>
    <x v="1170"/>
    <x v="97"/>
    <x v="0"/>
    <x v="0"/>
    <x v="26"/>
    <x v="0"/>
    <x v="0"/>
    <x v="0"/>
    <x v="0"/>
    <x v="0"/>
    <x v="8"/>
    <x v="97"/>
    <x v="93"/>
    <x v="78"/>
    <x v="3"/>
    <x v="10"/>
    <x v="0"/>
    <x v="8"/>
    <x v="4"/>
    <x v="0"/>
    <x v="0"/>
    <x v="0"/>
    <x v="1"/>
    <x v="0"/>
    <x v="0"/>
    <x v="0"/>
    <x v="0"/>
  </r>
  <r>
    <x v="27"/>
    <x v="0"/>
    <x v="16"/>
    <x v="76"/>
    <x v="1171"/>
    <x v="98"/>
    <x v="0"/>
    <x v="0"/>
    <x v="24"/>
    <x v="0"/>
    <x v="0"/>
    <x v="0"/>
    <x v="0"/>
    <x v="0"/>
    <x v="8"/>
    <x v="98"/>
    <x v="94"/>
    <x v="76"/>
    <x v="3"/>
    <x v="10"/>
    <x v="0"/>
    <x v="8"/>
    <x v="4"/>
    <x v="0"/>
    <x v="0"/>
    <x v="0"/>
    <x v="1"/>
    <x v="0"/>
    <x v="0"/>
    <x v="0"/>
    <x v="0"/>
  </r>
  <r>
    <x v="46"/>
    <x v="0"/>
    <x v="16"/>
    <x v="95"/>
    <x v="1172"/>
    <x v="99"/>
    <x v="0"/>
    <x v="0"/>
    <x v="43"/>
    <x v="0"/>
    <x v="0"/>
    <x v="0"/>
    <x v="0"/>
    <x v="0"/>
    <x v="8"/>
    <x v="99"/>
    <x v="95"/>
    <x v="95"/>
    <x v="3"/>
    <x v="10"/>
    <x v="0"/>
    <x v="8"/>
    <x v="4"/>
    <x v="0"/>
    <x v="0"/>
    <x v="0"/>
    <x v="1"/>
    <x v="0"/>
    <x v="0"/>
    <x v="0"/>
    <x v="0"/>
  </r>
  <r>
    <x v="39"/>
    <x v="0"/>
    <x v="16"/>
    <x v="88"/>
    <x v="1173"/>
    <x v="100"/>
    <x v="0"/>
    <x v="0"/>
    <x v="36"/>
    <x v="0"/>
    <x v="0"/>
    <x v="0"/>
    <x v="0"/>
    <x v="0"/>
    <x v="8"/>
    <x v="100"/>
    <x v="96"/>
    <x v="88"/>
    <x v="3"/>
    <x v="10"/>
    <x v="0"/>
    <x v="8"/>
    <x v="4"/>
    <x v="0"/>
    <x v="0"/>
    <x v="0"/>
    <x v="1"/>
    <x v="0"/>
    <x v="0"/>
    <x v="0"/>
    <x v="0"/>
  </r>
  <r>
    <x v="30"/>
    <x v="0"/>
    <x v="16"/>
    <x v="79"/>
    <x v="1174"/>
    <x v="101"/>
    <x v="0"/>
    <x v="0"/>
    <x v="27"/>
    <x v="0"/>
    <x v="0"/>
    <x v="0"/>
    <x v="0"/>
    <x v="0"/>
    <x v="8"/>
    <x v="101"/>
    <x v="97"/>
    <x v="79"/>
    <x v="3"/>
    <x v="10"/>
    <x v="0"/>
    <x v="8"/>
    <x v="4"/>
    <x v="0"/>
    <x v="0"/>
    <x v="0"/>
    <x v="1"/>
    <x v="0"/>
    <x v="0"/>
    <x v="0"/>
    <x v="0"/>
  </r>
  <r>
    <x v="38"/>
    <x v="0"/>
    <x v="16"/>
    <x v="87"/>
    <x v="1175"/>
    <x v="102"/>
    <x v="0"/>
    <x v="0"/>
    <x v="35"/>
    <x v="0"/>
    <x v="0"/>
    <x v="0"/>
    <x v="0"/>
    <x v="0"/>
    <x v="8"/>
    <x v="102"/>
    <x v="98"/>
    <x v="87"/>
    <x v="3"/>
    <x v="10"/>
    <x v="0"/>
    <x v="8"/>
    <x v="4"/>
    <x v="0"/>
    <x v="0"/>
    <x v="0"/>
    <x v="1"/>
    <x v="0"/>
    <x v="0"/>
    <x v="0"/>
    <x v="0"/>
  </r>
  <r>
    <x v="34"/>
    <x v="0"/>
    <x v="16"/>
    <x v="83"/>
    <x v="1176"/>
    <x v="103"/>
    <x v="0"/>
    <x v="0"/>
    <x v="31"/>
    <x v="0"/>
    <x v="0"/>
    <x v="0"/>
    <x v="0"/>
    <x v="0"/>
    <x v="8"/>
    <x v="103"/>
    <x v="99"/>
    <x v="83"/>
    <x v="3"/>
    <x v="10"/>
    <x v="0"/>
    <x v="8"/>
    <x v="4"/>
    <x v="0"/>
    <x v="0"/>
    <x v="0"/>
    <x v="1"/>
    <x v="0"/>
    <x v="0"/>
    <x v="0"/>
    <x v="0"/>
  </r>
  <r>
    <x v="33"/>
    <x v="0"/>
    <x v="16"/>
    <x v="82"/>
    <x v="1177"/>
    <x v="104"/>
    <x v="0"/>
    <x v="0"/>
    <x v="30"/>
    <x v="0"/>
    <x v="0"/>
    <x v="0"/>
    <x v="0"/>
    <x v="0"/>
    <x v="8"/>
    <x v="104"/>
    <x v="100"/>
    <x v="82"/>
    <x v="3"/>
    <x v="10"/>
    <x v="0"/>
    <x v="8"/>
    <x v="4"/>
    <x v="0"/>
    <x v="0"/>
    <x v="0"/>
    <x v="1"/>
    <x v="0"/>
    <x v="0"/>
    <x v="0"/>
    <x v="0"/>
  </r>
  <r>
    <x v="40"/>
    <x v="0"/>
    <x v="16"/>
    <x v="89"/>
    <x v="1178"/>
    <x v="105"/>
    <x v="0"/>
    <x v="0"/>
    <x v="37"/>
    <x v="0"/>
    <x v="0"/>
    <x v="0"/>
    <x v="0"/>
    <x v="0"/>
    <x v="8"/>
    <x v="105"/>
    <x v="101"/>
    <x v="89"/>
    <x v="3"/>
    <x v="10"/>
    <x v="0"/>
    <x v="8"/>
    <x v="4"/>
    <x v="0"/>
    <x v="0"/>
    <x v="0"/>
    <x v="1"/>
    <x v="0"/>
    <x v="0"/>
    <x v="0"/>
    <x v="0"/>
  </r>
  <r>
    <x v="37"/>
    <x v="0"/>
    <x v="16"/>
    <x v="86"/>
    <x v="1179"/>
    <x v="106"/>
    <x v="0"/>
    <x v="0"/>
    <x v="34"/>
    <x v="0"/>
    <x v="0"/>
    <x v="0"/>
    <x v="0"/>
    <x v="0"/>
    <x v="8"/>
    <x v="106"/>
    <x v="102"/>
    <x v="86"/>
    <x v="3"/>
    <x v="10"/>
    <x v="0"/>
    <x v="8"/>
    <x v="4"/>
    <x v="0"/>
    <x v="0"/>
    <x v="0"/>
    <x v="1"/>
    <x v="0"/>
    <x v="0"/>
    <x v="0"/>
    <x v="0"/>
  </r>
  <r>
    <x v="26"/>
    <x v="0"/>
    <x v="16"/>
    <x v="75"/>
    <x v="1180"/>
    <x v="107"/>
    <x v="0"/>
    <x v="0"/>
    <x v="23"/>
    <x v="0"/>
    <x v="0"/>
    <x v="0"/>
    <x v="0"/>
    <x v="0"/>
    <x v="8"/>
    <x v="107"/>
    <x v="103"/>
    <x v="75"/>
    <x v="3"/>
    <x v="10"/>
    <x v="0"/>
    <x v="8"/>
    <x v="4"/>
    <x v="0"/>
    <x v="0"/>
    <x v="0"/>
    <x v="1"/>
    <x v="0"/>
    <x v="0"/>
    <x v="0"/>
    <x v="0"/>
  </r>
  <r>
    <x v="25"/>
    <x v="0"/>
    <x v="16"/>
    <x v="74"/>
    <x v="1181"/>
    <x v="108"/>
    <x v="0"/>
    <x v="0"/>
    <x v="22"/>
    <x v="0"/>
    <x v="0"/>
    <x v="0"/>
    <x v="0"/>
    <x v="0"/>
    <x v="8"/>
    <x v="108"/>
    <x v="104"/>
    <x v="74"/>
    <x v="3"/>
    <x v="10"/>
    <x v="0"/>
    <x v="8"/>
    <x v="4"/>
    <x v="0"/>
    <x v="0"/>
    <x v="0"/>
    <x v="1"/>
    <x v="0"/>
    <x v="0"/>
    <x v="0"/>
    <x v="0"/>
  </r>
  <r>
    <x v="43"/>
    <x v="0"/>
    <x v="16"/>
    <x v="92"/>
    <x v="1182"/>
    <x v="109"/>
    <x v="0"/>
    <x v="0"/>
    <x v="40"/>
    <x v="0"/>
    <x v="0"/>
    <x v="0"/>
    <x v="0"/>
    <x v="0"/>
    <x v="8"/>
    <x v="109"/>
    <x v="105"/>
    <x v="92"/>
    <x v="3"/>
    <x v="10"/>
    <x v="0"/>
    <x v="8"/>
    <x v="4"/>
    <x v="0"/>
    <x v="0"/>
    <x v="0"/>
    <x v="1"/>
    <x v="0"/>
    <x v="0"/>
    <x v="0"/>
    <x v="0"/>
  </r>
  <r>
    <x v="28"/>
    <x v="0"/>
    <x v="16"/>
    <x v="77"/>
    <x v="1183"/>
    <x v="110"/>
    <x v="0"/>
    <x v="0"/>
    <x v="25"/>
    <x v="0"/>
    <x v="0"/>
    <x v="0"/>
    <x v="0"/>
    <x v="0"/>
    <x v="8"/>
    <x v="110"/>
    <x v="106"/>
    <x v="77"/>
    <x v="3"/>
    <x v="10"/>
    <x v="0"/>
    <x v="8"/>
    <x v="4"/>
    <x v="0"/>
    <x v="0"/>
    <x v="0"/>
    <x v="1"/>
    <x v="0"/>
    <x v="0"/>
    <x v="0"/>
    <x v="0"/>
  </r>
  <r>
    <x v="45"/>
    <x v="0"/>
    <x v="16"/>
    <x v="94"/>
    <x v="1184"/>
    <x v="111"/>
    <x v="0"/>
    <x v="0"/>
    <x v="42"/>
    <x v="0"/>
    <x v="0"/>
    <x v="0"/>
    <x v="0"/>
    <x v="0"/>
    <x v="8"/>
    <x v="111"/>
    <x v="107"/>
    <x v="94"/>
    <x v="3"/>
    <x v="10"/>
    <x v="0"/>
    <x v="8"/>
    <x v="4"/>
    <x v="0"/>
    <x v="0"/>
    <x v="0"/>
    <x v="1"/>
    <x v="0"/>
    <x v="0"/>
    <x v="0"/>
    <x v="0"/>
  </r>
  <r>
    <x v="379"/>
    <x v="1"/>
    <x v="25"/>
    <x v="195"/>
    <x v="533"/>
    <x v="466"/>
    <x v="1"/>
    <x v="0"/>
    <x v="362"/>
    <x v="0"/>
    <x v="0"/>
    <x v="0"/>
    <x v="0"/>
    <x v="0"/>
    <x v="9"/>
    <x v="466"/>
    <x v="455"/>
    <x v="195"/>
    <x v="2"/>
    <x v="10"/>
    <x v="0"/>
    <x v="9"/>
    <x v="11"/>
    <x v="0"/>
    <x v="0"/>
    <x v="0"/>
    <x v="21"/>
    <x v="0"/>
    <x v="0"/>
    <x v="1"/>
    <x v="1"/>
  </r>
  <r>
    <x v="233"/>
    <x v="0"/>
    <x v="24"/>
    <x v="193"/>
    <x v="1348"/>
    <x v="160"/>
    <x v="1"/>
    <x v="0"/>
    <x v="230"/>
    <x v="0"/>
    <x v="0"/>
    <x v="0"/>
    <x v="0"/>
    <x v="0"/>
    <x v="10"/>
    <x v="160"/>
    <x v="156"/>
    <x v="193"/>
    <x v="3"/>
    <x v="10"/>
    <x v="0"/>
    <x v="10"/>
    <x v="10"/>
    <x v="0"/>
    <x v="0"/>
    <x v="0"/>
    <x v="12"/>
    <x v="0"/>
    <x v="0"/>
    <x v="1"/>
    <x v="1"/>
  </r>
  <r>
    <x v="235"/>
    <x v="1"/>
    <x v="23"/>
    <x v="194"/>
    <x v="1349"/>
    <x v="159"/>
    <x v="1"/>
    <x v="0"/>
    <x v="232"/>
    <x v="0"/>
    <x v="0"/>
    <x v="0"/>
    <x v="0"/>
    <x v="0"/>
    <x v="10"/>
    <x v="159"/>
    <x v="155"/>
    <x v="194"/>
    <x v="3"/>
    <x v="10"/>
    <x v="0"/>
    <x v="10"/>
    <x v="10"/>
    <x v="0"/>
    <x v="0"/>
    <x v="0"/>
    <x v="13"/>
    <x v="0"/>
    <x v="0"/>
    <x v="1"/>
    <x v="1"/>
  </r>
  <r>
    <x v="332"/>
    <x v="0"/>
    <x v="21"/>
    <x v="357"/>
    <x v="1185"/>
    <x v="215"/>
    <x v="1"/>
    <x v="0"/>
    <x v="329"/>
    <x v="0"/>
    <x v="0"/>
    <x v="0"/>
    <x v="0"/>
    <x v="0"/>
    <x v="11"/>
    <x v="215"/>
    <x v="208"/>
    <x v="357"/>
    <x v="3"/>
    <x v="10"/>
    <x v="0"/>
    <x v="11"/>
    <x v="12"/>
    <x v="0"/>
    <x v="0"/>
    <x v="0"/>
    <x v="6"/>
    <x v="0"/>
    <x v="0"/>
    <x v="1"/>
    <x v="1"/>
  </r>
  <r>
    <x v="333"/>
    <x v="1"/>
    <x v="21"/>
    <x v="358"/>
    <x v="1186"/>
    <x v="214"/>
    <x v="1"/>
    <x v="0"/>
    <x v="330"/>
    <x v="0"/>
    <x v="0"/>
    <x v="0"/>
    <x v="0"/>
    <x v="0"/>
    <x v="11"/>
    <x v="214"/>
    <x v="207"/>
    <x v="358"/>
    <x v="3"/>
    <x v="10"/>
    <x v="0"/>
    <x v="11"/>
    <x v="12"/>
    <x v="0"/>
    <x v="0"/>
    <x v="0"/>
    <x v="6"/>
    <x v="0"/>
    <x v="0"/>
    <x v="1"/>
    <x v="1"/>
  </r>
  <r>
    <x v="236"/>
    <x v="1"/>
    <x v="25"/>
    <x v="198"/>
    <x v="1187"/>
    <x v="304"/>
    <x v="1"/>
    <x v="0"/>
    <x v="233"/>
    <x v="0"/>
    <x v="0"/>
    <x v="0"/>
    <x v="0"/>
    <x v="0"/>
    <x v="11"/>
    <x v="304"/>
    <x v="297"/>
    <x v="198"/>
    <x v="3"/>
    <x v="10"/>
    <x v="0"/>
    <x v="11"/>
    <x v="12"/>
    <x v="0"/>
    <x v="0"/>
    <x v="0"/>
    <x v="5"/>
    <x v="0"/>
    <x v="0"/>
    <x v="1"/>
    <x v="1"/>
  </r>
  <r>
    <x v="265"/>
    <x v="1"/>
    <x v="25"/>
    <x v="271"/>
    <x v="1188"/>
    <x v="260"/>
    <x v="1"/>
    <x v="0"/>
    <x v="262"/>
    <x v="0"/>
    <x v="0"/>
    <x v="0"/>
    <x v="0"/>
    <x v="0"/>
    <x v="11"/>
    <x v="260"/>
    <x v="253"/>
    <x v="271"/>
    <x v="3"/>
    <x v="10"/>
    <x v="0"/>
    <x v="11"/>
    <x v="12"/>
    <x v="0"/>
    <x v="0"/>
    <x v="0"/>
    <x v="5"/>
    <x v="0"/>
    <x v="0"/>
    <x v="1"/>
    <x v="1"/>
  </r>
  <r>
    <x v="276"/>
    <x v="1"/>
    <x v="25"/>
    <x v="282"/>
    <x v="1189"/>
    <x v="261"/>
    <x v="1"/>
    <x v="0"/>
    <x v="273"/>
    <x v="0"/>
    <x v="0"/>
    <x v="0"/>
    <x v="0"/>
    <x v="0"/>
    <x v="11"/>
    <x v="261"/>
    <x v="254"/>
    <x v="282"/>
    <x v="3"/>
    <x v="10"/>
    <x v="0"/>
    <x v="11"/>
    <x v="12"/>
    <x v="0"/>
    <x v="0"/>
    <x v="0"/>
    <x v="5"/>
    <x v="0"/>
    <x v="0"/>
    <x v="1"/>
    <x v="1"/>
  </r>
  <r>
    <x v="278"/>
    <x v="1"/>
    <x v="25"/>
    <x v="284"/>
    <x v="1190"/>
    <x v="262"/>
    <x v="1"/>
    <x v="0"/>
    <x v="275"/>
    <x v="0"/>
    <x v="0"/>
    <x v="0"/>
    <x v="0"/>
    <x v="0"/>
    <x v="11"/>
    <x v="262"/>
    <x v="255"/>
    <x v="284"/>
    <x v="3"/>
    <x v="10"/>
    <x v="0"/>
    <x v="11"/>
    <x v="12"/>
    <x v="0"/>
    <x v="0"/>
    <x v="0"/>
    <x v="5"/>
    <x v="0"/>
    <x v="0"/>
    <x v="1"/>
    <x v="1"/>
  </r>
  <r>
    <x v="270"/>
    <x v="1"/>
    <x v="25"/>
    <x v="276"/>
    <x v="1191"/>
    <x v="263"/>
    <x v="1"/>
    <x v="0"/>
    <x v="267"/>
    <x v="0"/>
    <x v="0"/>
    <x v="0"/>
    <x v="0"/>
    <x v="0"/>
    <x v="11"/>
    <x v="263"/>
    <x v="256"/>
    <x v="276"/>
    <x v="3"/>
    <x v="10"/>
    <x v="0"/>
    <x v="11"/>
    <x v="12"/>
    <x v="0"/>
    <x v="0"/>
    <x v="0"/>
    <x v="5"/>
    <x v="0"/>
    <x v="0"/>
    <x v="1"/>
    <x v="1"/>
  </r>
  <r>
    <x v="275"/>
    <x v="1"/>
    <x v="25"/>
    <x v="281"/>
    <x v="1192"/>
    <x v="264"/>
    <x v="1"/>
    <x v="0"/>
    <x v="272"/>
    <x v="0"/>
    <x v="0"/>
    <x v="0"/>
    <x v="0"/>
    <x v="0"/>
    <x v="11"/>
    <x v="264"/>
    <x v="257"/>
    <x v="281"/>
    <x v="3"/>
    <x v="10"/>
    <x v="0"/>
    <x v="11"/>
    <x v="12"/>
    <x v="0"/>
    <x v="0"/>
    <x v="0"/>
    <x v="5"/>
    <x v="0"/>
    <x v="0"/>
    <x v="1"/>
    <x v="1"/>
  </r>
  <r>
    <x v="269"/>
    <x v="1"/>
    <x v="25"/>
    <x v="275"/>
    <x v="1193"/>
    <x v="265"/>
    <x v="1"/>
    <x v="0"/>
    <x v="266"/>
    <x v="0"/>
    <x v="0"/>
    <x v="0"/>
    <x v="0"/>
    <x v="0"/>
    <x v="11"/>
    <x v="265"/>
    <x v="258"/>
    <x v="275"/>
    <x v="3"/>
    <x v="10"/>
    <x v="0"/>
    <x v="11"/>
    <x v="12"/>
    <x v="0"/>
    <x v="0"/>
    <x v="0"/>
    <x v="5"/>
    <x v="0"/>
    <x v="0"/>
    <x v="1"/>
    <x v="1"/>
  </r>
  <r>
    <x v="266"/>
    <x v="1"/>
    <x v="25"/>
    <x v="272"/>
    <x v="1194"/>
    <x v="266"/>
    <x v="1"/>
    <x v="0"/>
    <x v="263"/>
    <x v="0"/>
    <x v="0"/>
    <x v="0"/>
    <x v="0"/>
    <x v="0"/>
    <x v="11"/>
    <x v="266"/>
    <x v="259"/>
    <x v="272"/>
    <x v="3"/>
    <x v="10"/>
    <x v="0"/>
    <x v="11"/>
    <x v="12"/>
    <x v="0"/>
    <x v="0"/>
    <x v="0"/>
    <x v="5"/>
    <x v="0"/>
    <x v="0"/>
    <x v="1"/>
    <x v="1"/>
  </r>
  <r>
    <x v="263"/>
    <x v="1"/>
    <x v="25"/>
    <x v="269"/>
    <x v="1195"/>
    <x v="267"/>
    <x v="1"/>
    <x v="0"/>
    <x v="260"/>
    <x v="0"/>
    <x v="0"/>
    <x v="0"/>
    <x v="0"/>
    <x v="0"/>
    <x v="11"/>
    <x v="267"/>
    <x v="260"/>
    <x v="269"/>
    <x v="3"/>
    <x v="10"/>
    <x v="0"/>
    <x v="11"/>
    <x v="12"/>
    <x v="0"/>
    <x v="0"/>
    <x v="0"/>
    <x v="5"/>
    <x v="0"/>
    <x v="0"/>
    <x v="1"/>
    <x v="1"/>
  </r>
  <r>
    <x v="261"/>
    <x v="1"/>
    <x v="25"/>
    <x v="267"/>
    <x v="1196"/>
    <x v="268"/>
    <x v="1"/>
    <x v="0"/>
    <x v="258"/>
    <x v="0"/>
    <x v="0"/>
    <x v="0"/>
    <x v="0"/>
    <x v="0"/>
    <x v="11"/>
    <x v="268"/>
    <x v="261"/>
    <x v="267"/>
    <x v="3"/>
    <x v="10"/>
    <x v="0"/>
    <x v="11"/>
    <x v="12"/>
    <x v="0"/>
    <x v="0"/>
    <x v="0"/>
    <x v="5"/>
    <x v="0"/>
    <x v="0"/>
    <x v="1"/>
    <x v="1"/>
  </r>
  <r>
    <x v="280"/>
    <x v="1"/>
    <x v="25"/>
    <x v="286"/>
    <x v="1197"/>
    <x v="269"/>
    <x v="1"/>
    <x v="0"/>
    <x v="277"/>
    <x v="0"/>
    <x v="0"/>
    <x v="0"/>
    <x v="0"/>
    <x v="0"/>
    <x v="11"/>
    <x v="269"/>
    <x v="262"/>
    <x v="286"/>
    <x v="3"/>
    <x v="10"/>
    <x v="0"/>
    <x v="11"/>
    <x v="12"/>
    <x v="0"/>
    <x v="0"/>
    <x v="0"/>
    <x v="5"/>
    <x v="0"/>
    <x v="0"/>
    <x v="1"/>
    <x v="1"/>
  </r>
  <r>
    <x v="273"/>
    <x v="1"/>
    <x v="25"/>
    <x v="279"/>
    <x v="1198"/>
    <x v="270"/>
    <x v="1"/>
    <x v="0"/>
    <x v="270"/>
    <x v="0"/>
    <x v="0"/>
    <x v="0"/>
    <x v="0"/>
    <x v="0"/>
    <x v="11"/>
    <x v="270"/>
    <x v="263"/>
    <x v="279"/>
    <x v="3"/>
    <x v="10"/>
    <x v="0"/>
    <x v="11"/>
    <x v="12"/>
    <x v="0"/>
    <x v="0"/>
    <x v="0"/>
    <x v="5"/>
    <x v="0"/>
    <x v="0"/>
    <x v="1"/>
    <x v="1"/>
  </r>
  <r>
    <x v="264"/>
    <x v="1"/>
    <x v="25"/>
    <x v="270"/>
    <x v="1199"/>
    <x v="271"/>
    <x v="1"/>
    <x v="0"/>
    <x v="261"/>
    <x v="0"/>
    <x v="0"/>
    <x v="0"/>
    <x v="0"/>
    <x v="0"/>
    <x v="11"/>
    <x v="271"/>
    <x v="264"/>
    <x v="270"/>
    <x v="3"/>
    <x v="10"/>
    <x v="0"/>
    <x v="11"/>
    <x v="12"/>
    <x v="0"/>
    <x v="0"/>
    <x v="0"/>
    <x v="5"/>
    <x v="0"/>
    <x v="0"/>
    <x v="1"/>
    <x v="1"/>
  </r>
  <r>
    <x v="272"/>
    <x v="1"/>
    <x v="25"/>
    <x v="278"/>
    <x v="1200"/>
    <x v="272"/>
    <x v="1"/>
    <x v="0"/>
    <x v="269"/>
    <x v="0"/>
    <x v="0"/>
    <x v="0"/>
    <x v="0"/>
    <x v="0"/>
    <x v="11"/>
    <x v="272"/>
    <x v="265"/>
    <x v="278"/>
    <x v="3"/>
    <x v="10"/>
    <x v="0"/>
    <x v="11"/>
    <x v="12"/>
    <x v="0"/>
    <x v="0"/>
    <x v="0"/>
    <x v="5"/>
    <x v="0"/>
    <x v="0"/>
    <x v="1"/>
    <x v="1"/>
  </r>
  <r>
    <x v="268"/>
    <x v="1"/>
    <x v="25"/>
    <x v="274"/>
    <x v="1201"/>
    <x v="273"/>
    <x v="1"/>
    <x v="0"/>
    <x v="265"/>
    <x v="0"/>
    <x v="0"/>
    <x v="0"/>
    <x v="0"/>
    <x v="0"/>
    <x v="11"/>
    <x v="273"/>
    <x v="266"/>
    <x v="274"/>
    <x v="3"/>
    <x v="10"/>
    <x v="0"/>
    <x v="11"/>
    <x v="12"/>
    <x v="0"/>
    <x v="0"/>
    <x v="0"/>
    <x v="5"/>
    <x v="0"/>
    <x v="0"/>
    <x v="1"/>
    <x v="1"/>
  </r>
  <r>
    <x v="267"/>
    <x v="1"/>
    <x v="25"/>
    <x v="273"/>
    <x v="1202"/>
    <x v="274"/>
    <x v="1"/>
    <x v="0"/>
    <x v="264"/>
    <x v="0"/>
    <x v="0"/>
    <x v="0"/>
    <x v="0"/>
    <x v="0"/>
    <x v="11"/>
    <x v="274"/>
    <x v="267"/>
    <x v="273"/>
    <x v="3"/>
    <x v="10"/>
    <x v="0"/>
    <x v="11"/>
    <x v="12"/>
    <x v="0"/>
    <x v="0"/>
    <x v="0"/>
    <x v="5"/>
    <x v="0"/>
    <x v="0"/>
    <x v="1"/>
    <x v="1"/>
  </r>
  <r>
    <x v="274"/>
    <x v="1"/>
    <x v="25"/>
    <x v="280"/>
    <x v="1203"/>
    <x v="275"/>
    <x v="1"/>
    <x v="0"/>
    <x v="271"/>
    <x v="0"/>
    <x v="0"/>
    <x v="0"/>
    <x v="0"/>
    <x v="0"/>
    <x v="11"/>
    <x v="275"/>
    <x v="268"/>
    <x v="280"/>
    <x v="3"/>
    <x v="10"/>
    <x v="0"/>
    <x v="11"/>
    <x v="12"/>
    <x v="0"/>
    <x v="0"/>
    <x v="0"/>
    <x v="5"/>
    <x v="0"/>
    <x v="0"/>
    <x v="1"/>
    <x v="1"/>
  </r>
  <r>
    <x v="271"/>
    <x v="1"/>
    <x v="25"/>
    <x v="277"/>
    <x v="1204"/>
    <x v="276"/>
    <x v="1"/>
    <x v="0"/>
    <x v="268"/>
    <x v="0"/>
    <x v="0"/>
    <x v="0"/>
    <x v="0"/>
    <x v="0"/>
    <x v="11"/>
    <x v="276"/>
    <x v="269"/>
    <x v="277"/>
    <x v="3"/>
    <x v="10"/>
    <x v="0"/>
    <x v="11"/>
    <x v="12"/>
    <x v="0"/>
    <x v="0"/>
    <x v="0"/>
    <x v="5"/>
    <x v="0"/>
    <x v="0"/>
    <x v="1"/>
    <x v="1"/>
  </r>
  <r>
    <x v="260"/>
    <x v="1"/>
    <x v="25"/>
    <x v="266"/>
    <x v="1205"/>
    <x v="277"/>
    <x v="1"/>
    <x v="0"/>
    <x v="257"/>
    <x v="0"/>
    <x v="0"/>
    <x v="0"/>
    <x v="0"/>
    <x v="0"/>
    <x v="11"/>
    <x v="277"/>
    <x v="270"/>
    <x v="266"/>
    <x v="3"/>
    <x v="10"/>
    <x v="0"/>
    <x v="11"/>
    <x v="12"/>
    <x v="0"/>
    <x v="0"/>
    <x v="0"/>
    <x v="5"/>
    <x v="0"/>
    <x v="0"/>
    <x v="1"/>
    <x v="1"/>
  </r>
  <r>
    <x v="259"/>
    <x v="1"/>
    <x v="25"/>
    <x v="265"/>
    <x v="1206"/>
    <x v="278"/>
    <x v="1"/>
    <x v="0"/>
    <x v="256"/>
    <x v="0"/>
    <x v="0"/>
    <x v="0"/>
    <x v="0"/>
    <x v="0"/>
    <x v="11"/>
    <x v="278"/>
    <x v="271"/>
    <x v="265"/>
    <x v="3"/>
    <x v="10"/>
    <x v="0"/>
    <x v="11"/>
    <x v="12"/>
    <x v="0"/>
    <x v="0"/>
    <x v="0"/>
    <x v="5"/>
    <x v="0"/>
    <x v="0"/>
    <x v="1"/>
    <x v="1"/>
  </r>
  <r>
    <x v="277"/>
    <x v="1"/>
    <x v="25"/>
    <x v="283"/>
    <x v="1207"/>
    <x v="279"/>
    <x v="1"/>
    <x v="0"/>
    <x v="274"/>
    <x v="0"/>
    <x v="0"/>
    <x v="0"/>
    <x v="0"/>
    <x v="0"/>
    <x v="11"/>
    <x v="279"/>
    <x v="272"/>
    <x v="283"/>
    <x v="3"/>
    <x v="10"/>
    <x v="0"/>
    <x v="11"/>
    <x v="12"/>
    <x v="0"/>
    <x v="0"/>
    <x v="0"/>
    <x v="5"/>
    <x v="0"/>
    <x v="0"/>
    <x v="1"/>
    <x v="1"/>
  </r>
  <r>
    <x v="262"/>
    <x v="1"/>
    <x v="25"/>
    <x v="268"/>
    <x v="1208"/>
    <x v="280"/>
    <x v="1"/>
    <x v="0"/>
    <x v="259"/>
    <x v="0"/>
    <x v="0"/>
    <x v="0"/>
    <x v="0"/>
    <x v="0"/>
    <x v="11"/>
    <x v="280"/>
    <x v="273"/>
    <x v="268"/>
    <x v="3"/>
    <x v="10"/>
    <x v="0"/>
    <x v="11"/>
    <x v="12"/>
    <x v="0"/>
    <x v="0"/>
    <x v="0"/>
    <x v="5"/>
    <x v="0"/>
    <x v="0"/>
    <x v="1"/>
    <x v="1"/>
  </r>
  <r>
    <x v="279"/>
    <x v="1"/>
    <x v="25"/>
    <x v="285"/>
    <x v="1209"/>
    <x v="281"/>
    <x v="1"/>
    <x v="0"/>
    <x v="276"/>
    <x v="0"/>
    <x v="0"/>
    <x v="0"/>
    <x v="0"/>
    <x v="0"/>
    <x v="11"/>
    <x v="281"/>
    <x v="274"/>
    <x v="285"/>
    <x v="3"/>
    <x v="10"/>
    <x v="0"/>
    <x v="11"/>
    <x v="12"/>
    <x v="0"/>
    <x v="0"/>
    <x v="0"/>
    <x v="5"/>
    <x v="0"/>
    <x v="0"/>
    <x v="1"/>
    <x v="1"/>
  </r>
  <r>
    <x v="287"/>
    <x v="1"/>
    <x v="25"/>
    <x v="293"/>
    <x v="1210"/>
    <x v="238"/>
    <x v="1"/>
    <x v="0"/>
    <x v="284"/>
    <x v="0"/>
    <x v="0"/>
    <x v="0"/>
    <x v="0"/>
    <x v="0"/>
    <x v="11"/>
    <x v="238"/>
    <x v="231"/>
    <x v="293"/>
    <x v="3"/>
    <x v="10"/>
    <x v="0"/>
    <x v="11"/>
    <x v="12"/>
    <x v="0"/>
    <x v="0"/>
    <x v="0"/>
    <x v="5"/>
    <x v="0"/>
    <x v="0"/>
    <x v="1"/>
    <x v="1"/>
  </r>
  <r>
    <x v="298"/>
    <x v="1"/>
    <x v="25"/>
    <x v="304"/>
    <x v="1211"/>
    <x v="239"/>
    <x v="1"/>
    <x v="0"/>
    <x v="295"/>
    <x v="0"/>
    <x v="0"/>
    <x v="0"/>
    <x v="0"/>
    <x v="0"/>
    <x v="11"/>
    <x v="239"/>
    <x v="232"/>
    <x v="304"/>
    <x v="3"/>
    <x v="10"/>
    <x v="0"/>
    <x v="11"/>
    <x v="12"/>
    <x v="0"/>
    <x v="0"/>
    <x v="0"/>
    <x v="5"/>
    <x v="0"/>
    <x v="0"/>
    <x v="1"/>
    <x v="1"/>
  </r>
  <r>
    <x v="300"/>
    <x v="1"/>
    <x v="25"/>
    <x v="306"/>
    <x v="1212"/>
    <x v="240"/>
    <x v="1"/>
    <x v="0"/>
    <x v="297"/>
    <x v="0"/>
    <x v="0"/>
    <x v="0"/>
    <x v="0"/>
    <x v="0"/>
    <x v="11"/>
    <x v="240"/>
    <x v="233"/>
    <x v="306"/>
    <x v="3"/>
    <x v="10"/>
    <x v="0"/>
    <x v="11"/>
    <x v="12"/>
    <x v="0"/>
    <x v="0"/>
    <x v="0"/>
    <x v="5"/>
    <x v="0"/>
    <x v="0"/>
    <x v="1"/>
    <x v="1"/>
  </r>
  <r>
    <x v="292"/>
    <x v="1"/>
    <x v="25"/>
    <x v="298"/>
    <x v="1213"/>
    <x v="241"/>
    <x v="1"/>
    <x v="0"/>
    <x v="289"/>
    <x v="0"/>
    <x v="0"/>
    <x v="0"/>
    <x v="0"/>
    <x v="0"/>
    <x v="11"/>
    <x v="241"/>
    <x v="234"/>
    <x v="298"/>
    <x v="3"/>
    <x v="10"/>
    <x v="0"/>
    <x v="11"/>
    <x v="12"/>
    <x v="0"/>
    <x v="0"/>
    <x v="0"/>
    <x v="5"/>
    <x v="0"/>
    <x v="0"/>
    <x v="1"/>
    <x v="1"/>
  </r>
  <r>
    <x v="297"/>
    <x v="1"/>
    <x v="25"/>
    <x v="303"/>
    <x v="1214"/>
    <x v="242"/>
    <x v="1"/>
    <x v="0"/>
    <x v="294"/>
    <x v="0"/>
    <x v="0"/>
    <x v="0"/>
    <x v="0"/>
    <x v="0"/>
    <x v="11"/>
    <x v="242"/>
    <x v="235"/>
    <x v="303"/>
    <x v="3"/>
    <x v="10"/>
    <x v="0"/>
    <x v="11"/>
    <x v="12"/>
    <x v="0"/>
    <x v="0"/>
    <x v="0"/>
    <x v="5"/>
    <x v="0"/>
    <x v="0"/>
    <x v="1"/>
    <x v="1"/>
  </r>
  <r>
    <x v="291"/>
    <x v="1"/>
    <x v="25"/>
    <x v="297"/>
    <x v="1215"/>
    <x v="243"/>
    <x v="1"/>
    <x v="0"/>
    <x v="288"/>
    <x v="0"/>
    <x v="0"/>
    <x v="0"/>
    <x v="0"/>
    <x v="0"/>
    <x v="11"/>
    <x v="243"/>
    <x v="236"/>
    <x v="297"/>
    <x v="3"/>
    <x v="10"/>
    <x v="0"/>
    <x v="11"/>
    <x v="12"/>
    <x v="0"/>
    <x v="0"/>
    <x v="0"/>
    <x v="5"/>
    <x v="0"/>
    <x v="0"/>
    <x v="1"/>
    <x v="1"/>
  </r>
  <r>
    <x v="288"/>
    <x v="1"/>
    <x v="25"/>
    <x v="294"/>
    <x v="1216"/>
    <x v="244"/>
    <x v="1"/>
    <x v="0"/>
    <x v="285"/>
    <x v="0"/>
    <x v="0"/>
    <x v="0"/>
    <x v="0"/>
    <x v="0"/>
    <x v="11"/>
    <x v="244"/>
    <x v="237"/>
    <x v="294"/>
    <x v="3"/>
    <x v="10"/>
    <x v="0"/>
    <x v="11"/>
    <x v="12"/>
    <x v="0"/>
    <x v="0"/>
    <x v="0"/>
    <x v="5"/>
    <x v="0"/>
    <x v="0"/>
    <x v="1"/>
    <x v="1"/>
  </r>
  <r>
    <x v="285"/>
    <x v="1"/>
    <x v="25"/>
    <x v="291"/>
    <x v="1217"/>
    <x v="245"/>
    <x v="1"/>
    <x v="0"/>
    <x v="282"/>
    <x v="0"/>
    <x v="0"/>
    <x v="0"/>
    <x v="0"/>
    <x v="0"/>
    <x v="11"/>
    <x v="245"/>
    <x v="238"/>
    <x v="291"/>
    <x v="3"/>
    <x v="10"/>
    <x v="0"/>
    <x v="11"/>
    <x v="12"/>
    <x v="0"/>
    <x v="0"/>
    <x v="0"/>
    <x v="5"/>
    <x v="0"/>
    <x v="0"/>
    <x v="1"/>
    <x v="1"/>
  </r>
  <r>
    <x v="283"/>
    <x v="1"/>
    <x v="25"/>
    <x v="289"/>
    <x v="1218"/>
    <x v="246"/>
    <x v="1"/>
    <x v="0"/>
    <x v="280"/>
    <x v="0"/>
    <x v="0"/>
    <x v="0"/>
    <x v="0"/>
    <x v="0"/>
    <x v="11"/>
    <x v="246"/>
    <x v="239"/>
    <x v="289"/>
    <x v="3"/>
    <x v="10"/>
    <x v="0"/>
    <x v="11"/>
    <x v="12"/>
    <x v="0"/>
    <x v="0"/>
    <x v="0"/>
    <x v="5"/>
    <x v="0"/>
    <x v="0"/>
    <x v="1"/>
    <x v="1"/>
  </r>
  <r>
    <x v="302"/>
    <x v="1"/>
    <x v="25"/>
    <x v="308"/>
    <x v="1219"/>
    <x v="247"/>
    <x v="1"/>
    <x v="0"/>
    <x v="299"/>
    <x v="0"/>
    <x v="0"/>
    <x v="0"/>
    <x v="0"/>
    <x v="0"/>
    <x v="11"/>
    <x v="247"/>
    <x v="240"/>
    <x v="308"/>
    <x v="3"/>
    <x v="10"/>
    <x v="0"/>
    <x v="11"/>
    <x v="12"/>
    <x v="0"/>
    <x v="0"/>
    <x v="0"/>
    <x v="5"/>
    <x v="0"/>
    <x v="0"/>
    <x v="1"/>
    <x v="1"/>
  </r>
  <r>
    <x v="295"/>
    <x v="1"/>
    <x v="25"/>
    <x v="301"/>
    <x v="1220"/>
    <x v="248"/>
    <x v="1"/>
    <x v="0"/>
    <x v="292"/>
    <x v="0"/>
    <x v="0"/>
    <x v="0"/>
    <x v="0"/>
    <x v="0"/>
    <x v="11"/>
    <x v="248"/>
    <x v="241"/>
    <x v="301"/>
    <x v="3"/>
    <x v="10"/>
    <x v="0"/>
    <x v="11"/>
    <x v="12"/>
    <x v="0"/>
    <x v="0"/>
    <x v="0"/>
    <x v="5"/>
    <x v="0"/>
    <x v="0"/>
    <x v="1"/>
    <x v="1"/>
  </r>
  <r>
    <x v="286"/>
    <x v="1"/>
    <x v="25"/>
    <x v="292"/>
    <x v="1221"/>
    <x v="249"/>
    <x v="1"/>
    <x v="0"/>
    <x v="283"/>
    <x v="0"/>
    <x v="0"/>
    <x v="0"/>
    <x v="0"/>
    <x v="0"/>
    <x v="11"/>
    <x v="249"/>
    <x v="242"/>
    <x v="292"/>
    <x v="3"/>
    <x v="10"/>
    <x v="0"/>
    <x v="11"/>
    <x v="12"/>
    <x v="0"/>
    <x v="0"/>
    <x v="0"/>
    <x v="5"/>
    <x v="0"/>
    <x v="0"/>
    <x v="1"/>
    <x v="1"/>
  </r>
  <r>
    <x v="294"/>
    <x v="1"/>
    <x v="25"/>
    <x v="300"/>
    <x v="1222"/>
    <x v="250"/>
    <x v="1"/>
    <x v="0"/>
    <x v="291"/>
    <x v="0"/>
    <x v="0"/>
    <x v="0"/>
    <x v="0"/>
    <x v="0"/>
    <x v="11"/>
    <x v="250"/>
    <x v="243"/>
    <x v="300"/>
    <x v="3"/>
    <x v="10"/>
    <x v="0"/>
    <x v="11"/>
    <x v="12"/>
    <x v="0"/>
    <x v="0"/>
    <x v="0"/>
    <x v="5"/>
    <x v="0"/>
    <x v="0"/>
    <x v="1"/>
    <x v="1"/>
  </r>
  <r>
    <x v="290"/>
    <x v="1"/>
    <x v="25"/>
    <x v="296"/>
    <x v="1223"/>
    <x v="251"/>
    <x v="1"/>
    <x v="0"/>
    <x v="287"/>
    <x v="0"/>
    <x v="0"/>
    <x v="0"/>
    <x v="0"/>
    <x v="0"/>
    <x v="11"/>
    <x v="251"/>
    <x v="244"/>
    <x v="296"/>
    <x v="3"/>
    <x v="10"/>
    <x v="0"/>
    <x v="11"/>
    <x v="12"/>
    <x v="0"/>
    <x v="0"/>
    <x v="0"/>
    <x v="5"/>
    <x v="0"/>
    <x v="0"/>
    <x v="1"/>
    <x v="1"/>
  </r>
  <r>
    <x v="289"/>
    <x v="1"/>
    <x v="25"/>
    <x v="295"/>
    <x v="1224"/>
    <x v="252"/>
    <x v="1"/>
    <x v="0"/>
    <x v="286"/>
    <x v="0"/>
    <x v="0"/>
    <x v="0"/>
    <x v="0"/>
    <x v="0"/>
    <x v="11"/>
    <x v="252"/>
    <x v="245"/>
    <x v="295"/>
    <x v="3"/>
    <x v="10"/>
    <x v="0"/>
    <x v="11"/>
    <x v="12"/>
    <x v="0"/>
    <x v="0"/>
    <x v="0"/>
    <x v="5"/>
    <x v="0"/>
    <x v="0"/>
    <x v="1"/>
    <x v="1"/>
  </r>
  <r>
    <x v="296"/>
    <x v="1"/>
    <x v="25"/>
    <x v="302"/>
    <x v="1225"/>
    <x v="253"/>
    <x v="1"/>
    <x v="0"/>
    <x v="293"/>
    <x v="0"/>
    <x v="0"/>
    <x v="0"/>
    <x v="0"/>
    <x v="0"/>
    <x v="11"/>
    <x v="253"/>
    <x v="246"/>
    <x v="302"/>
    <x v="3"/>
    <x v="10"/>
    <x v="0"/>
    <x v="11"/>
    <x v="12"/>
    <x v="0"/>
    <x v="0"/>
    <x v="0"/>
    <x v="5"/>
    <x v="0"/>
    <x v="0"/>
    <x v="1"/>
    <x v="1"/>
  </r>
  <r>
    <x v="293"/>
    <x v="1"/>
    <x v="25"/>
    <x v="299"/>
    <x v="1226"/>
    <x v="254"/>
    <x v="1"/>
    <x v="0"/>
    <x v="290"/>
    <x v="0"/>
    <x v="0"/>
    <x v="0"/>
    <x v="0"/>
    <x v="0"/>
    <x v="11"/>
    <x v="254"/>
    <x v="247"/>
    <x v="299"/>
    <x v="3"/>
    <x v="10"/>
    <x v="0"/>
    <x v="11"/>
    <x v="12"/>
    <x v="0"/>
    <x v="0"/>
    <x v="0"/>
    <x v="5"/>
    <x v="0"/>
    <x v="0"/>
    <x v="1"/>
    <x v="1"/>
  </r>
  <r>
    <x v="282"/>
    <x v="1"/>
    <x v="25"/>
    <x v="288"/>
    <x v="1227"/>
    <x v="255"/>
    <x v="1"/>
    <x v="0"/>
    <x v="279"/>
    <x v="0"/>
    <x v="0"/>
    <x v="0"/>
    <x v="0"/>
    <x v="0"/>
    <x v="11"/>
    <x v="255"/>
    <x v="248"/>
    <x v="288"/>
    <x v="3"/>
    <x v="10"/>
    <x v="0"/>
    <x v="11"/>
    <x v="12"/>
    <x v="0"/>
    <x v="0"/>
    <x v="0"/>
    <x v="5"/>
    <x v="0"/>
    <x v="0"/>
    <x v="1"/>
    <x v="1"/>
  </r>
  <r>
    <x v="281"/>
    <x v="1"/>
    <x v="25"/>
    <x v="287"/>
    <x v="1228"/>
    <x v="256"/>
    <x v="1"/>
    <x v="0"/>
    <x v="278"/>
    <x v="0"/>
    <x v="0"/>
    <x v="0"/>
    <x v="0"/>
    <x v="0"/>
    <x v="11"/>
    <x v="256"/>
    <x v="249"/>
    <x v="287"/>
    <x v="3"/>
    <x v="10"/>
    <x v="0"/>
    <x v="11"/>
    <x v="12"/>
    <x v="0"/>
    <x v="0"/>
    <x v="0"/>
    <x v="5"/>
    <x v="0"/>
    <x v="0"/>
    <x v="1"/>
    <x v="1"/>
  </r>
  <r>
    <x v="299"/>
    <x v="1"/>
    <x v="25"/>
    <x v="305"/>
    <x v="1229"/>
    <x v="257"/>
    <x v="1"/>
    <x v="0"/>
    <x v="296"/>
    <x v="0"/>
    <x v="0"/>
    <x v="0"/>
    <x v="0"/>
    <x v="0"/>
    <x v="11"/>
    <x v="257"/>
    <x v="250"/>
    <x v="305"/>
    <x v="3"/>
    <x v="10"/>
    <x v="0"/>
    <x v="11"/>
    <x v="12"/>
    <x v="0"/>
    <x v="0"/>
    <x v="0"/>
    <x v="5"/>
    <x v="0"/>
    <x v="0"/>
    <x v="1"/>
    <x v="1"/>
  </r>
  <r>
    <x v="284"/>
    <x v="1"/>
    <x v="25"/>
    <x v="290"/>
    <x v="1230"/>
    <x v="258"/>
    <x v="1"/>
    <x v="0"/>
    <x v="281"/>
    <x v="0"/>
    <x v="0"/>
    <x v="0"/>
    <x v="0"/>
    <x v="0"/>
    <x v="11"/>
    <x v="258"/>
    <x v="251"/>
    <x v="290"/>
    <x v="3"/>
    <x v="10"/>
    <x v="0"/>
    <x v="11"/>
    <x v="12"/>
    <x v="0"/>
    <x v="0"/>
    <x v="0"/>
    <x v="5"/>
    <x v="0"/>
    <x v="0"/>
    <x v="1"/>
    <x v="1"/>
  </r>
  <r>
    <x v="301"/>
    <x v="1"/>
    <x v="25"/>
    <x v="307"/>
    <x v="1231"/>
    <x v="259"/>
    <x v="1"/>
    <x v="0"/>
    <x v="298"/>
    <x v="0"/>
    <x v="0"/>
    <x v="0"/>
    <x v="0"/>
    <x v="0"/>
    <x v="11"/>
    <x v="259"/>
    <x v="252"/>
    <x v="307"/>
    <x v="3"/>
    <x v="10"/>
    <x v="0"/>
    <x v="11"/>
    <x v="12"/>
    <x v="0"/>
    <x v="0"/>
    <x v="0"/>
    <x v="5"/>
    <x v="0"/>
    <x v="0"/>
    <x v="1"/>
    <x v="1"/>
  </r>
  <r>
    <x v="243"/>
    <x v="0"/>
    <x v="18"/>
    <x v="205"/>
    <x v="1232"/>
    <x v="161"/>
    <x v="0"/>
    <x v="0"/>
    <x v="240"/>
    <x v="0"/>
    <x v="0"/>
    <x v="0"/>
    <x v="0"/>
    <x v="0"/>
    <x v="11"/>
    <x v="161"/>
    <x v="157"/>
    <x v="205"/>
    <x v="3"/>
    <x v="10"/>
    <x v="0"/>
    <x v="11"/>
    <x v="12"/>
    <x v="0"/>
    <x v="0"/>
    <x v="0"/>
    <x v="2"/>
    <x v="0"/>
    <x v="0"/>
    <x v="0"/>
    <x v="0"/>
  </r>
  <r>
    <x v="254"/>
    <x v="0"/>
    <x v="18"/>
    <x v="216"/>
    <x v="1233"/>
    <x v="162"/>
    <x v="0"/>
    <x v="0"/>
    <x v="251"/>
    <x v="0"/>
    <x v="0"/>
    <x v="0"/>
    <x v="0"/>
    <x v="0"/>
    <x v="11"/>
    <x v="162"/>
    <x v="158"/>
    <x v="216"/>
    <x v="3"/>
    <x v="10"/>
    <x v="0"/>
    <x v="11"/>
    <x v="12"/>
    <x v="0"/>
    <x v="0"/>
    <x v="0"/>
    <x v="2"/>
    <x v="0"/>
    <x v="0"/>
    <x v="0"/>
    <x v="0"/>
  </r>
  <r>
    <x v="256"/>
    <x v="0"/>
    <x v="18"/>
    <x v="218"/>
    <x v="1234"/>
    <x v="163"/>
    <x v="0"/>
    <x v="0"/>
    <x v="253"/>
    <x v="0"/>
    <x v="0"/>
    <x v="0"/>
    <x v="0"/>
    <x v="0"/>
    <x v="11"/>
    <x v="163"/>
    <x v="159"/>
    <x v="218"/>
    <x v="3"/>
    <x v="10"/>
    <x v="0"/>
    <x v="11"/>
    <x v="12"/>
    <x v="0"/>
    <x v="0"/>
    <x v="0"/>
    <x v="2"/>
    <x v="0"/>
    <x v="0"/>
    <x v="0"/>
    <x v="0"/>
  </r>
  <r>
    <x v="248"/>
    <x v="0"/>
    <x v="18"/>
    <x v="210"/>
    <x v="1235"/>
    <x v="164"/>
    <x v="0"/>
    <x v="0"/>
    <x v="245"/>
    <x v="0"/>
    <x v="0"/>
    <x v="0"/>
    <x v="0"/>
    <x v="0"/>
    <x v="11"/>
    <x v="164"/>
    <x v="160"/>
    <x v="210"/>
    <x v="3"/>
    <x v="10"/>
    <x v="0"/>
    <x v="11"/>
    <x v="12"/>
    <x v="0"/>
    <x v="0"/>
    <x v="0"/>
    <x v="2"/>
    <x v="0"/>
    <x v="0"/>
    <x v="0"/>
    <x v="0"/>
  </r>
  <r>
    <x v="253"/>
    <x v="0"/>
    <x v="18"/>
    <x v="215"/>
    <x v="1236"/>
    <x v="165"/>
    <x v="0"/>
    <x v="0"/>
    <x v="250"/>
    <x v="0"/>
    <x v="0"/>
    <x v="0"/>
    <x v="0"/>
    <x v="0"/>
    <x v="11"/>
    <x v="165"/>
    <x v="161"/>
    <x v="215"/>
    <x v="3"/>
    <x v="10"/>
    <x v="0"/>
    <x v="11"/>
    <x v="12"/>
    <x v="0"/>
    <x v="0"/>
    <x v="0"/>
    <x v="2"/>
    <x v="0"/>
    <x v="0"/>
    <x v="0"/>
    <x v="0"/>
  </r>
  <r>
    <x v="247"/>
    <x v="0"/>
    <x v="18"/>
    <x v="209"/>
    <x v="1237"/>
    <x v="166"/>
    <x v="0"/>
    <x v="0"/>
    <x v="244"/>
    <x v="0"/>
    <x v="0"/>
    <x v="0"/>
    <x v="0"/>
    <x v="0"/>
    <x v="11"/>
    <x v="166"/>
    <x v="162"/>
    <x v="209"/>
    <x v="3"/>
    <x v="10"/>
    <x v="0"/>
    <x v="11"/>
    <x v="12"/>
    <x v="0"/>
    <x v="0"/>
    <x v="0"/>
    <x v="2"/>
    <x v="0"/>
    <x v="0"/>
    <x v="0"/>
    <x v="0"/>
  </r>
  <r>
    <x v="244"/>
    <x v="0"/>
    <x v="18"/>
    <x v="206"/>
    <x v="1238"/>
    <x v="167"/>
    <x v="0"/>
    <x v="0"/>
    <x v="241"/>
    <x v="0"/>
    <x v="0"/>
    <x v="0"/>
    <x v="0"/>
    <x v="0"/>
    <x v="11"/>
    <x v="167"/>
    <x v="163"/>
    <x v="206"/>
    <x v="3"/>
    <x v="10"/>
    <x v="0"/>
    <x v="11"/>
    <x v="12"/>
    <x v="0"/>
    <x v="0"/>
    <x v="0"/>
    <x v="2"/>
    <x v="0"/>
    <x v="0"/>
    <x v="0"/>
    <x v="0"/>
  </r>
  <r>
    <x v="241"/>
    <x v="0"/>
    <x v="18"/>
    <x v="203"/>
    <x v="1239"/>
    <x v="168"/>
    <x v="0"/>
    <x v="0"/>
    <x v="238"/>
    <x v="0"/>
    <x v="0"/>
    <x v="0"/>
    <x v="0"/>
    <x v="0"/>
    <x v="11"/>
    <x v="168"/>
    <x v="164"/>
    <x v="203"/>
    <x v="3"/>
    <x v="10"/>
    <x v="0"/>
    <x v="11"/>
    <x v="12"/>
    <x v="0"/>
    <x v="0"/>
    <x v="0"/>
    <x v="2"/>
    <x v="0"/>
    <x v="0"/>
    <x v="0"/>
    <x v="0"/>
  </r>
  <r>
    <x v="239"/>
    <x v="0"/>
    <x v="18"/>
    <x v="201"/>
    <x v="1240"/>
    <x v="169"/>
    <x v="0"/>
    <x v="0"/>
    <x v="236"/>
    <x v="0"/>
    <x v="0"/>
    <x v="0"/>
    <x v="0"/>
    <x v="0"/>
    <x v="11"/>
    <x v="169"/>
    <x v="165"/>
    <x v="201"/>
    <x v="3"/>
    <x v="10"/>
    <x v="0"/>
    <x v="11"/>
    <x v="12"/>
    <x v="0"/>
    <x v="0"/>
    <x v="0"/>
    <x v="2"/>
    <x v="0"/>
    <x v="0"/>
    <x v="0"/>
    <x v="0"/>
  </r>
  <r>
    <x v="258"/>
    <x v="0"/>
    <x v="18"/>
    <x v="220"/>
    <x v="1241"/>
    <x v="170"/>
    <x v="0"/>
    <x v="0"/>
    <x v="255"/>
    <x v="0"/>
    <x v="0"/>
    <x v="0"/>
    <x v="0"/>
    <x v="0"/>
    <x v="11"/>
    <x v="170"/>
    <x v="166"/>
    <x v="220"/>
    <x v="3"/>
    <x v="10"/>
    <x v="0"/>
    <x v="11"/>
    <x v="12"/>
    <x v="0"/>
    <x v="0"/>
    <x v="0"/>
    <x v="2"/>
    <x v="0"/>
    <x v="0"/>
    <x v="0"/>
    <x v="0"/>
  </r>
  <r>
    <x v="251"/>
    <x v="0"/>
    <x v="18"/>
    <x v="213"/>
    <x v="1242"/>
    <x v="171"/>
    <x v="0"/>
    <x v="0"/>
    <x v="248"/>
    <x v="0"/>
    <x v="0"/>
    <x v="0"/>
    <x v="0"/>
    <x v="0"/>
    <x v="11"/>
    <x v="171"/>
    <x v="167"/>
    <x v="213"/>
    <x v="3"/>
    <x v="10"/>
    <x v="0"/>
    <x v="11"/>
    <x v="12"/>
    <x v="0"/>
    <x v="0"/>
    <x v="0"/>
    <x v="2"/>
    <x v="0"/>
    <x v="0"/>
    <x v="0"/>
    <x v="0"/>
  </r>
  <r>
    <x v="242"/>
    <x v="0"/>
    <x v="18"/>
    <x v="204"/>
    <x v="1243"/>
    <x v="172"/>
    <x v="0"/>
    <x v="0"/>
    <x v="239"/>
    <x v="0"/>
    <x v="0"/>
    <x v="0"/>
    <x v="0"/>
    <x v="0"/>
    <x v="11"/>
    <x v="172"/>
    <x v="168"/>
    <x v="204"/>
    <x v="3"/>
    <x v="10"/>
    <x v="0"/>
    <x v="11"/>
    <x v="12"/>
    <x v="0"/>
    <x v="0"/>
    <x v="0"/>
    <x v="2"/>
    <x v="0"/>
    <x v="0"/>
    <x v="0"/>
    <x v="0"/>
  </r>
  <r>
    <x v="250"/>
    <x v="0"/>
    <x v="18"/>
    <x v="212"/>
    <x v="1244"/>
    <x v="173"/>
    <x v="0"/>
    <x v="0"/>
    <x v="247"/>
    <x v="0"/>
    <x v="0"/>
    <x v="0"/>
    <x v="0"/>
    <x v="0"/>
    <x v="11"/>
    <x v="173"/>
    <x v="169"/>
    <x v="212"/>
    <x v="3"/>
    <x v="10"/>
    <x v="0"/>
    <x v="11"/>
    <x v="12"/>
    <x v="0"/>
    <x v="0"/>
    <x v="0"/>
    <x v="2"/>
    <x v="0"/>
    <x v="0"/>
    <x v="0"/>
    <x v="0"/>
  </r>
  <r>
    <x v="246"/>
    <x v="0"/>
    <x v="18"/>
    <x v="208"/>
    <x v="1245"/>
    <x v="174"/>
    <x v="0"/>
    <x v="0"/>
    <x v="243"/>
    <x v="0"/>
    <x v="0"/>
    <x v="0"/>
    <x v="0"/>
    <x v="0"/>
    <x v="11"/>
    <x v="174"/>
    <x v="170"/>
    <x v="208"/>
    <x v="3"/>
    <x v="10"/>
    <x v="0"/>
    <x v="11"/>
    <x v="12"/>
    <x v="0"/>
    <x v="0"/>
    <x v="0"/>
    <x v="2"/>
    <x v="0"/>
    <x v="0"/>
    <x v="0"/>
    <x v="0"/>
  </r>
  <r>
    <x v="245"/>
    <x v="0"/>
    <x v="18"/>
    <x v="207"/>
    <x v="1246"/>
    <x v="175"/>
    <x v="0"/>
    <x v="0"/>
    <x v="242"/>
    <x v="0"/>
    <x v="0"/>
    <x v="0"/>
    <x v="0"/>
    <x v="0"/>
    <x v="11"/>
    <x v="175"/>
    <x v="171"/>
    <x v="207"/>
    <x v="3"/>
    <x v="10"/>
    <x v="0"/>
    <x v="11"/>
    <x v="12"/>
    <x v="0"/>
    <x v="0"/>
    <x v="0"/>
    <x v="2"/>
    <x v="0"/>
    <x v="0"/>
    <x v="0"/>
    <x v="0"/>
  </r>
  <r>
    <x v="252"/>
    <x v="0"/>
    <x v="18"/>
    <x v="214"/>
    <x v="1247"/>
    <x v="176"/>
    <x v="0"/>
    <x v="0"/>
    <x v="249"/>
    <x v="0"/>
    <x v="0"/>
    <x v="0"/>
    <x v="0"/>
    <x v="0"/>
    <x v="11"/>
    <x v="176"/>
    <x v="172"/>
    <x v="214"/>
    <x v="3"/>
    <x v="10"/>
    <x v="0"/>
    <x v="11"/>
    <x v="12"/>
    <x v="0"/>
    <x v="0"/>
    <x v="0"/>
    <x v="2"/>
    <x v="0"/>
    <x v="0"/>
    <x v="0"/>
    <x v="0"/>
  </r>
  <r>
    <x v="249"/>
    <x v="0"/>
    <x v="18"/>
    <x v="211"/>
    <x v="1248"/>
    <x v="177"/>
    <x v="0"/>
    <x v="0"/>
    <x v="246"/>
    <x v="0"/>
    <x v="0"/>
    <x v="0"/>
    <x v="0"/>
    <x v="0"/>
    <x v="11"/>
    <x v="177"/>
    <x v="173"/>
    <x v="211"/>
    <x v="3"/>
    <x v="10"/>
    <x v="0"/>
    <x v="11"/>
    <x v="12"/>
    <x v="0"/>
    <x v="0"/>
    <x v="0"/>
    <x v="2"/>
    <x v="0"/>
    <x v="0"/>
    <x v="0"/>
    <x v="0"/>
  </r>
  <r>
    <x v="238"/>
    <x v="0"/>
    <x v="18"/>
    <x v="200"/>
    <x v="1249"/>
    <x v="178"/>
    <x v="0"/>
    <x v="0"/>
    <x v="235"/>
    <x v="0"/>
    <x v="0"/>
    <x v="0"/>
    <x v="0"/>
    <x v="0"/>
    <x v="11"/>
    <x v="178"/>
    <x v="174"/>
    <x v="200"/>
    <x v="3"/>
    <x v="10"/>
    <x v="0"/>
    <x v="11"/>
    <x v="12"/>
    <x v="0"/>
    <x v="0"/>
    <x v="0"/>
    <x v="2"/>
    <x v="0"/>
    <x v="0"/>
    <x v="0"/>
    <x v="0"/>
  </r>
  <r>
    <x v="237"/>
    <x v="0"/>
    <x v="18"/>
    <x v="199"/>
    <x v="1250"/>
    <x v="179"/>
    <x v="0"/>
    <x v="0"/>
    <x v="234"/>
    <x v="0"/>
    <x v="0"/>
    <x v="0"/>
    <x v="0"/>
    <x v="0"/>
    <x v="11"/>
    <x v="179"/>
    <x v="175"/>
    <x v="199"/>
    <x v="3"/>
    <x v="10"/>
    <x v="0"/>
    <x v="11"/>
    <x v="12"/>
    <x v="0"/>
    <x v="0"/>
    <x v="0"/>
    <x v="2"/>
    <x v="0"/>
    <x v="0"/>
    <x v="0"/>
    <x v="0"/>
  </r>
  <r>
    <x v="255"/>
    <x v="0"/>
    <x v="18"/>
    <x v="217"/>
    <x v="1251"/>
    <x v="180"/>
    <x v="0"/>
    <x v="0"/>
    <x v="252"/>
    <x v="0"/>
    <x v="0"/>
    <x v="0"/>
    <x v="0"/>
    <x v="0"/>
    <x v="11"/>
    <x v="180"/>
    <x v="176"/>
    <x v="217"/>
    <x v="3"/>
    <x v="10"/>
    <x v="0"/>
    <x v="11"/>
    <x v="12"/>
    <x v="0"/>
    <x v="0"/>
    <x v="0"/>
    <x v="2"/>
    <x v="0"/>
    <x v="0"/>
    <x v="0"/>
    <x v="0"/>
  </r>
  <r>
    <x v="240"/>
    <x v="0"/>
    <x v="18"/>
    <x v="202"/>
    <x v="1252"/>
    <x v="181"/>
    <x v="0"/>
    <x v="0"/>
    <x v="237"/>
    <x v="0"/>
    <x v="0"/>
    <x v="0"/>
    <x v="0"/>
    <x v="0"/>
    <x v="11"/>
    <x v="181"/>
    <x v="177"/>
    <x v="202"/>
    <x v="3"/>
    <x v="10"/>
    <x v="0"/>
    <x v="11"/>
    <x v="12"/>
    <x v="0"/>
    <x v="0"/>
    <x v="0"/>
    <x v="2"/>
    <x v="0"/>
    <x v="0"/>
    <x v="0"/>
    <x v="0"/>
  </r>
  <r>
    <x v="257"/>
    <x v="0"/>
    <x v="18"/>
    <x v="219"/>
    <x v="1253"/>
    <x v="182"/>
    <x v="0"/>
    <x v="0"/>
    <x v="254"/>
    <x v="0"/>
    <x v="0"/>
    <x v="0"/>
    <x v="0"/>
    <x v="0"/>
    <x v="11"/>
    <x v="182"/>
    <x v="178"/>
    <x v="219"/>
    <x v="3"/>
    <x v="10"/>
    <x v="0"/>
    <x v="11"/>
    <x v="12"/>
    <x v="0"/>
    <x v="0"/>
    <x v="0"/>
    <x v="2"/>
    <x v="0"/>
    <x v="0"/>
    <x v="0"/>
    <x v="0"/>
  </r>
  <r>
    <x v="309"/>
    <x v="0"/>
    <x v="18"/>
    <x v="315"/>
    <x v="1254"/>
    <x v="184"/>
    <x v="0"/>
    <x v="0"/>
    <x v="306"/>
    <x v="0"/>
    <x v="0"/>
    <x v="0"/>
    <x v="0"/>
    <x v="0"/>
    <x v="11"/>
    <x v="184"/>
    <x v="180"/>
    <x v="315"/>
    <x v="3"/>
    <x v="10"/>
    <x v="0"/>
    <x v="11"/>
    <x v="12"/>
    <x v="0"/>
    <x v="0"/>
    <x v="0"/>
    <x v="5"/>
    <x v="0"/>
    <x v="0"/>
    <x v="0"/>
    <x v="0"/>
  </r>
  <r>
    <x v="320"/>
    <x v="0"/>
    <x v="18"/>
    <x v="326"/>
    <x v="1255"/>
    <x v="185"/>
    <x v="0"/>
    <x v="0"/>
    <x v="317"/>
    <x v="0"/>
    <x v="0"/>
    <x v="0"/>
    <x v="0"/>
    <x v="0"/>
    <x v="11"/>
    <x v="185"/>
    <x v="181"/>
    <x v="326"/>
    <x v="3"/>
    <x v="10"/>
    <x v="0"/>
    <x v="11"/>
    <x v="12"/>
    <x v="0"/>
    <x v="0"/>
    <x v="0"/>
    <x v="5"/>
    <x v="0"/>
    <x v="0"/>
    <x v="0"/>
    <x v="0"/>
  </r>
  <r>
    <x v="322"/>
    <x v="0"/>
    <x v="18"/>
    <x v="328"/>
    <x v="1256"/>
    <x v="186"/>
    <x v="0"/>
    <x v="0"/>
    <x v="319"/>
    <x v="0"/>
    <x v="0"/>
    <x v="0"/>
    <x v="0"/>
    <x v="0"/>
    <x v="11"/>
    <x v="186"/>
    <x v="182"/>
    <x v="328"/>
    <x v="3"/>
    <x v="10"/>
    <x v="0"/>
    <x v="11"/>
    <x v="12"/>
    <x v="0"/>
    <x v="0"/>
    <x v="0"/>
    <x v="5"/>
    <x v="0"/>
    <x v="0"/>
    <x v="0"/>
    <x v="0"/>
  </r>
  <r>
    <x v="314"/>
    <x v="0"/>
    <x v="18"/>
    <x v="320"/>
    <x v="1257"/>
    <x v="187"/>
    <x v="0"/>
    <x v="0"/>
    <x v="311"/>
    <x v="0"/>
    <x v="0"/>
    <x v="0"/>
    <x v="0"/>
    <x v="0"/>
    <x v="11"/>
    <x v="187"/>
    <x v="183"/>
    <x v="320"/>
    <x v="3"/>
    <x v="10"/>
    <x v="0"/>
    <x v="11"/>
    <x v="12"/>
    <x v="0"/>
    <x v="0"/>
    <x v="0"/>
    <x v="5"/>
    <x v="0"/>
    <x v="0"/>
    <x v="0"/>
    <x v="0"/>
  </r>
  <r>
    <x v="319"/>
    <x v="0"/>
    <x v="18"/>
    <x v="325"/>
    <x v="1258"/>
    <x v="188"/>
    <x v="0"/>
    <x v="0"/>
    <x v="316"/>
    <x v="0"/>
    <x v="0"/>
    <x v="0"/>
    <x v="0"/>
    <x v="0"/>
    <x v="11"/>
    <x v="188"/>
    <x v="184"/>
    <x v="325"/>
    <x v="3"/>
    <x v="10"/>
    <x v="0"/>
    <x v="11"/>
    <x v="12"/>
    <x v="0"/>
    <x v="0"/>
    <x v="0"/>
    <x v="5"/>
    <x v="0"/>
    <x v="0"/>
    <x v="0"/>
    <x v="0"/>
  </r>
  <r>
    <x v="313"/>
    <x v="0"/>
    <x v="18"/>
    <x v="319"/>
    <x v="1259"/>
    <x v="189"/>
    <x v="0"/>
    <x v="0"/>
    <x v="310"/>
    <x v="0"/>
    <x v="0"/>
    <x v="0"/>
    <x v="0"/>
    <x v="0"/>
    <x v="11"/>
    <x v="189"/>
    <x v="185"/>
    <x v="319"/>
    <x v="3"/>
    <x v="10"/>
    <x v="0"/>
    <x v="11"/>
    <x v="12"/>
    <x v="0"/>
    <x v="0"/>
    <x v="0"/>
    <x v="5"/>
    <x v="0"/>
    <x v="0"/>
    <x v="0"/>
    <x v="0"/>
  </r>
  <r>
    <x v="310"/>
    <x v="0"/>
    <x v="18"/>
    <x v="316"/>
    <x v="1260"/>
    <x v="190"/>
    <x v="0"/>
    <x v="0"/>
    <x v="307"/>
    <x v="0"/>
    <x v="0"/>
    <x v="0"/>
    <x v="0"/>
    <x v="0"/>
    <x v="11"/>
    <x v="190"/>
    <x v="186"/>
    <x v="316"/>
    <x v="3"/>
    <x v="10"/>
    <x v="0"/>
    <x v="11"/>
    <x v="12"/>
    <x v="0"/>
    <x v="0"/>
    <x v="0"/>
    <x v="5"/>
    <x v="0"/>
    <x v="0"/>
    <x v="0"/>
    <x v="0"/>
  </r>
  <r>
    <x v="307"/>
    <x v="0"/>
    <x v="18"/>
    <x v="313"/>
    <x v="1261"/>
    <x v="191"/>
    <x v="0"/>
    <x v="0"/>
    <x v="304"/>
    <x v="0"/>
    <x v="0"/>
    <x v="0"/>
    <x v="0"/>
    <x v="0"/>
    <x v="11"/>
    <x v="191"/>
    <x v="187"/>
    <x v="313"/>
    <x v="3"/>
    <x v="10"/>
    <x v="0"/>
    <x v="11"/>
    <x v="12"/>
    <x v="0"/>
    <x v="0"/>
    <x v="0"/>
    <x v="5"/>
    <x v="0"/>
    <x v="0"/>
    <x v="0"/>
    <x v="0"/>
  </r>
  <r>
    <x v="305"/>
    <x v="0"/>
    <x v="18"/>
    <x v="311"/>
    <x v="1262"/>
    <x v="192"/>
    <x v="0"/>
    <x v="0"/>
    <x v="302"/>
    <x v="0"/>
    <x v="0"/>
    <x v="0"/>
    <x v="0"/>
    <x v="0"/>
    <x v="11"/>
    <x v="192"/>
    <x v="188"/>
    <x v="311"/>
    <x v="3"/>
    <x v="10"/>
    <x v="0"/>
    <x v="11"/>
    <x v="12"/>
    <x v="0"/>
    <x v="0"/>
    <x v="0"/>
    <x v="5"/>
    <x v="0"/>
    <x v="0"/>
    <x v="0"/>
    <x v="0"/>
  </r>
  <r>
    <x v="324"/>
    <x v="0"/>
    <x v="18"/>
    <x v="330"/>
    <x v="1263"/>
    <x v="193"/>
    <x v="0"/>
    <x v="0"/>
    <x v="321"/>
    <x v="0"/>
    <x v="0"/>
    <x v="0"/>
    <x v="0"/>
    <x v="0"/>
    <x v="11"/>
    <x v="193"/>
    <x v="189"/>
    <x v="330"/>
    <x v="3"/>
    <x v="10"/>
    <x v="0"/>
    <x v="11"/>
    <x v="12"/>
    <x v="0"/>
    <x v="0"/>
    <x v="0"/>
    <x v="5"/>
    <x v="0"/>
    <x v="0"/>
    <x v="0"/>
    <x v="0"/>
  </r>
  <r>
    <x v="317"/>
    <x v="0"/>
    <x v="18"/>
    <x v="323"/>
    <x v="1264"/>
    <x v="194"/>
    <x v="0"/>
    <x v="0"/>
    <x v="314"/>
    <x v="0"/>
    <x v="0"/>
    <x v="0"/>
    <x v="0"/>
    <x v="0"/>
    <x v="11"/>
    <x v="194"/>
    <x v="190"/>
    <x v="323"/>
    <x v="3"/>
    <x v="10"/>
    <x v="0"/>
    <x v="11"/>
    <x v="12"/>
    <x v="0"/>
    <x v="0"/>
    <x v="0"/>
    <x v="5"/>
    <x v="0"/>
    <x v="0"/>
    <x v="0"/>
    <x v="0"/>
  </r>
  <r>
    <x v="308"/>
    <x v="0"/>
    <x v="18"/>
    <x v="314"/>
    <x v="1265"/>
    <x v="195"/>
    <x v="0"/>
    <x v="0"/>
    <x v="305"/>
    <x v="0"/>
    <x v="0"/>
    <x v="0"/>
    <x v="0"/>
    <x v="0"/>
    <x v="11"/>
    <x v="195"/>
    <x v="191"/>
    <x v="314"/>
    <x v="3"/>
    <x v="10"/>
    <x v="0"/>
    <x v="11"/>
    <x v="12"/>
    <x v="0"/>
    <x v="0"/>
    <x v="0"/>
    <x v="5"/>
    <x v="0"/>
    <x v="0"/>
    <x v="0"/>
    <x v="0"/>
  </r>
  <r>
    <x v="316"/>
    <x v="0"/>
    <x v="18"/>
    <x v="322"/>
    <x v="1266"/>
    <x v="196"/>
    <x v="0"/>
    <x v="0"/>
    <x v="313"/>
    <x v="0"/>
    <x v="0"/>
    <x v="0"/>
    <x v="0"/>
    <x v="0"/>
    <x v="11"/>
    <x v="196"/>
    <x v="192"/>
    <x v="322"/>
    <x v="3"/>
    <x v="10"/>
    <x v="0"/>
    <x v="11"/>
    <x v="12"/>
    <x v="0"/>
    <x v="0"/>
    <x v="0"/>
    <x v="5"/>
    <x v="0"/>
    <x v="0"/>
    <x v="0"/>
    <x v="0"/>
  </r>
  <r>
    <x v="312"/>
    <x v="0"/>
    <x v="18"/>
    <x v="318"/>
    <x v="1267"/>
    <x v="197"/>
    <x v="0"/>
    <x v="0"/>
    <x v="309"/>
    <x v="0"/>
    <x v="0"/>
    <x v="0"/>
    <x v="0"/>
    <x v="0"/>
    <x v="11"/>
    <x v="197"/>
    <x v="193"/>
    <x v="318"/>
    <x v="3"/>
    <x v="10"/>
    <x v="0"/>
    <x v="11"/>
    <x v="12"/>
    <x v="0"/>
    <x v="0"/>
    <x v="0"/>
    <x v="5"/>
    <x v="0"/>
    <x v="0"/>
    <x v="0"/>
    <x v="0"/>
  </r>
  <r>
    <x v="311"/>
    <x v="0"/>
    <x v="18"/>
    <x v="317"/>
    <x v="1268"/>
    <x v="198"/>
    <x v="0"/>
    <x v="0"/>
    <x v="308"/>
    <x v="0"/>
    <x v="0"/>
    <x v="0"/>
    <x v="0"/>
    <x v="0"/>
    <x v="11"/>
    <x v="198"/>
    <x v="194"/>
    <x v="317"/>
    <x v="3"/>
    <x v="10"/>
    <x v="0"/>
    <x v="11"/>
    <x v="12"/>
    <x v="0"/>
    <x v="0"/>
    <x v="0"/>
    <x v="5"/>
    <x v="0"/>
    <x v="0"/>
    <x v="0"/>
    <x v="0"/>
  </r>
  <r>
    <x v="318"/>
    <x v="0"/>
    <x v="18"/>
    <x v="324"/>
    <x v="1269"/>
    <x v="199"/>
    <x v="0"/>
    <x v="0"/>
    <x v="315"/>
    <x v="0"/>
    <x v="0"/>
    <x v="0"/>
    <x v="0"/>
    <x v="0"/>
    <x v="11"/>
    <x v="199"/>
    <x v="195"/>
    <x v="324"/>
    <x v="3"/>
    <x v="10"/>
    <x v="0"/>
    <x v="11"/>
    <x v="12"/>
    <x v="0"/>
    <x v="0"/>
    <x v="0"/>
    <x v="5"/>
    <x v="0"/>
    <x v="0"/>
    <x v="0"/>
    <x v="0"/>
  </r>
  <r>
    <x v="315"/>
    <x v="0"/>
    <x v="18"/>
    <x v="321"/>
    <x v="1270"/>
    <x v="200"/>
    <x v="0"/>
    <x v="0"/>
    <x v="312"/>
    <x v="0"/>
    <x v="0"/>
    <x v="0"/>
    <x v="0"/>
    <x v="0"/>
    <x v="11"/>
    <x v="200"/>
    <x v="196"/>
    <x v="321"/>
    <x v="3"/>
    <x v="10"/>
    <x v="0"/>
    <x v="11"/>
    <x v="12"/>
    <x v="0"/>
    <x v="0"/>
    <x v="0"/>
    <x v="5"/>
    <x v="0"/>
    <x v="0"/>
    <x v="0"/>
    <x v="0"/>
  </r>
  <r>
    <x v="304"/>
    <x v="0"/>
    <x v="18"/>
    <x v="310"/>
    <x v="1271"/>
    <x v="201"/>
    <x v="0"/>
    <x v="0"/>
    <x v="301"/>
    <x v="0"/>
    <x v="0"/>
    <x v="0"/>
    <x v="0"/>
    <x v="0"/>
    <x v="11"/>
    <x v="201"/>
    <x v="197"/>
    <x v="310"/>
    <x v="3"/>
    <x v="10"/>
    <x v="0"/>
    <x v="11"/>
    <x v="12"/>
    <x v="0"/>
    <x v="0"/>
    <x v="0"/>
    <x v="5"/>
    <x v="0"/>
    <x v="0"/>
    <x v="0"/>
    <x v="0"/>
  </r>
  <r>
    <x v="303"/>
    <x v="0"/>
    <x v="18"/>
    <x v="309"/>
    <x v="1272"/>
    <x v="202"/>
    <x v="0"/>
    <x v="0"/>
    <x v="300"/>
    <x v="0"/>
    <x v="0"/>
    <x v="0"/>
    <x v="0"/>
    <x v="0"/>
    <x v="11"/>
    <x v="202"/>
    <x v="198"/>
    <x v="309"/>
    <x v="3"/>
    <x v="10"/>
    <x v="0"/>
    <x v="11"/>
    <x v="12"/>
    <x v="0"/>
    <x v="0"/>
    <x v="0"/>
    <x v="5"/>
    <x v="0"/>
    <x v="0"/>
    <x v="0"/>
    <x v="0"/>
  </r>
  <r>
    <x v="321"/>
    <x v="0"/>
    <x v="18"/>
    <x v="327"/>
    <x v="1273"/>
    <x v="203"/>
    <x v="0"/>
    <x v="0"/>
    <x v="318"/>
    <x v="0"/>
    <x v="0"/>
    <x v="0"/>
    <x v="0"/>
    <x v="0"/>
    <x v="11"/>
    <x v="203"/>
    <x v="199"/>
    <x v="327"/>
    <x v="3"/>
    <x v="10"/>
    <x v="0"/>
    <x v="11"/>
    <x v="12"/>
    <x v="0"/>
    <x v="0"/>
    <x v="0"/>
    <x v="5"/>
    <x v="0"/>
    <x v="0"/>
    <x v="0"/>
    <x v="0"/>
  </r>
  <r>
    <x v="306"/>
    <x v="0"/>
    <x v="18"/>
    <x v="312"/>
    <x v="1274"/>
    <x v="204"/>
    <x v="0"/>
    <x v="0"/>
    <x v="303"/>
    <x v="0"/>
    <x v="0"/>
    <x v="0"/>
    <x v="0"/>
    <x v="0"/>
    <x v="11"/>
    <x v="204"/>
    <x v="200"/>
    <x v="312"/>
    <x v="3"/>
    <x v="10"/>
    <x v="0"/>
    <x v="11"/>
    <x v="12"/>
    <x v="0"/>
    <x v="0"/>
    <x v="0"/>
    <x v="5"/>
    <x v="0"/>
    <x v="0"/>
    <x v="0"/>
    <x v="0"/>
  </r>
  <r>
    <x v="323"/>
    <x v="0"/>
    <x v="18"/>
    <x v="329"/>
    <x v="1275"/>
    <x v="205"/>
    <x v="0"/>
    <x v="0"/>
    <x v="320"/>
    <x v="0"/>
    <x v="0"/>
    <x v="0"/>
    <x v="0"/>
    <x v="0"/>
    <x v="11"/>
    <x v="205"/>
    <x v="201"/>
    <x v="329"/>
    <x v="3"/>
    <x v="10"/>
    <x v="0"/>
    <x v="11"/>
    <x v="12"/>
    <x v="0"/>
    <x v="0"/>
    <x v="0"/>
    <x v="5"/>
    <x v="0"/>
    <x v="0"/>
    <x v="0"/>
    <x v="0"/>
  </r>
  <r>
    <x v="232"/>
    <x v="0"/>
    <x v="7"/>
    <x v="196"/>
    <x v="1276"/>
    <x v="183"/>
    <x v="1"/>
    <x v="0"/>
    <x v="229"/>
    <x v="0"/>
    <x v="0"/>
    <x v="0"/>
    <x v="0"/>
    <x v="0"/>
    <x v="11"/>
    <x v="183"/>
    <x v="179"/>
    <x v="196"/>
    <x v="3"/>
    <x v="10"/>
    <x v="0"/>
    <x v="11"/>
    <x v="12"/>
    <x v="0"/>
    <x v="0"/>
    <x v="0"/>
    <x v="6"/>
    <x v="0"/>
    <x v="0"/>
    <x v="1"/>
    <x v="1"/>
  </r>
  <r>
    <x v="327"/>
    <x v="0"/>
    <x v="22"/>
    <x v="333"/>
    <x v="1277"/>
    <x v="211"/>
    <x v="1"/>
    <x v="0"/>
    <x v="324"/>
    <x v="0"/>
    <x v="0"/>
    <x v="0"/>
    <x v="0"/>
    <x v="0"/>
    <x v="11"/>
    <x v="211"/>
    <x v="204"/>
    <x v="333"/>
    <x v="3"/>
    <x v="10"/>
    <x v="0"/>
    <x v="11"/>
    <x v="12"/>
    <x v="0"/>
    <x v="0"/>
    <x v="0"/>
    <x v="0"/>
    <x v="0"/>
    <x v="0"/>
    <x v="1"/>
    <x v="1"/>
  </r>
  <r>
    <x v="328"/>
    <x v="0"/>
    <x v="22"/>
    <x v="334"/>
    <x v="1278"/>
    <x v="213"/>
    <x v="1"/>
    <x v="0"/>
    <x v="325"/>
    <x v="0"/>
    <x v="0"/>
    <x v="0"/>
    <x v="0"/>
    <x v="0"/>
    <x v="11"/>
    <x v="213"/>
    <x v="206"/>
    <x v="334"/>
    <x v="3"/>
    <x v="10"/>
    <x v="0"/>
    <x v="11"/>
    <x v="12"/>
    <x v="0"/>
    <x v="0"/>
    <x v="0"/>
    <x v="0"/>
    <x v="0"/>
    <x v="0"/>
    <x v="1"/>
    <x v="1"/>
  </r>
  <r>
    <x v="325"/>
    <x v="0"/>
    <x v="22"/>
    <x v="331"/>
    <x v="1279"/>
    <x v="210"/>
    <x v="1"/>
    <x v="0"/>
    <x v="322"/>
    <x v="0"/>
    <x v="0"/>
    <x v="0"/>
    <x v="0"/>
    <x v="0"/>
    <x v="11"/>
    <x v="210"/>
    <x v="203"/>
    <x v="331"/>
    <x v="3"/>
    <x v="10"/>
    <x v="0"/>
    <x v="11"/>
    <x v="12"/>
    <x v="0"/>
    <x v="0"/>
    <x v="0"/>
    <x v="0"/>
    <x v="0"/>
    <x v="0"/>
    <x v="1"/>
    <x v="1"/>
  </r>
  <r>
    <x v="326"/>
    <x v="0"/>
    <x v="22"/>
    <x v="332"/>
    <x v="1280"/>
    <x v="212"/>
    <x v="1"/>
    <x v="0"/>
    <x v="323"/>
    <x v="0"/>
    <x v="0"/>
    <x v="0"/>
    <x v="0"/>
    <x v="0"/>
    <x v="11"/>
    <x v="212"/>
    <x v="205"/>
    <x v="332"/>
    <x v="3"/>
    <x v="10"/>
    <x v="0"/>
    <x v="11"/>
    <x v="12"/>
    <x v="0"/>
    <x v="0"/>
    <x v="0"/>
    <x v="0"/>
    <x v="0"/>
    <x v="0"/>
    <x v="1"/>
    <x v="1"/>
  </r>
  <r>
    <x v="168"/>
    <x v="0"/>
    <x v="18"/>
    <x v="249"/>
    <x v="1281"/>
    <x v="216"/>
    <x v="0"/>
    <x v="0"/>
    <x v="165"/>
    <x v="0"/>
    <x v="0"/>
    <x v="0"/>
    <x v="0"/>
    <x v="0"/>
    <x v="11"/>
    <x v="216"/>
    <x v="209"/>
    <x v="249"/>
    <x v="3"/>
    <x v="10"/>
    <x v="0"/>
    <x v="11"/>
    <x v="12"/>
    <x v="0"/>
    <x v="0"/>
    <x v="0"/>
    <x v="15"/>
    <x v="0"/>
    <x v="0"/>
    <x v="0"/>
    <x v="0"/>
  </r>
  <r>
    <x v="179"/>
    <x v="0"/>
    <x v="18"/>
    <x v="260"/>
    <x v="1282"/>
    <x v="217"/>
    <x v="0"/>
    <x v="0"/>
    <x v="176"/>
    <x v="0"/>
    <x v="0"/>
    <x v="0"/>
    <x v="0"/>
    <x v="0"/>
    <x v="11"/>
    <x v="217"/>
    <x v="210"/>
    <x v="260"/>
    <x v="3"/>
    <x v="10"/>
    <x v="0"/>
    <x v="11"/>
    <x v="12"/>
    <x v="0"/>
    <x v="0"/>
    <x v="0"/>
    <x v="15"/>
    <x v="0"/>
    <x v="0"/>
    <x v="0"/>
    <x v="0"/>
  </r>
  <r>
    <x v="181"/>
    <x v="0"/>
    <x v="18"/>
    <x v="262"/>
    <x v="1283"/>
    <x v="218"/>
    <x v="0"/>
    <x v="0"/>
    <x v="178"/>
    <x v="0"/>
    <x v="0"/>
    <x v="0"/>
    <x v="0"/>
    <x v="0"/>
    <x v="11"/>
    <x v="218"/>
    <x v="211"/>
    <x v="262"/>
    <x v="3"/>
    <x v="10"/>
    <x v="0"/>
    <x v="11"/>
    <x v="12"/>
    <x v="0"/>
    <x v="0"/>
    <x v="0"/>
    <x v="15"/>
    <x v="0"/>
    <x v="0"/>
    <x v="0"/>
    <x v="0"/>
  </r>
  <r>
    <x v="173"/>
    <x v="0"/>
    <x v="18"/>
    <x v="254"/>
    <x v="1284"/>
    <x v="219"/>
    <x v="0"/>
    <x v="0"/>
    <x v="170"/>
    <x v="0"/>
    <x v="0"/>
    <x v="0"/>
    <x v="0"/>
    <x v="0"/>
    <x v="11"/>
    <x v="219"/>
    <x v="212"/>
    <x v="254"/>
    <x v="3"/>
    <x v="10"/>
    <x v="0"/>
    <x v="11"/>
    <x v="12"/>
    <x v="0"/>
    <x v="0"/>
    <x v="0"/>
    <x v="15"/>
    <x v="0"/>
    <x v="0"/>
    <x v="0"/>
    <x v="0"/>
  </r>
  <r>
    <x v="178"/>
    <x v="0"/>
    <x v="18"/>
    <x v="259"/>
    <x v="1285"/>
    <x v="220"/>
    <x v="0"/>
    <x v="0"/>
    <x v="175"/>
    <x v="0"/>
    <x v="0"/>
    <x v="0"/>
    <x v="0"/>
    <x v="0"/>
    <x v="11"/>
    <x v="220"/>
    <x v="213"/>
    <x v="259"/>
    <x v="3"/>
    <x v="10"/>
    <x v="0"/>
    <x v="11"/>
    <x v="12"/>
    <x v="0"/>
    <x v="0"/>
    <x v="0"/>
    <x v="15"/>
    <x v="0"/>
    <x v="0"/>
    <x v="0"/>
    <x v="0"/>
  </r>
  <r>
    <x v="172"/>
    <x v="0"/>
    <x v="18"/>
    <x v="253"/>
    <x v="1286"/>
    <x v="221"/>
    <x v="0"/>
    <x v="0"/>
    <x v="169"/>
    <x v="0"/>
    <x v="0"/>
    <x v="0"/>
    <x v="0"/>
    <x v="0"/>
    <x v="11"/>
    <x v="221"/>
    <x v="214"/>
    <x v="253"/>
    <x v="3"/>
    <x v="10"/>
    <x v="0"/>
    <x v="11"/>
    <x v="12"/>
    <x v="0"/>
    <x v="0"/>
    <x v="0"/>
    <x v="15"/>
    <x v="0"/>
    <x v="0"/>
    <x v="0"/>
    <x v="0"/>
  </r>
  <r>
    <x v="169"/>
    <x v="0"/>
    <x v="18"/>
    <x v="250"/>
    <x v="1287"/>
    <x v="222"/>
    <x v="0"/>
    <x v="0"/>
    <x v="166"/>
    <x v="0"/>
    <x v="0"/>
    <x v="0"/>
    <x v="0"/>
    <x v="0"/>
    <x v="11"/>
    <x v="222"/>
    <x v="215"/>
    <x v="250"/>
    <x v="3"/>
    <x v="10"/>
    <x v="0"/>
    <x v="11"/>
    <x v="12"/>
    <x v="0"/>
    <x v="0"/>
    <x v="0"/>
    <x v="15"/>
    <x v="0"/>
    <x v="0"/>
    <x v="0"/>
    <x v="0"/>
  </r>
  <r>
    <x v="166"/>
    <x v="0"/>
    <x v="18"/>
    <x v="247"/>
    <x v="1288"/>
    <x v="223"/>
    <x v="0"/>
    <x v="0"/>
    <x v="163"/>
    <x v="0"/>
    <x v="0"/>
    <x v="0"/>
    <x v="0"/>
    <x v="0"/>
    <x v="11"/>
    <x v="223"/>
    <x v="216"/>
    <x v="247"/>
    <x v="3"/>
    <x v="10"/>
    <x v="0"/>
    <x v="11"/>
    <x v="12"/>
    <x v="0"/>
    <x v="0"/>
    <x v="0"/>
    <x v="15"/>
    <x v="0"/>
    <x v="0"/>
    <x v="0"/>
    <x v="0"/>
  </r>
  <r>
    <x v="164"/>
    <x v="0"/>
    <x v="18"/>
    <x v="245"/>
    <x v="1289"/>
    <x v="224"/>
    <x v="0"/>
    <x v="0"/>
    <x v="161"/>
    <x v="0"/>
    <x v="0"/>
    <x v="0"/>
    <x v="0"/>
    <x v="0"/>
    <x v="11"/>
    <x v="224"/>
    <x v="217"/>
    <x v="245"/>
    <x v="3"/>
    <x v="10"/>
    <x v="0"/>
    <x v="11"/>
    <x v="12"/>
    <x v="0"/>
    <x v="0"/>
    <x v="0"/>
    <x v="15"/>
    <x v="0"/>
    <x v="0"/>
    <x v="0"/>
    <x v="0"/>
  </r>
  <r>
    <x v="183"/>
    <x v="0"/>
    <x v="18"/>
    <x v="264"/>
    <x v="1290"/>
    <x v="225"/>
    <x v="0"/>
    <x v="0"/>
    <x v="180"/>
    <x v="0"/>
    <x v="0"/>
    <x v="0"/>
    <x v="0"/>
    <x v="0"/>
    <x v="11"/>
    <x v="225"/>
    <x v="218"/>
    <x v="264"/>
    <x v="3"/>
    <x v="10"/>
    <x v="0"/>
    <x v="11"/>
    <x v="12"/>
    <x v="0"/>
    <x v="0"/>
    <x v="0"/>
    <x v="15"/>
    <x v="0"/>
    <x v="0"/>
    <x v="0"/>
    <x v="0"/>
  </r>
  <r>
    <x v="176"/>
    <x v="0"/>
    <x v="18"/>
    <x v="257"/>
    <x v="1291"/>
    <x v="226"/>
    <x v="0"/>
    <x v="0"/>
    <x v="173"/>
    <x v="0"/>
    <x v="0"/>
    <x v="0"/>
    <x v="0"/>
    <x v="0"/>
    <x v="11"/>
    <x v="226"/>
    <x v="219"/>
    <x v="257"/>
    <x v="3"/>
    <x v="10"/>
    <x v="0"/>
    <x v="11"/>
    <x v="12"/>
    <x v="0"/>
    <x v="0"/>
    <x v="0"/>
    <x v="15"/>
    <x v="0"/>
    <x v="0"/>
    <x v="0"/>
    <x v="0"/>
  </r>
  <r>
    <x v="167"/>
    <x v="0"/>
    <x v="18"/>
    <x v="248"/>
    <x v="1292"/>
    <x v="227"/>
    <x v="0"/>
    <x v="0"/>
    <x v="164"/>
    <x v="0"/>
    <x v="0"/>
    <x v="0"/>
    <x v="0"/>
    <x v="0"/>
    <x v="11"/>
    <x v="227"/>
    <x v="220"/>
    <x v="248"/>
    <x v="3"/>
    <x v="10"/>
    <x v="0"/>
    <x v="11"/>
    <x v="12"/>
    <x v="0"/>
    <x v="0"/>
    <x v="0"/>
    <x v="15"/>
    <x v="0"/>
    <x v="0"/>
    <x v="0"/>
    <x v="0"/>
  </r>
  <r>
    <x v="175"/>
    <x v="0"/>
    <x v="18"/>
    <x v="256"/>
    <x v="1293"/>
    <x v="228"/>
    <x v="0"/>
    <x v="0"/>
    <x v="172"/>
    <x v="0"/>
    <x v="0"/>
    <x v="0"/>
    <x v="0"/>
    <x v="0"/>
    <x v="11"/>
    <x v="228"/>
    <x v="221"/>
    <x v="256"/>
    <x v="3"/>
    <x v="10"/>
    <x v="0"/>
    <x v="11"/>
    <x v="12"/>
    <x v="0"/>
    <x v="0"/>
    <x v="0"/>
    <x v="15"/>
    <x v="0"/>
    <x v="0"/>
    <x v="0"/>
    <x v="0"/>
  </r>
  <r>
    <x v="171"/>
    <x v="0"/>
    <x v="18"/>
    <x v="252"/>
    <x v="1294"/>
    <x v="229"/>
    <x v="0"/>
    <x v="0"/>
    <x v="168"/>
    <x v="0"/>
    <x v="0"/>
    <x v="0"/>
    <x v="0"/>
    <x v="0"/>
    <x v="11"/>
    <x v="229"/>
    <x v="222"/>
    <x v="252"/>
    <x v="3"/>
    <x v="10"/>
    <x v="0"/>
    <x v="11"/>
    <x v="12"/>
    <x v="0"/>
    <x v="0"/>
    <x v="0"/>
    <x v="15"/>
    <x v="0"/>
    <x v="0"/>
    <x v="0"/>
    <x v="0"/>
  </r>
  <r>
    <x v="170"/>
    <x v="0"/>
    <x v="18"/>
    <x v="251"/>
    <x v="1295"/>
    <x v="230"/>
    <x v="0"/>
    <x v="0"/>
    <x v="167"/>
    <x v="0"/>
    <x v="0"/>
    <x v="0"/>
    <x v="0"/>
    <x v="0"/>
    <x v="11"/>
    <x v="230"/>
    <x v="223"/>
    <x v="251"/>
    <x v="3"/>
    <x v="10"/>
    <x v="0"/>
    <x v="11"/>
    <x v="12"/>
    <x v="0"/>
    <x v="0"/>
    <x v="0"/>
    <x v="15"/>
    <x v="0"/>
    <x v="0"/>
    <x v="0"/>
    <x v="0"/>
  </r>
  <r>
    <x v="177"/>
    <x v="0"/>
    <x v="18"/>
    <x v="258"/>
    <x v="1296"/>
    <x v="231"/>
    <x v="0"/>
    <x v="0"/>
    <x v="174"/>
    <x v="0"/>
    <x v="0"/>
    <x v="0"/>
    <x v="0"/>
    <x v="0"/>
    <x v="11"/>
    <x v="231"/>
    <x v="224"/>
    <x v="258"/>
    <x v="3"/>
    <x v="10"/>
    <x v="0"/>
    <x v="11"/>
    <x v="12"/>
    <x v="0"/>
    <x v="0"/>
    <x v="0"/>
    <x v="15"/>
    <x v="0"/>
    <x v="0"/>
    <x v="0"/>
    <x v="0"/>
  </r>
  <r>
    <x v="174"/>
    <x v="0"/>
    <x v="18"/>
    <x v="255"/>
    <x v="1297"/>
    <x v="232"/>
    <x v="0"/>
    <x v="0"/>
    <x v="171"/>
    <x v="0"/>
    <x v="0"/>
    <x v="0"/>
    <x v="0"/>
    <x v="0"/>
    <x v="11"/>
    <x v="232"/>
    <x v="225"/>
    <x v="255"/>
    <x v="3"/>
    <x v="10"/>
    <x v="0"/>
    <x v="11"/>
    <x v="12"/>
    <x v="0"/>
    <x v="0"/>
    <x v="0"/>
    <x v="15"/>
    <x v="0"/>
    <x v="0"/>
    <x v="0"/>
    <x v="0"/>
  </r>
  <r>
    <x v="163"/>
    <x v="0"/>
    <x v="18"/>
    <x v="244"/>
    <x v="1298"/>
    <x v="233"/>
    <x v="0"/>
    <x v="0"/>
    <x v="160"/>
    <x v="0"/>
    <x v="0"/>
    <x v="0"/>
    <x v="0"/>
    <x v="0"/>
    <x v="11"/>
    <x v="233"/>
    <x v="226"/>
    <x v="244"/>
    <x v="3"/>
    <x v="10"/>
    <x v="0"/>
    <x v="11"/>
    <x v="12"/>
    <x v="0"/>
    <x v="0"/>
    <x v="0"/>
    <x v="15"/>
    <x v="0"/>
    <x v="0"/>
    <x v="0"/>
    <x v="0"/>
  </r>
  <r>
    <x v="162"/>
    <x v="0"/>
    <x v="18"/>
    <x v="243"/>
    <x v="1299"/>
    <x v="234"/>
    <x v="0"/>
    <x v="0"/>
    <x v="159"/>
    <x v="0"/>
    <x v="0"/>
    <x v="0"/>
    <x v="0"/>
    <x v="0"/>
    <x v="11"/>
    <x v="234"/>
    <x v="227"/>
    <x v="243"/>
    <x v="3"/>
    <x v="10"/>
    <x v="0"/>
    <x v="11"/>
    <x v="12"/>
    <x v="0"/>
    <x v="0"/>
    <x v="0"/>
    <x v="15"/>
    <x v="0"/>
    <x v="0"/>
    <x v="0"/>
    <x v="0"/>
  </r>
  <r>
    <x v="180"/>
    <x v="0"/>
    <x v="18"/>
    <x v="261"/>
    <x v="1300"/>
    <x v="235"/>
    <x v="0"/>
    <x v="0"/>
    <x v="177"/>
    <x v="0"/>
    <x v="0"/>
    <x v="0"/>
    <x v="0"/>
    <x v="0"/>
    <x v="11"/>
    <x v="235"/>
    <x v="228"/>
    <x v="261"/>
    <x v="3"/>
    <x v="10"/>
    <x v="0"/>
    <x v="11"/>
    <x v="12"/>
    <x v="0"/>
    <x v="0"/>
    <x v="0"/>
    <x v="15"/>
    <x v="0"/>
    <x v="0"/>
    <x v="0"/>
    <x v="0"/>
  </r>
  <r>
    <x v="165"/>
    <x v="0"/>
    <x v="18"/>
    <x v="246"/>
    <x v="1301"/>
    <x v="236"/>
    <x v="0"/>
    <x v="0"/>
    <x v="162"/>
    <x v="0"/>
    <x v="0"/>
    <x v="0"/>
    <x v="0"/>
    <x v="0"/>
    <x v="11"/>
    <x v="236"/>
    <x v="229"/>
    <x v="246"/>
    <x v="3"/>
    <x v="10"/>
    <x v="0"/>
    <x v="11"/>
    <x v="12"/>
    <x v="0"/>
    <x v="0"/>
    <x v="0"/>
    <x v="15"/>
    <x v="0"/>
    <x v="0"/>
    <x v="0"/>
    <x v="0"/>
  </r>
  <r>
    <x v="182"/>
    <x v="0"/>
    <x v="18"/>
    <x v="263"/>
    <x v="1302"/>
    <x v="237"/>
    <x v="0"/>
    <x v="0"/>
    <x v="179"/>
    <x v="0"/>
    <x v="0"/>
    <x v="0"/>
    <x v="0"/>
    <x v="0"/>
    <x v="11"/>
    <x v="237"/>
    <x v="230"/>
    <x v="263"/>
    <x v="3"/>
    <x v="10"/>
    <x v="0"/>
    <x v="11"/>
    <x v="12"/>
    <x v="0"/>
    <x v="0"/>
    <x v="0"/>
    <x v="15"/>
    <x v="0"/>
    <x v="0"/>
    <x v="0"/>
    <x v="0"/>
  </r>
  <r>
    <x v="194"/>
    <x v="0"/>
    <x v="11"/>
    <x v="341"/>
    <x v="1303"/>
    <x v="305"/>
    <x v="1"/>
    <x v="0"/>
    <x v="191"/>
    <x v="0"/>
    <x v="0"/>
    <x v="0"/>
    <x v="0"/>
    <x v="0"/>
    <x v="11"/>
    <x v="305"/>
    <x v="298"/>
    <x v="341"/>
    <x v="3"/>
    <x v="10"/>
    <x v="0"/>
    <x v="11"/>
    <x v="12"/>
    <x v="0"/>
    <x v="0"/>
    <x v="0"/>
    <x v="15"/>
    <x v="0"/>
    <x v="0"/>
    <x v="1"/>
    <x v="1"/>
  </r>
  <r>
    <x v="205"/>
    <x v="0"/>
    <x v="11"/>
    <x v="352"/>
    <x v="1304"/>
    <x v="306"/>
    <x v="1"/>
    <x v="0"/>
    <x v="202"/>
    <x v="0"/>
    <x v="0"/>
    <x v="0"/>
    <x v="0"/>
    <x v="0"/>
    <x v="11"/>
    <x v="306"/>
    <x v="299"/>
    <x v="352"/>
    <x v="3"/>
    <x v="10"/>
    <x v="0"/>
    <x v="11"/>
    <x v="12"/>
    <x v="0"/>
    <x v="0"/>
    <x v="0"/>
    <x v="15"/>
    <x v="0"/>
    <x v="0"/>
    <x v="1"/>
    <x v="1"/>
  </r>
  <r>
    <x v="207"/>
    <x v="0"/>
    <x v="11"/>
    <x v="354"/>
    <x v="1305"/>
    <x v="307"/>
    <x v="1"/>
    <x v="0"/>
    <x v="204"/>
    <x v="0"/>
    <x v="0"/>
    <x v="0"/>
    <x v="0"/>
    <x v="0"/>
    <x v="11"/>
    <x v="307"/>
    <x v="300"/>
    <x v="354"/>
    <x v="3"/>
    <x v="10"/>
    <x v="0"/>
    <x v="11"/>
    <x v="12"/>
    <x v="0"/>
    <x v="0"/>
    <x v="0"/>
    <x v="15"/>
    <x v="0"/>
    <x v="0"/>
    <x v="1"/>
    <x v="1"/>
  </r>
  <r>
    <x v="199"/>
    <x v="0"/>
    <x v="11"/>
    <x v="346"/>
    <x v="1306"/>
    <x v="308"/>
    <x v="1"/>
    <x v="0"/>
    <x v="196"/>
    <x v="0"/>
    <x v="0"/>
    <x v="0"/>
    <x v="0"/>
    <x v="0"/>
    <x v="11"/>
    <x v="308"/>
    <x v="301"/>
    <x v="346"/>
    <x v="3"/>
    <x v="10"/>
    <x v="0"/>
    <x v="11"/>
    <x v="12"/>
    <x v="0"/>
    <x v="0"/>
    <x v="0"/>
    <x v="15"/>
    <x v="0"/>
    <x v="0"/>
    <x v="1"/>
    <x v="1"/>
  </r>
  <r>
    <x v="204"/>
    <x v="0"/>
    <x v="11"/>
    <x v="351"/>
    <x v="1307"/>
    <x v="309"/>
    <x v="1"/>
    <x v="0"/>
    <x v="201"/>
    <x v="0"/>
    <x v="0"/>
    <x v="0"/>
    <x v="0"/>
    <x v="0"/>
    <x v="11"/>
    <x v="309"/>
    <x v="302"/>
    <x v="351"/>
    <x v="3"/>
    <x v="10"/>
    <x v="0"/>
    <x v="11"/>
    <x v="12"/>
    <x v="0"/>
    <x v="0"/>
    <x v="0"/>
    <x v="15"/>
    <x v="0"/>
    <x v="0"/>
    <x v="1"/>
    <x v="1"/>
  </r>
  <r>
    <x v="198"/>
    <x v="0"/>
    <x v="11"/>
    <x v="345"/>
    <x v="1308"/>
    <x v="310"/>
    <x v="1"/>
    <x v="0"/>
    <x v="195"/>
    <x v="0"/>
    <x v="0"/>
    <x v="0"/>
    <x v="0"/>
    <x v="0"/>
    <x v="11"/>
    <x v="310"/>
    <x v="303"/>
    <x v="345"/>
    <x v="3"/>
    <x v="10"/>
    <x v="0"/>
    <x v="11"/>
    <x v="12"/>
    <x v="0"/>
    <x v="0"/>
    <x v="0"/>
    <x v="15"/>
    <x v="0"/>
    <x v="0"/>
    <x v="1"/>
    <x v="1"/>
  </r>
  <r>
    <x v="195"/>
    <x v="0"/>
    <x v="11"/>
    <x v="342"/>
    <x v="1309"/>
    <x v="311"/>
    <x v="1"/>
    <x v="0"/>
    <x v="192"/>
    <x v="0"/>
    <x v="0"/>
    <x v="0"/>
    <x v="0"/>
    <x v="0"/>
    <x v="11"/>
    <x v="311"/>
    <x v="304"/>
    <x v="342"/>
    <x v="3"/>
    <x v="10"/>
    <x v="0"/>
    <x v="11"/>
    <x v="12"/>
    <x v="0"/>
    <x v="0"/>
    <x v="0"/>
    <x v="15"/>
    <x v="0"/>
    <x v="0"/>
    <x v="1"/>
    <x v="1"/>
  </r>
  <r>
    <x v="192"/>
    <x v="0"/>
    <x v="11"/>
    <x v="339"/>
    <x v="1310"/>
    <x v="312"/>
    <x v="1"/>
    <x v="0"/>
    <x v="189"/>
    <x v="0"/>
    <x v="0"/>
    <x v="0"/>
    <x v="0"/>
    <x v="0"/>
    <x v="11"/>
    <x v="312"/>
    <x v="305"/>
    <x v="339"/>
    <x v="3"/>
    <x v="10"/>
    <x v="0"/>
    <x v="11"/>
    <x v="12"/>
    <x v="0"/>
    <x v="0"/>
    <x v="0"/>
    <x v="15"/>
    <x v="0"/>
    <x v="0"/>
    <x v="1"/>
    <x v="1"/>
  </r>
  <r>
    <x v="190"/>
    <x v="0"/>
    <x v="11"/>
    <x v="337"/>
    <x v="1311"/>
    <x v="313"/>
    <x v="1"/>
    <x v="0"/>
    <x v="187"/>
    <x v="0"/>
    <x v="0"/>
    <x v="0"/>
    <x v="0"/>
    <x v="0"/>
    <x v="11"/>
    <x v="313"/>
    <x v="306"/>
    <x v="337"/>
    <x v="3"/>
    <x v="10"/>
    <x v="0"/>
    <x v="11"/>
    <x v="12"/>
    <x v="0"/>
    <x v="0"/>
    <x v="0"/>
    <x v="15"/>
    <x v="0"/>
    <x v="0"/>
    <x v="1"/>
    <x v="1"/>
  </r>
  <r>
    <x v="209"/>
    <x v="0"/>
    <x v="11"/>
    <x v="356"/>
    <x v="1312"/>
    <x v="314"/>
    <x v="1"/>
    <x v="0"/>
    <x v="206"/>
    <x v="0"/>
    <x v="0"/>
    <x v="0"/>
    <x v="0"/>
    <x v="0"/>
    <x v="11"/>
    <x v="314"/>
    <x v="307"/>
    <x v="356"/>
    <x v="3"/>
    <x v="10"/>
    <x v="0"/>
    <x v="11"/>
    <x v="12"/>
    <x v="0"/>
    <x v="0"/>
    <x v="0"/>
    <x v="15"/>
    <x v="0"/>
    <x v="0"/>
    <x v="1"/>
    <x v="1"/>
  </r>
  <r>
    <x v="202"/>
    <x v="0"/>
    <x v="11"/>
    <x v="349"/>
    <x v="1313"/>
    <x v="315"/>
    <x v="1"/>
    <x v="0"/>
    <x v="199"/>
    <x v="0"/>
    <x v="0"/>
    <x v="0"/>
    <x v="0"/>
    <x v="0"/>
    <x v="11"/>
    <x v="315"/>
    <x v="308"/>
    <x v="349"/>
    <x v="3"/>
    <x v="10"/>
    <x v="0"/>
    <x v="11"/>
    <x v="12"/>
    <x v="0"/>
    <x v="0"/>
    <x v="0"/>
    <x v="15"/>
    <x v="0"/>
    <x v="0"/>
    <x v="1"/>
    <x v="1"/>
  </r>
  <r>
    <x v="193"/>
    <x v="0"/>
    <x v="11"/>
    <x v="340"/>
    <x v="1314"/>
    <x v="316"/>
    <x v="1"/>
    <x v="0"/>
    <x v="190"/>
    <x v="0"/>
    <x v="0"/>
    <x v="0"/>
    <x v="0"/>
    <x v="0"/>
    <x v="11"/>
    <x v="316"/>
    <x v="309"/>
    <x v="340"/>
    <x v="3"/>
    <x v="10"/>
    <x v="0"/>
    <x v="11"/>
    <x v="12"/>
    <x v="0"/>
    <x v="0"/>
    <x v="0"/>
    <x v="15"/>
    <x v="0"/>
    <x v="0"/>
    <x v="1"/>
    <x v="1"/>
  </r>
  <r>
    <x v="201"/>
    <x v="0"/>
    <x v="11"/>
    <x v="348"/>
    <x v="1315"/>
    <x v="317"/>
    <x v="1"/>
    <x v="0"/>
    <x v="198"/>
    <x v="0"/>
    <x v="0"/>
    <x v="0"/>
    <x v="0"/>
    <x v="0"/>
    <x v="11"/>
    <x v="317"/>
    <x v="310"/>
    <x v="348"/>
    <x v="3"/>
    <x v="10"/>
    <x v="0"/>
    <x v="11"/>
    <x v="12"/>
    <x v="0"/>
    <x v="0"/>
    <x v="0"/>
    <x v="15"/>
    <x v="0"/>
    <x v="0"/>
    <x v="1"/>
    <x v="1"/>
  </r>
  <r>
    <x v="197"/>
    <x v="0"/>
    <x v="11"/>
    <x v="344"/>
    <x v="1316"/>
    <x v="318"/>
    <x v="1"/>
    <x v="0"/>
    <x v="194"/>
    <x v="0"/>
    <x v="0"/>
    <x v="0"/>
    <x v="0"/>
    <x v="0"/>
    <x v="11"/>
    <x v="318"/>
    <x v="311"/>
    <x v="344"/>
    <x v="3"/>
    <x v="10"/>
    <x v="0"/>
    <x v="11"/>
    <x v="12"/>
    <x v="0"/>
    <x v="0"/>
    <x v="0"/>
    <x v="15"/>
    <x v="0"/>
    <x v="0"/>
    <x v="1"/>
    <x v="1"/>
  </r>
  <r>
    <x v="196"/>
    <x v="0"/>
    <x v="11"/>
    <x v="343"/>
    <x v="1317"/>
    <x v="319"/>
    <x v="1"/>
    <x v="0"/>
    <x v="193"/>
    <x v="0"/>
    <x v="0"/>
    <x v="0"/>
    <x v="0"/>
    <x v="0"/>
    <x v="11"/>
    <x v="319"/>
    <x v="312"/>
    <x v="343"/>
    <x v="3"/>
    <x v="10"/>
    <x v="0"/>
    <x v="11"/>
    <x v="12"/>
    <x v="0"/>
    <x v="0"/>
    <x v="0"/>
    <x v="15"/>
    <x v="0"/>
    <x v="0"/>
    <x v="1"/>
    <x v="1"/>
  </r>
  <r>
    <x v="203"/>
    <x v="0"/>
    <x v="11"/>
    <x v="350"/>
    <x v="1318"/>
    <x v="320"/>
    <x v="1"/>
    <x v="0"/>
    <x v="200"/>
    <x v="0"/>
    <x v="0"/>
    <x v="0"/>
    <x v="0"/>
    <x v="0"/>
    <x v="11"/>
    <x v="320"/>
    <x v="313"/>
    <x v="350"/>
    <x v="3"/>
    <x v="10"/>
    <x v="0"/>
    <x v="11"/>
    <x v="12"/>
    <x v="0"/>
    <x v="0"/>
    <x v="0"/>
    <x v="15"/>
    <x v="0"/>
    <x v="0"/>
    <x v="1"/>
    <x v="1"/>
  </r>
  <r>
    <x v="200"/>
    <x v="0"/>
    <x v="11"/>
    <x v="347"/>
    <x v="1319"/>
    <x v="321"/>
    <x v="1"/>
    <x v="0"/>
    <x v="197"/>
    <x v="0"/>
    <x v="0"/>
    <x v="0"/>
    <x v="0"/>
    <x v="0"/>
    <x v="11"/>
    <x v="321"/>
    <x v="314"/>
    <x v="347"/>
    <x v="3"/>
    <x v="10"/>
    <x v="0"/>
    <x v="11"/>
    <x v="12"/>
    <x v="0"/>
    <x v="0"/>
    <x v="0"/>
    <x v="15"/>
    <x v="0"/>
    <x v="0"/>
    <x v="1"/>
    <x v="1"/>
  </r>
  <r>
    <x v="189"/>
    <x v="0"/>
    <x v="11"/>
    <x v="336"/>
    <x v="1320"/>
    <x v="322"/>
    <x v="1"/>
    <x v="0"/>
    <x v="186"/>
    <x v="0"/>
    <x v="0"/>
    <x v="0"/>
    <x v="0"/>
    <x v="0"/>
    <x v="11"/>
    <x v="322"/>
    <x v="315"/>
    <x v="336"/>
    <x v="3"/>
    <x v="10"/>
    <x v="0"/>
    <x v="11"/>
    <x v="12"/>
    <x v="0"/>
    <x v="0"/>
    <x v="0"/>
    <x v="15"/>
    <x v="0"/>
    <x v="0"/>
    <x v="1"/>
    <x v="1"/>
  </r>
  <r>
    <x v="188"/>
    <x v="0"/>
    <x v="11"/>
    <x v="335"/>
    <x v="1321"/>
    <x v="323"/>
    <x v="1"/>
    <x v="0"/>
    <x v="185"/>
    <x v="0"/>
    <x v="0"/>
    <x v="0"/>
    <x v="0"/>
    <x v="0"/>
    <x v="11"/>
    <x v="323"/>
    <x v="316"/>
    <x v="335"/>
    <x v="3"/>
    <x v="10"/>
    <x v="0"/>
    <x v="11"/>
    <x v="12"/>
    <x v="0"/>
    <x v="0"/>
    <x v="0"/>
    <x v="15"/>
    <x v="0"/>
    <x v="0"/>
    <x v="1"/>
    <x v="1"/>
  </r>
  <r>
    <x v="206"/>
    <x v="0"/>
    <x v="11"/>
    <x v="353"/>
    <x v="1322"/>
    <x v="324"/>
    <x v="1"/>
    <x v="0"/>
    <x v="203"/>
    <x v="0"/>
    <x v="0"/>
    <x v="0"/>
    <x v="0"/>
    <x v="0"/>
    <x v="11"/>
    <x v="324"/>
    <x v="317"/>
    <x v="353"/>
    <x v="3"/>
    <x v="10"/>
    <x v="0"/>
    <x v="11"/>
    <x v="12"/>
    <x v="0"/>
    <x v="0"/>
    <x v="0"/>
    <x v="15"/>
    <x v="0"/>
    <x v="0"/>
    <x v="1"/>
    <x v="1"/>
  </r>
  <r>
    <x v="191"/>
    <x v="0"/>
    <x v="11"/>
    <x v="338"/>
    <x v="1323"/>
    <x v="325"/>
    <x v="1"/>
    <x v="0"/>
    <x v="188"/>
    <x v="0"/>
    <x v="0"/>
    <x v="0"/>
    <x v="0"/>
    <x v="0"/>
    <x v="11"/>
    <x v="325"/>
    <x v="318"/>
    <x v="338"/>
    <x v="3"/>
    <x v="10"/>
    <x v="0"/>
    <x v="11"/>
    <x v="12"/>
    <x v="0"/>
    <x v="0"/>
    <x v="0"/>
    <x v="15"/>
    <x v="0"/>
    <x v="0"/>
    <x v="1"/>
    <x v="1"/>
  </r>
  <r>
    <x v="208"/>
    <x v="0"/>
    <x v="11"/>
    <x v="355"/>
    <x v="1324"/>
    <x v="326"/>
    <x v="1"/>
    <x v="0"/>
    <x v="205"/>
    <x v="0"/>
    <x v="0"/>
    <x v="0"/>
    <x v="0"/>
    <x v="0"/>
    <x v="11"/>
    <x v="326"/>
    <x v="319"/>
    <x v="355"/>
    <x v="3"/>
    <x v="10"/>
    <x v="0"/>
    <x v="11"/>
    <x v="12"/>
    <x v="0"/>
    <x v="0"/>
    <x v="0"/>
    <x v="15"/>
    <x v="0"/>
    <x v="0"/>
    <x v="1"/>
    <x v="1"/>
  </r>
  <r>
    <x v="124"/>
    <x v="0"/>
    <x v="20"/>
    <x v="227"/>
    <x v="1325"/>
    <x v="282"/>
    <x v="0"/>
    <x v="0"/>
    <x v="121"/>
    <x v="0"/>
    <x v="0"/>
    <x v="0"/>
    <x v="0"/>
    <x v="0"/>
    <x v="11"/>
    <x v="282"/>
    <x v="275"/>
    <x v="227"/>
    <x v="3"/>
    <x v="10"/>
    <x v="0"/>
    <x v="11"/>
    <x v="12"/>
    <x v="0"/>
    <x v="0"/>
    <x v="0"/>
    <x v="16"/>
    <x v="0"/>
    <x v="0"/>
    <x v="0"/>
    <x v="0"/>
  </r>
  <r>
    <x v="135"/>
    <x v="0"/>
    <x v="20"/>
    <x v="238"/>
    <x v="1326"/>
    <x v="283"/>
    <x v="0"/>
    <x v="0"/>
    <x v="132"/>
    <x v="0"/>
    <x v="0"/>
    <x v="0"/>
    <x v="0"/>
    <x v="0"/>
    <x v="11"/>
    <x v="283"/>
    <x v="276"/>
    <x v="238"/>
    <x v="3"/>
    <x v="10"/>
    <x v="0"/>
    <x v="11"/>
    <x v="12"/>
    <x v="0"/>
    <x v="0"/>
    <x v="0"/>
    <x v="16"/>
    <x v="0"/>
    <x v="0"/>
    <x v="0"/>
    <x v="0"/>
  </r>
  <r>
    <x v="137"/>
    <x v="0"/>
    <x v="20"/>
    <x v="240"/>
    <x v="1327"/>
    <x v="284"/>
    <x v="0"/>
    <x v="0"/>
    <x v="134"/>
    <x v="0"/>
    <x v="0"/>
    <x v="0"/>
    <x v="0"/>
    <x v="0"/>
    <x v="11"/>
    <x v="284"/>
    <x v="277"/>
    <x v="240"/>
    <x v="3"/>
    <x v="10"/>
    <x v="0"/>
    <x v="11"/>
    <x v="12"/>
    <x v="0"/>
    <x v="0"/>
    <x v="0"/>
    <x v="16"/>
    <x v="0"/>
    <x v="0"/>
    <x v="0"/>
    <x v="0"/>
  </r>
  <r>
    <x v="129"/>
    <x v="0"/>
    <x v="20"/>
    <x v="232"/>
    <x v="1328"/>
    <x v="285"/>
    <x v="0"/>
    <x v="0"/>
    <x v="126"/>
    <x v="0"/>
    <x v="0"/>
    <x v="0"/>
    <x v="0"/>
    <x v="0"/>
    <x v="11"/>
    <x v="285"/>
    <x v="278"/>
    <x v="232"/>
    <x v="3"/>
    <x v="10"/>
    <x v="0"/>
    <x v="11"/>
    <x v="12"/>
    <x v="0"/>
    <x v="0"/>
    <x v="0"/>
    <x v="16"/>
    <x v="0"/>
    <x v="0"/>
    <x v="0"/>
    <x v="0"/>
  </r>
  <r>
    <x v="134"/>
    <x v="0"/>
    <x v="20"/>
    <x v="237"/>
    <x v="1329"/>
    <x v="286"/>
    <x v="0"/>
    <x v="0"/>
    <x v="131"/>
    <x v="0"/>
    <x v="0"/>
    <x v="0"/>
    <x v="0"/>
    <x v="0"/>
    <x v="11"/>
    <x v="286"/>
    <x v="279"/>
    <x v="237"/>
    <x v="3"/>
    <x v="10"/>
    <x v="0"/>
    <x v="11"/>
    <x v="12"/>
    <x v="0"/>
    <x v="0"/>
    <x v="0"/>
    <x v="16"/>
    <x v="0"/>
    <x v="0"/>
    <x v="0"/>
    <x v="0"/>
  </r>
  <r>
    <x v="128"/>
    <x v="0"/>
    <x v="20"/>
    <x v="231"/>
    <x v="1330"/>
    <x v="287"/>
    <x v="0"/>
    <x v="0"/>
    <x v="125"/>
    <x v="0"/>
    <x v="0"/>
    <x v="0"/>
    <x v="0"/>
    <x v="0"/>
    <x v="11"/>
    <x v="287"/>
    <x v="280"/>
    <x v="231"/>
    <x v="3"/>
    <x v="10"/>
    <x v="0"/>
    <x v="11"/>
    <x v="12"/>
    <x v="0"/>
    <x v="0"/>
    <x v="0"/>
    <x v="16"/>
    <x v="0"/>
    <x v="0"/>
    <x v="0"/>
    <x v="0"/>
  </r>
  <r>
    <x v="125"/>
    <x v="0"/>
    <x v="20"/>
    <x v="228"/>
    <x v="1331"/>
    <x v="288"/>
    <x v="0"/>
    <x v="0"/>
    <x v="122"/>
    <x v="0"/>
    <x v="0"/>
    <x v="0"/>
    <x v="0"/>
    <x v="0"/>
    <x v="11"/>
    <x v="288"/>
    <x v="281"/>
    <x v="228"/>
    <x v="3"/>
    <x v="10"/>
    <x v="0"/>
    <x v="11"/>
    <x v="12"/>
    <x v="0"/>
    <x v="0"/>
    <x v="0"/>
    <x v="16"/>
    <x v="0"/>
    <x v="0"/>
    <x v="0"/>
    <x v="0"/>
  </r>
  <r>
    <x v="122"/>
    <x v="0"/>
    <x v="20"/>
    <x v="225"/>
    <x v="1332"/>
    <x v="289"/>
    <x v="0"/>
    <x v="0"/>
    <x v="119"/>
    <x v="0"/>
    <x v="0"/>
    <x v="0"/>
    <x v="0"/>
    <x v="0"/>
    <x v="11"/>
    <x v="289"/>
    <x v="282"/>
    <x v="225"/>
    <x v="3"/>
    <x v="10"/>
    <x v="0"/>
    <x v="11"/>
    <x v="12"/>
    <x v="0"/>
    <x v="0"/>
    <x v="0"/>
    <x v="16"/>
    <x v="0"/>
    <x v="0"/>
    <x v="0"/>
    <x v="0"/>
  </r>
  <r>
    <x v="120"/>
    <x v="0"/>
    <x v="20"/>
    <x v="223"/>
    <x v="1333"/>
    <x v="290"/>
    <x v="0"/>
    <x v="0"/>
    <x v="117"/>
    <x v="0"/>
    <x v="0"/>
    <x v="0"/>
    <x v="0"/>
    <x v="0"/>
    <x v="11"/>
    <x v="290"/>
    <x v="283"/>
    <x v="223"/>
    <x v="3"/>
    <x v="10"/>
    <x v="0"/>
    <x v="11"/>
    <x v="12"/>
    <x v="0"/>
    <x v="0"/>
    <x v="0"/>
    <x v="16"/>
    <x v="0"/>
    <x v="0"/>
    <x v="0"/>
    <x v="0"/>
  </r>
  <r>
    <x v="139"/>
    <x v="0"/>
    <x v="20"/>
    <x v="242"/>
    <x v="1334"/>
    <x v="291"/>
    <x v="0"/>
    <x v="0"/>
    <x v="136"/>
    <x v="0"/>
    <x v="0"/>
    <x v="0"/>
    <x v="0"/>
    <x v="0"/>
    <x v="11"/>
    <x v="291"/>
    <x v="284"/>
    <x v="242"/>
    <x v="3"/>
    <x v="10"/>
    <x v="0"/>
    <x v="11"/>
    <x v="12"/>
    <x v="0"/>
    <x v="0"/>
    <x v="0"/>
    <x v="16"/>
    <x v="0"/>
    <x v="0"/>
    <x v="0"/>
    <x v="0"/>
  </r>
  <r>
    <x v="132"/>
    <x v="0"/>
    <x v="20"/>
    <x v="235"/>
    <x v="1335"/>
    <x v="292"/>
    <x v="0"/>
    <x v="0"/>
    <x v="129"/>
    <x v="0"/>
    <x v="0"/>
    <x v="0"/>
    <x v="0"/>
    <x v="0"/>
    <x v="11"/>
    <x v="292"/>
    <x v="285"/>
    <x v="235"/>
    <x v="3"/>
    <x v="10"/>
    <x v="0"/>
    <x v="11"/>
    <x v="12"/>
    <x v="0"/>
    <x v="0"/>
    <x v="0"/>
    <x v="16"/>
    <x v="0"/>
    <x v="0"/>
    <x v="0"/>
    <x v="0"/>
  </r>
  <r>
    <x v="123"/>
    <x v="0"/>
    <x v="20"/>
    <x v="226"/>
    <x v="1336"/>
    <x v="293"/>
    <x v="0"/>
    <x v="0"/>
    <x v="120"/>
    <x v="0"/>
    <x v="0"/>
    <x v="0"/>
    <x v="0"/>
    <x v="0"/>
    <x v="11"/>
    <x v="293"/>
    <x v="286"/>
    <x v="226"/>
    <x v="3"/>
    <x v="10"/>
    <x v="0"/>
    <x v="11"/>
    <x v="12"/>
    <x v="0"/>
    <x v="0"/>
    <x v="0"/>
    <x v="16"/>
    <x v="0"/>
    <x v="0"/>
    <x v="0"/>
    <x v="0"/>
  </r>
  <r>
    <x v="131"/>
    <x v="0"/>
    <x v="20"/>
    <x v="234"/>
    <x v="1337"/>
    <x v="294"/>
    <x v="0"/>
    <x v="0"/>
    <x v="128"/>
    <x v="0"/>
    <x v="0"/>
    <x v="0"/>
    <x v="0"/>
    <x v="0"/>
    <x v="11"/>
    <x v="294"/>
    <x v="287"/>
    <x v="234"/>
    <x v="3"/>
    <x v="10"/>
    <x v="0"/>
    <x v="11"/>
    <x v="12"/>
    <x v="0"/>
    <x v="0"/>
    <x v="0"/>
    <x v="16"/>
    <x v="0"/>
    <x v="0"/>
    <x v="0"/>
    <x v="0"/>
  </r>
  <r>
    <x v="127"/>
    <x v="0"/>
    <x v="20"/>
    <x v="230"/>
    <x v="1338"/>
    <x v="295"/>
    <x v="0"/>
    <x v="0"/>
    <x v="124"/>
    <x v="0"/>
    <x v="0"/>
    <x v="0"/>
    <x v="0"/>
    <x v="0"/>
    <x v="11"/>
    <x v="295"/>
    <x v="288"/>
    <x v="230"/>
    <x v="3"/>
    <x v="10"/>
    <x v="0"/>
    <x v="11"/>
    <x v="12"/>
    <x v="0"/>
    <x v="0"/>
    <x v="0"/>
    <x v="16"/>
    <x v="0"/>
    <x v="0"/>
    <x v="0"/>
    <x v="0"/>
  </r>
  <r>
    <x v="126"/>
    <x v="0"/>
    <x v="20"/>
    <x v="229"/>
    <x v="1339"/>
    <x v="296"/>
    <x v="0"/>
    <x v="0"/>
    <x v="123"/>
    <x v="0"/>
    <x v="0"/>
    <x v="0"/>
    <x v="0"/>
    <x v="0"/>
    <x v="11"/>
    <x v="296"/>
    <x v="289"/>
    <x v="229"/>
    <x v="3"/>
    <x v="10"/>
    <x v="0"/>
    <x v="11"/>
    <x v="12"/>
    <x v="0"/>
    <x v="0"/>
    <x v="0"/>
    <x v="16"/>
    <x v="0"/>
    <x v="0"/>
    <x v="0"/>
    <x v="0"/>
  </r>
  <r>
    <x v="133"/>
    <x v="0"/>
    <x v="20"/>
    <x v="236"/>
    <x v="1340"/>
    <x v="297"/>
    <x v="0"/>
    <x v="0"/>
    <x v="130"/>
    <x v="0"/>
    <x v="0"/>
    <x v="0"/>
    <x v="0"/>
    <x v="0"/>
    <x v="11"/>
    <x v="297"/>
    <x v="290"/>
    <x v="236"/>
    <x v="3"/>
    <x v="10"/>
    <x v="0"/>
    <x v="11"/>
    <x v="12"/>
    <x v="0"/>
    <x v="0"/>
    <x v="0"/>
    <x v="16"/>
    <x v="0"/>
    <x v="0"/>
    <x v="0"/>
    <x v="0"/>
  </r>
  <r>
    <x v="130"/>
    <x v="0"/>
    <x v="20"/>
    <x v="233"/>
    <x v="1341"/>
    <x v="298"/>
    <x v="0"/>
    <x v="0"/>
    <x v="127"/>
    <x v="0"/>
    <x v="0"/>
    <x v="0"/>
    <x v="0"/>
    <x v="0"/>
    <x v="11"/>
    <x v="298"/>
    <x v="291"/>
    <x v="233"/>
    <x v="3"/>
    <x v="10"/>
    <x v="0"/>
    <x v="11"/>
    <x v="12"/>
    <x v="0"/>
    <x v="0"/>
    <x v="0"/>
    <x v="16"/>
    <x v="0"/>
    <x v="0"/>
    <x v="0"/>
    <x v="0"/>
  </r>
  <r>
    <x v="119"/>
    <x v="0"/>
    <x v="20"/>
    <x v="222"/>
    <x v="1342"/>
    <x v="299"/>
    <x v="0"/>
    <x v="0"/>
    <x v="116"/>
    <x v="0"/>
    <x v="0"/>
    <x v="0"/>
    <x v="0"/>
    <x v="0"/>
    <x v="11"/>
    <x v="299"/>
    <x v="292"/>
    <x v="222"/>
    <x v="3"/>
    <x v="10"/>
    <x v="0"/>
    <x v="11"/>
    <x v="12"/>
    <x v="0"/>
    <x v="0"/>
    <x v="0"/>
    <x v="16"/>
    <x v="0"/>
    <x v="0"/>
    <x v="0"/>
    <x v="0"/>
  </r>
  <r>
    <x v="118"/>
    <x v="0"/>
    <x v="20"/>
    <x v="221"/>
    <x v="1343"/>
    <x v="300"/>
    <x v="0"/>
    <x v="0"/>
    <x v="115"/>
    <x v="0"/>
    <x v="0"/>
    <x v="0"/>
    <x v="0"/>
    <x v="0"/>
    <x v="11"/>
    <x v="300"/>
    <x v="293"/>
    <x v="221"/>
    <x v="3"/>
    <x v="10"/>
    <x v="0"/>
    <x v="11"/>
    <x v="12"/>
    <x v="0"/>
    <x v="0"/>
    <x v="0"/>
    <x v="16"/>
    <x v="0"/>
    <x v="0"/>
    <x v="0"/>
    <x v="0"/>
  </r>
  <r>
    <x v="136"/>
    <x v="0"/>
    <x v="20"/>
    <x v="239"/>
    <x v="1344"/>
    <x v="301"/>
    <x v="0"/>
    <x v="0"/>
    <x v="133"/>
    <x v="0"/>
    <x v="0"/>
    <x v="0"/>
    <x v="0"/>
    <x v="0"/>
    <x v="11"/>
    <x v="301"/>
    <x v="294"/>
    <x v="239"/>
    <x v="3"/>
    <x v="10"/>
    <x v="0"/>
    <x v="11"/>
    <x v="12"/>
    <x v="0"/>
    <x v="0"/>
    <x v="0"/>
    <x v="16"/>
    <x v="0"/>
    <x v="0"/>
    <x v="0"/>
    <x v="0"/>
  </r>
  <r>
    <x v="121"/>
    <x v="0"/>
    <x v="20"/>
    <x v="224"/>
    <x v="1345"/>
    <x v="302"/>
    <x v="0"/>
    <x v="0"/>
    <x v="118"/>
    <x v="0"/>
    <x v="0"/>
    <x v="0"/>
    <x v="0"/>
    <x v="0"/>
    <x v="11"/>
    <x v="302"/>
    <x v="295"/>
    <x v="224"/>
    <x v="3"/>
    <x v="10"/>
    <x v="0"/>
    <x v="11"/>
    <x v="12"/>
    <x v="0"/>
    <x v="0"/>
    <x v="0"/>
    <x v="16"/>
    <x v="0"/>
    <x v="0"/>
    <x v="0"/>
    <x v="0"/>
  </r>
  <r>
    <x v="138"/>
    <x v="0"/>
    <x v="20"/>
    <x v="241"/>
    <x v="1346"/>
    <x v="303"/>
    <x v="0"/>
    <x v="0"/>
    <x v="135"/>
    <x v="0"/>
    <x v="0"/>
    <x v="0"/>
    <x v="0"/>
    <x v="0"/>
    <x v="11"/>
    <x v="303"/>
    <x v="296"/>
    <x v="241"/>
    <x v="3"/>
    <x v="10"/>
    <x v="0"/>
    <x v="11"/>
    <x v="12"/>
    <x v="0"/>
    <x v="0"/>
    <x v="0"/>
    <x v="16"/>
    <x v="0"/>
    <x v="0"/>
    <x v="0"/>
    <x v="0"/>
  </r>
  <r>
    <x v="234"/>
    <x v="0"/>
    <x v="9"/>
    <x v="197"/>
    <x v="1347"/>
    <x v="207"/>
    <x v="1"/>
    <x v="0"/>
    <x v="231"/>
    <x v="0"/>
    <x v="0"/>
    <x v="0"/>
    <x v="0"/>
    <x v="0"/>
    <x v="11"/>
    <x v="207"/>
    <x v="202"/>
    <x v="197"/>
    <x v="3"/>
    <x v="10"/>
    <x v="0"/>
    <x v="11"/>
    <x v="12"/>
    <x v="0"/>
    <x v="0"/>
    <x v="0"/>
    <x v="13"/>
    <x v="0"/>
    <x v="0"/>
    <x v="1"/>
    <x v="1"/>
  </r>
  <r>
    <x v="366"/>
    <x v="1"/>
    <x v="25"/>
    <x v="1438"/>
    <x v="992"/>
    <x v="0"/>
    <x v="1"/>
    <x v="1"/>
    <x v="1425"/>
    <x v="0"/>
    <x v="0"/>
    <x v="0"/>
    <x v="0"/>
    <x v="1"/>
    <x v="14"/>
    <x v="0"/>
    <x v="1422"/>
    <x v="1438"/>
    <x v="3"/>
    <x v="10"/>
    <x v="0"/>
    <x v="11"/>
    <x v="12"/>
    <x v="1"/>
    <x v="1"/>
    <x v="1"/>
    <x v="34"/>
    <x v="0"/>
    <x v="0"/>
    <x v="1"/>
    <x v="1"/>
  </r>
  <r>
    <x v="365"/>
    <x v="1"/>
    <x v="25"/>
    <x v="1437"/>
    <x v="993"/>
    <x v="0"/>
    <x v="1"/>
    <x v="1"/>
    <x v="1425"/>
    <x v="0"/>
    <x v="0"/>
    <x v="0"/>
    <x v="0"/>
    <x v="1"/>
    <x v="14"/>
    <x v="0"/>
    <x v="1422"/>
    <x v="1437"/>
    <x v="3"/>
    <x v="10"/>
    <x v="0"/>
    <x v="11"/>
    <x v="12"/>
    <x v="1"/>
    <x v="1"/>
    <x v="1"/>
    <x v="34"/>
    <x v="0"/>
    <x v="0"/>
    <x v="1"/>
    <x v="1"/>
  </r>
  <r>
    <x v="369"/>
    <x v="1"/>
    <x v="25"/>
    <x v="1441"/>
    <x v="994"/>
    <x v="206"/>
    <x v="1"/>
    <x v="1"/>
    <x v="1425"/>
    <x v="0"/>
    <x v="0"/>
    <x v="0"/>
    <x v="0"/>
    <x v="1"/>
    <x v="14"/>
    <x v="206"/>
    <x v="1422"/>
    <x v="1441"/>
    <x v="3"/>
    <x v="10"/>
    <x v="0"/>
    <x v="11"/>
    <x v="12"/>
    <x v="1"/>
    <x v="1"/>
    <x v="1"/>
    <x v="34"/>
    <x v="0"/>
    <x v="0"/>
    <x v="1"/>
    <x v="1"/>
  </r>
  <r>
    <x v="368"/>
    <x v="1"/>
    <x v="25"/>
    <x v="1440"/>
    <x v="995"/>
    <x v="209"/>
    <x v="1"/>
    <x v="1"/>
    <x v="1425"/>
    <x v="0"/>
    <x v="0"/>
    <x v="0"/>
    <x v="0"/>
    <x v="1"/>
    <x v="14"/>
    <x v="209"/>
    <x v="1422"/>
    <x v="1440"/>
    <x v="3"/>
    <x v="10"/>
    <x v="0"/>
    <x v="11"/>
    <x v="12"/>
    <x v="1"/>
    <x v="1"/>
    <x v="1"/>
    <x v="34"/>
    <x v="0"/>
    <x v="0"/>
    <x v="1"/>
    <x v="1"/>
  </r>
  <r>
    <x v="367"/>
    <x v="1"/>
    <x v="25"/>
    <x v="1439"/>
    <x v="996"/>
    <x v="208"/>
    <x v="1"/>
    <x v="1"/>
    <x v="1425"/>
    <x v="0"/>
    <x v="0"/>
    <x v="0"/>
    <x v="0"/>
    <x v="1"/>
    <x v="14"/>
    <x v="208"/>
    <x v="1422"/>
    <x v="1439"/>
    <x v="3"/>
    <x v="10"/>
    <x v="0"/>
    <x v="11"/>
    <x v="12"/>
    <x v="1"/>
    <x v="1"/>
    <x v="1"/>
    <x v="34"/>
    <x v="0"/>
    <x v="0"/>
    <x v="1"/>
    <x v="1"/>
  </r>
  <r>
    <x v="330"/>
    <x v="0"/>
    <x v="5"/>
    <x v="360"/>
    <x v="1352"/>
    <x v="328"/>
    <x v="1"/>
    <x v="0"/>
    <x v="327"/>
    <x v="0"/>
    <x v="0"/>
    <x v="0"/>
    <x v="0"/>
    <x v="0"/>
    <x v="12"/>
    <x v="328"/>
    <x v="321"/>
    <x v="360"/>
    <x v="3"/>
    <x v="10"/>
    <x v="0"/>
    <x v="12"/>
    <x v="13"/>
    <x v="0"/>
    <x v="0"/>
    <x v="0"/>
    <x v="14"/>
    <x v="0"/>
    <x v="0"/>
    <x v="1"/>
    <x v="1"/>
  </r>
  <r>
    <x v="331"/>
    <x v="0"/>
    <x v="5"/>
    <x v="361"/>
    <x v="1353"/>
    <x v="327"/>
    <x v="1"/>
    <x v="0"/>
    <x v="328"/>
    <x v="0"/>
    <x v="0"/>
    <x v="0"/>
    <x v="0"/>
    <x v="0"/>
    <x v="12"/>
    <x v="327"/>
    <x v="320"/>
    <x v="361"/>
    <x v="3"/>
    <x v="10"/>
    <x v="0"/>
    <x v="12"/>
    <x v="13"/>
    <x v="0"/>
    <x v="0"/>
    <x v="0"/>
    <x v="14"/>
    <x v="0"/>
    <x v="0"/>
    <x v="1"/>
    <x v="1"/>
  </r>
  <r>
    <x v="329"/>
    <x v="1"/>
    <x v="8"/>
    <x v="359"/>
    <x v="1354"/>
    <x v="329"/>
    <x v="1"/>
    <x v="0"/>
    <x v="326"/>
    <x v="0"/>
    <x v="0"/>
    <x v="0"/>
    <x v="0"/>
    <x v="0"/>
    <x v="12"/>
    <x v="329"/>
    <x v="322"/>
    <x v="359"/>
    <x v="3"/>
    <x v="10"/>
    <x v="0"/>
    <x v="12"/>
    <x v="13"/>
    <x v="0"/>
    <x v="0"/>
    <x v="0"/>
    <x v="17"/>
    <x v="0"/>
    <x v="0"/>
    <x v="1"/>
    <x v="1"/>
  </r>
  <r>
    <x v="375"/>
    <x v="1"/>
    <x v="25"/>
    <x v="191"/>
    <x v="961"/>
    <x v="463"/>
    <x v="1"/>
    <x v="0"/>
    <x v="358"/>
    <x v="0"/>
    <x v="0"/>
    <x v="0"/>
    <x v="0"/>
    <x v="0"/>
    <x v="4"/>
    <x v="463"/>
    <x v="452"/>
    <x v="191"/>
    <x v="2"/>
    <x v="10"/>
    <x v="0"/>
    <x v="13"/>
    <x v="8"/>
    <x v="0"/>
    <x v="0"/>
    <x v="0"/>
    <x v="18"/>
    <x v="0"/>
    <x v="0"/>
    <x v="1"/>
    <x v="1"/>
  </r>
  <r>
    <x v="377"/>
    <x v="1"/>
    <x v="25"/>
    <x v="192"/>
    <x v="947"/>
    <x v="467"/>
    <x v="1"/>
    <x v="0"/>
    <x v="360"/>
    <x v="0"/>
    <x v="0"/>
    <x v="0"/>
    <x v="0"/>
    <x v="0"/>
    <x v="4"/>
    <x v="467"/>
    <x v="456"/>
    <x v="192"/>
    <x v="2"/>
    <x v="10"/>
    <x v="0"/>
    <x v="13"/>
    <x v="8"/>
    <x v="0"/>
    <x v="0"/>
    <x v="0"/>
    <x v="18"/>
    <x v="0"/>
    <x v="0"/>
    <x v="1"/>
    <x v="1"/>
  </r>
  <r>
    <x v="187"/>
    <x v="0"/>
    <x v="14"/>
    <x v="48"/>
    <x v="998"/>
    <x v="330"/>
    <x v="1"/>
    <x v="0"/>
    <x v="184"/>
    <x v="0"/>
    <x v="0"/>
    <x v="0"/>
    <x v="0"/>
    <x v="0"/>
    <x v="13"/>
    <x v="330"/>
    <x v="323"/>
    <x v="48"/>
    <x v="3"/>
    <x v="10"/>
    <x v="0"/>
    <x v="14"/>
    <x v="1"/>
    <x v="0"/>
    <x v="0"/>
    <x v="0"/>
    <x v="8"/>
    <x v="0"/>
    <x v="0"/>
    <x v="1"/>
    <x v="1"/>
  </r>
  <r>
    <x v="186"/>
    <x v="0"/>
    <x v="13"/>
    <x v="47"/>
    <x v="999"/>
    <x v="376"/>
    <x v="1"/>
    <x v="0"/>
    <x v="183"/>
    <x v="0"/>
    <x v="0"/>
    <x v="0"/>
    <x v="0"/>
    <x v="0"/>
    <x v="13"/>
    <x v="376"/>
    <x v="369"/>
    <x v="47"/>
    <x v="3"/>
    <x v="10"/>
    <x v="0"/>
    <x v="14"/>
    <x v="1"/>
    <x v="0"/>
    <x v="0"/>
    <x v="0"/>
    <x v="8"/>
    <x v="0"/>
    <x v="0"/>
    <x v="1"/>
    <x v="1"/>
  </r>
  <r>
    <x v="102"/>
    <x v="0"/>
    <x v="18"/>
    <x v="7"/>
    <x v="1000"/>
    <x v="354"/>
    <x v="0"/>
    <x v="0"/>
    <x v="99"/>
    <x v="0"/>
    <x v="0"/>
    <x v="0"/>
    <x v="0"/>
    <x v="0"/>
    <x v="13"/>
    <x v="354"/>
    <x v="347"/>
    <x v="7"/>
    <x v="3"/>
    <x v="10"/>
    <x v="0"/>
    <x v="14"/>
    <x v="1"/>
    <x v="0"/>
    <x v="0"/>
    <x v="0"/>
    <x v="10"/>
    <x v="0"/>
    <x v="0"/>
    <x v="0"/>
    <x v="0"/>
  </r>
  <r>
    <x v="113"/>
    <x v="0"/>
    <x v="18"/>
    <x v="18"/>
    <x v="1001"/>
    <x v="355"/>
    <x v="0"/>
    <x v="0"/>
    <x v="110"/>
    <x v="0"/>
    <x v="0"/>
    <x v="0"/>
    <x v="0"/>
    <x v="0"/>
    <x v="13"/>
    <x v="355"/>
    <x v="348"/>
    <x v="18"/>
    <x v="3"/>
    <x v="10"/>
    <x v="0"/>
    <x v="14"/>
    <x v="1"/>
    <x v="0"/>
    <x v="0"/>
    <x v="0"/>
    <x v="10"/>
    <x v="0"/>
    <x v="0"/>
    <x v="0"/>
    <x v="0"/>
  </r>
  <r>
    <x v="115"/>
    <x v="0"/>
    <x v="18"/>
    <x v="20"/>
    <x v="1002"/>
    <x v="356"/>
    <x v="0"/>
    <x v="0"/>
    <x v="112"/>
    <x v="0"/>
    <x v="0"/>
    <x v="0"/>
    <x v="0"/>
    <x v="0"/>
    <x v="13"/>
    <x v="356"/>
    <x v="349"/>
    <x v="20"/>
    <x v="3"/>
    <x v="10"/>
    <x v="0"/>
    <x v="14"/>
    <x v="1"/>
    <x v="0"/>
    <x v="0"/>
    <x v="0"/>
    <x v="10"/>
    <x v="0"/>
    <x v="0"/>
    <x v="0"/>
    <x v="0"/>
  </r>
  <r>
    <x v="107"/>
    <x v="0"/>
    <x v="18"/>
    <x v="12"/>
    <x v="1003"/>
    <x v="357"/>
    <x v="0"/>
    <x v="0"/>
    <x v="104"/>
    <x v="0"/>
    <x v="0"/>
    <x v="0"/>
    <x v="0"/>
    <x v="0"/>
    <x v="13"/>
    <x v="357"/>
    <x v="350"/>
    <x v="12"/>
    <x v="3"/>
    <x v="10"/>
    <x v="0"/>
    <x v="14"/>
    <x v="1"/>
    <x v="0"/>
    <x v="0"/>
    <x v="0"/>
    <x v="10"/>
    <x v="0"/>
    <x v="0"/>
    <x v="0"/>
    <x v="0"/>
  </r>
  <r>
    <x v="112"/>
    <x v="0"/>
    <x v="18"/>
    <x v="17"/>
    <x v="1004"/>
    <x v="358"/>
    <x v="0"/>
    <x v="0"/>
    <x v="109"/>
    <x v="0"/>
    <x v="0"/>
    <x v="0"/>
    <x v="0"/>
    <x v="0"/>
    <x v="13"/>
    <x v="358"/>
    <x v="351"/>
    <x v="17"/>
    <x v="3"/>
    <x v="10"/>
    <x v="0"/>
    <x v="14"/>
    <x v="1"/>
    <x v="0"/>
    <x v="0"/>
    <x v="0"/>
    <x v="10"/>
    <x v="0"/>
    <x v="0"/>
    <x v="0"/>
    <x v="0"/>
  </r>
  <r>
    <x v="106"/>
    <x v="0"/>
    <x v="18"/>
    <x v="11"/>
    <x v="1005"/>
    <x v="359"/>
    <x v="0"/>
    <x v="0"/>
    <x v="103"/>
    <x v="0"/>
    <x v="0"/>
    <x v="0"/>
    <x v="0"/>
    <x v="0"/>
    <x v="13"/>
    <x v="359"/>
    <x v="352"/>
    <x v="11"/>
    <x v="3"/>
    <x v="10"/>
    <x v="0"/>
    <x v="14"/>
    <x v="1"/>
    <x v="0"/>
    <x v="0"/>
    <x v="0"/>
    <x v="10"/>
    <x v="0"/>
    <x v="0"/>
    <x v="0"/>
    <x v="0"/>
  </r>
  <r>
    <x v="103"/>
    <x v="0"/>
    <x v="18"/>
    <x v="8"/>
    <x v="1006"/>
    <x v="360"/>
    <x v="0"/>
    <x v="0"/>
    <x v="100"/>
    <x v="0"/>
    <x v="0"/>
    <x v="0"/>
    <x v="0"/>
    <x v="0"/>
    <x v="13"/>
    <x v="360"/>
    <x v="353"/>
    <x v="8"/>
    <x v="3"/>
    <x v="10"/>
    <x v="0"/>
    <x v="14"/>
    <x v="1"/>
    <x v="0"/>
    <x v="0"/>
    <x v="0"/>
    <x v="10"/>
    <x v="0"/>
    <x v="0"/>
    <x v="0"/>
    <x v="0"/>
  </r>
  <r>
    <x v="100"/>
    <x v="0"/>
    <x v="18"/>
    <x v="5"/>
    <x v="1007"/>
    <x v="361"/>
    <x v="0"/>
    <x v="0"/>
    <x v="97"/>
    <x v="0"/>
    <x v="0"/>
    <x v="0"/>
    <x v="0"/>
    <x v="0"/>
    <x v="13"/>
    <x v="361"/>
    <x v="354"/>
    <x v="5"/>
    <x v="3"/>
    <x v="10"/>
    <x v="0"/>
    <x v="14"/>
    <x v="1"/>
    <x v="0"/>
    <x v="0"/>
    <x v="0"/>
    <x v="10"/>
    <x v="0"/>
    <x v="0"/>
    <x v="0"/>
    <x v="0"/>
  </r>
  <r>
    <x v="98"/>
    <x v="0"/>
    <x v="18"/>
    <x v="3"/>
    <x v="1008"/>
    <x v="362"/>
    <x v="0"/>
    <x v="0"/>
    <x v="95"/>
    <x v="0"/>
    <x v="0"/>
    <x v="0"/>
    <x v="0"/>
    <x v="0"/>
    <x v="13"/>
    <x v="362"/>
    <x v="355"/>
    <x v="3"/>
    <x v="3"/>
    <x v="10"/>
    <x v="0"/>
    <x v="14"/>
    <x v="1"/>
    <x v="0"/>
    <x v="0"/>
    <x v="0"/>
    <x v="10"/>
    <x v="0"/>
    <x v="0"/>
    <x v="0"/>
    <x v="0"/>
  </r>
  <r>
    <x v="117"/>
    <x v="0"/>
    <x v="18"/>
    <x v="22"/>
    <x v="1009"/>
    <x v="363"/>
    <x v="0"/>
    <x v="0"/>
    <x v="114"/>
    <x v="0"/>
    <x v="0"/>
    <x v="0"/>
    <x v="0"/>
    <x v="0"/>
    <x v="13"/>
    <x v="363"/>
    <x v="356"/>
    <x v="22"/>
    <x v="3"/>
    <x v="10"/>
    <x v="0"/>
    <x v="14"/>
    <x v="1"/>
    <x v="0"/>
    <x v="0"/>
    <x v="0"/>
    <x v="10"/>
    <x v="0"/>
    <x v="0"/>
    <x v="0"/>
    <x v="0"/>
  </r>
  <r>
    <x v="110"/>
    <x v="0"/>
    <x v="18"/>
    <x v="15"/>
    <x v="1010"/>
    <x v="364"/>
    <x v="0"/>
    <x v="0"/>
    <x v="107"/>
    <x v="0"/>
    <x v="0"/>
    <x v="0"/>
    <x v="0"/>
    <x v="0"/>
    <x v="13"/>
    <x v="364"/>
    <x v="357"/>
    <x v="15"/>
    <x v="3"/>
    <x v="10"/>
    <x v="0"/>
    <x v="14"/>
    <x v="1"/>
    <x v="0"/>
    <x v="0"/>
    <x v="0"/>
    <x v="10"/>
    <x v="0"/>
    <x v="0"/>
    <x v="0"/>
    <x v="0"/>
  </r>
  <r>
    <x v="101"/>
    <x v="0"/>
    <x v="18"/>
    <x v="6"/>
    <x v="1011"/>
    <x v="365"/>
    <x v="0"/>
    <x v="0"/>
    <x v="98"/>
    <x v="0"/>
    <x v="0"/>
    <x v="0"/>
    <x v="0"/>
    <x v="0"/>
    <x v="13"/>
    <x v="365"/>
    <x v="358"/>
    <x v="6"/>
    <x v="3"/>
    <x v="10"/>
    <x v="0"/>
    <x v="14"/>
    <x v="1"/>
    <x v="0"/>
    <x v="0"/>
    <x v="0"/>
    <x v="10"/>
    <x v="0"/>
    <x v="0"/>
    <x v="0"/>
    <x v="0"/>
  </r>
  <r>
    <x v="109"/>
    <x v="0"/>
    <x v="18"/>
    <x v="14"/>
    <x v="1012"/>
    <x v="366"/>
    <x v="0"/>
    <x v="0"/>
    <x v="106"/>
    <x v="0"/>
    <x v="0"/>
    <x v="0"/>
    <x v="0"/>
    <x v="0"/>
    <x v="13"/>
    <x v="366"/>
    <x v="359"/>
    <x v="14"/>
    <x v="3"/>
    <x v="10"/>
    <x v="0"/>
    <x v="14"/>
    <x v="1"/>
    <x v="0"/>
    <x v="0"/>
    <x v="0"/>
    <x v="10"/>
    <x v="0"/>
    <x v="0"/>
    <x v="0"/>
    <x v="0"/>
  </r>
  <r>
    <x v="105"/>
    <x v="0"/>
    <x v="18"/>
    <x v="10"/>
    <x v="1013"/>
    <x v="367"/>
    <x v="0"/>
    <x v="0"/>
    <x v="102"/>
    <x v="0"/>
    <x v="0"/>
    <x v="0"/>
    <x v="0"/>
    <x v="0"/>
    <x v="13"/>
    <x v="367"/>
    <x v="360"/>
    <x v="10"/>
    <x v="3"/>
    <x v="10"/>
    <x v="0"/>
    <x v="14"/>
    <x v="1"/>
    <x v="0"/>
    <x v="0"/>
    <x v="0"/>
    <x v="10"/>
    <x v="0"/>
    <x v="0"/>
    <x v="0"/>
    <x v="0"/>
  </r>
  <r>
    <x v="104"/>
    <x v="0"/>
    <x v="18"/>
    <x v="9"/>
    <x v="1014"/>
    <x v="368"/>
    <x v="0"/>
    <x v="0"/>
    <x v="101"/>
    <x v="0"/>
    <x v="0"/>
    <x v="0"/>
    <x v="0"/>
    <x v="0"/>
    <x v="13"/>
    <x v="368"/>
    <x v="361"/>
    <x v="9"/>
    <x v="3"/>
    <x v="10"/>
    <x v="0"/>
    <x v="14"/>
    <x v="1"/>
    <x v="0"/>
    <x v="0"/>
    <x v="0"/>
    <x v="10"/>
    <x v="0"/>
    <x v="0"/>
    <x v="0"/>
    <x v="0"/>
  </r>
  <r>
    <x v="111"/>
    <x v="0"/>
    <x v="18"/>
    <x v="16"/>
    <x v="1015"/>
    <x v="369"/>
    <x v="0"/>
    <x v="0"/>
    <x v="108"/>
    <x v="0"/>
    <x v="0"/>
    <x v="0"/>
    <x v="0"/>
    <x v="0"/>
    <x v="13"/>
    <x v="369"/>
    <x v="362"/>
    <x v="16"/>
    <x v="3"/>
    <x v="10"/>
    <x v="0"/>
    <x v="14"/>
    <x v="1"/>
    <x v="0"/>
    <x v="0"/>
    <x v="0"/>
    <x v="10"/>
    <x v="0"/>
    <x v="0"/>
    <x v="0"/>
    <x v="0"/>
  </r>
  <r>
    <x v="108"/>
    <x v="0"/>
    <x v="18"/>
    <x v="13"/>
    <x v="1016"/>
    <x v="370"/>
    <x v="0"/>
    <x v="0"/>
    <x v="105"/>
    <x v="0"/>
    <x v="0"/>
    <x v="0"/>
    <x v="0"/>
    <x v="0"/>
    <x v="13"/>
    <x v="370"/>
    <x v="363"/>
    <x v="13"/>
    <x v="3"/>
    <x v="10"/>
    <x v="0"/>
    <x v="14"/>
    <x v="1"/>
    <x v="0"/>
    <x v="0"/>
    <x v="0"/>
    <x v="10"/>
    <x v="0"/>
    <x v="0"/>
    <x v="0"/>
    <x v="0"/>
  </r>
  <r>
    <x v="97"/>
    <x v="0"/>
    <x v="18"/>
    <x v="2"/>
    <x v="1017"/>
    <x v="371"/>
    <x v="0"/>
    <x v="0"/>
    <x v="94"/>
    <x v="0"/>
    <x v="0"/>
    <x v="0"/>
    <x v="0"/>
    <x v="0"/>
    <x v="13"/>
    <x v="371"/>
    <x v="364"/>
    <x v="2"/>
    <x v="3"/>
    <x v="10"/>
    <x v="0"/>
    <x v="14"/>
    <x v="1"/>
    <x v="0"/>
    <x v="0"/>
    <x v="0"/>
    <x v="10"/>
    <x v="0"/>
    <x v="0"/>
    <x v="0"/>
    <x v="0"/>
  </r>
  <r>
    <x v="96"/>
    <x v="0"/>
    <x v="18"/>
    <x v="1"/>
    <x v="1018"/>
    <x v="372"/>
    <x v="0"/>
    <x v="0"/>
    <x v="93"/>
    <x v="0"/>
    <x v="0"/>
    <x v="0"/>
    <x v="0"/>
    <x v="0"/>
    <x v="13"/>
    <x v="372"/>
    <x v="365"/>
    <x v="1"/>
    <x v="3"/>
    <x v="10"/>
    <x v="0"/>
    <x v="14"/>
    <x v="1"/>
    <x v="0"/>
    <x v="0"/>
    <x v="0"/>
    <x v="10"/>
    <x v="0"/>
    <x v="0"/>
    <x v="0"/>
    <x v="0"/>
  </r>
  <r>
    <x v="114"/>
    <x v="0"/>
    <x v="18"/>
    <x v="19"/>
    <x v="1019"/>
    <x v="373"/>
    <x v="0"/>
    <x v="0"/>
    <x v="111"/>
    <x v="0"/>
    <x v="0"/>
    <x v="0"/>
    <x v="0"/>
    <x v="0"/>
    <x v="13"/>
    <x v="373"/>
    <x v="366"/>
    <x v="19"/>
    <x v="3"/>
    <x v="10"/>
    <x v="0"/>
    <x v="14"/>
    <x v="1"/>
    <x v="0"/>
    <x v="0"/>
    <x v="0"/>
    <x v="10"/>
    <x v="0"/>
    <x v="0"/>
    <x v="0"/>
    <x v="0"/>
  </r>
  <r>
    <x v="99"/>
    <x v="0"/>
    <x v="18"/>
    <x v="4"/>
    <x v="1020"/>
    <x v="374"/>
    <x v="0"/>
    <x v="0"/>
    <x v="96"/>
    <x v="0"/>
    <x v="0"/>
    <x v="0"/>
    <x v="0"/>
    <x v="0"/>
    <x v="13"/>
    <x v="374"/>
    <x v="367"/>
    <x v="4"/>
    <x v="3"/>
    <x v="10"/>
    <x v="0"/>
    <x v="14"/>
    <x v="1"/>
    <x v="0"/>
    <x v="0"/>
    <x v="0"/>
    <x v="10"/>
    <x v="0"/>
    <x v="0"/>
    <x v="0"/>
    <x v="0"/>
  </r>
  <r>
    <x v="116"/>
    <x v="0"/>
    <x v="18"/>
    <x v="21"/>
    <x v="1021"/>
    <x v="375"/>
    <x v="0"/>
    <x v="0"/>
    <x v="113"/>
    <x v="0"/>
    <x v="0"/>
    <x v="0"/>
    <x v="0"/>
    <x v="0"/>
    <x v="13"/>
    <x v="375"/>
    <x v="368"/>
    <x v="21"/>
    <x v="3"/>
    <x v="10"/>
    <x v="0"/>
    <x v="14"/>
    <x v="1"/>
    <x v="0"/>
    <x v="0"/>
    <x v="0"/>
    <x v="10"/>
    <x v="0"/>
    <x v="0"/>
    <x v="0"/>
    <x v="0"/>
  </r>
  <r>
    <x v="146"/>
    <x v="0"/>
    <x v="19"/>
    <x v="29"/>
    <x v="1022"/>
    <x v="331"/>
    <x v="0"/>
    <x v="0"/>
    <x v="143"/>
    <x v="0"/>
    <x v="0"/>
    <x v="0"/>
    <x v="0"/>
    <x v="0"/>
    <x v="13"/>
    <x v="331"/>
    <x v="324"/>
    <x v="29"/>
    <x v="3"/>
    <x v="10"/>
    <x v="0"/>
    <x v="14"/>
    <x v="1"/>
    <x v="0"/>
    <x v="0"/>
    <x v="0"/>
    <x v="11"/>
    <x v="0"/>
    <x v="0"/>
    <x v="0"/>
    <x v="0"/>
  </r>
  <r>
    <x v="157"/>
    <x v="0"/>
    <x v="19"/>
    <x v="40"/>
    <x v="1023"/>
    <x v="332"/>
    <x v="0"/>
    <x v="0"/>
    <x v="154"/>
    <x v="0"/>
    <x v="0"/>
    <x v="0"/>
    <x v="0"/>
    <x v="0"/>
    <x v="13"/>
    <x v="332"/>
    <x v="325"/>
    <x v="40"/>
    <x v="3"/>
    <x v="10"/>
    <x v="0"/>
    <x v="14"/>
    <x v="1"/>
    <x v="0"/>
    <x v="0"/>
    <x v="0"/>
    <x v="11"/>
    <x v="0"/>
    <x v="0"/>
    <x v="0"/>
    <x v="0"/>
  </r>
  <r>
    <x v="159"/>
    <x v="0"/>
    <x v="19"/>
    <x v="42"/>
    <x v="1024"/>
    <x v="333"/>
    <x v="0"/>
    <x v="0"/>
    <x v="156"/>
    <x v="0"/>
    <x v="0"/>
    <x v="0"/>
    <x v="0"/>
    <x v="0"/>
    <x v="13"/>
    <x v="333"/>
    <x v="326"/>
    <x v="42"/>
    <x v="3"/>
    <x v="10"/>
    <x v="0"/>
    <x v="14"/>
    <x v="1"/>
    <x v="0"/>
    <x v="0"/>
    <x v="0"/>
    <x v="11"/>
    <x v="0"/>
    <x v="0"/>
    <x v="0"/>
    <x v="0"/>
  </r>
  <r>
    <x v="151"/>
    <x v="0"/>
    <x v="19"/>
    <x v="34"/>
    <x v="1025"/>
    <x v="334"/>
    <x v="0"/>
    <x v="0"/>
    <x v="148"/>
    <x v="0"/>
    <x v="0"/>
    <x v="0"/>
    <x v="0"/>
    <x v="0"/>
    <x v="13"/>
    <x v="334"/>
    <x v="327"/>
    <x v="34"/>
    <x v="3"/>
    <x v="10"/>
    <x v="0"/>
    <x v="14"/>
    <x v="1"/>
    <x v="0"/>
    <x v="0"/>
    <x v="0"/>
    <x v="11"/>
    <x v="0"/>
    <x v="0"/>
    <x v="0"/>
    <x v="0"/>
  </r>
  <r>
    <x v="156"/>
    <x v="0"/>
    <x v="19"/>
    <x v="39"/>
    <x v="1026"/>
    <x v="335"/>
    <x v="0"/>
    <x v="0"/>
    <x v="153"/>
    <x v="0"/>
    <x v="0"/>
    <x v="0"/>
    <x v="0"/>
    <x v="0"/>
    <x v="13"/>
    <x v="335"/>
    <x v="328"/>
    <x v="39"/>
    <x v="3"/>
    <x v="10"/>
    <x v="0"/>
    <x v="14"/>
    <x v="1"/>
    <x v="0"/>
    <x v="0"/>
    <x v="0"/>
    <x v="11"/>
    <x v="0"/>
    <x v="0"/>
    <x v="0"/>
    <x v="0"/>
  </r>
  <r>
    <x v="150"/>
    <x v="0"/>
    <x v="19"/>
    <x v="33"/>
    <x v="1027"/>
    <x v="336"/>
    <x v="0"/>
    <x v="0"/>
    <x v="147"/>
    <x v="0"/>
    <x v="0"/>
    <x v="0"/>
    <x v="0"/>
    <x v="0"/>
    <x v="13"/>
    <x v="336"/>
    <x v="329"/>
    <x v="33"/>
    <x v="3"/>
    <x v="10"/>
    <x v="0"/>
    <x v="14"/>
    <x v="1"/>
    <x v="0"/>
    <x v="0"/>
    <x v="0"/>
    <x v="11"/>
    <x v="0"/>
    <x v="0"/>
    <x v="0"/>
    <x v="0"/>
  </r>
  <r>
    <x v="147"/>
    <x v="0"/>
    <x v="19"/>
    <x v="30"/>
    <x v="1028"/>
    <x v="337"/>
    <x v="0"/>
    <x v="0"/>
    <x v="144"/>
    <x v="0"/>
    <x v="0"/>
    <x v="0"/>
    <x v="0"/>
    <x v="0"/>
    <x v="13"/>
    <x v="337"/>
    <x v="330"/>
    <x v="30"/>
    <x v="3"/>
    <x v="10"/>
    <x v="0"/>
    <x v="14"/>
    <x v="1"/>
    <x v="0"/>
    <x v="0"/>
    <x v="0"/>
    <x v="11"/>
    <x v="0"/>
    <x v="0"/>
    <x v="0"/>
    <x v="0"/>
  </r>
  <r>
    <x v="144"/>
    <x v="0"/>
    <x v="19"/>
    <x v="27"/>
    <x v="1029"/>
    <x v="338"/>
    <x v="0"/>
    <x v="0"/>
    <x v="141"/>
    <x v="0"/>
    <x v="0"/>
    <x v="0"/>
    <x v="0"/>
    <x v="0"/>
    <x v="13"/>
    <x v="338"/>
    <x v="331"/>
    <x v="27"/>
    <x v="3"/>
    <x v="10"/>
    <x v="0"/>
    <x v="14"/>
    <x v="1"/>
    <x v="0"/>
    <x v="0"/>
    <x v="0"/>
    <x v="11"/>
    <x v="0"/>
    <x v="0"/>
    <x v="0"/>
    <x v="0"/>
  </r>
  <r>
    <x v="142"/>
    <x v="0"/>
    <x v="19"/>
    <x v="25"/>
    <x v="1030"/>
    <x v="339"/>
    <x v="0"/>
    <x v="0"/>
    <x v="139"/>
    <x v="0"/>
    <x v="0"/>
    <x v="0"/>
    <x v="0"/>
    <x v="0"/>
    <x v="13"/>
    <x v="339"/>
    <x v="332"/>
    <x v="25"/>
    <x v="3"/>
    <x v="10"/>
    <x v="0"/>
    <x v="14"/>
    <x v="1"/>
    <x v="0"/>
    <x v="0"/>
    <x v="0"/>
    <x v="11"/>
    <x v="0"/>
    <x v="0"/>
    <x v="0"/>
    <x v="0"/>
  </r>
  <r>
    <x v="161"/>
    <x v="0"/>
    <x v="19"/>
    <x v="44"/>
    <x v="1031"/>
    <x v="340"/>
    <x v="0"/>
    <x v="0"/>
    <x v="158"/>
    <x v="0"/>
    <x v="0"/>
    <x v="0"/>
    <x v="0"/>
    <x v="0"/>
    <x v="13"/>
    <x v="340"/>
    <x v="333"/>
    <x v="44"/>
    <x v="3"/>
    <x v="10"/>
    <x v="0"/>
    <x v="14"/>
    <x v="1"/>
    <x v="0"/>
    <x v="0"/>
    <x v="0"/>
    <x v="11"/>
    <x v="0"/>
    <x v="0"/>
    <x v="0"/>
    <x v="0"/>
  </r>
  <r>
    <x v="154"/>
    <x v="0"/>
    <x v="19"/>
    <x v="37"/>
    <x v="1032"/>
    <x v="341"/>
    <x v="0"/>
    <x v="0"/>
    <x v="151"/>
    <x v="0"/>
    <x v="0"/>
    <x v="0"/>
    <x v="0"/>
    <x v="0"/>
    <x v="13"/>
    <x v="341"/>
    <x v="334"/>
    <x v="37"/>
    <x v="3"/>
    <x v="10"/>
    <x v="0"/>
    <x v="14"/>
    <x v="1"/>
    <x v="0"/>
    <x v="0"/>
    <x v="0"/>
    <x v="11"/>
    <x v="0"/>
    <x v="0"/>
    <x v="0"/>
    <x v="0"/>
  </r>
  <r>
    <x v="145"/>
    <x v="0"/>
    <x v="19"/>
    <x v="28"/>
    <x v="1033"/>
    <x v="342"/>
    <x v="0"/>
    <x v="0"/>
    <x v="142"/>
    <x v="0"/>
    <x v="0"/>
    <x v="0"/>
    <x v="0"/>
    <x v="0"/>
    <x v="13"/>
    <x v="342"/>
    <x v="335"/>
    <x v="28"/>
    <x v="3"/>
    <x v="10"/>
    <x v="0"/>
    <x v="14"/>
    <x v="1"/>
    <x v="0"/>
    <x v="0"/>
    <x v="0"/>
    <x v="11"/>
    <x v="0"/>
    <x v="0"/>
    <x v="0"/>
    <x v="0"/>
  </r>
  <r>
    <x v="153"/>
    <x v="0"/>
    <x v="19"/>
    <x v="36"/>
    <x v="1034"/>
    <x v="343"/>
    <x v="0"/>
    <x v="0"/>
    <x v="150"/>
    <x v="0"/>
    <x v="0"/>
    <x v="0"/>
    <x v="0"/>
    <x v="0"/>
    <x v="13"/>
    <x v="343"/>
    <x v="336"/>
    <x v="36"/>
    <x v="3"/>
    <x v="10"/>
    <x v="0"/>
    <x v="14"/>
    <x v="1"/>
    <x v="0"/>
    <x v="0"/>
    <x v="0"/>
    <x v="11"/>
    <x v="0"/>
    <x v="0"/>
    <x v="0"/>
    <x v="0"/>
  </r>
  <r>
    <x v="149"/>
    <x v="0"/>
    <x v="19"/>
    <x v="32"/>
    <x v="1035"/>
    <x v="344"/>
    <x v="0"/>
    <x v="0"/>
    <x v="146"/>
    <x v="0"/>
    <x v="0"/>
    <x v="0"/>
    <x v="0"/>
    <x v="0"/>
    <x v="13"/>
    <x v="344"/>
    <x v="337"/>
    <x v="32"/>
    <x v="3"/>
    <x v="10"/>
    <x v="0"/>
    <x v="14"/>
    <x v="1"/>
    <x v="0"/>
    <x v="0"/>
    <x v="0"/>
    <x v="11"/>
    <x v="0"/>
    <x v="0"/>
    <x v="0"/>
    <x v="0"/>
  </r>
  <r>
    <x v="148"/>
    <x v="0"/>
    <x v="19"/>
    <x v="31"/>
    <x v="1036"/>
    <x v="345"/>
    <x v="0"/>
    <x v="0"/>
    <x v="145"/>
    <x v="0"/>
    <x v="0"/>
    <x v="0"/>
    <x v="0"/>
    <x v="0"/>
    <x v="13"/>
    <x v="345"/>
    <x v="338"/>
    <x v="31"/>
    <x v="3"/>
    <x v="10"/>
    <x v="0"/>
    <x v="14"/>
    <x v="1"/>
    <x v="0"/>
    <x v="0"/>
    <x v="0"/>
    <x v="11"/>
    <x v="0"/>
    <x v="0"/>
    <x v="0"/>
    <x v="0"/>
  </r>
  <r>
    <x v="155"/>
    <x v="0"/>
    <x v="19"/>
    <x v="38"/>
    <x v="1037"/>
    <x v="346"/>
    <x v="0"/>
    <x v="0"/>
    <x v="152"/>
    <x v="0"/>
    <x v="0"/>
    <x v="0"/>
    <x v="0"/>
    <x v="0"/>
    <x v="13"/>
    <x v="346"/>
    <x v="339"/>
    <x v="38"/>
    <x v="3"/>
    <x v="10"/>
    <x v="0"/>
    <x v="14"/>
    <x v="1"/>
    <x v="0"/>
    <x v="0"/>
    <x v="0"/>
    <x v="11"/>
    <x v="0"/>
    <x v="0"/>
    <x v="0"/>
    <x v="0"/>
  </r>
  <r>
    <x v="152"/>
    <x v="0"/>
    <x v="19"/>
    <x v="35"/>
    <x v="1038"/>
    <x v="347"/>
    <x v="0"/>
    <x v="0"/>
    <x v="149"/>
    <x v="0"/>
    <x v="0"/>
    <x v="0"/>
    <x v="0"/>
    <x v="0"/>
    <x v="13"/>
    <x v="347"/>
    <x v="340"/>
    <x v="35"/>
    <x v="3"/>
    <x v="10"/>
    <x v="0"/>
    <x v="14"/>
    <x v="1"/>
    <x v="0"/>
    <x v="0"/>
    <x v="0"/>
    <x v="11"/>
    <x v="0"/>
    <x v="0"/>
    <x v="0"/>
    <x v="0"/>
  </r>
  <r>
    <x v="141"/>
    <x v="0"/>
    <x v="19"/>
    <x v="24"/>
    <x v="1039"/>
    <x v="348"/>
    <x v="0"/>
    <x v="0"/>
    <x v="138"/>
    <x v="0"/>
    <x v="0"/>
    <x v="0"/>
    <x v="0"/>
    <x v="0"/>
    <x v="13"/>
    <x v="348"/>
    <x v="341"/>
    <x v="24"/>
    <x v="3"/>
    <x v="10"/>
    <x v="0"/>
    <x v="14"/>
    <x v="1"/>
    <x v="0"/>
    <x v="0"/>
    <x v="0"/>
    <x v="11"/>
    <x v="0"/>
    <x v="0"/>
    <x v="0"/>
    <x v="0"/>
  </r>
  <r>
    <x v="140"/>
    <x v="0"/>
    <x v="19"/>
    <x v="23"/>
    <x v="1040"/>
    <x v="349"/>
    <x v="0"/>
    <x v="0"/>
    <x v="137"/>
    <x v="0"/>
    <x v="0"/>
    <x v="0"/>
    <x v="0"/>
    <x v="0"/>
    <x v="13"/>
    <x v="349"/>
    <x v="342"/>
    <x v="23"/>
    <x v="3"/>
    <x v="10"/>
    <x v="0"/>
    <x v="14"/>
    <x v="1"/>
    <x v="0"/>
    <x v="0"/>
    <x v="0"/>
    <x v="11"/>
    <x v="0"/>
    <x v="0"/>
    <x v="0"/>
    <x v="0"/>
  </r>
  <r>
    <x v="158"/>
    <x v="0"/>
    <x v="19"/>
    <x v="41"/>
    <x v="1041"/>
    <x v="350"/>
    <x v="0"/>
    <x v="0"/>
    <x v="155"/>
    <x v="0"/>
    <x v="0"/>
    <x v="0"/>
    <x v="0"/>
    <x v="0"/>
    <x v="13"/>
    <x v="350"/>
    <x v="343"/>
    <x v="41"/>
    <x v="3"/>
    <x v="10"/>
    <x v="0"/>
    <x v="14"/>
    <x v="1"/>
    <x v="0"/>
    <x v="0"/>
    <x v="0"/>
    <x v="11"/>
    <x v="0"/>
    <x v="0"/>
    <x v="0"/>
    <x v="0"/>
  </r>
  <r>
    <x v="143"/>
    <x v="0"/>
    <x v="19"/>
    <x v="26"/>
    <x v="1042"/>
    <x v="351"/>
    <x v="0"/>
    <x v="0"/>
    <x v="140"/>
    <x v="0"/>
    <x v="0"/>
    <x v="0"/>
    <x v="0"/>
    <x v="0"/>
    <x v="13"/>
    <x v="351"/>
    <x v="344"/>
    <x v="26"/>
    <x v="3"/>
    <x v="10"/>
    <x v="0"/>
    <x v="14"/>
    <x v="1"/>
    <x v="0"/>
    <x v="0"/>
    <x v="0"/>
    <x v="11"/>
    <x v="0"/>
    <x v="0"/>
    <x v="0"/>
    <x v="0"/>
  </r>
  <r>
    <x v="160"/>
    <x v="0"/>
    <x v="19"/>
    <x v="43"/>
    <x v="1043"/>
    <x v="352"/>
    <x v="0"/>
    <x v="0"/>
    <x v="157"/>
    <x v="0"/>
    <x v="0"/>
    <x v="0"/>
    <x v="0"/>
    <x v="0"/>
    <x v="13"/>
    <x v="352"/>
    <x v="345"/>
    <x v="43"/>
    <x v="3"/>
    <x v="10"/>
    <x v="0"/>
    <x v="14"/>
    <x v="1"/>
    <x v="0"/>
    <x v="0"/>
    <x v="0"/>
    <x v="11"/>
    <x v="0"/>
    <x v="0"/>
    <x v="0"/>
    <x v="0"/>
  </r>
  <r>
    <x v="184"/>
    <x v="1"/>
    <x v="25"/>
    <x v="45"/>
    <x v="1044"/>
    <x v="378"/>
    <x v="1"/>
    <x v="0"/>
    <x v="181"/>
    <x v="0"/>
    <x v="0"/>
    <x v="0"/>
    <x v="0"/>
    <x v="0"/>
    <x v="13"/>
    <x v="378"/>
    <x v="371"/>
    <x v="45"/>
    <x v="3"/>
    <x v="10"/>
    <x v="0"/>
    <x v="14"/>
    <x v="1"/>
    <x v="0"/>
    <x v="0"/>
    <x v="0"/>
    <x v="9"/>
    <x v="0"/>
    <x v="0"/>
    <x v="1"/>
    <x v="1"/>
  </r>
  <r>
    <x v="95"/>
    <x v="1"/>
    <x v="25"/>
    <x v="0"/>
    <x v="1045"/>
    <x v="377"/>
    <x v="1"/>
    <x v="0"/>
    <x v="92"/>
    <x v="0"/>
    <x v="0"/>
    <x v="0"/>
    <x v="0"/>
    <x v="0"/>
    <x v="13"/>
    <x v="377"/>
    <x v="370"/>
    <x v="0"/>
    <x v="3"/>
    <x v="10"/>
    <x v="0"/>
    <x v="14"/>
    <x v="1"/>
    <x v="0"/>
    <x v="0"/>
    <x v="0"/>
    <x v="9"/>
    <x v="0"/>
    <x v="0"/>
    <x v="1"/>
    <x v="1"/>
  </r>
  <r>
    <x v="185"/>
    <x v="1"/>
    <x v="25"/>
    <x v="46"/>
    <x v="1046"/>
    <x v="353"/>
    <x v="1"/>
    <x v="0"/>
    <x v="182"/>
    <x v="0"/>
    <x v="0"/>
    <x v="0"/>
    <x v="0"/>
    <x v="0"/>
    <x v="13"/>
    <x v="353"/>
    <x v="346"/>
    <x v="46"/>
    <x v="3"/>
    <x v="10"/>
    <x v="0"/>
    <x v="14"/>
    <x v="1"/>
    <x v="0"/>
    <x v="0"/>
    <x v="0"/>
    <x v="9"/>
    <x v="0"/>
    <x v="0"/>
    <x v="1"/>
    <x v="1"/>
  </r>
</pivotCacheRecords>
</file>

<file path=xl/pivotCache/pivotCacheRecords2.xml><?xml version="1.0" encoding="utf-8"?>
<pivotCacheRecords xmlns="http://schemas.openxmlformats.org/spreadsheetml/2006/main" count="1442">
  <r>
    <x v="0"/>
    <x v="0"/>
    <x v="0"/>
    <x v="1425"/>
    <x v="301"/>
    <x v="2"/>
    <x v="0"/>
    <x v="1"/>
    <x v="1425"/>
    <x v="0"/>
    <x v="0"/>
    <x v="0"/>
    <x v="0"/>
    <x v="1"/>
    <x v="14"/>
    <x v="2"/>
    <x v="1422"/>
    <x v="1425"/>
    <x v="3"/>
    <x v="10"/>
    <x v="0"/>
    <x v="0"/>
    <x v="0"/>
    <x v="1"/>
    <x v="1"/>
    <x v="1"/>
    <x v="34"/>
    <x v="0"/>
    <x v="0"/>
    <x v="0"/>
    <x v="0"/>
  </r>
  <r>
    <x v="1"/>
    <x v="0"/>
    <x v="1"/>
    <x v="1427"/>
    <x v="677"/>
    <x v="4"/>
    <x v="0"/>
    <x v="1"/>
    <x v="1425"/>
    <x v="0"/>
    <x v="0"/>
    <x v="0"/>
    <x v="0"/>
    <x v="1"/>
    <x v="14"/>
    <x v="4"/>
    <x v="1422"/>
    <x v="1427"/>
    <x v="3"/>
    <x v="10"/>
    <x v="0"/>
    <x v="0"/>
    <x v="0"/>
    <x v="1"/>
    <x v="1"/>
    <x v="1"/>
    <x v="34"/>
    <x v="0"/>
    <x v="0"/>
    <x v="0"/>
    <x v="0"/>
  </r>
  <r>
    <x v="2"/>
    <x v="0"/>
    <x v="2"/>
    <x v="1428"/>
    <x v="676"/>
    <x v="3"/>
    <x v="0"/>
    <x v="1"/>
    <x v="1425"/>
    <x v="0"/>
    <x v="0"/>
    <x v="0"/>
    <x v="0"/>
    <x v="1"/>
    <x v="14"/>
    <x v="3"/>
    <x v="1422"/>
    <x v="1428"/>
    <x v="3"/>
    <x v="10"/>
    <x v="0"/>
    <x v="0"/>
    <x v="0"/>
    <x v="1"/>
    <x v="1"/>
    <x v="1"/>
    <x v="34"/>
    <x v="0"/>
    <x v="0"/>
    <x v="0"/>
    <x v="0"/>
  </r>
  <r>
    <x v="363"/>
    <x v="0"/>
    <x v="25"/>
    <x v="1426"/>
    <x v="108"/>
    <x v="1"/>
    <x v="1"/>
    <x v="1"/>
    <x v="1425"/>
    <x v="0"/>
    <x v="0"/>
    <x v="0"/>
    <x v="0"/>
    <x v="1"/>
    <x v="14"/>
    <x v="1"/>
    <x v="1422"/>
    <x v="1426"/>
    <x v="3"/>
    <x v="10"/>
    <x v="0"/>
    <x v="0"/>
    <x v="0"/>
    <x v="1"/>
    <x v="1"/>
    <x v="1"/>
    <x v="34"/>
    <x v="0"/>
    <x v="0"/>
    <x v="1"/>
    <x v="1"/>
  </r>
  <r>
    <x v="361"/>
    <x v="1"/>
    <x v="25"/>
    <x v="1431"/>
    <x v="302"/>
    <x v="0"/>
    <x v="1"/>
    <x v="1"/>
    <x v="1425"/>
    <x v="0"/>
    <x v="0"/>
    <x v="0"/>
    <x v="0"/>
    <x v="1"/>
    <x v="14"/>
    <x v="0"/>
    <x v="1422"/>
    <x v="1431"/>
    <x v="3"/>
    <x v="10"/>
    <x v="0"/>
    <x v="1"/>
    <x v="2"/>
    <x v="1"/>
    <x v="1"/>
    <x v="1"/>
    <x v="34"/>
    <x v="0"/>
    <x v="0"/>
    <x v="1"/>
    <x v="1"/>
  </r>
  <r>
    <x v="359"/>
    <x v="1"/>
    <x v="25"/>
    <x v="1429"/>
    <x v="303"/>
    <x v="0"/>
    <x v="1"/>
    <x v="1"/>
    <x v="1425"/>
    <x v="0"/>
    <x v="0"/>
    <x v="0"/>
    <x v="0"/>
    <x v="1"/>
    <x v="14"/>
    <x v="0"/>
    <x v="1422"/>
    <x v="1429"/>
    <x v="3"/>
    <x v="10"/>
    <x v="0"/>
    <x v="1"/>
    <x v="2"/>
    <x v="1"/>
    <x v="1"/>
    <x v="1"/>
    <x v="34"/>
    <x v="0"/>
    <x v="0"/>
    <x v="1"/>
    <x v="1"/>
  </r>
  <r>
    <x v="360"/>
    <x v="1"/>
    <x v="25"/>
    <x v="1430"/>
    <x v="304"/>
    <x v="0"/>
    <x v="1"/>
    <x v="1"/>
    <x v="1425"/>
    <x v="0"/>
    <x v="0"/>
    <x v="0"/>
    <x v="0"/>
    <x v="1"/>
    <x v="14"/>
    <x v="0"/>
    <x v="1422"/>
    <x v="1430"/>
    <x v="3"/>
    <x v="10"/>
    <x v="0"/>
    <x v="1"/>
    <x v="2"/>
    <x v="1"/>
    <x v="1"/>
    <x v="1"/>
    <x v="34"/>
    <x v="0"/>
    <x v="0"/>
    <x v="1"/>
    <x v="1"/>
  </r>
  <r>
    <x v="362"/>
    <x v="1"/>
    <x v="25"/>
    <x v="1432"/>
    <x v="305"/>
    <x v="0"/>
    <x v="1"/>
    <x v="1"/>
    <x v="1425"/>
    <x v="0"/>
    <x v="0"/>
    <x v="0"/>
    <x v="0"/>
    <x v="1"/>
    <x v="14"/>
    <x v="0"/>
    <x v="1422"/>
    <x v="1432"/>
    <x v="3"/>
    <x v="10"/>
    <x v="0"/>
    <x v="1"/>
    <x v="2"/>
    <x v="1"/>
    <x v="1"/>
    <x v="1"/>
    <x v="34"/>
    <x v="0"/>
    <x v="0"/>
    <x v="1"/>
    <x v="1"/>
  </r>
  <r>
    <x v="364"/>
    <x v="0"/>
    <x v="25"/>
    <x v="1434"/>
    <x v="109"/>
    <x v="379"/>
    <x v="1"/>
    <x v="1"/>
    <x v="1425"/>
    <x v="0"/>
    <x v="0"/>
    <x v="0"/>
    <x v="0"/>
    <x v="1"/>
    <x v="14"/>
    <x v="379"/>
    <x v="1422"/>
    <x v="1434"/>
    <x v="3"/>
    <x v="10"/>
    <x v="0"/>
    <x v="15"/>
    <x v="9"/>
    <x v="1"/>
    <x v="1"/>
    <x v="1"/>
    <x v="34"/>
    <x v="0"/>
    <x v="0"/>
    <x v="1"/>
    <x v="1"/>
  </r>
  <r>
    <x v="370"/>
    <x v="0"/>
    <x v="0"/>
    <x v="1433"/>
    <x v="301"/>
    <x v="380"/>
    <x v="0"/>
    <x v="1"/>
    <x v="1425"/>
    <x v="0"/>
    <x v="0"/>
    <x v="0"/>
    <x v="0"/>
    <x v="1"/>
    <x v="14"/>
    <x v="380"/>
    <x v="1422"/>
    <x v="1433"/>
    <x v="3"/>
    <x v="10"/>
    <x v="0"/>
    <x v="15"/>
    <x v="9"/>
    <x v="1"/>
    <x v="1"/>
    <x v="1"/>
    <x v="34"/>
    <x v="0"/>
    <x v="0"/>
    <x v="0"/>
    <x v="0"/>
  </r>
  <r>
    <x v="371"/>
    <x v="0"/>
    <x v="1"/>
    <x v="1435"/>
    <x v="677"/>
    <x v="382"/>
    <x v="0"/>
    <x v="1"/>
    <x v="1425"/>
    <x v="0"/>
    <x v="0"/>
    <x v="0"/>
    <x v="0"/>
    <x v="1"/>
    <x v="14"/>
    <x v="382"/>
    <x v="1422"/>
    <x v="1435"/>
    <x v="3"/>
    <x v="10"/>
    <x v="0"/>
    <x v="15"/>
    <x v="9"/>
    <x v="1"/>
    <x v="1"/>
    <x v="1"/>
    <x v="34"/>
    <x v="0"/>
    <x v="0"/>
    <x v="0"/>
    <x v="0"/>
  </r>
  <r>
    <x v="372"/>
    <x v="0"/>
    <x v="2"/>
    <x v="1436"/>
    <x v="676"/>
    <x v="381"/>
    <x v="0"/>
    <x v="1"/>
    <x v="1425"/>
    <x v="0"/>
    <x v="0"/>
    <x v="0"/>
    <x v="0"/>
    <x v="1"/>
    <x v="14"/>
    <x v="381"/>
    <x v="1422"/>
    <x v="1436"/>
    <x v="3"/>
    <x v="10"/>
    <x v="0"/>
    <x v="15"/>
    <x v="9"/>
    <x v="1"/>
    <x v="1"/>
    <x v="1"/>
    <x v="34"/>
    <x v="0"/>
    <x v="0"/>
    <x v="0"/>
    <x v="0"/>
  </r>
  <r>
    <x v="459"/>
    <x v="1"/>
    <x v="25"/>
    <x v="442"/>
    <x v="743"/>
    <x v="468"/>
    <x v="1"/>
    <x v="0"/>
    <x v="442"/>
    <x v="0"/>
    <x v="0"/>
    <x v="0"/>
    <x v="0"/>
    <x v="0"/>
    <x v="0"/>
    <x v="468"/>
    <x v="9"/>
    <x v="442"/>
    <x v="1"/>
    <x v="10"/>
    <x v="0"/>
    <x v="16"/>
    <x v="16"/>
    <x v="0"/>
    <x v="0"/>
    <x v="0"/>
    <x v="22"/>
    <x v="0"/>
    <x v="0"/>
    <x v="0"/>
    <x v="0"/>
  </r>
  <r>
    <x v="1441"/>
    <x v="1"/>
    <x v="25"/>
    <x v="1424"/>
    <x v="128"/>
    <x v="1158"/>
    <x v="1"/>
    <x v="0"/>
    <x v="1424"/>
    <x v="0"/>
    <x v="0"/>
    <x v="0"/>
    <x v="0"/>
    <x v="0"/>
    <x v="2"/>
    <x v="1158"/>
    <x v="1146"/>
    <x v="1424"/>
    <x v="1"/>
    <x v="10"/>
    <x v="0"/>
    <x v="17"/>
    <x v="17"/>
    <x v="0"/>
    <x v="0"/>
    <x v="0"/>
    <x v="29"/>
    <x v="0"/>
    <x v="0"/>
    <x v="1"/>
    <x v="1"/>
  </r>
  <r>
    <x v="1440"/>
    <x v="1"/>
    <x v="25"/>
    <x v="1423"/>
    <x v="127"/>
    <x v="1157"/>
    <x v="1"/>
    <x v="0"/>
    <x v="1423"/>
    <x v="0"/>
    <x v="0"/>
    <x v="0"/>
    <x v="0"/>
    <x v="0"/>
    <x v="2"/>
    <x v="1157"/>
    <x v="1145"/>
    <x v="1423"/>
    <x v="1"/>
    <x v="10"/>
    <x v="0"/>
    <x v="17"/>
    <x v="17"/>
    <x v="0"/>
    <x v="0"/>
    <x v="0"/>
    <x v="29"/>
    <x v="0"/>
    <x v="0"/>
    <x v="1"/>
    <x v="1"/>
  </r>
  <r>
    <x v="1439"/>
    <x v="1"/>
    <x v="25"/>
    <x v="1422"/>
    <x v="704"/>
    <x v="1349"/>
    <x v="1"/>
    <x v="0"/>
    <x v="1422"/>
    <x v="0"/>
    <x v="0"/>
    <x v="0"/>
    <x v="0"/>
    <x v="0"/>
    <x v="2"/>
    <x v="1349"/>
    <x v="1337"/>
    <x v="1422"/>
    <x v="1"/>
    <x v="10"/>
    <x v="0"/>
    <x v="17"/>
    <x v="17"/>
    <x v="0"/>
    <x v="0"/>
    <x v="0"/>
    <x v="31"/>
    <x v="0"/>
    <x v="0"/>
    <x v="1"/>
    <x v="1"/>
  </r>
  <r>
    <x v="1438"/>
    <x v="1"/>
    <x v="25"/>
    <x v="1421"/>
    <x v="548"/>
    <x v="1325"/>
    <x v="1"/>
    <x v="0"/>
    <x v="1421"/>
    <x v="0"/>
    <x v="0"/>
    <x v="0"/>
    <x v="0"/>
    <x v="0"/>
    <x v="2"/>
    <x v="1325"/>
    <x v="1313"/>
    <x v="1421"/>
    <x v="1"/>
    <x v="10"/>
    <x v="0"/>
    <x v="17"/>
    <x v="17"/>
    <x v="0"/>
    <x v="0"/>
    <x v="0"/>
    <x v="31"/>
    <x v="0"/>
    <x v="0"/>
    <x v="1"/>
    <x v="1"/>
  </r>
  <r>
    <x v="1437"/>
    <x v="1"/>
    <x v="25"/>
    <x v="1420"/>
    <x v="580"/>
    <x v="1332"/>
    <x v="1"/>
    <x v="0"/>
    <x v="1420"/>
    <x v="0"/>
    <x v="0"/>
    <x v="0"/>
    <x v="0"/>
    <x v="0"/>
    <x v="2"/>
    <x v="1332"/>
    <x v="1320"/>
    <x v="1420"/>
    <x v="1"/>
    <x v="10"/>
    <x v="0"/>
    <x v="17"/>
    <x v="17"/>
    <x v="0"/>
    <x v="0"/>
    <x v="0"/>
    <x v="31"/>
    <x v="0"/>
    <x v="0"/>
    <x v="1"/>
    <x v="1"/>
  </r>
  <r>
    <x v="1436"/>
    <x v="1"/>
    <x v="25"/>
    <x v="1419"/>
    <x v="326"/>
    <x v="1302"/>
    <x v="1"/>
    <x v="0"/>
    <x v="1419"/>
    <x v="0"/>
    <x v="0"/>
    <x v="0"/>
    <x v="0"/>
    <x v="0"/>
    <x v="2"/>
    <x v="1302"/>
    <x v="1290"/>
    <x v="1419"/>
    <x v="1"/>
    <x v="10"/>
    <x v="0"/>
    <x v="17"/>
    <x v="17"/>
    <x v="0"/>
    <x v="0"/>
    <x v="0"/>
    <x v="26"/>
    <x v="0"/>
    <x v="0"/>
    <x v="1"/>
    <x v="1"/>
  </r>
  <r>
    <x v="1435"/>
    <x v="1"/>
    <x v="25"/>
    <x v="1418"/>
    <x v="325"/>
    <x v="1301"/>
    <x v="1"/>
    <x v="0"/>
    <x v="1418"/>
    <x v="0"/>
    <x v="0"/>
    <x v="0"/>
    <x v="0"/>
    <x v="0"/>
    <x v="2"/>
    <x v="1301"/>
    <x v="1289"/>
    <x v="1418"/>
    <x v="1"/>
    <x v="10"/>
    <x v="0"/>
    <x v="17"/>
    <x v="17"/>
    <x v="0"/>
    <x v="0"/>
    <x v="0"/>
    <x v="26"/>
    <x v="0"/>
    <x v="0"/>
    <x v="1"/>
    <x v="1"/>
  </r>
  <r>
    <x v="1434"/>
    <x v="1"/>
    <x v="25"/>
    <x v="1417"/>
    <x v="661"/>
    <x v="1342"/>
    <x v="1"/>
    <x v="0"/>
    <x v="1417"/>
    <x v="0"/>
    <x v="0"/>
    <x v="0"/>
    <x v="0"/>
    <x v="0"/>
    <x v="2"/>
    <x v="1342"/>
    <x v="1330"/>
    <x v="1417"/>
    <x v="1"/>
    <x v="10"/>
    <x v="0"/>
    <x v="17"/>
    <x v="17"/>
    <x v="0"/>
    <x v="0"/>
    <x v="0"/>
    <x v="31"/>
    <x v="0"/>
    <x v="0"/>
    <x v="1"/>
    <x v="1"/>
  </r>
  <r>
    <x v="1433"/>
    <x v="1"/>
    <x v="25"/>
    <x v="1416"/>
    <x v="660"/>
    <x v="1341"/>
    <x v="1"/>
    <x v="0"/>
    <x v="1416"/>
    <x v="0"/>
    <x v="0"/>
    <x v="0"/>
    <x v="0"/>
    <x v="0"/>
    <x v="2"/>
    <x v="1341"/>
    <x v="1329"/>
    <x v="1416"/>
    <x v="1"/>
    <x v="10"/>
    <x v="0"/>
    <x v="17"/>
    <x v="17"/>
    <x v="0"/>
    <x v="0"/>
    <x v="0"/>
    <x v="31"/>
    <x v="0"/>
    <x v="0"/>
    <x v="1"/>
    <x v="1"/>
  </r>
  <r>
    <x v="1432"/>
    <x v="1"/>
    <x v="25"/>
    <x v="1415"/>
    <x v="659"/>
    <x v="1340"/>
    <x v="1"/>
    <x v="0"/>
    <x v="1415"/>
    <x v="0"/>
    <x v="0"/>
    <x v="0"/>
    <x v="0"/>
    <x v="0"/>
    <x v="2"/>
    <x v="1340"/>
    <x v="1328"/>
    <x v="1415"/>
    <x v="1"/>
    <x v="10"/>
    <x v="0"/>
    <x v="17"/>
    <x v="17"/>
    <x v="0"/>
    <x v="0"/>
    <x v="0"/>
    <x v="31"/>
    <x v="0"/>
    <x v="0"/>
    <x v="1"/>
    <x v="1"/>
  </r>
  <r>
    <x v="1431"/>
    <x v="1"/>
    <x v="25"/>
    <x v="1414"/>
    <x v="474"/>
    <x v="1320"/>
    <x v="1"/>
    <x v="0"/>
    <x v="1414"/>
    <x v="0"/>
    <x v="0"/>
    <x v="0"/>
    <x v="0"/>
    <x v="0"/>
    <x v="2"/>
    <x v="1320"/>
    <x v="1308"/>
    <x v="1414"/>
    <x v="1"/>
    <x v="10"/>
    <x v="0"/>
    <x v="17"/>
    <x v="17"/>
    <x v="0"/>
    <x v="0"/>
    <x v="0"/>
    <x v="31"/>
    <x v="0"/>
    <x v="0"/>
    <x v="1"/>
    <x v="1"/>
  </r>
  <r>
    <x v="1430"/>
    <x v="1"/>
    <x v="25"/>
    <x v="1413"/>
    <x v="923"/>
    <x v="1425"/>
    <x v="1"/>
    <x v="0"/>
    <x v="1413"/>
    <x v="0"/>
    <x v="0"/>
    <x v="0"/>
    <x v="0"/>
    <x v="0"/>
    <x v="2"/>
    <x v="1425"/>
    <x v="1413"/>
    <x v="1413"/>
    <x v="1"/>
    <x v="10"/>
    <x v="0"/>
    <x v="17"/>
    <x v="17"/>
    <x v="0"/>
    <x v="0"/>
    <x v="0"/>
    <x v="31"/>
    <x v="0"/>
    <x v="0"/>
    <x v="1"/>
    <x v="1"/>
  </r>
  <r>
    <x v="1429"/>
    <x v="1"/>
    <x v="25"/>
    <x v="1412"/>
    <x v="870"/>
    <x v="1399"/>
    <x v="1"/>
    <x v="0"/>
    <x v="1412"/>
    <x v="0"/>
    <x v="0"/>
    <x v="0"/>
    <x v="0"/>
    <x v="0"/>
    <x v="2"/>
    <x v="1399"/>
    <x v="1387"/>
    <x v="1412"/>
    <x v="1"/>
    <x v="10"/>
    <x v="0"/>
    <x v="17"/>
    <x v="17"/>
    <x v="0"/>
    <x v="0"/>
    <x v="0"/>
    <x v="31"/>
    <x v="0"/>
    <x v="0"/>
    <x v="1"/>
    <x v="1"/>
  </r>
  <r>
    <x v="1428"/>
    <x v="1"/>
    <x v="25"/>
    <x v="1411"/>
    <x v="869"/>
    <x v="1398"/>
    <x v="1"/>
    <x v="0"/>
    <x v="1411"/>
    <x v="0"/>
    <x v="0"/>
    <x v="0"/>
    <x v="0"/>
    <x v="0"/>
    <x v="2"/>
    <x v="1398"/>
    <x v="1386"/>
    <x v="1411"/>
    <x v="1"/>
    <x v="10"/>
    <x v="0"/>
    <x v="17"/>
    <x v="17"/>
    <x v="0"/>
    <x v="0"/>
    <x v="0"/>
    <x v="31"/>
    <x v="0"/>
    <x v="0"/>
    <x v="1"/>
    <x v="1"/>
  </r>
  <r>
    <x v="1427"/>
    <x v="1"/>
    <x v="25"/>
    <x v="1410"/>
    <x v="868"/>
    <x v="1397"/>
    <x v="1"/>
    <x v="0"/>
    <x v="1410"/>
    <x v="0"/>
    <x v="0"/>
    <x v="0"/>
    <x v="0"/>
    <x v="0"/>
    <x v="2"/>
    <x v="1397"/>
    <x v="1385"/>
    <x v="1410"/>
    <x v="1"/>
    <x v="10"/>
    <x v="0"/>
    <x v="17"/>
    <x v="17"/>
    <x v="0"/>
    <x v="0"/>
    <x v="0"/>
    <x v="31"/>
    <x v="0"/>
    <x v="0"/>
    <x v="1"/>
    <x v="1"/>
  </r>
  <r>
    <x v="1426"/>
    <x v="1"/>
    <x v="25"/>
    <x v="1409"/>
    <x v="874"/>
    <x v="1403"/>
    <x v="1"/>
    <x v="0"/>
    <x v="1409"/>
    <x v="0"/>
    <x v="0"/>
    <x v="0"/>
    <x v="0"/>
    <x v="0"/>
    <x v="2"/>
    <x v="1403"/>
    <x v="1391"/>
    <x v="1409"/>
    <x v="1"/>
    <x v="10"/>
    <x v="0"/>
    <x v="17"/>
    <x v="17"/>
    <x v="0"/>
    <x v="0"/>
    <x v="0"/>
    <x v="31"/>
    <x v="0"/>
    <x v="0"/>
    <x v="1"/>
    <x v="1"/>
  </r>
  <r>
    <x v="1425"/>
    <x v="1"/>
    <x v="25"/>
    <x v="1408"/>
    <x v="873"/>
    <x v="1400"/>
    <x v="1"/>
    <x v="0"/>
    <x v="1408"/>
    <x v="0"/>
    <x v="0"/>
    <x v="0"/>
    <x v="0"/>
    <x v="0"/>
    <x v="2"/>
    <x v="1400"/>
    <x v="1388"/>
    <x v="1408"/>
    <x v="1"/>
    <x v="10"/>
    <x v="0"/>
    <x v="17"/>
    <x v="17"/>
    <x v="0"/>
    <x v="0"/>
    <x v="0"/>
    <x v="31"/>
    <x v="0"/>
    <x v="0"/>
    <x v="1"/>
    <x v="1"/>
  </r>
  <r>
    <x v="1424"/>
    <x v="1"/>
    <x v="25"/>
    <x v="1407"/>
    <x v="732"/>
    <x v="1353"/>
    <x v="1"/>
    <x v="0"/>
    <x v="1407"/>
    <x v="0"/>
    <x v="0"/>
    <x v="0"/>
    <x v="0"/>
    <x v="0"/>
    <x v="2"/>
    <x v="1353"/>
    <x v="1341"/>
    <x v="1407"/>
    <x v="1"/>
    <x v="10"/>
    <x v="0"/>
    <x v="17"/>
    <x v="17"/>
    <x v="0"/>
    <x v="0"/>
    <x v="0"/>
    <x v="31"/>
    <x v="0"/>
    <x v="0"/>
    <x v="1"/>
    <x v="1"/>
  </r>
  <r>
    <x v="1423"/>
    <x v="1"/>
    <x v="25"/>
    <x v="1406"/>
    <x v="709"/>
    <x v="1350"/>
    <x v="1"/>
    <x v="0"/>
    <x v="1406"/>
    <x v="0"/>
    <x v="0"/>
    <x v="0"/>
    <x v="0"/>
    <x v="0"/>
    <x v="2"/>
    <x v="1350"/>
    <x v="1338"/>
    <x v="1406"/>
    <x v="1"/>
    <x v="10"/>
    <x v="0"/>
    <x v="17"/>
    <x v="17"/>
    <x v="0"/>
    <x v="0"/>
    <x v="0"/>
    <x v="31"/>
    <x v="0"/>
    <x v="0"/>
    <x v="1"/>
    <x v="1"/>
  </r>
  <r>
    <x v="1422"/>
    <x v="1"/>
    <x v="25"/>
    <x v="1405"/>
    <x v="768"/>
    <x v="1359"/>
    <x v="1"/>
    <x v="0"/>
    <x v="1405"/>
    <x v="0"/>
    <x v="0"/>
    <x v="0"/>
    <x v="0"/>
    <x v="0"/>
    <x v="2"/>
    <x v="1359"/>
    <x v="1347"/>
    <x v="1405"/>
    <x v="1"/>
    <x v="10"/>
    <x v="0"/>
    <x v="17"/>
    <x v="17"/>
    <x v="0"/>
    <x v="0"/>
    <x v="0"/>
    <x v="31"/>
    <x v="0"/>
    <x v="0"/>
    <x v="1"/>
    <x v="1"/>
  </r>
  <r>
    <x v="1421"/>
    <x v="1"/>
    <x v="25"/>
    <x v="1404"/>
    <x v="462"/>
    <x v="1317"/>
    <x v="1"/>
    <x v="0"/>
    <x v="1404"/>
    <x v="0"/>
    <x v="0"/>
    <x v="0"/>
    <x v="0"/>
    <x v="0"/>
    <x v="2"/>
    <x v="1317"/>
    <x v="1305"/>
    <x v="1404"/>
    <x v="1"/>
    <x v="10"/>
    <x v="0"/>
    <x v="17"/>
    <x v="17"/>
    <x v="0"/>
    <x v="0"/>
    <x v="0"/>
    <x v="31"/>
    <x v="0"/>
    <x v="0"/>
    <x v="1"/>
    <x v="1"/>
  </r>
  <r>
    <x v="1420"/>
    <x v="1"/>
    <x v="25"/>
    <x v="1403"/>
    <x v="940"/>
    <x v="1431"/>
    <x v="1"/>
    <x v="0"/>
    <x v="1403"/>
    <x v="0"/>
    <x v="0"/>
    <x v="0"/>
    <x v="0"/>
    <x v="0"/>
    <x v="2"/>
    <x v="1431"/>
    <x v="1419"/>
    <x v="1403"/>
    <x v="1"/>
    <x v="10"/>
    <x v="0"/>
    <x v="17"/>
    <x v="17"/>
    <x v="0"/>
    <x v="0"/>
    <x v="0"/>
    <x v="31"/>
    <x v="0"/>
    <x v="0"/>
    <x v="1"/>
    <x v="1"/>
  </r>
  <r>
    <x v="1419"/>
    <x v="1"/>
    <x v="25"/>
    <x v="1402"/>
    <x v="941"/>
    <x v="1431"/>
    <x v="1"/>
    <x v="0"/>
    <x v="1402"/>
    <x v="0"/>
    <x v="0"/>
    <x v="0"/>
    <x v="0"/>
    <x v="0"/>
    <x v="2"/>
    <x v="1431"/>
    <x v="1419"/>
    <x v="1402"/>
    <x v="1"/>
    <x v="10"/>
    <x v="0"/>
    <x v="17"/>
    <x v="17"/>
    <x v="0"/>
    <x v="0"/>
    <x v="0"/>
    <x v="31"/>
    <x v="0"/>
    <x v="0"/>
    <x v="1"/>
    <x v="1"/>
  </r>
  <r>
    <x v="1418"/>
    <x v="1"/>
    <x v="25"/>
    <x v="1401"/>
    <x v="906"/>
    <x v="1412"/>
    <x v="1"/>
    <x v="0"/>
    <x v="1401"/>
    <x v="0"/>
    <x v="0"/>
    <x v="0"/>
    <x v="0"/>
    <x v="0"/>
    <x v="2"/>
    <x v="1412"/>
    <x v="1400"/>
    <x v="1401"/>
    <x v="1"/>
    <x v="10"/>
    <x v="0"/>
    <x v="17"/>
    <x v="17"/>
    <x v="0"/>
    <x v="0"/>
    <x v="0"/>
    <x v="31"/>
    <x v="0"/>
    <x v="0"/>
    <x v="1"/>
    <x v="1"/>
  </r>
  <r>
    <x v="1417"/>
    <x v="1"/>
    <x v="25"/>
    <x v="1400"/>
    <x v="917"/>
    <x v="1421"/>
    <x v="1"/>
    <x v="0"/>
    <x v="1400"/>
    <x v="0"/>
    <x v="0"/>
    <x v="0"/>
    <x v="0"/>
    <x v="0"/>
    <x v="2"/>
    <x v="1421"/>
    <x v="1409"/>
    <x v="1400"/>
    <x v="1"/>
    <x v="10"/>
    <x v="0"/>
    <x v="17"/>
    <x v="17"/>
    <x v="0"/>
    <x v="0"/>
    <x v="0"/>
    <x v="31"/>
    <x v="0"/>
    <x v="0"/>
    <x v="1"/>
    <x v="1"/>
  </r>
  <r>
    <x v="1416"/>
    <x v="1"/>
    <x v="25"/>
    <x v="1399"/>
    <x v="936"/>
    <x v="1429"/>
    <x v="1"/>
    <x v="0"/>
    <x v="1399"/>
    <x v="0"/>
    <x v="0"/>
    <x v="0"/>
    <x v="0"/>
    <x v="0"/>
    <x v="2"/>
    <x v="1429"/>
    <x v="1417"/>
    <x v="1399"/>
    <x v="1"/>
    <x v="10"/>
    <x v="0"/>
    <x v="17"/>
    <x v="17"/>
    <x v="0"/>
    <x v="0"/>
    <x v="0"/>
    <x v="31"/>
    <x v="0"/>
    <x v="0"/>
    <x v="1"/>
    <x v="1"/>
  </r>
  <r>
    <x v="1415"/>
    <x v="1"/>
    <x v="25"/>
    <x v="1398"/>
    <x v="911"/>
    <x v="1415"/>
    <x v="1"/>
    <x v="0"/>
    <x v="1398"/>
    <x v="0"/>
    <x v="0"/>
    <x v="0"/>
    <x v="0"/>
    <x v="0"/>
    <x v="2"/>
    <x v="1415"/>
    <x v="1403"/>
    <x v="1398"/>
    <x v="1"/>
    <x v="10"/>
    <x v="0"/>
    <x v="17"/>
    <x v="17"/>
    <x v="0"/>
    <x v="0"/>
    <x v="0"/>
    <x v="31"/>
    <x v="0"/>
    <x v="0"/>
    <x v="1"/>
    <x v="1"/>
  </r>
  <r>
    <x v="1414"/>
    <x v="1"/>
    <x v="25"/>
    <x v="1397"/>
    <x v="921"/>
    <x v="1423"/>
    <x v="1"/>
    <x v="0"/>
    <x v="1397"/>
    <x v="0"/>
    <x v="0"/>
    <x v="0"/>
    <x v="0"/>
    <x v="0"/>
    <x v="2"/>
    <x v="1423"/>
    <x v="1411"/>
    <x v="1397"/>
    <x v="1"/>
    <x v="10"/>
    <x v="0"/>
    <x v="17"/>
    <x v="17"/>
    <x v="0"/>
    <x v="0"/>
    <x v="0"/>
    <x v="31"/>
    <x v="0"/>
    <x v="0"/>
    <x v="1"/>
    <x v="1"/>
  </r>
  <r>
    <x v="1413"/>
    <x v="1"/>
    <x v="25"/>
    <x v="1396"/>
    <x v="907"/>
    <x v="1411"/>
    <x v="1"/>
    <x v="0"/>
    <x v="1396"/>
    <x v="0"/>
    <x v="0"/>
    <x v="0"/>
    <x v="0"/>
    <x v="0"/>
    <x v="2"/>
    <x v="1411"/>
    <x v="1399"/>
    <x v="1396"/>
    <x v="1"/>
    <x v="10"/>
    <x v="0"/>
    <x v="17"/>
    <x v="17"/>
    <x v="0"/>
    <x v="0"/>
    <x v="0"/>
    <x v="31"/>
    <x v="0"/>
    <x v="0"/>
    <x v="1"/>
    <x v="1"/>
  </r>
  <r>
    <x v="1412"/>
    <x v="1"/>
    <x v="25"/>
    <x v="1395"/>
    <x v="851"/>
    <x v="1383"/>
    <x v="1"/>
    <x v="0"/>
    <x v="1395"/>
    <x v="0"/>
    <x v="0"/>
    <x v="0"/>
    <x v="0"/>
    <x v="0"/>
    <x v="2"/>
    <x v="1383"/>
    <x v="1371"/>
    <x v="1395"/>
    <x v="1"/>
    <x v="10"/>
    <x v="0"/>
    <x v="17"/>
    <x v="17"/>
    <x v="0"/>
    <x v="0"/>
    <x v="0"/>
    <x v="31"/>
    <x v="0"/>
    <x v="0"/>
    <x v="1"/>
    <x v="1"/>
  </r>
  <r>
    <x v="1411"/>
    <x v="1"/>
    <x v="25"/>
    <x v="1394"/>
    <x v="827"/>
    <x v="1371"/>
    <x v="1"/>
    <x v="0"/>
    <x v="1394"/>
    <x v="0"/>
    <x v="0"/>
    <x v="0"/>
    <x v="0"/>
    <x v="0"/>
    <x v="2"/>
    <x v="1371"/>
    <x v="1359"/>
    <x v="1394"/>
    <x v="1"/>
    <x v="10"/>
    <x v="0"/>
    <x v="17"/>
    <x v="17"/>
    <x v="0"/>
    <x v="0"/>
    <x v="0"/>
    <x v="31"/>
    <x v="0"/>
    <x v="0"/>
    <x v="1"/>
    <x v="1"/>
  </r>
  <r>
    <x v="1410"/>
    <x v="1"/>
    <x v="25"/>
    <x v="1393"/>
    <x v="846"/>
    <x v="1381"/>
    <x v="1"/>
    <x v="0"/>
    <x v="1393"/>
    <x v="0"/>
    <x v="0"/>
    <x v="0"/>
    <x v="0"/>
    <x v="0"/>
    <x v="2"/>
    <x v="1381"/>
    <x v="1369"/>
    <x v="1393"/>
    <x v="1"/>
    <x v="10"/>
    <x v="0"/>
    <x v="17"/>
    <x v="17"/>
    <x v="0"/>
    <x v="0"/>
    <x v="0"/>
    <x v="31"/>
    <x v="0"/>
    <x v="0"/>
    <x v="1"/>
    <x v="1"/>
  </r>
  <r>
    <x v="1409"/>
    <x v="1"/>
    <x v="25"/>
    <x v="1392"/>
    <x v="860"/>
    <x v="1386"/>
    <x v="1"/>
    <x v="0"/>
    <x v="1392"/>
    <x v="0"/>
    <x v="0"/>
    <x v="0"/>
    <x v="0"/>
    <x v="0"/>
    <x v="2"/>
    <x v="1386"/>
    <x v="1374"/>
    <x v="1392"/>
    <x v="1"/>
    <x v="10"/>
    <x v="0"/>
    <x v="17"/>
    <x v="17"/>
    <x v="0"/>
    <x v="0"/>
    <x v="0"/>
    <x v="31"/>
    <x v="0"/>
    <x v="0"/>
    <x v="1"/>
    <x v="1"/>
  </r>
  <r>
    <x v="1408"/>
    <x v="1"/>
    <x v="25"/>
    <x v="1391"/>
    <x v="178"/>
    <x v="1271"/>
    <x v="1"/>
    <x v="0"/>
    <x v="1391"/>
    <x v="0"/>
    <x v="0"/>
    <x v="0"/>
    <x v="0"/>
    <x v="0"/>
    <x v="2"/>
    <x v="1271"/>
    <x v="1259"/>
    <x v="1391"/>
    <x v="1"/>
    <x v="10"/>
    <x v="0"/>
    <x v="17"/>
    <x v="17"/>
    <x v="0"/>
    <x v="0"/>
    <x v="0"/>
    <x v="31"/>
    <x v="0"/>
    <x v="0"/>
    <x v="1"/>
    <x v="1"/>
  </r>
  <r>
    <x v="1407"/>
    <x v="1"/>
    <x v="25"/>
    <x v="1390"/>
    <x v="190"/>
    <x v="1273"/>
    <x v="1"/>
    <x v="0"/>
    <x v="1390"/>
    <x v="0"/>
    <x v="0"/>
    <x v="0"/>
    <x v="0"/>
    <x v="0"/>
    <x v="2"/>
    <x v="1273"/>
    <x v="1261"/>
    <x v="1390"/>
    <x v="1"/>
    <x v="10"/>
    <x v="0"/>
    <x v="17"/>
    <x v="17"/>
    <x v="0"/>
    <x v="0"/>
    <x v="0"/>
    <x v="31"/>
    <x v="0"/>
    <x v="0"/>
    <x v="1"/>
    <x v="1"/>
  </r>
  <r>
    <x v="1406"/>
    <x v="1"/>
    <x v="25"/>
    <x v="1389"/>
    <x v="189"/>
    <x v="1272"/>
    <x v="1"/>
    <x v="0"/>
    <x v="1389"/>
    <x v="0"/>
    <x v="0"/>
    <x v="0"/>
    <x v="0"/>
    <x v="0"/>
    <x v="2"/>
    <x v="1272"/>
    <x v="1260"/>
    <x v="1389"/>
    <x v="1"/>
    <x v="10"/>
    <x v="0"/>
    <x v="17"/>
    <x v="17"/>
    <x v="0"/>
    <x v="0"/>
    <x v="0"/>
    <x v="31"/>
    <x v="0"/>
    <x v="0"/>
    <x v="1"/>
    <x v="1"/>
  </r>
  <r>
    <x v="1405"/>
    <x v="1"/>
    <x v="25"/>
    <x v="1388"/>
    <x v="282"/>
    <x v="1292"/>
    <x v="1"/>
    <x v="0"/>
    <x v="1388"/>
    <x v="0"/>
    <x v="0"/>
    <x v="0"/>
    <x v="0"/>
    <x v="0"/>
    <x v="2"/>
    <x v="1292"/>
    <x v="1280"/>
    <x v="1388"/>
    <x v="1"/>
    <x v="10"/>
    <x v="0"/>
    <x v="17"/>
    <x v="17"/>
    <x v="0"/>
    <x v="0"/>
    <x v="0"/>
    <x v="31"/>
    <x v="0"/>
    <x v="0"/>
    <x v="1"/>
    <x v="1"/>
  </r>
  <r>
    <x v="1404"/>
    <x v="1"/>
    <x v="25"/>
    <x v="1387"/>
    <x v="276"/>
    <x v="1291"/>
    <x v="1"/>
    <x v="0"/>
    <x v="1387"/>
    <x v="0"/>
    <x v="0"/>
    <x v="0"/>
    <x v="0"/>
    <x v="0"/>
    <x v="2"/>
    <x v="1291"/>
    <x v="1279"/>
    <x v="1387"/>
    <x v="1"/>
    <x v="10"/>
    <x v="0"/>
    <x v="17"/>
    <x v="17"/>
    <x v="0"/>
    <x v="0"/>
    <x v="0"/>
    <x v="31"/>
    <x v="0"/>
    <x v="0"/>
    <x v="1"/>
    <x v="1"/>
  </r>
  <r>
    <x v="1403"/>
    <x v="1"/>
    <x v="25"/>
    <x v="1386"/>
    <x v="251"/>
    <x v="1287"/>
    <x v="1"/>
    <x v="0"/>
    <x v="1386"/>
    <x v="0"/>
    <x v="0"/>
    <x v="0"/>
    <x v="0"/>
    <x v="0"/>
    <x v="2"/>
    <x v="1287"/>
    <x v="1275"/>
    <x v="1386"/>
    <x v="1"/>
    <x v="10"/>
    <x v="0"/>
    <x v="17"/>
    <x v="17"/>
    <x v="0"/>
    <x v="0"/>
    <x v="0"/>
    <x v="31"/>
    <x v="0"/>
    <x v="0"/>
    <x v="1"/>
    <x v="1"/>
  </r>
  <r>
    <x v="1402"/>
    <x v="1"/>
    <x v="25"/>
    <x v="1385"/>
    <x v="740"/>
    <x v="1355"/>
    <x v="1"/>
    <x v="0"/>
    <x v="1385"/>
    <x v="0"/>
    <x v="0"/>
    <x v="0"/>
    <x v="0"/>
    <x v="0"/>
    <x v="2"/>
    <x v="1355"/>
    <x v="1343"/>
    <x v="1385"/>
    <x v="1"/>
    <x v="10"/>
    <x v="0"/>
    <x v="17"/>
    <x v="17"/>
    <x v="0"/>
    <x v="0"/>
    <x v="0"/>
    <x v="31"/>
    <x v="0"/>
    <x v="0"/>
    <x v="1"/>
    <x v="1"/>
  </r>
  <r>
    <x v="1401"/>
    <x v="1"/>
    <x v="25"/>
    <x v="1384"/>
    <x v="544"/>
    <x v="1324"/>
    <x v="1"/>
    <x v="0"/>
    <x v="1384"/>
    <x v="0"/>
    <x v="0"/>
    <x v="0"/>
    <x v="0"/>
    <x v="0"/>
    <x v="2"/>
    <x v="1324"/>
    <x v="1312"/>
    <x v="1384"/>
    <x v="1"/>
    <x v="10"/>
    <x v="0"/>
    <x v="17"/>
    <x v="17"/>
    <x v="0"/>
    <x v="0"/>
    <x v="0"/>
    <x v="31"/>
    <x v="0"/>
    <x v="0"/>
    <x v="1"/>
    <x v="1"/>
  </r>
  <r>
    <x v="1400"/>
    <x v="1"/>
    <x v="25"/>
    <x v="1383"/>
    <x v="320"/>
    <x v="1300"/>
    <x v="1"/>
    <x v="0"/>
    <x v="1383"/>
    <x v="0"/>
    <x v="0"/>
    <x v="0"/>
    <x v="0"/>
    <x v="0"/>
    <x v="2"/>
    <x v="1300"/>
    <x v="1288"/>
    <x v="1383"/>
    <x v="1"/>
    <x v="10"/>
    <x v="0"/>
    <x v="17"/>
    <x v="17"/>
    <x v="0"/>
    <x v="0"/>
    <x v="0"/>
    <x v="31"/>
    <x v="0"/>
    <x v="0"/>
    <x v="1"/>
    <x v="1"/>
  </r>
  <r>
    <x v="1399"/>
    <x v="1"/>
    <x v="25"/>
    <x v="1382"/>
    <x v="310"/>
    <x v="1296"/>
    <x v="1"/>
    <x v="0"/>
    <x v="1382"/>
    <x v="0"/>
    <x v="0"/>
    <x v="0"/>
    <x v="0"/>
    <x v="0"/>
    <x v="2"/>
    <x v="1296"/>
    <x v="1284"/>
    <x v="1382"/>
    <x v="1"/>
    <x v="10"/>
    <x v="0"/>
    <x v="17"/>
    <x v="17"/>
    <x v="0"/>
    <x v="0"/>
    <x v="0"/>
    <x v="31"/>
    <x v="0"/>
    <x v="0"/>
    <x v="1"/>
    <x v="1"/>
  </r>
  <r>
    <x v="1398"/>
    <x v="1"/>
    <x v="25"/>
    <x v="1381"/>
    <x v="476"/>
    <x v="1321"/>
    <x v="1"/>
    <x v="0"/>
    <x v="1381"/>
    <x v="0"/>
    <x v="0"/>
    <x v="0"/>
    <x v="0"/>
    <x v="0"/>
    <x v="2"/>
    <x v="1321"/>
    <x v="1309"/>
    <x v="1381"/>
    <x v="1"/>
    <x v="10"/>
    <x v="0"/>
    <x v="17"/>
    <x v="17"/>
    <x v="0"/>
    <x v="0"/>
    <x v="0"/>
    <x v="31"/>
    <x v="0"/>
    <x v="0"/>
    <x v="1"/>
    <x v="1"/>
  </r>
  <r>
    <x v="1397"/>
    <x v="1"/>
    <x v="25"/>
    <x v="1380"/>
    <x v="933"/>
    <x v="1426"/>
    <x v="1"/>
    <x v="0"/>
    <x v="1380"/>
    <x v="0"/>
    <x v="0"/>
    <x v="0"/>
    <x v="0"/>
    <x v="0"/>
    <x v="2"/>
    <x v="1426"/>
    <x v="1414"/>
    <x v="1380"/>
    <x v="1"/>
    <x v="10"/>
    <x v="0"/>
    <x v="17"/>
    <x v="17"/>
    <x v="0"/>
    <x v="0"/>
    <x v="0"/>
    <x v="31"/>
    <x v="0"/>
    <x v="0"/>
    <x v="1"/>
    <x v="1"/>
  </r>
  <r>
    <x v="1396"/>
    <x v="1"/>
    <x v="25"/>
    <x v="1379"/>
    <x v="833"/>
    <x v="1373"/>
    <x v="1"/>
    <x v="0"/>
    <x v="1379"/>
    <x v="0"/>
    <x v="0"/>
    <x v="0"/>
    <x v="0"/>
    <x v="0"/>
    <x v="2"/>
    <x v="1373"/>
    <x v="1361"/>
    <x v="1379"/>
    <x v="1"/>
    <x v="10"/>
    <x v="0"/>
    <x v="17"/>
    <x v="17"/>
    <x v="0"/>
    <x v="0"/>
    <x v="0"/>
    <x v="31"/>
    <x v="0"/>
    <x v="0"/>
    <x v="1"/>
    <x v="1"/>
  </r>
  <r>
    <x v="1395"/>
    <x v="1"/>
    <x v="25"/>
    <x v="1378"/>
    <x v="859"/>
    <x v="1385"/>
    <x v="1"/>
    <x v="0"/>
    <x v="1378"/>
    <x v="0"/>
    <x v="0"/>
    <x v="0"/>
    <x v="0"/>
    <x v="0"/>
    <x v="2"/>
    <x v="1385"/>
    <x v="1373"/>
    <x v="1378"/>
    <x v="1"/>
    <x v="10"/>
    <x v="0"/>
    <x v="17"/>
    <x v="17"/>
    <x v="0"/>
    <x v="0"/>
    <x v="0"/>
    <x v="31"/>
    <x v="0"/>
    <x v="0"/>
    <x v="1"/>
    <x v="1"/>
  </r>
  <r>
    <x v="1394"/>
    <x v="1"/>
    <x v="25"/>
    <x v="1377"/>
    <x v="701"/>
    <x v="1348"/>
    <x v="1"/>
    <x v="0"/>
    <x v="1377"/>
    <x v="0"/>
    <x v="0"/>
    <x v="0"/>
    <x v="0"/>
    <x v="0"/>
    <x v="2"/>
    <x v="1348"/>
    <x v="1336"/>
    <x v="1377"/>
    <x v="1"/>
    <x v="10"/>
    <x v="0"/>
    <x v="17"/>
    <x v="17"/>
    <x v="0"/>
    <x v="0"/>
    <x v="0"/>
    <x v="31"/>
    <x v="0"/>
    <x v="0"/>
    <x v="1"/>
    <x v="1"/>
  </r>
  <r>
    <x v="1393"/>
    <x v="1"/>
    <x v="25"/>
    <x v="1376"/>
    <x v="700"/>
    <x v="1347"/>
    <x v="1"/>
    <x v="0"/>
    <x v="1376"/>
    <x v="0"/>
    <x v="0"/>
    <x v="0"/>
    <x v="0"/>
    <x v="0"/>
    <x v="2"/>
    <x v="1347"/>
    <x v="1335"/>
    <x v="1376"/>
    <x v="1"/>
    <x v="10"/>
    <x v="0"/>
    <x v="17"/>
    <x v="17"/>
    <x v="0"/>
    <x v="0"/>
    <x v="0"/>
    <x v="31"/>
    <x v="0"/>
    <x v="0"/>
    <x v="1"/>
    <x v="1"/>
  </r>
  <r>
    <x v="1392"/>
    <x v="1"/>
    <x v="25"/>
    <x v="1375"/>
    <x v="142"/>
    <x v="1269"/>
    <x v="1"/>
    <x v="0"/>
    <x v="1375"/>
    <x v="0"/>
    <x v="0"/>
    <x v="0"/>
    <x v="0"/>
    <x v="0"/>
    <x v="2"/>
    <x v="1269"/>
    <x v="1257"/>
    <x v="1375"/>
    <x v="1"/>
    <x v="10"/>
    <x v="0"/>
    <x v="17"/>
    <x v="17"/>
    <x v="0"/>
    <x v="0"/>
    <x v="0"/>
    <x v="31"/>
    <x v="0"/>
    <x v="0"/>
    <x v="1"/>
    <x v="1"/>
  </r>
  <r>
    <x v="1391"/>
    <x v="1"/>
    <x v="25"/>
    <x v="1374"/>
    <x v="464"/>
    <x v="1318"/>
    <x v="1"/>
    <x v="0"/>
    <x v="1374"/>
    <x v="0"/>
    <x v="0"/>
    <x v="0"/>
    <x v="0"/>
    <x v="0"/>
    <x v="2"/>
    <x v="1318"/>
    <x v="1306"/>
    <x v="1374"/>
    <x v="1"/>
    <x v="10"/>
    <x v="0"/>
    <x v="17"/>
    <x v="17"/>
    <x v="0"/>
    <x v="0"/>
    <x v="0"/>
    <x v="31"/>
    <x v="0"/>
    <x v="0"/>
    <x v="1"/>
    <x v="1"/>
  </r>
  <r>
    <x v="1390"/>
    <x v="1"/>
    <x v="25"/>
    <x v="1373"/>
    <x v="908"/>
    <x v="1413"/>
    <x v="1"/>
    <x v="0"/>
    <x v="1373"/>
    <x v="0"/>
    <x v="0"/>
    <x v="0"/>
    <x v="0"/>
    <x v="0"/>
    <x v="2"/>
    <x v="1413"/>
    <x v="1401"/>
    <x v="1373"/>
    <x v="1"/>
    <x v="10"/>
    <x v="0"/>
    <x v="17"/>
    <x v="17"/>
    <x v="0"/>
    <x v="0"/>
    <x v="0"/>
    <x v="31"/>
    <x v="0"/>
    <x v="0"/>
    <x v="1"/>
    <x v="1"/>
  </r>
  <r>
    <x v="1389"/>
    <x v="1"/>
    <x v="25"/>
    <x v="1372"/>
    <x v="943"/>
    <x v="1433"/>
    <x v="1"/>
    <x v="0"/>
    <x v="1372"/>
    <x v="0"/>
    <x v="0"/>
    <x v="0"/>
    <x v="0"/>
    <x v="0"/>
    <x v="2"/>
    <x v="1433"/>
    <x v="1421"/>
    <x v="1372"/>
    <x v="1"/>
    <x v="10"/>
    <x v="0"/>
    <x v="17"/>
    <x v="17"/>
    <x v="0"/>
    <x v="0"/>
    <x v="0"/>
    <x v="31"/>
    <x v="0"/>
    <x v="0"/>
    <x v="1"/>
    <x v="1"/>
  </r>
  <r>
    <x v="1388"/>
    <x v="1"/>
    <x v="25"/>
    <x v="1371"/>
    <x v="904"/>
    <x v="1406"/>
    <x v="1"/>
    <x v="0"/>
    <x v="1371"/>
    <x v="0"/>
    <x v="0"/>
    <x v="0"/>
    <x v="0"/>
    <x v="0"/>
    <x v="2"/>
    <x v="1406"/>
    <x v="1394"/>
    <x v="1371"/>
    <x v="1"/>
    <x v="10"/>
    <x v="0"/>
    <x v="17"/>
    <x v="17"/>
    <x v="0"/>
    <x v="0"/>
    <x v="0"/>
    <x v="31"/>
    <x v="0"/>
    <x v="0"/>
    <x v="1"/>
    <x v="1"/>
  </r>
  <r>
    <x v="1387"/>
    <x v="1"/>
    <x v="25"/>
    <x v="1370"/>
    <x v="905"/>
    <x v="1410"/>
    <x v="1"/>
    <x v="0"/>
    <x v="1370"/>
    <x v="0"/>
    <x v="0"/>
    <x v="0"/>
    <x v="0"/>
    <x v="0"/>
    <x v="2"/>
    <x v="1410"/>
    <x v="1398"/>
    <x v="1370"/>
    <x v="1"/>
    <x v="10"/>
    <x v="0"/>
    <x v="17"/>
    <x v="17"/>
    <x v="0"/>
    <x v="0"/>
    <x v="0"/>
    <x v="31"/>
    <x v="0"/>
    <x v="0"/>
    <x v="1"/>
    <x v="1"/>
  </r>
  <r>
    <x v="1386"/>
    <x v="1"/>
    <x v="25"/>
    <x v="1369"/>
    <x v="916"/>
    <x v="1418"/>
    <x v="1"/>
    <x v="0"/>
    <x v="1369"/>
    <x v="0"/>
    <x v="0"/>
    <x v="0"/>
    <x v="0"/>
    <x v="0"/>
    <x v="2"/>
    <x v="1418"/>
    <x v="1406"/>
    <x v="1369"/>
    <x v="1"/>
    <x v="10"/>
    <x v="0"/>
    <x v="17"/>
    <x v="17"/>
    <x v="0"/>
    <x v="0"/>
    <x v="0"/>
    <x v="31"/>
    <x v="0"/>
    <x v="0"/>
    <x v="1"/>
    <x v="1"/>
  </r>
  <r>
    <x v="1385"/>
    <x v="1"/>
    <x v="25"/>
    <x v="1368"/>
    <x v="820"/>
    <x v="1368"/>
    <x v="1"/>
    <x v="0"/>
    <x v="1368"/>
    <x v="0"/>
    <x v="0"/>
    <x v="0"/>
    <x v="0"/>
    <x v="0"/>
    <x v="2"/>
    <x v="1368"/>
    <x v="1356"/>
    <x v="1368"/>
    <x v="1"/>
    <x v="10"/>
    <x v="0"/>
    <x v="17"/>
    <x v="17"/>
    <x v="0"/>
    <x v="0"/>
    <x v="0"/>
    <x v="31"/>
    <x v="0"/>
    <x v="0"/>
    <x v="1"/>
    <x v="1"/>
  </r>
  <r>
    <x v="1384"/>
    <x v="1"/>
    <x v="25"/>
    <x v="1367"/>
    <x v="867"/>
    <x v="1396"/>
    <x v="1"/>
    <x v="0"/>
    <x v="1367"/>
    <x v="0"/>
    <x v="0"/>
    <x v="0"/>
    <x v="0"/>
    <x v="0"/>
    <x v="2"/>
    <x v="1396"/>
    <x v="1384"/>
    <x v="1367"/>
    <x v="1"/>
    <x v="10"/>
    <x v="0"/>
    <x v="17"/>
    <x v="17"/>
    <x v="0"/>
    <x v="0"/>
    <x v="0"/>
    <x v="31"/>
    <x v="0"/>
    <x v="0"/>
    <x v="1"/>
    <x v="1"/>
  </r>
  <r>
    <x v="1383"/>
    <x v="1"/>
    <x v="25"/>
    <x v="1366"/>
    <x v="865"/>
    <x v="1394"/>
    <x v="1"/>
    <x v="0"/>
    <x v="1366"/>
    <x v="0"/>
    <x v="0"/>
    <x v="0"/>
    <x v="0"/>
    <x v="0"/>
    <x v="2"/>
    <x v="1394"/>
    <x v="1382"/>
    <x v="1366"/>
    <x v="1"/>
    <x v="10"/>
    <x v="0"/>
    <x v="17"/>
    <x v="17"/>
    <x v="0"/>
    <x v="0"/>
    <x v="0"/>
    <x v="31"/>
    <x v="0"/>
    <x v="0"/>
    <x v="1"/>
    <x v="1"/>
  </r>
  <r>
    <x v="1382"/>
    <x v="1"/>
    <x v="25"/>
    <x v="1365"/>
    <x v="862"/>
    <x v="1391"/>
    <x v="1"/>
    <x v="0"/>
    <x v="1365"/>
    <x v="0"/>
    <x v="0"/>
    <x v="0"/>
    <x v="0"/>
    <x v="0"/>
    <x v="2"/>
    <x v="1391"/>
    <x v="1379"/>
    <x v="1365"/>
    <x v="1"/>
    <x v="10"/>
    <x v="0"/>
    <x v="17"/>
    <x v="17"/>
    <x v="0"/>
    <x v="0"/>
    <x v="0"/>
    <x v="31"/>
    <x v="0"/>
    <x v="0"/>
    <x v="1"/>
    <x v="1"/>
  </r>
  <r>
    <x v="1381"/>
    <x v="1"/>
    <x v="25"/>
    <x v="1364"/>
    <x v="252"/>
    <x v="1288"/>
    <x v="1"/>
    <x v="0"/>
    <x v="1364"/>
    <x v="0"/>
    <x v="0"/>
    <x v="0"/>
    <x v="0"/>
    <x v="0"/>
    <x v="2"/>
    <x v="1288"/>
    <x v="1276"/>
    <x v="1364"/>
    <x v="1"/>
    <x v="10"/>
    <x v="0"/>
    <x v="17"/>
    <x v="17"/>
    <x v="0"/>
    <x v="0"/>
    <x v="0"/>
    <x v="31"/>
    <x v="0"/>
    <x v="0"/>
    <x v="1"/>
    <x v="1"/>
  </r>
  <r>
    <x v="1380"/>
    <x v="1"/>
    <x v="25"/>
    <x v="1363"/>
    <x v="250"/>
    <x v="1286"/>
    <x v="1"/>
    <x v="0"/>
    <x v="1363"/>
    <x v="0"/>
    <x v="0"/>
    <x v="0"/>
    <x v="0"/>
    <x v="0"/>
    <x v="2"/>
    <x v="1286"/>
    <x v="1274"/>
    <x v="1363"/>
    <x v="1"/>
    <x v="10"/>
    <x v="0"/>
    <x v="17"/>
    <x v="17"/>
    <x v="0"/>
    <x v="0"/>
    <x v="0"/>
    <x v="31"/>
    <x v="0"/>
    <x v="0"/>
    <x v="1"/>
    <x v="1"/>
  </r>
  <r>
    <x v="1379"/>
    <x v="1"/>
    <x v="25"/>
    <x v="1362"/>
    <x v="641"/>
    <x v="1336"/>
    <x v="1"/>
    <x v="0"/>
    <x v="1362"/>
    <x v="0"/>
    <x v="0"/>
    <x v="0"/>
    <x v="0"/>
    <x v="0"/>
    <x v="2"/>
    <x v="1336"/>
    <x v="1324"/>
    <x v="1362"/>
    <x v="1"/>
    <x v="10"/>
    <x v="0"/>
    <x v="17"/>
    <x v="17"/>
    <x v="0"/>
    <x v="0"/>
    <x v="0"/>
    <x v="31"/>
    <x v="0"/>
    <x v="0"/>
    <x v="1"/>
    <x v="1"/>
  </r>
  <r>
    <x v="1378"/>
    <x v="1"/>
    <x v="25"/>
    <x v="1361"/>
    <x v="330"/>
    <x v="1303"/>
    <x v="1"/>
    <x v="0"/>
    <x v="1361"/>
    <x v="0"/>
    <x v="0"/>
    <x v="0"/>
    <x v="0"/>
    <x v="0"/>
    <x v="2"/>
    <x v="1303"/>
    <x v="1291"/>
    <x v="1361"/>
    <x v="1"/>
    <x v="10"/>
    <x v="0"/>
    <x v="17"/>
    <x v="17"/>
    <x v="0"/>
    <x v="0"/>
    <x v="0"/>
    <x v="31"/>
    <x v="0"/>
    <x v="0"/>
    <x v="1"/>
    <x v="1"/>
  </r>
  <r>
    <x v="1377"/>
    <x v="1"/>
    <x v="25"/>
    <x v="1360"/>
    <x v="337"/>
    <x v="1307"/>
    <x v="1"/>
    <x v="0"/>
    <x v="1360"/>
    <x v="0"/>
    <x v="0"/>
    <x v="0"/>
    <x v="0"/>
    <x v="0"/>
    <x v="2"/>
    <x v="1307"/>
    <x v="1295"/>
    <x v="1360"/>
    <x v="1"/>
    <x v="10"/>
    <x v="0"/>
    <x v="17"/>
    <x v="17"/>
    <x v="0"/>
    <x v="0"/>
    <x v="0"/>
    <x v="31"/>
    <x v="0"/>
    <x v="0"/>
    <x v="1"/>
    <x v="1"/>
  </r>
  <r>
    <x v="1376"/>
    <x v="1"/>
    <x v="25"/>
    <x v="1359"/>
    <x v="656"/>
    <x v="1339"/>
    <x v="1"/>
    <x v="0"/>
    <x v="1359"/>
    <x v="0"/>
    <x v="0"/>
    <x v="0"/>
    <x v="0"/>
    <x v="0"/>
    <x v="2"/>
    <x v="1339"/>
    <x v="1327"/>
    <x v="1359"/>
    <x v="1"/>
    <x v="10"/>
    <x v="0"/>
    <x v="17"/>
    <x v="17"/>
    <x v="0"/>
    <x v="0"/>
    <x v="0"/>
    <x v="31"/>
    <x v="0"/>
    <x v="0"/>
    <x v="1"/>
    <x v="1"/>
  </r>
  <r>
    <x v="1375"/>
    <x v="1"/>
    <x v="25"/>
    <x v="1358"/>
    <x v="670"/>
    <x v="1343"/>
    <x v="1"/>
    <x v="0"/>
    <x v="1358"/>
    <x v="0"/>
    <x v="0"/>
    <x v="0"/>
    <x v="0"/>
    <x v="0"/>
    <x v="2"/>
    <x v="1343"/>
    <x v="1331"/>
    <x v="1358"/>
    <x v="1"/>
    <x v="10"/>
    <x v="0"/>
    <x v="17"/>
    <x v="17"/>
    <x v="0"/>
    <x v="0"/>
    <x v="0"/>
    <x v="31"/>
    <x v="0"/>
    <x v="0"/>
    <x v="1"/>
    <x v="1"/>
  </r>
  <r>
    <x v="1374"/>
    <x v="1"/>
    <x v="25"/>
    <x v="1357"/>
    <x v="155"/>
    <x v="1270"/>
    <x v="1"/>
    <x v="0"/>
    <x v="1357"/>
    <x v="0"/>
    <x v="0"/>
    <x v="0"/>
    <x v="0"/>
    <x v="0"/>
    <x v="2"/>
    <x v="1270"/>
    <x v="1258"/>
    <x v="1357"/>
    <x v="1"/>
    <x v="10"/>
    <x v="0"/>
    <x v="17"/>
    <x v="17"/>
    <x v="0"/>
    <x v="0"/>
    <x v="0"/>
    <x v="31"/>
    <x v="0"/>
    <x v="0"/>
    <x v="1"/>
    <x v="1"/>
  </r>
  <r>
    <x v="1373"/>
    <x v="1"/>
    <x v="25"/>
    <x v="1356"/>
    <x v="613"/>
    <x v="1333"/>
    <x v="1"/>
    <x v="0"/>
    <x v="1356"/>
    <x v="0"/>
    <x v="0"/>
    <x v="0"/>
    <x v="0"/>
    <x v="0"/>
    <x v="2"/>
    <x v="1333"/>
    <x v="1321"/>
    <x v="1356"/>
    <x v="1"/>
    <x v="10"/>
    <x v="0"/>
    <x v="17"/>
    <x v="17"/>
    <x v="0"/>
    <x v="0"/>
    <x v="0"/>
    <x v="31"/>
    <x v="0"/>
    <x v="0"/>
    <x v="1"/>
    <x v="1"/>
  </r>
  <r>
    <x v="1372"/>
    <x v="1"/>
    <x v="25"/>
    <x v="1355"/>
    <x v="845"/>
    <x v="1380"/>
    <x v="1"/>
    <x v="0"/>
    <x v="1355"/>
    <x v="0"/>
    <x v="0"/>
    <x v="0"/>
    <x v="0"/>
    <x v="0"/>
    <x v="2"/>
    <x v="1380"/>
    <x v="1368"/>
    <x v="1355"/>
    <x v="1"/>
    <x v="10"/>
    <x v="0"/>
    <x v="17"/>
    <x v="17"/>
    <x v="0"/>
    <x v="0"/>
    <x v="0"/>
    <x v="31"/>
    <x v="0"/>
    <x v="0"/>
    <x v="1"/>
    <x v="1"/>
  </r>
  <r>
    <x v="1371"/>
    <x v="1"/>
    <x v="25"/>
    <x v="1354"/>
    <x v="823"/>
    <x v="1369"/>
    <x v="1"/>
    <x v="0"/>
    <x v="1354"/>
    <x v="0"/>
    <x v="0"/>
    <x v="0"/>
    <x v="0"/>
    <x v="0"/>
    <x v="2"/>
    <x v="1369"/>
    <x v="1357"/>
    <x v="1354"/>
    <x v="1"/>
    <x v="10"/>
    <x v="0"/>
    <x v="17"/>
    <x v="17"/>
    <x v="0"/>
    <x v="0"/>
    <x v="0"/>
    <x v="31"/>
    <x v="0"/>
    <x v="0"/>
    <x v="1"/>
    <x v="1"/>
  </r>
  <r>
    <x v="1370"/>
    <x v="1"/>
    <x v="25"/>
    <x v="1353"/>
    <x v="802"/>
    <x v="1362"/>
    <x v="1"/>
    <x v="0"/>
    <x v="1353"/>
    <x v="0"/>
    <x v="0"/>
    <x v="0"/>
    <x v="0"/>
    <x v="0"/>
    <x v="2"/>
    <x v="1362"/>
    <x v="1350"/>
    <x v="1353"/>
    <x v="1"/>
    <x v="10"/>
    <x v="0"/>
    <x v="17"/>
    <x v="17"/>
    <x v="0"/>
    <x v="0"/>
    <x v="0"/>
    <x v="31"/>
    <x v="0"/>
    <x v="0"/>
    <x v="1"/>
    <x v="1"/>
  </r>
  <r>
    <x v="1369"/>
    <x v="1"/>
    <x v="25"/>
    <x v="1352"/>
    <x v="866"/>
    <x v="1395"/>
    <x v="1"/>
    <x v="0"/>
    <x v="1352"/>
    <x v="0"/>
    <x v="0"/>
    <x v="0"/>
    <x v="0"/>
    <x v="0"/>
    <x v="2"/>
    <x v="1395"/>
    <x v="1383"/>
    <x v="1352"/>
    <x v="1"/>
    <x v="10"/>
    <x v="0"/>
    <x v="17"/>
    <x v="17"/>
    <x v="0"/>
    <x v="0"/>
    <x v="0"/>
    <x v="31"/>
    <x v="0"/>
    <x v="0"/>
    <x v="1"/>
    <x v="1"/>
  </r>
  <r>
    <x v="1368"/>
    <x v="1"/>
    <x v="25"/>
    <x v="1351"/>
    <x v="864"/>
    <x v="1393"/>
    <x v="1"/>
    <x v="0"/>
    <x v="1351"/>
    <x v="0"/>
    <x v="0"/>
    <x v="0"/>
    <x v="0"/>
    <x v="0"/>
    <x v="2"/>
    <x v="1393"/>
    <x v="1381"/>
    <x v="1351"/>
    <x v="1"/>
    <x v="10"/>
    <x v="0"/>
    <x v="17"/>
    <x v="17"/>
    <x v="0"/>
    <x v="0"/>
    <x v="0"/>
    <x v="31"/>
    <x v="0"/>
    <x v="0"/>
    <x v="1"/>
    <x v="1"/>
  </r>
  <r>
    <x v="1367"/>
    <x v="1"/>
    <x v="25"/>
    <x v="1350"/>
    <x v="861"/>
    <x v="1390"/>
    <x v="1"/>
    <x v="0"/>
    <x v="1350"/>
    <x v="0"/>
    <x v="0"/>
    <x v="0"/>
    <x v="0"/>
    <x v="0"/>
    <x v="2"/>
    <x v="1390"/>
    <x v="1378"/>
    <x v="1350"/>
    <x v="1"/>
    <x v="10"/>
    <x v="0"/>
    <x v="17"/>
    <x v="17"/>
    <x v="0"/>
    <x v="0"/>
    <x v="0"/>
    <x v="31"/>
    <x v="0"/>
    <x v="0"/>
    <x v="1"/>
    <x v="1"/>
  </r>
  <r>
    <x v="1366"/>
    <x v="1"/>
    <x v="25"/>
    <x v="1349"/>
    <x v="191"/>
    <x v="1274"/>
    <x v="1"/>
    <x v="0"/>
    <x v="1349"/>
    <x v="0"/>
    <x v="0"/>
    <x v="0"/>
    <x v="0"/>
    <x v="0"/>
    <x v="2"/>
    <x v="1274"/>
    <x v="1262"/>
    <x v="1349"/>
    <x v="1"/>
    <x v="10"/>
    <x v="0"/>
    <x v="17"/>
    <x v="17"/>
    <x v="0"/>
    <x v="0"/>
    <x v="0"/>
    <x v="31"/>
    <x v="0"/>
    <x v="0"/>
    <x v="1"/>
    <x v="1"/>
  </r>
  <r>
    <x v="1365"/>
    <x v="1"/>
    <x v="25"/>
    <x v="1348"/>
    <x v="553"/>
    <x v="1326"/>
    <x v="1"/>
    <x v="0"/>
    <x v="1348"/>
    <x v="0"/>
    <x v="0"/>
    <x v="0"/>
    <x v="0"/>
    <x v="0"/>
    <x v="2"/>
    <x v="1326"/>
    <x v="1314"/>
    <x v="1348"/>
    <x v="1"/>
    <x v="10"/>
    <x v="0"/>
    <x v="17"/>
    <x v="17"/>
    <x v="0"/>
    <x v="0"/>
    <x v="0"/>
    <x v="31"/>
    <x v="0"/>
    <x v="0"/>
    <x v="1"/>
    <x v="1"/>
  </r>
  <r>
    <x v="1364"/>
    <x v="1"/>
    <x v="25"/>
    <x v="1347"/>
    <x v="644"/>
    <x v="1337"/>
    <x v="1"/>
    <x v="0"/>
    <x v="1347"/>
    <x v="0"/>
    <x v="0"/>
    <x v="0"/>
    <x v="0"/>
    <x v="0"/>
    <x v="2"/>
    <x v="1337"/>
    <x v="1325"/>
    <x v="1347"/>
    <x v="1"/>
    <x v="10"/>
    <x v="0"/>
    <x v="17"/>
    <x v="17"/>
    <x v="0"/>
    <x v="0"/>
    <x v="0"/>
    <x v="31"/>
    <x v="0"/>
    <x v="0"/>
    <x v="1"/>
    <x v="1"/>
  </r>
  <r>
    <x v="1363"/>
    <x v="1"/>
    <x v="25"/>
    <x v="1346"/>
    <x v="753"/>
    <x v="1356"/>
    <x v="1"/>
    <x v="0"/>
    <x v="1346"/>
    <x v="0"/>
    <x v="0"/>
    <x v="0"/>
    <x v="0"/>
    <x v="0"/>
    <x v="2"/>
    <x v="1356"/>
    <x v="1344"/>
    <x v="1346"/>
    <x v="1"/>
    <x v="10"/>
    <x v="0"/>
    <x v="17"/>
    <x v="17"/>
    <x v="0"/>
    <x v="0"/>
    <x v="0"/>
    <x v="31"/>
    <x v="0"/>
    <x v="0"/>
    <x v="1"/>
    <x v="1"/>
  </r>
  <r>
    <x v="1362"/>
    <x v="1"/>
    <x v="25"/>
    <x v="1345"/>
    <x v="238"/>
    <x v="1284"/>
    <x v="1"/>
    <x v="0"/>
    <x v="1345"/>
    <x v="0"/>
    <x v="0"/>
    <x v="0"/>
    <x v="0"/>
    <x v="0"/>
    <x v="2"/>
    <x v="1284"/>
    <x v="1272"/>
    <x v="1345"/>
    <x v="1"/>
    <x v="10"/>
    <x v="0"/>
    <x v="17"/>
    <x v="17"/>
    <x v="0"/>
    <x v="0"/>
    <x v="0"/>
    <x v="31"/>
    <x v="0"/>
    <x v="0"/>
    <x v="1"/>
    <x v="1"/>
  </r>
  <r>
    <x v="1361"/>
    <x v="1"/>
    <x v="25"/>
    <x v="1344"/>
    <x v="319"/>
    <x v="1299"/>
    <x v="1"/>
    <x v="0"/>
    <x v="1344"/>
    <x v="0"/>
    <x v="0"/>
    <x v="0"/>
    <x v="0"/>
    <x v="0"/>
    <x v="2"/>
    <x v="1299"/>
    <x v="1287"/>
    <x v="1344"/>
    <x v="1"/>
    <x v="10"/>
    <x v="0"/>
    <x v="17"/>
    <x v="17"/>
    <x v="0"/>
    <x v="0"/>
    <x v="0"/>
    <x v="31"/>
    <x v="0"/>
    <x v="0"/>
    <x v="1"/>
    <x v="1"/>
  </r>
  <r>
    <x v="1360"/>
    <x v="1"/>
    <x v="25"/>
    <x v="1343"/>
    <x v="679"/>
    <x v="1344"/>
    <x v="1"/>
    <x v="0"/>
    <x v="1343"/>
    <x v="0"/>
    <x v="0"/>
    <x v="0"/>
    <x v="0"/>
    <x v="0"/>
    <x v="2"/>
    <x v="1344"/>
    <x v="1332"/>
    <x v="1343"/>
    <x v="1"/>
    <x v="10"/>
    <x v="0"/>
    <x v="17"/>
    <x v="17"/>
    <x v="0"/>
    <x v="0"/>
    <x v="0"/>
    <x v="28"/>
    <x v="0"/>
    <x v="0"/>
    <x v="1"/>
    <x v="1"/>
  </r>
  <r>
    <x v="1359"/>
    <x v="1"/>
    <x v="25"/>
    <x v="1342"/>
    <x v="680"/>
    <x v="1345"/>
    <x v="1"/>
    <x v="0"/>
    <x v="1342"/>
    <x v="0"/>
    <x v="0"/>
    <x v="0"/>
    <x v="0"/>
    <x v="0"/>
    <x v="2"/>
    <x v="1345"/>
    <x v="1333"/>
    <x v="1342"/>
    <x v="1"/>
    <x v="10"/>
    <x v="0"/>
    <x v="17"/>
    <x v="17"/>
    <x v="0"/>
    <x v="0"/>
    <x v="0"/>
    <x v="31"/>
    <x v="0"/>
    <x v="0"/>
    <x v="1"/>
    <x v="1"/>
  </r>
  <r>
    <x v="1358"/>
    <x v="1"/>
    <x v="25"/>
    <x v="1341"/>
    <x v="396"/>
    <x v="1316"/>
    <x v="1"/>
    <x v="0"/>
    <x v="1341"/>
    <x v="0"/>
    <x v="0"/>
    <x v="0"/>
    <x v="0"/>
    <x v="0"/>
    <x v="2"/>
    <x v="1316"/>
    <x v="1304"/>
    <x v="1341"/>
    <x v="1"/>
    <x v="10"/>
    <x v="0"/>
    <x v="17"/>
    <x v="17"/>
    <x v="0"/>
    <x v="0"/>
    <x v="0"/>
    <x v="31"/>
    <x v="0"/>
    <x v="0"/>
    <x v="1"/>
    <x v="1"/>
  </r>
  <r>
    <x v="1357"/>
    <x v="1"/>
    <x v="25"/>
    <x v="1340"/>
    <x v="377"/>
    <x v="1312"/>
    <x v="1"/>
    <x v="0"/>
    <x v="1340"/>
    <x v="0"/>
    <x v="0"/>
    <x v="0"/>
    <x v="0"/>
    <x v="0"/>
    <x v="2"/>
    <x v="1312"/>
    <x v="1300"/>
    <x v="1340"/>
    <x v="1"/>
    <x v="10"/>
    <x v="0"/>
    <x v="17"/>
    <x v="17"/>
    <x v="0"/>
    <x v="0"/>
    <x v="0"/>
    <x v="31"/>
    <x v="0"/>
    <x v="0"/>
    <x v="1"/>
    <x v="1"/>
  </r>
  <r>
    <x v="1356"/>
    <x v="1"/>
    <x v="25"/>
    <x v="1339"/>
    <x v="365"/>
    <x v="1310"/>
    <x v="1"/>
    <x v="0"/>
    <x v="1339"/>
    <x v="0"/>
    <x v="0"/>
    <x v="0"/>
    <x v="0"/>
    <x v="0"/>
    <x v="2"/>
    <x v="1310"/>
    <x v="1298"/>
    <x v="1339"/>
    <x v="1"/>
    <x v="10"/>
    <x v="0"/>
    <x v="17"/>
    <x v="17"/>
    <x v="0"/>
    <x v="0"/>
    <x v="0"/>
    <x v="31"/>
    <x v="0"/>
    <x v="0"/>
    <x v="1"/>
    <x v="1"/>
  </r>
  <r>
    <x v="1355"/>
    <x v="1"/>
    <x v="25"/>
    <x v="1338"/>
    <x v="633"/>
    <x v="1335"/>
    <x v="1"/>
    <x v="0"/>
    <x v="1338"/>
    <x v="0"/>
    <x v="0"/>
    <x v="0"/>
    <x v="0"/>
    <x v="0"/>
    <x v="2"/>
    <x v="1335"/>
    <x v="1323"/>
    <x v="1338"/>
    <x v="1"/>
    <x v="10"/>
    <x v="0"/>
    <x v="17"/>
    <x v="17"/>
    <x v="0"/>
    <x v="0"/>
    <x v="0"/>
    <x v="31"/>
    <x v="0"/>
    <x v="0"/>
    <x v="1"/>
    <x v="1"/>
  </r>
  <r>
    <x v="1354"/>
    <x v="1"/>
    <x v="25"/>
    <x v="1337"/>
    <x v="617"/>
    <x v="1334"/>
    <x v="1"/>
    <x v="0"/>
    <x v="1337"/>
    <x v="0"/>
    <x v="0"/>
    <x v="0"/>
    <x v="0"/>
    <x v="0"/>
    <x v="2"/>
    <x v="1334"/>
    <x v="1322"/>
    <x v="1337"/>
    <x v="1"/>
    <x v="10"/>
    <x v="0"/>
    <x v="17"/>
    <x v="17"/>
    <x v="0"/>
    <x v="0"/>
    <x v="0"/>
    <x v="31"/>
    <x v="0"/>
    <x v="0"/>
    <x v="1"/>
    <x v="1"/>
  </r>
  <r>
    <x v="1353"/>
    <x v="1"/>
    <x v="25"/>
    <x v="1336"/>
    <x v="903"/>
    <x v="1409"/>
    <x v="1"/>
    <x v="0"/>
    <x v="1336"/>
    <x v="0"/>
    <x v="0"/>
    <x v="0"/>
    <x v="0"/>
    <x v="0"/>
    <x v="2"/>
    <x v="1409"/>
    <x v="1397"/>
    <x v="1336"/>
    <x v="1"/>
    <x v="10"/>
    <x v="0"/>
    <x v="17"/>
    <x v="17"/>
    <x v="0"/>
    <x v="0"/>
    <x v="0"/>
    <x v="31"/>
    <x v="0"/>
    <x v="0"/>
    <x v="1"/>
    <x v="1"/>
  </r>
  <r>
    <x v="1352"/>
    <x v="1"/>
    <x v="25"/>
    <x v="1335"/>
    <x v="920"/>
    <x v="1422"/>
    <x v="1"/>
    <x v="0"/>
    <x v="1335"/>
    <x v="0"/>
    <x v="0"/>
    <x v="0"/>
    <x v="0"/>
    <x v="0"/>
    <x v="2"/>
    <x v="1422"/>
    <x v="1410"/>
    <x v="1335"/>
    <x v="1"/>
    <x v="10"/>
    <x v="0"/>
    <x v="17"/>
    <x v="17"/>
    <x v="0"/>
    <x v="0"/>
    <x v="0"/>
    <x v="31"/>
    <x v="0"/>
    <x v="0"/>
    <x v="1"/>
    <x v="1"/>
  </r>
  <r>
    <x v="1351"/>
    <x v="1"/>
    <x v="25"/>
    <x v="1334"/>
    <x v="913"/>
    <x v="1420"/>
    <x v="1"/>
    <x v="0"/>
    <x v="1334"/>
    <x v="0"/>
    <x v="0"/>
    <x v="0"/>
    <x v="0"/>
    <x v="0"/>
    <x v="2"/>
    <x v="1420"/>
    <x v="1408"/>
    <x v="1334"/>
    <x v="1"/>
    <x v="10"/>
    <x v="0"/>
    <x v="17"/>
    <x v="17"/>
    <x v="0"/>
    <x v="0"/>
    <x v="0"/>
    <x v="31"/>
    <x v="0"/>
    <x v="0"/>
    <x v="1"/>
    <x v="1"/>
  </r>
  <r>
    <x v="1350"/>
    <x v="1"/>
    <x v="25"/>
    <x v="1333"/>
    <x v="863"/>
    <x v="1392"/>
    <x v="1"/>
    <x v="0"/>
    <x v="1333"/>
    <x v="0"/>
    <x v="0"/>
    <x v="0"/>
    <x v="0"/>
    <x v="0"/>
    <x v="2"/>
    <x v="1392"/>
    <x v="1380"/>
    <x v="1333"/>
    <x v="1"/>
    <x v="10"/>
    <x v="0"/>
    <x v="17"/>
    <x v="17"/>
    <x v="0"/>
    <x v="0"/>
    <x v="0"/>
    <x v="31"/>
    <x v="0"/>
    <x v="0"/>
    <x v="1"/>
    <x v="1"/>
  </r>
  <r>
    <x v="1349"/>
    <x v="1"/>
    <x v="25"/>
    <x v="1332"/>
    <x v="872"/>
    <x v="1402"/>
    <x v="1"/>
    <x v="0"/>
    <x v="1332"/>
    <x v="0"/>
    <x v="0"/>
    <x v="0"/>
    <x v="0"/>
    <x v="0"/>
    <x v="2"/>
    <x v="1402"/>
    <x v="1390"/>
    <x v="1332"/>
    <x v="1"/>
    <x v="10"/>
    <x v="0"/>
    <x v="17"/>
    <x v="17"/>
    <x v="0"/>
    <x v="0"/>
    <x v="0"/>
    <x v="31"/>
    <x v="0"/>
    <x v="0"/>
    <x v="1"/>
    <x v="1"/>
  </r>
  <r>
    <x v="1348"/>
    <x v="1"/>
    <x v="25"/>
    <x v="1331"/>
    <x v="857"/>
    <x v="1388"/>
    <x v="1"/>
    <x v="0"/>
    <x v="1331"/>
    <x v="0"/>
    <x v="0"/>
    <x v="0"/>
    <x v="0"/>
    <x v="0"/>
    <x v="2"/>
    <x v="1388"/>
    <x v="1376"/>
    <x v="1331"/>
    <x v="1"/>
    <x v="10"/>
    <x v="0"/>
    <x v="17"/>
    <x v="17"/>
    <x v="0"/>
    <x v="0"/>
    <x v="0"/>
    <x v="31"/>
    <x v="0"/>
    <x v="0"/>
    <x v="1"/>
    <x v="1"/>
  </r>
  <r>
    <x v="1347"/>
    <x v="1"/>
    <x v="25"/>
    <x v="1330"/>
    <x v="193"/>
    <x v="1275"/>
    <x v="1"/>
    <x v="0"/>
    <x v="1330"/>
    <x v="0"/>
    <x v="0"/>
    <x v="0"/>
    <x v="0"/>
    <x v="0"/>
    <x v="2"/>
    <x v="1275"/>
    <x v="1263"/>
    <x v="1330"/>
    <x v="1"/>
    <x v="10"/>
    <x v="0"/>
    <x v="17"/>
    <x v="17"/>
    <x v="0"/>
    <x v="0"/>
    <x v="0"/>
    <x v="31"/>
    <x v="0"/>
    <x v="0"/>
    <x v="1"/>
    <x v="1"/>
  </r>
  <r>
    <x v="1346"/>
    <x v="1"/>
    <x v="25"/>
    <x v="1329"/>
    <x v="561"/>
    <x v="1328"/>
    <x v="1"/>
    <x v="0"/>
    <x v="1329"/>
    <x v="0"/>
    <x v="0"/>
    <x v="0"/>
    <x v="0"/>
    <x v="0"/>
    <x v="2"/>
    <x v="1328"/>
    <x v="1316"/>
    <x v="1329"/>
    <x v="1"/>
    <x v="10"/>
    <x v="0"/>
    <x v="17"/>
    <x v="17"/>
    <x v="0"/>
    <x v="0"/>
    <x v="0"/>
    <x v="31"/>
    <x v="0"/>
    <x v="0"/>
    <x v="1"/>
    <x v="1"/>
  </r>
  <r>
    <x v="1345"/>
    <x v="1"/>
    <x v="25"/>
    <x v="1328"/>
    <x v="560"/>
    <x v="1327"/>
    <x v="1"/>
    <x v="0"/>
    <x v="1328"/>
    <x v="0"/>
    <x v="0"/>
    <x v="0"/>
    <x v="0"/>
    <x v="0"/>
    <x v="2"/>
    <x v="1327"/>
    <x v="1315"/>
    <x v="1328"/>
    <x v="1"/>
    <x v="10"/>
    <x v="0"/>
    <x v="17"/>
    <x v="17"/>
    <x v="0"/>
    <x v="0"/>
    <x v="0"/>
    <x v="31"/>
    <x v="0"/>
    <x v="0"/>
    <x v="1"/>
    <x v="1"/>
  </r>
  <r>
    <x v="1344"/>
    <x v="1"/>
    <x v="25"/>
    <x v="1327"/>
    <x v="562"/>
    <x v="1329"/>
    <x v="1"/>
    <x v="0"/>
    <x v="1327"/>
    <x v="0"/>
    <x v="0"/>
    <x v="0"/>
    <x v="0"/>
    <x v="0"/>
    <x v="2"/>
    <x v="1329"/>
    <x v="1317"/>
    <x v="1327"/>
    <x v="1"/>
    <x v="10"/>
    <x v="0"/>
    <x v="17"/>
    <x v="17"/>
    <x v="0"/>
    <x v="0"/>
    <x v="0"/>
    <x v="31"/>
    <x v="0"/>
    <x v="0"/>
    <x v="1"/>
    <x v="1"/>
  </r>
  <r>
    <x v="1343"/>
    <x v="1"/>
    <x v="25"/>
    <x v="1326"/>
    <x v="649"/>
    <x v="1338"/>
    <x v="1"/>
    <x v="0"/>
    <x v="1326"/>
    <x v="0"/>
    <x v="0"/>
    <x v="0"/>
    <x v="0"/>
    <x v="0"/>
    <x v="2"/>
    <x v="1338"/>
    <x v="1326"/>
    <x v="1326"/>
    <x v="1"/>
    <x v="10"/>
    <x v="0"/>
    <x v="17"/>
    <x v="17"/>
    <x v="0"/>
    <x v="0"/>
    <x v="0"/>
    <x v="31"/>
    <x v="0"/>
    <x v="0"/>
    <x v="1"/>
    <x v="1"/>
  </r>
  <r>
    <x v="1342"/>
    <x v="1"/>
    <x v="25"/>
    <x v="1325"/>
    <x v="757"/>
    <x v="1357"/>
    <x v="1"/>
    <x v="0"/>
    <x v="1325"/>
    <x v="0"/>
    <x v="0"/>
    <x v="0"/>
    <x v="0"/>
    <x v="0"/>
    <x v="2"/>
    <x v="1357"/>
    <x v="1345"/>
    <x v="1325"/>
    <x v="1"/>
    <x v="10"/>
    <x v="0"/>
    <x v="17"/>
    <x v="17"/>
    <x v="0"/>
    <x v="0"/>
    <x v="0"/>
    <x v="31"/>
    <x v="0"/>
    <x v="0"/>
    <x v="1"/>
    <x v="1"/>
  </r>
  <r>
    <x v="1341"/>
    <x v="1"/>
    <x v="25"/>
    <x v="1324"/>
    <x v="239"/>
    <x v="1283"/>
    <x v="1"/>
    <x v="0"/>
    <x v="1324"/>
    <x v="0"/>
    <x v="0"/>
    <x v="0"/>
    <x v="0"/>
    <x v="0"/>
    <x v="2"/>
    <x v="1283"/>
    <x v="1271"/>
    <x v="1324"/>
    <x v="1"/>
    <x v="10"/>
    <x v="0"/>
    <x v="17"/>
    <x v="17"/>
    <x v="0"/>
    <x v="0"/>
    <x v="0"/>
    <x v="31"/>
    <x v="0"/>
    <x v="0"/>
    <x v="1"/>
    <x v="1"/>
  </r>
  <r>
    <x v="1340"/>
    <x v="1"/>
    <x v="25"/>
    <x v="1323"/>
    <x v="225"/>
    <x v="1279"/>
    <x v="1"/>
    <x v="0"/>
    <x v="1323"/>
    <x v="0"/>
    <x v="0"/>
    <x v="0"/>
    <x v="0"/>
    <x v="0"/>
    <x v="2"/>
    <x v="1279"/>
    <x v="1267"/>
    <x v="1323"/>
    <x v="1"/>
    <x v="10"/>
    <x v="0"/>
    <x v="17"/>
    <x v="17"/>
    <x v="0"/>
    <x v="0"/>
    <x v="0"/>
    <x v="31"/>
    <x v="0"/>
    <x v="0"/>
    <x v="1"/>
    <x v="1"/>
  </r>
  <r>
    <x v="1339"/>
    <x v="1"/>
    <x v="25"/>
    <x v="1322"/>
    <x v="395"/>
    <x v="1315"/>
    <x v="1"/>
    <x v="0"/>
    <x v="1322"/>
    <x v="0"/>
    <x v="0"/>
    <x v="0"/>
    <x v="0"/>
    <x v="0"/>
    <x v="2"/>
    <x v="1315"/>
    <x v="1303"/>
    <x v="1322"/>
    <x v="1"/>
    <x v="10"/>
    <x v="0"/>
    <x v="17"/>
    <x v="17"/>
    <x v="0"/>
    <x v="0"/>
    <x v="0"/>
    <x v="31"/>
    <x v="0"/>
    <x v="0"/>
    <x v="1"/>
    <x v="1"/>
  </r>
  <r>
    <x v="1338"/>
    <x v="1"/>
    <x v="25"/>
    <x v="1321"/>
    <x v="391"/>
    <x v="1314"/>
    <x v="1"/>
    <x v="0"/>
    <x v="1321"/>
    <x v="0"/>
    <x v="0"/>
    <x v="0"/>
    <x v="0"/>
    <x v="0"/>
    <x v="2"/>
    <x v="1314"/>
    <x v="1302"/>
    <x v="1321"/>
    <x v="1"/>
    <x v="10"/>
    <x v="0"/>
    <x v="17"/>
    <x v="17"/>
    <x v="0"/>
    <x v="0"/>
    <x v="0"/>
    <x v="31"/>
    <x v="0"/>
    <x v="0"/>
    <x v="1"/>
    <x v="1"/>
  </r>
  <r>
    <x v="1337"/>
    <x v="1"/>
    <x v="25"/>
    <x v="1320"/>
    <x v="376"/>
    <x v="1311"/>
    <x v="1"/>
    <x v="0"/>
    <x v="1320"/>
    <x v="0"/>
    <x v="0"/>
    <x v="0"/>
    <x v="0"/>
    <x v="0"/>
    <x v="2"/>
    <x v="1311"/>
    <x v="1299"/>
    <x v="1320"/>
    <x v="1"/>
    <x v="10"/>
    <x v="0"/>
    <x v="17"/>
    <x v="17"/>
    <x v="0"/>
    <x v="0"/>
    <x v="0"/>
    <x v="31"/>
    <x v="0"/>
    <x v="0"/>
    <x v="1"/>
    <x v="1"/>
  </r>
  <r>
    <x v="1336"/>
    <x v="1"/>
    <x v="25"/>
    <x v="1319"/>
    <x v="364"/>
    <x v="1309"/>
    <x v="1"/>
    <x v="0"/>
    <x v="1319"/>
    <x v="0"/>
    <x v="0"/>
    <x v="0"/>
    <x v="0"/>
    <x v="0"/>
    <x v="2"/>
    <x v="1309"/>
    <x v="1297"/>
    <x v="1319"/>
    <x v="1"/>
    <x v="10"/>
    <x v="0"/>
    <x v="17"/>
    <x v="17"/>
    <x v="0"/>
    <x v="0"/>
    <x v="0"/>
    <x v="31"/>
    <x v="0"/>
    <x v="0"/>
    <x v="1"/>
    <x v="1"/>
  </r>
  <r>
    <x v="1335"/>
    <x v="1"/>
    <x v="25"/>
    <x v="1318"/>
    <x v="796"/>
    <x v="1375"/>
    <x v="1"/>
    <x v="0"/>
    <x v="1318"/>
    <x v="0"/>
    <x v="0"/>
    <x v="0"/>
    <x v="0"/>
    <x v="0"/>
    <x v="2"/>
    <x v="1375"/>
    <x v="1363"/>
    <x v="1318"/>
    <x v="1"/>
    <x v="10"/>
    <x v="0"/>
    <x v="17"/>
    <x v="17"/>
    <x v="0"/>
    <x v="0"/>
    <x v="0"/>
    <x v="31"/>
    <x v="0"/>
    <x v="0"/>
    <x v="1"/>
    <x v="1"/>
  </r>
  <r>
    <x v="1334"/>
    <x v="1"/>
    <x v="25"/>
    <x v="1317"/>
    <x v="791"/>
    <x v="1367"/>
    <x v="1"/>
    <x v="0"/>
    <x v="1317"/>
    <x v="0"/>
    <x v="0"/>
    <x v="0"/>
    <x v="0"/>
    <x v="0"/>
    <x v="2"/>
    <x v="1367"/>
    <x v="1355"/>
    <x v="1317"/>
    <x v="1"/>
    <x v="10"/>
    <x v="0"/>
    <x v="17"/>
    <x v="17"/>
    <x v="0"/>
    <x v="0"/>
    <x v="0"/>
    <x v="31"/>
    <x v="0"/>
    <x v="0"/>
    <x v="1"/>
    <x v="1"/>
  </r>
  <r>
    <x v="1333"/>
    <x v="1"/>
    <x v="25"/>
    <x v="1316"/>
    <x v="789"/>
    <x v="1365"/>
    <x v="1"/>
    <x v="0"/>
    <x v="1316"/>
    <x v="0"/>
    <x v="0"/>
    <x v="0"/>
    <x v="0"/>
    <x v="0"/>
    <x v="2"/>
    <x v="1365"/>
    <x v="1353"/>
    <x v="1316"/>
    <x v="1"/>
    <x v="10"/>
    <x v="0"/>
    <x v="17"/>
    <x v="17"/>
    <x v="0"/>
    <x v="0"/>
    <x v="0"/>
    <x v="31"/>
    <x v="0"/>
    <x v="0"/>
    <x v="1"/>
    <x v="1"/>
  </r>
  <r>
    <x v="1332"/>
    <x v="1"/>
    <x v="25"/>
    <x v="1315"/>
    <x v="797"/>
    <x v="1376"/>
    <x v="1"/>
    <x v="0"/>
    <x v="1315"/>
    <x v="0"/>
    <x v="0"/>
    <x v="0"/>
    <x v="0"/>
    <x v="0"/>
    <x v="2"/>
    <x v="1376"/>
    <x v="1364"/>
    <x v="1315"/>
    <x v="1"/>
    <x v="10"/>
    <x v="0"/>
    <x v="17"/>
    <x v="17"/>
    <x v="0"/>
    <x v="0"/>
    <x v="0"/>
    <x v="31"/>
    <x v="0"/>
    <x v="0"/>
    <x v="1"/>
    <x v="1"/>
  </r>
  <r>
    <x v="1331"/>
    <x v="1"/>
    <x v="25"/>
    <x v="1314"/>
    <x v="814"/>
    <x v="1364"/>
    <x v="1"/>
    <x v="0"/>
    <x v="1314"/>
    <x v="0"/>
    <x v="0"/>
    <x v="0"/>
    <x v="0"/>
    <x v="0"/>
    <x v="2"/>
    <x v="1364"/>
    <x v="1352"/>
    <x v="1314"/>
    <x v="1"/>
    <x v="10"/>
    <x v="0"/>
    <x v="17"/>
    <x v="17"/>
    <x v="0"/>
    <x v="0"/>
    <x v="0"/>
    <x v="31"/>
    <x v="0"/>
    <x v="0"/>
    <x v="1"/>
    <x v="1"/>
  </r>
  <r>
    <x v="1330"/>
    <x v="1"/>
    <x v="25"/>
    <x v="1313"/>
    <x v="794"/>
    <x v="1372"/>
    <x v="1"/>
    <x v="0"/>
    <x v="1313"/>
    <x v="0"/>
    <x v="0"/>
    <x v="0"/>
    <x v="0"/>
    <x v="0"/>
    <x v="2"/>
    <x v="1372"/>
    <x v="1360"/>
    <x v="1313"/>
    <x v="1"/>
    <x v="10"/>
    <x v="0"/>
    <x v="17"/>
    <x v="17"/>
    <x v="0"/>
    <x v="0"/>
    <x v="0"/>
    <x v="31"/>
    <x v="0"/>
    <x v="0"/>
    <x v="1"/>
    <x v="1"/>
  </r>
  <r>
    <x v="1329"/>
    <x v="1"/>
    <x v="25"/>
    <x v="1312"/>
    <x v="793"/>
    <x v="1370"/>
    <x v="1"/>
    <x v="0"/>
    <x v="1312"/>
    <x v="0"/>
    <x v="0"/>
    <x v="0"/>
    <x v="0"/>
    <x v="0"/>
    <x v="2"/>
    <x v="1370"/>
    <x v="1358"/>
    <x v="1312"/>
    <x v="1"/>
    <x v="10"/>
    <x v="0"/>
    <x v="17"/>
    <x v="17"/>
    <x v="0"/>
    <x v="0"/>
    <x v="0"/>
    <x v="31"/>
    <x v="0"/>
    <x v="0"/>
    <x v="1"/>
    <x v="1"/>
  </r>
  <r>
    <x v="1328"/>
    <x v="1"/>
    <x v="25"/>
    <x v="1311"/>
    <x v="843"/>
    <x v="1379"/>
    <x v="1"/>
    <x v="0"/>
    <x v="1311"/>
    <x v="0"/>
    <x v="0"/>
    <x v="0"/>
    <x v="0"/>
    <x v="0"/>
    <x v="2"/>
    <x v="1379"/>
    <x v="1367"/>
    <x v="1311"/>
    <x v="1"/>
    <x v="10"/>
    <x v="0"/>
    <x v="17"/>
    <x v="17"/>
    <x v="0"/>
    <x v="0"/>
    <x v="0"/>
    <x v="31"/>
    <x v="0"/>
    <x v="0"/>
    <x v="1"/>
    <x v="1"/>
  </r>
  <r>
    <x v="1327"/>
    <x v="1"/>
    <x v="25"/>
    <x v="1310"/>
    <x v="852"/>
    <x v="1384"/>
    <x v="1"/>
    <x v="0"/>
    <x v="1310"/>
    <x v="0"/>
    <x v="0"/>
    <x v="0"/>
    <x v="0"/>
    <x v="0"/>
    <x v="2"/>
    <x v="1384"/>
    <x v="1372"/>
    <x v="1310"/>
    <x v="1"/>
    <x v="10"/>
    <x v="0"/>
    <x v="17"/>
    <x v="17"/>
    <x v="0"/>
    <x v="0"/>
    <x v="0"/>
    <x v="31"/>
    <x v="0"/>
    <x v="0"/>
    <x v="1"/>
    <x v="1"/>
  </r>
  <r>
    <x v="1326"/>
    <x v="1"/>
    <x v="25"/>
    <x v="1309"/>
    <x v="795"/>
    <x v="1374"/>
    <x v="1"/>
    <x v="0"/>
    <x v="1309"/>
    <x v="0"/>
    <x v="0"/>
    <x v="0"/>
    <x v="0"/>
    <x v="0"/>
    <x v="2"/>
    <x v="1374"/>
    <x v="1362"/>
    <x v="1309"/>
    <x v="1"/>
    <x v="10"/>
    <x v="0"/>
    <x v="17"/>
    <x v="17"/>
    <x v="0"/>
    <x v="0"/>
    <x v="0"/>
    <x v="31"/>
    <x v="0"/>
    <x v="0"/>
    <x v="1"/>
    <x v="1"/>
  </r>
  <r>
    <x v="1325"/>
    <x v="1"/>
    <x v="25"/>
    <x v="1308"/>
    <x v="792"/>
    <x v="1377"/>
    <x v="1"/>
    <x v="0"/>
    <x v="1308"/>
    <x v="0"/>
    <x v="0"/>
    <x v="0"/>
    <x v="0"/>
    <x v="0"/>
    <x v="2"/>
    <x v="1377"/>
    <x v="1365"/>
    <x v="1308"/>
    <x v="1"/>
    <x v="10"/>
    <x v="0"/>
    <x v="17"/>
    <x v="17"/>
    <x v="0"/>
    <x v="0"/>
    <x v="0"/>
    <x v="31"/>
    <x v="0"/>
    <x v="0"/>
    <x v="1"/>
    <x v="1"/>
  </r>
  <r>
    <x v="1324"/>
    <x v="1"/>
    <x v="25"/>
    <x v="1307"/>
    <x v="799"/>
    <x v="1382"/>
    <x v="1"/>
    <x v="0"/>
    <x v="1307"/>
    <x v="0"/>
    <x v="0"/>
    <x v="0"/>
    <x v="0"/>
    <x v="0"/>
    <x v="2"/>
    <x v="1382"/>
    <x v="1370"/>
    <x v="1307"/>
    <x v="1"/>
    <x v="10"/>
    <x v="0"/>
    <x v="17"/>
    <x v="17"/>
    <x v="0"/>
    <x v="0"/>
    <x v="0"/>
    <x v="31"/>
    <x v="0"/>
    <x v="0"/>
    <x v="1"/>
    <x v="1"/>
  </r>
  <r>
    <x v="1323"/>
    <x v="1"/>
    <x v="25"/>
    <x v="1306"/>
    <x v="798"/>
    <x v="1378"/>
    <x v="1"/>
    <x v="0"/>
    <x v="1306"/>
    <x v="0"/>
    <x v="0"/>
    <x v="0"/>
    <x v="0"/>
    <x v="0"/>
    <x v="2"/>
    <x v="1378"/>
    <x v="1366"/>
    <x v="1306"/>
    <x v="1"/>
    <x v="10"/>
    <x v="0"/>
    <x v="17"/>
    <x v="17"/>
    <x v="0"/>
    <x v="0"/>
    <x v="0"/>
    <x v="31"/>
    <x v="0"/>
    <x v="0"/>
    <x v="1"/>
    <x v="1"/>
  </r>
  <r>
    <x v="1322"/>
    <x v="1"/>
    <x v="25"/>
    <x v="1305"/>
    <x v="790"/>
    <x v="1366"/>
    <x v="1"/>
    <x v="0"/>
    <x v="1305"/>
    <x v="0"/>
    <x v="0"/>
    <x v="0"/>
    <x v="0"/>
    <x v="0"/>
    <x v="2"/>
    <x v="1366"/>
    <x v="1354"/>
    <x v="1305"/>
    <x v="1"/>
    <x v="10"/>
    <x v="0"/>
    <x v="17"/>
    <x v="17"/>
    <x v="0"/>
    <x v="0"/>
    <x v="0"/>
    <x v="31"/>
    <x v="0"/>
    <x v="0"/>
    <x v="1"/>
    <x v="1"/>
  </r>
  <r>
    <x v="1321"/>
    <x v="1"/>
    <x v="25"/>
    <x v="1304"/>
    <x v="788"/>
    <x v="1363"/>
    <x v="1"/>
    <x v="0"/>
    <x v="1304"/>
    <x v="0"/>
    <x v="0"/>
    <x v="0"/>
    <x v="0"/>
    <x v="0"/>
    <x v="2"/>
    <x v="1363"/>
    <x v="1351"/>
    <x v="1304"/>
    <x v="1"/>
    <x v="10"/>
    <x v="0"/>
    <x v="17"/>
    <x v="17"/>
    <x v="0"/>
    <x v="0"/>
    <x v="0"/>
    <x v="31"/>
    <x v="0"/>
    <x v="0"/>
    <x v="1"/>
    <x v="1"/>
  </r>
  <r>
    <x v="1320"/>
    <x v="1"/>
    <x v="25"/>
    <x v="1303"/>
    <x v="871"/>
    <x v="1401"/>
    <x v="1"/>
    <x v="0"/>
    <x v="1303"/>
    <x v="0"/>
    <x v="0"/>
    <x v="0"/>
    <x v="0"/>
    <x v="0"/>
    <x v="2"/>
    <x v="1401"/>
    <x v="1389"/>
    <x v="1303"/>
    <x v="1"/>
    <x v="10"/>
    <x v="0"/>
    <x v="17"/>
    <x v="17"/>
    <x v="0"/>
    <x v="0"/>
    <x v="0"/>
    <x v="31"/>
    <x v="0"/>
    <x v="0"/>
    <x v="1"/>
    <x v="1"/>
  </r>
  <r>
    <x v="1319"/>
    <x v="1"/>
    <x v="25"/>
    <x v="1302"/>
    <x v="858"/>
    <x v="1389"/>
    <x v="1"/>
    <x v="0"/>
    <x v="1302"/>
    <x v="0"/>
    <x v="0"/>
    <x v="0"/>
    <x v="0"/>
    <x v="0"/>
    <x v="2"/>
    <x v="1389"/>
    <x v="1377"/>
    <x v="1302"/>
    <x v="1"/>
    <x v="10"/>
    <x v="0"/>
    <x v="17"/>
    <x v="17"/>
    <x v="0"/>
    <x v="0"/>
    <x v="0"/>
    <x v="31"/>
    <x v="0"/>
    <x v="0"/>
    <x v="1"/>
    <x v="1"/>
  </r>
  <r>
    <x v="1318"/>
    <x v="1"/>
    <x v="25"/>
    <x v="1301"/>
    <x v="856"/>
    <x v="1387"/>
    <x v="1"/>
    <x v="0"/>
    <x v="1301"/>
    <x v="0"/>
    <x v="0"/>
    <x v="0"/>
    <x v="0"/>
    <x v="0"/>
    <x v="2"/>
    <x v="1387"/>
    <x v="1375"/>
    <x v="1301"/>
    <x v="1"/>
    <x v="10"/>
    <x v="0"/>
    <x v="17"/>
    <x v="17"/>
    <x v="0"/>
    <x v="0"/>
    <x v="0"/>
    <x v="31"/>
    <x v="0"/>
    <x v="0"/>
    <x v="1"/>
    <x v="1"/>
  </r>
  <r>
    <x v="1317"/>
    <x v="1"/>
    <x v="25"/>
    <x v="1300"/>
    <x v="264"/>
    <x v="1290"/>
    <x v="1"/>
    <x v="0"/>
    <x v="1300"/>
    <x v="0"/>
    <x v="0"/>
    <x v="0"/>
    <x v="0"/>
    <x v="0"/>
    <x v="2"/>
    <x v="1290"/>
    <x v="1278"/>
    <x v="1300"/>
    <x v="1"/>
    <x v="10"/>
    <x v="0"/>
    <x v="17"/>
    <x v="17"/>
    <x v="0"/>
    <x v="0"/>
    <x v="0"/>
    <x v="31"/>
    <x v="0"/>
    <x v="0"/>
    <x v="1"/>
    <x v="1"/>
  </r>
  <r>
    <x v="1316"/>
    <x v="1"/>
    <x v="25"/>
    <x v="1299"/>
    <x v="567"/>
    <x v="1330"/>
    <x v="1"/>
    <x v="0"/>
    <x v="1299"/>
    <x v="0"/>
    <x v="0"/>
    <x v="0"/>
    <x v="0"/>
    <x v="0"/>
    <x v="2"/>
    <x v="1330"/>
    <x v="1318"/>
    <x v="1299"/>
    <x v="1"/>
    <x v="10"/>
    <x v="0"/>
    <x v="17"/>
    <x v="17"/>
    <x v="0"/>
    <x v="0"/>
    <x v="0"/>
    <x v="31"/>
    <x v="0"/>
    <x v="0"/>
    <x v="1"/>
    <x v="1"/>
  </r>
  <r>
    <x v="1315"/>
    <x v="1"/>
    <x v="25"/>
    <x v="1298"/>
    <x v="770"/>
    <x v="1360"/>
    <x v="1"/>
    <x v="0"/>
    <x v="1298"/>
    <x v="0"/>
    <x v="0"/>
    <x v="0"/>
    <x v="0"/>
    <x v="0"/>
    <x v="2"/>
    <x v="1360"/>
    <x v="1348"/>
    <x v="1298"/>
    <x v="1"/>
    <x v="10"/>
    <x v="0"/>
    <x v="17"/>
    <x v="17"/>
    <x v="0"/>
    <x v="0"/>
    <x v="0"/>
    <x v="31"/>
    <x v="0"/>
    <x v="0"/>
    <x v="1"/>
    <x v="1"/>
  </r>
  <r>
    <x v="1314"/>
    <x v="1"/>
    <x v="25"/>
    <x v="1297"/>
    <x v="332"/>
    <x v="1304"/>
    <x v="1"/>
    <x v="0"/>
    <x v="1297"/>
    <x v="0"/>
    <x v="0"/>
    <x v="0"/>
    <x v="0"/>
    <x v="0"/>
    <x v="2"/>
    <x v="1304"/>
    <x v="1292"/>
    <x v="1297"/>
    <x v="1"/>
    <x v="10"/>
    <x v="0"/>
    <x v="17"/>
    <x v="17"/>
    <x v="0"/>
    <x v="0"/>
    <x v="0"/>
    <x v="31"/>
    <x v="0"/>
    <x v="0"/>
    <x v="1"/>
    <x v="1"/>
  </r>
  <r>
    <x v="1313"/>
    <x v="1"/>
    <x v="25"/>
    <x v="1296"/>
    <x v="334"/>
    <x v="1305"/>
    <x v="1"/>
    <x v="0"/>
    <x v="1296"/>
    <x v="0"/>
    <x v="0"/>
    <x v="0"/>
    <x v="0"/>
    <x v="0"/>
    <x v="2"/>
    <x v="1305"/>
    <x v="1293"/>
    <x v="1296"/>
    <x v="1"/>
    <x v="10"/>
    <x v="0"/>
    <x v="17"/>
    <x v="17"/>
    <x v="0"/>
    <x v="0"/>
    <x v="0"/>
    <x v="31"/>
    <x v="0"/>
    <x v="0"/>
    <x v="1"/>
    <x v="1"/>
  </r>
  <r>
    <x v="1312"/>
    <x v="1"/>
    <x v="25"/>
    <x v="1295"/>
    <x v="483"/>
    <x v="1323"/>
    <x v="1"/>
    <x v="0"/>
    <x v="1295"/>
    <x v="0"/>
    <x v="0"/>
    <x v="0"/>
    <x v="0"/>
    <x v="0"/>
    <x v="2"/>
    <x v="1323"/>
    <x v="1311"/>
    <x v="1295"/>
    <x v="1"/>
    <x v="10"/>
    <x v="0"/>
    <x v="17"/>
    <x v="17"/>
    <x v="0"/>
    <x v="0"/>
    <x v="0"/>
    <x v="31"/>
    <x v="0"/>
    <x v="0"/>
    <x v="1"/>
    <x v="1"/>
  </r>
  <r>
    <x v="1311"/>
    <x v="1"/>
    <x v="25"/>
    <x v="1294"/>
    <x v="482"/>
    <x v="1322"/>
    <x v="1"/>
    <x v="0"/>
    <x v="1294"/>
    <x v="0"/>
    <x v="0"/>
    <x v="0"/>
    <x v="0"/>
    <x v="0"/>
    <x v="2"/>
    <x v="1322"/>
    <x v="1310"/>
    <x v="1294"/>
    <x v="1"/>
    <x v="10"/>
    <x v="0"/>
    <x v="17"/>
    <x v="17"/>
    <x v="0"/>
    <x v="0"/>
    <x v="0"/>
    <x v="31"/>
    <x v="0"/>
    <x v="0"/>
    <x v="1"/>
    <x v="1"/>
  </r>
  <r>
    <x v="1310"/>
    <x v="1"/>
    <x v="25"/>
    <x v="1293"/>
    <x v="469"/>
    <x v="1319"/>
    <x v="1"/>
    <x v="0"/>
    <x v="1293"/>
    <x v="0"/>
    <x v="0"/>
    <x v="0"/>
    <x v="0"/>
    <x v="0"/>
    <x v="2"/>
    <x v="1319"/>
    <x v="1307"/>
    <x v="1293"/>
    <x v="1"/>
    <x v="10"/>
    <x v="0"/>
    <x v="17"/>
    <x v="17"/>
    <x v="0"/>
    <x v="0"/>
    <x v="0"/>
    <x v="31"/>
    <x v="0"/>
    <x v="0"/>
    <x v="1"/>
    <x v="1"/>
  </r>
  <r>
    <x v="1309"/>
    <x v="1"/>
    <x v="25"/>
    <x v="1292"/>
    <x v="910"/>
    <x v="1414"/>
    <x v="1"/>
    <x v="0"/>
    <x v="1292"/>
    <x v="0"/>
    <x v="0"/>
    <x v="0"/>
    <x v="0"/>
    <x v="0"/>
    <x v="2"/>
    <x v="1414"/>
    <x v="1402"/>
    <x v="1292"/>
    <x v="1"/>
    <x v="10"/>
    <x v="0"/>
    <x v="17"/>
    <x v="17"/>
    <x v="0"/>
    <x v="0"/>
    <x v="0"/>
    <x v="31"/>
    <x v="0"/>
    <x v="0"/>
    <x v="1"/>
    <x v="1"/>
  </r>
  <r>
    <x v="1308"/>
    <x v="1"/>
    <x v="25"/>
    <x v="1291"/>
    <x v="912"/>
    <x v="1419"/>
    <x v="1"/>
    <x v="0"/>
    <x v="1291"/>
    <x v="0"/>
    <x v="0"/>
    <x v="0"/>
    <x v="0"/>
    <x v="0"/>
    <x v="2"/>
    <x v="1419"/>
    <x v="1407"/>
    <x v="1291"/>
    <x v="1"/>
    <x v="10"/>
    <x v="0"/>
    <x v="17"/>
    <x v="17"/>
    <x v="0"/>
    <x v="0"/>
    <x v="0"/>
    <x v="31"/>
    <x v="0"/>
    <x v="0"/>
    <x v="1"/>
    <x v="1"/>
  </r>
  <r>
    <x v="1307"/>
    <x v="1"/>
    <x v="25"/>
    <x v="1290"/>
    <x v="935"/>
    <x v="1428"/>
    <x v="1"/>
    <x v="0"/>
    <x v="1290"/>
    <x v="0"/>
    <x v="0"/>
    <x v="0"/>
    <x v="0"/>
    <x v="0"/>
    <x v="2"/>
    <x v="1428"/>
    <x v="1416"/>
    <x v="1290"/>
    <x v="1"/>
    <x v="10"/>
    <x v="0"/>
    <x v="17"/>
    <x v="17"/>
    <x v="0"/>
    <x v="0"/>
    <x v="0"/>
    <x v="31"/>
    <x v="0"/>
    <x v="0"/>
    <x v="1"/>
    <x v="1"/>
  </r>
  <r>
    <x v="1306"/>
    <x v="1"/>
    <x v="25"/>
    <x v="1289"/>
    <x v="295"/>
    <x v="1295"/>
    <x v="1"/>
    <x v="0"/>
    <x v="1289"/>
    <x v="0"/>
    <x v="0"/>
    <x v="0"/>
    <x v="0"/>
    <x v="0"/>
    <x v="2"/>
    <x v="1295"/>
    <x v="1283"/>
    <x v="1289"/>
    <x v="1"/>
    <x v="10"/>
    <x v="0"/>
    <x v="17"/>
    <x v="17"/>
    <x v="0"/>
    <x v="0"/>
    <x v="0"/>
    <x v="31"/>
    <x v="0"/>
    <x v="0"/>
    <x v="1"/>
    <x v="1"/>
  </r>
  <r>
    <x v="1305"/>
    <x v="1"/>
    <x v="25"/>
    <x v="1288"/>
    <x v="684"/>
    <x v="1346"/>
    <x v="1"/>
    <x v="0"/>
    <x v="1288"/>
    <x v="0"/>
    <x v="0"/>
    <x v="0"/>
    <x v="0"/>
    <x v="0"/>
    <x v="2"/>
    <x v="1346"/>
    <x v="1334"/>
    <x v="1288"/>
    <x v="1"/>
    <x v="10"/>
    <x v="0"/>
    <x v="17"/>
    <x v="17"/>
    <x v="0"/>
    <x v="0"/>
    <x v="0"/>
    <x v="31"/>
    <x v="0"/>
    <x v="0"/>
    <x v="1"/>
    <x v="1"/>
  </r>
  <r>
    <x v="1304"/>
    <x v="1"/>
    <x v="25"/>
    <x v="1287"/>
    <x v="574"/>
    <x v="1331"/>
    <x v="1"/>
    <x v="0"/>
    <x v="1287"/>
    <x v="0"/>
    <x v="0"/>
    <x v="0"/>
    <x v="0"/>
    <x v="0"/>
    <x v="2"/>
    <x v="1331"/>
    <x v="1319"/>
    <x v="1287"/>
    <x v="1"/>
    <x v="10"/>
    <x v="0"/>
    <x v="17"/>
    <x v="17"/>
    <x v="0"/>
    <x v="0"/>
    <x v="0"/>
    <x v="31"/>
    <x v="0"/>
    <x v="0"/>
    <x v="1"/>
    <x v="1"/>
  </r>
  <r>
    <x v="1303"/>
    <x v="1"/>
    <x v="25"/>
    <x v="1286"/>
    <x v="786"/>
    <x v="1361"/>
    <x v="1"/>
    <x v="0"/>
    <x v="1286"/>
    <x v="0"/>
    <x v="0"/>
    <x v="0"/>
    <x v="0"/>
    <x v="0"/>
    <x v="2"/>
    <x v="1361"/>
    <x v="1349"/>
    <x v="1286"/>
    <x v="1"/>
    <x v="10"/>
    <x v="0"/>
    <x v="17"/>
    <x v="17"/>
    <x v="0"/>
    <x v="0"/>
    <x v="0"/>
    <x v="31"/>
    <x v="0"/>
    <x v="0"/>
    <x v="1"/>
    <x v="1"/>
  </r>
  <r>
    <x v="1302"/>
    <x v="1"/>
    <x v="25"/>
    <x v="1285"/>
    <x v="219"/>
    <x v="1278"/>
    <x v="1"/>
    <x v="0"/>
    <x v="1285"/>
    <x v="0"/>
    <x v="0"/>
    <x v="0"/>
    <x v="0"/>
    <x v="0"/>
    <x v="2"/>
    <x v="1278"/>
    <x v="1266"/>
    <x v="1285"/>
    <x v="1"/>
    <x v="10"/>
    <x v="0"/>
    <x v="17"/>
    <x v="17"/>
    <x v="0"/>
    <x v="0"/>
    <x v="0"/>
    <x v="31"/>
    <x v="0"/>
    <x v="0"/>
    <x v="1"/>
    <x v="1"/>
  </r>
  <r>
    <x v="1301"/>
    <x v="1"/>
    <x v="25"/>
    <x v="1284"/>
    <x v="231"/>
    <x v="1282"/>
    <x v="1"/>
    <x v="0"/>
    <x v="1284"/>
    <x v="0"/>
    <x v="0"/>
    <x v="0"/>
    <x v="0"/>
    <x v="0"/>
    <x v="2"/>
    <x v="1282"/>
    <x v="1270"/>
    <x v="1284"/>
    <x v="1"/>
    <x v="10"/>
    <x v="0"/>
    <x v="17"/>
    <x v="17"/>
    <x v="0"/>
    <x v="0"/>
    <x v="0"/>
    <x v="31"/>
    <x v="0"/>
    <x v="0"/>
    <x v="1"/>
    <x v="1"/>
  </r>
  <r>
    <x v="1300"/>
    <x v="1"/>
    <x v="25"/>
    <x v="1283"/>
    <x v="241"/>
    <x v="1285"/>
    <x v="1"/>
    <x v="0"/>
    <x v="1283"/>
    <x v="0"/>
    <x v="0"/>
    <x v="0"/>
    <x v="0"/>
    <x v="0"/>
    <x v="2"/>
    <x v="1285"/>
    <x v="1273"/>
    <x v="1283"/>
    <x v="1"/>
    <x v="10"/>
    <x v="0"/>
    <x v="17"/>
    <x v="17"/>
    <x v="0"/>
    <x v="0"/>
    <x v="0"/>
    <x v="31"/>
    <x v="0"/>
    <x v="0"/>
    <x v="1"/>
    <x v="1"/>
  </r>
  <r>
    <x v="1299"/>
    <x v="1"/>
    <x v="25"/>
    <x v="1282"/>
    <x v="230"/>
    <x v="1281"/>
    <x v="1"/>
    <x v="0"/>
    <x v="1282"/>
    <x v="0"/>
    <x v="0"/>
    <x v="0"/>
    <x v="0"/>
    <x v="0"/>
    <x v="2"/>
    <x v="1281"/>
    <x v="1269"/>
    <x v="1282"/>
    <x v="1"/>
    <x v="10"/>
    <x v="0"/>
    <x v="17"/>
    <x v="17"/>
    <x v="0"/>
    <x v="0"/>
    <x v="0"/>
    <x v="31"/>
    <x v="0"/>
    <x v="0"/>
    <x v="1"/>
    <x v="1"/>
  </r>
  <r>
    <x v="1298"/>
    <x v="1"/>
    <x v="25"/>
    <x v="1281"/>
    <x v="336"/>
    <x v="1306"/>
    <x v="1"/>
    <x v="0"/>
    <x v="1281"/>
    <x v="0"/>
    <x v="0"/>
    <x v="0"/>
    <x v="0"/>
    <x v="0"/>
    <x v="2"/>
    <x v="1306"/>
    <x v="1294"/>
    <x v="1281"/>
    <x v="1"/>
    <x v="10"/>
    <x v="0"/>
    <x v="17"/>
    <x v="17"/>
    <x v="0"/>
    <x v="0"/>
    <x v="0"/>
    <x v="31"/>
    <x v="0"/>
    <x v="0"/>
    <x v="1"/>
    <x v="1"/>
  </r>
  <r>
    <x v="1297"/>
    <x v="1"/>
    <x v="25"/>
    <x v="1280"/>
    <x v="342"/>
    <x v="1308"/>
    <x v="1"/>
    <x v="0"/>
    <x v="1280"/>
    <x v="0"/>
    <x v="0"/>
    <x v="0"/>
    <x v="0"/>
    <x v="0"/>
    <x v="2"/>
    <x v="1308"/>
    <x v="1296"/>
    <x v="1280"/>
    <x v="1"/>
    <x v="10"/>
    <x v="0"/>
    <x v="17"/>
    <x v="17"/>
    <x v="0"/>
    <x v="0"/>
    <x v="0"/>
    <x v="28"/>
    <x v="0"/>
    <x v="0"/>
    <x v="1"/>
    <x v="1"/>
  </r>
  <r>
    <x v="1296"/>
    <x v="1"/>
    <x v="25"/>
    <x v="1279"/>
    <x v="939"/>
    <x v="1430"/>
    <x v="1"/>
    <x v="0"/>
    <x v="1279"/>
    <x v="0"/>
    <x v="0"/>
    <x v="0"/>
    <x v="0"/>
    <x v="0"/>
    <x v="2"/>
    <x v="1430"/>
    <x v="1418"/>
    <x v="1279"/>
    <x v="1"/>
    <x v="10"/>
    <x v="0"/>
    <x v="17"/>
    <x v="17"/>
    <x v="0"/>
    <x v="0"/>
    <x v="0"/>
    <x v="31"/>
    <x v="0"/>
    <x v="0"/>
    <x v="1"/>
    <x v="1"/>
  </r>
  <r>
    <x v="1295"/>
    <x v="1"/>
    <x v="25"/>
    <x v="1278"/>
    <x v="934"/>
    <x v="1427"/>
    <x v="1"/>
    <x v="0"/>
    <x v="1278"/>
    <x v="0"/>
    <x v="0"/>
    <x v="0"/>
    <x v="0"/>
    <x v="0"/>
    <x v="2"/>
    <x v="1427"/>
    <x v="1415"/>
    <x v="1278"/>
    <x v="1"/>
    <x v="10"/>
    <x v="0"/>
    <x v="17"/>
    <x v="17"/>
    <x v="0"/>
    <x v="0"/>
    <x v="0"/>
    <x v="31"/>
    <x v="0"/>
    <x v="0"/>
    <x v="1"/>
    <x v="1"/>
  </r>
  <r>
    <x v="1294"/>
    <x v="1"/>
    <x v="25"/>
    <x v="1277"/>
    <x v="922"/>
    <x v="1424"/>
    <x v="1"/>
    <x v="0"/>
    <x v="1277"/>
    <x v="0"/>
    <x v="0"/>
    <x v="0"/>
    <x v="0"/>
    <x v="0"/>
    <x v="2"/>
    <x v="1424"/>
    <x v="1412"/>
    <x v="1277"/>
    <x v="1"/>
    <x v="10"/>
    <x v="0"/>
    <x v="17"/>
    <x v="17"/>
    <x v="0"/>
    <x v="0"/>
    <x v="0"/>
    <x v="31"/>
    <x v="0"/>
    <x v="0"/>
    <x v="1"/>
    <x v="1"/>
  </r>
  <r>
    <x v="1293"/>
    <x v="1"/>
    <x v="25"/>
    <x v="1276"/>
    <x v="879"/>
    <x v="1404"/>
    <x v="1"/>
    <x v="0"/>
    <x v="1276"/>
    <x v="0"/>
    <x v="0"/>
    <x v="0"/>
    <x v="0"/>
    <x v="0"/>
    <x v="2"/>
    <x v="1404"/>
    <x v="1392"/>
    <x v="1276"/>
    <x v="1"/>
    <x v="10"/>
    <x v="0"/>
    <x v="17"/>
    <x v="17"/>
    <x v="0"/>
    <x v="0"/>
    <x v="0"/>
    <x v="31"/>
    <x v="0"/>
    <x v="0"/>
    <x v="1"/>
    <x v="1"/>
  </r>
  <r>
    <x v="1292"/>
    <x v="1"/>
    <x v="25"/>
    <x v="1275"/>
    <x v="293"/>
    <x v="1294"/>
    <x v="1"/>
    <x v="0"/>
    <x v="1275"/>
    <x v="0"/>
    <x v="0"/>
    <x v="0"/>
    <x v="0"/>
    <x v="0"/>
    <x v="2"/>
    <x v="1294"/>
    <x v="1282"/>
    <x v="1275"/>
    <x v="1"/>
    <x v="10"/>
    <x v="0"/>
    <x v="17"/>
    <x v="17"/>
    <x v="0"/>
    <x v="0"/>
    <x v="0"/>
    <x v="31"/>
    <x v="0"/>
    <x v="0"/>
    <x v="1"/>
    <x v="1"/>
  </r>
  <r>
    <x v="1291"/>
    <x v="1"/>
    <x v="25"/>
    <x v="1274"/>
    <x v="265"/>
    <x v="1289"/>
    <x v="1"/>
    <x v="0"/>
    <x v="1274"/>
    <x v="0"/>
    <x v="0"/>
    <x v="0"/>
    <x v="0"/>
    <x v="0"/>
    <x v="2"/>
    <x v="1289"/>
    <x v="1277"/>
    <x v="1274"/>
    <x v="1"/>
    <x v="10"/>
    <x v="0"/>
    <x v="17"/>
    <x v="17"/>
    <x v="0"/>
    <x v="0"/>
    <x v="0"/>
    <x v="31"/>
    <x v="0"/>
    <x v="0"/>
    <x v="1"/>
    <x v="1"/>
  </r>
  <r>
    <x v="1290"/>
    <x v="1"/>
    <x v="25"/>
    <x v="1273"/>
    <x v="737"/>
    <x v="1354"/>
    <x v="1"/>
    <x v="0"/>
    <x v="1273"/>
    <x v="0"/>
    <x v="0"/>
    <x v="0"/>
    <x v="0"/>
    <x v="0"/>
    <x v="2"/>
    <x v="1354"/>
    <x v="1342"/>
    <x v="1273"/>
    <x v="1"/>
    <x v="10"/>
    <x v="0"/>
    <x v="17"/>
    <x v="17"/>
    <x v="0"/>
    <x v="0"/>
    <x v="0"/>
    <x v="31"/>
    <x v="0"/>
    <x v="0"/>
    <x v="1"/>
    <x v="1"/>
  </r>
  <r>
    <x v="1289"/>
    <x v="1"/>
    <x v="25"/>
    <x v="1272"/>
    <x v="723"/>
    <x v="1352"/>
    <x v="1"/>
    <x v="0"/>
    <x v="1272"/>
    <x v="0"/>
    <x v="0"/>
    <x v="0"/>
    <x v="0"/>
    <x v="0"/>
    <x v="2"/>
    <x v="1352"/>
    <x v="1340"/>
    <x v="1272"/>
    <x v="1"/>
    <x v="10"/>
    <x v="0"/>
    <x v="17"/>
    <x v="17"/>
    <x v="0"/>
    <x v="0"/>
    <x v="0"/>
    <x v="31"/>
    <x v="0"/>
    <x v="0"/>
    <x v="1"/>
    <x v="1"/>
  </r>
  <r>
    <x v="1288"/>
    <x v="1"/>
    <x v="25"/>
    <x v="1271"/>
    <x v="762"/>
    <x v="1358"/>
    <x v="1"/>
    <x v="0"/>
    <x v="1271"/>
    <x v="0"/>
    <x v="0"/>
    <x v="0"/>
    <x v="0"/>
    <x v="0"/>
    <x v="2"/>
    <x v="1358"/>
    <x v="1346"/>
    <x v="1271"/>
    <x v="1"/>
    <x v="10"/>
    <x v="0"/>
    <x v="17"/>
    <x v="17"/>
    <x v="0"/>
    <x v="0"/>
    <x v="0"/>
    <x v="31"/>
    <x v="0"/>
    <x v="0"/>
    <x v="1"/>
    <x v="1"/>
  </r>
  <r>
    <x v="1287"/>
    <x v="1"/>
    <x v="25"/>
    <x v="1270"/>
    <x v="229"/>
    <x v="1280"/>
    <x v="1"/>
    <x v="0"/>
    <x v="1270"/>
    <x v="0"/>
    <x v="0"/>
    <x v="0"/>
    <x v="0"/>
    <x v="0"/>
    <x v="2"/>
    <x v="1280"/>
    <x v="1268"/>
    <x v="1270"/>
    <x v="1"/>
    <x v="10"/>
    <x v="0"/>
    <x v="17"/>
    <x v="17"/>
    <x v="0"/>
    <x v="0"/>
    <x v="0"/>
    <x v="31"/>
    <x v="0"/>
    <x v="0"/>
    <x v="1"/>
    <x v="1"/>
  </r>
  <r>
    <x v="1286"/>
    <x v="1"/>
    <x v="25"/>
    <x v="1269"/>
    <x v="387"/>
    <x v="1313"/>
    <x v="1"/>
    <x v="0"/>
    <x v="1269"/>
    <x v="0"/>
    <x v="0"/>
    <x v="0"/>
    <x v="0"/>
    <x v="0"/>
    <x v="2"/>
    <x v="1313"/>
    <x v="1301"/>
    <x v="1269"/>
    <x v="1"/>
    <x v="10"/>
    <x v="0"/>
    <x v="17"/>
    <x v="17"/>
    <x v="0"/>
    <x v="0"/>
    <x v="0"/>
    <x v="31"/>
    <x v="0"/>
    <x v="0"/>
    <x v="1"/>
    <x v="1"/>
  </r>
  <r>
    <x v="1285"/>
    <x v="1"/>
    <x v="25"/>
    <x v="1268"/>
    <x v="915"/>
    <x v="1417"/>
    <x v="1"/>
    <x v="0"/>
    <x v="1268"/>
    <x v="0"/>
    <x v="0"/>
    <x v="0"/>
    <x v="0"/>
    <x v="0"/>
    <x v="2"/>
    <x v="1417"/>
    <x v="1405"/>
    <x v="1268"/>
    <x v="1"/>
    <x v="10"/>
    <x v="0"/>
    <x v="17"/>
    <x v="17"/>
    <x v="0"/>
    <x v="0"/>
    <x v="0"/>
    <x v="31"/>
    <x v="0"/>
    <x v="0"/>
    <x v="1"/>
    <x v="1"/>
  </r>
  <r>
    <x v="1284"/>
    <x v="1"/>
    <x v="25"/>
    <x v="1267"/>
    <x v="902"/>
    <x v="1408"/>
    <x v="1"/>
    <x v="0"/>
    <x v="1267"/>
    <x v="0"/>
    <x v="0"/>
    <x v="0"/>
    <x v="0"/>
    <x v="0"/>
    <x v="2"/>
    <x v="1408"/>
    <x v="1396"/>
    <x v="1267"/>
    <x v="1"/>
    <x v="10"/>
    <x v="0"/>
    <x v="17"/>
    <x v="17"/>
    <x v="0"/>
    <x v="0"/>
    <x v="0"/>
    <x v="31"/>
    <x v="0"/>
    <x v="0"/>
    <x v="1"/>
    <x v="1"/>
  </r>
  <r>
    <x v="1283"/>
    <x v="1"/>
    <x v="25"/>
    <x v="1266"/>
    <x v="901"/>
    <x v="1407"/>
    <x v="1"/>
    <x v="0"/>
    <x v="1266"/>
    <x v="0"/>
    <x v="0"/>
    <x v="0"/>
    <x v="0"/>
    <x v="0"/>
    <x v="2"/>
    <x v="1407"/>
    <x v="1395"/>
    <x v="1266"/>
    <x v="1"/>
    <x v="10"/>
    <x v="0"/>
    <x v="17"/>
    <x v="17"/>
    <x v="0"/>
    <x v="0"/>
    <x v="0"/>
    <x v="31"/>
    <x v="0"/>
    <x v="0"/>
    <x v="1"/>
    <x v="1"/>
  </r>
  <r>
    <x v="1282"/>
    <x v="1"/>
    <x v="25"/>
    <x v="1265"/>
    <x v="882"/>
    <x v="1405"/>
    <x v="1"/>
    <x v="0"/>
    <x v="1265"/>
    <x v="0"/>
    <x v="0"/>
    <x v="0"/>
    <x v="0"/>
    <x v="0"/>
    <x v="2"/>
    <x v="1405"/>
    <x v="1393"/>
    <x v="1265"/>
    <x v="1"/>
    <x v="10"/>
    <x v="0"/>
    <x v="17"/>
    <x v="17"/>
    <x v="0"/>
    <x v="0"/>
    <x v="0"/>
    <x v="31"/>
    <x v="0"/>
    <x v="0"/>
    <x v="1"/>
    <x v="1"/>
  </r>
  <r>
    <x v="1281"/>
    <x v="1"/>
    <x v="25"/>
    <x v="1264"/>
    <x v="203"/>
    <x v="1276"/>
    <x v="1"/>
    <x v="0"/>
    <x v="1264"/>
    <x v="0"/>
    <x v="0"/>
    <x v="0"/>
    <x v="0"/>
    <x v="0"/>
    <x v="2"/>
    <x v="1276"/>
    <x v="1264"/>
    <x v="1264"/>
    <x v="1"/>
    <x v="10"/>
    <x v="0"/>
    <x v="17"/>
    <x v="17"/>
    <x v="0"/>
    <x v="0"/>
    <x v="0"/>
    <x v="31"/>
    <x v="0"/>
    <x v="0"/>
    <x v="1"/>
    <x v="1"/>
  </r>
  <r>
    <x v="1280"/>
    <x v="1"/>
    <x v="25"/>
    <x v="1263"/>
    <x v="204"/>
    <x v="1277"/>
    <x v="1"/>
    <x v="0"/>
    <x v="1263"/>
    <x v="0"/>
    <x v="0"/>
    <x v="0"/>
    <x v="0"/>
    <x v="0"/>
    <x v="2"/>
    <x v="1277"/>
    <x v="1265"/>
    <x v="1263"/>
    <x v="1"/>
    <x v="10"/>
    <x v="0"/>
    <x v="17"/>
    <x v="17"/>
    <x v="0"/>
    <x v="0"/>
    <x v="0"/>
    <x v="31"/>
    <x v="0"/>
    <x v="0"/>
    <x v="1"/>
    <x v="1"/>
  </r>
  <r>
    <x v="1279"/>
    <x v="1"/>
    <x v="25"/>
    <x v="1262"/>
    <x v="292"/>
    <x v="1293"/>
    <x v="1"/>
    <x v="0"/>
    <x v="1262"/>
    <x v="0"/>
    <x v="0"/>
    <x v="0"/>
    <x v="0"/>
    <x v="0"/>
    <x v="2"/>
    <x v="1293"/>
    <x v="1281"/>
    <x v="1262"/>
    <x v="1"/>
    <x v="10"/>
    <x v="0"/>
    <x v="17"/>
    <x v="17"/>
    <x v="0"/>
    <x v="0"/>
    <x v="0"/>
    <x v="31"/>
    <x v="0"/>
    <x v="0"/>
    <x v="1"/>
    <x v="1"/>
  </r>
  <r>
    <x v="1278"/>
    <x v="1"/>
    <x v="25"/>
    <x v="1261"/>
    <x v="717"/>
    <x v="1351"/>
    <x v="1"/>
    <x v="0"/>
    <x v="1261"/>
    <x v="0"/>
    <x v="0"/>
    <x v="0"/>
    <x v="0"/>
    <x v="0"/>
    <x v="2"/>
    <x v="1351"/>
    <x v="1339"/>
    <x v="1261"/>
    <x v="1"/>
    <x v="10"/>
    <x v="0"/>
    <x v="17"/>
    <x v="17"/>
    <x v="0"/>
    <x v="0"/>
    <x v="0"/>
    <x v="31"/>
    <x v="0"/>
    <x v="0"/>
    <x v="1"/>
    <x v="1"/>
  </r>
  <r>
    <x v="1277"/>
    <x v="1"/>
    <x v="25"/>
    <x v="1260"/>
    <x v="317"/>
    <x v="1298"/>
    <x v="1"/>
    <x v="0"/>
    <x v="1260"/>
    <x v="0"/>
    <x v="0"/>
    <x v="0"/>
    <x v="0"/>
    <x v="0"/>
    <x v="2"/>
    <x v="1298"/>
    <x v="1286"/>
    <x v="1260"/>
    <x v="1"/>
    <x v="10"/>
    <x v="0"/>
    <x v="17"/>
    <x v="17"/>
    <x v="0"/>
    <x v="0"/>
    <x v="0"/>
    <x v="26"/>
    <x v="0"/>
    <x v="0"/>
    <x v="1"/>
    <x v="1"/>
  </r>
  <r>
    <x v="1276"/>
    <x v="1"/>
    <x v="25"/>
    <x v="1259"/>
    <x v="312"/>
    <x v="1297"/>
    <x v="1"/>
    <x v="0"/>
    <x v="1259"/>
    <x v="0"/>
    <x v="0"/>
    <x v="0"/>
    <x v="0"/>
    <x v="0"/>
    <x v="2"/>
    <x v="1297"/>
    <x v="1285"/>
    <x v="1259"/>
    <x v="1"/>
    <x v="10"/>
    <x v="0"/>
    <x v="17"/>
    <x v="17"/>
    <x v="0"/>
    <x v="0"/>
    <x v="0"/>
    <x v="26"/>
    <x v="0"/>
    <x v="0"/>
    <x v="1"/>
    <x v="1"/>
  </r>
  <r>
    <x v="1275"/>
    <x v="1"/>
    <x v="25"/>
    <x v="1258"/>
    <x v="942"/>
    <x v="1432"/>
    <x v="1"/>
    <x v="0"/>
    <x v="1258"/>
    <x v="0"/>
    <x v="0"/>
    <x v="0"/>
    <x v="0"/>
    <x v="0"/>
    <x v="2"/>
    <x v="1432"/>
    <x v="1420"/>
    <x v="1258"/>
    <x v="1"/>
    <x v="10"/>
    <x v="0"/>
    <x v="17"/>
    <x v="17"/>
    <x v="0"/>
    <x v="0"/>
    <x v="0"/>
    <x v="31"/>
    <x v="0"/>
    <x v="0"/>
    <x v="1"/>
    <x v="1"/>
  </r>
  <r>
    <x v="1274"/>
    <x v="1"/>
    <x v="25"/>
    <x v="1257"/>
    <x v="914"/>
    <x v="1416"/>
    <x v="1"/>
    <x v="0"/>
    <x v="1257"/>
    <x v="0"/>
    <x v="0"/>
    <x v="0"/>
    <x v="0"/>
    <x v="0"/>
    <x v="2"/>
    <x v="1416"/>
    <x v="1404"/>
    <x v="1257"/>
    <x v="1"/>
    <x v="10"/>
    <x v="0"/>
    <x v="17"/>
    <x v="17"/>
    <x v="0"/>
    <x v="0"/>
    <x v="0"/>
    <x v="31"/>
    <x v="0"/>
    <x v="0"/>
    <x v="1"/>
    <x v="1"/>
  </r>
  <r>
    <x v="1273"/>
    <x v="1"/>
    <x v="25"/>
    <x v="1256"/>
    <x v="543"/>
    <x v="1247"/>
    <x v="1"/>
    <x v="0"/>
    <x v="1256"/>
    <x v="0"/>
    <x v="0"/>
    <x v="0"/>
    <x v="0"/>
    <x v="0"/>
    <x v="2"/>
    <x v="1247"/>
    <x v="1235"/>
    <x v="1256"/>
    <x v="1"/>
    <x v="10"/>
    <x v="0"/>
    <x v="17"/>
    <x v="17"/>
    <x v="0"/>
    <x v="0"/>
    <x v="0"/>
    <x v="29"/>
    <x v="0"/>
    <x v="0"/>
    <x v="1"/>
    <x v="1"/>
  </r>
  <r>
    <x v="1272"/>
    <x v="1"/>
    <x v="25"/>
    <x v="1255"/>
    <x v="984"/>
    <x v="557"/>
    <x v="1"/>
    <x v="0"/>
    <x v="1255"/>
    <x v="0"/>
    <x v="0"/>
    <x v="0"/>
    <x v="0"/>
    <x v="0"/>
    <x v="2"/>
    <x v="557"/>
    <x v="545"/>
    <x v="1255"/>
    <x v="1"/>
    <x v="10"/>
    <x v="0"/>
    <x v="17"/>
    <x v="17"/>
    <x v="0"/>
    <x v="0"/>
    <x v="0"/>
    <x v="26"/>
    <x v="0"/>
    <x v="0"/>
    <x v="1"/>
    <x v="1"/>
  </r>
  <r>
    <x v="1271"/>
    <x v="1"/>
    <x v="25"/>
    <x v="1254"/>
    <x v="979"/>
    <x v="555"/>
    <x v="1"/>
    <x v="0"/>
    <x v="1254"/>
    <x v="0"/>
    <x v="0"/>
    <x v="0"/>
    <x v="0"/>
    <x v="0"/>
    <x v="2"/>
    <x v="555"/>
    <x v="543"/>
    <x v="1254"/>
    <x v="1"/>
    <x v="10"/>
    <x v="0"/>
    <x v="17"/>
    <x v="17"/>
    <x v="0"/>
    <x v="0"/>
    <x v="0"/>
    <x v="26"/>
    <x v="0"/>
    <x v="0"/>
    <x v="1"/>
    <x v="1"/>
  </r>
  <r>
    <x v="1270"/>
    <x v="1"/>
    <x v="25"/>
    <x v="1253"/>
    <x v="967"/>
    <x v="551"/>
    <x v="1"/>
    <x v="0"/>
    <x v="1253"/>
    <x v="0"/>
    <x v="0"/>
    <x v="0"/>
    <x v="0"/>
    <x v="0"/>
    <x v="2"/>
    <x v="551"/>
    <x v="539"/>
    <x v="1253"/>
    <x v="1"/>
    <x v="10"/>
    <x v="0"/>
    <x v="17"/>
    <x v="17"/>
    <x v="0"/>
    <x v="0"/>
    <x v="0"/>
    <x v="26"/>
    <x v="0"/>
    <x v="0"/>
    <x v="1"/>
    <x v="1"/>
  </r>
  <r>
    <x v="1269"/>
    <x v="1"/>
    <x v="25"/>
    <x v="1252"/>
    <x v="975"/>
    <x v="554"/>
    <x v="1"/>
    <x v="0"/>
    <x v="1252"/>
    <x v="0"/>
    <x v="0"/>
    <x v="0"/>
    <x v="0"/>
    <x v="0"/>
    <x v="2"/>
    <x v="554"/>
    <x v="542"/>
    <x v="1252"/>
    <x v="1"/>
    <x v="10"/>
    <x v="0"/>
    <x v="17"/>
    <x v="17"/>
    <x v="0"/>
    <x v="0"/>
    <x v="0"/>
    <x v="26"/>
    <x v="0"/>
    <x v="0"/>
    <x v="1"/>
    <x v="1"/>
  </r>
  <r>
    <x v="1268"/>
    <x v="1"/>
    <x v="25"/>
    <x v="1251"/>
    <x v="972"/>
    <x v="553"/>
    <x v="1"/>
    <x v="0"/>
    <x v="1251"/>
    <x v="0"/>
    <x v="0"/>
    <x v="0"/>
    <x v="0"/>
    <x v="0"/>
    <x v="2"/>
    <x v="553"/>
    <x v="541"/>
    <x v="1251"/>
    <x v="1"/>
    <x v="10"/>
    <x v="0"/>
    <x v="17"/>
    <x v="17"/>
    <x v="0"/>
    <x v="0"/>
    <x v="0"/>
    <x v="26"/>
    <x v="0"/>
    <x v="0"/>
    <x v="1"/>
    <x v="1"/>
  </r>
  <r>
    <x v="1267"/>
    <x v="1"/>
    <x v="25"/>
    <x v="1250"/>
    <x v="986"/>
    <x v="558"/>
    <x v="1"/>
    <x v="0"/>
    <x v="1250"/>
    <x v="0"/>
    <x v="0"/>
    <x v="0"/>
    <x v="0"/>
    <x v="0"/>
    <x v="2"/>
    <x v="558"/>
    <x v="546"/>
    <x v="1250"/>
    <x v="1"/>
    <x v="10"/>
    <x v="0"/>
    <x v="17"/>
    <x v="17"/>
    <x v="0"/>
    <x v="0"/>
    <x v="0"/>
    <x v="26"/>
    <x v="0"/>
    <x v="0"/>
    <x v="1"/>
    <x v="1"/>
  </r>
  <r>
    <x v="1266"/>
    <x v="1"/>
    <x v="25"/>
    <x v="1249"/>
    <x v="969"/>
    <x v="552"/>
    <x v="1"/>
    <x v="0"/>
    <x v="1249"/>
    <x v="0"/>
    <x v="0"/>
    <x v="0"/>
    <x v="0"/>
    <x v="0"/>
    <x v="2"/>
    <x v="552"/>
    <x v="540"/>
    <x v="1249"/>
    <x v="1"/>
    <x v="10"/>
    <x v="0"/>
    <x v="17"/>
    <x v="17"/>
    <x v="0"/>
    <x v="0"/>
    <x v="0"/>
    <x v="26"/>
    <x v="0"/>
    <x v="0"/>
    <x v="1"/>
    <x v="1"/>
  </r>
  <r>
    <x v="1265"/>
    <x v="1"/>
    <x v="25"/>
    <x v="1248"/>
    <x v="982"/>
    <x v="556"/>
    <x v="1"/>
    <x v="0"/>
    <x v="1248"/>
    <x v="0"/>
    <x v="0"/>
    <x v="0"/>
    <x v="0"/>
    <x v="0"/>
    <x v="2"/>
    <x v="556"/>
    <x v="544"/>
    <x v="1248"/>
    <x v="1"/>
    <x v="10"/>
    <x v="0"/>
    <x v="17"/>
    <x v="17"/>
    <x v="0"/>
    <x v="0"/>
    <x v="0"/>
    <x v="26"/>
    <x v="0"/>
    <x v="0"/>
    <x v="1"/>
    <x v="1"/>
  </r>
  <r>
    <x v="1264"/>
    <x v="1"/>
    <x v="25"/>
    <x v="1247"/>
    <x v="896"/>
    <x v="545"/>
    <x v="1"/>
    <x v="0"/>
    <x v="1247"/>
    <x v="0"/>
    <x v="0"/>
    <x v="0"/>
    <x v="0"/>
    <x v="0"/>
    <x v="2"/>
    <x v="545"/>
    <x v="533"/>
    <x v="1247"/>
    <x v="1"/>
    <x v="10"/>
    <x v="0"/>
    <x v="17"/>
    <x v="17"/>
    <x v="0"/>
    <x v="0"/>
    <x v="0"/>
    <x v="26"/>
    <x v="0"/>
    <x v="0"/>
    <x v="1"/>
    <x v="1"/>
  </r>
  <r>
    <x v="1263"/>
    <x v="1"/>
    <x v="25"/>
    <x v="1246"/>
    <x v="894"/>
    <x v="544"/>
    <x v="1"/>
    <x v="0"/>
    <x v="1246"/>
    <x v="0"/>
    <x v="0"/>
    <x v="0"/>
    <x v="0"/>
    <x v="0"/>
    <x v="2"/>
    <x v="544"/>
    <x v="532"/>
    <x v="1246"/>
    <x v="1"/>
    <x v="10"/>
    <x v="0"/>
    <x v="17"/>
    <x v="17"/>
    <x v="0"/>
    <x v="0"/>
    <x v="0"/>
    <x v="26"/>
    <x v="0"/>
    <x v="0"/>
    <x v="1"/>
    <x v="1"/>
  </r>
  <r>
    <x v="1262"/>
    <x v="1"/>
    <x v="25"/>
    <x v="1245"/>
    <x v="181"/>
    <x v="491"/>
    <x v="1"/>
    <x v="0"/>
    <x v="1245"/>
    <x v="0"/>
    <x v="0"/>
    <x v="0"/>
    <x v="0"/>
    <x v="0"/>
    <x v="2"/>
    <x v="491"/>
    <x v="479"/>
    <x v="1245"/>
    <x v="1"/>
    <x v="10"/>
    <x v="0"/>
    <x v="17"/>
    <x v="17"/>
    <x v="0"/>
    <x v="0"/>
    <x v="0"/>
    <x v="26"/>
    <x v="0"/>
    <x v="0"/>
    <x v="1"/>
    <x v="1"/>
  </r>
  <r>
    <x v="1261"/>
    <x v="1"/>
    <x v="25"/>
    <x v="1244"/>
    <x v="299"/>
    <x v="499"/>
    <x v="1"/>
    <x v="0"/>
    <x v="1244"/>
    <x v="0"/>
    <x v="0"/>
    <x v="0"/>
    <x v="0"/>
    <x v="0"/>
    <x v="2"/>
    <x v="499"/>
    <x v="487"/>
    <x v="1244"/>
    <x v="1"/>
    <x v="10"/>
    <x v="0"/>
    <x v="17"/>
    <x v="17"/>
    <x v="0"/>
    <x v="0"/>
    <x v="0"/>
    <x v="26"/>
    <x v="0"/>
    <x v="0"/>
    <x v="1"/>
    <x v="1"/>
  </r>
  <r>
    <x v="1260"/>
    <x v="1"/>
    <x v="25"/>
    <x v="1243"/>
    <x v="285"/>
    <x v="498"/>
    <x v="1"/>
    <x v="0"/>
    <x v="1243"/>
    <x v="0"/>
    <x v="0"/>
    <x v="0"/>
    <x v="0"/>
    <x v="0"/>
    <x v="2"/>
    <x v="498"/>
    <x v="486"/>
    <x v="1243"/>
    <x v="1"/>
    <x v="10"/>
    <x v="0"/>
    <x v="17"/>
    <x v="17"/>
    <x v="0"/>
    <x v="0"/>
    <x v="0"/>
    <x v="26"/>
    <x v="0"/>
    <x v="0"/>
    <x v="1"/>
    <x v="1"/>
  </r>
  <r>
    <x v="1259"/>
    <x v="1"/>
    <x v="25"/>
    <x v="1242"/>
    <x v="261"/>
    <x v="495"/>
    <x v="1"/>
    <x v="0"/>
    <x v="1242"/>
    <x v="0"/>
    <x v="0"/>
    <x v="0"/>
    <x v="0"/>
    <x v="0"/>
    <x v="2"/>
    <x v="495"/>
    <x v="483"/>
    <x v="1242"/>
    <x v="1"/>
    <x v="10"/>
    <x v="0"/>
    <x v="17"/>
    <x v="17"/>
    <x v="0"/>
    <x v="0"/>
    <x v="0"/>
    <x v="26"/>
    <x v="0"/>
    <x v="0"/>
    <x v="1"/>
    <x v="1"/>
  </r>
  <r>
    <x v="1258"/>
    <x v="1"/>
    <x v="25"/>
    <x v="1241"/>
    <x v="267"/>
    <x v="496"/>
    <x v="1"/>
    <x v="0"/>
    <x v="1241"/>
    <x v="0"/>
    <x v="0"/>
    <x v="0"/>
    <x v="0"/>
    <x v="0"/>
    <x v="2"/>
    <x v="496"/>
    <x v="484"/>
    <x v="1241"/>
    <x v="1"/>
    <x v="10"/>
    <x v="0"/>
    <x v="17"/>
    <x v="17"/>
    <x v="0"/>
    <x v="0"/>
    <x v="0"/>
    <x v="26"/>
    <x v="0"/>
    <x v="0"/>
    <x v="1"/>
    <x v="1"/>
  </r>
  <r>
    <x v="1257"/>
    <x v="1"/>
    <x v="25"/>
    <x v="1240"/>
    <x v="277"/>
    <x v="497"/>
    <x v="1"/>
    <x v="0"/>
    <x v="1240"/>
    <x v="0"/>
    <x v="0"/>
    <x v="0"/>
    <x v="0"/>
    <x v="0"/>
    <x v="2"/>
    <x v="497"/>
    <x v="485"/>
    <x v="1240"/>
    <x v="1"/>
    <x v="10"/>
    <x v="0"/>
    <x v="17"/>
    <x v="17"/>
    <x v="0"/>
    <x v="0"/>
    <x v="0"/>
    <x v="26"/>
    <x v="0"/>
    <x v="0"/>
    <x v="1"/>
    <x v="1"/>
  </r>
  <r>
    <x v="1256"/>
    <x v="1"/>
    <x v="25"/>
    <x v="1239"/>
    <x v="721"/>
    <x v="531"/>
    <x v="1"/>
    <x v="0"/>
    <x v="1239"/>
    <x v="0"/>
    <x v="0"/>
    <x v="0"/>
    <x v="0"/>
    <x v="0"/>
    <x v="2"/>
    <x v="531"/>
    <x v="519"/>
    <x v="1239"/>
    <x v="1"/>
    <x v="10"/>
    <x v="0"/>
    <x v="17"/>
    <x v="17"/>
    <x v="0"/>
    <x v="0"/>
    <x v="0"/>
    <x v="26"/>
    <x v="0"/>
    <x v="0"/>
    <x v="1"/>
    <x v="1"/>
  </r>
  <r>
    <x v="1255"/>
    <x v="1"/>
    <x v="25"/>
    <x v="1238"/>
    <x v="735"/>
    <x v="534"/>
    <x v="1"/>
    <x v="0"/>
    <x v="1238"/>
    <x v="0"/>
    <x v="0"/>
    <x v="0"/>
    <x v="0"/>
    <x v="0"/>
    <x v="2"/>
    <x v="534"/>
    <x v="522"/>
    <x v="1238"/>
    <x v="1"/>
    <x v="10"/>
    <x v="0"/>
    <x v="17"/>
    <x v="17"/>
    <x v="0"/>
    <x v="0"/>
    <x v="0"/>
    <x v="26"/>
    <x v="0"/>
    <x v="0"/>
    <x v="1"/>
    <x v="1"/>
  </r>
  <r>
    <x v="1254"/>
    <x v="1"/>
    <x v="25"/>
    <x v="1237"/>
    <x v="712"/>
    <x v="528"/>
    <x v="1"/>
    <x v="0"/>
    <x v="1237"/>
    <x v="0"/>
    <x v="0"/>
    <x v="0"/>
    <x v="0"/>
    <x v="0"/>
    <x v="2"/>
    <x v="528"/>
    <x v="516"/>
    <x v="1237"/>
    <x v="1"/>
    <x v="10"/>
    <x v="0"/>
    <x v="17"/>
    <x v="17"/>
    <x v="0"/>
    <x v="0"/>
    <x v="0"/>
    <x v="26"/>
    <x v="0"/>
    <x v="0"/>
    <x v="1"/>
    <x v="1"/>
  </r>
  <r>
    <x v="1253"/>
    <x v="1"/>
    <x v="25"/>
    <x v="1236"/>
    <x v="682"/>
    <x v="523"/>
    <x v="1"/>
    <x v="0"/>
    <x v="1236"/>
    <x v="0"/>
    <x v="0"/>
    <x v="0"/>
    <x v="0"/>
    <x v="0"/>
    <x v="2"/>
    <x v="523"/>
    <x v="511"/>
    <x v="1236"/>
    <x v="1"/>
    <x v="10"/>
    <x v="0"/>
    <x v="17"/>
    <x v="17"/>
    <x v="0"/>
    <x v="0"/>
    <x v="0"/>
    <x v="26"/>
    <x v="0"/>
    <x v="0"/>
    <x v="1"/>
    <x v="1"/>
  </r>
  <r>
    <x v="1252"/>
    <x v="1"/>
    <x v="25"/>
    <x v="1235"/>
    <x v="727"/>
    <x v="532"/>
    <x v="1"/>
    <x v="0"/>
    <x v="1235"/>
    <x v="0"/>
    <x v="0"/>
    <x v="0"/>
    <x v="0"/>
    <x v="0"/>
    <x v="2"/>
    <x v="532"/>
    <x v="520"/>
    <x v="1235"/>
    <x v="1"/>
    <x v="10"/>
    <x v="0"/>
    <x v="17"/>
    <x v="17"/>
    <x v="0"/>
    <x v="0"/>
    <x v="0"/>
    <x v="26"/>
    <x v="0"/>
    <x v="0"/>
    <x v="1"/>
    <x v="1"/>
  </r>
  <r>
    <x v="1251"/>
    <x v="1"/>
    <x v="25"/>
    <x v="1234"/>
    <x v="729"/>
    <x v="533"/>
    <x v="1"/>
    <x v="0"/>
    <x v="1234"/>
    <x v="0"/>
    <x v="0"/>
    <x v="0"/>
    <x v="0"/>
    <x v="0"/>
    <x v="2"/>
    <x v="533"/>
    <x v="521"/>
    <x v="1234"/>
    <x v="1"/>
    <x v="10"/>
    <x v="0"/>
    <x v="17"/>
    <x v="17"/>
    <x v="0"/>
    <x v="0"/>
    <x v="0"/>
    <x v="26"/>
    <x v="0"/>
    <x v="0"/>
    <x v="1"/>
    <x v="1"/>
  </r>
  <r>
    <x v="1250"/>
    <x v="1"/>
    <x v="25"/>
    <x v="1233"/>
    <x v="695"/>
    <x v="525"/>
    <x v="1"/>
    <x v="0"/>
    <x v="1233"/>
    <x v="0"/>
    <x v="0"/>
    <x v="0"/>
    <x v="0"/>
    <x v="0"/>
    <x v="2"/>
    <x v="525"/>
    <x v="513"/>
    <x v="1233"/>
    <x v="1"/>
    <x v="10"/>
    <x v="0"/>
    <x v="17"/>
    <x v="17"/>
    <x v="0"/>
    <x v="0"/>
    <x v="0"/>
    <x v="26"/>
    <x v="0"/>
    <x v="0"/>
    <x v="1"/>
    <x v="1"/>
  </r>
  <r>
    <x v="1249"/>
    <x v="1"/>
    <x v="25"/>
    <x v="1232"/>
    <x v="691"/>
    <x v="524"/>
    <x v="1"/>
    <x v="0"/>
    <x v="1232"/>
    <x v="0"/>
    <x v="0"/>
    <x v="0"/>
    <x v="0"/>
    <x v="0"/>
    <x v="2"/>
    <x v="524"/>
    <x v="512"/>
    <x v="1232"/>
    <x v="1"/>
    <x v="10"/>
    <x v="0"/>
    <x v="17"/>
    <x v="17"/>
    <x v="0"/>
    <x v="0"/>
    <x v="0"/>
    <x v="26"/>
    <x v="0"/>
    <x v="0"/>
    <x v="1"/>
    <x v="1"/>
  </r>
  <r>
    <x v="1248"/>
    <x v="1"/>
    <x v="25"/>
    <x v="1231"/>
    <x v="715"/>
    <x v="529"/>
    <x v="1"/>
    <x v="0"/>
    <x v="1231"/>
    <x v="0"/>
    <x v="0"/>
    <x v="0"/>
    <x v="0"/>
    <x v="0"/>
    <x v="2"/>
    <x v="529"/>
    <x v="517"/>
    <x v="1231"/>
    <x v="1"/>
    <x v="10"/>
    <x v="0"/>
    <x v="17"/>
    <x v="17"/>
    <x v="0"/>
    <x v="0"/>
    <x v="0"/>
    <x v="26"/>
    <x v="0"/>
    <x v="0"/>
    <x v="1"/>
    <x v="1"/>
  </r>
  <r>
    <x v="1247"/>
    <x v="1"/>
    <x v="25"/>
    <x v="1230"/>
    <x v="702"/>
    <x v="526"/>
    <x v="1"/>
    <x v="0"/>
    <x v="1230"/>
    <x v="0"/>
    <x v="0"/>
    <x v="0"/>
    <x v="0"/>
    <x v="0"/>
    <x v="2"/>
    <x v="526"/>
    <x v="514"/>
    <x v="1230"/>
    <x v="1"/>
    <x v="10"/>
    <x v="0"/>
    <x v="17"/>
    <x v="17"/>
    <x v="0"/>
    <x v="0"/>
    <x v="0"/>
    <x v="26"/>
    <x v="0"/>
    <x v="0"/>
    <x v="1"/>
    <x v="1"/>
  </r>
  <r>
    <x v="1246"/>
    <x v="1"/>
    <x v="25"/>
    <x v="1229"/>
    <x v="706"/>
    <x v="527"/>
    <x v="1"/>
    <x v="0"/>
    <x v="1229"/>
    <x v="0"/>
    <x v="0"/>
    <x v="0"/>
    <x v="0"/>
    <x v="0"/>
    <x v="2"/>
    <x v="527"/>
    <x v="515"/>
    <x v="1229"/>
    <x v="1"/>
    <x v="10"/>
    <x v="0"/>
    <x v="17"/>
    <x v="17"/>
    <x v="0"/>
    <x v="0"/>
    <x v="0"/>
    <x v="26"/>
    <x v="0"/>
    <x v="0"/>
    <x v="1"/>
    <x v="1"/>
  </r>
  <r>
    <x v="1245"/>
    <x v="1"/>
    <x v="25"/>
    <x v="1228"/>
    <x v="718"/>
    <x v="530"/>
    <x v="1"/>
    <x v="0"/>
    <x v="1228"/>
    <x v="0"/>
    <x v="0"/>
    <x v="0"/>
    <x v="0"/>
    <x v="0"/>
    <x v="2"/>
    <x v="530"/>
    <x v="518"/>
    <x v="1228"/>
    <x v="1"/>
    <x v="10"/>
    <x v="0"/>
    <x v="17"/>
    <x v="17"/>
    <x v="0"/>
    <x v="0"/>
    <x v="0"/>
    <x v="26"/>
    <x v="0"/>
    <x v="0"/>
    <x v="1"/>
    <x v="1"/>
  </r>
  <r>
    <x v="1244"/>
    <x v="1"/>
    <x v="25"/>
    <x v="1227"/>
    <x v="569"/>
    <x v="514"/>
    <x v="1"/>
    <x v="0"/>
    <x v="1227"/>
    <x v="0"/>
    <x v="0"/>
    <x v="0"/>
    <x v="0"/>
    <x v="0"/>
    <x v="2"/>
    <x v="514"/>
    <x v="502"/>
    <x v="1227"/>
    <x v="1"/>
    <x v="10"/>
    <x v="0"/>
    <x v="17"/>
    <x v="17"/>
    <x v="0"/>
    <x v="0"/>
    <x v="0"/>
    <x v="26"/>
    <x v="0"/>
    <x v="0"/>
    <x v="1"/>
    <x v="1"/>
  </r>
  <r>
    <x v="1243"/>
    <x v="1"/>
    <x v="25"/>
    <x v="1226"/>
    <x v="555"/>
    <x v="513"/>
    <x v="1"/>
    <x v="0"/>
    <x v="1226"/>
    <x v="0"/>
    <x v="0"/>
    <x v="0"/>
    <x v="0"/>
    <x v="0"/>
    <x v="2"/>
    <x v="513"/>
    <x v="501"/>
    <x v="1226"/>
    <x v="1"/>
    <x v="10"/>
    <x v="0"/>
    <x v="17"/>
    <x v="17"/>
    <x v="0"/>
    <x v="0"/>
    <x v="0"/>
    <x v="26"/>
    <x v="0"/>
    <x v="0"/>
    <x v="1"/>
    <x v="1"/>
  </r>
  <r>
    <x v="1242"/>
    <x v="1"/>
    <x v="25"/>
    <x v="1225"/>
    <x v="578"/>
    <x v="517"/>
    <x v="1"/>
    <x v="0"/>
    <x v="1225"/>
    <x v="0"/>
    <x v="0"/>
    <x v="0"/>
    <x v="0"/>
    <x v="0"/>
    <x v="2"/>
    <x v="517"/>
    <x v="505"/>
    <x v="1225"/>
    <x v="1"/>
    <x v="10"/>
    <x v="0"/>
    <x v="17"/>
    <x v="17"/>
    <x v="0"/>
    <x v="0"/>
    <x v="0"/>
    <x v="26"/>
    <x v="0"/>
    <x v="0"/>
    <x v="1"/>
    <x v="1"/>
  </r>
  <r>
    <x v="1241"/>
    <x v="1"/>
    <x v="25"/>
    <x v="1224"/>
    <x v="571"/>
    <x v="515"/>
    <x v="1"/>
    <x v="0"/>
    <x v="1224"/>
    <x v="0"/>
    <x v="0"/>
    <x v="0"/>
    <x v="0"/>
    <x v="0"/>
    <x v="2"/>
    <x v="515"/>
    <x v="503"/>
    <x v="1224"/>
    <x v="1"/>
    <x v="10"/>
    <x v="0"/>
    <x v="17"/>
    <x v="17"/>
    <x v="0"/>
    <x v="0"/>
    <x v="0"/>
    <x v="26"/>
    <x v="0"/>
    <x v="0"/>
    <x v="1"/>
    <x v="1"/>
  </r>
  <r>
    <x v="1240"/>
    <x v="1"/>
    <x v="25"/>
    <x v="1223"/>
    <x v="545"/>
    <x v="511"/>
    <x v="1"/>
    <x v="0"/>
    <x v="1223"/>
    <x v="0"/>
    <x v="0"/>
    <x v="0"/>
    <x v="0"/>
    <x v="0"/>
    <x v="2"/>
    <x v="511"/>
    <x v="499"/>
    <x v="1223"/>
    <x v="1"/>
    <x v="10"/>
    <x v="0"/>
    <x v="17"/>
    <x v="17"/>
    <x v="0"/>
    <x v="0"/>
    <x v="0"/>
    <x v="26"/>
    <x v="0"/>
    <x v="0"/>
    <x v="1"/>
    <x v="1"/>
  </r>
  <r>
    <x v="1239"/>
    <x v="1"/>
    <x v="25"/>
    <x v="1222"/>
    <x v="575"/>
    <x v="516"/>
    <x v="1"/>
    <x v="0"/>
    <x v="1222"/>
    <x v="0"/>
    <x v="0"/>
    <x v="0"/>
    <x v="0"/>
    <x v="0"/>
    <x v="2"/>
    <x v="516"/>
    <x v="504"/>
    <x v="1222"/>
    <x v="1"/>
    <x v="10"/>
    <x v="0"/>
    <x v="17"/>
    <x v="17"/>
    <x v="0"/>
    <x v="0"/>
    <x v="0"/>
    <x v="26"/>
    <x v="0"/>
    <x v="0"/>
    <x v="1"/>
    <x v="1"/>
  </r>
  <r>
    <x v="1238"/>
    <x v="1"/>
    <x v="25"/>
    <x v="1221"/>
    <x v="551"/>
    <x v="512"/>
    <x v="1"/>
    <x v="0"/>
    <x v="1221"/>
    <x v="0"/>
    <x v="0"/>
    <x v="0"/>
    <x v="0"/>
    <x v="0"/>
    <x v="2"/>
    <x v="512"/>
    <x v="500"/>
    <x v="1221"/>
    <x v="1"/>
    <x v="10"/>
    <x v="0"/>
    <x v="17"/>
    <x v="17"/>
    <x v="0"/>
    <x v="0"/>
    <x v="0"/>
    <x v="26"/>
    <x v="0"/>
    <x v="0"/>
    <x v="1"/>
    <x v="1"/>
  </r>
  <r>
    <x v="1237"/>
    <x v="1"/>
    <x v="25"/>
    <x v="1220"/>
    <x v="776"/>
    <x v="535"/>
    <x v="1"/>
    <x v="0"/>
    <x v="1220"/>
    <x v="0"/>
    <x v="0"/>
    <x v="0"/>
    <x v="0"/>
    <x v="0"/>
    <x v="2"/>
    <x v="535"/>
    <x v="523"/>
    <x v="1220"/>
    <x v="1"/>
    <x v="10"/>
    <x v="0"/>
    <x v="17"/>
    <x v="17"/>
    <x v="0"/>
    <x v="0"/>
    <x v="0"/>
    <x v="26"/>
    <x v="0"/>
    <x v="0"/>
    <x v="1"/>
    <x v="1"/>
  </r>
  <r>
    <x v="1236"/>
    <x v="1"/>
    <x v="25"/>
    <x v="1219"/>
    <x v="784"/>
    <x v="536"/>
    <x v="1"/>
    <x v="0"/>
    <x v="1219"/>
    <x v="0"/>
    <x v="0"/>
    <x v="0"/>
    <x v="0"/>
    <x v="0"/>
    <x v="2"/>
    <x v="536"/>
    <x v="524"/>
    <x v="1219"/>
    <x v="1"/>
    <x v="10"/>
    <x v="0"/>
    <x v="17"/>
    <x v="17"/>
    <x v="0"/>
    <x v="0"/>
    <x v="0"/>
    <x v="26"/>
    <x v="0"/>
    <x v="0"/>
    <x v="1"/>
    <x v="1"/>
  </r>
  <r>
    <x v="1235"/>
    <x v="1"/>
    <x v="25"/>
    <x v="1218"/>
    <x v="236"/>
    <x v="494"/>
    <x v="1"/>
    <x v="0"/>
    <x v="1218"/>
    <x v="0"/>
    <x v="0"/>
    <x v="0"/>
    <x v="0"/>
    <x v="0"/>
    <x v="2"/>
    <x v="494"/>
    <x v="482"/>
    <x v="1218"/>
    <x v="1"/>
    <x v="10"/>
    <x v="0"/>
    <x v="17"/>
    <x v="17"/>
    <x v="0"/>
    <x v="0"/>
    <x v="0"/>
    <x v="26"/>
    <x v="0"/>
    <x v="0"/>
    <x v="1"/>
    <x v="1"/>
  </r>
  <r>
    <x v="1234"/>
    <x v="1"/>
    <x v="25"/>
    <x v="1217"/>
    <x v="217"/>
    <x v="492"/>
    <x v="1"/>
    <x v="0"/>
    <x v="1217"/>
    <x v="0"/>
    <x v="0"/>
    <x v="0"/>
    <x v="0"/>
    <x v="0"/>
    <x v="2"/>
    <x v="492"/>
    <x v="480"/>
    <x v="1217"/>
    <x v="1"/>
    <x v="10"/>
    <x v="0"/>
    <x v="17"/>
    <x v="17"/>
    <x v="0"/>
    <x v="0"/>
    <x v="0"/>
    <x v="26"/>
    <x v="0"/>
    <x v="0"/>
    <x v="1"/>
    <x v="1"/>
  </r>
  <r>
    <x v="1233"/>
    <x v="1"/>
    <x v="25"/>
    <x v="1216"/>
    <x v="227"/>
    <x v="493"/>
    <x v="1"/>
    <x v="0"/>
    <x v="1216"/>
    <x v="0"/>
    <x v="0"/>
    <x v="0"/>
    <x v="0"/>
    <x v="0"/>
    <x v="2"/>
    <x v="493"/>
    <x v="481"/>
    <x v="1216"/>
    <x v="1"/>
    <x v="10"/>
    <x v="0"/>
    <x v="17"/>
    <x v="17"/>
    <x v="0"/>
    <x v="0"/>
    <x v="0"/>
    <x v="26"/>
    <x v="0"/>
    <x v="0"/>
    <x v="1"/>
    <x v="1"/>
  </r>
  <r>
    <x v="1232"/>
    <x v="1"/>
    <x v="25"/>
    <x v="1215"/>
    <x v="340"/>
    <x v="502"/>
    <x v="1"/>
    <x v="0"/>
    <x v="1215"/>
    <x v="0"/>
    <x v="0"/>
    <x v="0"/>
    <x v="0"/>
    <x v="0"/>
    <x v="2"/>
    <x v="502"/>
    <x v="490"/>
    <x v="1215"/>
    <x v="1"/>
    <x v="10"/>
    <x v="0"/>
    <x v="17"/>
    <x v="17"/>
    <x v="0"/>
    <x v="0"/>
    <x v="0"/>
    <x v="26"/>
    <x v="0"/>
    <x v="0"/>
    <x v="1"/>
    <x v="1"/>
  </r>
  <r>
    <x v="1231"/>
    <x v="1"/>
    <x v="25"/>
    <x v="1214"/>
    <x v="327"/>
    <x v="501"/>
    <x v="1"/>
    <x v="0"/>
    <x v="1214"/>
    <x v="0"/>
    <x v="0"/>
    <x v="0"/>
    <x v="0"/>
    <x v="0"/>
    <x v="2"/>
    <x v="501"/>
    <x v="489"/>
    <x v="1214"/>
    <x v="1"/>
    <x v="10"/>
    <x v="0"/>
    <x v="17"/>
    <x v="17"/>
    <x v="0"/>
    <x v="0"/>
    <x v="0"/>
    <x v="26"/>
    <x v="0"/>
    <x v="0"/>
    <x v="1"/>
    <x v="1"/>
  </r>
  <r>
    <x v="1230"/>
    <x v="1"/>
    <x v="25"/>
    <x v="1213"/>
    <x v="323"/>
    <x v="500"/>
    <x v="1"/>
    <x v="0"/>
    <x v="1213"/>
    <x v="0"/>
    <x v="0"/>
    <x v="0"/>
    <x v="0"/>
    <x v="0"/>
    <x v="2"/>
    <x v="500"/>
    <x v="488"/>
    <x v="1213"/>
    <x v="1"/>
    <x v="10"/>
    <x v="0"/>
    <x v="17"/>
    <x v="17"/>
    <x v="0"/>
    <x v="0"/>
    <x v="0"/>
    <x v="26"/>
    <x v="0"/>
    <x v="0"/>
    <x v="1"/>
    <x v="1"/>
  </r>
  <r>
    <x v="1229"/>
    <x v="1"/>
    <x v="25"/>
    <x v="1212"/>
    <x v="653"/>
    <x v="519"/>
    <x v="1"/>
    <x v="0"/>
    <x v="1212"/>
    <x v="0"/>
    <x v="0"/>
    <x v="0"/>
    <x v="0"/>
    <x v="0"/>
    <x v="2"/>
    <x v="519"/>
    <x v="507"/>
    <x v="1212"/>
    <x v="1"/>
    <x v="10"/>
    <x v="0"/>
    <x v="17"/>
    <x v="17"/>
    <x v="0"/>
    <x v="0"/>
    <x v="0"/>
    <x v="26"/>
    <x v="0"/>
    <x v="0"/>
    <x v="1"/>
    <x v="1"/>
  </r>
  <r>
    <x v="1228"/>
    <x v="1"/>
    <x v="25"/>
    <x v="1211"/>
    <x v="665"/>
    <x v="521"/>
    <x v="1"/>
    <x v="0"/>
    <x v="1211"/>
    <x v="0"/>
    <x v="0"/>
    <x v="0"/>
    <x v="0"/>
    <x v="0"/>
    <x v="2"/>
    <x v="521"/>
    <x v="509"/>
    <x v="1211"/>
    <x v="1"/>
    <x v="10"/>
    <x v="0"/>
    <x v="17"/>
    <x v="17"/>
    <x v="0"/>
    <x v="0"/>
    <x v="0"/>
    <x v="26"/>
    <x v="0"/>
    <x v="0"/>
    <x v="1"/>
    <x v="1"/>
  </r>
  <r>
    <x v="1227"/>
    <x v="1"/>
    <x v="25"/>
    <x v="1210"/>
    <x v="674"/>
    <x v="522"/>
    <x v="1"/>
    <x v="0"/>
    <x v="1210"/>
    <x v="0"/>
    <x v="0"/>
    <x v="0"/>
    <x v="0"/>
    <x v="0"/>
    <x v="2"/>
    <x v="522"/>
    <x v="510"/>
    <x v="1210"/>
    <x v="1"/>
    <x v="10"/>
    <x v="0"/>
    <x v="17"/>
    <x v="17"/>
    <x v="0"/>
    <x v="0"/>
    <x v="0"/>
    <x v="26"/>
    <x v="0"/>
    <x v="0"/>
    <x v="1"/>
    <x v="1"/>
  </r>
  <r>
    <x v="1226"/>
    <x v="1"/>
    <x v="25"/>
    <x v="1209"/>
    <x v="657"/>
    <x v="520"/>
    <x v="1"/>
    <x v="0"/>
    <x v="1209"/>
    <x v="0"/>
    <x v="0"/>
    <x v="0"/>
    <x v="0"/>
    <x v="0"/>
    <x v="2"/>
    <x v="520"/>
    <x v="508"/>
    <x v="1209"/>
    <x v="1"/>
    <x v="10"/>
    <x v="0"/>
    <x v="17"/>
    <x v="17"/>
    <x v="0"/>
    <x v="0"/>
    <x v="0"/>
    <x v="26"/>
    <x v="0"/>
    <x v="0"/>
    <x v="1"/>
    <x v="1"/>
  </r>
  <r>
    <x v="1225"/>
    <x v="1"/>
    <x v="25"/>
    <x v="1208"/>
    <x v="651"/>
    <x v="518"/>
    <x v="1"/>
    <x v="0"/>
    <x v="1208"/>
    <x v="0"/>
    <x v="0"/>
    <x v="0"/>
    <x v="0"/>
    <x v="0"/>
    <x v="2"/>
    <x v="518"/>
    <x v="506"/>
    <x v="1208"/>
    <x v="1"/>
    <x v="10"/>
    <x v="0"/>
    <x v="17"/>
    <x v="17"/>
    <x v="0"/>
    <x v="0"/>
    <x v="0"/>
    <x v="26"/>
    <x v="0"/>
    <x v="0"/>
    <x v="1"/>
    <x v="1"/>
  </r>
  <r>
    <x v="1224"/>
    <x v="1"/>
    <x v="25"/>
    <x v="1207"/>
    <x v="361"/>
    <x v="503"/>
    <x v="1"/>
    <x v="0"/>
    <x v="1207"/>
    <x v="0"/>
    <x v="0"/>
    <x v="0"/>
    <x v="0"/>
    <x v="0"/>
    <x v="2"/>
    <x v="503"/>
    <x v="491"/>
    <x v="1207"/>
    <x v="1"/>
    <x v="10"/>
    <x v="0"/>
    <x v="17"/>
    <x v="17"/>
    <x v="0"/>
    <x v="0"/>
    <x v="0"/>
    <x v="26"/>
    <x v="0"/>
    <x v="0"/>
    <x v="1"/>
    <x v="1"/>
  </r>
  <r>
    <x v="1223"/>
    <x v="1"/>
    <x v="25"/>
    <x v="1206"/>
    <x v="392"/>
    <x v="506"/>
    <x v="1"/>
    <x v="0"/>
    <x v="1206"/>
    <x v="0"/>
    <x v="0"/>
    <x v="0"/>
    <x v="0"/>
    <x v="0"/>
    <x v="2"/>
    <x v="506"/>
    <x v="494"/>
    <x v="1206"/>
    <x v="1"/>
    <x v="10"/>
    <x v="0"/>
    <x v="17"/>
    <x v="17"/>
    <x v="0"/>
    <x v="0"/>
    <x v="0"/>
    <x v="26"/>
    <x v="0"/>
    <x v="0"/>
    <x v="1"/>
    <x v="1"/>
  </r>
  <r>
    <x v="1222"/>
    <x v="1"/>
    <x v="25"/>
    <x v="1205"/>
    <x v="398"/>
    <x v="507"/>
    <x v="1"/>
    <x v="0"/>
    <x v="1205"/>
    <x v="0"/>
    <x v="0"/>
    <x v="0"/>
    <x v="0"/>
    <x v="0"/>
    <x v="2"/>
    <x v="507"/>
    <x v="495"/>
    <x v="1205"/>
    <x v="1"/>
    <x v="10"/>
    <x v="0"/>
    <x v="17"/>
    <x v="17"/>
    <x v="0"/>
    <x v="0"/>
    <x v="0"/>
    <x v="26"/>
    <x v="0"/>
    <x v="0"/>
    <x v="1"/>
    <x v="1"/>
  </r>
  <r>
    <x v="1221"/>
    <x v="1"/>
    <x v="25"/>
    <x v="1204"/>
    <x v="379"/>
    <x v="504"/>
    <x v="1"/>
    <x v="0"/>
    <x v="1204"/>
    <x v="0"/>
    <x v="0"/>
    <x v="0"/>
    <x v="0"/>
    <x v="0"/>
    <x v="2"/>
    <x v="504"/>
    <x v="492"/>
    <x v="1204"/>
    <x v="1"/>
    <x v="10"/>
    <x v="0"/>
    <x v="17"/>
    <x v="17"/>
    <x v="0"/>
    <x v="0"/>
    <x v="0"/>
    <x v="26"/>
    <x v="0"/>
    <x v="0"/>
    <x v="1"/>
    <x v="1"/>
  </r>
  <r>
    <x v="1220"/>
    <x v="1"/>
    <x v="25"/>
    <x v="1203"/>
    <x v="385"/>
    <x v="505"/>
    <x v="1"/>
    <x v="0"/>
    <x v="1203"/>
    <x v="0"/>
    <x v="0"/>
    <x v="0"/>
    <x v="0"/>
    <x v="0"/>
    <x v="2"/>
    <x v="505"/>
    <x v="493"/>
    <x v="1203"/>
    <x v="1"/>
    <x v="10"/>
    <x v="0"/>
    <x v="17"/>
    <x v="17"/>
    <x v="0"/>
    <x v="0"/>
    <x v="0"/>
    <x v="26"/>
    <x v="0"/>
    <x v="0"/>
    <x v="1"/>
    <x v="1"/>
  </r>
  <r>
    <x v="1219"/>
    <x v="1"/>
    <x v="25"/>
    <x v="1202"/>
    <x v="156"/>
    <x v="485"/>
    <x v="1"/>
    <x v="0"/>
    <x v="1202"/>
    <x v="0"/>
    <x v="0"/>
    <x v="0"/>
    <x v="0"/>
    <x v="0"/>
    <x v="2"/>
    <x v="485"/>
    <x v="473"/>
    <x v="1202"/>
    <x v="1"/>
    <x v="10"/>
    <x v="0"/>
    <x v="17"/>
    <x v="17"/>
    <x v="0"/>
    <x v="0"/>
    <x v="0"/>
    <x v="26"/>
    <x v="0"/>
    <x v="0"/>
    <x v="1"/>
    <x v="1"/>
  </r>
  <r>
    <x v="1218"/>
    <x v="1"/>
    <x v="25"/>
    <x v="1201"/>
    <x v="139"/>
    <x v="481"/>
    <x v="1"/>
    <x v="0"/>
    <x v="1201"/>
    <x v="0"/>
    <x v="0"/>
    <x v="0"/>
    <x v="0"/>
    <x v="0"/>
    <x v="2"/>
    <x v="481"/>
    <x v="469"/>
    <x v="1201"/>
    <x v="1"/>
    <x v="10"/>
    <x v="0"/>
    <x v="17"/>
    <x v="17"/>
    <x v="0"/>
    <x v="0"/>
    <x v="0"/>
    <x v="26"/>
    <x v="0"/>
    <x v="0"/>
    <x v="1"/>
    <x v="1"/>
  </r>
  <r>
    <x v="1217"/>
    <x v="1"/>
    <x v="25"/>
    <x v="1200"/>
    <x v="165"/>
    <x v="488"/>
    <x v="1"/>
    <x v="0"/>
    <x v="1200"/>
    <x v="0"/>
    <x v="0"/>
    <x v="0"/>
    <x v="0"/>
    <x v="0"/>
    <x v="2"/>
    <x v="488"/>
    <x v="476"/>
    <x v="1200"/>
    <x v="1"/>
    <x v="10"/>
    <x v="0"/>
    <x v="17"/>
    <x v="17"/>
    <x v="0"/>
    <x v="0"/>
    <x v="0"/>
    <x v="26"/>
    <x v="0"/>
    <x v="0"/>
    <x v="1"/>
    <x v="1"/>
  </r>
  <r>
    <x v="1216"/>
    <x v="1"/>
    <x v="25"/>
    <x v="1199"/>
    <x v="162"/>
    <x v="487"/>
    <x v="1"/>
    <x v="0"/>
    <x v="1199"/>
    <x v="0"/>
    <x v="0"/>
    <x v="0"/>
    <x v="0"/>
    <x v="0"/>
    <x v="2"/>
    <x v="487"/>
    <x v="475"/>
    <x v="1199"/>
    <x v="1"/>
    <x v="10"/>
    <x v="0"/>
    <x v="17"/>
    <x v="17"/>
    <x v="0"/>
    <x v="0"/>
    <x v="0"/>
    <x v="26"/>
    <x v="0"/>
    <x v="0"/>
    <x v="1"/>
    <x v="1"/>
  </r>
  <r>
    <x v="1215"/>
    <x v="1"/>
    <x v="25"/>
    <x v="1198"/>
    <x v="136"/>
    <x v="480"/>
    <x v="1"/>
    <x v="0"/>
    <x v="1198"/>
    <x v="0"/>
    <x v="0"/>
    <x v="0"/>
    <x v="0"/>
    <x v="0"/>
    <x v="2"/>
    <x v="480"/>
    <x v="468"/>
    <x v="1198"/>
    <x v="1"/>
    <x v="10"/>
    <x v="0"/>
    <x v="17"/>
    <x v="17"/>
    <x v="0"/>
    <x v="0"/>
    <x v="0"/>
    <x v="26"/>
    <x v="0"/>
    <x v="0"/>
    <x v="1"/>
    <x v="1"/>
  </r>
  <r>
    <x v="1214"/>
    <x v="1"/>
    <x v="25"/>
    <x v="1197"/>
    <x v="153"/>
    <x v="484"/>
    <x v="1"/>
    <x v="0"/>
    <x v="1197"/>
    <x v="0"/>
    <x v="0"/>
    <x v="0"/>
    <x v="0"/>
    <x v="0"/>
    <x v="2"/>
    <x v="484"/>
    <x v="472"/>
    <x v="1197"/>
    <x v="1"/>
    <x v="10"/>
    <x v="0"/>
    <x v="17"/>
    <x v="17"/>
    <x v="0"/>
    <x v="0"/>
    <x v="0"/>
    <x v="26"/>
    <x v="0"/>
    <x v="0"/>
    <x v="1"/>
    <x v="1"/>
  </r>
  <r>
    <x v="1213"/>
    <x v="1"/>
    <x v="25"/>
    <x v="1196"/>
    <x v="144"/>
    <x v="482"/>
    <x v="1"/>
    <x v="0"/>
    <x v="1196"/>
    <x v="0"/>
    <x v="0"/>
    <x v="0"/>
    <x v="0"/>
    <x v="0"/>
    <x v="2"/>
    <x v="482"/>
    <x v="470"/>
    <x v="1196"/>
    <x v="1"/>
    <x v="10"/>
    <x v="0"/>
    <x v="17"/>
    <x v="17"/>
    <x v="0"/>
    <x v="0"/>
    <x v="0"/>
    <x v="26"/>
    <x v="0"/>
    <x v="0"/>
    <x v="1"/>
    <x v="1"/>
  </r>
  <r>
    <x v="1212"/>
    <x v="1"/>
    <x v="25"/>
    <x v="1195"/>
    <x v="159"/>
    <x v="486"/>
    <x v="1"/>
    <x v="0"/>
    <x v="1195"/>
    <x v="0"/>
    <x v="0"/>
    <x v="0"/>
    <x v="0"/>
    <x v="0"/>
    <x v="2"/>
    <x v="486"/>
    <x v="474"/>
    <x v="1195"/>
    <x v="1"/>
    <x v="10"/>
    <x v="0"/>
    <x v="17"/>
    <x v="17"/>
    <x v="0"/>
    <x v="0"/>
    <x v="0"/>
    <x v="26"/>
    <x v="0"/>
    <x v="0"/>
    <x v="1"/>
    <x v="1"/>
  </r>
  <r>
    <x v="1211"/>
    <x v="1"/>
    <x v="25"/>
    <x v="1194"/>
    <x v="168"/>
    <x v="489"/>
    <x v="1"/>
    <x v="0"/>
    <x v="1194"/>
    <x v="0"/>
    <x v="0"/>
    <x v="0"/>
    <x v="0"/>
    <x v="0"/>
    <x v="2"/>
    <x v="489"/>
    <x v="477"/>
    <x v="1194"/>
    <x v="1"/>
    <x v="10"/>
    <x v="0"/>
    <x v="17"/>
    <x v="17"/>
    <x v="0"/>
    <x v="0"/>
    <x v="0"/>
    <x v="26"/>
    <x v="0"/>
    <x v="0"/>
    <x v="1"/>
    <x v="1"/>
  </r>
  <r>
    <x v="1210"/>
    <x v="1"/>
    <x v="25"/>
    <x v="1193"/>
    <x v="171"/>
    <x v="490"/>
    <x v="1"/>
    <x v="0"/>
    <x v="1193"/>
    <x v="0"/>
    <x v="0"/>
    <x v="0"/>
    <x v="0"/>
    <x v="0"/>
    <x v="2"/>
    <x v="490"/>
    <x v="478"/>
    <x v="1193"/>
    <x v="1"/>
    <x v="10"/>
    <x v="0"/>
    <x v="17"/>
    <x v="17"/>
    <x v="0"/>
    <x v="0"/>
    <x v="0"/>
    <x v="26"/>
    <x v="0"/>
    <x v="0"/>
    <x v="1"/>
    <x v="1"/>
  </r>
  <r>
    <x v="1209"/>
    <x v="1"/>
    <x v="25"/>
    <x v="1192"/>
    <x v="149"/>
    <x v="483"/>
    <x v="1"/>
    <x v="0"/>
    <x v="1192"/>
    <x v="0"/>
    <x v="0"/>
    <x v="0"/>
    <x v="0"/>
    <x v="0"/>
    <x v="2"/>
    <x v="483"/>
    <x v="471"/>
    <x v="1192"/>
    <x v="1"/>
    <x v="10"/>
    <x v="0"/>
    <x v="17"/>
    <x v="17"/>
    <x v="0"/>
    <x v="0"/>
    <x v="0"/>
    <x v="26"/>
    <x v="0"/>
    <x v="0"/>
    <x v="1"/>
    <x v="1"/>
  </r>
  <r>
    <x v="1208"/>
    <x v="1"/>
    <x v="25"/>
    <x v="1191"/>
    <x v="456"/>
    <x v="508"/>
    <x v="1"/>
    <x v="0"/>
    <x v="1191"/>
    <x v="0"/>
    <x v="0"/>
    <x v="0"/>
    <x v="0"/>
    <x v="0"/>
    <x v="2"/>
    <x v="508"/>
    <x v="496"/>
    <x v="1191"/>
    <x v="1"/>
    <x v="10"/>
    <x v="0"/>
    <x v="17"/>
    <x v="17"/>
    <x v="0"/>
    <x v="0"/>
    <x v="0"/>
    <x v="26"/>
    <x v="0"/>
    <x v="0"/>
    <x v="1"/>
    <x v="1"/>
  </r>
  <r>
    <x v="1207"/>
    <x v="1"/>
    <x v="25"/>
    <x v="1190"/>
    <x v="479"/>
    <x v="509"/>
    <x v="1"/>
    <x v="0"/>
    <x v="1190"/>
    <x v="0"/>
    <x v="0"/>
    <x v="0"/>
    <x v="0"/>
    <x v="0"/>
    <x v="2"/>
    <x v="509"/>
    <x v="497"/>
    <x v="1190"/>
    <x v="1"/>
    <x v="10"/>
    <x v="0"/>
    <x v="17"/>
    <x v="17"/>
    <x v="0"/>
    <x v="0"/>
    <x v="0"/>
    <x v="26"/>
    <x v="0"/>
    <x v="0"/>
    <x v="1"/>
    <x v="1"/>
  </r>
  <r>
    <x v="1206"/>
    <x v="1"/>
    <x v="25"/>
    <x v="1189"/>
    <x v="500"/>
    <x v="510"/>
    <x v="1"/>
    <x v="0"/>
    <x v="1189"/>
    <x v="0"/>
    <x v="0"/>
    <x v="0"/>
    <x v="0"/>
    <x v="0"/>
    <x v="2"/>
    <x v="510"/>
    <x v="498"/>
    <x v="1189"/>
    <x v="1"/>
    <x v="10"/>
    <x v="0"/>
    <x v="17"/>
    <x v="17"/>
    <x v="0"/>
    <x v="0"/>
    <x v="0"/>
    <x v="26"/>
    <x v="0"/>
    <x v="0"/>
    <x v="1"/>
    <x v="1"/>
  </r>
  <r>
    <x v="1205"/>
    <x v="1"/>
    <x v="25"/>
    <x v="1188"/>
    <x v="924"/>
    <x v="547"/>
    <x v="1"/>
    <x v="0"/>
    <x v="1188"/>
    <x v="0"/>
    <x v="0"/>
    <x v="0"/>
    <x v="0"/>
    <x v="0"/>
    <x v="2"/>
    <x v="547"/>
    <x v="535"/>
    <x v="1188"/>
    <x v="1"/>
    <x v="10"/>
    <x v="0"/>
    <x v="17"/>
    <x v="17"/>
    <x v="0"/>
    <x v="0"/>
    <x v="0"/>
    <x v="26"/>
    <x v="0"/>
    <x v="0"/>
    <x v="1"/>
    <x v="1"/>
  </r>
  <r>
    <x v="1204"/>
    <x v="1"/>
    <x v="25"/>
    <x v="1187"/>
    <x v="918"/>
    <x v="546"/>
    <x v="1"/>
    <x v="0"/>
    <x v="1187"/>
    <x v="0"/>
    <x v="0"/>
    <x v="0"/>
    <x v="0"/>
    <x v="0"/>
    <x v="2"/>
    <x v="546"/>
    <x v="534"/>
    <x v="1187"/>
    <x v="1"/>
    <x v="10"/>
    <x v="0"/>
    <x v="17"/>
    <x v="17"/>
    <x v="0"/>
    <x v="0"/>
    <x v="0"/>
    <x v="26"/>
    <x v="0"/>
    <x v="0"/>
    <x v="1"/>
    <x v="1"/>
  </r>
  <r>
    <x v="1203"/>
    <x v="1"/>
    <x v="25"/>
    <x v="1186"/>
    <x v="944"/>
    <x v="550"/>
    <x v="1"/>
    <x v="0"/>
    <x v="1186"/>
    <x v="0"/>
    <x v="0"/>
    <x v="0"/>
    <x v="0"/>
    <x v="0"/>
    <x v="2"/>
    <x v="550"/>
    <x v="538"/>
    <x v="1186"/>
    <x v="1"/>
    <x v="10"/>
    <x v="0"/>
    <x v="17"/>
    <x v="17"/>
    <x v="0"/>
    <x v="0"/>
    <x v="0"/>
    <x v="26"/>
    <x v="0"/>
    <x v="0"/>
    <x v="1"/>
    <x v="1"/>
  </r>
  <r>
    <x v="1202"/>
    <x v="1"/>
    <x v="25"/>
    <x v="1185"/>
    <x v="926"/>
    <x v="548"/>
    <x v="1"/>
    <x v="0"/>
    <x v="1185"/>
    <x v="0"/>
    <x v="0"/>
    <x v="0"/>
    <x v="0"/>
    <x v="0"/>
    <x v="2"/>
    <x v="548"/>
    <x v="536"/>
    <x v="1185"/>
    <x v="1"/>
    <x v="10"/>
    <x v="0"/>
    <x v="17"/>
    <x v="17"/>
    <x v="0"/>
    <x v="0"/>
    <x v="0"/>
    <x v="26"/>
    <x v="0"/>
    <x v="0"/>
    <x v="1"/>
    <x v="1"/>
  </r>
  <r>
    <x v="1201"/>
    <x v="1"/>
    <x v="25"/>
    <x v="1184"/>
    <x v="937"/>
    <x v="549"/>
    <x v="1"/>
    <x v="0"/>
    <x v="1184"/>
    <x v="0"/>
    <x v="0"/>
    <x v="0"/>
    <x v="0"/>
    <x v="0"/>
    <x v="2"/>
    <x v="549"/>
    <x v="537"/>
    <x v="1184"/>
    <x v="1"/>
    <x v="10"/>
    <x v="0"/>
    <x v="17"/>
    <x v="17"/>
    <x v="0"/>
    <x v="0"/>
    <x v="0"/>
    <x v="26"/>
    <x v="0"/>
    <x v="0"/>
    <x v="1"/>
    <x v="1"/>
  </r>
  <r>
    <x v="1200"/>
    <x v="1"/>
    <x v="25"/>
    <x v="1183"/>
    <x v="849"/>
    <x v="543"/>
    <x v="1"/>
    <x v="0"/>
    <x v="1183"/>
    <x v="0"/>
    <x v="0"/>
    <x v="0"/>
    <x v="0"/>
    <x v="0"/>
    <x v="2"/>
    <x v="543"/>
    <x v="531"/>
    <x v="1183"/>
    <x v="1"/>
    <x v="10"/>
    <x v="0"/>
    <x v="17"/>
    <x v="17"/>
    <x v="0"/>
    <x v="0"/>
    <x v="0"/>
    <x v="26"/>
    <x v="0"/>
    <x v="0"/>
    <x v="1"/>
    <x v="1"/>
  </r>
  <r>
    <x v="1199"/>
    <x v="1"/>
    <x v="25"/>
    <x v="1182"/>
    <x v="831"/>
    <x v="541"/>
    <x v="1"/>
    <x v="0"/>
    <x v="1182"/>
    <x v="0"/>
    <x v="0"/>
    <x v="0"/>
    <x v="0"/>
    <x v="0"/>
    <x v="2"/>
    <x v="541"/>
    <x v="529"/>
    <x v="1182"/>
    <x v="1"/>
    <x v="10"/>
    <x v="0"/>
    <x v="17"/>
    <x v="17"/>
    <x v="0"/>
    <x v="0"/>
    <x v="0"/>
    <x v="26"/>
    <x v="0"/>
    <x v="0"/>
    <x v="1"/>
    <x v="1"/>
  </r>
  <r>
    <x v="1198"/>
    <x v="1"/>
    <x v="25"/>
    <x v="1181"/>
    <x v="811"/>
    <x v="538"/>
    <x v="1"/>
    <x v="0"/>
    <x v="1181"/>
    <x v="0"/>
    <x v="0"/>
    <x v="0"/>
    <x v="0"/>
    <x v="0"/>
    <x v="2"/>
    <x v="538"/>
    <x v="526"/>
    <x v="1181"/>
    <x v="1"/>
    <x v="10"/>
    <x v="0"/>
    <x v="17"/>
    <x v="17"/>
    <x v="0"/>
    <x v="0"/>
    <x v="0"/>
    <x v="26"/>
    <x v="0"/>
    <x v="0"/>
    <x v="1"/>
    <x v="1"/>
  </r>
  <r>
    <x v="1197"/>
    <x v="1"/>
    <x v="25"/>
    <x v="1180"/>
    <x v="804"/>
    <x v="537"/>
    <x v="1"/>
    <x v="0"/>
    <x v="1180"/>
    <x v="0"/>
    <x v="0"/>
    <x v="0"/>
    <x v="0"/>
    <x v="0"/>
    <x v="2"/>
    <x v="537"/>
    <x v="525"/>
    <x v="1180"/>
    <x v="1"/>
    <x v="10"/>
    <x v="0"/>
    <x v="17"/>
    <x v="17"/>
    <x v="0"/>
    <x v="0"/>
    <x v="0"/>
    <x v="26"/>
    <x v="0"/>
    <x v="0"/>
    <x v="1"/>
    <x v="1"/>
  </r>
  <r>
    <x v="1196"/>
    <x v="1"/>
    <x v="25"/>
    <x v="1179"/>
    <x v="828"/>
    <x v="540"/>
    <x v="1"/>
    <x v="0"/>
    <x v="1179"/>
    <x v="0"/>
    <x v="0"/>
    <x v="0"/>
    <x v="0"/>
    <x v="0"/>
    <x v="2"/>
    <x v="540"/>
    <x v="528"/>
    <x v="1179"/>
    <x v="1"/>
    <x v="10"/>
    <x v="0"/>
    <x v="17"/>
    <x v="17"/>
    <x v="0"/>
    <x v="0"/>
    <x v="0"/>
    <x v="26"/>
    <x v="0"/>
    <x v="0"/>
    <x v="1"/>
    <x v="1"/>
  </r>
  <r>
    <x v="1195"/>
    <x v="1"/>
    <x v="25"/>
    <x v="1178"/>
    <x v="839"/>
    <x v="542"/>
    <x v="1"/>
    <x v="0"/>
    <x v="1178"/>
    <x v="0"/>
    <x v="0"/>
    <x v="0"/>
    <x v="0"/>
    <x v="0"/>
    <x v="2"/>
    <x v="542"/>
    <x v="530"/>
    <x v="1178"/>
    <x v="1"/>
    <x v="10"/>
    <x v="0"/>
    <x v="17"/>
    <x v="17"/>
    <x v="0"/>
    <x v="0"/>
    <x v="0"/>
    <x v="26"/>
    <x v="0"/>
    <x v="0"/>
    <x v="1"/>
    <x v="1"/>
  </r>
  <r>
    <x v="1194"/>
    <x v="1"/>
    <x v="25"/>
    <x v="1177"/>
    <x v="824"/>
    <x v="539"/>
    <x v="1"/>
    <x v="0"/>
    <x v="1177"/>
    <x v="0"/>
    <x v="0"/>
    <x v="0"/>
    <x v="0"/>
    <x v="0"/>
    <x v="2"/>
    <x v="539"/>
    <x v="527"/>
    <x v="1177"/>
    <x v="1"/>
    <x v="10"/>
    <x v="0"/>
    <x v="17"/>
    <x v="17"/>
    <x v="0"/>
    <x v="0"/>
    <x v="0"/>
    <x v="26"/>
    <x v="0"/>
    <x v="0"/>
    <x v="1"/>
    <x v="1"/>
  </r>
  <r>
    <x v="1193"/>
    <x v="1"/>
    <x v="25"/>
    <x v="1176"/>
    <x v="985"/>
    <x v="1045"/>
    <x v="1"/>
    <x v="0"/>
    <x v="1176"/>
    <x v="0"/>
    <x v="0"/>
    <x v="0"/>
    <x v="0"/>
    <x v="0"/>
    <x v="2"/>
    <x v="1045"/>
    <x v="1033"/>
    <x v="1176"/>
    <x v="1"/>
    <x v="10"/>
    <x v="0"/>
    <x v="17"/>
    <x v="17"/>
    <x v="0"/>
    <x v="0"/>
    <x v="0"/>
    <x v="25"/>
    <x v="0"/>
    <x v="0"/>
    <x v="1"/>
    <x v="1"/>
  </r>
  <r>
    <x v="1192"/>
    <x v="1"/>
    <x v="25"/>
    <x v="1175"/>
    <x v="980"/>
    <x v="1042"/>
    <x v="1"/>
    <x v="0"/>
    <x v="1175"/>
    <x v="0"/>
    <x v="0"/>
    <x v="0"/>
    <x v="0"/>
    <x v="0"/>
    <x v="2"/>
    <x v="1042"/>
    <x v="1030"/>
    <x v="1175"/>
    <x v="1"/>
    <x v="10"/>
    <x v="0"/>
    <x v="17"/>
    <x v="17"/>
    <x v="0"/>
    <x v="0"/>
    <x v="0"/>
    <x v="25"/>
    <x v="0"/>
    <x v="0"/>
    <x v="1"/>
    <x v="1"/>
  </r>
  <r>
    <x v="1191"/>
    <x v="1"/>
    <x v="25"/>
    <x v="1174"/>
    <x v="968"/>
    <x v="1033"/>
    <x v="1"/>
    <x v="0"/>
    <x v="1174"/>
    <x v="0"/>
    <x v="0"/>
    <x v="0"/>
    <x v="0"/>
    <x v="0"/>
    <x v="2"/>
    <x v="1033"/>
    <x v="1021"/>
    <x v="1174"/>
    <x v="1"/>
    <x v="10"/>
    <x v="0"/>
    <x v="17"/>
    <x v="17"/>
    <x v="0"/>
    <x v="0"/>
    <x v="0"/>
    <x v="25"/>
    <x v="0"/>
    <x v="0"/>
    <x v="1"/>
    <x v="1"/>
  </r>
  <r>
    <x v="1190"/>
    <x v="1"/>
    <x v="25"/>
    <x v="1173"/>
    <x v="976"/>
    <x v="1038"/>
    <x v="1"/>
    <x v="0"/>
    <x v="1173"/>
    <x v="0"/>
    <x v="0"/>
    <x v="0"/>
    <x v="0"/>
    <x v="0"/>
    <x v="2"/>
    <x v="1038"/>
    <x v="1026"/>
    <x v="1173"/>
    <x v="1"/>
    <x v="10"/>
    <x v="0"/>
    <x v="17"/>
    <x v="17"/>
    <x v="0"/>
    <x v="0"/>
    <x v="0"/>
    <x v="25"/>
    <x v="0"/>
    <x v="0"/>
    <x v="1"/>
    <x v="1"/>
  </r>
  <r>
    <x v="1189"/>
    <x v="1"/>
    <x v="25"/>
    <x v="1172"/>
    <x v="973"/>
    <x v="1036"/>
    <x v="1"/>
    <x v="0"/>
    <x v="1172"/>
    <x v="0"/>
    <x v="0"/>
    <x v="0"/>
    <x v="0"/>
    <x v="0"/>
    <x v="2"/>
    <x v="1036"/>
    <x v="1024"/>
    <x v="1172"/>
    <x v="1"/>
    <x v="10"/>
    <x v="0"/>
    <x v="17"/>
    <x v="17"/>
    <x v="0"/>
    <x v="0"/>
    <x v="0"/>
    <x v="25"/>
    <x v="0"/>
    <x v="0"/>
    <x v="1"/>
    <x v="1"/>
  </r>
  <r>
    <x v="1188"/>
    <x v="1"/>
    <x v="25"/>
    <x v="1171"/>
    <x v="987"/>
    <x v="1046"/>
    <x v="1"/>
    <x v="0"/>
    <x v="1171"/>
    <x v="0"/>
    <x v="0"/>
    <x v="0"/>
    <x v="0"/>
    <x v="0"/>
    <x v="2"/>
    <x v="1046"/>
    <x v="1034"/>
    <x v="1171"/>
    <x v="1"/>
    <x v="10"/>
    <x v="0"/>
    <x v="17"/>
    <x v="17"/>
    <x v="0"/>
    <x v="0"/>
    <x v="0"/>
    <x v="25"/>
    <x v="0"/>
    <x v="0"/>
    <x v="1"/>
    <x v="1"/>
  </r>
  <r>
    <x v="1187"/>
    <x v="1"/>
    <x v="25"/>
    <x v="1170"/>
    <x v="970"/>
    <x v="1034"/>
    <x v="1"/>
    <x v="0"/>
    <x v="1170"/>
    <x v="0"/>
    <x v="0"/>
    <x v="0"/>
    <x v="0"/>
    <x v="0"/>
    <x v="2"/>
    <x v="1034"/>
    <x v="1022"/>
    <x v="1170"/>
    <x v="1"/>
    <x v="10"/>
    <x v="0"/>
    <x v="17"/>
    <x v="17"/>
    <x v="0"/>
    <x v="0"/>
    <x v="0"/>
    <x v="25"/>
    <x v="0"/>
    <x v="0"/>
    <x v="1"/>
    <x v="1"/>
  </r>
  <r>
    <x v="1186"/>
    <x v="1"/>
    <x v="25"/>
    <x v="1169"/>
    <x v="983"/>
    <x v="1043"/>
    <x v="1"/>
    <x v="0"/>
    <x v="1169"/>
    <x v="0"/>
    <x v="0"/>
    <x v="0"/>
    <x v="0"/>
    <x v="0"/>
    <x v="2"/>
    <x v="1043"/>
    <x v="1031"/>
    <x v="1169"/>
    <x v="1"/>
    <x v="10"/>
    <x v="0"/>
    <x v="17"/>
    <x v="17"/>
    <x v="0"/>
    <x v="0"/>
    <x v="0"/>
    <x v="25"/>
    <x v="0"/>
    <x v="0"/>
    <x v="1"/>
    <x v="1"/>
  </r>
  <r>
    <x v="1185"/>
    <x v="1"/>
    <x v="25"/>
    <x v="1168"/>
    <x v="897"/>
    <x v="1017"/>
    <x v="1"/>
    <x v="0"/>
    <x v="1168"/>
    <x v="0"/>
    <x v="0"/>
    <x v="0"/>
    <x v="0"/>
    <x v="0"/>
    <x v="2"/>
    <x v="1017"/>
    <x v="1005"/>
    <x v="1168"/>
    <x v="1"/>
    <x v="10"/>
    <x v="0"/>
    <x v="17"/>
    <x v="17"/>
    <x v="0"/>
    <x v="0"/>
    <x v="0"/>
    <x v="25"/>
    <x v="0"/>
    <x v="0"/>
    <x v="1"/>
    <x v="1"/>
  </r>
  <r>
    <x v="1184"/>
    <x v="1"/>
    <x v="25"/>
    <x v="1167"/>
    <x v="895"/>
    <x v="1016"/>
    <x v="1"/>
    <x v="0"/>
    <x v="1167"/>
    <x v="0"/>
    <x v="0"/>
    <x v="0"/>
    <x v="0"/>
    <x v="0"/>
    <x v="2"/>
    <x v="1016"/>
    <x v="1004"/>
    <x v="1167"/>
    <x v="1"/>
    <x v="10"/>
    <x v="0"/>
    <x v="17"/>
    <x v="17"/>
    <x v="0"/>
    <x v="0"/>
    <x v="0"/>
    <x v="25"/>
    <x v="0"/>
    <x v="0"/>
    <x v="1"/>
    <x v="1"/>
  </r>
  <r>
    <x v="1183"/>
    <x v="1"/>
    <x v="25"/>
    <x v="1166"/>
    <x v="182"/>
    <x v="594"/>
    <x v="1"/>
    <x v="0"/>
    <x v="1166"/>
    <x v="0"/>
    <x v="0"/>
    <x v="0"/>
    <x v="0"/>
    <x v="0"/>
    <x v="2"/>
    <x v="594"/>
    <x v="582"/>
    <x v="1166"/>
    <x v="1"/>
    <x v="10"/>
    <x v="0"/>
    <x v="17"/>
    <x v="17"/>
    <x v="0"/>
    <x v="0"/>
    <x v="0"/>
    <x v="25"/>
    <x v="0"/>
    <x v="0"/>
    <x v="1"/>
    <x v="1"/>
  </r>
  <r>
    <x v="1182"/>
    <x v="1"/>
    <x v="25"/>
    <x v="1165"/>
    <x v="300"/>
    <x v="678"/>
    <x v="1"/>
    <x v="0"/>
    <x v="1165"/>
    <x v="0"/>
    <x v="0"/>
    <x v="0"/>
    <x v="0"/>
    <x v="0"/>
    <x v="2"/>
    <x v="678"/>
    <x v="666"/>
    <x v="1165"/>
    <x v="1"/>
    <x v="10"/>
    <x v="0"/>
    <x v="17"/>
    <x v="17"/>
    <x v="0"/>
    <x v="0"/>
    <x v="0"/>
    <x v="25"/>
    <x v="0"/>
    <x v="0"/>
    <x v="1"/>
    <x v="1"/>
  </r>
  <r>
    <x v="1181"/>
    <x v="1"/>
    <x v="25"/>
    <x v="1164"/>
    <x v="286"/>
    <x v="667"/>
    <x v="1"/>
    <x v="0"/>
    <x v="1164"/>
    <x v="0"/>
    <x v="0"/>
    <x v="0"/>
    <x v="0"/>
    <x v="0"/>
    <x v="2"/>
    <x v="667"/>
    <x v="655"/>
    <x v="1164"/>
    <x v="1"/>
    <x v="10"/>
    <x v="0"/>
    <x v="17"/>
    <x v="17"/>
    <x v="0"/>
    <x v="0"/>
    <x v="0"/>
    <x v="25"/>
    <x v="0"/>
    <x v="0"/>
    <x v="1"/>
    <x v="1"/>
  </r>
  <r>
    <x v="1180"/>
    <x v="1"/>
    <x v="25"/>
    <x v="1163"/>
    <x v="263"/>
    <x v="651"/>
    <x v="1"/>
    <x v="0"/>
    <x v="1163"/>
    <x v="0"/>
    <x v="0"/>
    <x v="0"/>
    <x v="0"/>
    <x v="0"/>
    <x v="2"/>
    <x v="651"/>
    <x v="639"/>
    <x v="1163"/>
    <x v="1"/>
    <x v="10"/>
    <x v="0"/>
    <x v="17"/>
    <x v="17"/>
    <x v="0"/>
    <x v="0"/>
    <x v="0"/>
    <x v="25"/>
    <x v="0"/>
    <x v="0"/>
    <x v="1"/>
    <x v="1"/>
  </r>
  <r>
    <x v="1179"/>
    <x v="1"/>
    <x v="25"/>
    <x v="1162"/>
    <x v="268"/>
    <x v="653"/>
    <x v="1"/>
    <x v="0"/>
    <x v="1162"/>
    <x v="0"/>
    <x v="0"/>
    <x v="0"/>
    <x v="0"/>
    <x v="0"/>
    <x v="2"/>
    <x v="653"/>
    <x v="641"/>
    <x v="1162"/>
    <x v="1"/>
    <x v="10"/>
    <x v="0"/>
    <x v="17"/>
    <x v="17"/>
    <x v="0"/>
    <x v="0"/>
    <x v="0"/>
    <x v="25"/>
    <x v="0"/>
    <x v="0"/>
    <x v="1"/>
    <x v="1"/>
  </r>
  <r>
    <x v="1178"/>
    <x v="1"/>
    <x v="25"/>
    <x v="1161"/>
    <x v="278"/>
    <x v="661"/>
    <x v="1"/>
    <x v="0"/>
    <x v="1161"/>
    <x v="0"/>
    <x v="0"/>
    <x v="0"/>
    <x v="0"/>
    <x v="0"/>
    <x v="2"/>
    <x v="661"/>
    <x v="649"/>
    <x v="1161"/>
    <x v="1"/>
    <x v="10"/>
    <x v="0"/>
    <x v="17"/>
    <x v="17"/>
    <x v="0"/>
    <x v="0"/>
    <x v="0"/>
    <x v="25"/>
    <x v="0"/>
    <x v="0"/>
    <x v="1"/>
    <x v="1"/>
  </r>
  <r>
    <x v="1177"/>
    <x v="1"/>
    <x v="25"/>
    <x v="1160"/>
    <x v="722"/>
    <x v="909"/>
    <x v="1"/>
    <x v="0"/>
    <x v="1160"/>
    <x v="0"/>
    <x v="0"/>
    <x v="0"/>
    <x v="0"/>
    <x v="0"/>
    <x v="2"/>
    <x v="909"/>
    <x v="897"/>
    <x v="1160"/>
    <x v="1"/>
    <x v="10"/>
    <x v="0"/>
    <x v="17"/>
    <x v="17"/>
    <x v="0"/>
    <x v="0"/>
    <x v="0"/>
    <x v="25"/>
    <x v="0"/>
    <x v="0"/>
    <x v="1"/>
    <x v="1"/>
  </r>
  <r>
    <x v="1176"/>
    <x v="1"/>
    <x v="25"/>
    <x v="1159"/>
    <x v="736"/>
    <x v="918"/>
    <x v="1"/>
    <x v="0"/>
    <x v="1159"/>
    <x v="0"/>
    <x v="0"/>
    <x v="0"/>
    <x v="0"/>
    <x v="0"/>
    <x v="2"/>
    <x v="918"/>
    <x v="906"/>
    <x v="1159"/>
    <x v="1"/>
    <x v="10"/>
    <x v="0"/>
    <x v="17"/>
    <x v="17"/>
    <x v="0"/>
    <x v="0"/>
    <x v="0"/>
    <x v="25"/>
    <x v="0"/>
    <x v="0"/>
    <x v="1"/>
    <x v="1"/>
  </r>
  <r>
    <x v="1175"/>
    <x v="1"/>
    <x v="25"/>
    <x v="1158"/>
    <x v="713"/>
    <x v="904"/>
    <x v="1"/>
    <x v="0"/>
    <x v="1158"/>
    <x v="0"/>
    <x v="0"/>
    <x v="0"/>
    <x v="0"/>
    <x v="0"/>
    <x v="2"/>
    <x v="904"/>
    <x v="892"/>
    <x v="1158"/>
    <x v="1"/>
    <x v="10"/>
    <x v="0"/>
    <x v="17"/>
    <x v="17"/>
    <x v="0"/>
    <x v="0"/>
    <x v="0"/>
    <x v="25"/>
    <x v="0"/>
    <x v="0"/>
    <x v="1"/>
    <x v="1"/>
  </r>
  <r>
    <x v="1174"/>
    <x v="1"/>
    <x v="25"/>
    <x v="1157"/>
    <x v="683"/>
    <x v="883"/>
    <x v="1"/>
    <x v="0"/>
    <x v="1157"/>
    <x v="0"/>
    <x v="0"/>
    <x v="0"/>
    <x v="0"/>
    <x v="0"/>
    <x v="2"/>
    <x v="883"/>
    <x v="871"/>
    <x v="1157"/>
    <x v="1"/>
    <x v="10"/>
    <x v="0"/>
    <x v="17"/>
    <x v="17"/>
    <x v="0"/>
    <x v="0"/>
    <x v="0"/>
    <x v="25"/>
    <x v="0"/>
    <x v="0"/>
    <x v="1"/>
    <x v="1"/>
  </r>
  <r>
    <x v="1173"/>
    <x v="1"/>
    <x v="25"/>
    <x v="1156"/>
    <x v="728"/>
    <x v="912"/>
    <x v="1"/>
    <x v="0"/>
    <x v="1156"/>
    <x v="0"/>
    <x v="0"/>
    <x v="0"/>
    <x v="0"/>
    <x v="0"/>
    <x v="2"/>
    <x v="912"/>
    <x v="900"/>
    <x v="1156"/>
    <x v="1"/>
    <x v="10"/>
    <x v="0"/>
    <x v="17"/>
    <x v="17"/>
    <x v="0"/>
    <x v="0"/>
    <x v="0"/>
    <x v="25"/>
    <x v="0"/>
    <x v="0"/>
    <x v="1"/>
    <x v="1"/>
  </r>
  <r>
    <x v="1172"/>
    <x v="1"/>
    <x v="25"/>
    <x v="1155"/>
    <x v="730"/>
    <x v="914"/>
    <x v="1"/>
    <x v="0"/>
    <x v="1155"/>
    <x v="0"/>
    <x v="0"/>
    <x v="0"/>
    <x v="0"/>
    <x v="0"/>
    <x v="2"/>
    <x v="914"/>
    <x v="902"/>
    <x v="1155"/>
    <x v="1"/>
    <x v="10"/>
    <x v="0"/>
    <x v="17"/>
    <x v="17"/>
    <x v="0"/>
    <x v="0"/>
    <x v="0"/>
    <x v="25"/>
    <x v="0"/>
    <x v="0"/>
    <x v="1"/>
    <x v="1"/>
  </r>
  <r>
    <x v="1171"/>
    <x v="1"/>
    <x v="25"/>
    <x v="1154"/>
    <x v="696"/>
    <x v="893"/>
    <x v="1"/>
    <x v="0"/>
    <x v="1154"/>
    <x v="0"/>
    <x v="0"/>
    <x v="0"/>
    <x v="0"/>
    <x v="0"/>
    <x v="2"/>
    <x v="893"/>
    <x v="881"/>
    <x v="1154"/>
    <x v="1"/>
    <x v="10"/>
    <x v="0"/>
    <x v="17"/>
    <x v="17"/>
    <x v="0"/>
    <x v="0"/>
    <x v="0"/>
    <x v="25"/>
    <x v="0"/>
    <x v="0"/>
    <x v="1"/>
    <x v="1"/>
  </r>
  <r>
    <x v="1170"/>
    <x v="1"/>
    <x v="25"/>
    <x v="1153"/>
    <x v="692"/>
    <x v="891"/>
    <x v="1"/>
    <x v="0"/>
    <x v="1153"/>
    <x v="0"/>
    <x v="0"/>
    <x v="0"/>
    <x v="0"/>
    <x v="0"/>
    <x v="2"/>
    <x v="891"/>
    <x v="879"/>
    <x v="1153"/>
    <x v="1"/>
    <x v="10"/>
    <x v="0"/>
    <x v="17"/>
    <x v="17"/>
    <x v="0"/>
    <x v="0"/>
    <x v="0"/>
    <x v="25"/>
    <x v="0"/>
    <x v="0"/>
    <x v="1"/>
    <x v="1"/>
  </r>
  <r>
    <x v="1169"/>
    <x v="1"/>
    <x v="25"/>
    <x v="1152"/>
    <x v="716"/>
    <x v="905"/>
    <x v="1"/>
    <x v="0"/>
    <x v="1152"/>
    <x v="0"/>
    <x v="0"/>
    <x v="0"/>
    <x v="0"/>
    <x v="0"/>
    <x v="2"/>
    <x v="905"/>
    <x v="893"/>
    <x v="1152"/>
    <x v="1"/>
    <x v="10"/>
    <x v="0"/>
    <x v="17"/>
    <x v="17"/>
    <x v="0"/>
    <x v="0"/>
    <x v="0"/>
    <x v="25"/>
    <x v="0"/>
    <x v="0"/>
    <x v="1"/>
    <x v="1"/>
  </r>
  <r>
    <x v="1168"/>
    <x v="1"/>
    <x v="25"/>
    <x v="1151"/>
    <x v="703"/>
    <x v="898"/>
    <x v="1"/>
    <x v="0"/>
    <x v="1151"/>
    <x v="0"/>
    <x v="0"/>
    <x v="0"/>
    <x v="0"/>
    <x v="0"/>
    <x v="2"/>
    <x v="898"/>
    <x v="886"/>
    <x v="1151"/>
    <x v="1"/>
    <x v="10"/>
    <x v="0"/>
    <x v="17"/>
    <x v="17"/>
    <x v="0"/>
    <x v="0"/>
    <x v="0"/>
    <x v="25"/>
    <x v="0"/>
    <x v="0"/>
    <x v="1"/>
    <x v="1"/>
  </r>
  <r>
    <x v="1167"/>
    <x v="1"/>
    <x v="25"/>
    <x v="1150"/>
    <x v="707"/>
    <x v="899"/>
    <x v="1"/>
    <x v="0"/>
    <x v="1150"/>
    <x v="0"/>
    <x v="0"/>
    <x v="0"/>
    <x v="0"/>
    <x v="0"/>
    <x v="2"/>
    <x v="899"/>
    <x v="887"/>
    <x v="1150"/>
    <x v="1"/>
    <x v="10"/>
    <x v="0"/>
    <x v="17"/>
    <x v="17"/>
    <x v="0"/>
    <x v="0"/>
    <x v="0"/>
    <x v="25"/>
    <x v="0"/>
    <x v="0"/>
    <x v="1"/>
    <x v="1"/>
  </r>
  <r>
    <x v="1166"/>
    <x v="1"/>
    <x v="25"/>
    <x v="1149"/>
    <x v="719"/>
    <x v="907"/>
    <x v="1"/>
    <x v="0"/>
    <x v="1149"/>
    <x v="0"/>
    <x v="0"/>
    <x v="0"/>
    <x v="0"/>
    <x v="0"/>
    <x v="2"/>
    <x v="907"/>
    <x v="895"/>
    <x v="1149"/>
    <x v="1"/>
    <x v="10"/>
    <x v="0"/>
    <x v="17"/>
    <x v="17"/>
    <x v="0"/>
    <x v="0"/>
    <x v="0"/>
    <x v="25"/>
    <x v="0"/>
    <x v="0"/>
    <x v="1"/>
    <x v="1"/>
  </r>
  <r>
    <x v="1165"/>
    <x v="1"/>
    <x v="25"/>
    <x v="1148"/>
    <x v="570"/>
    <x v="805"/>
    <x v="1"/>
    <x v="0"/>
    <x v="1148"/>
    <x v="0"/>
    <x v="0"/>
    <x v="0"/>
    <x v="0"/>
    <x v="0"/>
    <x v="2"/>
    <x v="805"/>
    <x v="793"/>
    <x v="1148"/>
    <x v="1"/>
    <x v="10"/>
    <x v="0"/>
    <x v="17"/>
    <x v="17"/>
    <x v="0"/>
    <x v="0"/>
    <x v="0"/>
    <x v="25"/>
    <x v="0"/>
    <x v="0"/>
    <x v="1"/>
    <x v="1"/>
  </r>
  <r>
    <x v="1164"/>
    <x v="1"/>
    <x v="25"/>
    <x v="1147"/>
    <x v="556"/>
    <x v="796"/>
    <x v="1"/>
    <x v="0"/>
    <x v="1147"/>
    <x v="0"/>
    <x v="0"/>
    <x v="0"/>
    <x v="0"/>
    <x v="0"/>
    <x v="2"/>
    <x v="796"/>
    <x v="784"/>
    <x v="1147"/>
    <x v="1"/>
    <x v="10"/>
    <x v="0"/>
    <x v="17"/>
    <x v="17"/>
    <x v="0"/>
    <x v="0"/>
    <x v="0"/>
    <x v="25"/>
    <x v="0"/>
    <x v="0"/>
    <x v="1"/>
    <x v="1"/>
  </r>
  <r>
    <x v="1163"/>
    <x v="1"/>
    <x v="25"/>
    <x v="1146"/>
    <x v="579"/>
    <x v="809"/>
    <x v="1"/>
    <x v="0"/>
    <x v="1146"/>
    <x v="0"/>
    <x v="0"/>
    <x v="0"/>
    <x v="0"/>
    <x v="0"/>
    <x v="2"/>
    <x v="809"/>
    <x v="797"/>
    <x v="1146"/>
    <x v="1"/>
    <x v="10"/>
    <x v="0"/>
    <x v="17"/>
    <x v="17"/>
    <x v="0"/>
    <x v="0"/>
    <x v="0"/>
    <x v="25"/>
    <x v="0"/>
    <x v="0"/>
    <x v="1"/>
    <x v="1"/>
  </r>
  <r>
    <x v="1162"/>
    <x v="1"/>
    <x v="25"/>
    <x v="1145"/>
    <x v="572"/>
    <x v="806"/>
    <x v="1"/>
    <x v="0"/>
    <x v="1145"/>
    <x v="0"/>
    <x v="0"/>
    <x v="0"/>
    <x v="0"/>
    <x v="0"/>
    <x v="2"/>
    <x v="806"/>
    <x v="794"/>
    <x v="1145"/>
    <x v="1"/>
    <x v="10"/>
    <x v="0"/>
    <x v="17"/>
    <x v="17"/>
    <x v="0"/>
    <x v="0"/>
    <x v="0"/>
    <x v="25"/>
    <x v="0"/>
    <x v="0"/>
    <x v="1"/>
    <x v="1"/>
  </r>
  <r>
    <x v="1161"/>
    <x v="1"/>
    <x v="25"/>
    <x v="1144"/>
    <x v="546"/>
    <x v="790"/>
    <x v="1"/>
    <x v="0"/>
    <x v="1144"/>
    <x v="0"/>
    <x v="0"/>
    <x v="0"/>
    <x v="0"/>
    <x v="0"/>
    <x v="2"/>
    <x v="790"/>
    <x v="778"/>
    <x v="1144"/>
    <x v="1"/>
    <x v="10"/>
    <x v="0"/>
    <x v="17"/>
    <x v="17"/>
    <x v="0"/>
    <x v="0"/>
    <x v="0"/>
    <x v="25"/>
    <x v="0"/>
    <x v="0"/>
    <x v="1"/>
    <x v="1"/>
  </r>
  <r>
    <x v="1160"/>
    <x v="1"/>
    <x v="25"/>
    <x v="1143"/>
    <x v="576"/>
    <x v="808"/>
    <x v="1"/>
    <x v="0"/>
    <x v="1143"/>
    <x v="0"/>
    <x v="0"/>
    <x v="0"/>
    <x v="0"/>
    <x v="0"/>
    <x v="2"/>
    <x v="808"/>
    <x v="796"/>
    <x v="1143"/>
    <x v="1"/>
    <x v="10"/>
    <x v="0"/>
    <x v="17"/>
    <x v="17"/>
    <x v="0"/>
    <x v="0"/>
    <x v="0"/>
    <x v="25"/>
    <x v="0"/>
    <x v="0"/>
    <x v="1"/>
    <x v="1"/>
  </r>
  <r>
    <x v="1159"/>
    <x v="1"/>
    <x v="25"/>
    <x v="1142"/>
    <x v="552"/>
    <x v="794"/>
    <x v="1"/>
    <x v="0"/>
    <x v="1142"/>
    <x v="0"/>
    <x v="0"/>
    <x v="0"/>
    <x v="0"/>
    <x v="0"/>
    <x v="2"/>
    <x v="794"/>
    <x v="782"/>
    <x v="1142"/>
    <x v="1"/>
    <x v="10"/>
    <x v="0"/>
    <x v="17"/>
    <x v="17"/>
    <x v="0"/>
    <x v="0"/>
    <x v="0"/>
    <x v="25"/>
    <x v="0"/>
    <x v="0"/>
    <x v="1"/>
    <x v="1"/>
  </r>
  <r>
    <x v="1158"/>
    <x v="1"/>
    <x v="25"/>
    <x v="1141"/>
    <x v="777"/>
    <x v="950"/>
    <x v="1"/>
    <x v="0"/>
    <x v="1141"/>
    <x v="0"/>
    <x v="0"/>
    <x v="0"/>
    <x v="0"/>
    <x v="0"/>
    <x v="2"/>
    <x v="950"/>
    <x v="938"/>
    <x v="1141"/>
    <x v="1"/>
    <x v="10"/>
    <x v="0"/>
    <x v="17"/>
    <x v="17"/>
    <x v="0"/>
    <x v="0"/>
    <x v="0"/>
    <x v="25"/>
    <x v="0"/>
    <x v="0"/>
    <x v="1"/>
    <x v="1"/>
  </r>
  <r>
    <x v="1157"/>
    <x v="1"/>
    <x v="25"/>
    <x v="1140"/>
    <x v="785"/>
    <x v="958"/>
    <x v="1"/>
    <x v="0"/>
    <x v="1140"/>
    <x v="0"/>
    <x v="0"/>
    <x v="0"/>
    <x v="0"/>
    <x v="0"/>
    <x v="2"/>
    <x v="958"/>
    <x v="946"/>
    <x v="1140"/>
    <x v="1"/>
    <x v="10"/>
    <x v="0"/>
    <x v="17"/>
    <x v="17"/>
    <x v="0"/>
    <x v="0"/>
    <x v="0"/>
    <x v="25"/>
    <x v="0"/>
    <x v="0"/>
    <x v="1"/>
    <x v="1"/>
  </r>
  <r>
    <x v="1156"/>
    <x v="1"/>
    <x v="25"/>
    <x v="1139"/>
    <x v="237"/>
    <x v="631"/>
    <x v="1"/>
    <x v="0"/>
    <x v="1139"/>
    <x v="0"/>
    <x v="0"/>
    <x v="0"/>
    <x v="0"/>
    <x v="0"/>
    <x v="2"/>
    <x v="631"/>
    <x v="619"/>
    <x v="1139"/>
    <x v="1"/>
    <x v="10"/>
    <x v="0"/>
    <x v="17"/>
    <x v="17"/>
    <x v="0"/>
    <x v="0"/>
    <x v="0"/>
    <x v="25"/>
    <x v="0"/>
    <x v="0"/>
    <x v="1"/>
    <x v="1"/>
  </r>
  <r>
    <x v="1155"/>
    <x v="1"/>
    <x v="25"/>
    <x v="1138"/>
    <x v="218"/>
    <x v="619"/>
    <x v="1"/>
    <x v="0"/>
    <x v="1138"/>
    <x v="0"/>
    <x v="0"/>
    <x v="0"/>
    <x v="0"/>
    <x v="0"/>
    <x v="2"/>
    <x v="619"/>
    <x v="607"/>
    <x v="1138"/>
    <x v="1"/>
    <x v="10"/>
    <x v="0"/>
    <x v="17"/>
    <x v="17"/>
    <x v="0"/>
    <x v="0"/>
    <x v="0"/>
    <x v="25"/>
    <x v="0"/>
    <x v="0"/>
    <x v="1"/>
    <x v="1"/>
  </r>
  <r>
    <x v="1154"/>
    <x v="1"/>
    <x v="25"/>
    <x v="1137"/>
    <x v="228"/>
    <x v="627"/>
    <x v="1"/>
    <x v="0"/>
    <x v="1137"/>
    <x v="0"/>
    <x v="0"/>
    <x v="0"/>
    <x v="0"/>
    <x v="0"/>
    <x v="2"/>
    <x v="627"/>
    <x v="615"/>
    <x v="1137"/>
    <x v="1"/>
    <x v="10"/>
    <x v="0"/>
    <x v="17"/>
    <x v="17"/>
    <x v="0"/>
    <x v="0"/>
    <x v="0"/>
    <x v="25"/>
    <x v="0"/>
    <x v="0"/>
    <x v="1"/>
    <x v="1"/>
  </r>
  <r>
    <x v="1153"/>
    <x v="1"/>
    <x v="25"/>
    <x v="1136"/>
    <x v="341"/>
    <x v="698"/>
    <x v="1"/>
    <x v="0"/>
    <x v="1136"/>
    <x v="0"/>
    <x v="0"/>
    <x v="0"/>
    <x v="0"/>
    <x v="0"/>
    <x v="2"/>
    <x v="698"/>
    <x v="686"/>
    <x v="1136"/>
    <x v="1"/>
    <x v="10"/>
    <x v="0"/>
    <x v="17"/>
    <x v="17"/>
    <x v="0"/>
    <x v="0"/>
    <x v="0"/>
    <x v="25"/>
    <x v="0"/>
    <x v="0"/>
    <x v="1"/>
    <x v="1"/>
  </r>
  <r>
    <x v="1152"/>
    <x v="1"/>
    <x v="25"/>
    <x v="1135"/>
    <x v="328"/>
    <x v="691"/>
    <x v="1"/>
    <x v="0"/>
    <x v="1135"/>
    <x v="0"/>
    <x v="0"/>
    <x v="0"/>
    <x v="0"/>
    <x v="0"/>
    <x v="2"/>
    <x v="691"/>
    <x v="679"/>
    <x v="1135"/>
    <x v="1"/>
    <x v="10"/>
    <x v="0"/>
    <x v="17"/>
    <x v="17"/>
    <x v="0"/>
    <x v="0"/>
    <x v="0"/>
    <x v="25"/>
    <x v="0"/>
    <x v="0"/>
    <x v="1"/>
    <x v="1"/>
  </r>
  <r>
    <x v="1151"/>
    <x v="1"/>
    <x v="25"/>
    <x v="1134"/>
    <x v="324"/>
    <x v="689"/>
    <x v="1"/>
    <x v="0"/>
    <x v="1134"/>
    <x v="0"/>
    <x v="0"/>
    <x v="0"/>
    <x v="0"/>
    <x v="0"/>
    <x v="2"/>
    <x v="689"/>
    <x v="677"/>
    <x v="1134"/>
    <x v="1"/>
    <x v="10"/>
    <x v="0"/>
    <x v="17"/>
    <x v="17"/>
    <x v="0"/>
    <x v="0"/>
    <x v="0"/>
    <x v="25"/>
    <x v="0"/>
    <x v="0"/>
    <x v="1"/>
    <x v="1"/>
  </r>
  <r>
    <x v="1150"/>
    <x v="1"/>
    <x v="25"/>
    <x v="1133"/>
    <x v="654"/>
    <x v="876"/>
    <x v="1"/>
    <x v="0"/>
    <x v="1133"/>
    <x v="0"/>
    <x v="0"/>
    <x v="0"/>
    <x v="0"/>
    <x v="0"/>
    <x v="2"/>
    <x v="876"/>
    <x v="864"/>
    <x v="1133"/>
    <x v="1"/>
    <x v="10"/>
    <x v="0"/>
    <x v="17"/>
    <x v="17"/>
    <x v="0"/>
    <x v="0"/>
    <x v="0"/>
    <x v="25"/>
    <x v="0"/>
    <x v="0"/>
    <x v="1"/>
    <x v="1"/>
  </r>
  <r>
    <x v="1149"/>
    <x v="1"/>
    <x v="25"/>
    <x v="1132"/>
    <x v="666"/>
    <x v="878"/>
    <x v="1"/>
    <x v="0"/>
    <x v="1132"/>
    <x v="0"/>
    <x v="0"/>
    <x v="0"/>
    <x v="0"/>
    <x v="0"/>
    <x v="2"/>
    <x v="878"/>
    <x v="866"/>
    <x v="1132"/>
    <x v="1"/>
    <x v="10"/>
    <x v="0"/>
    <x v="17"/>
    <x v="17"/>
    <x v="0"/>
    <x v="0"/>
    <x v="0"/>
    <x v="25"/>
    <x v="0"/>
    <x v="0"/>
    <x v="1"/>
    <x v="1"/>
  </r>
  <r>
    <x v="1148"/>
    <x v="1"/>
    <x v="25"/>
    <x v="1131"/>
    <x v="675"/>
    <x v="879"/>
    <x v="1"/>
    <x v="0"/>
    <x v="1131"/>
    <x v="0"/>
    <x v="0"/>
    <x v="0"/>
    <x v="0"/>
    <x v="0"/>
    <x v="2"/>
    <x v="879"/>
    <x v="867"/>
    <x v="1131"/>
    <x v="1"/>
    <x v="10"/>
    <x v="0"/>
    <x v="17"/>
    <x v="17"/>
    <x v="0"/>
    <x v="0"/>
    <x v="0"/>
    <x v="25"/>
    <x v="0"/>
    <x v="0"/>
    <x v="1"/>
    <x v="1"/>
  </r>
  <r>
    <x v="1147"/>
    <x v="1"/>
    <x v="25"/>
    <x v="1130"/>
    <x v="658"/>
    <x v="877"/>
    <x v="1"/>
    <x v="0"/>
    <x v="1130"/>
    <x v="0"/>
    <x v="0"/>
    <x v="0"/>
    <x v="0"/>
    <x v="0"/>
    <x v="2"/>
    <x v="877"/>
    <x v="865"/>
    <x v="1130"/>
    <x v="1"/>
    <x v="10"/>
    <x v="0"/>
    <x v="17"/>
    <x v="17"/>
    <x v="0"/>
    <x v="0"/>
    <x v="0"/>
    <x v="25"/>
    <x v="0"/>
    <x v="0"/>
    <x v="1"/>
    <x v="1"/>
  </r>
  <r>
    <x v="1146"/>
    <x v="1"/>
    <x v="25"/>
    <x v="1129"/>
    <x v="652"/>
    <x v="875"/>
    <x v="1"/>
    <x v="0"/>
    <x v="1129"/>
    <x v="0"/>
    <x v="0"/>
    <x v="0"/>
    <x v="0"/>
    <x v="0"/>
    <x v="2"/>
    <x v="875"/>
    <x v="863"/>
    <x v="1129"/>
    <x v="1"/>
    <x v="10"/>
    <x v="0"/>
    <x v="17"/>
    <x v="17"/>
    <x v="0"/>
    <x v="0"/>
    <x v="0"/>
    <x v="25"/>
    <x v="0"/>
    <x v="0"/>
    <x v="1"/>
    <x v="1"/>
  </r>
  <r>
    <x v="1145"/>
    <x v="1"/>
    <x v="25"/>
    <x v="1128"/>
    <x v="362"/>
    <x v="718"/>
    <x v="1"/>
    <x v="0"/>
    <x v="1128"/>
    <x v="0"/>
    <x v="0"/>
    <x v="0"/>
    <x v="0"/>
    <x v="0"/>
    <x v="2"/>
    <x v="718"/>
    <x v="706"/>
    <x v="1128"/>
    <x v="1"/>
    <x v="10"/>
    <x v="0"/>
    <x v="17"/>
    <x v="17"/>
    <x v="0"/>
    <x v="0"/>
    <x v="0"/>
    <x v="25"/>
    <x v="0"/>
    <x v="0"/>
    <x v="1"/>
    <x v="1"/>
  </r>
  <r>
    <x v="1144"/>
    <x v="1"/>
    <x v="25"/>
    <x v="1127"/>
    <x v="393"/>
    <x v="741"/>
    <x v="1"/>
    <x v="0"/>
    <x v="1127"/>
    <x v="0"/>
    <x v="0"/>
    <x v="0"/>
    <x v="0"/>
    <x v="0"/>
    <x v="2"/>
    <x v="741"/>
    <x v="729"/>
    <x v="1127"/>
    <x v="1"/>
    <x v="10"/>
    <x v="0"/>
    <x v="17"/>
    <x v="17"/>
    <x v="0"/>
    <x v="0"/>
    <x v="0"/>
    <x v="25"/>
    <x v="0"/>
    <x v="0"/>
    <x v="1"/>
    <x v="1"/>
  </r>
  <r>
    <x v="1143"/>
    <x v="1"/>
    <x v="25"/>
    <x v="1126"/>
    <x v="399"/>
    <x v="743"/>
    <x v="1"/>
    <x v="0"/>
    <x v="1126"/>
    <x v="0"/>
    <x v="0"/>
    <x v="0"/>
    <x v="0"/>
    <x v="0"/>
    <x v="2"/>
    <x v="743"/>
    <x v="731"/>
    <x v="1126"/>
    <x v="1"/>
    <x v="10"/>
    <x v="0"/>
    <x v="17"/>
    <x v="17"/>
    <x v="0"/>
    <x v="0"/>
    <x v="0"/>
    <x v="25"/>
    <x v="0"/>
    <x v="0"/>
    <x v="1"/>
    <x v="1"/>
  </r>
  <r>
    <x v="1142"/>
    <x v="1"/>
    <x v="25"/>
    <x v="1125"/>
    <x v="380"/>
    <x v="732"/>
    <x v="1"/>
    <x v="0"/>
    <x v="1125"/>
    <x v="0"/>
    <x v="0"/>
    <x v="0"/>
    <x v="0"/>
    <x v="0"/>
    <x v="2"/>
    <x v="732"/>
    <x v="720"/>
    <x v="1125"/>
    <x v="1"/>
    <x v="10"/>
    <x v="0"/>
    <x v="17"/>
    <x v="17"/>
    <x v="0"/>
    <x v="0"/>
    <x v="0"/>
    <x v="25"/>
    <x v="0"/>
    <x v="0"/>
    <x v="1"/>
    <x v="1"/>
  </r>
  <r>
    <x v="1141"/>
    <x v="1"/>
    <x v="25"/>
    <x v="1124"/>
    <x v="386"/>
    <x v="736"/>
    <x v="1"/>
    <x v="0"/>
    <x v="1124"/>
    <x v="0"/>
    <x v="0"/>
    <x v="0"/>
    <x v="0"/>
    <x v="0"/>
    <x v="2"/>
    <x v="736"/>
    <x v="724"/>
    <x v="1124"/>
    <x v="1"/>
    <x v="10"/>
    <x v="0"/>
    <x v="17"/>
    <x v="17"/>
    <x v="0"/>
    <x v="0"/>
    <x v="0"/>
    <x v="25"/>
    <x v="0"/>
    <x v="0"/>
    <x v="1"/>
    <x v="1"/>
  </r>
  <r>
    <x v="1140"/>
    <x v="1"/>
    <x v="25"/>
    <x v="1123"/>
    <x v="157"/>
    <x v="577"/>
    <x v="1"/>
    <x v="0"/>
    <x v="1123"/>
    <x v="0"/>
    <x v="0"/>
    <x v="0"/>
    <x v="0"/>
    <x v="0"/>
    <x v="2"/>
    <x v="577"/>
    <x v="565"/>
    <x v="1123"/>
    <x v="1"/>
    <x v="10"/>
    <x v="0"/>
    <x v="17"/>
    <x v="17"/>
    <x v="0"/>
    <x v="0"/>
    <x v="0"/>
    <x v="25"/>
    <x v="0"/>
    <x v="0"/>
    <x v="1"/>
    <x v="1"/>
  </r>
  <r>
    <x v="1139"/>
    <x v="1"/>
    <x v="25"/>
    <x v="1122"/>
    <x v="140"/>
    <x v="565"/>
    <x v="1"/>
    <x v="0"/>
    <x v="1122"/>
    <x v="0"/>
    <x v="0"/>
    <x v="0"/>
    <x v="0"/>
    <x v="0"/>
    <x v="2"/>
    <x v="565"/>
    <x v="553"/>
    <x v="1122"/>
    <x v="1"/>
    <x v="10"/>
    <x v="0"/>
    <x v="17"/>
    <x v="17"/>
    <x v="0"/>
    <x v="0"/>
    <x v="0"/>
    <x v="25"/>
    <x v="0"/>
    <x v="0"/>
    <x v="1"/>
    <x v="1"/>
  </r>
  <r>
    <x v="1138"/>
    <x v="1"/>
    <x v="25"/>
    <x v="1121"/>
    <x v="166"/>
    <x v="583"/>
    <x v="1"/>
    <x v="0"/>
    <x v="1121"/>
    <x v="0"/>
    <x v="0"/>
    <x v="0"/>
    <x v="0"/>
    <x v="0"/>
    <x v="2"/>
    <x v="583"/>
    <x v="571"/>
    <x v="1121"/>
    <x v="1"/>
    <x v="10"/>
    <x v="0"/>
    <x v="17"/>
    <x v="17"/>
    <x v="0"/>
    <x v="0"/>
    <x v="0"/>
    <x v="25"/>
    <x v="0"/>
    <x v="0"/>
    <x v="1"/>
    <x v="1"/>
  </r>
  <r>
    <x v="1137"/>
    <x v="1"/>
    <x v="25"/>
    <x v="1120"/>
    <x v="163"/>
    <x v="580"/>
    <x v="1"/>
    <x v="0"/>
    <x v="1120"/>
    <x v="0"/>
    <x v="0"/>
    <x v="0"/>
    <x v="0"/>
    <x v="0"/>
    <x v="2"/>
    <x v="580"/>
    <x v="568"/>
    <x v="1120"/>
    <x v="1"/>
    <x v="10"/>
    <x v="0"/>
    <x v="17"/>
    <x v="17"/>
    <x v="0"/>
    <x v="0"/>
    <x v="0"/>
    <x v="25"/>
    <x v="0"/>
    <x v="0"/>
    <x v="1"/>
    <x v="1"/>
  </r>
  <r>
    <x v="1136"/>
    <x v="1"/>
    <x v="25"/>
    <x v="1119"/>
    <x v="137"/>
    <x v="563"/>
    <x v="1"/>
    <x v="0"/>
    <x v="1119"/>
    <x v="0"/>
    <x v="0"/>
    <x v="0"/>
    <x v="0"/>
    <x v="0"/>
    <x v="2"/>
    <x v="563"/>
    <x v="551"/>
    <x v="1119"/>
    <x v="1"/>
    <x v="10"/>
    <x v="0"/>
    <x v="17"/>
    <x v="17"/>
    <x v="0"/>
    <x v="0"/>
    <x v="0"/>
    <x v="25"/>
    <x v="0"/>
    <x v="0"/>
    <x v="1"/>
    <x v="1"/>
  </r>
  <r>
    <x v="1135"/>
    <x v="1"/>
    <x v="25"/>
    <x v="1118"/>
    <x v="154"/>
    <x v="575"/>
    <x v="1"/>
    <x v="0"/>
    <x v="1118"/>
    <x v="0"/>
    <x v="0"/>
    <x v="0"/>
    <x v="0"/>
    <x v="0"/>
    <x v="2"/>
    <x v="575"/>
    <x v="563"/>
    <x v="1118"/>
    <x v="1"/>
    <x v="10"/>
    <x v="0"/>
    <x v="17"/>
    <x v="17"/>
    <x v="0"/>
    <x v="0"/>
    <x v="0"/>
    <x v="25"/>
    <x v="0"/>
    <x v="0"/>
    <x v="1"/>
    <x v="1"/>
  </r>
  <r>
    <x v="1134"/>
    <x v="1"/>
    <x v="25"/>
    <x v="1117"/>
    <x v="145"/>
    <x v="568"/>
    <x v="1"/>
    <x v="0"/>
    <x v="1117"/>
    <x v="0"/>
    <x v="0"/>
    <x v="0"/>
    <x v="0"/>
    <x v="0"/>
    <x v="2"/>
    <x v="568"/>
    <x v="556"/>
    <x v="1117"/>
    <x v="1"/>
    <x v="10"/>
    <x v="0"/>
    <x v="17"/>
    <x v="17"/>
    <x v="0"/>
    <x v="0"/>
    <x v="0"/>
    <x v="25"/>
    <x v="0"/>
    <x v="0"/>
    <x v="1"/>
    <x v="1"/>
  </r>
  <r>
    <x v="1133"/>
    <x v="1"/>
    <x v="25"/>
    <x v="1116"/>
    <x v="160"/>
    <x v="578"/>
    <x v="1"/>
    <x v="0"/>
    <x v="1116"/>
    <x v="0"/>
    <x v="0"/>
    <x v="0"/>
    <x v="0"/>
    <x v="0"/>
    <x v="2"/>
    <x v="578"/>
    <x v="566"/>
    <x v="1116"/>
    <x v="1"/>
    <x v="10"/>
    <x v="0"/>
    <x v="17"/>
    <x v="17"/>
    <x v="0"/>
    <x v="0"/>
    <x v="0"/>
    <x v="25"/>
    <x v="0"/>
    <x v="0"/>
    <x v="1"/>
    <x v="1"/>
  </r>
  <r>
    <x v="1132"/>
    <x v="1"/>
    <x v="25"/>
    <x v="1115"/>
    <x v="169"/>
    <x v="585"/>
    <x v="1"/>
    <x v="0"/>
    <x v="1115"/>
    <x v="0"/>
    <x v="0"/>
    <x v="0"/>
    <x v="0"/>
    <x v="0"/>
    <x v="2"/>
    <x v="585"/>
    <x v="573"/>
    <x v="1115"/>
    <x v="1"/>
    <x v="10"/>
    <x v="0"/>
    <x v="17"/>
    <x v="17"/>
    <x v="0"/>
    <x v="0"/>
    <x v="0"/>
    <x v="25"/>
    <x v="0"/>
    <x v="0"/>
    <x v="1"/>
    <x v="1"/>
  </r>
  <r>
    <x v="1131"/>
    <x v="1"/>
    <x v="25"/>
    <x v="1114"/>
    <x v="172"/>
    <x v="587"/>
    <x v="1"/>
    <x v="0"/>
    <x v="1114"/>
    <x v="0"/>
    <x v="0"/>
    <x v="0"/>
    <x v="0"/>
    <x v="0"/>
    <x v="2"/>
    <x v="587"/>
    <x v="575"/>
    <x v="1114"/>
    <x v="1"/>
    <x v="10"/>
    <x v="0"/>
    <x v="17"/>
    <x v="17"/>
    <x v="0"/>
    <x v="0"/>
    <x v="0"/>
    <x v="25"/>
    <x v="0"/>
    <x v="0"/>
    <x v="1"/>
    <x v="1"/>
  </r>
  <r>
    <x v="1130"/>
    <x v="1"/>
    <x v="25"/>
    <x v="1113"/>
    <x v="150"/>
    <x v="573"/>
    <x v="1"/>
    <x v="0"/>
    <x v="1113"/>
    <x v="0"/>
    <x v="0"/>
    <x v="0"/>
    <x v="0"/>
    <x v="0"/>
    <x v="2"/>
    <x v="573"/>
    <x v="561"/>
    <x v="1113"/>
    <x v="1"/>
    <x v="10"/>
    <x v="0"/>
    <x v="17"/>
    <x v="17"/>
    <x v="0"/>
    <x v="0"/>
    <x v="0"/>
    <x v="25"/>
    <x v="0"/>
    <x v="0"/>
    <x v="1"/>
    <x v="1"/>
  </r>
  <r>
    <x v="1129"/>
    <x v="1"/>
    <x v="25"/>
    <x v="1112"/>
    <x v="457"/>
    <x v="746"/>
    <x v="1"/>
    <x v="0"/>
    <x v="1112"/>
    <x v="0"/>
    <x v="0"/>
    <x v="0"/>
    <x v="0"/>
    <x v="0"/>
    <x v="2"/>
    <x v="746"/>
    <x v="734"/>
    <x v="1112"/>
    <x v="1"/>
    <x v="10"/>
    <x v="0"/>
    <x v="17"/>
    <x v="17"/>
    <x v="0"/>
    <x v="0"/>
    <x v="0"/>
    <x v="25"/>
    <x v="0"/>
    <x v="0"/>
    <x v="1"/>
    <x v="1"/>
  </r>
  <r>
    <x v="1128"/>
    <x v="1"/>
    <x v="25"/>
    <x v="1111"/>
    <x v="480"/>
    <x v="762"/>
    <x v="1"/>
    <x v="0"/>
    <x v="1111"/>
    <x v="0"/>
    <x v="0"/>
    <x v="0"/>
    <x v="0"/>
    <x v="0"/>
    <x v="2"/>
    <x v="762"/>
    <x v="750"/>
    <x v="1111"/>
    <x v="1"/>
    <x v="10"/>
    <x v="0"/>
    <x v="17"/>
    <x v="17"/>
    <x v="0"/>
    <x v="0"/>
    <x v="0"/>
    <x v="25"/>
    <x v="0"/>
    <x v="0"/>
    <x v="1"/>
    <x v="1"/>
  </r>
  <r>
    <x v="1127"/>
    <x v="1"/>
    <x v="25"/>
    <x v="1110"/>
    <x v="501"/>
    <x v="782"/>
    <x v="1"/>
    <x v="0"/>
    <x v="1110"/>
    <x v="0"/>
    <x v="0"/>
    <x v="0"/>
    <x v="0"/>
    <x v="0"/>
    <x v="2"/>
    <x v="782"/>
    <x v="770"/>
    <x v="1110"/>
    <x v="1"/>
    <x v="10"/>
    <x v="0"/>
    <x v="17"/>
    <x v="17"/>
    <x v="0"/>
    <x v="0"/>
    <x v="0"/>
    <x v="25"/>
    <x v="0"/>
    <x v="0"/>
    <x v="1"/>
    <x v="1"/>
  </r>
  <r>
    <x v="1126"/>
    <x v="1"/>
    <x v="25"/>
    <x v="1109"/>
    <x v="925"/>
    <x v="1023"/>
    <x v="1"/>
    <x v="0"/>
    <x v="1109"/>
    <x v="0"/>
    <x v="0"/>
    <x v="0"/>
    <x v="0"/>
    <x v="0"/>
    <x v="2"/>
    <x v="1023"/>
    <x v="1011"/>
    <x v="1109"/>
    <x v="1"/>
    <x v="10"/>
    <x v="0"/>
    <x v="17"/>
    <x v="17"/>
    <x v="0"/>
    <x v="0"/>
    <x v="0"/>
    <x v="25"/>
    <x v="0"/>
    <x v="0"/>
    <x v="1"/>
    <x v="1"/>
  </r>
  <r>
    <x v="1125"/>
    <x v="1"/>
    <x v="25"/>
    <x v="1108"/>
    <x v="919"/>
    <x v="1022"/>
    <x v="1"/>
    <x v="0"/>
    <x v="1108"/>
    <x v="0"/>
    <x v="0"/>
    <x v="0"/>
    <x v="0"/>
    <x v="0"/>
    <x v="2"/>
    <x v="1022"/>
    <x v="1010"/>
    <x v="1108"/>
    <x v="1"/>
    <x v="10"/>
    <x v="0"/>
    <x v="17"/>
    <x v="17"/>
    <x v="0"/>
    <x v="0"/>
    <x v="0"/>
    <x v="25"/>
    <x v="0"/>
    <x v="0"/>
    <x v="1"/>
    <x v="1"/>
  </r>
  <r>
    <x v="1124"/>
    <x v="1"/>
    <x v="25"/>
    <x v="1107"/>
    <x v="945"/>
    <x v="1031"/>
    <x v="1"/>
    <x v="0"/>
    <x v="1107"/>
    <x v="0"/>
    <x v="0"/>
    <x v="0"/>
    <x v="0"/>
    <x v="0"/>
    <x v="2"/>
    <x v="1031"/>
    <x v="1019"/>
    <x v="1107"/>
    <x v="1"/>
    <x v="10"/>
    <x v="0"/>
    <x v="17"/>
    <x v="17"/>
    <x v="0"/>
    <x v="0"/>
    <x v="0"/>
    <x v="25"/>
    <x v="0"/>
    <x v="0"/>
    <x v="1"/>
    <x v="1"/>
  </r>
  <r>
    <x v="1123"/>
    <x v="1"/>
    <x v="25"/>
    <x v="1106"/>
    <x v="927"/>
    <x v="1024"/>
    <x v="1"/>
    <x v="0"/>
    <x v="1106"/>
    <x v="0"/>
    <x v="0"/>
    <x v="0"/>
    <x v="0"/>
    <x v="0"/>
    <x v="2"/>
    <x v="1024"/>
    <x v="1012"/>
    <x v="1106"/>
    <x v="1"/>
    <x v="10"/>
    <x v="0"/>
    <x v="17"/>
    <x v="17"/>
    <x v="0"/>
    <x v="0"/>
    <x v="0"/>
    <x v="25"/>
    <x v="0"/>
    <x v="0"/>
    <x v="1"/>
    <x v="1"/>
  </r>
  <r>
    <x v="1122"/>
    <x v="1"/>
    <x v="25"/>
    <x v="1105"/>
    <x v="938"/>
    <x v="1030"/>
    <x v="1"/>
    <x v="0"/>
    <x v="1105"/>
    <x v="0"/>
    <x v="0"/>
    <x v="0"/>
    <x v="0"/>
    <x v="0"/>
    <x v="2"/>
    <x v="1030"/>
    <x v="1018"/>
    <x v="1105"/>
    <x v="1"/>
    <x v="10"/>
    <x v="0"/>
    <x v="17"/>
    <x v="17"/>
    <x v="0"/>
    <x v="0"/>
    <x v="0"/>
    <x v="25"/>
    <x v="0"/>
    <x v="0"/>
    <x v="1"/>
    <x v="1"/>
  </r>
  <r>
    <x v="1121"/>
    <x v="1"/>
    <x v="25"/>
    <x v="1104"/>
    <x v="850"/>
    <x v="995"/>
    <x v="1"/>
    <x v="0"/>
    <x v="1104"/>
    <x v="0"/>
    <x v="0"/>
    <x v="0"/>
    <x v="0"/>
    <x v="0"/>
    <x v="2"/>
    <x v="995"/>
    <x v="983"/>
    <x v="1104"/>
    <x v="1"/>
    <x v="10"/>
    <x v="0"/>
    <x v="17"/>
    <x v="17"/>
    <x v="0"/>
    <x v="0"/>
    <x v="0"/>
    <x v="25"/>
    <x v="0"/>
    <x v="0"/>
    <x v="1"/>
    <x v="1"/>
  </r>
  <r>
    <x v="1120"/>
    <x v="1"/>
    <x v="25"/>
    <x v="1103"/>
    <x v="832"/>
    <x v="983"/>
    <x v="1"/>
    <x v="0"/>
    <x v="1103"/>
    <x v="0"/>
    <x v="0"/>
    <x v="0"/>
    <x v="0"/>
    <x v="0"/>
    <x v="2"/>
    <x v="983"/>
    <x v="971"/>
    <x v="1103"/>
    <x v="1"/>
    <x v="10"/>
    <x v="0"/>
    <x v="17"/>
    <x v="17"/>
    <x v="0"/>
    <x v="0"/>
    <x v="0"/>
    <x v="25"/>
    <x v="0"/>
    <x v="0"/>
    <x v="1"/>
    <x v="1"/>
  </r>
  <r>
    <x v="1119"/>
    <x v="1"/>
    <x v="25"/>
    <x v="1102"/>
    <x v="812"/>
    <x v="969"/>
    <x v="1"/>
    <x v="0"/>
    <x v="1102"/>
    <x v="0"/>
    <x v="0"/>
    <x v="0"/>
    <x v="0"/>
    <x v="0"/>
    <x v="2"/>
    <x v="969"/>
    <x v="957"/>
    <x v="1102"/>
    <x v="1"/>
    <x v="10"/>
    <x v="0"/>
    <x v="17"/>
    <x v="17"/>
    <x v="0"/>
    <x v="0"/>
    <x v="0"/>
    <x v="25"/>
    <x v="0"/>
    <x v="0"/>
    <x v="1"/>
    <x v="1"/>
  </r>
  <r>
    <x v="1118"/>
    <x v="1"/>
    <x v="25"/>
    <x v="1101"/>
    <x v="805"/>
    <x v="963"/>
    <x v="1"/>
    <x v="0"/>
    <x v="1101"/>
    <x v="0"/>
    <x v="0"/>
    <x v="0"/>
    <x v="0"/>
    <x v="0"/>
    <x v="2"/>
    <x v="963"/>
    <x v="951"/>
    <x v="1101"/>
    <x v="1"/>
    <x v="10"/>
    <x v="0"/>
    <x v="17"/>
    <x v="17"/>
    <x v="0"/>
    <x v="0"/>
    <x v="0"/>
    <x v="25"/>
    <x v="0"/>
    <x v="0"/>
    <x v="1"/>
    <x v="1"/>
  </r>
  <r>
    <x v="1117"/>
    <x v="1"/>
    <x v="25"/>
    <x v="1100"/>
    <x v="829"/>
    <x v="981"/>
    <x v="1"/>
    <x v="0"/>
    <x v="1100"/>
    <x v="0"/>
    <x v="0"/>
    <x v="0"/>
    <x v="0"/>
    <x v="0"/>
    <x v="2"/>
    <x v="981"/>
    <x v="969"/>
    <x v="1100"/>
    <x v="1"/>
    <x v="10"/>
    <x v="0"/>
    <x v="17"/>
    <x v="17"/>
    <x v="0"/>
    <x v="0"/>
    <x v="0"/>
    <x v="25"/>
    <x v="0"/>
    <x v="0"/>
    <x v="1"/>
    <x v="1"/>
  </r>
  <r>
    <x v="1116"/>
    <x v="1"/>
    <x v="25"/>
    <x v="1099"/>
    <x v="840"/>
    <x v="989"/>
    <x v="1"/>
    <x v="0"/>
    <x v="1099"/>
    <x v="0"/>
    <x v="0"/>
    <x v="0"/>
    <x v="0"/>
    <x v="0"/>
    <x v="2"/>
    <x v="989"/>
    <x v="977"/>
    <x v="1099"/>
    <x v="1"/>
    <x v="10"/>
    <x v="0"/>
    <x v="17"/>
    <x v="17"/>
    <x v="0"/>
    <x v="0"/>
    <x v="0"/>
    <x v="25"/>
    <x v="0"/>
    <x v="0"/>
    <x v="1"/>
    <x v="1"/>
  </r>
  <r>
    <x v="1115"/>
    <x v="1"/>
    <x v="25"/>
    <x v="1098"/>
    <x v="825"/>
    <x v="979"/>
    <x v="1"/>
    <x v="0"/>
    <x v="1098"/>
    <x v="0"/>
    <x v="0"/>
    <x v="0"/>
    <x v="0"/>
    <x v="0"/>
    <x v="2"/>
    <x v="979"/>
    <x v="967"/>
    <x v="1098"/>
    <x v="1"/>
    <x v="10"/>
    <x v="0"/>
    <x v="17"/>
    <x v="17"/>
    <x v="0"/>
    <x v="0"/>
    <x v="0"/>
    <x v="25"/>
    <x v="0"/>
    <x v="0"/>
    <x v="1"/>
    <x v="1"/>
  </r>
  <r>
    <x v="1114"/>
    <x v="1"/>
    <x v="25"/>
    <x v="1097"/>
    <x v="24"/>
    <x v="1064"/>
    <x v="1"/>
    <x v="0"/>
    <x v="1097"/>
    <x v="0"/>
    <x v="0"/>
    <x v="0"/>
    <x v="0"/>
    <x v="0"/>
    <x v="2"/>
    <x v="1064"/>
    <x v="1052"/>
    <x v="1097"/>
    <x v="1"/>
    <x v="10"/>
    <x v="0"/>
    <x v="17"/>
    <x v="17"/>
    <x v="0"/>
    <x v="0"/>
    <x v="0"/>
    <x v="25"/>
    <x v="0"/>
    <x v="0"/>
    <x v="1"/>
    <x v="1"/>
  </r>
  <r>
    <x v="1113"/>
    <x v="1"/>
    <x v="25"/>
    <x v="1096"/>
    <x v="23"/>
    <x v="1063"/>
    <x v="1"/>
    <x v="0"/>
    <x v="1096"/>
    <x v="0"/>
    <x v="0"/>
    <x v="0"/>
    <x v="0"/>
    <x v="0"/>
    <x v="2"/>
    <x v="1063"/>
    <x v="1051"/>
    <x v="1096"/>
    <x v="1"/>
    <x v="10"/>
    <x v="0"/>
    <x v="17"/>
    <x v="17"/>
    <x v="0"/>
    <x v="0"/>
    <x v="0"/>
    <x v="25"/>
    <x v="0"/>
    <x v="0"/>
    <x v="1"/>
    <x v="1"/>
  </r>
  <r>
    <x v="1112"/>
    <x v="1"/>
    <x v="25"/>
    <x v="1095"/>
    <x v="22"/>
    <x v="1062"/>
    <x v="1"/>
    <x v="0"/>
    <x v="1095"/>
    <x v="0"/>
    <x v="0"/>
    <x v="0"/>
    <x v="0"/>
    <x v="0"/>
    <x v="2"/>
    <x v="1062"/>
    <x v="1050"/>
    <x v="1095"/>
    <x v="1"/>
    <x v="10"/>
    <x v="0"/>
    <x v="17"/>
    <x v="17"/>
    <x v="0"/>
    <x v="0"/>
    <x v="0"/>
    <x v="25"/>
    <x v="0"/>
    <x v="0"/>
    <x v="1"/>
    <x v="1"/>
  </r>
  <r>
    <x v="1111"/>
    <x v="1"/>
    <x v="25"/>
    <x v="1094"/>
    <x v="21"/>
    <x v="1061"/>
    <x v="1"/>
    <x v="0"/>
    <x v="1094"/>
    <x v="0"/>
    <x v="0"/>
    <x v="0"/>
    <x v="0"/>
    <x v="0"/>
    <x v="2"/>
    <x v="1061"/>
    <x v="1049"/>
    <x v="1094"/>
    <x v="1"/>
    <x v="10"/>
    <x v="0"/>
    <x v="17"/>
    <x v="17"/>
    <x v="0"/>
    <x v="0"/>
    <x v="0"/>
    <x v="25"/>
    <x v="0"/>
    <x v="0"/>
    <x v="1"/>
    <x v="1"/>
  </r>
  <r>
    <x v="1110"/>
    <x v="1"/>
    <x v="25"/>
    <x v="1093"/>
    <x v="20"/>
    <x v="1060"/>
    <x v="1"/>
    <x v="0"/>
    <x v="1093"/>
    <x v="0"/>
    <x v="0"/>
    <x v="0"/>
    <x v="0"/>
    <x v="0"/>
    <x v="2"/>
    <x v="1060"/>
    <x v="1048"/>
    <x v="1093"/>
    <x v="1"/>
    <x v="10"/>
    <x v="0"/>
    <x v="17"/>
    <x v="17"/>
    <x v="0"/>
    <x v="0"/>
    <x v="0"/>
    <x v="25"/>
    <x v="0"/>
    <x v="0"/>
    <x v="1"/>
    <x v="1"/>
  </r>
  <r>
    <x v="1109"/>
    <x v="1"/>
    <x v="25"/>
    <x v="1092"/>
    <x v="19"/>
    <x v="1059"/>
    <x v="1"/>
    <x v="0"/>
    <x v="1092"/>
    <x v="0"/>
    <x v="0"/>
    <x v="0"/>
    <x v="0"/>
    <x v="0"/>
    <x v="2"/>
    <x v="1059"/>
    <x v="1047"/>
    <x v="1092"/>
    <x v="1"/>
    <x v="10"/>
    <x v="0"/>
    <x v="17"/>
    <x v="17"/>
    <x v="0"/>
    <x v="0"/>
    <x v="0"/>
    <x v="25"/>
    <x v="0"/>
    <x v="0"/>
    <x v="1"/>
    <x v="1"/>
  </r>
  <r>
    <x v="1108"/>
    <x v="1"/>
    <x v="25"/>
    <x v="1091"/>
    <x v="17"/>
    <x v="1057"/>
    <x v="1"/>
    <x v="0"/>
    <x v="1091"/>
    <x v="0"/>
    <x v="0"/>
    <x v="0"/>
    <x v="0"/>
    <x v="0"/>
    <x v="2"/>
    <x v="1057"/>
    <x v="1045"/>
    <x v="1091"/>
    <x v="1"/>
    <x v="10"/>
    <x v="0"/>
    <x v="17"/>
    <x v="17"/>
    <x v="0"/>
    <x v="0"/>
    <x v="0"/>
    <x v="25"/>
    <x v="0"/>
    <x v="0"/>
    <x v="1"/>
    <x v="1"/>
  </r>
  <r>
    <x v="1107"/>
    <x v="1"/>
    <x v="25"/>
    <x v="1090"/>
    <x v="16"/>
    <x v="1056"/>
    <x v="1"/>
    <x v="0"/>
    <x v="1090"/>
    <x v="0"/>
    <x v="0"/>
    <x v="0"/>
    <x v="0"/>
    <x v="0"/>
    <x v="2"/>
    <x v="1056"/>
    <x v="1044"/>
    <x v="1090"/>
    <x v="1"/>
    <x v="10"/>
    <x v="0"/>
    <x v="17"/>
    <x v="17"/>
    <x v="0"/>
    <x v="0"/>
    <x v="0"/>
    <x v="25"/>
    <x v="0"/>
    <x v="0"/>
    <x v="1"/>
    <x v="1"/>
  </r>
  <r>
    <x v="1106"/>
    <x v="1"/>
    <x v="25"/>
    <x v="1089"/>
    <x v="15"/>
    <x v="1055"/>
    <x v="1"/>
    <x v="0"/>
    <x v="1089"/>
    <x v="0"/>
    <x v="0"/>
    <x v="0"/>
    <x v="0"/>
    <x v="0"/>
    <x v="2"/>
    <x v="1055"/>
    <x v="1043"/>
    <x v="1089"/>
    <x v="1"/>
    <x v="10"/>
    <x v="0"/>
    <x v="17"/>
    <x v="17"/>
    <x v="0"/>
    <x v="0"/>
    <x v="0"/>
    <x v="25"/>
    <x v="0"/>
    <x v="0"/>
    <x v="1"/>
    <x v="1"/>
  </r>
  <r>
    <x v="1105"/>
    <x v="1"/>
    <x v="25"/>
    <x v="1088"/>
    <x v="14"/>
    <x v="1054"/>
    <x v="1"/>
    <x v="0"/>
    <x v="1088"/>
    <x v="0"/>
    <x v="0"/>
    <x v="0"/>
    <x v="0"/>
    <x v="0"/>
    <x v="2"/>
    <x v="1054"/>
    <x v="1042"/>
    <x v="1088"/>
    <x v="1"/>
    <x v="10"/>
    <x v="0"/>
    <x v="17"/>
    <x v="17"/>
    <x v="0"/>
    <x v="0"/>
    <x v="0"/>
    <x v="25"/>
    <x v="0"/>
    <x v="0"/>
    <x v="1"/>
    <x v="1"/>
  </r>
  <r>
    <x v="1104"/>
    <x v="1"/>
    <x v="25"/>
    <x v="1087"/>
    <x v="13"/>
    <x v="1053"/>
    <x v="1"/>
    <x v="0"/>
    <x v="1087"/>
    <x v="0"/>
    <x v="0"/>
    <x v="0"/>
    <x v="0"/>
    <x v="0"/>
    <x v="2"/>
    <x v="1053"/>
    <x v="1041"/>
    <x v="1087"/>
    <x v="1"/>
    <x v="10"/>
    <x v="0"/>
    <x v="17"/>
    <x v="17"/>
    <x v="0"/>
    <x v="0"/>
    <x v="0"/>
    <x v="25"/>
    <x v="0"/>
    <x v="0"/>
    <x v="1"/>
    <x v="1"/>
  </r>
  <r>
    <x v="1103"/>
    <x v="1"/>
    <x v="25"/>
    <x v="1086"/>
    <x v="12"/>
    <x v="1052"/>
    <x v="1"/>
    <x v="0"/>
    <x v="1086"/>
    <x v="0"/>
    <x v="0"/>
    <x v="0"/>
    <x v="0"/>
    <x v="0"/>
    <x v="2"/>
    <x v="1052"/>
    <x v="1040"/>
    <x v="1086"/>
    <x v="1"/>
    <x v="10"/>
    <x v="0"/>
    <x v="17"/>
    <x v="17"/>
    <x v="0"/>
    <x v="0"/>
    <x v="0"/>
    <x v="25"/>
    <x v="0"/>
    <x v="0"/>
    <x v="1"/>
    <x v="1"/>
  </r>
  <r>
    <x v="1102"/>
    <x v="1"/>
    <x v="25"/>
    <x v="1085"/>
    <x v="11"/>
    <x v="1051"/>
    <x v="1"/>
    <x v="0"/>
    <x v="1085"/>
    <x v="0"/>
    <x v="0"/>
    <x v="0"/>
    <x v="0"/>
    <x v="0"/>
    <x v="2"/>
    <x v="1051"/>
    <x v="1039"/>
    <x v="1085"/>
    <x v="1"/>
    <x v="10"/>
    <x v="0"/>
    <x v="17"/>
    <x v="17"/>
    <x v="0"/>
    <x v="0"/>
    <x v="0"/>
    <x v="25"/>
    <x v="0"/>
    <x v="0"/>
    <x v="1"/>
    <x v="1"/>
  </r>
  <r>
    <x v="1101"/>
    <x v="1"/>
    <x v="25"/>
    <x v="1084"/>
    <x v="10"/>
    <x v="1050"/>
    <x v="1"/>
    <x v="0"/>
    <x v="1084"/>
    <x v="0"/>
    <x v="0"/>
    <x v="0"/>
    <x v="0"/>
    <x v="0"/>
    <x v="2"/>
    <x v="1050"/>
    <x v="1038"/>
    <x v="1084"/>
    <x v="1"/>
    <x v="10"/>
    <x v="0"/>
    <x v="17"/>
    <x v="17"/>
    <x v="0"/>
    <x v="0"/>
    <x v="0"/>
    <x v="25"/>
    <x v="0"/>
    <x v="0"/>
    <x v="1"/>
    <x v="1"/>
  </r>
  <r>
    <x v="1100"/>
    <x v="1"/>
    <x v="25"/>
    <x v="1083"/>
    <x v="7"/>
    <x v="476"/>
    <x v="1"/>
    <x v="0"/>
    <x v="1083"/>
    <x v="0"/>
    <x v="0"/>
    <x v="0"/>
    <x v="0"/>
    <x v="0"/>
    <x v="2"/>
    <x v="476"/>
    <x v="464"/>
    <x v="1083"/>
    <x v="1"/>
    <x v="10"/>
    <x v="0"/>
    <x v="17"/>
    <x v="17"/>
    <x v="0"/>
    <x v="0"/>
    <x v="0"/>
    <x v="25"/>
    <x v="0"/>
    <x v="0"/>
    <x v="1"/>
    <x v="1"/>
  </r>
  <r>
    <x v="1099"/>
    <x v="1"/>
    <x v="25"/>
    <x v="1082"/>
    <x v="6"/>
    <x v="475"/>
    <x v="1"/>
    <x v="0"/>
    <x v="1082"/>
    <x v="0"/>
    <x v="0"/>
    <x v="0"/>
    <x v="0"/>
    <x v="0"/>
    <x v="2"/>
    <x v="475"/>
    <x v="463"/>
    <x v="1082"/>
    <x v="1"/>
    <x v="10"/>
    <x v="0"/>
    <x v="17"/>
    <x v="17"/>
    <x v="0"/>
    <x v="0"/>
    <x v="0"/>
    <x v="25"/>
    <x v="0"/>
    <x v="0"/>
    <x v="1"/>
    <x v="1"/>
  </r>
  <r>
    <x v="1098"/>
    <x v="1"/>
    <x v="25"/>
    <x v="1081"/>
    <x v="5"/>
    <x v="474"/>
    <x v="1"/>
    <x v="0"/>
    <x v="1081"/>
    <x v="0"/>
    <x v="0"/>
    <x v="0"/>
    <x v="0"/>
    <x v="0"/>
    <x v="2"/>
    <x v="474"/>
    <x v="462"/>
    <x v="1081"/>
    <x v="1"/>
    <x v="10"/>
    <x v="0"/>
    <x v="17"/>
    <x v="17"/>
    <x v="0"/>
    <x v="0"/>
    <x v="0"/>
    <x v="25"/>
    <x v="0"/>
    <x v="0"/>
    <x v="1"/>
    <x v="1"/>
  </r>
  <r>
    <x v="1097"/>
    <x v="1"/>
    <x v="25"/>
    <x v="1080"/>
    <x v="4"/>
    <x v="473"/>
    <x v="1"/>
    <x v="0"/>
    <x v="1080"/>
    <x v="0"/>
    <x v="0"/>
    <x v="0"/>
    <x v="0"/>
    <x v="0"/>
    <x v="2"/>
    <x v="473"/>
    <x v="461"/>
    <x v="1080"/>
    <x v="1"/>
    <x v="10"/>
    <x v="0"/>
    <x v="17"/>
    <x v="17"/>
    <x v="0"/>
    <x v="0"/>
    <x v="0"/>
    <x v="25"/>
    <x v="0"/>
    <x v="0"/>
    <x v="1"/>
    <x v="1"/>
  </r>
  <r>
    <x v="1096"/>
    <x v="1"/>
    <x v="25"/>
    <x v="1079"/>
    <x v="3"/>
    <x v="472"/>
    <x v="1"/>
    <x v="0"/>
    <x v="1079"/>
    <x v="0"/>
    <x v="0"/>
    <x v="0"/>
    <x v="0"/>
    <x v="0"/>
    <x v="2"/>
    <x v="472"/>
    <x v="460"/>
    <x v="1079"/>
    <x v="1"/>
    <x v="10"/>
    <x v="0"/>
    <x v="17"/>
    <x v="17"/>
    <x v="0"/>
    <x v="0"/>
    <x v="0"/>
    <x v="25"/>
    <x v="0"/>
    <x v="0"/>
    <x v="1"/>
    <x v="1"/>
  </r>
  <r>
    <x v="1095"/>
    <x v="1"/>
    <x v="25"/>
    <x v="1078"/>
    <x v="2"/>
    <x v="471"/>
    <x v="1"/>
    <x v="0"/>
    <x v="1078"/>
    <x v="0"/>
    <x v="0"/>
    <x v="0"/>
    <x v="0"/>
    <x v="0"/>
    <x v="2"/>
    <x v="471"/>
    <x v="459"/>
    <x v="1078"/>
    <x v="1"/>
    <x v="10"/>
    <x v="0"/>
    <x v="17"/>
    <x v="17"/>
    <x v="0"/>
    <x v="0"/>
    <x v="0"/>
    <x v="25"/>
    <x v="0"/>
    <x v="0"/>
    <x v="1"/>
    <x v="1"/>
  </r>
  <r>
    <x v="1094"/>
    <x v="1"/>
    <x v="25"/>
    <x v="1077"/>
    <x v="1"/>
    <x v="470"/>
    <x v="1"/>
    <x v="0"/>
    <x v="1077"/>
    <x v="0"/>
    <x v="0"/>
    <x v="0"/>
    <x v="0"/>
    <x v="0"/>
    <x v="2"/>
    <x v="470"/>
    <x v="458"/>
    <x v="1077"/>
    <x v="1"/>
    <x v="10"/>
    <x v="0"/>
    <x v="17"/>
    <x v="17"/>
    <x v="0"/>
    <x v="0"/>
    <x v="0"/>
    <x v="25"/>
    <x v="0"/>
    <x v="0"/>
    <x v="1"/>
    <x v="1"/>
  </r>
  <r>
    <x v="1093"/>
    <x v="1"/>
    <x v="25"/>
    <x v="1076"/>
    <x v="8"/>
    <x v="478"/>
    <x v="1"/>
    <x v="0"/>
    <x v="1076"/>
    <x v="0"/>
    <x v="0"/>
    <x v="0"/>
    <x v="0"/>
    <x v="0"/>
    <x v="2"/>
    <x v="478"/>
    <x v="466"/>
    <x v="1076"/>
    <x v="1"/>
    <x v="10"/>
    <x v="0"/>
    <x v="17"/>
    <x v="17"/>
    <x v="0"/>
    <x v="0"/>
    <x v="0"/>
    <x v="26"/>
    <x v="0"/>
    <x v="0"/>
    <x v="1"/>
    <x v="1"/>
  </r>
  <r>
    <x v="1092"/>
    <x v="1"/>
    <x v="25"/>
    <x v="1075"/>
    <x v="62"/>
    <x v="1103"/>
    <x v="1"/>
    <x v="0"/>
    <x v="1075"/>
    <x v="0"/>
    <x v="0"/>
    <x v="0"/>
    <x v="0"/>
    <x v="0"/>
    <x v="2"/>
    <x v="1103"/>
    <x v="1091"/>
    <x v="1075"/>
    <x v="1"/>
    <x v="10"/>
    <x v="0"/>
    <x v="17"/>
    <x v="17"/>
    <x v="0"/>
    <x v="0"/>
    <x v="0"/>
    <x v="26"/>
    <x v="0"/>
    <x v="0"/>
    <x v="1"/>
    <x v="1"/>
  </r>
  <r>
    <x v="1091"/>
    <x v="1"/>
    <x v="25"/>
    <x v="1074"/>
    <x v="61"/>
    <x v="1102"/>
    <x v="1"/>
    <x v="0"/>
    <x v="1074"/>
    <x v="0"/>
    <x v="0"/>
    <x v="0"/>
    <x v="0"/>
    <x v="0"/>
    <x v="2"/>
    <x v="1102"/>
    <x v="1090"/>
    <x v="1074"/>
    <x v="1"/>
    <x v="10"/>
    <x v="0"/>
    <x v="17"/>
    <x v="17"/>
    <x v="0"/>
    <x v="0"/>
    <x v="0"/>
    <x v="26"/>
    <x v="0"/>
    <x v="0"/>
    <x v="1"/>
    <x v="1"/>
  </r>
  <r>
    <x v="1090"/>
    <x v="1"/>
    <x v="25"/>
    <x v="1073"/>
    <x v="60"/>
    <x v="1101"/>
    <x v="1"/>
    <x v="0"/>
    <x v="1073"/>
    <x v="0"/>
    <x v="0"/>
    <x v="0"/>
    <x v="0"/>
    <x v="0"/>
    <x v="2"/>
    <x v="1101"/>
    <x v="1089"/>
    <x v="1073"/>
    <x v="1"/>
    <x v="10"/>
    <x v="0"/>
    <x v="17"/>
    <x v="17"/>
    <x v="0"/>
    <x v="0"/>
    <x v="0"/>
    <x v="26"/>
    <x v="0"/>
    <x v="0"/>
    <x v="1"/>
    <x v="1"/>
  </r>
  <r>
    <x v="1089"/>
    <x v="1"/>
    <x v="25"/>
    <x v="1072"/>
    <x v="59"/>
    <x v="1100"/>
    <x v="1"/>
    <x v="0"/>
    <x v="1072"/>
    <x v="0"/>
    <x v="0"/>
    <x v="0"/>
    <x v="0"/>
    <x v="0"/>
    <x v="2"/>
    <x v="1100"/>
    <x v="1088"/>
    <x v="1072"/>
    <x v="1"/>
    <x v="10"/>
    <x v="0"/>
    <x v="17"/>
    <x v="17"/>
    <x v="0"/>
    <x v="0"/>
    <x v="0"/>
    <x v="26"/>
    <x v="0"/>
    <x v="0"/>
    <x v="1"/>
    <x v="1"/>
  </r>
  <r>
    <x v="1088"/>
    <x v="1"/>
    <x v="25"/>
    <x v="1071"/>
    <x v="58"/>
    <x v="1099"/>
    <x v="1"/>
    <x v="0"/>
    <x v="1071"/>
    <x v="0"/>
    <x v="0"/>
    <x v="0"/>
    <x v="0"/>
    <x v="0"/>
    <x v="2"/>
    <x v="1099"/>
    <x v="1087"/>
    <x v="1071"/>
    <x v="1"/>
    <x v="10"/>
    <x v="0"/>
    <x v="17"/>
    <x v="17"/>
    <x v="0"/>
    <x v="0"/>
    <x v="0"/>
    <x v="26"/>
    <x v="0"/>
    <x v="0"/>
    <x v="1"/>
    <x v="1"/>
  </r>
  <r>
    <x v="1087"/>
    <x v="1"/>
    <x v="25"/>
    <x v="1070"/>
    <x v="57"/>
    <x v="1098"/>
    <x v="1"/>
    <x v="0"/>
    <x v="1070"/>
    <x v="0"/>
    <x v="0"/>
    <x v="0"/>
    <x v="0"/>
    <x v="0"/>
    <x v="2"/>
    <x v="1098"/>
    <x v="1086"/>
    <x v="1070"/>
    <x v="1"/>
    <x v="10"/>
    <x v="0"/>
    <x v="17"/>
    <x v="17"/>
    <x v="0"/>
    <x v="0"/>
    <x v="0"/>
    <x v="26"/>
    <x v="0"/>
    <x v="0"/>
    <x v="1"/>
    <x v="1"/>
  </r>
  <r>
    <x v="1086"/>
    <x v="1"/>
    <x v="25"/>
    <x v="1069"/>
    <x v="56"/>
    <x v="1097"/>
    <x v="1"/>
    <x v="0"/>
    <x v="1069"/>
    <x v="0"/>
    <x v="0"/>
    <x v="0"/>
    <x v="0"/>
    <x v="0"/>
    <x v="2"/>
    <x v="1097"/>
    <x v="1085"/>
    <x v="1069"/>
    <x v="1"/>
    <x v="10"/>
    <x v="0"/>
    <x v="17"/>
    <x v="17"/>
    <x v="0"/>
    <x v="0"/>
    <x v="0"/>
    <x v="26"/>
    <x v="0"/>
    <x v="0"/>
    <x v="1"/>
    <x v="1"/>
  </r>
  <r>
    <x v="1085"/>
    <x v="1"/>
    <x v="25"/>
    <x v="1068"/>
    <x v="55"/>
    <x v="1096"/>
    <x v="1"/>
    <x v="0"/>
    <x v="1068"/>
    <x v="0"/>
    <x v="0"/>
    <x v="0"/>
    <x v="0"/>
    <x v="0"/>
    <x v="2"/>
    <x v="1096"/>
    <x v="1084"/>
    <x v="1068"/>
    <x v="1"/>
    <x v="10"/>
    <x v="0"/>
    <x v="17"/>
    <x v="17"/>
    <x v="0"/>
    <x v="0"/>
    <x v="0"/>
    <x v="26"/>
    <x v="0"/>
    <x v="0"/>
    <x v="1"/>
    <x v="1"/>
  </r>
  <r>
    <x v="1084"/>
    <x v="1"/>
    <x v="25"/>
    <x v="1067"/>
    <x v="54"/>
    <x v="1095"/>
    <x v="1"/>
    <x v="0"/>
    <x v="1067"/>
    <x v="0"/>
    <x v="0"/>
    <x v="0"/>
    <x v="0"/>
    <x v="0"/>
    <x v="2"/>
    <x v="1095"/>
    <x v="1083"/>
    <x v="1067"/>
    <x v="1"/>
    <x v="10"/>
    <x v="0"/>
    <x v="17"/>
    <x v="17"/>
    <x v="0"/>
    <x v="0"/>
    <x v="0"/>
    <x v="26"/>
    <x v="0"/>
    <x v="0"/>
    <x v="1"/>
    <x v="1"/>
  </r>
  <r>
    <x v="1083"/>
    <x v="1"/>
    <x v="25"/>
    <x v="1066"/>
    <x v="53"/>
    <x v="1094"/>
    <x v="1"/>
    <x v="0"/>
    <x v="1066"/>
    <x v="0"/>
    <x v="0"/>
    <x v="0"/>
    <x v="0"/>
    <x v="0"/>
    <x v="2"/>
    <x v="1094"/>
    <x v="1082"/>
    <x v="1066"/>
    <x v="1"/>
    <x v="10"/>
    <x v="0"/>
    <x v="17"/>
    <x v="17"/>
    <x v="0"/>
    <x v="0"/>
    <x v="0"/>
    <x v="26"/>
    <x v="0"/>
    <x v="0"/>
    <x v="1"/>
    <x v="1"/>
  </r>
  <r>
    <x v="1082"/>
    <x v="1"/>
    <x v="25"/>
    <x v="1065"/>
    <x v="52"/>
    <x v="1093"/>
    <x v="1"/>
    <x v="0"/>
    <x v="1065"/>
    <x v="0"/>
    <x v="0"/>
    <x v="0"/>
    <x v="0"/>
    <x v="0"/>
    <x v="2"/>
    <x v="1093"/>
    <x v="1081"/>
    <x v="1065"/>
    <x v="1"/>
    <x v="10"/>
    <x v="0"/>
    <x v="17"/>
    <x v="17"/>
    <x v="0"/>
    <x v="0"/>
    <x v="0"/>
    <x v="26"/>
    <x v="0"/>
    <x v="0"/>
    <x v="1"/>
    <x v="1"/>
  </r>
  <r>
    <x v="1081"/>
    <x v="1"/>
    <x v="25"/>
    <x v="1064"/>
    <x v="51"/>
    <x v="1092"/>
    <x v="1"/>
    <x v="0"/>
    <x v="1064"/>
    <x v="0"/>
    <x v="0"/>
    <x v="0"/>
    <x v="0"/>
    <x v="0"/>
    <x v="2"/>
    <x v="1092"/>
    <x v="1080"/>
    <x v="1064"/>
    <x v="1"/>
    <x v="10"/>
    <x v="0"/>
    <x v="17"/>
    <x v="17"/>
    <x v="0"/>
    <x v="0"/>
    <x v="0"/>
    <x v="26"/>
    <x v="0"/>
    <x v="0"/>
    <x v="1"/>
    <x v="1"/>
  </r>
  <r>
    <x v="1080"/>
    <x v="1"/>
    <x v="25"/>
    <x v="1063"/>
    <x v="50"/>
    <x v="1091"/>
    <x v="1"/>
    <x v="0"/>
    <x v="1063"/>
    <x v="0"/>
    <x v="0"/>
    <x v="0"/>
    <x v="0"/>
    <x v="0"/>
    <x v="2"/>
    <x v="1091"/>
    <x v="1079"/>
    <x v="1063"/>
    <x v="1"/>
    <x v="10"/>
    <x v="0"/>
    <x v="17"/>
    <x v="17"/>
    <x v="0"/>
    <x v="0"/>
    <x v="0"/>
    <x v="26"/>
    <x v="0"/>
    <x v="0"/>
    <x v="1"/>
    <x v="1"/>
  </r>
  <r>
    <x v="1079"/>
    <x v="1"/>
    <x v="25"/>
    <x v="1062"/>
    <x v="49"/>
    <x v="1090"/>
    <x v="1"/>
    <x v="0"/>
    <x v="1062"/>
    <x v="0"/>
    <x v="0"/>
    <x v="0"/>
    <x v="0"/>
    <x v="0"/>
    <x v="2"/>
    <x v="1090"/>
    <x v="1078"/>
    <x v="1062"/>
    <x v="1"/>
    <x v="10"/>
    <x v="0"/>
    <x v="17"/>
    <x v="17"/>
    <x v="0"/>
    <x v="0"/>
    <x v="0"/>
    <x v="26"/>
    <x v="0"/>
    <x v="0"/>
    <x v="1"/>
    <x v="1"/>
  </r>
  <r>
    <x v="1078"/>
    <x v="1"/>
    <x v="25"/>
    <x v="1061"/>
    <x v="48"/>
    <x v="1089"/>
    <x v="1"/>
    <x v="0"/>
    <x v="1061"/>
    <x v="0"/>
    <x v="0"/>
    <x v="0"/>
    <x v="0"/>
    <x v="0"/>
    <x v="2"/>
    <x v="1089"/>
    <x v="1077"/>
    <x v="1061"/>
    <x v="1"/>
    <x v="10"/>
    <x v="0"/>
    <x v="17"/>
    <x v="17"/>
    <x v="0"/>
    <x v="0"/>
    <x v="0"/>
    <x v="26"/>
    <x v="0"/>
    <x v="0"/>
    <x v="1"/>
    <x v="1"/>
  </r>
  <r>
    <x v="1077"/>
    <x v="1"/>
    <x v="25"/>
    <x v="1060"/>
    <x v="94"/>
    <x v="1135"/>
    <x v="1"/>
    <x v="0"/>
    <x v="1060"/>
    <x v="0"/>
    <x v="0"/>
    <x v="0"/>
    <x v="0"/>
    <x v="0"/>
    <x v="2"/>
    <x v="1135"/>
    <x v="1123"/>
    <x v="1060"/>
    <x v="1"/>
    <x v="10"/>
    <x v="0"/>
    <x v="17"/>
    <x v="17"/>
    <x v="0"/>
    <x v="0"/>
    <x v="0"/>
    <x v="26"/>
    <x v="0"/>
    <x v="0"/>
    <x v="1"/>
    <x v="1"/>
  </r>
  <r>
    <x v="1076"/>
    <x v="1"/>
    <x v="25"/>
    <x v="1059"/>
    <x v="93"/>
    <x v="1134"/>
    <x v="1"/>
    <x v="0"/>
    <x v="1059"/>
    <x v="0"/>
    <x v="0"/>
    <x v="0"/>
    <x v="0"/>
    <x v="0"/>
    <x v="2"/>
    <x v="1134"/>
    <x v="1122"/>
    <x v="1059"/>
    <x v="1"/>
    <x v="10"/>
    <x v="0"/>
    <x v="17"/>
    <x v="17"/>
    <x v="0"/>
    <x v="0"/>
    <x v="0"/>
    <x v="26"/>
    <x v="0"/>
    <x v="0"/>
    <x v="1"/>
    <x v="1"/>
  </r>
  <r>
    <x v="1075"/>
    <x v="1"/>
    <x v="25"/>
    <x v="1058"/>
    <x v="92"/>
    <x v="1133"/>
    <x v="1"/>
    <x v="0"/>
    <x v="1058"/>
    <x v="0"/>
    <x v="0"/>
    <x v="0"/>
    <x v="0"/>
    <x v="0"/>
    <x v="2"/>
    <x v="1133"/>
    <x v="1121"/>
    <x v="1058"/>
    <x v="1"/>
    <x v="10"/>
    <x v="0"/>
    <x v="17"/>
    <x v="17"/>
    <x v="0"/>
    <x v="0"/>
    <x v="0"/>
    <x v="26"/>
    <x v="0"/>
    <x v="0"/>
    <x v="1"/>
    <x v="1"/>
  </r>
  <r>
    <x v="1074"/>
    <x v="1"/>
    <x v="25"/>
    <x v="1057"/>
    <x v="91"/>
    <x v="1132"/>
    <x v="1"/>
    <x v="0"/>
    <x v="1057"/>
    <x v="0"/>
    <x v="0"/>
    <x v="0"/>
    <x v="0"/>
    <x v="0"/>
    <x v="2"/>
    <x v="1132"/>
    <x v="1120"/>
    <x v="1057"/>
    <x v="1"/>
    <x v="10"/>
    <x v="0"/>
    <x v="17"/>
    <x v="17"/>
    <x v="0"/>
    <x v="0"/>
    <x v="0"/>
    <x v="26"/>
    <x v="0"/>
    <x v="0"/>
    <x v="1"/>
    <x v="1"/>
  </r>
  <r>
    <x v="1073"/>
    <x v="1"/>
    <x v="25"/>
    <x v="1056"/>
    <x v="90"/>
    <x v="1131"/>
    <x v="1"/>
    <x v="0"/>
    <x v="1056"/>
    <x v="0"/>
    <x v="0"/>
    <x v="0"/>
    <x v="0"/>
    <x v="0"/>
    <x v="2"/>
    <x v="1131"/>
    <x v="1119"/>
    <x v="1056"/>
    <x v="1"/>
    <x v="10"/>
    <x v="0"/>
    <x v="17"/>
    <x v="17"/>
    <x v="0"/>
    <x v="0"/>
    <x v="0"/>
    <x v="26"/>
    <x v="0"/>
    <x v="0"/>
    <x v="1"/>
    <x v="1"/>
  </r>
  <r>
    <x v="1072"/>
    <x v="1"/>
    <x v="25"/>
    <x v="1055"/>
    <x v="89"/>
    <x v="1130"/>
    <x v="1"/>
    <x v="0"/>
    <x v="1055"/>
    <x v="0"/>
    <x v="0"/>
    <x v="0"/>
    <x v="0"/>
    <x v="0"/>
    <x v="2"/>
    <x v="1130"/>
    <x v="1118"/>
    <x v="1055"/>
    <x v="1"/>
    <x v="10"/>
    <x v="0"/>
    <x v="17"/>
    <x v="17"/>
    <x v="0"/>
    <x v="0"/>
    <x v="0"/>
    <x v="26"/>
    <x v="0"/>
    <x v="0"/>
    <x v="1"/>
    <x v="1"/>
  </r>
  <r>
    <x v="1071"/>
    <x v="1"/>
    <x v="25"/>
    <x v="1054"/>
    <x v="88"/>
    <x v="1129"/>
    <x v="1"/>
    <x v="0"/>
    <x v="1054"/>
    <x v="0"/>
    <x v="0"/>
    <x v="0"/>
    <x v="0"/>
    <x v="0"/>
    <x v="2"/>
    <x v="1129"/>
    <x v="1117"/>
    <x v="1054"/>
    <x v="1"/>
    <x v="10"/>
    <x v="0"/>
    <x v="17"/>
    <x v="17"/>
    <x v="0"/>
    <x v="0"/>
    <x v="0"/>
    <x v="26"/>
    <x v="0"/>
    <x v="0"/>
    <x v="1"/>
    <x v="1"/>
  </r>
  <r>
    <x v="1070"/>
    <x v="1"/>
    <x v="25"/>
    <x v="1053"/>
    <x v="87"/>
    <x v="1128"/>
    <x v="1"/>
    <x v="0"/>
    <x v="1053"/>
    <x v="0"/>
    <x v="0"/>
    <x v="0"/>
    <x v="0"/>
    <x v="0"/>
    <x v="2"/>
    <x v="1128"/>
    <x v="1116"/>
    <x v="1053"/>
    <x v="1"/>
    <x v="10"/>
    <x v="0"/>
    <x v="17"/>
    <x v="17"/>
    <x v="0"/>
    <x v="0"/>
    <x v="0"/>
    <x v="26"/>
    <x v="0"/>
    <x v="0"/>
    <x v="1"/>
    <x v="1"/>
  </r>
  <r>
    <x v="1069"/>
    <x v="1"/>
    <x v="25"/>
    <x v="1052"/>
    <x v="86"/>
    <x v="1127"/>
    <x v="1"/>
    <x v="0"/>
    <x v="1052"/>
    <x v="0"/>
    <x v="0"/>
    <x v="0"/>
    <x v="0"/>
    <x v="0"/>
    <x v="2"/>
    <x v="1127"/>
    <x v="1115"/>
    <x v="1052"/>
    <x v="1"/>
    <x v="10"/>
    <x v="0"/>
    <x v="17"/>
    <x v="17"/>
    <x v="0"/>
    <x v="0"/>
    <x v="0"/>
    <x v="26"/>
    <x v="0"/>
    <x v="0"/>
    <x v="1"/>
    <x v="1"/>
  </r>
  <r>
    <x v="1068"/>
    <x v="1"/>
    <x v="25"/>
    <x v="1051"/>
    <x v="85"/>
    <x v="1126"/>
    <x v="1"/>
    <x v="0"/>
    <x v="1051"/>
    <x v="0"/>
    <x v="0"/>
    <x v="0"/>
    <x v="0"/>
    <x v="0"/>
    <x v="2"/>
    <x v="1126"/>
    <x v="1114"/>
    <x v="1051"/>
    <x v="1"/>
    <x v="10"/>
    <x v="0"/>
    <x v="17"/>
    <x v="17"/>
    <x v="0"/>
    <x v="0"/>
    <x v="0"/>
    <x v="26"/>
    <x v="0"/>
    <x v="0"/>
    <x v="1"/>
    <x v="1"/>
  </r>
  <r>
    <x v="1067"/>
    <x v="1"/>
    <x v="25"/>
    <x v="1050"/>
    <x v="84"/>
    <x v="1125"/>
    <x v="1"/>
    <x v="0"/>
    <x v="1050"/>
    <x v="0"/>
    <x v="0"/>
    <x v="0"/>
    <x v="0"/>
    <x v="0"/>
    <x v="2"/>
    <x v="1125"/>
    <x v="1113"/>
    <x v="1050"/>
    <x v="1"/>
    <x v="10"/>
    <x v="0"/>
    <x v="17"/>
    <x v="17"/>
    <x v="0"/>
    <x v="0"/>
    <x v="0"/>
    <x v="26"/>
    <x v="0"/>
    <x v="0"/>
    <x v="1"/>
    <x v="1"/>
  </r>
  <r>
    <x v="1066"/>
    <x v="1"/>
    <x v="25"/>
    <x v="1049"/>
    <x v="83"/>
    <x v="1124"/>
    <x v="1"/>
    <x v="0"/>
    <x v="1049"/>
    <x v="0"/>
    <x v="0"/>
    <x v="0"/>
    <x v="0"/>
    <x v="0"/>
    <x v="2"/>
    <x v="1124"/>
    <x v="1112"/>
    <x v="1049"/>
    <x v="1"/>
    <x v="10"/>
    <x v="0"/>
    <x v="17"/>
    <x v="17"/>
    <x v="0"/>
    <x v="0"/>
    <x v="0"/>
    <x v="26"/>
    <x v="0"/>
    <x v="0"/>
    <x v="1"/>
    <x v="1"/>
  </r>
  <r>
    <x v="1065"/>
    <x v="1"/>
    <x v="25"/>
    <x v="1048"/>
    <x v="82"/>
    <x v="1123"/>
    <x v="1"/>
    <x v="0"/>
    <x v="1048"/>
    <x v="0"/>
    <x v="0"/>
    <x v="0"/>
    <x v="0"/>
    <x v="0"/>
    <x v="2"/>
    <x v="1123"/>
    <x v="1111"/>
    <x v="1048"/>
    <x v="1"/>
    <x v="10"/>
    <x v="0"/>
    <x v="17"/>
    <x v="17"/>
    <x v="0"/>
    <x v="0"/>
    <x v="0"/>
    <x v="26"/>
    <x v="0"/>
    <x v="0"/>
    <x v="1"/>
    <x v="1"/>
  </r>
  <r>
    <x v="1064"/>
    <x v="1"/>
    <x v="25"/>
    <x v="1047"/>
    <x v="81"/>
    <x v="1122"/>
    <x v="1"/>
    <x v="0"/>
    <x v="1047"/>
    <x v="0"/>
    <x v="0"/>
    <x v="0"/>
    <x v="0"/>
    <x v="0"/>
    <x v="2"/>
    <x v="1122"/>
    <x v="1110"/>
    <x v="1047"/>
    <x v="1"/>
    <x v="10"/>
    <x v="0"/>
    <x v="17"/>
    <x v="17"/>
    <x v="0"/>
    <x v="0"/>
    <x v="0"/>
    <x v="26"/>
    <x v="0"/>
    <x v="0"/>
    <x v="1"/>
    <x v="1"/>
  </r>
  <r>
    <x v="1063"/>
    <x v="1"/>
    <x v="25"/>
    <x v="1046"/>
    <x v="80"/>
    <x v="1121"/>
    <x v="1"/>
    <x v="0"/>
    <x v="1046"/>
    <x v="0"/>
    <x v="0"/>
    <x v="0"/>
    <x v="0"/>
    <x v="0"/>
    <x v="2"/>
    <x v="1121"/>
    <x v="1109"/>
    <x v="1046"/>
    <x v="1"/>
    <x v="10"/>
    <x v="0"/>
    <x v="17"/>
    <x v="17"/>
    <x v="0"/>
    <x v="0"/>
    <x v="0"/>
    <x v="26"/>
    <x v="0"/>
    <x v="0"/>
    <x v="1"/>
    <x v="1"/>
  </r>
  <r>
    <x v="1062"/>
    <x v="1"/>
    <x v="25"/>
    <x v="1045"/>
    <x v="79"/>
    <x v="1120"/>
    <x v="1"/>
    <x v="0"/>
    <x v="1045"/>
    <x v="0"/>
    <x v="0"/>
    <x v="0"/>
    <x v="0"/>
    <x v="0"/>
    <x v="2"/>
    <x v="1120"/>
    <x v="1108"/>
    <x v="1045"/>
    <x v="1"/>
    <x v="10"/>
    <x v="0"/>
    <x v="17"/>
    <x v="17"/>
    <x v="0"/>
    <x v="0"/>
    <x v="0"/>
    <x v="26"/>
    <x v="0"/>
    <x v="0"/>
    <x v="1"/>
    <x v="1"/>
  </r>
  <r>
    <x v="1061"/>
    <x v="1"/>
    <x v="25"/>
    <x v="1044"/>
    <x v="78"/>
    <x v="1119"/>
    <x v="1"/>
    <x v="0"/>
    <x v="1044"/>
    <x v="0"/>
    <x v="0"/>
    <x v="0"/>
    <x v="0"/>
    <x v="0"/>
    <x v="2"/>
    <x v="1119"/>
    <x v="1107"/>
    <x v="1044"/>
    <x v="1"/>
    <x v="10"/>
    <x v="0"/>
    <x v="17"/>
    <x v="17"/>
    <x v="0"/>
    <x v="0"/>
    <x v="0"/>
    <x v="26"/>
    <x v="0"/>
    <x v="0"/>
    <x v="1"/>
    <x v="1"/>
  </r>
  <r>
    <x v="1060"/>
    <x v="1"/>
    <x v="25"/>
    <x v="1043"/>
    <x v="77"/>
    <x v="1118"/>
    <x v="1"/>
    <x v="0"/>
    <x v="1043"/>
    <x v="0"/>
    <x v="0"/>
    <x v="0"/>
    <x v="0"/>
    <x v="0"/>
    <x v="2"/>
    <x v="1118"/>
    <x v="1106"/>
    <x v="1043"/>
    <x v="1"/>
    <x v="10"/>
    <x v="0"/>
    <x v="17"/>
    <x v="17"/>
    <x v="0"/>
    <x v="0"/>
    <x v="0"/>
    <x v="26"/>
    <x v="0"/>
    <x v="0"/>
    <x v="1"/>
    <x v="1"/>
  </r>
  <r>
    <x v="1059"/>
    <x v="1"/>
    <x v="25"/>
    <x v="1042"/>
    <x v="76"/>
    <x v="1117"/>
    <x v="1"/>
    <x v="0"/>
    <x v="1042"/>
    <x v="0"/>
    <x v="0"/>
    <x v="0"/>
    <x v="0"/>
    <x v="0"/>
    <x v="2"/>
    <x v="1117"/>
    <x v="1105"/>
    <x v="1042"/>
    <x v="1"/>
    <x v="10"/>
    <x v="0"/>
    <x v="17"/>
    <x v="17"/>
    <x v="0"/>
    <x v="0"/>
    <x v="0"/>
    <x v="26"/>
    <x v="0"/>
    <x v="0"/>
    <x v="1"/>
    <x v="1"/>
  </r>
  <r>
    <x v="1058"/>
    <x v="1"/>
    <x v="25"/>
    <x v="1041"/>
    <x v="75"/>
    <x v="1116"/>
    <x v="1"/>
    <x v="0"/>
    <x v="1041"/>
    <x v="0"/>
    <x v="0"/>
    <x v="0"/>
    <x v="0"/>
    <x v="0"/>
    <x v="2"/>
    <x v="1116"/>
    <x v="1104"/>
    <x v="1041"/>
    <x v="1"/>
    <x v="10"/>
    <x v="0"/>
    <x v="17"/>
    <x v="17"/>
    <x v="0"/>
    <x v="0"/>
    <x v="0"/>
    <x v="26"/>
    <x v="0"/>
    <x v="0"/>
    <x v="1"/>
    <x v="1"/>
  </r>
  <r>
    <x v="1057"/>
    <x v="1"/>
    <x v="25"/>
    <x v="1040"/>
    <x v="74"/>
    <x v="1115"/>
    <x v="1"/>
    <x v="0"/>
    <x v="1040"/>
    <x v="0"/>
    <x v="0"/>
    <x v="0"/>
    <x v="0"/>
    <x v="0"/>
    <x v="2"/>
    <x v="1115"/>
    <x v="1103"/>
    <x v="1040"/>
    <x v="1"/>
    <x v="10"/>
    <x v="0"/>
    <x v="17"/>
    <x v="17"/>
    <x v="0"/>
    <x v="0"/>
    <x v="0"/>
    <x v="26"/>
    <x v="0"/>
    <x v="0"/>
    <x v="1"/>
    <x v="1"/>
  </r>
  <r>
    <x v="1056"/>
    <x v="1"/>
    <x v="25"/>
    <x v="1039"/>
    <x v="73"/>
    <x v="1114"/>
    <x v="1"/>
    <x v="0"/>
    <x v="1039"/>
    <x v="0"/>
    <x v="0"/>
    <x v="0"/>
    <x v="0"/>
    <x v="0"/>
    <x v="2"/>
    <x v="1114"/>
    <x v="1102"/>
    <x v="1039"/>
    <x v="1"/>
    <x v="10"/>
    <x v="0"/>
    <x v="17"/>
    <x v="17"/>
    <x v="0"/>
    <x v="0"/>
    <x v="0"/>
    <x v="26"/>
    <x v="0"/>
    <x v="0"/>
    <x v="1"/>
    <x v="1"/>
  </r>
  <r>
    <x v="1055"/>
    <x v="1"/>
    <x v="25"/>
    <x v="1038"/>
    <x v="72"/>
    <x v="1113"/>
    <x v="1"/>
    <x v="0"/>
    <x v="1038"/>
    <x v="0"/>
    <x v="0"/>
    <x v="0"/>
    <x v="0"/>
    <x v="0"/>
    <x v="2"/>
    <x v="1113"/>
    <x v="1101"/>
    <x v="1038"/>
    <x v="1"/>
    <x v="10"/>
    <x v="0"/>
    <x v="17"/>
    <x v="17"/>
    <x v="0"/>
    <x v="0"/>
    <x v="0"/>
    <x v="26"/>
    <x v="0"/>
    <x v="0"/>
    <x v="1"/>
    <x v="1"/>
  </r>
  <r>
    <x v="1054"/>
    <x v="1"/>
    <x v="25"/>
    <x v="1037"/>
    <x v="71"/>
    <x v="1112"/>
    <x v="1"/>
    <x v="0"/>
    <x v="1037"/>
    <x v="0"/>
    <x v="0"/>
    <x v="0"/>
    <x v="0"/>
    <x v="0"/>
    <x v="2"/>
    <x v="1112"/>
    <x v="1100"/>
    <x v="1037"/>
    <x v="1"/>
    <x v="10"/>
    <x v="0"/>
    <x v="17"/>
    <x v="17"/>
    <x v="0"/>
    <x v="0"/>
    <x v="0"/>
    <x v="26"/>
    <x v="0"/>
    <x v="0"/>
    <x v="1"/>
    <x v="1"/>
  </r>
  <r>
    <x v="1053"/>
    <x v="1"/>
    <x v="25"/>
    <x v="1036"/>
    <x v="70"/>
    <x v="1111"/>
    <x v="1"/>
    <x v="0"/>
    <x v="1036"/>
    <x v="0"/>
    <x v="0"/>
    <x v="0"/>
    <x v="0"/>
    <x v="0"/>
    <x v="2"/>
    <x v="1111"/>
    <x v="1099"/>
    <x v="1036"/>
    <x v="1"/>
    <x v="10"/>
    <x v="0"/>
    <x v="17"/>
    <x v="17"/>
    <x v="0"/>
    <x v="0"/>
    <x v="0"/>
    <x v="26"/>
    <x v="0"/>
    <x v="0"/>
    <x v="1"/>
    <x v="1"/>
  </r>
  <r>
    <x v="1052"/>
    <x v="1"/>
    <x v="25"/>
    <x v="1035"/>
    <x v="69"/>
    <x v="1110"/>
    <x v="1"/>
    <x v="0"/>
    <x v="1035"/>
    <x v="0"/>
    <x v="0"/>
    <x v="0"/>
    <x v="0"/>
    <x v="0"/>
    <x v="2"/>
    <x v="1110"/>
    <x v="1098"/>
    <x v="1035"/>
    <x v="1"/>
    <x v="10"/>
    <x v="0"/>
    <x v="17"/>
    <x v="17"/>
    <x v="0"/>
    <x v="0"/>
    <x v="0"/>
    <x v="26"/>
    <x v="0"/>
    <x v="0"/>
    <x v="1"/>
    <x v="1"/>
  </r>
  <r>
    <x v="1051"/>
    <x v="1"/>
    <x v="25"/>
    <x v="1034"/>
    <x v="68"/>
    <x v="1109"/>
    <x v="1"/>
    <x v="0"/>
    <x v="1034"/>
    <x v="0"/>
    <x v="0"/>
    <x v="0"/>
    <x v="0"/>
    <x v="0"/>
    <x v="2"/>
    <x v="1109"/>
    <x v="1097"/>
    <x v="1034"/>
    <x v="1"/>
    <x v="10"/>
    <x v="0"/>
    <x v="17"/>
    <x v="17"/>
    <x v="0"/>
    <x v="0"/>
    <x v="0"/>
    <x v="26"/>
    <x v="0"/>
    <x v="0"/>
    <x v="1"/>
    <x v="1"/>
  </r>
  <r>
    <x v="1050"/>
    <x v="1"/>
    <x v="25"/>
    <x v="1033"/>
    <x v="67"/>
    <x v="1108"/>
    <x v="1"/>
    <x v="0"/>
    <x v="1033"/>
    <x v="0"/>
    <x v="0"/>
    <x v="0"/>
    <x v="0"/>
    <x v="0"/>
    <x v="2"/>
    <x v="1108"/>
    <x v="1096"/>
    <x v="1033"/>
    <x v="1"/>
    <x v="10"/>
    <x v="0"/>
    <x v="17"/>
    <x v="17"/>
    <x v="0"/>
    <x v="0"/>
    <x v="0"/>
    <x v="26"/>
    <x v="0"/>
    <x v="0"/>
    <x v="1"/>
    <x v="1"/>
  </r>
  <r>
    <x v="1049"/>
    <x v="1"/>
    <x v="25"/>
    <x v="1032"/>
    <x v="66"/>
    <x v="1107"/>
    <x v="1"/>
    <x v="0"/>
    <x v="1032"/>
    <x v="0"/>
    <x v="0"/>
    <x v="0"/>
    <x v="0"/>
    <x v="0"/>
    <x v="2"/>
    <x v="1107"/>
    <x v="1095"/>
    <x v="1032"/>
    <x v="1"/>
    <x v="10"/>
    <x v="0"/>
    <x v="17"/>
    <x v="17"/>
    <x v="0"/>
    <x v="0"/>
    <x v="0"/>
    <x v="26"/>
    <x v="0"/>
    <x v="0"/>
    <x v="1"/>
    <x v="1"/>
  </r>
  <r>
    <x v="1048"/>
    <x v="1"/>
    <x v="25"/>
    <x v="1031"/>
    <x v="65"/>
    <x v="1106"/>
    <x v="1"/>
    <x v="0"/>
    <x v="1031"/>
    <x v="0"/>
    <x v="0"/>
    <x v="0"/>
    <x v="0"/>
    <x v="0"/>
    <x v="2"/>
    <x v="1106"/>
    <x v="1094"/>
    <x v="1031"/>
    <x v="1"/>
    <x v="10"/>
    <x v="0"/>
    <x v="17"/>
    <x v="17"/>
    <x v="0"/>
    <x v="0"/>
    <x v="0"/>
    <x v="26"/>
    <x v="0"/>
    <x v="0"/>
    <x v="1"/>
    <x v="1"/>
  </r>
  <r>
    <x v="1047"/>
    <x v="1"/>
    <x v="25"/>
    <x v="1030"/>
    <x v="64"/>
    <x v="1105"/>
    <x v="1"/>
    <x v="0"/>
    <x v="1030"/>
    <x v="0"/>
    <x v="0"/>
    <x v="0"/>
    <x v="0"/>
    <x v="0"/>
    <x v="2"/>
    <x v="1105"/>
    <x v="1093"/>
    <x v="1030"/>
    <x v="1"/>
    <x v="10"/>
    <x v="0"/>
    <x v="17"/>
    <x v="17"/>
    <x v="0"/>
    <x v="0"/>
    <x v="0"/>
    <x v="26"/>
    <x v="0"/>
    <x v="0"/>
    <x v="1"/>
    <x v="1"/>
  </r>
  <r>
    <x v="1046"/>
    <x v="1"/>
    <x v="25"/>
    <x v="1029"/>
    <x v="63"/>
    <x v="1104"/>
    <x v="1"/>
    <x v="0"/>
    <x v="1029"/>
    <x v="0"/>
    <x v="0"/>
    <x v="0"/>
    <x v="0"/>
    <x v="0"/>
    <x v="2"/>
    <x v="1104"/>
    <x v="1092"/>
    <x v="1029"/>
    <x v="1"/>
    <x v="10"/>
    <x v="0"/>
    <x v="17"/>
    <x v="17"/>
    <x v="0"/>
    <x v="0"/>
    <x v="0"/>
    <x v="26"/>
    <x v="0"/>
    <x v="0"/>
    <x v="1"/>
    <x v="1"/>
  </r>
  <r>
    <x v="1045"/>
    <x v="1"/>
    <x v="25"/>
    <x v="1028"/>
    <x v="47"/>
    <x v="1088"/>
    <x v="1"/>
    <x v="0"/>
    <x v="1028"/>
    <x v="0"/>
    <x v="0"/>
    <x v="0"/>
    <x v="0"/>
    <x v="0"/>
    <x v="2"/>
    <x v="1088"/>
    <x v="1076"/>
    <x v="1028"/>
    <x v="1"/>
    <x v="10"/>
    <x v="0"/>
    <x v="17"/>
    <x v="17"/>
    <x v="0"/>
    <x v="0"/>
    <x v="0"/>
    <x v="25"/>
    <x v="0"/>
    <x v="0"/>
    <x v="1"/>
    <x v="1"/>
  </r>
  <r>
    <x v="1044"/>
    <x v="1"/>
    <x v="25"/>
    <x v="1027"/>
    <x v="46"/>
    <x v="1087"/>
    <x v="1"/>
    <x v="0"/>
    <x v="1027"/>
    <x v="0"/>
    <x v="0"/>
    <x v="0"/>
    <x v="0"/>
    <x v="0"/>
    <x v="2"/>
    <x v="1087"/>
    <x v="1075"/>
    <x v="1027"/>
    <x v="1"/>
    <x v="10"/>
    <x v="0"/>
    <x v="17"/>
    <x v="17"/>
    <x v="0"/>
    <x v="0"/>
    <x v="0"/>
    <x v="25"/>
    <x v="0"/>
    <x v="0"/>
    <x v="1"/>
    <x v="1"/>
  </r>
  <r>
    <x v="1043"/>
    <x v="1"/>
    <x v="25"/>
    <x v="1026"/>
    <x v="45"/>
    <x v="1086"/>
    <x v="1"/>
    <x v="0"/>
    <x v="1026"/>
    <x v="0"/>
    <x v="0"/>
    <x v="0"/>
    <x v="0"/>
    <x v="0"/>
    <x v="2"/>
    <x v="1086"/>
    <x v="1074"/>
    <x v="1026"/>
    <x v="1"/>
    <x v="10"/>
    <x v="0"/>
    <x v="17"/>
    <x v="17"/>
    <x v="0"/>
    <x v="0"/>
    <x v="0"/>
    <x v="25"/>
    <x v="0"/>
    <x v="0"/>
    <x v="1"/>
    <x v="1"/>
  </r>
  <r>
    <x v="1042"/>
    <x v="1"/>
    <x v="25"/>
    <x v="1025"/>
    <x v="44"/>
    <x v="1085"/>
    <x v="1"/>
    <x v="0"/>
    <x v="1025"/>
    <x v="0"/>
    <x v="0"/>
    <x v="0"/>
    <x v="0"/>
    <x v="0"/>
    <x v="2"/>
    <x v="1085"/>
    <x v="1073"/>
    <x v="1025"/>
    <x v="1"/>
    <x v="10"/>
    <x v="0"/>
    <x v="17"/>
    <x v="17"/>
    <x v="0"/>
    <x v="0"/>
    <x v="0"/>
    <x v="25"/>
    <x v="0"/>
    <x v="0"/>
    <x v="1"/>
    <x v="1"/>
  </r>
  <r>
    <x v="1041"/>
    <x v="1"/>
    <x v="25"/>
    <x v="1024"/>
    <x v="43"/>
    <x v="1084"/>
    <x v="1"/>
    <x v="0"/>
    <x v="1024"/>
    <x v="0"/>
    <x v="0"/>
    <x v="0"/>
    <x v="0"/>
    <x v="0"/>
    <x v="2"/>
    <x v="1084"/>
    <x v="1072"/>
    <x v="1024"/>
    <x v="1"/>
    <x v="10"/>
    <x v="0"/>
    <x v="17"/>
    <x v="17"/>
    <x v="0"/>
    <x v="0"/>
    <x v="0"/>
    <x v="25"/>
    <x v="0"/>
    <x v="0"/>
    <x v="1"/>
    <x v="1"/>
  </r>
  <r>
    <x v="1040"/>
    <x v="1"/>
    <x v="25"/>
    <x v="1023"/>
    <x v="42"/>
    <x v="1083"/>
    <x v="1"/>
    <x v="0"/>
    <x v="1023"/>
    <x v="0"/>
    <x v="0"/>
    <x v="0"/>
    <x v="0"/>
    <x v="0"/>
    <x v="2"/>
    <x v="1083"/>
    <x v="1071"/>
    <x v="1023"/>
    <x v="1"/>
    <x v="10"/>
    <x v="0"/>
    <x v="17"/>
    <x v="17"/>
    <x v="0"/>
    <x v="0"/>
    <x v="0"/>
    <x v="25"/>
    <x v="0"/>
    <x v="0"/>
    <x v="1"/>
    <x v="1"/>
  </r>
  <r>
    <x v="1039"/>
    <x v="1"/>
    <x v="25"/>
    <x v="1022"/>
    <x v="41"/>
    <x v="1082"/>
    <x v="1"/>
    <x v="0"/>
    <x v="1022"/>
    <x v="0"/>
    <x v="0"/>
    <x v="0"/>
    <x v="0"/>
    <x v="0"/>
    <x v="2"/>
    <x v="1082"/>
    <x v="1070"/>
    <x v="1022"/>
    <x v="1"/>
    <x v="10"/>
    <x v="0"/>
    <x v="17"/>
    <x v="17"/>
    <x v="0"/>
    <x v="0"/>
    <x v="0"/>
    <x v="25"/>
    <x v="0"/>
    <x v="0"/>
    <x v="1"/>
    <x v="1"/>
  </r>
  <r>
    <x v="1038"/>
    <x v="1"/>
    <x v="25"/>
    <x v="1021"/>
    <x v="40"/>
    <x v="1081"/>
    <x v="1"/>
    <x v="0"/>
    <x v="1021"/>
    <x v="0"/>
    <x v="0"/>
    <x v="0"/>
    <x v="0"/>
    <x v="0"/>
    <x v="2"/>
    <x v="1081"/>
    <x v="1069"/>
    <x v="1021"/>
    <x v="1"/>
    <x v="10"/>
    <x v="0"/>
    <x v="17"/>
    <x v="17"/>
    <x v="0"/>
    <x v="0"/>
    <x v="0"/>
    <x v="25"/>
    <x v="0"/>
    <x v="0"/>
    <x v="1"/>
    <x v="1"/>
  </r>
  <r>
    <x v="1037"/>
    <x v="1"/>
    <x v="25"/>
    <x v="1020"/>
    <x v="39"/>
    <x v="1080"/>
    <x v="1"/>
    <x v="0"/>
    <x v="1020"/>
    <x v="0"/>
    <x v="0"/>
    <x v="0"/>
    <x v="0"/>
    <x v="0"/>
    <x v="2"/>
    <x v="1080"/>
    <x v="1068"/>
    <x v="1020"/>
    <x v="1"/>
    <x v="10"/>
    <x v="0"/>
    <x v="17"/>
    <x v="17"/>
    <x v="0"/>
    <x v="0"/>
    <x v="0"/>
    <x v="25"/>
    <x v="0"/>
    <x v="0"/>
    <x v="1"/>
    <x v="1"/>
  </r>
  <r>
    <x v="1036"/>
    <x v="1"/>
    <x v="25"/>
    <x v="1019"/>
    <x v="38"/>
    <x v="1079"/>
    <x v="1"/>
    <x v="0"/>
    <x v="1019"/>
    <x v="0"/>
    <x v="0"/>
    <x v="0"/>
    <x v="0"/>
    <x v="0"/>
    <x v="2"/>
    <x v="1079"/>
    <x v="1067"/>
    <x v="1019"/>
    <x v="1"/>
    <x v="10"/>
    <x v="0"/>
    <x v="17"/>
    <x v="17"/>
    <x v="0"/>
    <x v="0"/>
    <x v="0"/>
    <x v="25"/>
    <x v="0"/>
    <x v="0"/>
    <x v="1"/>
    <x v="1"/>
  </r>
  <r>
    <x v="1035"/>
    <x v="1"/>
    <x v="25"/>
    <x v="1018"/>
    <x v="37"/>
    <x v="1078"/>
    <x v="1"/>
    <x v="0"/>
    <x v="1018"/>
    <x v="0"/>
    <x v="0"/>
    <x v="0"/>
    <x v="0"/>
    <x v="0"/>
    <x v="2"/>
    <x v="1078"/>
    <x v="1066"/>
    <x v="1018"/>
    <x v="1"/>
    <x v="10"/>
    <x v="0"/>
    <x v="17"/>
    <x v="17"/>
    <x v="0"/>
    <x v="0"/>
    <x v="0"/>
    <x v="25"/>
    <x v="0"/>
    <x v="0"/>
    <x v="1"/>
    <x v="1"/>
  </r>
  <r>
    <x v="1034"/>
    <x v="1"/>
    <x v="25"/>
    <x v="1017"/>
    <x v="36"/>
    <x v="1077"/>
    <x v="1"/>
    <x v="0"/>
    <x v="1017"/>
    <x v="0"/>
    <x v="0"/>
    <x v="0"/>
    <x v="0"/>
    <x v="0"/>
    <x v="2"/>
    <x v="1077"/>
    <x v="1065"/>
    <x v="1017"/>
    <x v="1"/>
    <x v="10"/>
    <x v="0"/>
    <x v="17"/>
    <x v="17"/>
    <x v="0"/>
    <x v="0"/>
    <x v="0"/>
    <x v="25"/>
    <x v="0"/>
    <x v="0"/>
    <x v="1"/>
    <x v="1"/>
  </r>
  <r>
    <x v="1033"/>
    <x v="1"/>
    <x v="25"/>
    <x v="1016"/>
    <x v="35"/>
    <x v="1076"/>
    <x v="1"/>
    <x v="0"/>
    <x v="1016"/>
    <x v="0"/>
    <x v="0"/>
    <x v="0"/>
    <x v="0"/>
    <x v="0"/>
    <x v="2"/>
    <x v="1076"/>
    <x v="1064"/>
    <x v="1016"/>
    <x v="1"/>
    <x v="10"/>
    <x v="0"/>
    <x v="17"/>
    <x v="17"/>
    <x v="0"/>
    <x v="0"/>
    <x v="0"/>
    <x v="25"/>
    <x v="0"/>
    <x v="0"/>
    <x v="1"/>
    <x v="1"/>
  </r>
  <r>
    <x v="1032"/>
    <x v="1"/>
    <x v="25"/>
    <x v="1015"/>
    <x v="34"/>
    <x v="1075"/>
    <x v="1"/>
    <x v="0"/>
    <x v="1015"/>
    <x v="0"/>
    <x v="0"/>
    <x v="0"/>
    <x v="0"/>
    <x v="0"/>
    <x v="2"/>
    <x v="1075"/>
    <x v="1063"/>
    <x v="1015"/>
    <x v="1"/>
    <x v="10"/>
    <x v="0"/>
    <x v="17"/>
    <x v="17"/>
    <x v="0"/>
    <x v="0"/>
    <x v="0"/>
    <x v="25"/>
    <x v="0"/>
    <x v="0"/>
    <x v="1"/>
    <x v="1"/>
  </r>
  <r>
    <x v="1031"/>
    <x v="1"/>
    <x v="25"/>
    <x v="1014"/>
    <x v="33"/>
    <x v="1074"/>
    <x v="1"/>
    <x v="0"/>
    <x v="1014"/>
    <x v="0"/>
    <x v="0"/>
    <x v="0"/>
    <x v="0"/>
    <x v="0"/>
    <x v="2"/>
    <x v="1074"/>
    <x v="1062"/>
    <x v="1014"/>
    <x v="1"/>
    <x v="10"/>
    <x v="0"/>
    <x v="17"/>
    <x v="17"/>
    <x v="0"/>
    <x v="0"/>
    <x v="0"/>
    <x v="25"/>
    <x v="0"/>
    <x v="0"/>
    <x v="1"/>
    <x v="1"/>
  </r>
  <r>
    <x v="1030"/>
    <x v="1"/>
    <x v="25"/>
    <x v="1013"/>
    <x v="32"/>
    <x v="1073"/>
    <x v="1"/>
    <x v="0"/>
    <x v="1013"/>
    <x v="0"/>
    <x v="0"/>
    <x v="0"/>
    <x v="0"/>
    <x v="0"/>
    <x v="2"/>
    <x v="1073"/>
    <x v="1061"/>
    <x v="1013"/>
    <x v="1"/>
    <x v="10"/>
    <x v="0"/>
    <x v="17"/>
    <x v="17"/>
    <x v="0"/>
    <x v="0"/>
    <x v="0"/>
    <x v="25"/>
    <x v="0"/>
    <x v="0"/>
    <x v="1"/>
    <x v="1"/>
  </r>
  <r>
    <x v="1029"/>
    <x v="1"/>
    <x v="25"/>
    <x v="1012"/>
    <x v="31"/>
    <x v="1072"/>
    <x v="1"/>
    <x v="0"/>
    <x v="1012"/>
    <x v="0"/>
    <x v="0"/>
    <x v="0"/>
    <x v="0"/>
    <x v="0"/>
    <x v="2"/>
    <x v="1072"/>
    <x v="1060"/>
    <x v="1012"/>
    <x v="1"/>
    <x v="10"/>
    <x v="0"/>
    <x v="17"/>
    <x v="17"/>
    <x v="0"/>
    <x v="0"/>
    <x v="0"/>
    <x v="25"/>
    <x v="0"/>
    <x v="0"/>
    <x v="1"/>
    <x v="1"/>
  </r>
  <r>
    <x v="1028"/>
    <x v="1"/>
    <x v="25"/>
    <x v="1011"/>
    <x v="30"/>
    <x v="1071"/>
    <x v="1"/>
    <x v="0"/>
    <x v="1011"/>
    <x v="0"/>
    <x v="0"/>
    <x v="0"/>
    <x v="0"/>
    <x v="0"/>
    <x v="2"/>
    <x v="1071"/>
    <x v="1059"/>
    <x v="1011"/>
    <x v="1"/>
    <x v="10"/>
    <x v="0"/>
    <x v="17"/>
    <x v="17"/>
    <x v="0"/>
    <x v="0"/>
    <x v="0"/>
    <x v="25"/>
    <x v="0"/>
    <x v="0"/>
    <x v="1"/>
    <x v="1"/>
  </r>
  <r>
    <x v="1027"/>
    <x v="1"/>
    <x v="25"/>
    <x v="1010"/>
    <x v="29"/>
    <x v="1070"/>
    <x v="1"/>
    <x v="0"/>
    <x v="1010"/>
    <x v="0"/>
    <x v="0"/>
    <x v="0"/>
    <x v="0"/>
    <x v="0"/>
    <x v="2"/>
    <x v="1070"/>
    <x v="1058"/>
    <x v="1010"/>
    <x v="1"/>
    <x v="10"/>
    <x v="0"/>
    <x v="17"/>
    <x v="17"/>
    <x v="0"/>
    <x v="0"/>
    <x v="0"/>
    <x v="25"/>
    <x v="0"/>
    <x v="0"/>
    <x v="1"/>
    <x v="1"/>
  </r>
  <r>
    <x v="1026"/>
    <x v="1"/>
    <x v="25"/>
    <x v="1009"/>
    <x v="28"/>
    <x v="1069"/>
    <x v="1"/>
    <x v="0"/>
    <x v="1009"/>
    <x v="0"/>
    <x v="0"/>
    <x v="0"/>
    <x v="0"/>
    <x v="0"/>
    <x v="2"/>
    <x v="1069"/>
    <x v="1057"/>
    <x v="1009"/>
    <x v="1"/>
    <x v="10"/>
    <x v="0"/>
    <x v="17"/>
    <x v="17"/>
    <x v="0"/>
    <x v="0"/>
    <x v="0"/>
    <x v="25"/>
    <x v="0"/>
    <x v="0"/>
    <x v="1"/>
    <x v="1"/>
  </r>
  <r>
    <x v="1025"/>
    <x v="1"/>
    <x v="25"/>
    <x v="1008"/>
    <x v="27"/>
    <x v="1068"/>
    <x v="1"/>
    <x v="0"/>
    <x v="1008"/>
    <x v="0"/>
    <x v="0"/>
    <x v="0"/>
    <x v="0"/>
    <x v="0"/>
    <x v="2"/>
    <x v="1068"/>
    <x v="1056"/>
    <x v="1008"/>
    <x v="1"/>
    <x v="10"/>
    <x v="0"/>
    <x v="17"/>
    <x v="17"/>
    <x v="0"/>
    <x v="0"/>
    <x v="0"/>
    <x v="25"/>
    <x v="0"/>
    <x v="0"/>
    <x v="1"/>
    <x v="1"/>
  </r>
  <r>
    <x v="1024"/>
    <x v="1"/>
    <x v="25"/>
    <x v="1007"/>
    <x v="26"/>
    <x v="1067"/>
    <x v="1"/>
    <x v="0"/>
    <x v="1007"/>
    <x v="0"/>
    <x v="0"/>
    <x v="0"/>
    <x v="0"/>
    <x v="0"/>
    <x v="2"/>
    <x v="1067"/>
    <x v="1055"/>
    <x v="1007"/>
    <x v="1"/>
    <x v="10"/>
    <x v="0"/>
    <x v="17"/>
    <x v="17"/>
    <x v="0"/>
    <x v="0"/>
    <x v="0"/>
    <x v="25"/>
    <x v="0"/>
    <x v="0"/>
    <x v="1"/>
    <x v="1"/>
  </r>
  <r>
    <x v="1023"/>
    <x v="1"/>
    <x v="25"/>
    <x v="1006"/>
    <x v="538"/>
    <x v="788"/>
    <x v="1"/>
    <x v="0"/>
    <x v="1006"/>
    <x v="0"/>
    <x v="0"/>
    <x v="0"/>
    <x v="0"/>
    <x v="0"/>
    <x v="2"/>
    <x v="788"/>
    <x v="776"/>
    <x v="1006"/>
    <x v="1"/>
    <x v="10"/>
    <x v="0"/>
    <x v="17"/>
    <x v="17"/>
    <x v="0"/>
    <x v="0"/>
    <x v="0"/>
    <x v="25"/>
    <x v="0"/>
    <x v="0"/>
    <x v="1"/>
    <x v="1"/>
  </r>
  <r>
    <x v="1022"/>
    <x v="1"/>
    <x v="25"/>
    <x v="1005"/>
    <x v="965"/>
    <x v="1041"/>
    <x v="1"/>
    <x v="0"/>
    <x v="1005"/>
    <x v="0"/>
    <x v="0"/>
    <x v="0"/>
    <x v="0"/>
    <x v="0"/>
    <x v="2"/>
    <x v="1041"/>
    <x v="1029"/>
    <x v="1005"/>
    <x v="1"/>
    <x v="10"/>
    <x v="0"/>
    <x v="17"/>
    <x v="17"/>
    <x v="0"/>
    <x v="0"/>
    <x v="0"/>
    <x v="25"/>
    <x v="0"/>
    <x v="0"/>
    <x v="1"/>
    <x v="1"/>
  </r>
  <r>
    <x v="1021"/>
    <x v="1"/>
    <x v="25"/>
    <x v="1004"/>
    <x v="981"/>
    <x v="1044"/>
    <x v="1"/>
    <x v="0"/>
    <x v="1004"/>
    <x v="0"/>
    <x v="0"/>
    <x v="0"/>
    <x v="0"/>
    <x v="0"/>
    <x v="2"/>
    <x v="1044"/>
    <x v="1032"/>
    <x v="1004"/>
    <x v="1"/>
    <x v="10"/>
    <x v="0"/>
    <x v="17"/>
    <x v="17"/>
    <x v="0"/>
    <x v="0"/>
    <x v="0"/>
    <x v="25"/>
    <x v="0"/>
    <x v="0"/>
    <x v="1"/>
    <x v="1"/>
  </r>
  <r>
    <x v="1020"/>
    <x v="1"/>
    <x v="25"/>
    <x v="1003"/>
    <x v="988"/>
    <x v="1047"/>
    <x v="1"/>
    <x v="0"/>
    <x v="1003"/>
    <x v="0"/>
    <x v="0"/>
    <x v="0"/>
    <x v="0"/>
    <x v="0"/>
    <x v="2"/>
    <x v="1047"/>
    <x v="1035"/>
    <x v="1003"/>
    <x v="1"/>
    <x v="10"/>
    <x v="0"/>
    <x v="17"/>
    <x v="17"/>
    <x v="0"/>
    <x v="0"/>
    <x v="0"/>
    <x v="25"/>
    <x v="0"/>
    <x v="0"/>
    <x v="1"/>
    <x v="1"/>
  </r>
  <r>
    <x v="1019"/>
    <x v="1"/>
    <x v="25"/>
    <x v="1002"/>
    <x v="974"/>
    <x v="1037"/>
    <x v="1"/>
    <x v="0"/>
    <x v="1002"/>
    <x v="0"/>
    <x v="0"/>
    <x v="0"/>
    <x v="0"/>
    <x v="0"/>
    <x v="2"/>
    <x v="1037"/>
    <x v="1025"/>
    <x v="1002"/>
    <x v="1"/>
    <x v="10"/>
    <x v="0"/>
    <x v="17"/>
    <x v="17"/>
    <x v="0"/>
    <x v="0"/>
    <x v="0"/>
    <x v="25"/>
    <x v="0"/>
    <x v="0"/>
    <x v="1"/>
    <x v="1"/>
  </r>
  <r>
    <x v="1018"/>
    <x v="1"/>
    <x v="25"/>
    <x v="1001"/>
    <x v="978"/>
    <x v="1040"/>
    <x v="1"/>
    <x v="0"/>
    <x v="1001"/>
    <x v="0"/>
    <x v="0"/>
    <x v="0"/>
    <x v="0"/>
    <x v="0"/>
    <x v="2"/>
    <x v="1040"/>
    <x v="1028"/>
    <x v="1001"/>
    <x v="1"/>
    <x v="10"/>
    <x v="0"/>
    <x v="17"/>
    <x v="17"/>
    <x v="0"/>
    <x v="0"/>
    <x v="0"/>
    <x v="25"/>
    <x v="0"/>
    <x v="0"/>
    <x v="1"/>
    <x v="1"/>
  </r>
  <r>
    <x v="1017"/>
    <x v="1"/>
    <x v="25"/>
    <x v="1000"/>
    <x v="971"/>
    <x v="1035"/>
    <x v="1"/>
    <x v="0"/>
    <x v="1000"/>
    <x v="0"/>
    <x v="0"/>
    <x v="0"/>
    <x v="0"/>
    <x v="0"/>
    <x v="2"/>
    <x v="1035"/>
    <x v="1023"/>
    <x v="1000"/>
    <x v="1"/>
    <x v="10"/>
    <x v="0"/>
    <x v="17"/>
    <x v="17"/>
    <x v="0"/>
    <x v="0"/>
    <x v="0"/>
    <x v="25"/>
    <x v="0"/>
    <x v="0"/>
    <x v="1"/>
    <x v="1"/>
  </r>
  <r>
    <x v="1016"/>
    <x v="1"/>
    <x v="25"/>
    <x v="999"/>
    <x v="977"/>
    <x v="1039"/>
    <x v="1"/>
    <x v="0"/>
    <x v="999"/>
    <x v="0"/>
    <x v="0"/>
    <x v="0"/>
    <x v="0"/>
    <x v="0"/>
    <x v="2"/>
    <x v="1039"/>
    <x v="1027"/>
    <x v="999"/>
    <x v="1"/>
    <x v="10"/>
    <x v="0"/>
    <x v="17"/>
    <x v="17"/>
    <x v="0"/>
    <x v="0"/>
    <x v="0"/>
    <x v="25"/>
    <x v="0"/>
    <x v="0"/>
    <x v="1"/>
    <x v="1"/>
  </r>
  <r>
    <x v="1015"/>
    <x v="1"/>
    <x v="25"/>
    <x v="998"/>
    <x v="966"/>
    <x v="1032"/>
    <x v="1"/>
    <x v="0"/>
    <x v="998"/>
    <x v="0"/>
    <x v="0"/>
    <x v="0"/>
    <x v="0"/>
    <x v="0"/>
    <x v="2"/>
    <x v="1032"/>
    <x v="1020"/>
    <x v="998"/>
    <x v="1"/>
    <x v="10"/>
    <x v="0"/>
    <x v="17"/>
    <x v="17"/>
    <x v="0"/>
    <x v="0"/>
    <x v="0"/>
    <x v="25"/>
    <x v="0"/>
    <x v="0"/>
    <x v="1"/>
    <x v="1"/>
  </r>
  <r>
    <x v="1014"/>
    <x v="1"/>
    <x v="25"/>
    <x v="997"/>
    <x v="209"/>
    <x v="616"/>
    <x v="1"/>
    <x v="0"/>
    <x v="997"/>
    <x v="0"/>
    <x v="0"/>
    <x v="0"/>
    <x v="0"/>
    <x v="0"/>
    <x v="2"/>
    <x v="616"/>
    <x v="604"/>
    <x v="997"/>
    <x v="1"/>
    <x v="10"/>
    <x v="0"/>
    <x v="17"/>
    <x v="17"/>
    <x v="0"/>
    <x v="0"/>
    <x v="0"/>
    <x v="25"/>
    <x v="0"/>
    <x v="0"/>
    <x v="1"/>
    <x v="1"/>
  </r>
  <r>
    <x v="1013"/>
    <x v="1"/>
    <x v="25"/>
    <x v="996"/>
    <x v="210"/>
    <x v="615"/>
    <x v="1"/>
    <x v="0"/>
    <x v="996"/>
    <x v="0"/>
    <x v="0"/>
    <x v="0"/>
    <x v="0"/>
    <x v="0"/>
    <x v="2"/>
    <x v="615"/>
    <x v="603"/>
    <x v="996"/>
    <x v="1"/>
    <x v="10"/>
    <x v="0"/>
    <x v="17"/>
    <x v="17"/>
    <x v="0"/>
    <x v="0"/>
    <x v="0"/>
    <x v="25"/>
    <x v="0"/>
    <x v="0"/>
    <x v="1"/>
    <x v="1"/>
  </r>
  <r>
    <x v="1012"/>
    <x v="1"/>
    <x v="25"/>
    <x v="995"/>
    <x v="892"/>
    <x v="1015"/>
    <x v="1"/>
    <x v="0"/>
    <x v="995"/>
    <x v="0"/>
    <x v="0"/>
    <x v="0"/>
    <x v="0"/>
    <x v="0"/>
    <x v="2"/>
    <x v="1015"/>
    <x v="1003"/>
    <x v="995"/>
    <x v="1"/>
    <x v="10"/>
    <x v="0"/>
    <x v="17"/>
    <x v="17"/>
    <x v="0"/>
    <x v="0"/>
    <x v="0"/>
    <x v="25"/>
    <x v="0"/>
    <x v="0"/>
    <x v="1"/>
    <x v="1"/>
  </r>
  <r>
    <x v="1011"/>
    <x v="1"/>
    <x v="25"/>
    <x v="994"/>
    <x v="899"/>
    <x v="1019"/>
    <x v="1"/>
    <x v="0"/>
    <x v="994"/>
    <x v="0"/>
    <x v="0"/>
    <x v="0"/>
    <x v="0"/>
    <x v="0"/>
    <x v="2"/>
    <x v="1019"/>
    <x v="1007"/>
    <x v="994"/>
    <x v="1"/>
    <x v="10"/>
    <x v="0"/>
    <x v="17"/>
    <x v="17"/>
    <x v="0"/>
    <x v="0"/>
    <x v="0"/>
    <x v="25"/>
    <x v="0"/>
    <x v="0"/>
    <x v="1"/>
    <x v="1"/>
  </r>
  <r>
    <x v="1010"/>
    <x v="1"/>
    <x v="25"/>
    <x v="993"/>
    <x v="891"/>
    <x v="1013"/>
    <x v="1"/>
    <x v="0"/>
    <x v="993"/>
    <x v="0"/>
    <x v="0"/>
    <x v="0"/>
    <x v="0"/>
    <x v="0"/>
    <x v="2"/>
    <x v="1013"/>
    <x v="1001"/>
    <x v="993"/>
    <x v="1"/>
    <x v="10"/>
    <x v="0"/>
    <x v="17"/>
    <x v="17"/>
    <x v="0"/>
    <x v="0"/>
    <x v="0"/>
    <x v="25"/>
    <x v="0"/>
    <x v="0"/>
    <x v="1"/>
    <x v="1"/>
  </r>
  <r>
    <x v="1009"/>
    <x v="1"/>
    <x v="25"/>
    <x v="992"/>
    <x v="898"/>
    <x v="1018"/>
    <x v="1"/>
    <x v="0"/>
    <x v="992"/>
    <x v="0"/>
    <x v="0"/>
    <x v="0"/>
    <x v="0"/>
    <x v="0"/>
    <x v="2"/>
    <x v="1018"/>
    <x v="1006"/>
    <x v="992"/>
    <x v="1"/>
    <x v="10"/>
    <x v="0"/>
    <x v="17"/>
    <x v="17"/>
    <x v="0"/>
    <x v="0"/>
    <x v="0"/>
    <x v="25"/>
    <x v="0"/>
    <x v="0"/>
    <x v="1"/>
    <x v="1"/>
  </r>
  <r>
    <x v="1008"/>
    <x v="1"/>
    <x v="25"/>
    <x v="991"/>
    <x v="889"/>
    <x v="1011"/>
    <x v="1"/>
    <x v="0"/>
    <x v="991"/>
    <x v="0"/>
    <x v="0"/>
    <x v="0"/>
    <x v="0"/>
    <x v="0"/>
    <x v="2"/>
    <x v="1011"/>
    <x v="999"/>
    <x v="991"/>
    <x v="1"/>
    <x v="10"/>
    <x v="0"/>
    <x v="17"/>
    <x v="17"/>
    <x v="0"/>
    <x v="0"/>
    <x v="0"/>
    <x v="25"/>
    <x v="0"/>
    <x v="0"/>
    <x v="1"/>
    <x v="1"/>
  </r>
  <r>
    <x v="1007"/>
    <x v="1"/>
    <x v="25"/>
    <x v="990"/>
    <x v="900"/>
    <x v="1020"/>
    <x v="1"/>
    <x v="0"/>
    <x v="990"/>
    <x v="0"/>
    <x v="0"/>
    <x v="0"/>
    <x v="0"/>
    <x v="0"/>
    <x v="2"/>
    <x v="1020"/>
    <x v="1008"/>
    <x v="990"/>
    <x v="1"/>
    <x v="10"/>
    <x v="0"/>
    <x v="17"/>
    <x v="17"/>
    <x v="0"/>
    <x v="0"/>
    <x v="0"/>
    <x v="25"/>
    <x v="0"/>
    <x v="0"/>
    <x v="1"/>
    <x v="1"/>
  </r>
  <r>
    <x v="1006"/>
    <x v="1"/>
    <x v="25"/>
    <x v="989"/>
    <x v="875"/>
    <x v="999"/>
    <x v="1"/>
    <x v="0"/>
    <x v="989"/>
    <x v="0"/>
    <x v="0"/>
    <x v="0"/>
    <x v="0"/>
    <x v="0"/>
    <x v="2"/>
    <x v="999"/>
    <x v="987"/>
    <x v="989"/>
    <x v="1"/>
    <x v="10"/>
    <x v="0"/>
    <x v="17"/>
    <x v="17"/>
    <x v="0"/>
    <x v="0"/>
    <x v="0"/>
    <x v="25"/>
    <x v="0"/>
    <x v="0"/>
    <x v="1"/>
    <x v="1"/>
  </r>
  <r>
    <x v="1005"/>
    <x v="1"/>
    <x v="25"/>
    <x v="988"/>
    <x v="893"/>
    <x v="1014"/>
    <x v="1"/>
    <x v="0"/>
    <x v="988"/>
    <x v="0"/>
    <x v="0"/>
    <x v="0"/>
    <x v="0"/>
    <x v="0"/>
    <x v="2"/>
    <x v="1014"/>
    <x v="1002"/>
    <x v="988"/>
    <x v="1"/>
    <x v="10"/>
    <x v="0"/>
    <x v="17"/>
    <x v="17"/>
    <x v="0"/>
    <x v="0"/>
    <x v="0"/>
    <x v="25"/>
    <x v="0"/>
    <x v="0"/>
    <x v="1"/>
    <x v="1"/>
  </r>
  <r>
    <x v="1004"/>
    <x v="1"/>
    <x v="25"/>
    <x v="987"/>
    <x v="890"/>
    <x v="1012"/>
    <x v="1"/>
    <x v="0"/>
    <x v="987"/>
    <x v="0"/>
    <x v="0"/>
    <x v="0"/>
    <x v="0"/>
    <x v="0"/>
    <x v="2"/>
    <x v="1012"/>
    <x v="1000"/>
    <x v="987"/>
    <x v="1"/>
    <x v="10"/>
    <x v="0"/>
    <x v="17"/>
    <x v="17"/>
    <x v="0"/>
    <x v="0"/>
    <x v="0"/>
    <x v="25"/>
    <x v="0"/>
    <x v="0"/>
    <x v="1"/>
    <x v="1"/>
  </r>
  <r>
    <x v="1003"/>
    <x v="1"/>
    <x v="25"/>
    <x v="986"/>
    <x v="888"/>
    <x v="1010"/>
    <x v="1"/>
    <x v="0"/>
    <x v="986"/>
    <x v="0"/>
    <x v="0"/>
    <x v="0"/>
    <x v="0"/>
    <x v="0"/>
    <x v="2"/>
    <x v="1010"/>
    <x v="998"/>
    <x v="986"/>
    <x v="1"/>
    <x v="10"/>
    <x v="0"/>
    <x v="17"/>
    <x v="17"/>
    <x v="0"/>
    <x v="0"/>
    <x v="0"/>
    <x v="25"/>
    <x v="0"/>
    <x v="0"/>
    <x v="1"/>
    <x v="1"/>
  </r>
  <r>
    <x v="1002"/>
    <x v="1"/>
    <x v="25"/>
    <x v="985"/>
    <x v="887"/>
    <x v="1009"/>
    <x v="1"/>
    <x v="0"/>
    <x v="985"/>
    <x v="0"/>
    <x v="0"/>
    <x v="0"/>
    <x v="0"/>
    <x v="0"/>
    <x v="2"/>
    <x v="1009"/>
    <x v="997"/>
    <x v="985"/>
    <x v="1"/>
    <x v="10"/>
    <x v="0"/>
    <x v="17"/>
    <x v="17"/>
    <x v="0"/>
    <x v="0"/>
    <x v="0"/>
    <x v="25"/>
    <x v="0"/>
    <x v="0"/>
    <x v="1"/>
    <x v="1"/>
  </r>
  <r>
    <x v="1001"/>
    <x v="1"/>
    <x v="25"/>
    <x v="984"/>
    <x v="884"/>
    <x v="1006"/>
    <x v="1"/>
    <x v="0"/>
    <x v="984"/>
    <x v="0"/>
    <x v="0"/>
    <x v="0"/>
    <x v="0"/>
    <x v="0"/>
    <x v="2"/>
    <x v="1006"/>
    <x v="994"/>
    <x v="984"/>
    <x v="1"/>
    <x v="10"/>
    <x v="0"/>
    <x v="17"/>
    <x v="17"/>
    <x v="0"/>
    <x v="0"/>
    <x v="0"/>
    <x v="25"/>
    <x v="0"/>
    <x v="0"/>
    <x v="1"/>
    <x v="1"/>
  </r>
  <r>
    <x v="1000"/>
    <x v="1"/>
    <x v="25"/>
    <x v="983"/>
    <x v="886"/>
    <x v="1008"/>
    <x v="1"/>
    <x v="0"/>
    <x v="983"/>
    <x v="0"/>
    <x v="0"/>
    <x v="0"/>
    <x v="0"/>
    <x v="0"/>
    <x v="2"/>
    <x v="1008"/>
    <x v="996"/>
    <x v="983"/>
    <x v="1"/>
    <x v="10"/>
    <x v="0"/>
    <x v="17"/>
    <x v="17"/>
    <x v="0"/>
    <x v="0"/>
    <x v="0"/>
    <x v="25"/>
    <x v="0"/>
    <x v="0"/>
    <x v="1"/>
    <x v="1"/>
  </r>
  <r>
    <x v="999"/>
    <x v="1"/>
    <x v="25"/>
    <x v="982"/>
    <x v="883"/>
    <x v="1005"/>
    <x v="1"/>
    <x v="0"/>
    <x v="982"/>
    <x v="0"/>
    <x v="0"/>
    <x v="0"/>
    <x v="0"/>
    <x v="0"/>
    <x v="2"/>
    <x v="1005"/>
    <x v="993"/>
    <x v="982"/>
    <x v="1"/>
    <x v="10"/>
    <x v="0"/>
    <x v="17"/>
    <x v="17"/>
    <x v="0"/>
    <x v="0"/>
    <x v="0"/>
    <x v="25"/>
    <x v="0"/>
    <x v="0"/>
    <x v="1"/>
    <x v="1"/>
  </r>
  <r>
    <x v="998"/>
    <x v="1"/>
    <x v="25"/>
    <x v="981"/>
    <x v="880"/>
    <x v="1003"/>
    <x v="1"/>
    <x v="0"/>
    <x v="981"/>
    <x v="0"/>
    <x v="0"/>
    <x v="0"/>
    <x v="0"/>
    <x v="0"/>
    <x v="2"/>
    <x v="1003"/>
    <x v="991"/>
    <x v="981"/>
    <x v="1"/>
    <x v="10"/>
    <x v="0"/>
    <x v="17"/>
    <x v="17"/>
    <x v="0"/>
    <x v="0"/>
    <x v="0"/>
    <x v="25"/>
    <x v="0"/>
    <x v="0"/>
    <x v="1"/>
    <x v="1"/>
  </r>
  <r>
    <x v="997"/>
    <x v="1"/>
    <x v="25"/>
    <x v="980"/>
    <x v="881"/>
    <x v="1004"/>
    <x v="1"/>
    <x v="0"/>
    <x v="980"/>
    <x v="0"/>
    <x v="0"/>
    <x v="0"/>
    <x v="0"/>
    <x v="0"/>
    <x v="2"/>
    <x v="1004"/>
    <x v="992"/>
    <x v="980"/>
    <x v="1"/>
    <x v="10"/>
    <x v="0"/>
    <x v="17"/>
    <x v="17"/>
    <x v="0"/>
    <x v="0"/>
    <x v="0"/>
    <x v="25"/>
    <x v="0"/>
    <x v="0"/>
    <x v="1"/>
    <x v="1"/>
  </r>
  <r>
    <x v="996"/>
    <x v="1"/>
    <x v="25"/>
    <x v="979"/>
    <x v="878"/>
    <x v="1002"/>
    <x v="1"/>
    <x v="0"/>
    <x v="979"/>
    <x v="0"/>
    <x v="0"/>
    <x v="0"/>
    <x v="0"/>
    <x v="0"/>
    <x v="2"/>
    <x v="1002"/>
    <x v="990"/>
    <x v="979"/>
    <x v="1"/>
    <x v="10"/>
    <x v="0"/>
    <x v="17"/>
    <x v="17"/>
    <x v="0"/>
    <x v="0"/>
    <x v="0"/>
    <x v="25"/>
    <x v="0"/>
    <x v="0"/>
    <x v="1"/>
    <x v="1"/>
  </r>
  <r>
    <x v="995"/>
    <x v="1"/>
    <x v="25"/>
    <x v="978"/>
    <x v="885"/>
    <x v="1007"/>
    <x v="1"/>
    <x v="0"/>
    <x v="978"/>
    <x v="0"/>
    <x v="0"/>
    <x v="0"/>
    <x v="0"/>
    <x v="0"/>
    <x v="2"/>
    <x v="1007"/>
    <x v="995"/>
    <x v="978"/>
    <x v="1"/>
    <x v="10"/>
    <x v="0"/>
    <x v="17"/>
    <x v="17"/>
    <x v="0"/>
    <x v="0"/>
    <x v="0"/>
    <x v="25"/>
    <x v="0"/>
    <x v="0"/>
    <x v="1"/>
    <x v="1"/>
  </r>
  <r>
    <x v="994"/>
    <x v="1"/>
    <x v="25"/>
    <x v="977"/>
    <x v="876"/>
    <x v="1000"/>
    <x v="1"/>
    <x v="0"/>
    <x v="977"/>
    <x v="0"/>
    <x v="0"/>
    <x v="0"/>
    <x v="0"/>
    <x v="0"/>
    <x v="2"/>
    <x v="1000"/>
    <x v="988"/>
    <x v="977"/>
    <x v="1"/>
    <x v="10"/>
    <x v="0"/>
    <x v="17"/>
    <x v="17"/>
    <x v="0"/>
    <x v="0"/>
    <x v="0"/>
    <x v="25"/>
    <x v="0"/>
    <x v="0"/>
    <x v="1"/>
    <x v="1"/>
  </r>
  <r>
    <x v="993"/>
    <x v="1"/>
    <x v="25"/>
    <x v="976"/>
    <x v="877"/>
    <x v="1001"/>
    <x v="1"/>
    <x v="0"/>
    <x v="976"/>
    <x v="0"/>
    <x v="0"/>
    <x v="0"/>
    <x v="0"/>
    <x v="0"/>
    <x v="2"/>
    <x v="1001"/>
    <x v="989"/>
    <x v="976"/>
    <x v="1"/>
    <x v="10"/>
    <x v="0"/>
    <x v="17"/>
    <x v="17"/>
    <x v="0"/>
    <x v="0"/>
    <x v="0"/>
    <x v="25"/>
    <x v="0"/>
    <x v="0"/>
    <x v="1"/>
    <x v="1"/>
  </r>
  <r>
    <x v="992"/>
    <x v="1"/>
    <x v="25"/>
    <x v="975"/>
    <x v="206"/>
    <x v="612"/>
    <x v="1"/>
    <x v="0"/>
    <x v="975"/>
    <x v="0"/>
    <x v="0"/>
    <x v="0"/>
    <x v="0"/>
    <x v="0"/>
    <x v="2"/>
    <x v="612"/>
    <x v="600"/>
    <x v="975"/>
    <x v="1"/>
    <x v="10"/>
    <x v="0"/>
    <x v="17"/>
    <x v="17"/>
    <x v="0"/>
    <x v="0"/>
    <x v="0"/>
    <x v="25"/>
    <x v="0"/>
    <x v="0"/>
    <x v="1"/>
    <x v="1"/>
  </r>
  <r>
    <x v="991"/>
    <x v="1"/>
    <x v="25"/>
    <x v="974"/>
    <x v="198"/>
    <x v="607"/>
    <x v="1"/>
    <x v="0"/>
    <x v="974"/>
    <x v="0"/>
    <x v="0"/>
    <x v="0"/>
    <x v="0"/>
    <x v="0"/>
    <x v="2"/>
    <x v="607"/>
    <x v="595"/>
    <x v="974"/>
    <x v="1"/>
    <x v="10"/>
    <x v="0"/>
    <x v="17"/>
    <x v="17"/>
    <x v="0"/>
    <x v="0"/>
    <x v="0"/>
    <x v="25"/>
    <x v="0"/>
    <x v="0"/>
    <x v="1"/>
    <x v="1"/>
  </r>
  <r>
    <x v="990"/>
    <x v="1"/>
    <x v="25"/>
    <x v="973"/>
    <x v="196"/>
    <x v="604"/>
    <x v="1"/>
    <x v="0"/>
    <x v="973"/>
    <x v="0"/>
    <x v="0"/>
    <x v="0"/>
    <x v="0"/>
    <x v="0"/>
    <x v="2"/>
    <x v="604"/>
    <x v="592"/>
    <x v="973"/>
    <x v="1"/>
    <x v="10"/>
    <x v="0"/>
    <x v="17"/>
    <x v="17"/>
    <x v="0"/>
    <x v="0"/>
    <x v="0"/>
    <x v="25"/>
    <x v="0"/>
    <x v="0"/>
    <x v="1"/>
    <x v="1"/>
  </r>
  <r>
    <x v="989"/>
    <x v="1"/>
    <x v="25"/>
    <x v="972"/>
    <x v="186"/>
    <x v="598"/>
    <x v="1"/>
    <x v="0"/>
    <x v="972"/>
    <x v="0"/>
    <x v="0"/>
    <x v="0"/>
    <x v="0"/>
    <x v="0"/>
    <x v="2"/>
    <x v="598"/>
    <x v="586"/>
    <x v="972"/>
    <x v="1"/>
    <x v="10"/>
    <x v="0"/>
    <x v="17"/>
    <x v="17"/>
    <x v="0"/>
    <x v="0"/>
    <x v="0"/>
    <x v="25"/>
    <x v="0"/>
    <x v="0"/>
    <x v="1"/>
    <x v="1"/>
  </r>
  <r>
    <x v="988"/>
    <x v="1"/>
    <x v="25"/>
    <x v="971"/>
    <x v="184"/>
    <x v="596"/>
    <x v="1"/>
    <x v="0"/>
    <x v="971"/>
    <x v="0"/>
    <x v="0"/>
    <x v="0"/>
    <x v="0"/>
    <x v="0"/>
    <x v="2"/>
    <x v="596"/>
    <x v="584"/>
    <x v="971"/>
    <x v="1"/>
    <x v="10"/>
    <x v="0"/>
    <x v="17"/>
    <x v="17"/>
    <x v="0"/>
    <x v="0"/>
    <x v="0"/>
    <x v="25"/>
    <x v="0"/>
    <x v="0"/>
    <x v="1"/>
    <x v="1"/>
  </r>
  <r>
    <x v="987"/>
    <x v="1"/>
    <x v="25"/>
    <x v="970"/>
    <x v="180"/>
    <x v="593"/>
    <x v="1"/>
    <x v="0"/>
    <x v="970"/>
    <x v="0"/>
    <x v="0"/>
    <x v="0"/>
    <x v="0"/>
    <x v="0"/>
    <x v="2"/>
    <x v="593"/>
    <x v="581"/>
    <x v="970"/>
    <x v="1"/>
    <x v="10"/>
    <x v="0"/>
    <x v="17"/>
    <x v="17"/>
    <x v="0"/>
    <x v="0"/>
    <x v="0"/>
    <x v="25"/>
    <x v="0"/>
    <x v="0"/>
    <x v="1"/>
    <x v="1"/>
  </r>
  <r>
    <x v="986"/>
    <x v="1"/>
    <x v="25"/>
    <x v="969"/>
    <x v="176"/>
    <x v="590"/>
    <x v="1"/>
    <x v="0"/>
    <x v="969"/>
    <x v="0"/>
    <x v="0"/>
    <x v="0"/>
    <x v="0"/>
    <x v="0"/>
    <x v="2"/>
    <x v="590"/>
    <x v="578"/>
    <x v="969"/>
    <x v="1"/>
    <x v="10"/>
    <x v="0"/>
    <x v="17"/>
    <x v="17"/>
    <x v="0"/>
    <x v="0"/>
    <x v="0"/>
    <x v="25"/>
    <x v="0"/>
    <x v="0"/>
    <x v="1"/>
    <x v="1"/>
  </r>
  <r>
    <x v="985"/>
    <x v="1"/>
    <x v="25"/>
    <x v="968"/>
    <x v="174"/>
    <x v="588"/>
    <x v="1"/>
    <x v="0"/>
    <x v="968"/>
    <x v="0"/>
    <x v="0"/>
    <x v="0"/>
    <x v="0"/>
    <x v="0"/>
    <x v="2"/>
    <x v="588"/>
    <x v="576"/>
    <x v="968"/>
    <x v="1"/>
    <x v="10"/>
    <x v="0"/>
    <x v="17"/>
    <x v="17"/>
    <x v="0"/>
    <x v="0"/>
    <x v="0"/>
    <x v="25"/>
    <x v="0"/>
    <x v="0"/>
    <x v="1"/>
    <x v="1"/>
  </r>
  <r>
    <x v="984"/>
    <x v="1"/>
    <x v="25"/>
    <x v="967"/>
    <x v="194"/>
    <x v="602"/>
    <x v="1"/>
    <x v="0"/>
    <x v="967"/>
    <x v="0"/>
    <x v="0"/>
    <x v="0"/>
    <x v="0"/>
    <x v="0"/>
    <x v="2"/>
    <x v="602"/>
    <x v="590"/>
    <x v="967"/>
    <x v="1"/>
    <x v="10"/>
    <x v="0"/>
    <x v="17"/>
    <x v="17"/>
    <x v="0"/>
    <x v="0"/>
    <x v="0"/>
    <x v="25"/>
    <x v="0"/>
    <x v="0"/>
    <x v="1"/>
    <x v="1"/>
  </r>
  <r>
    <x v="983"/>
    <x v="1"/>
    <x v="25"/>
    <x v="966"/>
    <x v="205"/>
    <x v="611"/>
    <x v="1"/>
    <x v="0"/>
    <x v="966"/>
    <x v="0"/>
    <x v="0"/>
    <x v="0"/>
    <x v="0"/>
    <x v="0"/>
    <x v="2"/>
    <x v="611"/>
    <x v="599"/>
    <x v="966"/>
    <x v="1"/>
    <x v="10"/>
    <x v="0"/>
    <x v="17"/>
    <x v="17"/>
    <x v="0"/>
    <x v="0"/>
    <x v="0"/>
    <x v="25"/>
    <x v="0"/>
    <x v="0"/>
    <x v="1"/>
    <x v="1"/>
  </r>
  <r>
    <x v="982"/>
    <x v="1"/>
    <x v="25"/>
    <x v="965"/>
    <x v="208"/>
    <x v="614"/>
    <x v="1"/>
    <x v="0"/>
    <x v="965"/>
    <x v="0"/>
    <x v="0"/>
    <x v="0"/>
    <x v="0"/>
    <x v="0"/>
    <x v="2"/>
    <x v="614"/>
    <x v="602"/>
    <x v="965"/>
    <x v="1"/>
    <x v="10"/>
    <x v="0"/>
    <x v="17"/>
    <x v="17"/>
    <x v="0"/>
    <x v="0"/>
    <x v="0"/>
    <x v="25"/>
    <x v="0"/>
    <x v="0"/>
    <x v="1"/>
    <x v="1"/>
  </r>
  <r>
    <x v="981"/>
    <x v="1"/>
    <x v="25"/>
    <x v="964"/>
    <x v="195"/>
    <x v="603"/>
    <x v="1"/>
    <x v="0"/>
    <x v="964"/>
    <x v="0"/>
    <x v="0"/>
    <x v="0"/>
    <x v="0"/>
    <x v="0"/>
    <x v="2"/>
    <x v="603"/>
    <x v="591"/>
    <x v="964"/>
    <x v="1"/>
    <x v="10"/>
    <x v="0"/>
    <x v="17"/>
    <x v="17"/>
    <x v="0"/>
    <x v="0"/>
    <x v="0"/>
    <x v="25"/>
    <x v="0"/>
    <x v="0"/>
    <x v="1"/>
    <x v="1"/>
  </r>
  <r>
    <x v="980"/>
    <x v="1"/>
    <x v="25"/>
    <x v="963"/>
    <x v="188"/>
    <x v="600"/>
    <x v="1"/>
    <x v="0"/>
    <x v="963"/>
    <x v="0"/>
    <x v="0"/>
    <x v="0"/>
    <x v="0"/>
    <x v="0"/>
    <x v="2"/>
    <x v="600"/>
    <x v="588"/>
    <x v="963"/>
    <x v="1"/>
    <x v="10"/>
    <x v="0"/>
    <x v="17"/>
    <x v="17"/>
    <x v="0"/>
    <x v="0"/>
    <x v="0"/>
    <x v="25"/>
    <x v="0"/>
    <x v="0"/>
    <x v="1"/>
    <x v="1"/>
  </r>
  <r>
    <x v="979"/>
    <x v="1"/>
    <x v="25"/>
    <x v="962"/>
    <x v="187"/>
    <x v="599"/>
    <x v="1"/>
    <x v="0"/>
    <x v="962"/>
    <x v="0"/>
    <x v="0"/>
    <x v="0"/>
    <x v="0"/>
    <x v="0"/>
    <x v="2"/>
    <x v="599"/>
    <x v="587"/>
    <x v="962"/>
    <x v="1"/>
    <x v="10"/>
    <x v="0"/>
    <x v="17"/>
    <x v="17"/>
    <x v="0"/>
    <x v="0"/>
    <x v="0"/>
    <x v="25"/>
    <x v="0"/>
    <x v="0"/>
    <x v="1"/>
    <x v="1"/>
  </r>
  <r>
    <x v="978"/>
    <x v="1"/>
    <x v="25"/>
    <x v="961"/>
    <x v="207"/>
    <x v="613"/>
    <x v="1"/>
    <x v="0"/>
    <x v="961"/>
    <x v="0"/>
    <x v="0"/>
    <x v="0"/>
    <x v="0"/>
    <x v="0"/>
    <x v="2"/>
    <x v="613"/>
    <x v="601"/>
    <x v="961"/>
    <x v="1"/>
    <x v="10"/>
    <x v="0"/>
    <x v="17"/>
    <x v="17"/>
    <x v="0"/>
    <x v="0"/>
    <x v="0"/>
    <x v="25"/>
    <x v="0"/>
    <x v="0"/>
    <x v="1"/>
    <x v="1"/>
  </r>
  <r>
    <x v="977"/>
    <x v="1"/>
    <x v="25"/>
    <x v="960"/>
    <x v="177"/>
    <x v="591"/>
    <x v="1"/>
    <x v="0"/>
    <x v="960"/>
    <x v="0"/>
    <x v="0"/>
    <x v="0"/>
    <x v="0"/>
    <x v="0"/>
    <x v="2"/>
    <x v="591"/>
    <x v="579"/>
    <x v="960"/>
    <x v="1"/>
    <x v="10"/>
    <x v="0"/>
    <x v="17"/>
    <x v="17"/>
    <x v="0"/>
    <x v="0"/>
    <x v="0"/>
    <x v="25"/>
    <x v="0"/>
    <x v="0"/>
    <x v="1"/>
    <x v="1"/>
  </r>
  <r>
    <x v="976"/>
    <x v="1"/>
    <x v="25"/>
    <x v="959"/>
    <x v="201"/>
    <x v="609"/>
    <x v="1"/>
    <x v="0"/>
    <x v="959"/>
    <x v="0"/>
    <x v="0"/>
    <x v="0"/>
    <x v="0"/>
    <x v="0"/>
    <x v="2"/>
    <x v="609"/>
    <x v="597"/>
    <x v="959"/>
    <x v="1"/>
    <x v="10"/>
    <x v="0"/>
    <x v="17"/>
    <x v="17"/>
    <x v="0"/>
    <x v="0"/>
    <x v="0"/>
    <x v="25"/>
    <x v="0"/>
    <x v="0"/>
    <x v="1"/>
    <x v="1"/>
  </r>
  <r>
    <x v="975"/>
    <x v="1"/>
    <x v="25"/>
    <x v="958"/>
    <x v="175"/>
    <x v="589"/>
    <x v="1"/>
    <x v="0"/>
    <x v="958"/>
    <x v="0"/>
    <x v="0"/>
    <x v="0"/>
    <x v="0"/>
    <x v="0"/>
    <x v="2"/>
    <x v="589"/>
    <x v="577"/>
    <x v="958"/>
    <x v="1"/>
    <x v="10"/>
    <x v="0"/>
    <x v="17"/>
    <x v="17"/>
    <x v="0"/>
    <x v="0"/>
    <x v="0"/>
    <x v="25"/>
    <x v="0"/>
    <x v="0"/>
    <x v="1"/>
    <x v="1"/>
  </r>
  <r>
    <x v="974"/>
    <x v="1"/>
    <x v="25"/>
    <x v="957"/>
    <x v="192"/>
    <x v="601"/>
    <x v="1"/>
    <x v="0"/>
    <x v="957"/>
    <x v="0"/>
    <x v="0"/>
    <x v="0"/>
    <x v="0"/>
    <x v="0"/>
    <x v="2"/>
    <x v="601"/>
    <x v="589"/>
    <x v="957"/>
    <x v="1"/>
    <x v="10"/>
    <x v="0"/>
    <x v="17"/>
    <x v="17"/>
    <x v="0"/>
    <x v="0"/>
    <x v="0"/>
    <x v="25"/>
    <x v="0"/>
    <x v="0"/>
    <x v="1"/>
    <x v="1"/>
  </r>
  <r>
    <x v="973"/>
    <x v="1"/>
    <x v="25"/>
    <x v="956"/>
    <x v="200"/>
    <x v="608"/>
    <x v="1"/>
    <x v="0"/>
    <x v="956"/>
    <x v="0"/>
    <x v="0"/>
    <x v="0"/>
    <x v="0"/>
    <x v="0"/>
    <x v="2"/>
    <x v="608"/>
    <x v="596"/>
    <x v="956"/>
    <x v="1"/>
    <x v="10"/>
    <x v="0"/>
    <x v="17"/>
    <x v="17"/>
    <x v="0"/>
    <x v="0"/>
    <x v="0"/>
    <x v="25"/>
    <x v="0"/>
    <x v="0"/>
    <x v="1"/>
    <x v="1"/>
  </r>
  <r>
    <x v="972"/>
    <x v="1"/>
    <x v="25"/>
    <x v="955"/>
    <x v="199"/>
    <x v="606"/>
    <x v="1"/>
    <x v="0"/>
    <x v="955"/>
    <x v="0"/>
    <x v="0"/>
    <x v="0"/>
    <x v="0"/>
    <x v="0"/>
    <x v="2"/>
    <x v="606"/>
    <x v="594"/>
    <x v="955"/>
    <x v="1"/>
    <x v="10"/>
    <x v="0"/>
    <x v="17"/>
    <x v="17"/>
    <x v="0"/>
    <x v="0"/>
    <x v="0"/>
    <x v="25"/>
    <x v="0"/>
    <x v="0"/>
    <x v="1"/>
    <x v="1"/>
  </r>
  <r>
    <x v="971"/>
    <x v="1"/>
    <x v="25"/>
    <x v="954"/>
    <x v="197"/>
    <x v="605"/>
    <x v="1"/>
    <x v="0"/>
    <x v="954"/>
    <x v="0"/>
    <x v="0"/>
    <x v="0"/>
    <x v="0"/>
    <x v="0"/>
    <x v="2"/>
    <x v="605"/>
    <x v="593"/>
    <x v="954"/>
    <x v="1"/>
    <x v="10"/>
    <x v="0"/>
    <x v="17"/>
    <x v="17"/>
    <x v="0"/>
    <x v="0"/>
    <x v="0"/>
    <x v="25"/>
    <x v="0"/>
    <x v="0"/>
    <x v="1"/>
    <x v="1"/>
  </r>
  <r>
    <x v="970"/>
    <x v="1"/>
    <x v="25"/>
    <x v="953"/>
    <x v="202"/>
    <x v="610"/>
    <x v="1"/>
    <x v="0"/>
    <x v="953"/>
    <x v="0"/>
    <x v="0"/>
    <x v="0"/>
    <x v="0"/>
    <x v="0"/>
    <x v="2"/>
    <x v="610"/>
    <x v="598"/>
    <x v="953"/>
    <x v="1"/>
    <x v="10"/>
    <x v="0"/>
    <x v="17"/>
    <x v="17"/>
    <x v="0"/>
    <x v="0"/>
    <x v="0"/>
    <x v="25"/>
    <x v="0"/>
    <x v="0"/>
    <x v="1"/>
    <x v="1"/>
  </r>
  <r>
    <x v="969"/>
    <x v="1"/>
    <x v="25"/>
    <x v="952"/>
    <x v="185"/>
    <x v="597"/>
    <x v="1"/>
    <x v="0"/>
    <x v="952"/>
    <x v="0"/>
    <x v="0"/>
    <x v="0"/>
    <x v="0"/>
    <x v="0"/>
    <x v="2"/>
    <x v="597"/>
    <x v="585"/>
    <x v="952"/>
    <x v="1"/>
    <x v="10"/>
    <x v="0"/>
    <x v="17"/>
    <x v="17"/>
    <x v="0"/>
    <x v="0"/>
    <x v="0"/>
    <x v="25"/>
    <x v="0"/>
    <x v="0"/>
    <x v="1"/>
    <x v="1"/>
  </r>
  <r>
    <x v="968"/>
    <x v="1"/>
    <x v="25"/>
    <x v="951"/>
    <x v="183"/>
    <x v="595"/>
    <x v="1"/>
    <x v="0"/>
    <x v="951"/>
    <x v="0"/>
    <x v="0"/>
    <x v="0"/>
    <x v="0"/>
    <x v="0"/>
    <x v="2"/>
    <x v="595"/>
    <x v="583"/>
    <x v="951"/>
    <x v="1"/>
    <x v="10"/>
    <x v="0"/>
    <x v="17"/>
    <x v="17"/>
    <x v="0"/>
    <x v="0"/>
    <x v="0"/>
    <x v="25"/>
    <x v="0"/>
    <x v="0"/>
    <x v="1"/>
    <x v="1"/>
  </r>
  <r>
    <x v="967"/>
    <x v="1"/>
    <x v="25"/>
    <x v="950"/>
    <x v="179"/>
    <x v="592"/>
    <x v="1"/>
    <x v="0"/>
    <x v="950"/>
    <x v="0"/>
    <x v="0"/>
    <x v="0"/>
    <x v="0"/>
    <x v="0"/>
    <x v="2"/>
    <x v="592"/>
    <x v="580"/>
    <x v="950"/>
    <x v="1"/>
    <x v="10"/>
    <x v="0"/>
    <x v="17"/>
    <x v="17"/>
    <x v="0"/>
    <x v="0"/>
    <x v="0"/>
    <x v="25"/>
    <x v="0"/>
    <x v="0"/>
    <x v="1"/>
    <x v="1"/>
  </r>
  <r>
    <x v="966"/>
    <x v="1"/>
    <x v="25"/>
    <x v="949"/>
    <x v="989"/>
    <x v="674"/>
    <x v="1"/>
    <x v="0"/>
    <x v="949"/>
    <x v="0"/>
    <x v="0"/>
    <x v="0"/>
    <x v="0"/>
    <x v="0"/>
    <x v="2"/>
    <x v="674"/>
    <x v="662"/>
    <x v="949"/>
    <x v="1"/>
    <x v="10"/>
    <x v="0"/>
    <x v="17"/>
    <x v="17"/>
    <x v="0"/>
    <x v="0"/>
    <x v="0"/>
    <x v="25"/>
    <x v="0"/>
    <x v="0"/>
    <x v="1"/>
    <x v="1"/>
  </r>
  <r>
    <x v="965"/>
    <x v="1"/>
    <x v="25"/>
    <x v="948"/>
    <x v="296"/>
    <x v="675"/>
    <x v="1"/>
    <x v="0"/>
    <x v="948"/>
    <x v="0"/>
    <x v="0"/>
    <x v="0"/>
    <x v="0"/>
    <x v="0"/>
    <x v="2"/>
    <x v="675"/>
    <x v="663"/>
    <x v="948"/>
    <x v="1"/>
    <x v="10"/>
    <x v="0"/>
    <x v="17"/>
    <x v="17"/>
    <x v="0"/>
    <x v="0"/>
    <x v="0"/>
    <x v="25"/>
    <x v="0"/>
    <x v="0"/>
    <x v="1"/>
    <x v="1"/>
  </r>
  <r>
    <x v="964"/>
    <x v="1"/>
    <x v="25"/>
    <x v="947"/>
    <x v="297"/>
    <x v="676"/>
    <x v="1"/>
    <x v="0"/>
    <x v="947"/>
    <x v="0"/>
    <x v="0"/>
    <x v="0"/>
    <x v="0"/>
    <x v="0"/>
    <x v="2"/>
    <x v="676"/>
    <x v="664"/>
    <x v="947"/>
    <x v="1"/>
    <x v="10"/>
    <x v="0"/>
    <x v="17"/>
    <x v="17"/>
    <x v="0"/>
    <x v="0"/>
    <x v="0"/>
    <x v="25"/>
    <x v="0"/>
    <x v="0"/>
    <x v="1"/>
    <x v="1"/>
  </r>
  <r>
    <x v="963"/>
    <x v="1"/>
    <x v="25"/>
    <x v="946"/>
    <x v="298"/>
    <x v="677"/>
    <x v="1"/>
    <x v="0"/>
    <x v="946"/>
    <x v="0"/>
    <x v="0"/>
    <x v="0"/>
    <x v="0"/>
    <x v="0"/>
    <x v="2"/>
    <x v="677"/>
    <x v="665"/>
    <x v="946"/>
    <x v="1"/>
    <x v="10"/>
    <x v="0"/>
    <x v="17"/>
    <x v="17"/>
    <x v="0"/>
    <x v="0"/>
    <x v="0"/>
    <x v="25"/>
    <x v="0"/>
    <x v="0"/>
    <x v="1"/>
    <x v="1"/>
  </r>
  <r>
    <x v="962"/>
    <x v="1"/>
    <x v="25"/>
    <x v="945"/>
    <x v="283"/>
    <x v="665"/>
    <x v="1"/>
    <x v="0"/>
    <x v="945"/>
    <x v="0"/>
    <x v="0"/>
    <x v="0"/>
    <x v="0"/>
    <x v="0"/>
    <x v="2"/>
    <x v="665"/>
    <x v="653"/>
    <x v="945"/>
    <x v="1"/>
    <x v="10"/>
    <x v="0"/>
    <x v="17"/>
    <x v="17"/>
    <x v="0"/>
    <x v="0"/>
    <x v="0"/>
    <x v="25"/>
    <x v="0"/>
    <x v="0"/>
    <x v="1"/>
    <x v="1"/>
  </r>
  <r>
    <x v="961"/>
    <x v="1"/>
    <x v="25"/>
    <x v="944"/>
    <x v="274"/>
    <x v="659"/>
    <x v="1"/>
    <x v="0"/>
    <x v="944"/>
    <x v="0"/>
    <x v="0"/>
    <x v="0"/>
    <x v="0"/>
    <x v="0"/>
    <x v="2"/>
    <x v="659"/>
    <x v="647"/>
    <x v="944"/>
    <x v="1"/>
    <x v="10"/>
    <x v="0"/>
    <x v="17"/>
    <x v="17"/>
    <x v="0"/>
    <x v="0"/>
    <x v="0"/>
    <x v="25"/>
    <x v="0"/>
    <x v="0"/>
    <x v="1"/>
    <x v="1"/>
  </r>
  <r>
    <x v="960"/>
    <x v="1"/>
    <x v="25"/>
    <x v="943"/>
    <x v="262"/>
    <x v="650"/>
    <x v="1"/>
    <x v="0"/>
    <x v="943"/>
    <x v="0"/>
    <x v="0"/>
    <x v="0"/>
    <x v="0"/>
    <x v="0"/>
    <x v="2"/>
    <x v="650"/>
    <x v="638"/>
    <x v="943"/>
    <x v="1"/>
    <x v="10"/>
    <x v="0"/>
    <x v="17"/>
    <x v="17"/>
    <x v="0"/>
    <x v="0"/>
    <x v="0"/>
    <x v="25"/>
    <x v="0"/>
    <x v="0"/>
    <x v="1"/>
    <x v="1"/>
  </r>
  <r>
    <x v="959"/>
    <x v="1"/>
    <x v="25"/>
    <x v="942"/>
    <x v="260"/>
    <x v="649"/>
    <x v="1"/>
    <x v="0"/>
    <x v="942"/>
    <x v="0"/>
    <x v="0"/>
    <x v="0"/>
    <x v="0"/>
    <x v="0"/>
    <x v="2"/>
    <x v="649"/>
    <x v="637"/>
    <x v="942"/>
    <x v="1"/>
    <x v="10"/>
    <x v="0"/>
    <x v="17"/>
    <x v="17"/>
    <x v="0"/>
    <x v="0"/>
    <x v="0"/>
    <x v="25"/>
    <x v="0"/>
    <x v="0"/>
    <x v="1"/>
    <x v="1"/>
  </r>
  <r>
    <x v="958"/>
    <x v="1"/>
    <x v="25"/>
    <x v="941"/>
    <x v="290"/>
    <x v="671"/>
    <x v="1"/>
    <x v="0"/>
    <x v="941"/>
    <x v="0"/>
    <x v="0"/>
    <x v="0"/>
    <x v="0"/>
    <x v="0"/>
    <x v="2"/>
    <x v="671"/>
    <x v="659"/>
    <x v="941"/>
    <x v="1"/>
    <x v="10"/>
    <x v="0"/>
    <x v="17"/>
    <x v="17"/>
    <x v="0"/>
    <x v="0"/>
    <x v="0"/>
    <x v="25"/>
    <x v="0"/>
    <x v="0"/>
    <x v="1"/>
    <x v="1"/>
  </r>
  <r>
    <x v="957"/>
    <x v="1"/>
    <x v="25"/>
    <x v="940"/>
    <x v="289"/>
    <x v="670"/>
    <x v="1"/>
    <x v="0"/>
    <x v="940"/>
    <x v="0"/>
    <x v="0"/>
    <x v="0"/>
    <x v="0"/>
    <x v="0"/>
    <x v="2"/>
    <x v="670"/>
    <x v="658"/>
    <x v="940"/>
    <x v="1"/>
    <x v="10"/>
    <x v="0"/>
    <x v="17"/>
    <x v="17"/>
    <x v="0"/>
    <x v="0"/>
    <x v="0"/>
    <x v="25"/>
    <x v="0"/>
    <x v="0"/>
    <x v="1"/>
    <x v="1"/>
  </r>
  <r>
    <x v="956"/>
    <x v="1"/>
    <x v="25"/>
    <x v="939"/>
    <x v="259"/>
    <x v="648"/>
    <x v="1"/>
    <x v="0"/>
    <x v="939"/>
    <x v="0"/>
    <x v="0"/>
    <x v="0"/>
    <x v="0"/>
    <x v="0"/>
    <x v="2"/>
    <x v="648"/>
    <x v="636"/>
    <x v="939"/>
    <x v="1"/>
    <x v="10"/>
    <x v="0"/>
    <x v="17"/>
    <x v="17"/>
    <x v="0"/>
    <x v="0"/>
    <x v="0"/>
    <x v="25"/>
    <x v="0"/>
    <x v="0"/>
    <x v="1"/>
    <x v="1"/>
  </r>
  <r>
    <x v="955"/>
    <x v="1"/>
    <x v="25"/>
    <x v="938"/>
    <x v="294"/>
    <x v="673"/>
    <x v="1"/>
    <x v="0"/>
    <x v="938"/>
    <x v="0"/>
    <x v="0"/>
    <x v="0"/>
    <x v="0"/>
    <x v="0"/>
    <x v="2"/>
    <x v="673"/>
    <x v="661"/>
    <x v="938"/>
    <x v="1"/>
    <x v="10"/>
    <x v="0"/>
    <x v="17"/>
    <x v="17"/>
    <x v="0"/>
    <x v="0"/>
    <x v="0"/>
    <x v="25"/>
    <x v="0"/>
    <x v="0"/>
    <x v="1"/>
    <x v="1"/>
  </r>
  <r>
    <x v="954"/>
    <x v="1"/>
    <x v="25"/>
    <x v="937"/>
    <x v="291"/>
    <x v="672"/>
    <x v="1"/>
    <x v="0"/>
    <x v="937"/>
    <x v="0"/>
    <x v="0"/>
    <x v="0"/>
    <x v="0"/>
    <x v="0"/>
    <x v="2"/>
    <x v="672"/>
    <x v="660"/>
    <x v="937"/>
    <x v="1"/>
    <x v="10"/>
    <x v="0"/>
    <x v="17"/>
    <x v="17"/>
    <x v="0"/>
    <x v="0"/>
    <x v="0"/>
    <x v="25"/>
    <x v="0"/>
    <x v="0"/>
    <x v="1"/>
    <x v="1"/>
  </r>
  <r>
    <x v="953"/>
    <x v="1"/>
    <x v="25"/>
    <x v="936"/>
    <x v="273"/>
    <x v="658"/>
    <x v="1"/>
    <x v="0"/>
    <x v="936"/>
    <x v="0"/>
    <x v="0"/>
    <x v="0"/>
    <x v="0"/>
    <x v="0"/>
    <x v="2"/>
    <x v="658"/>
    <x v="646"/>
    <x v="936"/>
    <x v="1"/>
    <x v="10"/>
    <x v="0"/>
    <x v="17"/>
    <x v="17"/>
    <x v="0"/>
    <x v="0"/>
    <x v="0"/>
    <x v="25"/>
    <x v="0"/>
    <x v="0"/>
    <x v="1"/>
    <x v="1"/>
  </r>
  <r>
    <x v="952"/>
    <x v="1"/>
    <x v="25"/>
    <x v="935"/>
    <x v="272"/>
    <x v="657"/>
    <x v="1"/>
    <x v="0"/>
    <x v="935"/>
    <x v="0"/>
    <x v="0"/>
    <x v="0"/>
    <x v="0"/>
    <x v="0"/>
    <x v="2"/>
    <x v="657"/>
    <x v="645"/>
    <x v="935"/>
    <x v="1"/>
    <x v="10"/>
    <x v="0"/>
    <x v="17"/>
    <x v="17"/>
    <x v="0"/>
    <x v="0"/>
    <x v="0"/>
    <x v="25"/>
    <x v="0"/>
    <x v="0"/>
    <x v="1"/>
    <x v="1"/>
  </r>
  <r>
    <x v="951"/>
    <x v="1"/>
    <x v="25"/>
    <x v="934"/>
    <x v="271"/>
    <x v="656"/>
    <x v="1"/>
    <x v="0"/>
    <x v="934"/>
    <x v="0"/>
    <x v="0"/>
    <x v="0"/>
    <x v="0"/>
    <x v="0"/>
    <x v="2"/>
    <x v="656"/>
    <x v="644"/>
    <x v="934"/>
    <x v="1"/>
    <x v="10"/>
    <x v="0"/>
    <x v="17"/>
    <x v="17"/>
    <x v="0"/>
    <x v="0"/>
    <x v="0"/>
    <x v="25"/>
    <x v="0"/>
    <x v="0"/>
    <x v="1"/>
    <x v="1"/>
  </r>
  <r>
    <x v="950"/>
    <x v="1"/>
    <x v="25"/>
    <x v="933"/>
    <x v="270"/>
    <x v="655"/>
    <x v="1"/>
    <x v="0"/>
    <x v="933"/>
    <x v="0"/>
    <x v="0"/>
    <x v="0"/>
    <x v="0"/>
    <x v="0"/>
    <x v="2"/>
    <x v="655"/>
    <x v="643"/>
    <x v="933"/>
    <x v="1"/>
    <x v="10"/>
    <x v="0"/>
    <x v="17"/>
    <x v="17"/>
    <x v="0"/>
    <x v="0"/>
    <x v="0"/>
    <x v="25"/>
    <x v="0"/>
    <x v="0"/>
    <x v="1"/>
    <x v="1"/>
  </r>
  <r>
    <x v="949"/>
    <x v="1"/>
    <x v="25"/>
    <x v="932"/>
    <x v="269"/>
    <x v="654"/>
    <x v="1"/>
    <x v="0"/>
    <x v="932"/>
    <x v="0"/>
    <x v="0"/>
    <x v="0"/>
    <x v="0"/>
    <x v="0"/>
    <x v="2"/>
    <x v="654"/>
    <x v="642"/>
    <x v="932"/>
    <x v="1"/>
    <x v="10"/>
    <x v="0"/>
    <x v="17"/>
    <x v="17"/>
    <x v="0"/>
    <x v="0"/>
    <x v="0"/>
    <x v="25"/>
    <x v="0"/>
    <x v="0"/>
    <x v="1"/>
    <x v="1"/>
  </r>
  <r>
    <x v="948"/>
    <x v="1"/>
    <x v="25"/>
    <x v="931"/>
    <x v="284"/>
    <x v="666"/>
    <x v="1"/>
    <x v="0"/>
    <x v="931"/>
    <x v="0"/>
    <x v="0"/>
    <x v="0"/>
    <x v="0"/>
    <x v="0"/>
    <x v="2"/>
    <x v="666"/>
    <x v="654"/>
    <x v="931"/>
    <x v="1"/>
    <x v="10"/>
    <x v="0"/>
    <x v="17"/>
    <x v="17"/>
    <x v="0"/>
    <x v="0"/>
    <x v="0"/>
    <x v="25"/>
    <x v="0"/>
    <x v="0"/>
    <x v="1"/>
    <x v="1"/>
  </r>
  <r>
    <x v="947"/>
    <x v="1"/>
    <x v="25"/>
    <x v="930"/>
    <x v="288"/>
    <x v="669"/>
    <x v="1"/>
    <x v="0"/>
    <x v="930"/>
    <x v="0"/>
    <x v="0"/>
    <x v="0"/>
    <x v="0"/>
    <x v="0"/>
    <x v="2"/>
    <x v="669"/>
    <x v="657"/>
    <x v="930"/>
    <x v="1"/>
    <x v="10"/>
    <x v="0"/>
    <x v="17"/>
    <x v="17"/>
    <x v="0"/>
    <x v="0"/>
    <x v="0"/>
    <x v="25"/>
    <x v="0"/>
    <x v="0"/>
    <x v="1"/>
    <x v="1"/>
  </r>
  <r>
    <x v="946"/>
    <x v="1"/>
    <x v="25"/>
    <x v="929"/>
    <x v="287"/>
    <x v="668"/>
    <x v="1"/>
    <x v="0"/>
    <x v="929"/>
    <x v="0"/>
    <x v="0"/>
    <x v="0"/>
    <x v="0"/>
    <x v="0"/>
    <x v="2"/>
    <x v="668"/>
    <x v="656"/>
    <x v="929"/>
    <x v="1"/>
    <x v="10"/>
    <x v="0"/>
    <x v="17"/>
    <x v="17"/>
    <x v="0"/>
    <x v="0"/>
    <x v="0"/>
    <x v="25"/>
    <x v="0"/>
    <x v="0"/>
    <x v="1"/>
    <x v="1"/>
  </r>
  <r>
    <x v="945"/>
    <x v="1"/>
    <x v="25"/>
    <x v="928"/>
    <x v="280"/>
    <x v="663"/>
    <x v="1"/>
    <x v="0"/>
    <x v="928"/>
    <x v="0"/>
    <x v="0"/>
    <x v="0"/>
    <x v="0"/>
    <x v="0"/>
    <x v="2"/>
    <x v="663"/>
    <x v="651"/>
    <x v="928"/>
    <x v="1"/>
    <x v="10"/>
    <x v="0"/>
    <x v="17"/>
    <x v="17"/>
    <x v="0"/>
    <x v="0"/>
    <x v="0"/>
    <x v="25"/>
    <x v="0"/>
    <x v="0"/>
    <x v="1"/>
    <x v="1"/>
  </r>
  <r>
    <x v="944"/>
    <x v="1"/>
    <x v="25"/>
    <x v="927"/>
    <x v="281"/>
    <x v="664"/>
    <x v="1"/>
    <x v="0"/>
    <x v="927"/>
    <x v="0"/>
    <x v="0"/>
    <x v="0"/>
    <x v="0"/>
    <x v="0"/>
    <x v="2"/>
    <x v="664"/>
    <x v="652"/>
    <x v="927"/>
    <x v="1"/>
    <x v="10"/>
    <x v="0"/>
    <x v="17"/>
    <x v="17"/>
    <x v="0"/>
    <x v="0"/>
    <x v="0"/>
    <x v="25"/>
    <x v="0"/>
    <x v="0"/>
    <x v="1"/>
    <x v="1"/>
  </r>
  <r>
    <x v="943"/>
    <x v="1"/>
    <x v="25"/>
    <x v="926"/>
    <x v="279"/>
    <x v="662"/>
    <x v="1"/>
    <x v="0"/>
    <x v="926"/>
    <x v="0"/>
    <x v="0"/>
    <x v="0"/>
    <x v="0"/>
    <x v="0"/>
    <x v="2"/>
    <x v="662"/>
    <x v="650"/>
    <x v="926"/>
    <x v="1"/>
    <x v="10"/>
    <x v="0"/>
    <x v="17"/>
    <x v="17"/>
    <x v="0"/>
    <x v="0"/>
    <x v="0"/>
    <x v="25"/>
    <x v="0"/>
    <x v="0"/>
    <x v="1"/>
    <x v="1"/>
  </r>
  <r>
    <x v="942"/>
    <x v="1"/>
    <x v="25"/>
    <x v="925"/>
    <x v="255"/>
    <x v="644"/>
    <x v="1"/>
    <x v="0"/>
    <x v="925"/>
    <x v="0"/>
    <x v="0"/>
    <x v="0"/>
    <x v="0"/>
    <x v="0"/>
    <x v="2"/>
    <x v="644"/>
    <x v="632"/>
    <x v="925"/>
    <x v="1"/>
    <x v="10"/>
    <x v="0"/>
    <x v="17"/>
    <x v="17"/>
    <x v="0"/>
    <x v="0"/>
    <x v="0"/>
    <x v="25"/>
    <x v="0"/>
    <x v="0"/>
    <x v="1"/>
    <x v="1"/>
  </r>
  <r>
    <x v="941"/>
    <x v="1"/>
    <x v="25"/>
    <x v="924"/>
    <x v="254"/>
    <x v="643"/>
    <x v="1"/>
    <x v="0"/>
    <x v="924"/>
    <x v="0"/>
    <x v="0"/>
    <x v="0"/>
    <x v="0"/>
    <x v="0"/>
    <x v="2"/>
    <x v="643"/>
    <x v="631"/>
    <x v="924"/>
    <x v="1"/>
    <x v="10"/>
    <x v="0"/>
    <x v="17"/>
    <x v="17"/>
    <x v="0"/>
    <x v="0"/>
    <x v="0"/>
    <x v="25"/>
    <x v="0"/>
    <x v="0"/>
    <x v="1"/>
    <x v="1"/>
  </r>
  <r>
    <x v="940"/>
    <x v="1"/>
    <x v="25"/>
    <x v="923"/>
    <x v="275"/>
    <x v="660"/>
    <x v="1"/>
    <x v="0"/>
    <x v="923"/>
    <x v="0"/>
    <x v="0"/>
    <x v="0"/>
    <x v="0"/>
    <x v="0"/>
    <x v="2"/>
    <x v="660"/>
    <x v="648"/>
    <x v="923"/>
    <x v="1"/>
    <x v="10"/>
    <x v="0"/>
    <x v="17"/>
    <x v="17"/>
    <x v="0"/>
    <x v="0"/>
    <x v="0"/>
    <x v="25"/>
    <x v="0"/>
    <x v="0"/>
    <x v="1"/>
    <x v="1"/>
  </r>
  <r>
    <x v="939"/>
    <x v="1"/>
    <x v="25"/>
    <x v="922"/>
    <x v="256"/>
    <x v="645"/>
    <x v="1"/>
    <x v="0"/>
    <x v="922"/>
    <x v="0"/>
    <x v="0"/>
    <x v="0"/>
    <x v="0"/>
    <x v="0"/>
    <x v="2"/>
    <x v="645"/>
    <x v="633"/>
    <x v="922"/>
    <x v="1"/>
    <x v="10"/>
    <x v="0"/>
    <x v="17"/>
    <x v="17"/>
    <x v="0"/>
    <x v="0"/>
    <x v="0"/>
    <x v="25"/>
    <x v="0"/>
    <x v="0"/>
    <x v="1"/>
    <x v="1"/>
  </r>
  <r>
    <x v="938"/>
    <x v="1"/>
    <x v="25"/>
    <x v="921"/>
    <x v="257"/>
    <x v="646"/>
    <x v="1"/>
    <x v="0"/>
    <x v="921"/>
    <x v="0"/>
    <x v="0"/>
    <x v="0"/>
    <x v="0"/>
    <x v="0"/>
    <x v="2"/>
    <x v="646"/>
    <x v="634"/>
    <x v="921"/>
    <x v="1"/>
    <x v="10"/>
    <x v="0"/>
    <x v="17"/>
    <x v="17"/>
    <x v="0"/>
    <x v="0"/>
    <x v="0"/>
    <x v="25"/>
    <x v="0"/>
    <x v="0"/>
    <x v="1"/>
    <x v="1"/>
  </r>
  <r>
    <x v="937"/>
    <x v="1"/>
    <x v="25"/>
    <x v="920"/>
    <x v="258"/>
    <x v="647"/>
    <x v="1"/>
    <x v="0"/>
    <x v="920"/>
    <x v="0"/>
    <x v="0"/>
    <x v="0"/>
    <x v="0"/>
    <x v="0"/>
    <x v="2"/>
    <x v="647"/>
    <x v="635"/>
    <x v="920"/>
    <x v="1"/>
    <x v="10"/>
    <x v="0"/>
    <x v="17"/>
    <x v="17"/>
    <x v="0"/>
    <x v="0"/>
    <x v="0"/>
    <x v="25"/>
    <x v="0"/>
    <x v="0"/>
    <x v="1"/>
    <x v="1"/>
  </r>
  <r>
    <x v="936"/>
    <x v="1"/>
    <x v="25"/>
    <x v="919"/>
    <x v="266"/>
    <x v="652"/>
    <x v="1"/>
    <x v="0"/>
    <x v="919"/>
    <x v="0"/>
    <x v="0"/>
    <x v="0"/>
    <x v="0"/>
    <x v="0"/>
    <x v="2"/>
    <x v="652"/>
    <x v="640"/>
    <x v="919"/>
    <x v="1"/>
    <x v="10"/>
    <x v="0"/>
    <x v="17"/>
    <x v="17"/>
    <x v="0"/>
    <x v="0"/>
    <x v="0"/>
    <x v="25"/>
    <x v="0"/>
    <x v="0"/>
    <x v="1"/>
    <x v="1"/>
  </r>
  <r>
    <x v="935"/>
    <x v="1"/>
    <x v="25"/>
    <x v="918"/>
    <x v="253"/>
    <x v="642"/>
    <x v="1"/>
    <x v="0"/>
    <x v="918"/>
    <x v="0"/>
    <x v="0"/>
    <x v="0"/>
    <x v="0"/>
    <x v="0"/>
    <x v="2"/>
    <x v="642"/>
    <x v="630"/>
    <x v="918"/>
    <x v="1"/>
    <x v="10"/>
    <x v="0"/>
    <x v="17"/>
    <x v="17"/>
    <x v="0"/>
    <x v="0"/>
    <x v="0"/>
    <x v="25"/>
    <x v="0"/>
    <x v="0"/>
    <x v="1"/>
    <x v="1"/>
  </r>
  <r>
    <x v="934"/>
    <x v="1"/>
    <x v="25"/>
    <x v="917"/>
    <x v="720"/>
    <x v="908"/>
    <x v="1"/>
    <x v="0"/>
    <x v="917"/>
    <x v="0"/>
    <x v="0"/>
    <x v="0"/>
    <x v="0"/>
    <x v="0"/>
    <x v="2"/>
    <x v="908"/>
    <x v="896"/>
    <x v="917"/>
    <x v="1"/>
    <x v="10"/>
    <x v="0"/>
    <x v="17"/>
    <x v="17"/>
    <x v="0"/>
    <x v="0"/>
    <x v="0"/>
    <x v="25"/>
    <x v="0"/>
    <x v="0"/>
    <x v="1"/>
    <x v="1"/>
  </r>
  <r>
    <x v="933"/>
    <x v="1"/>
    <x v="25"/>
    <x v="916"/>
    <x v="733"/>
    <x v="916"/>
    <x v="1"/>
    <x v="0"/>
    <x v="916"/>
    <x v="0"/>
    <x v="0"/>
    <x v="0"/>
    <x v="0"/>
    <x v="0"/>
    <x v="2"/>
    <x v="916"/>
    <x v="904"/>
    <x v="916"/>
    <x v="1"/>
    <x v="10"/>
    <x v="0"/>
    <x v="17"/>
    <x v="17"/>
    <x v="0"/>
    <x v="0"/>
    <x v="0"/>
    <x v="25"/>
    <x v="0"/>
    <x v="0"/>
    <x v="1"/>
    <x v="1"/>
  </r>
  <r>
    <x v="932"/>
    <x v="1"/>
    <x v="25"/>
    <x v="915"/>
    <x v="726"/>
    <x v="913"/>
    <x v="1"/>
    <x v="0"/>
    <x v="915"/>
    <x v="0"/>
    <x v="0"/>
    <x v="0"/>
    <x v="0"/>
    <x v="0"/>
    <x v="2"/>
    <x v="913"/>
    <x v="901"/>
    <x v="915"/>
    <x v="1"/>
    <x v="10"/>
    <x v="0"/>
    <x v="17"/>
    <x v="17"/>
    <x v="0"/>
    <x v="0"/>
    <x v="0"/>
    <x v="25"/>
    <x v="0"/>
    <x v="0"/>
    <x v="1"/>
    <x v="1"/>
  </r>
  <r>
    <x v="931"/>
    <x v="1"/>
    <x v="25"/>
    <x v="914"/>
    <x v="725"/>
    <x v="911"/>
    <x v="1"/>
    <x v="0"/>
    <x v="914"/>
    <x v="0"/>
    <x v="0"/>
    <x v="0"/>
    <x v="0"/>
    <x v="0"/>
    <x v="2"/>
    <x v="911"/>
    <x v="899"/>
    <x v="914"/>
    <x v="1"/>
    <x v="10"/>
    <x v="0"/>
    <x v="17"/>
    <x v="17"/>
    <x v="0"/>
    <x v="0"/>
    <x v="0"/>
    <x v="25"/>
    <x v="0"/>
    <x v="0"/>
    <x v="1"/>
    <x v="1"/>
  </r>
  <r>
    <x v="930"/>
    <x v="1"/>
    <x v="25"/>
    <x v="913"/>
    <x v="724"/>
    <x v="910"/>
    <x v="1"/>
    <x v="0"/>
    <x v="913"/>
    <x v="0"/>
    <x v="0"/>
    <x v="0"/>
    <x v="0"/>
    <x v="0"/>
    <x v="2"/>
    <x v="910"/>
    <x v="898"/>
    <x v="913"/>
    <x v="1"/>
    <x v="10"/>
    <x v="0"/>
    <x v="17"/>
    <x v="17"/>
    <x v="0"/>
    <x v="0"/>
    <x v="0"/>
    <x v="25"/>
    <x v="0"/>
    <x v="0"/>
    <x v="1"/>
    <x v="1"/>
  </r>
  <r>
    <x v="929"/>
    <x v="1"/>
    <x v="25"/>
    <x v="912"/>
    <x v="741"/>
    <x v="921"/>
    <x v="1"/>
    <x v="0"/>
    <x v="912"/>
    <x v="0"/>
    <x v="0"/>
    <x v="0"/>
    <x v="0"/>
    <x v="0"/>
    <x v="2"/>
    <x v="921"/>
    <x v="909"/>
    <x v="912"/>
    <x v="1"/>
    <x v="10"/>
    <x v="0"/>
    <x v="17"/>
    <x v="17"/>
    <x v="0"/>
    <x v="0"/>
    <x v="0"/>
    <x v="25"/>
    <x v="0"/>
    <x v="0"/>
    <x v="1"/>
    <x v="1"/>
  </r>
  <r>
    <x v="928"/>
    <x v="1"/>
    <x v="25"/>
    <x v="911"/>
    <x v="742"/>
    <x v="922"/>
    <x v="1"/>
    <x v="0"/>
    <x v="911"/>
    <x v="0"/>
    <x v="0"/>
    <x v="0"/>
    <x v="0"/>
    <x v="0"/>
    <x v="2"/>
    <x v="922"/>
    <x v="910"/>
    <x v="911"/>
    <x v="1"/>
    <x v="10"/>
    <x v="0"/>
    <x v="17"/>
    <x v="17"/>
    <x v="0"/>
    <x v="0"/>
    <x v="0"/>
    <x v="25"/>
    <x v="0"/>
    <x v="0"/>
    <x v="1"/>
    <x v="1"/>
  </r>
  <r>
    <x v="927"/>
    <x v="1"/>
    <x v="25"/>
    <x v="910"/>
    <x v="711"/>
    <x v="903"/>
    <x v="1"/>
    <x v="0"/>
    <x v="910"/>
    <x v="0"/>
    <x v="0"/>
    <x v="0"/>
    <x v="0"/>
    <x v="0"/>
    <x v="2"/>
    <x v="903"/>
    <x v="891"/>
    <x v="910"/>
    <x v="1"/>
    <x v="10"/>
    <x v="0"/>
    <x v="17"/>
    <x v="17"/>
    <x v="0"/>
    <x v="0"/>
    <x v="0"/>
    <x v="25"/>
    <x v="0"/>
    <x v="0"/>
    <x v="1"/>
    <x v="1"/>
  </r>
  <r>
    <x v="926"/>
    <x v="1"/>
    <x v="25"/>
    <x v="909"/>
    <x v="739"/>
    <x v="920"/>
    <x v="1"/>
    <x v="0"/>
    <x v="909"/>
    <x v="0"/>
    <x v="0"/>
    <x v="0"/>
    <x v="0"/>
    <x v="0"/>
    <x v="2"/>
    <x v="920"/>
    <x v="908"/>
    <x v="909"/>
    <x v="1"/>
    <x v="10"/>
    <x v="0"/>
    <x v="17"/>
    <x v="17"/>
    <x v="0"/>
    <x v="0"/>
    <x v="0"/>
    <x v="25"/>
    <x v="0"/>
    <x v="0"/>
    <x v="1"/>
    <x v="1"/>
  </r>
  <r>
    <x v="925"/>
    <x v="1"/>
    <x v="25"/>
    <x v="908"/>
    <x v="698"/>
    <x v="896"/>
    <x v="1"/>
    <x v="0"/>
    <x v="908"/>
    <x v="0"/>
    <x v="0"/>
    <x v="0"/>
    <x v="0"/>
    <x v="0"/>
    <x v="2"/>
    <x v="896"/>
    <x v="884"/>
    <x v="908"/>
    <x v="1"/>
    <x v="10"/>
    <x v="0"/>
    <x v="17"/>
    <x v="17"/>
    <x v="0"/>
    <x v="0"/>
    <x v="0"/>
    <x v="25"/>
    <x v="0"/>
    <x v="0"/>
    <x v="1"/>
    <x v="1"/>
  </r>
  <r>
    <x v="924"/>
    <x v="1"/>
    <x v="25"/>
    <x v="907"/>
    <x v="697"/>
    <x v="895"/>
    <x v="1"/>
    <x v="0"/>
    <x v="907"/>
    <x v="0"/>
    <x v="0"/>
    <x v="0"/>
    <x v="0"/>
    <x v="0"/>
    <x v="2"/>
    <x v="895"/>
    <x v="883"/>
    <x v="907"/>
    <x v="1"/>
    <x v="10"/>
    <x v="0"/>
    <x v="17"/>
    <x v="17"/>
    <x v="0"/>
    <x v="0"/>
    <x v="0"/>
    <x v="25"/>
    <x v="0"/>
    <x v="0"/>
    <x v="1"/>
    <x v="1"/>
  </r>
  <r>
    <x v="923"/>
    <x v="1"/>
    <x v="25"/>
    <x v="906"/>
    <x v="708"/>
    <x v="901"/>
    <x v="1"/>
    <x v="0"/>
    <x v="906"/>
    <x v="0"/>
    <x v="0"/>
    <x v="0"/>
    <x v="0"/>
    <x v="0"/>
    <x v="2"/>
    <x v="901"/>
    <x v="889"/>
    <x v="906"/>
    <x v="1"/>
    <x v="10"/>
    <x v="0"/>
    <x v="17"/>
    <x v="17"/>
    <x v="0"/>
    <x v="0"/>
    <x v="0"/>
    <x v="25"/>
    <x v="0"/>
    <x v="0"/>
    <x v="1"/>
    <x v="1"/>
  </r>
  <r>
    <x v="922"/>
    <x v="1"/>
    <x v="25"/>
    <x v="905"/>
    <x v="705"/>
    <x v="900"/>
    <x v="1"/>
    <x v="0"/>
    <x v="905"/>
    <x v="0"/>
    <x v="0"/>
    <x v="0"/>
    <x v="0"/>
    <x v="0"/>
    <x v="2"/>
    <x v="900"/>
    <x v="888"/>
    <x v="905"/>
    <x v="1"/>
    <x v="10"/>
    <x v="0"/>
    <x v="17"/>
    <x v="17"/>
    <x v="0"/>
    <x v="0"/>
    <x v="0"/>
    <x v="25"/>
    <x v="0"/>
    <x v="0"/>
    <x v="1"/>
    <x v="1"/>
  </r>
  <r>
    <x v="921"/>
    <x v="1"/>
    <x v="25"/>
    <x v="904"/>
    <x v="731"/>
    <x v="915"/>
    <x v="1"/>
    <x v="0"/>
    <x v="904"/>
    <x v="0"/>
    <x v="0"/>
    <x v="0"/>
    <x v="0"/>
    <x v="0"/>
    <x v="2"/>
    <x v="915"/>
    <x v="903"/>
    <x v="904"/>
    <x v="1"/>
    <x v="10"/>
    <x v="0"/>
    <x v="17"/>
    <x v="17"/>
    <x v="0"/>
    <x v="0"/>
    <x v="0"/>
    <x v="25"/>
    <x v="0"/>
    <x v="0"/>
    <x v="1"/>
    <x v="1"/>
  </r>
  <r>
    <x v="920"/>
    <x v="1"/>
    <x v="25"/>
    <x v="903"/>
    <x v="710"/>
    <x v="902"/>
    <x v="1"/>
    <x v="0"/>
    <x v="903"/>
    <x v="0"/>
    <x v="0"/>
    <x v="0"/>
    <x v="0"/>
    <x v="0"/>
    <x v="2"/>
    <x v="902"/>
    <x v="890"/>
    <x v="903"/>
    <x v="1"/>
    <x v="10"/>
    <x v="0"/>
    <x v="17"/>
    <x v="17"/>
    <x v="0"/>
    <x v="0"/>
    <x v="0"/>
    <x v="25"/>
    <x v="0"/>
    <x v="0"/>
    <x v="1"/>
    <x v="1"/>
  </r>
  <r>
    <x v="919"/>
    <x v="1"/>
    <x v="25"/>
    <x v="902"/>
    <x v="734"/>
    <x v="917"/>
    <x v="1"/>
    <x v="0"/>
    <x v="902"/>
    <x v="0"/>
    <x v="0"/>
    <x v="0"/>
    <x v="0"/>
    <x v="0"/>
    <x v="2"/>
    <x v="917"/>
    <x v="905"/>
    <x v="902"/>
    <x v="1"/>
    <x v="10"/>
    <x v="0"/>
    <x v="17"/>
    <x v="17"/>
    <x v="0"/>
    <x v="0"/>
    <x v="0"/>
    <x v="25"/>
    <x v="0"/>
    <x v="0"/>
    <x v="1"/>
    <x v="1"/>
  </r>
  <r>
    <x v="918"/>
    <x v="1"/>
    <x v="25"/>
    <x v="901"/>
    <x v="738"/>
    <x v="919"/>
    <x v="1"/>
    <x v="0"/>
    <x v="901"/>
    <x v="0"/>
    <x v="0"/>
    <x v="0"/>
    <x v="0"/>
    <x v="0"/>
    <x v="2"/>
    <x v="919"/>
    <x v="907"/>
    <x v="901"/>
    <x v="1"/>
    <x v="10"/>
    <x v="0"/>
    <x v="17"/>
    <x v="17"/>
    <x v="0"/>
    <x v="0"/>
    <x v="0"/>
    <x v="25"/>
    <x v="0"/>
    <x v="0"/>
    <x v="1"/>
    <x v="1"/>
  </r>
  <r>
    <x v="917"/>
    <x v="1"/>
    <x v="25"/>
    <x v="900"/>
    <x v="699"/>
    <x v="897"/>
    <x v="1"/>
    <x v="0"/>
    <x v="900"/>
    <x v="0"/>
    <x v="0"/>
    <x v="0"/>
    <x v="0"/>
    <x v="0"/>
    <x v="2"/>
    <x v="897"/>
    <x v="885"/>
    <x v="900"/>
    <x v="1"/>
    <x v="10"/>
    <x v="0"/>
    <x v="17"/>
    <x v="17"/>
    <x v="0"/>
    <x v="0"/>
    <x v="0"/>
    <x v="25"/>
    <x v="0"/>
    <x v="0"/>
    <x v="1"/>
    <x v="1"/>
  </r>
  <r>
    <x v="916"/>
    <x v="1"/>
    <x v="25"/>
    <x v="899"/>
    <x v="694"/>
    <x v="894"/>
    <x v="1"/>
    <x v="0"/>
    <x v="899"/>
    <x v="0"/>
    <x v="0"/>
    <x v="0"/>
    <x v="0"/>
    <x v="0"/>
    <x v="2"/>
    <x v="894"/>
    <x v="882"/>
    <x v="899"/>
    <x v="1"/>
    <x v="10"/>
    <x v="0"/>
    <x v="17"/>
    <x v="17"/>
    <x v="0"/>
    <x v="0"/>
    <x v="0"/>
    <x v="25"/>
    <x v="0"/>
    <x v="0"/>
    <x v="1"/>
    <x v="1"/>
  </r>
  <r>
    <x v="915"/>
    <x v="1"/>
    <x v="25"/>
    <x v="898"/>
    <x v="681"/>
    <x v="884"/>
    <x v="1"/>
    <x v="0"/>
    <x v="898"/>
    <x v="0"/>
    <x v="0"/>
    <x v="0"/>
    <x v="0"/>
    <x v="0"/>
    <x v="2"/>
    <x v="884"/>
    <x v="872"/>
    <x v="898"/>
    <x v="1"/>
    <x v="10"/>
    <x v="0"/>
    <x v="17"/>
    <x v="17"/>
    <x v="0"/>
    <x v="0"/>
    <x v="0"/>
    <x v="25"/>
    <x v="0"/>
    <x v="0"/>
    <x v="1"/>
    <x v="1"/>
  </r>
  <r>
    <x v="914"/>
    <x v="1"/>
    <x v="25"/>
    <x v="897"/>
    <x v="685"/>
    <x v="885"/>
    <x v="1"/>
    <x v="0"/>
    <x v="897"/>
    <x v="0"/>
    <x v="0"/>
    <x v="0"/>
    <x v="0"/>
    <x v="0"/>
    <x v="2"/>
    <x v="885"/>
    <x v="873"/>
    <x v="897"/>
    <x v="1"/>
    <x v="10"/>
    <x v="0"/>
    <x v="17"/>
    <x v="17"/>
    <x v="0"/>
    <x v="0"/>
    <x v="0"/>
    <x v="25"/>
    <x v="0"/>
    <x v="0"/>
    <x v="1"/>
    <x v="1"/>
  </r>
  <r>
    <x v="913"/>
    <x v="1"/>
    <x v="25"/>
    <x v="896"/>
    <x v="714"/>
    <x v="906"/>
    <x v="1"/>
    <x v="0"/>
    <x v="896"/>
    <x v="0"/>
    <x v="0"/>
    <x v="0"/>
    <x v="0"/>
    <x v="0"/>
    <x v="2"/>
    <x v="906"/>
    <x v="894"/>
    <x v="896"/>
    <x v="1"/>
    <x v="10"/>
    <x v="0"/>
    <x v="17"/>
    <x v="17"/>
    <x v="0"/>
    <x v="0"/>
    <x v="0"/>
    <x v="25"/>
    <x v="0"/>
    <x v="0"/>
    <x v="1"/>
    <x v="1"/>
  </r>
  <r>
    <x v="912"/>
    <x v="1"/>
    <x v="25"/>
    <x v="895"/>
    <x v="693"/>
    <x v="892"/>
    <x v="1"/>
    <x v="0"/>
    <x v="895"/>
    <x v="0"/>
    <x v="0"/>
    <x v="0"/>
    <x v="0"/>
    <x v="0"/>
    <x v="2"/>
    <x v="892"/>
    <x v="880"/>
    <x v="895"/>
    <x v="1"/>
    <x v="10"/>
    <x v="0"/>
    <x v="17"/>
    <x v="17"/>
    <x v="0"/>
    <x v="0"/>
    <x v="0"/>
    <x v="25"/>
    <x v="0"/>
    <x v="0"/>
    <x v="1"/>
    <x v="1"/>
  </r>
  <r>
    <x v="911"/>
    <x v="1"/>
    <x v="25"/>
    <x v="894"/>
    <x v="690"/>
    <x v="890"/>
    <x v="1"/>
    <x v="0"/>
    <x v="894"/>
    <x v="0"/>
    <x v="0"/>
    <x v="0"/>
    <x v="0"/>
    <x v="0"/>
    <x v="2"/>
    <x v="890"/>
    <x v="878"/>
    <x v="894"/>
    <x v="1"/>
    <x v="10"/>
    <x v="0"/>
    <x v="17"/>
    <x v="17"/>
    <x v="0"/>
    <x v="0"/>
    <x v="0"/>
    <x v="25"/>
    <x v="0"/>
    <x v="0"/>
    <x v="1"/>
    <x v="1"/>
  </r>
  <r>
    <x v="910"/>
    <x v="1"/>
    <x v="25"/>
    <x v="893"/>
    <x v="686"/>
    <x v="886"/>
    <x v="1"/>
    <x v="0"/>
    <x v="893"/>
    <x v="0"/>
    <x v="0"/>
    <x v="0"/>
    <x v="0"/>
    <x v="0"/>
    <x v="2"/>
    <x v="886"/>
    <x v="874"/>
    <x v="893"/>
    <x v="1"/>
    <x v="10"/>
    <x v="0"/>
    <x v="17"/>
    <x v="17"/>
    <x v="0"/>
    <x v="0"/>
    <x v="0"/>
    <x v="25"/>
    <x v="0"/>
    <x v="0"/>
    <x v="1"/>
    <x v="1"/>
  </r>
  <r>
    <x v="909"/>
    <x v="1"/>
    <x v="25"/>
    <x v="892"/>
    <x v="689"/>
    <x v="889"/>
    <x v="1"/>
    <x v="0"/>
    <x v="892"/>
    <x v="0"/>
    <x v="0"/>
    <x v="0"/>
    <x v="0"/>
    <x v="0"/>
    <x v="2"/>
    <x v="889"/>
    <x v="877"/>
    <x v="892"/>
    <x v="1"/>
    <x v="10"/>
    <x v="0"/>
    <x v="17"/>
    <x v="17"/>
    <x v="0"/>
    <x v="0"/>
    <x v="0"/>
    <x v="25"/>
    <x v="0"/>
    <x v="0"/>
    <x v="1"/>
    <x v="1"/>
  </r>
  <r>
    <x v="908"/>
    <x v="1"/>
    <x v="25"/>
    <x v="891"/>
    <x v="688"/>
    <x v="888"/>
    <x v="1"/>
    <x v="0"/>
    <x v="891"/>
    <x v="0"/>
    <x v="0"/>
    <x v="0"/>
    <x v="0"/>
    <x v="0"/>
    <x v="2"/>
    <x v="888"/>
    <x v="876"/>
    <x v="891"/>
    <x v="1"/>
    <x v="10"/>
    <x v="0"/>
    <x v="17"/>
    <x v="17"/>
    <x v="0"/>
    <x v="0"/>
    <x v="0"/>
    <x v="25"/>
    <x v="0"/>
    <x v="0"/>
    <x v="1"/>
    <x v="1"/>
  </r>
  <r>
    <x v="907"/>
    <x v="1"/>
    <x v="25"/>
    <x v="890"/>
    <x v="687"/>
    <x v="887"/>
    <x v="1"/>
    <x v="0"/>
    <x v="890"/>
    <x v="0"/>
    <x v="0"/>
    <x v="0"/>
    <x v="0"/>
    <x v="0"/>
    <x v="2"/>
    <x v="887"/>
    <x v="875"/>
    <x v="890"/>
    <x v="1"/>
    <x v="10"/>
    <x v="0"/>
    <x v="17"/>
    <x v="17"/>
    <x v="0"/>
    <x v="0"/>
    <x v="0"/>
    <x v="25"/>
    <x v="0"/>
    <x v="0"/>
    <x v="1"/>
    <x v="1"/>
  </r>
  <r>
    <x v="906"/>
    <x v="1"/>
    <x v="25"/>
    <x v="889"/>
    <x v="581"/>
    <x v="811"/>
    <x v="1"/>
    <x v="0"/>
    <x v="889"/>
    <x v="0"/>
    <x v="0"/>
    <x v="0"/>
    <x v="0"/>
    <x v="0"/>
    <x v="2"/>
    <x v="811"/>
    <x v="799"/>
    <x v="889"/>
    <x v="1"/>
    <x v="10"/>
    <x v="0"/>
    <x v="17"/>
    <x v="17"/>
    <x v="0"/>
    <x v="0"/>
    <x v="0"/>
    <x v="25"/>
    <x v="0"/>
    <x v="0"/>
    <x v="1"/>
    <x v="1"/>
  </r>
  <r>
    <x v="905"/>
    <x v="1"/>
    <x v="25"/>
    <x v="888"/>
    <x v="568"/>
    <x v="804"/>
    <x v="1"/>
    <x v="0"/>
    <x v="888"/>
    <x v="0"/>
    <x v="0"/>
    <x v="0"/>
    <x v="0"/>
    <x v="0"/>
    <x v="2"/>
    <x v="804"/>
    <x v="792"/>
    <x v="888"/>
    <x v="1"/>
    <x v="10"/>
    <x v="0"/>
    <x v="17"/>
    <x v="17"/>
    <x v="0"/>
    <x v="0"/>
    <x v="0"/>
    <x v="25"/>
    <x v="0"/>
    <x v="0"/>
    <x v="1"/>
    <x v="1"/>
  </r>
  <r>
    <x v="904"/>
    <x v="1"/>
    <x v="25"/>
    <x v="887"/>
    <x v="577"/>
    <x v="810"/>
    <x v="1"/>
    <x v="0"/>
    <x v="887"/>
    <x v="0"/>
    <x v="0"/>
    <x v="0"/>
    <x v="0"/>
    <x v="0"/>
    <x v="2"/>
    <x v="810"/>
    <x v="798"/>
    <x v="887"/>
    <x v="1"/>
    <x v="10"/>
    <x v="0"/>
    <x v="17"/>
    <x v="17"/>
    <x v="0"/>
    <x v="0"/>
    <x v="0"/>
    <x v="25"/>
    <x v="0"/>
    <x v="0"/>
    <x v="1"/>
    <x v="1"/>
  </r>
  <r>
    <x v="903"/>
    <x v="1"/>
    <x v="25"/>
    <x v="886"/>
    <x v="566"/>
    <x v="803"/>
    <x v="1"/>
    <x v="0"/>
    <x v="886"/>
    <x v="0"/>
    <x v="0"/>
    <x v="0"/>
    <x v="0"/>
    <x v="0"/>
    <x v="2"/>
    <x v="803"/>
    <x v="791"/>
    <x v="886"/>
    <x v="1"/>
    <x v="10"/>
    <x v="0"/>
    <x v="17"/>
    <x v="17"/>
    <x v="0"/>
    <x v="0"/>
    <x v="0"/>
    <x v="25"/>
    <x v="0"/>
    <x v="0"/>
    <x v="1"/>
    <x v="1"/>
  </r>
  <r>
    <x v="902"/>
    <x v="1"/>
    <x v="25"/>
    <x v="885"/>
    <x v="565"/>
    <x v="802"/>
    <x v="1"/>
    <x v="0"/>
    <x v="885"/>
    <x v="0"/>
    <x v="0"/>
    <x v="0"/>
    <x v="0"/>
    <x v="0"/>
    <x v="2"/>
    <x v="802"/>
    <x v="790"/>
    <x v="885"/>
    <x v="1"/>
    <x v="10"/>
    <x v="0"/>
    <x v="17"/>
    <x v="17"/>
    <x v="0"/>
    <x v="0"/>
    <x v="0"/>
    <x v="25"/>
    <x v="0"/>
    <x v="0"/>
    <x v="1"/>
    <x v="1"/>
  </r>
  <r>
    <x v="901"/>
    <x v="1"/>
    <x v="25"/>
    <x v="884"/>
    <x v="558"/>
    <x v="798"/>
    <x v="1"/>
    <x v="0"/>
    <x v="884"/>
    <x v="0"/>
    <x v="0"/>
    <x v="0"/>
    <x v="0"/>
    <x v="0"/>
    <x v="2"/>
    <x v="798"/>
    <x v="786"/>
    <x v="884"/>
    <x v="1"/>
    <x v="10"/>
    <x v="0"/>
    <x v="17"/>
    <x v="17"/>
    <x v="0"/>
    <x v="0"/>
    <x v="0"/>
    <x v="25"/>
    <x v="0"/>
    <x v="0"/>
    <x v="1"/>
    <x v="1"/>
  </r>
  <r>
    <x v="900"/>
    <x v="1"/>
    <x v="25"/>
    <x v="883"/>
    <x v="554"/>
    <x v="795"/>
    <x v="1"/>
    <x v="0"/>
    <x v="883"/>
    <x v="0"/>
    <x v="0"/>
    <x v="0"/>
    <x v="0"/>
    <x v="0"/>
    <x v="2"/>
    <x v="795"/>
    <x v="783"/>
    <x v="883"/>
    <x v="1"/>
    <x v="10"/>
    <x v="0"/>
    <x v="17"/>
    <x v="17"/>
    <x v="0"/>
    <x v="0"/>
    <x v="0"/>
    <x v="25"/>
    <x v="0"/>
    <x v="0"/>
    <x v="1"/>
    <x v="1"/>
  </r>
  <r>
    <x v="899"/>
    <x v="1"/>
    <x v="25"/>
    <x v="882"/>
    <x v="557"/>
    <x v="797"/>
    <x v="1"/>
    <x v="0"/>
    <x v="882"/>
    <x v="0"/>
    <x v="0"/>
    <x v="0"/>
    <x v="0"/>
    <x v="0"/>
    <x v="2"/>
    <x v="797"/>
    <x v="785"/>
    <x v="882"/>
    <x v="1"/>
    <x v="10"/>
    <x v="0"/>
    <x v="17"/>
    <x v="17"/>
    <x v="0"/>
    <x v="0"/>
    <x v="0"/>
    <x v="25"/>
    <x v="0"/>
    <x v="0"/>
    <x v="1"/>
    <x v="1"/>
  </r>
  <r>
    <x v="898"/>
    <x v="1"/>
    <x v="25"/>
    <x v="881"/>
    <x v="573"/>
    <x v="807"/>
    <x v="1"/>
    <x v="0"/>
    <x v="881"/>
    <x v="0"/>
    <x v="0"/>
    <x v="0"/>
    <x v="0"/>
    <x v="0"/>
    <x v="2"/>
    <x v="807"/>
    <x v="795"/>
    <x v="881"/>
    <x v="1"/>
    <x v="10"/>
    <x v="0"/>
    <x v="17"/>
    <x v="17"/>
    <x v="0"/>
    <x v="0"/>
    <x v="0"/>
    <x v="25"/>
    <x v="0"/>
    <x v="0"/>
    <x v="1"/>
    <x v="1"/>
  </r>
  <r>
    <x v="897"/>
    <x v="1"/>
    <x v="25"/>
    <x v="880"/>
    <x v="549"/>
    <x v="792"/>
    <x v="1"/>
    <x v="0"/>
    <x v="880"/>
    <x v="0"/>
    <x v="0"/>
    <x v="0"/>
    <x v="0"/>
    <x v="0"/>
    <x v="2"/>
    <x v="792"/>
    <x v="780"/>
    <x v="880"/>
    <x v="1"/>
    <x v="10"/>
    <x v="0"/>
    <x v="17"/>
    <x v="17"/>
    <x v="0"/>
    <x v="0"/>
    <x v="0"/>
    <x v="25"/>
    <x v="0"/>
    <x v="0"/>
    <x v="1"/>
    <x v="1"/>
  </r>
  <r>
    <x v="896"/>
    <x v="1"/>
    <x v="25"/>
    <x v="879"/>
    <x v="564"/>
    <x v="801"/>
    <x v="1"/>
    <x v="0"/>
    <x v="879"/>
    <x v="0"/>
    <x v="0"/>
    <x v="0"/>
    <x v="0"/>
    <x v="0"/>
    <x v="2"/>
    <x v="801"/>
    <x v="789"/>
    <x v="879"/>
    <x v="1"/>
    <x v="10"/>
    <x v="0"/>
    <x v="17"/>
    <x v="17"/>
    <x v="0"/>
    <x v="0"/>
    <x v="0"/>
    <x v="25"/>
    <x v="0"/>
    <x v="0"/>
    <x v="1"/>
    <x v="1"/>
  </r>
  <r>
    <x v="895"/>
    <x v="1"/>
    <x v="25"/>
    <x v="878"/>
    <x v="563"/>
    <x v="800"/>
    <x v="1"/>
    <x v="0"/>
    <x v="878"/>
    <x v="0"/>
    <x v="0"/>
    <x v="0"/>
    <x v="0"/>
    <x v="0"/>
    <x v="2"/>
    <x v="800"/>
    <x v="788"/>
    <x v="878"/>
    <x v="1"/>
    <x v="10"/>
    <x v="0"/>
    <x v="17"/>
    <x v="17"/>
    <x v="0"/>
    <x v="0"/>
    <x v="0"/>
    <x v="25"/>
    <x v="0"/>
    <x v="0"/>
    <x v="1"/>
    <x v="1"/>
  </r>
  <r>
    <x v="894"/>
    <x v="1"/>
    <x v="25"/>
    <x v="877"/>
    <x v="559"/>
    <x v="799"/>
    <x v="1"/>
    <x v="0"/>
    <x v="877"/>
    <x v="0"/>
    <x v="0"/>
    <x v="0"/>
    <x v="0"/>
    <x v="0"/>
    <x v="2"/>
    <x v="799"/>
    <x v="787"/>
    <x v="877"/>
    <x v="1"/>
    <x v="10"/>
    <x v="0"/>
    <x v="17"/>
    <x v="17"/>
    <x v="0"/>
    <x v="0"/>
    <x v="0"/>
    <x v="25"/>
    <x v="0"/>
    <x v="0"/>
    <x v="1"/>
    <x v="1"/>
  </r>
  <r>
    <x v="893"/>
    <x v="1"/>
    <x v="25"/>
    <x v="876"/>
    <x v="550"/>
    <x v="793"/>
    <x v="1"/>
    <x v="0"/>
    <x v="876"/>
    <x v="0"/>
    <x v="0"/>
    <x v="0"/>
    <x v="0"/>
    <x v="0"/>
    <x v="2"/>
    <x v="793"/>
    <x v="781"/>
    <x v="876"/>
    <x v="1"/>
    <x v="10"/>
    <x v="0"/>
    <x v="17"/>
    <x v="17"/>
    <x v="0"/>
    <x v="0"/>
    <x v="0"/>
    <x v="25"/>
    <x v="0"/>
    <x v="0"/>
    <x v="1"/>
    <x v="1"/>
  </r>
  <r>
    <x v="892"/>
    <x v="1"/>
    <x v="25"/>
    <x v="875"/>
    <x v="547"/>
    <x v="791"/>
    <x v="1"/>
    <x v="0"/>
    <x v="875"/>
    <x v="0"/>
    <x v="0"/>
    <x v="0"/>
    <x v="0"/>
    <x v="0"/>
    <x v="2"/>
    <x v="791"/>
    <x v="779"/>
    <x v="875"/>
    <x v="1"/>
    <x v="10"/>
    <x v="0"/>
    <x v="17"/>
    <x v="17"/>
    <x v="0"/>
    <x v="0"/>
    <x v="0"/>
    <x v="25"/>
    <x v="0"/>
    <x v="0"/>
    <x v="1"/>
    <x v="1"/>
  </r>
  <r>
    <x v="891"/>
    <x v="1"/>
    <x v="25"/>
    <x v="874"/>
    <x v="648"/>
    <x v="873"/>
    <x v="1"/>
    <x v="0"/>
    <x v="874"/>
    <x v="0"/>
    <x v="0"/>
    <x v="0"/>
    <x v="0"/>
    <x v="0"/>
    <x v="2"/>
    <x v="873"/>
    <x v="861"/>
    <x v="874"/>
    <x v="1"/>
    <x v="10"/>
    <x v="0"/>
    <x v="17"/>
    <x v="17"/>
    <x v="0"/>
    <x v="0"/>
    <x v="0"/>
    <x v="25"/>
    <x v="0"/>
    <x v="0"/>
    <x v="1"/>
    <x v="1"/>
  </r>
  <r>
    <x v="890"/>
    <x v="1"/>
    <x v="25"/>
    <x v="873"/>
    <x v="647"/>
    <x v="872"/>
    <x v="1"/>
    <x v="0"/>
    <x v="873"/>
    <x v="0"/>
    <x v="0"/>
    <x v="0"/>
    <x v="0"/>
    <x v="0"/>
    <x v="2"/>
    <x v="872"/>
    <x v="860"/>
    <x v="873"/>
    <x v="1"/>
    <x v="10"/>
    <x v="0"/>
    <x v="17"/>
    <x v="17"/>
    <x v="0"/>
    <x v="0"/>
    <x v="0"/>
    <x v="25"/>
    <x v="0"/>
    <x v="0"/>
    <x v="1"/>
    <x v="1"/>
  </r>
  <r>
    <x v="889"/>
    <x v="1"/>
    <x v="25"/>
    <x v="872"/>
    <x v="646"/>
    <x v="871"/>
    <x v="1"/>
    <x v="0"/>
    <x v="872"/>
    <x v="0"/>
    <x v="0"/>
    <x v="0"/>
    <x v="0"/>
    <x v="0"/>
    <x v="2"/>
    <x v="871"/>
    <x v="859"/>
    <x v="872"/>
    <x v="1"/>
    <x v="10"/>
    <x v="0"/>
    <x v="17"/>
    <x v="17"/>
    <x v="0"/>
    <x v="0"/>
    <x v="0"/>
    <x v="25"/>
    <x v="0"/>
    <x v="0"/>
    <x v="1"/>
    <x v="1"/>
  </r>
  <r>
    <x v="888"/>
    <x v="1"/>
    <x v="25"/>
    <x v="871"/>
    <x v="645"/>
    <x v="870"/>
    <x v="1"/>
    <x v="0"/>
    <x v="871"/>
    <x v="0"/>
    <x v="0"/>
    <x v="0"/>
    <x v="0"/>
    <x v="0"/>
    <x v="2"/>
    <x v="870"/>
    <x v="858"/>
    <x v="871"/>
    <x v="1"/>
    <x v="10"/>
    <x v="0"/>
    <x v="17"/>
    <x v="17"/>
    <x v="0"/>
    <x v="0"/>
    <x v="0"/>
    <x v="25"/>
    <x v="0"/>
    <x v="0"/>
    <x v="1"/>
    <x v="1"/>
  </r>
  <r>
    <x v="887"/>
    <x v="1"/>
    <x v="25"/>
    <x v="870"/>
    <x v="643"/>
    <x v="869"/>
    <x v="1"/>
    <x v="0"/>
    <x v="870"/>
    <x v="0"/>
    <x v="0"/>
    <x v="0"/>
    <x v="0"/>
    <x v="0"/>
    <x v="2"/>
    <x v="869"/>
    <x v="857"/>
    <x v="870"/>
    <x v="1"/>
    <x v="10"/>
    <x v="0"/>
    <x v="17"/>
    <x v="17"/>
    <x v="0"/>
    <x v="0"/>
    <x v="0"/>
    <x v="25"/>
    <x v="0"/>
    <x v="0"/>
    <x v="1"/>
    <x v="1"/>
  </r>
  <r>
    <x v="886"/>
    <x v="1"/>
    <x v="25"/>
    <x v="869"/>
    <x v="642"/>
    <x v="868"/>
    <x v="1"/>
    <x v="0"/>
    <x v="869"/>
    <x v="0"/>
    <x v="0"/>
    <x v="0"/>
    <x v="0"/>
    <x v="0"/>
    <x v="2"/>
    <x v="868"/>
    <x v="856"/>
    <x v="869"/>
    <x v="1"/>
    <x v="10"/>
    <x v="0"/>
    <x v="17"/>
    <x v="17"/>
    <x v="0"/>
    <x v="0"/>
    <x v="0"/>
    <x v="25"/>
    <x v="0"/>
    <x v="0"/>
    <x v="1"/>
    <x v="1"/>
  </r>
  <r>
    <x v="885"/>
    <x v="1"/>
    <x v="25"/>
    <x v="868"/>
    <x v="650"/>
    <x v="874"/>
    <x v="1"/>
    <x v="0"/>
    <x v="868"/>
    <x v="0"/>
    <x v="0"/>
    <x v="0"/>
    <x v="0"/>
    <x v="0"/>
    <x v="2"/>
    <x v="874"/>
    <x v="862"/>
    <x v="868"/>
    <x v="1"/>
    <x v="10"/>
    <x v="0"/>
    <x v="17"/>
    <x v="17"/>
    <x v="0"/>
    <x v="0"/>
    <x v="0"/>
    <x v="25"/>
    <x v="0"/>
    <x v="0"/>
    <x v="1"/>
    <x v="1"/>
  </r>
  <r>
    <x v="884"/>
    <x v="1"/>
    <x v="25"/>
    <x v="867"/>
    <x v="780"/>
    <x v="954"/>
    <x v="1"/>
    <x v="0"/>
    <x v="867"/>
    <x v="0"/>
    <x v="0"/>
    <x v="0"/>
    <x v="0"/>
    <x v="0"/>
    <x v="2"/>
    <x v="954"/>
    <x v="942"/>
    <x v="867"/>
    <x v="1"/>
    <x v="10"/>
    <x v="0"/>
    <x v="17"/>
    <x v="17"/>
    <x v="0"/>
    <x v="0"/>
    <x v="0"/>
    <x v="25"/>
    <x v="0"/>
    <x v="0"/>
    <x v="1"/>
    <x v="1"/>
  </r>
  <r>
    <x v="883"/>
    <x v="1"/>
    <x v="25"/>
    <x v="866"/>
    <x v="778"/>
    <x v="952"/>
    <x v="1"/>
    <x v="0"/>
    <x v="866"/>
    <x v="0"/>
    <x v="0"/>
    <x v="0"/>
    <x v="0"/>
    <x v="0"/>
    <x v="2"/>
    <x v="952"/>
    <x v="940"/>
    <x v="866"/>
    <x v="1"/>
    <x v="10"/>
    <x v="0"/>
    <x v="17"/>
    <x v="17"/>
    <x v="0"/>
    <x v="0"/>
    <x v="0"/>
    <x v="25"/>
    <x v="0"/>
    <x v="0"/>
    <x v="1"/>
    <x v="1"/>
  </r>
  <r>
    <x v="882"/>
    <x v="1"/>
    <x v="25"/>
    <x v="865"/>
    <x v="775"/>
    <x v="951"/>
    <x v="1"/>
    <x v="0"/>
    <x v="865"/>
    <x v="0"/>
    <x v="0"/>
    <x v="0"/>
    <x v="0"/>
    <x v="0"/>
    <x v="2"/>
    <x v="951"/>
    <x v="939"/>
    <x v="865"/>
    <x v="1"/>
    <x v="10"/>
    <x v="0"/>
    <x v="17"/>
    <x v="17"/>
    <x v="0"/>
    <x v="0"/>
    <x v="0"/>
    <x v="25"/>
    <x v="0"/>
    <x v="0"/>
    <x v="1"/>
    <x v="1"/>
  </r>
  <r>
    <x v="881"/>
    <x v="1"/>
    <x v="25"/>
    <x v="864"/>
    <x v="774"/>
    <x v="949"/>
    <x v="1"/>
    <x v="0"/>
    <x v="864"/>
    <x v="0"/>
    <x v="0"/>
    <x v="0"/>
    <x v="0"/>
    <x v="0"/>
    <x v="2"/>
    <x v="949"/>
    <x v="937"/>
    <x v="864"/>
    <x v="1"/>
    <x v="10"/>
    <x v="0"/>
    <x v="17"/>
    <x v="17"/>
    <x v="0"/>
    <x v="0"/>
    <x v="0"/>
    <x v="25"/>
    <x v="0"/>
    <x v="0"/>
    <x v="1"/>
    <x v="1"/>
  </r>
  <r>
    <x v="880"/>
    <x v="1"/>
    <x v="25"/>
    <x v="863"/>
    <x v="769"/>
    <x v="945"/>
    <x v="1"/>
    <x v="0"/>
    <x v="863"/>
    <x v="0"/>
    <x v="0"/>
    <x v="0"/>
    <x v="0"/>
    <x v="0"/>
    <x v="2"/>
    <x v="945"/>
    <x v="933"/>
    <x v="863"/>
    <x v="1"/>
    <x v="10"/>
    <x v="0"/>
    <x v="17"/>
    <x v="17"/>
    <x v="0"/>
    <x v="0"/>
    <x v="0"/>
    <x v="25"/>
    <x v="0"/>
    <x v="0"/>
    <x v="1"/>
    <x v="1"/>
  </r>
  <r>
    <x v="879"/>
    <x v="1"/>
    <x v="25"/>
    <x v="862"/>
    <x v="767"/>
    <x v="944"/>
    <x v="1"/>
    <x v="0"/>
    <x v="862"/>
    <x v="0"/>
    <x v="0"/>
    <x v="0"/>
    <x v="0"/>
    <x v="0"/>
    <x v="2"/>
    <x v="944"/>
    <x v="932"/>
    <x v="862"/>
    <x v="1"/>
    <x v="10"/>
    <x v="0"/>
    <x v="17"/>
    <x v="17"/>
    <x v="0"/>
    <x v="0"/>
    <x v="0"/>
    <x v="25"/>
    <x v="0"/>
    <x v="0"/>
    <x v="1"/>
    <x v="1"/>
  </r>
  <r>
    <x v="878"/>
    <x v="1"/>
    <x v="25"/>
    <x v="861"/>
    <x v="766"/>
    <x v="943"/>
    <x v="1"/>
    <x v="0"/>
    <x v="861"/>
    <x v="0"/>
    <x v="0"/>
    <x v="0"/>
    <x v="0"/>
    <x v="0"/>
    <x v="2"/>
    <x v="943"/>
    <x v="931"/>
    <x v="861"/>
    <x v="1"/>
    <x v="10"/>
    <x v="0"/>
    <x v="17"/>
    <x v="17"/>
    <x v="0"/>
    <x v="0"/>
    <x v="0"/>
    <x v="25"/>
    <x v="0"/>
    <x v="0"/>
    <x v="1"/>
    <x v="1"/>
  </r>
  <r>
    <x v="877"/>
    <x v="1"/>
    <x v="25"/>
    <x v="860"/>
    <x v="787"/>
    <x v="959"/>
    <x v="1"/>
    <x v="0"/>
    <x v="860"/>
    <x v="0"/>
    <x v="0"/>
    <x v="0"/>
    <x v="0"/>
    <x v="0"/>
    <x v="2"/>
    <x v="959"/>
    <x v="947"/>
    <x v="860"/>
    <x v="1"/>
    <x v="10"/>
    <x v="0"/>
    <x v="17"/>
    <x v="17"/>
    <x v="0"/>
    <x v="0"/>
    <x v="0"/>
    <x v="25"/>
    <x v="0"/>
    <x v="0"/>
    <x v="1"/>
    <x v="1"/>
  </r>
  <r>
    <x v="876"/>
    <x v="1"/>
    <x v="25"/>
    <x v="859"/>
    <x v="760"/>
    <x v="938"/>
    <x v="1"/>
    <x v="0"/>
    <x v="859"/>
    <x v="0"/>
    <x v="0"/>
    <x v="0"/>
    <x v="0"/>
    <x v="0"/>
    <x v="2"/>
    <x v="938"/>
    <x v="926"/>
    <x v="859"/>
    <x v="1"/>
    <x v="10"/>
    <x v="0"/>
    <x v="17"/>
    <x v="17"/>
    <x v="0"/>
    <x v="0"/>
    <x v="0"/>
    <x v="25"/>
    <x v="0"/>
    <x v="0"/>
    <x v="1"/>
    <x v="1"/>
  </r>
  <r>
    <x v="875"/>
    <x v="1"/>
    <x v="25"/>
    <x v="858"/>
    <x v="763"/>
    <x v="940"/>
    <x v="1"/>
    <x v="0"/>
    <x v="858"/>
    <x v="0"/>
    <x v="0"/>
    <x v="0"/>
    <x v="0"/>
    <x v="0"/>
    <x v="2"/>
    <x v="940"/>
    <x v="928"/>
    <x v="858"/>
    <x v="1"/>
    <x v="10"/>
    <x v="0"/>
    <x v="17"/>
    <x v="17"/>
    <x v="0"/>
    <x v="0"/>
    <x v="0"/>
    <x v="25"/>
    <x v="0"/>
    <x v="0"/>
    <x v="1"/>
    <x v="1"/>
  </r>
  <r>
    <x v="874"/>
    <x v="1"/>
    <x v="25"/>
    <x v="857"/>
    <x v="765"/>
    <x v="942"/>
    <x v="1"/>
    <x v="0"/>
    <x v="857"/>
    <x v="0"/>
    <x v="0"/>
    <x v="0"/>
    <x v="0"/>
    <x v="0"/>
    <x v="2"/>
    <x v="942"/>
    <x v="930"/>
    <x v="857"/>
    <x v="1"/>
    <x v="10"/>
    <x v="0"/>
    <x v="17"/>
    <x v="17"/>
    <x v="0"/>
    <x v="0"/>
    <x v="0"/>
    <x v="25"/>
    <x v="0"/>
    <x v="0"/>
    <x v="1"/>
    <x v="1"/>
  </r>
  <r>
    <x v="873"/>
    <x v="1"/>
    <x v="25"/>
    <x v="856"/>
    <x v="758"/>
    <x v="936"/>
    <x v="1"/>
    <x v="0"/>
    <x v="856"/>
    <x v="0"/>
    <x v="0"/>
    <x v="0"/>
    <x v="0"/>
    <x v="0"/>
    <x v="2"/>
    <x v="936"/>
    <x v="924"/>
    <x v="856"/>
    <x v="1"/>
    <x v="10"/>
    <x v="0"/>
    <x v="17"/>
    <x v="17"/>
    <x v="0"/>
    <x v="0"/>
    <x v="0"/>
    <x v="25"/>
    <x v="0"/>
    <x v="0"/>
    <x v="1"/>
    <x v="1"/>
  </r>
  <r>
    <x v="872"/>
    <x v="1"/>
    <x v="25"/>
    <x v="855"/>
    <x v="759"/>
    <x v="937"/>
    <x v="1"/>
    <x v="0"/>
    <x v="855"/>
    <x v="0"/>
    <x v="0"/>
    <x v="0"/>
    <x v="0"/>
    <x v="0"/>
    <x v="2"/>
    <x v="937"/>
    <x v="925"/>
    <x v="855"/>
    <x v="1"/>
    <x v="10"/>
    <x v="0"/>
    <x v="17"/>
    <x v="17"/>
    <x v="0"/>
    <x v="0"/>
    <x v="0"/>
    <x v="25"/>
    <x v="0"/>
    <x v="0"/>
    <x v="1"/>
    <x v="1"/>
  </r>
  <r>
    <x v="871"/>
    <x v="1"/>
    <x v="25"/>
    <x v="854"/>
    <x v="756"/>
    <x v="935"/>
    <x v="1"/>
    <x v="0"/>
    <x v="854"/>
    <x v="0"/>
    <x v="0"/>
    <x v="0"/>
    <x v="0"/>
    <x v="0"/>
    <x v="2"/>
    <x v="935"/>
    <x v="923"/>
    <x v="854"/>
    <x v="1"/>
    <x v="10"/>
    <x v="0"/>
    <x v="17"/>
    <x v="17"/>
    <x v="0"/>
    <x v="0"/>
    <x v="0"/>
    <x v="25"/>
    <x v="0"/>
    <x v="0"/>
    <x v="1"/>
    <x v="1"/>
  </r>
  <r>
    <x v="870"/>
    <x v="1"/>
    <x v="25"/>
    <x v="853"/>
    <x v="782"/>
    <x v="956"/>
    <x v="1"/>
    <x v="0"/>
    <x v="853"/>
    <x v="0"/>
    <x v="0"/>
    <x v="0"/>
    <x v="0"/>
    <x v="0"/>
    <x v="2"/>
    <x v="956"/>
    <x v="944"/>
    <x v="853"/>
    <x v="1"/>
    <x v="10"/>
    <x v="0"/>
    <x v="17"/>
    <x v="17"/>
    <x v="0"/>
    <x v="0"/>
    <x v="0"/>
    <x v="25"/>
    <x v="0"/>
    <x v="0"/>
    <x v="1"/>
    <x v="1"/>
  </r>
  <r>
    <x v="869"/>
    <x v="1"/>
    <x v="25"/>
    <x v="852"/>
    <x v="781"/>
    <x v="955"/>
    <x v="1"/>
    <x v="0"/>
    <x v="852"/>
    <x v="0"/>
    <x v="0"/>
    <x v="0"/>
    <x v="0"/>
    <x v="0"/>
    <x v="2"/>
    <x v="955"/>
    <x v="943"/>
    <x v="852"/>
    <x v="1"/>
    <x v="10"/>
    <x v="0"/>
    <x v="17"/>
    <x v="17"/>
    <x v="0"/>
    <x v="0"/>
    <x v="0"/>
    <x v="25"/>
    <x v="0"/>
    <x v="0"/>
    <x v="1"/>
    <x v="1"/>
  </r>
  <r>
    <x v="868"/>
    <x v="1"/>
    <x v="25"/>
    <x v="851"/>
    <x v="755"/>
    <x v="934"/>
    <x v="1"/>
    <x v="0"/>
    <x v="851"/>
    <x v="0"/>
    <x v="0"/>
    <x v="0"/>
    <x v="0"/>
    <x v="0"/>
    <x v="2"/>
    <x v="934"/>
    <x v="922"/>
    <x v="851"/>
    <x v="1"/>
    <x v="10"/>
    <x v="0"/>
    <x v="17"/>
    <x v="17"/>
    <x v="0"/>
    <x v="0"/>
    <x v="0"/>
    <x v="25"/>
    <x v="0"/>
    <x v="0"/>
    <x v="1"/>
    <x v="1"/>
  </r>
  <r>
    <x v="867"/>
    <x v="1"/>
    <x v="25"/>
    <x v="850"/>
    <x v="783"/>
    <x v="957"/>
    <x v="1"/>
    <x v="0"/>
    <x v="850"/>
    <x v="0"/>
    <x v="0"/>
    <x v="0"/>
    <x v="0"/>
    <x v="0"/>
    <x v="2"/>
    <x v="957"/>
    <x v="945"/>
    <x v="850"/>
    <x v="1"/>
    <x v="10"/>
    <x v="0"/>
    <x v="17"/>
    <x v="17"/>
    <x v="0"/>
    <x v="0"/>
    <x v="0"/>
    <x v="25"/>
    <x v="0"/>
    <x v="0"/>
    <x v="1"/>
    <x v="1"/>
  </r>
  <r>
    <x v="866"/>
    <x v="1"/>
    <x v="25"/>
    <x v="849"/>
    <x v="751"/>
    <x v="931"/>
    <x v="1"/>
    <x v="0"/>
    <x v="849"/>
    <x v="0"/>
    <x v="0"/>
    <x v="0"/>
    <x v="0"/>
    <x v="0"/>
    <x v="2"/>
    <x v="931"/>
    <x v="919"/>
    <x v="849"/>
    <x v="1"/>
    <x v="10"/>
    <x v="0"/>
    <x v="17"/>
    <x v="17"/>
    <x v="0"/>
    <x v="0"/>
    <x v="0"/>
    <x v="25"/>
    <x v="0"/>
    <x v="0"/>
    <x v="1"/>
    <x v="1"/>
  </r>
  <r>
    <x v="865"/>
    <x v="1"/>
    <x v="25"/>
    <x v="848"/>
    <x v="752"/>
    <x v="932"/>
    <x v="1"/>
    <x v="0"/>
    <x v="848"/>
    <x v="0"/>
    <x v="0"/>
    <x v="0"/>
    <x v="0"/>
    <x v="0"/>
    <x v="2"/>
    <x v="932"/>
    <x v="920"/>
    <x v="848"/>
    <x v="1"/>
    <x v="10"/>
    <x v="0"/>
    <x v="17"/>
    <x v="17"/>
    <x v="0"/>
    <x v="0"/>
    <x v="0"/>
    <x v="25"/>
    <x v="0"/>
    <x v="0"/>
    <x v="1"/>
    <x v="1"/>
  </r>
  <r>
    <x v="864"/>
    <x v="1"/>
    <x v="25"/>
    <x v="847"/>
    <x v="779"/>
    <x v="953"/>
    <x v="1"/>
    <x v="0"/>
    <x v="847"/>
    <x v="0"/>
    <x v="0"/>
    <x v="0"/>
    <x v="0"/>
    <x v="0"/>
    <x v="2"/>
    <x v="953"/>
    <x v="941"/>
    <x v="847"/>
    <x v="1"/>
    <x v="10"/>
    <x v="0"/>
    <x v="17"/>
    <x v="17"/>
    <x v="0"/>
    <x v="0"/>
    <x v="0"/>
    <x v="25"/>
    <x v="0"/>
    <x v="0"/>
    <x v="1"/>
    <x v="1"/>
  </r>
  <r>
    <x v="863"/>
    <x v="1"/>
    <x v="25"/>
    <x v="846"/>
    <x v="773"/>
    <x v="948"/>
    <x v="1"/>
    <x v="0"/>
    <x v="846"/>
    <x v="0"/>
    <x v="0"/>
    <x v="0"/>
    <x v="0"/>
    <x v="0"/>
    <x v="2"/>
    <x v="948"/>
    <x v="936"/>
    <x v="846"/>
    <x v="1"/>
    <x v="10"/>
    <x v="0"/>
    <x v="17"/>
    <x v="17"/>
    <x v="0"/>
    <x v="0"/>
    <x v="0"/>
    <x v="25"/>
    <x v="0"/>
    <x v="0"/>
    <x v="1"/>
    <x v="1"/>
  </r>
  <r>
    <x v="862"/>
    <x v="1"/>
    <x v="25"/>
    <x v="845"/>
    <x v="772"/>
    <x v="947"/>
    <x v="1"/>
    <x v="0"/>
    <x v="845"/>
    <x v="0"/>
    <x v="0"/>
    <x v="0"/>
    <x v="0"/>
    <x v="0"/>
    <x v="2"/>
    <x v="947"/>
    <x v="935"/>
    <x v="845"/>
    <x v="1"/>
    <x v="10"/>
    <x v="0"/>
    <x v="17"/>
    <x v="17"/>
    <x v="0"/>
    <x v="0"/>
    <x v="0"/>
    <x v="25"/>
    <x v="0"/>
    <x v="0"/>
    <x v="1"/>
    <x v="1"/>
  </r>
  <r>
    <x v="861"/>
    <x v="1"/>
    <x v="25"/>
    <x v="844"/>
    <x v="771"/>
    <x v="946"/>
    <x v="1"/>
    <x v="0"/>
    <x v="844"/>
    <x v="0"/>
    <x v="0"/>
    <x v="0"/>
    <x v="0"/>
    <x v="0"/>
    <x v="2"/>
    <x v="946"/>
    <x v="934"/>
    <x v="844"/>
    <x v="1"/>
    <x v="10"/>
    <x v="0"/>
    <x v="17"/>
    <x v="17"/>
    <x v="0"/>
    <x v="0"/>
    <x v="0"/>
    <x v="25"/>
    <x v="0"/>
    <x v="0"/>
    <x v="1"/>
    <x v="1"/>
  </r>
  <r>
    <x v="860"/>
    <x v="1"/>
    <x v="25"/>
    <x v="843"/>
    <x v="764"/>
    <x v="941"/>
    <x v="1"/>
    <x v="0"/>
    <x v="843"/>
    <x v="0"/>
    <x v="0"/>
    <x v="0"/>
    <x v="0"/>
    <x v="0"/>
    <x v="2"/>
    <x v="941"/>
    <x v="929"/>
    <x v="843"/>
    <x v="1"/>
    <x v="10"/>
    <x v="0"/>
    <x v="17"/>
    <x v="17"/>
    <x v="0"/>
    <x v="0"/>
    <x v="0"/>
    <x v="25"/>
    <x v="0"/>
    <x v="0"/>
    <x v="1"/>
    <x v="1"/>
  </r>
  <r>
    <x v="859"/>
    <x v="1"/>
    <x v="25"/>
    <x v="842"/>
    <x v="754"/>
    <x v="933"/>
    <x v="1"/>
    <x v="0"/>
    <x v="842"/>
    <x v="0"/>
    <x v="0"/>
    <x v="0"/>
    <x v="0"/>
    <x v="0"/>
    <x v="2"/>
    <x v="933"/>
    <x v="921"/>
    <x v="842"/>
    <x v="1"/>
    <x v="10"/>
    <x v="0"/>
    <x v="17"/>
    <x v="17"/>
    <x v="0"/>
    <x v="0"/>
    <x v="0"/>
    <x v="25"/>
    <x v="0"/>
    <x v="0"/>
    <x v="1"/>
    <x v="1"/>
  </r>
  <r>
    <x v="858"/>
    <x v="1"/>
    <x v="25"/>
    <x v="841"/>
    <x v="748"/>
    <x v="928"/>
    <x v="1"/>
    <x v="0"/>
    <x v="841"/>
    <x v="0"/>
    <x v="0"/>
    <x v="0"/>
    <x v="0"/>
    <x v="0"/>
    <x v="2"/>
    <x v="928"/>
    <x v="916"/>
    <x v="841"/>
    <x v="1"/>
    <x v="10"/>
    <x v="0"/>
    <x v="17"/>
    <x v="17"/>
    <x v="0"/>
    <x v="0"/>
    <x v="0"/>
    <x v="25"/>
    <x v="0"/>
    <x v="0"/>
    <x v="1"/>
    <x v="1"/>
  </r>
  <r>
    <x v="857"/>
    <x v="1"/>
    <x v="25"/>
    <x v="840"/>
    <x v="750"/>
    <x v="930"/>
    <x v="1"/>
    <x v="0"/>
    <x v="840"/>
    <x v="0"/>
    <x v="0"/>
    <x v="0"/>
    <x v="0"/>
    <x v="0"/>
    <x v="2"/>
    <x v="930"/>
    <x v="918"/>
    <x v="840"/>
    <x v="1"/>
    <x v="10"/>
    <x v="0"/>
    <x v="17"/>
    <x v="17"/>
    <x v="0"/>
    <x v="0"/>
    <x v="0"/>
    <x v="25"/>
    <x v="0"/>
    <x v="0"/>
    <x v="1"/>
    <x v="1"/>
  </r>
  <r>
    <x v="856"/>
    <x v="1"/>
    <x v="25"/>
    <x v="839"/>
    <x v="749"/>
    <x v="929"/>
    <x v="1"/>
    <x v="0"/>
    <x v="839"/>
    <x v="0"/>
    <x v="0"/>
    <x v="0"/>
    <x v="0"/>
    <x v="0"/>
    <x v="2"/>
    <x v="929"/>
    <x v="917"/>
    <x v="839"/>
    <x v="1"/>
    <x v="10"/>
    <x v="0"/>
    <x v="17"/>
    <x v="17"/>
    <x v="0"/>
    <x v="0"/>
    <x v="0"/>
    <x v="25"/>
    <x v="0"/>
    <x v="0"/>
    <x v="1"/>
    <x v="1"/>
  </r>
  <r>
    <x v="855"/>
    <x v="1"/>
    <x v="25"/>
    <x v="838"/>
    <x v="746"/>
    <x v="926"/>
    <x v="1"/>
    <x v="0"/>
    <x v="838"/>
    <x v="0"/>
    <x v="0"/>
    <x v="0"/>
    <x v="0"/>
    <x v="0"/>
    <x v="2"/>
    <x v="926"/>
    <x v="914"/>
    <x v="838"/>
    <x v="1"/>
    <x v="10"/>
    <x v="0"/>
    <x v="17"/>
    <x v="17"/>
    <x v="0"/>
    <x v="0"/>
    <x v="0"/>
    <x v="25"/>
    <x v="0"/>
    <x v="0"/>
    <x v="1"/>
    <x v="1"/>
  </r>
  <r>
    <x v="854"/>
    <x v="1"/>
    <x v="25"/>
    <x v="837"/>
    <x v="747"/>
    <x v="927"/>
    <x v="1"/>
    <x v="0"/>
    <x v="837"/>
    <x v="0"/>
    <x v="0"/>
    <x v="0"/>
    <x v="0"/>
    <x v="0"/>
    <x v="2"/>
    <x v="927"/>
    <x v="915"/>
    <x v="837"/>
    <x v="1"/>
    <x v="10"/>
    <x v="0"/>
    <x v="17"/>
    <x v="17"/>
    <x v="0"/>
    <x v="0"/>
    <x v="0"/>
    <x v="25"/>
    <x v="0"/>
    <x v="0"/>
    <x v="1"/>
    <x v="1"/>
  </r>
  <r>
    <x v="853"/>
    <x v="1"/>
    <x v="25"/>
    <x v="836"/>
    <x v="113"/>
    <x v="925"/>
    <x v="1"/>
    <x v="0"/>
    <x v="836"/>
    <x v="0"/>
    <x v="0"/>
    <x v="0"/>
    <x v="0"/>
    <x v="0"/>
    <x v="2"/>
    <x v="925"/>
    <x v="913"/>
    <x v="836"/>
    <x v="1"/>
    <x v="10"/>
    <x v="0"/>
    <x v="17"/>
    <x v="17"/>
    <x v="0"/>
    <x v="0"/>
    <x v="0"/>
    <x v="25"/>
    <x v="0"/>
    <x v="0"/>
    <x v="1"/>
    <x v="1"/>
  </r>
  <r>
    <x v="852"/>
    <x v="1"/>
    <x v="25"/>
    <x v="835"/>
    <x v="761"/>
    <x v="939"/>
    <x v="1"/>
    <x v="0"/>
    <x v="835"/>
    <x v="0"/>
    <x v="0"/>
    <x v="0"/>
    <x v="0"/>
    <x v="0"/>
    <x v="2"/>
    <x v="939"/>
    <x v="927"/>
    <x v="835"/>
    <x v="1"/>
    <x v="10"/>
    <x v="0"/>
    <x v="17"/>
    <x v="17"/>
    <x v="0"/>
    <x v="0"/>
    <x v="0"/>
    <x v="25"/>
    <x v="0"/>
    <x v="0"/>
    <x v="1"/>
    <x v="1"/>
  </r>
  <r>
    <x v="851"/>
    <x v="1"/>
    <x v="25"/>
    <x v="834"/>
    <x v="744"/>
    <x v="923"/>
    <x v="1"/>
    <x v="0"/>
    <x v="834"/>
    <x v="0"/>
    <x v="0"/>
    <x v="0"/>
    <x v="0"/>
    <x v="0"/>
    <x v="2"/>
    <x v="923"/>
    <x v="911"/>
    <x v="834"/>
    <x v="1"/>
    <x v="10"/>
    <x v="0"/>
    <x v="17"/>
    <x v="17"/>
    <x v="0"/>
    <x v="0"/>
    <x v="0"/>
    <x v="25"/>
    <x v="0"/>
    <x v="0"/>
    <x v="1"/>
    <x v="1"/>
  </r>
  <r>
    <x v="850"/>
    <x v="1"/>
    <x v="25"/>
    <x v="833"/>
    <x v="745"/>
    <x v="924"/>
    <x v="1"/>
    <x v="0"/>
    <x v="833"/>
    <x v="0"/>
    <x v="0"/>
    <x v="0"/>
    <x v="0"/>
    <x v="0"/>
    <x v="2"/>
    <x v="924"/>
    <x v="912"/>
    <x v="833"/>
    <x v="1"/>
    <x v="10"/>
    <x v="0"/>
    <x v="17"/>
    <x v="17"/>
    <x v="0"/>
    <x v="0"/>
    <x v="0"/>
    <x v="25"/>
    <x v="0"/>
    <x v="0"/>
    <x v="1"/>
    <x v="1"/>
  </r>
  <r>
    <x v="849"/>
    <x v="1"/>
    <x v="25"/>
    <x v="832"/>
    <x v="243"/>
    <x v="635"/>
    <x v="1"/>
    <x v="0"/>
    <x v="832"/>
    <x v="0"/>
    <x v="0"/>
    <x v="0"/>
    <x v="0"/>
    <x v="0"/>
    <x v="2"/>
    <x v="635"/>
    <x v="623"/>
    <x v="832"/>
    <x v="1"/>
    <x v="10"/>
    <x v="0"/>
    <x v="17"/>
    <x v="17"/>
    <x v="0"/>
    <x v="0"/>
    <x v="0"/>
    <x v="25"/>
    <x v="0"/>
    <x v="0"/>
    <x v="1"/>
    <x v="1"/>
  </r>
  <r>
    <x v="848"/>
    <x v="1"/>
    <x v="25"/>
    <x v="831"/>
    <x v="247"/>
    <x v="639"/>
    <x v="1"/>
    <x v="0"/>
    <x v="831"/>
    <x v="0"/>
    <x v="0"/>
    <x v="0"/>
    <x v="0"/>
    <x v="0"/>
    <x v="2"/>
    <x v="639"/>
    <x v="627"/>
    <x v="831"/>
    <x v="1"/>
    <x v="10"/>
    <x v="0"/>
    <x v="17"/>
    <x v="17"/>
    <x v="0"/>
    <x v="0"/>
    <x v="0"/>
    <x v="25"/>
    <x v="0"/>
    <x v="0"/>
    <x v="1"/>
    <x v="1"/>
  </r>
  <r>
    <x v="847"/>
    <x v="1"/>
    <x v="25"/>
    <x v="830"/>
    <x v="242"/>
    <x v="634"/>
    <x v="1"/>
    <x v="0"/>
    <x v="830"/>
    <x v="0"/>
    <x v="0"/>
    <x v="0"/>
    <x v="0"/>
    <x v="0"/>
    <x v="2"/>
    <x v="634"/>
    <x v="622"/>
    <x v="830"/>
    <x v="1"/>
    <x v="10"/>
    <x v="0"/>
    <x v="17"/>
    <x v="17"/>
    <x v="0"/>
    <x v="0"/>
    <x v="0"/>
    <x v="25"/>
    <x v="0"/>
    <x v="0"/>
    <x v="1"/>
    <x v="1"/>
  </r>
  <r>
    <x v="846"/>
    <x v="1"/>
    <x v="25"/>
    <x v="829"/>
    <x v="249"/>
    <x v="641"/>
    <x v="1"/>
    <x v="0"/>
    <x v="829"/>
    <x v="0"/>
    <x v="0"/>
    <x v="0"/>
    <x v="0"/>
    <x v="0"/>
    <x v="2"/>
    <x v="641"/>
    <x v="629"/>
    <x v="829"/>
    <x v="1"/>
    <x v="10"/>
    <x v="0"/>
    <x v="17"/>
    <x v="17"/>
    <x v="0"/>
    <x v="0"/>
    <x v="0"/>
    <x v="25"/>
    <x v="0"/>
    <x v="0"/>
    <x v="1"/>
    <x v="1"/>
  </r>
  <r>
    <x v="845"/>
    <x v="1"/>
    <x v="25"/>
    <x v="828"/>
    <x v="244"/>
    <x v="636"/>
    <x v="1"/>
    <x v="0"/>
    <x v="828"/>
    <x v="0"/>
    <x v="0"/>
    <x v="0"/>
    <x v="0"/>
    <x v="0"/>
    <x v="2"/>
    <x v="636"/>
    <x v="624"/>
    <x v="828"/>
    <x v="1"/>
    <x v="10"/>
    <x v="0"/>
    <x v="17"/>
    <x v="17"/>
    <x v="0"/>
    <x v="0"/>
    <x v="0"/>
    <x v="25"/>
    <x v="0"/>
    <x v="0"/>
    <x v="1"/>
    <x v="1"/>
  </r>
  <r>
    <x v="844"/>
    <x v="1"/>
    <x v="25"/>
    <x v="827"/>
    <x v="235"/>
    <x v="632"/>
    <x v="1"/>
    <x v="0"/>
    <x v="827"/>
    <x v="0"/>
    <x v="0"/>
    <x v="0"/>
    <x v="0"/>
    <x v="0"/>
    <x v="2"/>
    <x v="632"/>
    <x v="620"/>
    <x v="827"/>
    <x v="1"/>
    <x v="10"/>
    <x v="0"/>
    <x v="17"/>
    <x v="17"/>
    <x v="0"/>
    <x v="0"/>
    <x v="0"/>
    <x v="25"/>
    <x v="0"/>
    <x v="0"/>
    <x v="1"/>
    <x v="1"/>
  </r>
  <r>
    <x v="843"/>
    <x v="1"/>
    <x v="25"/>
    <x v="826"/>
    <x v="246"/>
    <x v="638"/>
    <x v="1"/>
    <x v="0"/>
    <x v="826"/>
    <x v="0"/>
    <x v="0"/>
    <x v="0"/>
    <x v="0"/>
    <x v="0"/>
    <x v="2"/>
    <x v="638"/>
    <x v="626"/>
    <x v="826"/>
    <x v="1"/>
    <x v="10"/>
    <x v="0"/>
    <x v="17"/>
    <x v="17"/>
    <x v="0"/>
    <x v="0"/>
    <x v="0"/>
    <x v="25"/>
    <x v="0"/>
    <x v="0"/>
    <x v="1"/>
    <x v="1"/>
  </r>
  <r>
    <x v="842"/>
    <x v="1"/>
    <x v="25"/>
    <x v="825"/>
    <x v="223"/>
    <x v="624"/>
    <x v="1"/>
    <x v="0"/>
    <x v="825"/>
    <x v="0"/>
    <x v="0"/>
    <x v="0"/>
    <x v="0"/>
    <x v="0"/>
    <x v="2"/>
    <x v="624"/>
    <x v="612"/>
    <x v="825"/>
    <x v="1"/>
    <x v="10"/>
    <x v="0"/>
    <x v="17"/>
    <x v="17"/>
    <x v="0"/>
    <x v="0"/>
    <x v="0"/>
    <x v="25"/>
    <x v="0"/>
    <x v="0"/>
    <x v="1"/>
    <x v="1"/>
  </r>
  <r>
    <x v="841"/>
    <x v="1"/>
    <x v="25"/>
    <x v="824"/>
    <x v="224"/>
    <x v="625"/>
    <x v="1"/>
    <x v="0"/>
    <x v="824"/>
    <x v="0"/>
    <x v="0"/>
    <x v="0"/>
    <x v="0"/>
    <x v="0"/>
    <x v="2"/>
    <x v="625"/>
    <x v="613"/>
    <x v="824"/>
    <x v="1"/>
    <x v="10"/>
    <x v="0"/>
    <x v="17"/>
    <x v="17"/>
    <x v="0"/>
    <x v="0"/>
    <x v="0"/>
    <x v="25"/>
    <x v="0"/>
    <x v="0"/>
    <x v="1"/>
    <x v="1"/>
  </r>
  <r>
    <x v="840"/>
    <x v="1"/>
    <x v="25"/>
    <x v="823"/>
    <x v="245"/>
    <x v="637"/>
    <x v="1"/>
    <x v="0"/>
    <x v="823"/>
    <x v="0"/>
    <x v="0"/>
    <x v="0"/>
    <x v="0"/>
    <x v="0"/>
    <x v="2"/>
    <x v="637"/>
    <x v="625"/>
    <x v="823"/>
    <x v="1"/>
    <x v="10"/>
    <x v="0"/>
    <x v="17"/>
    <x v="17"/>
    <x v="0"/>
    <x v="0"/>
    <x v="0"/>
    <x v="25"/>
    <x v="0"/>
    <x v="0"/>
    <x v="1"/>
    <x v="1"/>
  </r>
  <r>
    <x v="839"/>
    <x v="1"/>
    <x v="25"/>
    <x v="822"/>
    <x v="221"/>
    <x v="622"/>
    <x v="1"/>
    <x v="0"/>
    <x v="822"/>
    <x v="0"/>
    <x v="0"/>
    <x v="0"/>
    <x v="0"/>
    <x v="0"/>
    <x v="2"/>
    <x v="622"/>
    <x v="610"/>
    <x v="822"/>
    <x v="1"/>
    <x v="10"/>
    <x v="0"/>
    <x v="17"/>
    <x v="17"/>
    <x v="0"/>
    <x v="0"/>
    <x v="0"/>
    <x v="25"/>
    <x v="0"/>
    <x v="0"/>
    <x v="1"/>
    <x v="1"/>
  </r>
  <r>
    <x v="838"/>
    <x v="1"/>
    <x v="25"/>
    <x v="821"/>
    <x v="226"/>
    <x v="626"/>
    <x v="1"/>
    <x v="0"/>
    <x v="821"/>
    <x v="0"/>
    <x v="0"/>
    <x v="0"/>
    <x v="0"/>
    <x v="0"/>
    <x v="2"/>
    <x v="626"/>
    <x v="614"/>
    <x v="821"/>
    <x v="1"/>
    <x v="10"/>
    <x v="0"/>
    <x v="17"/>
    <x v="17"/>
    <x v="0"/>
    <x v="0"/>
    <x v="0"/>
    <x v="25"/>
    <x v="0"/>
    <x v="0"/>
    <x v="1"/>
    <x v="1"/>
  </r>
  <r>
    <x v="837"/>
    <x v="1"/>
    <x v="25"/>
    <x v="820"/>
    <x v="220"/>
    <x v="621"/>
    <x v="1"/>
    <x v="0"/>
    <x v="820"/>
    <x v="0"/>
    <x v="0"/>
    <x v="0"/>
    <x v="0"/>
    <x v="0"/>
    <x v="2"/>
    <x v="621"/>
    <x v="609"/>
    <x v="820"/>
    <x v="1"/>
    <x v="10"/>
    <x v="0"/>
    <x v="17"/>
    <x v="17"/>
    <x v="0"/>
    <x v="0"/>
    <x v="0"/>
    <x v="25"/>
    <x v="0"/>
    <x v="0"/>
    <x v="1"/>
    <x v="1"/>
  </r>
  <r>
    <x v="836"/>
    <x v="1"/>
    <x v="25"/>
    <x v="819"/>
    <x v="248"/>
    <x v="640"/>
    <x v="1"/>
    <x v="0"/>
    <x v="819"/>
    <x v="0"/>
    <x v="0"/>
    <x v="0"/>
    <x v="0"/>
    <x v="0"/>
    <x v="2"/>
    <x v="640"/>
    <x v="628"/>
    <x v="819"/>
    <x v="1"/>
    <x v="10"/>
    <x v="0"/>
    <x v="17"/>
    <x v="17"/>
    <x v="0"/>
    <x v="0"/>
    <x v="0"/>
    <x v="25"/>
    <x v="0"/>
    <x v="0"/>
    <x v="1"/>
    <x v="1"/>
  </r>
  <r>
    <x v="835"/>
    <x v="1"/>
    <x v="25"/>
    <x v="818"/>
    <x v="234"/>
    <x v="630"/>
    <x v="1"/>
    <x v="0"/>
    <x v="818"/>
    <x v="0"/>
    <x v="0"/>
    <x v="0"/>
    <x v="0"/>
    <x v="0"/>
    <x v="2"/>
    <x v="630"/>
    <x v="618"/>
    <x v="818"/>
    <x v="1"/>
    <x v="10"/>
    <x v="0"/>
    <x v="17"/>
    <x v="17"/>
    <x v="0"/>
    <x v="0"/>
    <x v="0"/>
    <x v="25"/>
    <x v="0"/>
    <x v="0"/>
    <x v="1"/>
    <x v="1"/>
  </r>
  <r>
    <x v="834"/>
    <x v="1"/>
    <x v="25"/>
    <x v="817"/>
    <x v="240"/>
    <x v="633"/>
    <x v="1"/>
    <x v="0"/>
    <x v="817"/>
    <x v="0"/>
    <x v="0"/>
    <x v="0"/>
    <x v="0"/>
    <x v="0"/>
    <x v="2"/>
    <x v="633"/>
    <x v="621"/>
    <x v="817"/>
    <x v="1"/>
    <x v="10"/>
    <x v="0"/>
    <x v="17"/>
    <x v="17"/>
    <x v="0"/>
    <x v="0"/>
    <x v="0"/>
    <x v="25"/>
    <x v="0"/>
    <x v="0"/>
    <x v="1"/>
    <x v="1"/>
  </r>
  <r>
    <x v="833"/>
    <x v="1"/>
    <x v="25"/>
    <x v="816"/>
    <x v="222"/>
    <x v="623"/>
    <x v="1"/>
    <x v="0"/>
    <x v="816"/>
    <x v="0"/>
    <x v="0"/>
    <x v="0"/>
    <x v="0"/>
    <x v="0"/>
    <x v="2"/>
    <x v="623"/>
    <x v="611"/>
    <x v="816"/>
    <x v="1"/>
    <x v="10"/>
    <x v="0"/>
    <x v="17"/>
    <x v="17"/>
    <x v="0"/>
    <x v="0"/>
    <x v="0"/>
    <x v="25"/>
    <x v="0"/>
    <x v="0"/>
    <x v="1"/>
    <x v="1"/>
  </r>
  <r>
    <x v="832"/>
    <x v="1"/>
    <x v="25"/>
    <x v="815"/>
    <x v="232"/>
    <x v="628"/>
    <x v="1"/>
    <x v="0"/>
    <x v="815"/>
    <x v="0"/>
    <x v="0"/>
    <x v="0"/>
    <x v="0"/>
    <x v="0"/>
    <x v="2"/>
    <x v="628"/>
    <x v="616"/>
    <x v="815"/>
    <x v="1"/>
    <x v="10"/>
    <x v="0"/>
    <x v="17"/>
    <x v="17"/>
    <x v="0"/>
    <x v="0"/>
    <x v="0"/>
    <x v="25"/>
    <x v="0"/>
    <x v="0"/>
    <x v="1"/>
    <x v="1"/>
  </r>
  <r>
    <x v="831"/>
    <x v="1"/>
    <x v="25"/>
    <x v="814"/>
    <x v="233"/>
    <x v="629"/>
    <x v="1"/>
    <x v="0"/>
    <x v="814"/>
    <x v="0"/>
    <x v="0"/>
    <x v="0"/>
    <x v="0"/>
    <x v="0"/>
    <x v="2"/>
    <x v="629"/>
    <x v="617"/>
    <x v="814"/>
    <x v="1"/>
    <x v="10"/>
    <x v="0"/>
    <x v="17"/>
    <x v="17"/>
    <x v="0"/>
    <x v="0"/>
    <x v="0"/>
    <x v="25"/>
    <x v="0"/>
    <x v="0"/>
    <x v="1"/>
    <x v="1"/>
  </r>
  <r>
    <x v="830"/>
    <x v="1"/>
    <x v="25"/>
    <x v="813"/>
    <x v="214"/>
    <x v="617"/>
    <x v="1"/>
    <x v="0"/>
    <x v="813"/>
    <x v="0"/>
    <x v="0"/>
    <x v="0"/>
    <x v="0"/>
    <x v="0"/>
    <x v="2"/>
    <x v="617"/>
    <x v="605"/>
    <x v="813"/>
    <x v="1"/>
    <x v="10"/>
    <x v="0"/>
    <x v="17"/>
    <x v="17"/>
    <x v="0"/>
    <x v="0"/>
    <x v="0"/>
    <x v="25"/>
    <x v="0"/>
    <x v="0"/>
    <x v="1"/>
    <x v="1"/>
  </r>
  <r>
    <x v="829"/>
    <x v="1"/>
    <x v="25"/>
    <x v="812"/>
    <x v="216"/>
    <x v="620"/>
    <x v="1"/>
    <x v="0"/>
    <x v="812"/>
    <x v="0"/>
    <x v="0"/>
    <x v="0"/>
    <x v="0"/>
    <x v="0"/>
    <x v="2"/>
    <x v="620"/>
    <x v="608"/>
    <x v="812"/>
    <x v="1"/>
    <x v="10"/>
    <x v="0"/>
    <x v="17"/>
    <x v="17"/>
    <x v="0"/>
    <x v="0"/>
    <x v="0"/>
    <x v="25"/>
    <x v="0"/>
    <x v="0"/>
    <x v="1"/>
    <x v="1"/>
  </r>
  <r>
    <x v="828"/>
    <x v="1"/>
    <x v="25"/>
    <x v="811"/>
    <x v="215"/>
    <x v="618"/>
    <x v="1"/>
    <x v="0"/>
    <x v="811"/>
    <x v="0"/>
    <x v="0"/>
    <x v="0"/>
    <x v="0"/>
    <x v="0"/>
    <x v="2"/>
    <x v="618"/>
    <x v="606"/>
    <x v="811"/>
    <x v="1"/>
    <x v="10"/>
    <x v="0"/>
    <x v="17"/>
    <x v="17"/>
    <x v="0"/>
    <x v="0"/>
    <x v="0"/>
    <x v="25"/>
    <x v="0"/>
    <x v="0"/>
    <x v="1"/>
    <x v="1"/>
  </r>
  <r>
    <x v="827"/>
    <x v="1"/>
    <x v="25"/>
    <x v="810"/>
    <x v="321"/>
    <x v="692"/>
    <x v="1"/>
    <x v="0"/>
    <x v="810"/>
    <x v="0"/>
    <x v="0"/>
    <x v="0"/>
    <x v="0"/>
    <x v="0"/>
    <x v="2"/>
    <x v="692"/>
    <x v="680"/>
    <x v="810"/>
    <x v="1"/>
    <x v="10"/>
    <x v="0"/>
    <x v="17"/>
    <x v="17"/>
    <x v="0"/>
    <x v="0"/>
    <x v="0"/>
    <x v="25"/>
    <x v="0"/>
    <x v="0"/>
    <x v="1"/>
    <x v="1"/>
  </r>
  <r>
    <x v="826"/>
    <x v="1"/>
    <x v="25"/>
    <x v="809"/>
    <x v="331"/>
    <x v="694"/>
    <x v="1"/>
    <x v="0"/>
    <x v="809"/>
    <x v="0"/>
    <x v="0"/>
    <x v="0"/>
    <x v="0"/>
    <x v="0"/>
    <x v="2"/>
    <x v="694"/>
    <x v="682"/>
    <x v="809"/>
    <x v="1"/>
    <x v="10"/>
    <x v="0"/>
    <x v="17"/>
    <x v="17"/>
    <x v="0"/>
    <x v="0"/>
    <x v="0"/>
    <x v="25"/>
    <x v="0"/>
    <x v="0"/>
    <x v="1"/>
    <x v="1"/>
  </r>
  <r>
    <x v="825"/>
    <x v="1"/>
    <x v="25"/>
    <x v="808"/>
    <x v="322"/>
    <x v="690"/>
    <x v="1"/>
    <x v="0"/>
    <x v="808"/>
    <x v="0"/>
    <x v="0"/>
    <x v="0"/>
    <x v="0"/>
    <x v="0"/>
    <x v="2"/>
    <x v="690"/>
    <x v="678"/>
    <x v="808"/>
    <x v="1"/>
    <x v="10"/>
    <x v="0"/>
    <x v="17"/>
    <x v="17"/>
    <x v="0"/>
    <x v="0"/>
    <x v="0"/>
    <x v="25"/>
    <x v="0"/>
    <x v="0"/>
    <x v="1"/>
    <x v="1"/>
  </r>
  <r>
    <x v="824"/>
    <x v="1"/>
    <x v="25"/>
    <x v="807"/>
    <x v="339"/>
    <x v="699"/>
    <x v="1"/>
    <x v="0"/>
    <x v="807"/>
    <x v="0"/>
    <x v="0"/>
    <x v="0"/>
    <x v="0"/>
    <x v="0"/>
    <x v="2"/>
    <x v="699"/>
    <x v="687"/>
    <x v="807"/>
    <x v="1"/>
    <x v="10"/>
    <x v="0"/>
    <x v="17"/>
    <x v="17"/>
    <x v="0"/>
    <x v="0"/>
    <x v="0"/>
    <x v="25"/>
    <x v="0"/>
    <x v="0"/>
    <x v="1"/>
    <x v="1"/>
  </r>
  <r>
    <x v="823"/>
    <x v="1"/>
    <x v="25"/>
    <x v="806"/>
    <x v="338"/>
    <x v="697"/>
    <x v="1"/>
    <x v="0"/>
    <x v="806"/>
    <x v="0"/>
    <x v="0"/>
    <x v="0"/>
    <x v="0"/>
    <x v="0"/>
    <x v="2"/>
    <x v="697"/>
    <x v="685"/>
    <x v="806"/>
    <x v="1"/>
    <x v="10"/>
    <x v="0"/>
    <x v="17"/>
    <x v="17"/>
    <x v="0"/>
    <x v="0"/>
    <x v="0"/>
    <x v="25"/>
    <x v="0"/>
    <x v="0"/>
    <x v="1"/>
    <x v="1"/>
  </r>
  <r>
    <x v="822"/>
    <x v="1"/>
    <x v="25"/>
    <x v="805"/>
    <x v="335"/>
    <x v="696"/>
    <x v="1"/>
    <x v="0"/>
    <x v="805"/>
    <x v="0"/>
    <x v="0"/>
    <x v="0"/>
    <x v="0"/>
    <x v="0"/>
    <x v="2"/>
    <x v="696"/>
    <x v="684"/>
    <x v="805"/>
    <x v="1"/>
    <x v="10"/>
    <x v="0"/>
    <x v="17"/>
    <x v="17"/>
    <x v="0"/>
    <x v="0"/>
    <x v="0"/>
    <x v="25"/>
    <x v="0"/>
    <x v="0"/>
    <x v="1"/>
    <x v="1"/>
  </r>
  <r>
    <x v="821"/>
    <x v="1"/>
    <x v="25"/>
    <x v="804"/>
    <x v="329"/>
    <x v="693"/>
    <x v="1"/>
    <x v="0"/>
    <x v="804"/>
    <x v="0"/>
    <x v="0"/>
    <x v="0"/>
    <x v="0"/>
    <x v="0"/>
    <x v="2"/>
    <x v="693"/>
    <x v="681"/>
    <x v="804"/>
    <x v="1"/>
    <x v="10"/>
    <x v="0"/>
    <x v="17"/>
    <x v="17"/>
    <x v="0"/>
    <x v="0"/>
    <x v="0"/>
    <x v="25"/>
    <x v="0"/>
    <x v="0"/>
    <x v="1"/>
    <x v="1"/>
  </r>
  <r>
    <x v="820"/>
    <x v="1"/>
    <x v="25"/>
    <x v="803"/>
    <x v="318"/>
    <x v="688"/>
    <x v="1"/>
    <x v="0"/>
    <x v="803"/>
    <x v="0"/>
    <x v="0"/>
    <x v="0"/>
    <x v="0"/>
    <x v="0"/>
    <x v="2"/>
    <x v="688"/>
    <x v="676"/>
    <x v="803"/>
    <x v="1"/>
    <x v="10"/>
    <x v="0"/>
    <x v="17"/>
    <x v="17"/>
    <x v="0"/>
    <x v="0"/>
    <x v="0"/>
    <x v="25"/>
    <x v="0"/>
    <x v="0"/>
    <x v="1"/>
    <x v="1"/>
  </r>
  <r>
    <x v="819"/>
    <x v="1"/>
    <x v="25"/>
    <x v="802"/>
    <x v="309"/>
    <x v="682"/>
    <x v="1"/>
    <x v="0"/>
    <x v="802"/>
    <x v="0"/>
    <x v="0"/>
    <x v="0"/>
    <x v="0"/>
    <x v="0"/>
    <x v="2"/>
    <x v="682"/>
    <x v="670"/>
    <x v="802"/>
    <x v="1"/>
    <x v="10"/>
    <x v="0"/>
    <x v="17"/>
    <x v="17"/>
    <x v="0"/>
    <x v="0"/>
    <x v="0"/>
    <x v="25"/>
    <x v="0"/>
    <x v="0"/>
    <x v="1"/>
    <x v="1"/>
  </r>
  <r>
    <x v="818"/>
    <x v="1"/>
    <x v="25"/>
    <x v="801"/>
    <x v="313"/>
    <x v="684"/>
    <x v="1"/>
    <x v="0"/>
    <x v="801"/>
    <x v="0"/>
    <x v="0"/>
    <x v="0"/>
    <x v="0"/>
    <x v="0"/>
    <x v="2"/>
    <x v="684"/>
    <x v="672"/>
    <x v="801"/>
    <x v="1"/>
    <x v="10"/>
    <x v="0"/>
    <x v="17"/>
    <x v="17"/>
    <x v="0"/>
    <x v="0"/>
    <x v="0"/>
    <x v="25"/>
    <x v="0"/>
    <x v="0"/>
    <x v="1"/>
    <x v="1"/>
  </r>
  <r>
    <x v="817"/>
    <x v="1"/>
    <x v="25"/>
    <x v="800"/>
    <x v="333"/>
    <x v="695"/>
    <x v="1"/>
    <x v="0"/>
    <x v="800"/>
    <x v="0"/>
    <x v="0"/>
    <x v="0"/>
    <x v="0"/>
    <x v="0"/>
    <x v="2"/>
    <x v="695"/>
    <x v="683"/>
    <x v="800"/>
    <x v="1"/>
    <x v="10"/>
    <x v="0"/>
    <x v="17"/>
    <x v="17"/>
    <x v="0"/>
    <x v="0"/>
    <x v="0"/>
    <x v="25"/>
    <x v="0"/>
    <x v="0"/>
    <x v="1"/>
    <x v="1"/>
  </r>
  <r>
    <x v="816"/>
    <x v="1"/>
    <x v="25"/>
    <x v="799"/>
    <x v="316"/>
    <x v="687"/>
    <x v="1"/>
    <x v="0"/>
    <x v="799"/>
    <x v="0"/>
    <x v="0"/>
    <x v="0"/>
    <x v="0"/>
    <x v="0"/>
    <x v="2"/>
    <x v="687"/>
    <x v="675"/>
    <x v="799"/>
    <x v="1"/>
    <x v="10"/>
    <x v="0"/>
    <x v="17"/>
    <x v="17"/>
    <x v="0"/>
    <x v="0"/>
    <x v="0"/>
    <x v="25"/>
    <x v="0"/>
    <x v="0"/>
    <x v="1"/>
    <x v="1"/>
  </r>
  <r>
    <x v="815"/>
    <x v="1"/>
    <x v="25"/>
    <x v="798"/>
    <x v="315"/>
    <x v="686"/>
    <x v="1"/>
    <x v="0"/>
    <x v="798"/>
    <x v="0"/>
    <x v="0"/>
    <x v="0"/>
    <x v="0"/>
    <x v="0"/>
    <x v="2"/>
    <x v="686"/>
    <x v="674"/>
    <x v="798"/>
    <x v="1"/>
    <x v="10"/>
    <x v="0"/>
    <x v="17"/>
    <x v="17"/>
    <x v="0"/>
    <x v="0"/>
    <x v="0"/>
    <x v="25"/>
    <x v="0"/>
    <x v="0"/>
    <x v="1"/>
    <x v="1"/>
  </r>
  <r>
    <x v="814"/>
    <x v="1"/>
    <x v="25"/>
    <x v="797"/>
    <x v="307"/>
    <x v="680"/>
    <x v="1"/>
    <x v="0"/>
    <x v="797"/>
    <x v="0"/>
    <x v="0"/>
    <x v="0"/>
    <x v="0"/>
    <x v="0"/>
    <x v="2"/>
    <x v="680"/>
    <x v="668"/>
    <x v="797"/>
    <x v="1"/>
    <x v="10"/>
    <x v="0"/>
    <x v="17"/>
    <x v="17"/>
    <x v="0"/>
    <x v="0"/>
    <x v="0"/>
    <x v="25"/>
    <x v="0"/>
    <x v="0"/>
    <x v="1"/>
    <x v="1"/>
  </r>
  <r>
    <x v="813"/>
    <x v="1"/>
    <x v="25"/>
    <x v="796"/>
    <x v="314"/>
    <x v="685"/>
    <x v="1"/>
    <x v="0"/>
    <x v="796"/>
    <x v="0"/>
    <x v="0"/>
    <x v="0"/>
    <x v="0"/>
    <x v="0"/>
    <x v="2"/>
    <x v="685"/>
    <x v="673"/>
    <x v="796"/>
    <x v="1"/>
    <x v="10"/>
    <x v="0"/>
    <x v="17"/>
    <x v="17"/>
    <x v="0"/>
    <x v="0"/>
    <x v="0"/>
    <x v="25"/>
    <x v="0"/>
    <x v="0"/>
    <x v="1"/>
    <x v="1"/>
  </r>
  <r>
    <x v="812"/>
    <x v="1"/>
    <x v="25"/>
    <x v="795"/>
    <x v="311"/>
    <x v="683"/>
    <x v="1"/>
    <x v="0"/>
    <x v="795"/>
    <x v="0"/>
    <x v="0"/>
    <x v="0"/>
    <x v="0"/>
    <x v="0"/>
    <x v="2"/>
    <x v="683"/>
    <x v="671"/>
    <x v="795"/>
    <x v="1"/>
    <x v="10"/>
    <x v="0"/>
    <x v="17"/>
    <x v="17"/>
    <x v="0"/>
    <x v="0"/>
    <x v="0"/>
    <x v="25"/>
    <x v="0"/>
    <x v="0"/>
    <x v="1"/>
    <x v="1"/>
  </r>
  <r>
    <x v="811"/>
    <x v="1"/>
    <x v="25"/>
    <x v="794"/>
    <x v="308"/>
    <x v="681"/>
    <x v="1"/>
    <x v="0"/>
    <x v="794"/>
    <x v="0"/>
    <x v="0"/>
    <x v="0"/>
    <x v="0"/>
    <x v="0"/>
    <x v="2"/>
    <x v="681"/>
    <x v="669"/>
    <x v="794"/>
    <x v="1"/>
    <x v="10"/>
    <x v="0"/>
    <x v="17"/>
    <x v="17"/>
    <x v="0"/>
    <x v="0"/>
    <x v="0"/>
    <x v="25"/>
    <x v="0"/>
    <x v="0"/>
    <x v="1"/>
    <x v="1"/>
  </r>
  <r>
    <x v="810"/>
    <x v="1"/>
    <x v="25"/>
    <x v="793"/>
    <x v="306"/>
    <x v="679"/>
    <x v="1"/>
    <x v="0"/>
    <x v="793"/>
    <x v="0"/>
    <x v="0"/>
    <x v="0"/>
    <x v="0"/>
    <x v="0"/>
    <x v="2"/>
    <x v="679"/>
    <x v="667"/>
    <x v="793"/>
    <x v="1"/>
    <x v="10"/>
    <x v="0"/>
    <x v="17"/>
    <x v="17"/>
    <x v="0"/>
    <x v="0"/>
    <x v="0"/>
    <x v="25"/>
    <x v="0"/>
    <x v="0"/>
    <x v="1"/>
    <x v="1"/>
  </r>
  <r>
    <x v="809"/>
    <x v="1"/>
    <x v="25"/>
    <x v="792"/>
    <x v="672"/>
    <x v="1048"/>
    <x v="1"/>
    <x v="0"/>
    <x v="792"/>
    <x v="0"/>
    <x v="0"/>
    <x v="0"/>
    <x v="0"/>
    <x v="0"/>
    <x v="2"/>
    <x v="1048"/>
    <x v="1036"/>
    <x v="792"/>
    <x v="1"/>
    <x v="10"/>
    <x v="0"/>
    <x v="17"/>
    <x v="17"/>
    <x v="0"/>
    <x v="0"/>
    <x v="0"/>
    <x v="25"/>
    <x v="0"/>
    <x v="0"/>
    <x v="1"/>
    <x v="1"/>
  </r>
  <r>
    <x v="808"/>
    <x v="1"/>
    <x v="25"/>
    <x v="791"/>
    <x v="664"/>
    <x v="561"/>
    <x v="1"/>
    <x v="0"/>
    <x v="791"/>
    <x v="0"/>
    <x v="0"/>
    <x v="0"/>
    <x v="0"/>
    <x v="0"/>
    <x v="2"/>
    <x v="561"/>
    <x v="549"/>
    <x v="791"/>
    <x v="1"/>
    <x v="10"/>
    <x v="0"/>
    <x v="17"/>
    <x v="17"/>
    <x v="0"/>
    <x v="0"/>
    <x v="0"/>
    <x v="25"/>
    <x v="0"/>
    <x v="0"/>
    <x v="1"/>
    <x v="1"/>
  </r>
  <r>
    <x v="807"/>
    <x v="1"/>
    <x v="25"/>
    <x v="790"/>
    <x v="663"/>
    <x v="560"/>
    <x v="1"/>
    <x v="0"/>
    <x v="790"/>
    <x v="0"/>
    <x v="0"/>
    <x v="0"/>
    <x v="0"/>
    <x v="0"/>
    <x v="2"/>
    <x v="560"/>
    <x v="548"/>
    <x v="790"/>
    <x v="1"/>
    <x v="10"/>
    <x v="0"/>
    <x v="17"/>
    <x v="17"/>
    <x v="0"/>
    <x v="0"/>
    <x v="0"/>
    <x v="25"/>
    <x v="0"/>
    <x v="0"/>
    <x v="1"/>
    <x v="1"/>
  </r>
  <r>
    <x v="806"/>
    <x v="1"/>
    <x v="25"/>
    <x v="789"/>
    <x v="662"/>
    <x v="559"/>
    <x v="1"/>
    <x v="0"/>
    <x v="789"/>
    <x v="0"/>
    <x v="0"/>
    <x v="0"/>
    <x v="0"/>
    <x v="0"/>
    <x v="2"/>
    <x v="559"/>
    <x v="547"/>
    <x v="789"/>
    <x v="1"/>
    <x v="10"/>
    <x v="0"/>
    <x v="17"/>
    <x v="17"/>
    <x v="0"/>
    <x v="0"/>
    <x v="0"/>
    <x v="25"/>
    <x v="0"/>
    <x v="0"/>
    <x v="1"/>
    <x v="1"/>
  </r>
  <r>
    <x v="805"/>
    <x v="1"/>
    <x v="25"/>
    <x v="788"/>
    <x v="667"/>
    <x v="789"/>
    <x v="1"/>
    <x v="0"/>
    <x v="788"/>
    <x v="0"/>
    <x v="0"/>
    <x v="0"/>
    <x v="0"/>
    <x v="0"/>
    <x v="2"/>
    <x v="789"/>
    <x v="777"/>
    <x v="788"/>
    <x v="1"/>
    <x v="10"/>
    <x v="0"/>
    <x v="17"/>
    <x v="17"/>
    <x v="0"/>
    <x v="0"/>
    <x v="0"/>
    <x v="25"/>
    <x v="0"/>
    <x v="0"/>
    <x v="1"/>
    <x v="1"/>
  </r>
  <r>
    <x v="804"/>
    <x v="1"/>
    <x v="25"/>
    <x v="787"/>
    <x v="671"/>
    <x v="882"/>
    <x v="1"/>
    <x v="0"/>
    <x v="787"/>
    <x v="0"/>
    <x v="0"/>
    <x v="0"/>
    <x v="0"/>
    <x v="0"/>
    <x v="2"/>
    <x v="882"/>
    <x v="870"/>
    <x v="787"/>
    <x v="1"/>
    <x v="10"/>
    <x v="0"/>
    <x v="17"/>
    <x v="17"/>
    <x v="0"/>
    <x v="0"/>
    <x v="0"/>
    <x v="25"/>
    <x v="0"/>
    <x v="0"/>
    <x v="1"/>
    <x v="1"/>
  </r>
  <r>
    <x v="803"/>
    <x v="1"/>
    <x v="25"/>
    <x v="786"/>
    <x v="669"/>
    <x v="881"/>
    <x v="1"/>
    <x v="0"/>
    <x v="786"/>
    <x v="0"/>
    <x v="0"/>
    <x v="0"/>
    <x v="0"/>
    <x v="0"/>
    <x v="2"/>
    <x v="881"/>
    <x v="869"/>
    <x v="786"/>
    <x v="1"/>
    <x v="10"/>
    <x v="0"/>
    <x v="17"/>
    <x v="17"/>
    <x v="0"/>
    <x v="0"/>
    <x v="0"/>
    <x v="25"/>
    <x v="0"/>
    <x v="0"/>
    <x v="1"/>
    <x v="1"/>
  </r>
  <r>
    <x v="802"/>
    <x v="1"/>
    <x v="25"/>
    <x v="785"/>
    <x v="668"/>
    <x v="880"/>
    <x v="1"/>
    <x v="0"/>
    <x v="785"/>
    <x v="0"/>
    <x v="0"/>
    <x v="0"/>
    <x v="0"/>
    <x v="0"/>
    <x v="2"/>
    <x v="880"/>
    <x v="868"/>
    <x v="785"/>
    <x v="1"/>
    <x v="10"/>
    <x v="0"/>
    <x v="17"/>
    <x v="17"/>
    <x v="0"/>
    <x v="0"/>
    <x v="0"/>
    <x v="25"/>
    <x v="0"/>
    <x v="0"/>
    <x v="1"/>
    <x v="1"/>
  </r>
  <r>
    <x v="801"/>
    <x v="1"/>
    <x v="25"/>
    <x v="784"/>
    <x v="673"/>
    <x v="1049"/>
    <x v="1"/>
    <x v="0"/>
    <x v="784"/>
    <x v="0"/>
    <x v="0"/>
    <x v="0"/>
    <x v="0"/>
    <x v="0"/>
    <x v="2"/>
    <x v="1049"/>
    <x v="1037"/>
    <x v="784"/>
    <x v="1"/>
    <x v="10"/>
    <x v="0"/>
    <x v="17"/>
    <x v="17"/>
    <x v="0"/>
    <x v="0"/>
    <x v="0"/>
    <x v="25"/>
    <x v="0"/>
    <x v="0"/>
    <x v="1"/>
    <x v="1"/>
  </r>
  <r>
    <x v="800"/>
    <x v="1"/>
    <x v="25"/>
    <x v="783"/>
    <x v="655"/>
    <x v="479"/>
    <x v="1"/>
    <x v="0"/>
    <x v="783"/>
    <x v="0"/>
    <x v="0"/>
    <x v="0"/>
    <x v="0"/>
    <x v="0"/>
    <x v="2"/>
    <x v="479"/>
    <x v="467"/>
    <x v="783"/>
    <x v="1"/>
    <x v="10"/>
    <x v="0"/>
    <x v="17"/>
    <x v="17"/>
    <x v="0"/>
    <x v="0"/>
    <x v="0"/>
    <x v="25"/>
    <x v="0"/>
    <x v="0"/>
    <x v="1"/>
    <x v="1"/>
  </r>
  <r>
    <x v="799"/>
    <x v="1"/>
    <x v="25"/>
    <x v="782"/>
    <x v="401"/>
    <x v="727"/>
    <x v="1"/>
    <x v="0"/>
    <x v="782"/>
    <x v="0"/>
    <x v="0"/>
    <x v="0"/>
    <x v="0"/>
    <x v="0"/>
    <x v="2"/>
    <x v="727"/>
    <x v="715"/>
    <x v="782"/>
    <x v="1"/>
    <x v="10"/>
    <x v="0"/>
    <x v="17"/>
    <x v="17"/>
    <x v="0"/>
    <x v="0"/>
    <x v="0"/>
    <x v="25"/>
    <x v="0"/>
    <x v="0"/>
    <x v="1"/>
    <x v="1"/>
  </r>
  <r>
    <x v="798"/>
    <x v="1"/>
    <x v="25"/>
    <x v="781"/>
    <x v="374"/>
    <x v="729"/>
    <x v="1"/>
    <x v="0"/>
    <x v="781"/>
    <x v="0"/>
    <x v="0"/>
    <x v="0"/>
    <x v="0"/>
    <x v="0"/>
    <x v="2"/>
    <x v="729"/>
    <x v="717"/>
    <x v="781"/>
    <x v="1"/>
    <x v="10"/>
    <x v="0"/>
    <x v="17"/>
    <x v="17"/>
    <x v="0"/>
    <x v="0"/>
    <x v="0"/>
    <x v="25"/>
    <x v="0"/>
    <x v="0"/>
    <x v="1"/>
    <x v="1"/>
  </r>
  <r>
    <x v="797"/>
    <x v="1"/>
    <x v="25"/>
    <x v="780"/>
    <x v="369"/>
    <x v="723"/>
    <x v="1"/>
    <x v="0"/>
    <x v="780"/>
    <x v="0"/>
    <x v="0"/>
    <x v="0"/>
    <x v="0"/>
    <x v="0"/>
    <x v="2"/>
    <x v="723"/>
    <x v="711"/>
    <x v="780"/>
    <x v="1"/>
    <x v="10"/>
    <x v="0"/>
    <x v="17"/>
    <x v="17"/>
    <x v="0"/>
    <x v="0"/>
    <x v="0"/>
    <x v="25"/>
    <x v="0"/>
    <x v="0"/>
    <x v="1"/>
    <x v="1"/>
  </r>
  <r>
    <x v="796"/>
    <x v="1"/>
    <x v="25"/>
    <x v="779"/>
    <x v="357"/>
    <x v="714"/>
    <x v="1"/>
    <x v="0"/>
    <x v="779"/>
    <x v="0"/>
    <x v="0"/>
    <x v="0"/>
    <x v="0"/>
    <x v="0"/>
    <x v="2"/>
    <x v="714"/>
    <x v="702"/>
    <x v="779"/>
    <x v="1"/>
    <x v="10"/>
    <x v="0"/>
    <x v="17"/>
    <x v="17"/>
    <x v="0"/>
    <x v="0"/>
    <x v="0"/>
    <x v="25"/>
    <x v="0"/>
    <x v="0"/>
    <x v="1"/>
    <x v="1"/>
  </r>
  <r>
    <x v="795"/>
    <x v="1"/>
    <x v="25"/>
    <x v="778"/>
    <x v="354"/>
    <x v="711"/>
    <x v="1"/>
    <x v="0"/>
    <x v="778"/>
    <x v="0"/>
    <x v="0"/>
    <x v="0"/>
    <x v="0"/>
    <x v="0"/>
    <x v="2"/>
    <x v="711"/>
    <x v="699"/>
    <x v="778"/>
    <x v="1"/>
    <x v="10"/>
    <x v="0"/>
    <x v="17"/>
    <x v="17"/>
    <x v="0"/>
    <x v="0"/>
    <x v="0"/>
    <x v="25"/>
    <x v="0"/>
    <x v="0"/>
    <x v="1"/>
    <x v="1"/>
  </r>
  <r>
    <x v="794"/>
    <x v="1"/>
    <x v="25"/>
    <x v="777"/>
    <x v="350"/>
    <x v="707"/>
    <x v="1"/>
    <x v="0"/>
    <x v="777"/>
    <x v="0"/>
    <x v="0"/>
    <x v="0"/>
    <x v="0"/>
    <x v="0"/>
    <x v="2"/>
    <x v="707"/>
    <x v="695"/>
    <x v="777"/>
    <x v="1"/>
    <x v="10"/>
    <x v="0"/>
    <x v="17"/>
    <x v="17"/>
    <x v="0"/>
    <x v="0"/>
    <x v="0"/>
    <x v="25"/>
    <x v="0"/>
    <x v="0"/>
    <x v="1"/>
    <x v="1"/>
  </r>
  <r>
    <x v="793"/>
    <x v="1"/>
    <x v="25"/>
    <x v="776"/>
    <x v="348"/>
    <x v="705"/>
    <x v="1"/>
    <x v="0"/>
    <x v="776"/>
    <x v="0"/>
    <x v="0"/>
    <x v="0"/>
    <x v="0"/>
    <x v="0"/>
    <x v="2"/>
    <x v="705"/>
    <x v="693"/>
    <x v="776"/>
    <x v="1"/>
    <x v="10"/>
    <x v="0"/>
    <x v="17"/>
    <x v="17"/>
    <x v="0"/>
    <x v="0"/>
    <x v="0"/>
    <x v="25"/>
    <x v="0"/>
    <x v="0"/>
    <x v="1"/>
    <x v="1"/>
  </r>
  <r>
    <x v="792"/>
    <x v="1"/>
    <x v="25"/>
    <x v="775"/>
    <x v="346"/>
    <x v="703"/>
    <x v="1"/>
    <x v="0"/>
    <x v="775"/>
    <x v="0"/>
    <x v="0"/>
    <x v="0"/>
    <x v="0"/>
    <x v="0"/>
    <x v="2"/>
    <x v="703"/>
    <x v="691"/>
    <x v="775"/>
    <x v="1"/>
    <x v="10"/>
    <x v="0"/>
    <x v="17"/>
    <x v="17"/>
    <x v="0"/>
    <x v="0"/>
    <x v="0"/>
    <x v="25"/>
    <x v="0"/>
    <x v="0"/>
    <x v="1"/>
    <x v="1"/>
  </r>
  <r>
    <x v="791"/>
    <x v="1"/>
    <x v="25"/>
    <x v="774"/>
    <x v="344"/>
    <x v="701"/>
    <x v="1"/>
    <x v="0"/>
    <x v="774"/>
    <x v="0"/>
    <x v="0"/>
    <x v="0"/>
    <x v="0"/>
    <x v="0"/>
    <x v="2"/>
    <x v="701"/>
    <x v="689"/>
    <x v="774"/>
    <x v="1"/>
    <x v="10"/>
    <x v="0"/>
    <x v="17"/>
    <x v="17"/>
    <x v="0"/>
    <x v="0"/>
    <x v="0"/>
    <x v="25"/>
    <x v="0"/>
    <x v="0"/>
    <x v="1"/>
    <x v="1"/>
  </r>
  <r>
    <x v="790"/>
    <x v="1"/>
    <x v="25"/>
    <x v="773"/>
    <x v="343"/>
    <x v="700"/>
    <x v="1"/>
    <x v="0"/>
    <x v="773"/>
    <x v="0"/>
    <x v="0"/>
    <x v="0"/>
    <x v="0"/>
    <x v="0"/>
    <x v="2"/>
    <x v="700"/>
    <x v="688"/>
    <x v="773"/>
    <x v="1"/>
    <x v="10"/>
    <x v="0"/>
    <x v="17"/>
    <x v="17"/>
    <x v="0"/>
    <x v="0"/>
    <x v="0"/>
    <x v="25"/>
    <x v="0"/>
    <x v="0"/>
    <x v="1"/>
    <x v="1"/>
  </r>
  <r>
    <x v="789"/>
    <x v="1"/>
    <x v="25"/>
    <x v="772"/>
    <x v="388"/>
    <x v="738"/>
    <x v="1"/>
    <x v="0"/>
    <x v="772"/>
    <x v="0"/>
    <x v="0"/>
    <x v="0"/>
    <x v="0"/>
    <x v="0"/>
    <x v="2"/>
    <x v="738"/>
    <x v="726"/>
    <x v="772"/>
    <x v="1"/>
    <x v="10"/>
    <x v="0"/>
    <x v="17"/>
    <x v="17"/>
    <x v="0"/>
    <x v="0"/>
    <x v="0"/>
    <x v="25"/>
    <x v="0"/>
    <x v="0"/>
    <x v="1"/>
    <x v="1"/>
  </r>
  <r>
    <x v="788"/>
    <x v="1"/>
    <x v="25"/>
    <x v="771"/>
    <x v="384"/>
    <x v="737"/>
    <x v="1"/>
    <x v="0"/>
    <x v="771"/>
    <x v="0"/>
    <x v="0"/>
    <x v="0"/>
    <x v="0"/>
    <x v="0"/>
    <x v="2"/>
    <x v="737"/>
    <x v="725"/>
    <x v="771"/>
    <x v="1"/>
    <x v="10"/>
    <x v="0"/>
    <x v="17"/>
    <x v="17"/>
    <x v="0"/>
    <x v="0"/>
    <x v="0"/>
    <x v="25"/>
    <x v="0"/>
    <x v="0"/>
    <x v="1"/>
    <x v="1"/>
  </r>
  <r>
    <x v="787"/>
    <x v="1"/>
    <x v="25"/>
    <x v="770"/>
    <x v="383"/>
    <x v="735"/>
    <x v="1"/>
    <x v="0"/>
    <x v="770"/>
    <x v="0"/>
    <x v="0"/>
    <x v="0"/>
    <x v="0"/>
    <x v="0"/>
    <x v="2"/>
    <x v="735"/>
    <x v="723"/>
    <x v="770"/>
    <x v="1"/>
    <x v="10"/>
    <x v="0"/>
    <x v="17"/>
    <x v="17"/>
    <x v="0"/>
    <x v="0"/>
    <x v="0"/>
    <x v="25"/>
    <x v="0"/>
    <x v="0"/>
    <x v="1"/>
    <x v="1"/>
  </r>
  <r>
    <x v="786"/>
    <x v="1"/>
    <x v="25"/>
    <x v="769"/>
    <x v="373"/>
    <x v="728"/>
    <x v="1"/>
    <x v="0"/>
    <x v="769"/>
    <x v="0"/>
    <x v="0"/>
    <x v="0"/>
    <x v="0"/>
    <x v="0"/>
    <x v="2"/>
    <x v="728"/>
    <x v="716"/>
    <x v="769"/>
    <x v="1"/>
    <x v="10"/>
    <x v="0"/>
    <x v="17"/>
    <x v="17"/>
    <x v="0"/>
    <x v="0"/>
    <x v="0"/>
    <x v="25"/>
    <x v="0"/>
    <x v="0"/>
    <x v="1"/>
    <x v="1"/>
  </r>
  <r>
    <x v="785"/>
    <x v="1"/>
    <x v="25"/>
    <x v="768"/>
    <x v="355"/>
    <x v="712"/>
    <x v="1"/>
    <x v="0"/>
    <x v="768"/>
    <x v="0"/>
    <x v="0"/>
    <x v="0"/>
    <x v="0"/>
    <x v="0"/>
    <x v="2"/>
    <x v="712"/>
    <x v="700"/>
    <x v="768"/>
    <x v="1"/>
    <x v="10"/>
    <x v="0"/>
    <x v="17"/>
    <x v="17"/>
    <x v="0"/>
    <x v="0"/>
    <x v="0"/>
    <x v="25"/>
    <x v="0"/>
    <x v="0"/>
    <x v="1"/>
    <x v="1"/>
  </r>
  <r>
    <x v="784"/>
    <x v="1"/>
    <x v="25"/>
    <x v="767"/>
    <x v="397"/>
    <x v="744"/>
    <x v="1"/>
    <x v="0"/>
    <x v="767"/>
    <x v="0"/>
    <x v="0"/>
    <x v="0"/>
    <x v="0"/>
    <x v="0"/>
    <x v="2"/>
    <x v="744"/>
    <x v="732"/>
    <x v="767"/>
    <x v="1"/>
    <x v="10"/>
    <x v="0"/>
    <x v="17"/>
    <x v="17"/>
    <x v="0"/>
    <x v="0"/>
    <x v="0"/>
    <x v="25"/>
    <x v="0"/>
    <x v="0"/>
    <x v="1"/>
    <x v="1"/>
  </r>
  <r>
    <x v="783"/>
    <x v="1"/>
    <x v="25"/>
    <x v="766"/>
    <x v="394"/>
    <x v="742"/>
    <x v="1"/>
    <x v="0"/>
    <x v="766"/>
    <x v="0"/>
    <x v="0"/>
    <x v="0"/>
    <x v="0"/>
    <x v="0"/>
    <x v="2"/>
    <x v="742"/>
    <x v="730"/>
    <x v="766"/>
    <x v="1"/>
    <x v="10"/>
    <x v="0"/>
    <x v="17"/>
    <x v="17"/>
    <x v="0"/>
    <x v="0"/>
    <x v="0"/>
    <x v="25"/>
    <x v="0"/>
    <x v="0"/>
    <x v="1"/>
    <x v="1"/>
  </r>
  <r>
    <x v="782"/>
    <x v="1"/>
    <x v="25"/>
    <x v="765"/>
    <x v="400"/>
    <x v="745"/>
    <x v="1"/>
    <x v="0"/>
    <x v="765"/>
    <x v="0"/>
    <x v="0"/>
    <x v="0"/>
    <x v="0"/>
    <x v="0"/>
    <x v="2"/>
    <x v="745"/>
    <x v="733"/>
    <x v="765"/>
    <x v="1"/>
    <x v="10"/>
    <x v="0"/>
    <x v="17"/>
    <x v="17"/>
    <x v="0"/>
    <x v="0"/>
    <x v="0"/>
    <x v="25"/>
    <x v="0"/>
    <x v="0"/>
    <x v="1"/>
    <x v="1"/>
  </r>
  <r>
    <x v="781"/>
    <x v="1"/>
    <x v="25"/>
    <x v="764"/>
    <x v="390"/>
    <x v="740"/>
    <x v="1"/>
    <x v="0"/>
    <x v="764"/>
    <x v="0"/>
    <x v="0"/>
    <x v="0"/>
    <x v="0"/>
    <x v="0"/>
    <x v="2"/>
    <x v="740"/>
    <x v="728"/>
    <x v="764"/>
    <x v="1"/>
    <x v="10"/>
    <x v="0"/>
    <x v="17"/>
    <x v="17"/>
    <x v="0"/>
    <x v="0"/>
    <x v="0"/>
    <x v="25"/>
    <x v="0"/>
    <x v="0"/>
    <x v="1"/>
    <x v="1"/>
  </r>
  <r>
    <x v="780"/>
    <x v="1"/>
    <x v="25"/>
    <x v="763"/>
    <x v="372"/>
    <x v="726"/>
    <x v="1"/>
    <x v="0"/>
    <x v="763"/>
    <x v="0"/>
    <x v="0"/>
    <x v="0"/>
    <x v="0"/>
    <x v="0"/>
    <x v="2"/>
    <x v="726"/>
    <x v="714"/>
    <x v="763"/>
    <x v="1"/>
    <x v="10"/>
    <x v="0"/>
    <x v="17"/>
    <x v="17"/>
    <x v="0"/>
    <x v="0"/>
    <x v="0"/>
    <x v="25"/>
    <x v="0"/>
    <x v="0"/>
    <x v="1"/>
    <x v="1"/>
  </r>
  <r>
    <x v="779"/>
    <x v="1"/>
    <x v="25"/>
    <x v="762"/>
    <x v="389"/>
    <x v="739"/>
    <x v="1"/>
    <x v="0"/>
    <x v="762"/>
    <x v="0"/>
    <x v="0"/>
    <x v="0"/>
    <x v="0"/>
    <x v="0"/>
    <x v="2"/>
    <x v="739"/>
    <x v="727"/>
    <x v="762"/>
    <x v="1"/>
    <x v="10"/>
    <x v="0"/>
    <x v="17"/>
    <x v="17"/>
    <x v="0"/>
    <x v="0"/>
    <x v="0"/>
    <x v="25"/>
    <x v="0"/>
    <x v="0"/>
    <x v="1"/>
    <x v="1"/>
  </r>
  <r>
    <x v="778"/>
    <x v="1"/>
    <x v="25"/>
    <x v="761"/>
    <x v="367"/>
    <x v="721"/>
    <x v="1"/>
    <x v="0"/>
    <x v="761"/>
    <x v="0"/>
    <x v="0"/>
    <x v="0"/>
    <x v="0"/>
    <x v="0"/>
    <x v="2"/>
    <x v="721"/>
    <x v="709"/>
    <x v="761"/>
    <x v="1"/>
    <x v="10"/>
    <x v="0"/>
    <x v="17"/>
    <x v="17"/>
    <x v="0"/>
    <x v="0"/>
    <x v="0"/>
    <x v="25"/>
    <x v="0"/>
    <x v="0"/>
    <x v="1"/>
    <x v="1"/>
  </r>
  <r>
    <x v="777"/>
    <x v="1"/>
    <x v="25"/>
    <x v="760"/>
    <x v="366"/>
    <x v="720"/>
    <x v="1"/>
    <x v="0"/>
    <x v="760"/>
    <x v="0"/>
    <x v="0"/>
    <x v="0"/>
    <x v="0"/>
    <x v="0"/>
    <x v="2"/>
    <x v="720"/>
    <x v="708"/>
    <x v="760"/>
    <x v="1"/>
    <x v="10"/>
    <x v="0"/>
    <x v="17"/>
    <x v="17"/>
    <x v="0"/>
    <x v="0"/>
    <x v="0"/>
    <x v="25"/>
    <x v="0"/>
    <x v="0"/>
    <x v="1"/>
    <x v="1"/>
  </r>
  <r>
    <x v="776"/>
    <x v="1"/>
    <x v="25"/>
    <x v="759"/>
    <x v="381"/>
    <x v="733"/>
    <x v="1"/>
    <x v="0"/>
    <x v="759"/>
    <x v="0"/>
    <x v="0"/>
    <x v="0"/>
    <x v="0"/>
    <x v="0"/>
    <x v="2"/>
    <x v="733"/>
    <x v="721"/>
    <x v="759"/>
    <x v="1"/>
    <x v="10"/>
    <x v="0"/>
    <x v="17"/>
    <x v="17"/>
    <x v="0"/>
    <x v="0"/>
    <x v="0"/>
    <x v="25"/>
    <x v="0"/>
    <x v="0"/>
    <x v="1"/>
    <x v="1"/>
  </r>
  <r>
    <x v="775"/>
    <x v="1"/>
    <x v="25"/>
    <x v="758"/>
    <x v="382"/>
    <x v="734"/>
    <x v="1"/>
    <x v="0"/>
    <x v="758"/>
    <x v="0"/>
    <x v="0"/>
    <x v="0"/>
    <x v="0"/>
    <x v="0"/>
    <x v="2"/>
    <x v="734"/>
    <x v="722"/>
    <x v="758"/>
    <x v="1"/>
    <x v="10"/>
    <x v="0"/>
    <x v="17"/>
    <x v="17"/>
    <x v="0"/>
    <x v="0"/>
    <x v="0"/>
    <x v="25"/>
    <x v="0"/>
    <x v="0"/>
    <x v="1"/>
    <x v="1"/>
  </r>
  <r>
    <x v="774"/>
    <x v="1"/>
    <x v="25"/>
    <x v="757"/>
    <x v="371"/>
    <x v="725"/>
    <x v="1"/>
    <x v="0"/>
    <x v="757"/>
    <x v="0"/>
    <x v="0"/>
    <x v="0"/>
    <x v="0"/>
    <x v="0"/>
    <x v="2"/>
    <x v="725"/>
    <x v="713"/>
    <x v="757"/>
    <x v="1"/>
    <x v="10"/>
    <x v="0"/>
    <x v="17"/>
    <x v="17"/>
    <x v="0"/>
    <x v="0"/>
    <x v="0"/>
    <x v="25"/>
    <x v="0"/>
    <x v="0"/>
    <x v="1"/>
    <x v="1"/>
  </r>
  <r>
    <x v="773"/>
    <x v="1"/>
    <x v="25"/>
    <x v="756"/>
    <x v="368"/>
    <x v="722"/>
    <x v="1"/>
    <x v="0"/>
    <x v="756"/>
    <x v="0"/>
    <x v="0"/>
    <x v="0"/>
    <x v="0"/>
    <x v="0"/>
    <x v="2"/>
    <x v="722"/>
    <x v="710"/>
    <x v="756"/>
    <x v="1"/>
    <x v="10"/>
    <x v="0"/>
    <x v="17"/>
    <x v="17"/>
    <x v="0"/>
    <x v="0"/>
    <x v="0"/>
    <x v="25"/>
    <x v="0"/>
    <x v="0"/>
    <x v="1"/>
    <x v="1"/>
  </r>
  <r>
    <x v="772"/>
    <x v="1"/>
    <x v="25"/>
    <x v="755"/>
    <x v="378"/>
    <x v="731"/>
    <x v="1"/>
    <x v="0"/>
    <x v="755"/>
    <x v="0"/>
    <x v="0"/>
    <x v="0"/>
    <x v="0"/>
    <x v="0"/>
    <x v="2"/>
    <x v="731"/>
    <x v="719"/>
    <x v="755"/>
    <x v="1"/>
    <x v="10"/>
    <x v="0"/>
    <x v="17"/>
    <x v="17"/>
    <x v="0"/>
    <x v="0"/>
    <x v="0"/>
    <x v="25"/>
    <x v="0"/>
    <x v="0"/>
    <x v="1"/>
    <x v="1"/>
  </r>
  <r>
    <x v="771"/>
    <x v="1"/>
    <x v="25"/>
    <x v="754"/>
    <x v="375"/>
    <x v="730"/>
    <x v="1"/>
    <x v="0"/>
    <x v="754"/>
    <x v="0"/>
    <x v="0"/>
    <x v="0"/>
    <x v="0"/>
    <x v="0"/>
    <x v="2"/>
    <x v="730"/>
    <x v="718"/>
    <x v="754"/>
    <x v="1"/>
    <x v="10"/>
    <x v="0"/>
    <x v="17"/>
    <x v="17"/>
    <x v="0"/>
    <x v="0"/>
    <x v="0"/>
    <x v="25"/>
    <x v="0"/>
    <x v="0"/>
    <x v="1"/>
    <x v="1"/>
  </r>
  <r>
    <x v="770"/>
    <x v="1"/>
    <x v="25"/>
    <x v="753"/>
    <x v="363"/>
    <x v="719"/>
    <x v="1"/>
    <x v="0"/>
    <x v="753"/>
    <x v="0"/>
    <x v="0"/>
    <x v="0"/>
    <x v="0"/>
    <x v="0"/>
    <x v="2"/>
    <x v="719"/>
    <x v="707"/>
    <x v="753"/>
    <x v="1"/>
    <x v="10"/>
    <x v="0"/>
    <x v="17"/>
    <x v="17"/>
    <x v="0"/>
    <x v="0"/>
    <x v="0"/>
    <x v="25"/>
    <x v="0"/>
    <x v="0"/>
    <x v="1"/>
    <x v="1"/>
  </r>
  <r>
    <x v="769"/>
    <x v="1"/>
    <x v="25"/>
    <x v="752"/>
    <x v="360"/>
    <x v="717"/>
    <x v="1"/>
    <x v="0"/>
    <x v="752"/>
    <x v="0"/>
    <x v="0"/>
    <x v="0"/>
    <x v="0"/>
    <x v="0"/>
    <x v="2"/>
    <x v="717"/>
    <x v="705"/>
    <x v="752"/>
    <x v="1"/>
    <x v="10"/>
    <x v="0"/>
    <x v="17"/>
    <x v="17"/>
    <x v="0"/>
    <x v="0"/>
    <x v="0"/>
    <x v="25"/>
    <x v="0"/>
    <x v="0"/>
    <x v="1"/>
    <x v="1"/>
  </r>
  <r>
    <x v="768"/>
    <x v="1"/>
    <x v="25"/>
    <x v="751"/>
    <x v="353"/>
    <x v="710"/>
    <x v="1"/>
    <x v="0"/>
    <x v="751"/>
    <x v="0"/>
    <x v="0"/>
    <x v="0"/>
    <x v="0"/>
    <x v="0"/>
    <x v="2"/>
    <x v="710"/>
    <x v="698"/>
    <x v="751"/>
    <x v="1"/>
    <x v="10"/>
    <x v="0"/>
    <x v="17"/>
    <x v="17"/>
    <x v="0"/>
    <x v="0"/>
    <x v="0"/>
    <x v="25"/>
    <x v="0"/>
    <x v="0"/>
    <x v="1"/>
    <x v="1"/>
  </r>
  <r>
    <x v="767"/>
    <x v="1"/>
    <x v="25"/>
    <x v="750"/>
    <x v="352"/>
    <x v="709"/>
    <x v="1"/>
    <x v="0"/>
    <x v="750"/>
    <x v="0"/>
    <x v="0"/>
    <x v="0"/>
    <x v="0"/>
    <x v="0"/>
    <x v="2"/>
    <x v="709"/>
    <x v="697"/>
    <x v="750"/>
    <x v="1"/>
    <x v="10"/>
    <x v="0"/>
    <x v="17"/>
    <x v="17"/>
    <x v="0"/>
    <x v="0"/>
    <x v="0"/>
    <x v="25"/>
    <x v="0"/>
    <x v="0"/>
    <x v="1"/>
    <x v="1"/>
  </r>
  <r>
    <x v="766"/>
    <x v="1"/>
    <x v="25"/>
    <x v="749"/>
    <x v="351"/>
    <x v="708"/>
    <x v="1"/>
    <x v="0"/>
    <x v="749"/>
    <x v="0"/>
    <x v="0"/>
    <x v="0"/>
    <x v="0"/>
    <x v="0"/>
    <x v="2"/>
    <x v="708"/>
    <x v="696"/>
    <x v="749"/>
    <x v="1"/>
    <x v="10"/>
    <x v="0"/>
    <x v="17"/>
    <x v="17"/>
    <x v="0"/>
    <x v="0"/>
    <x v="0"/>
    <x v="25"/>
    <x v="0"/>
    <x v="0"/>
    <x v="1"/>
    <x v="1"/>
  </r>
  <r>
    <x v="765"/>
    <x v="1"/>
    <x v="25"/>
    <x v="748"/>
    <x v="349"/>
    <x v="706"/>
    <x v="1"/>
    <x v="0"/>
    <x v="748"/>
    <x v="0"/>
    <x v="0"/>
    <x v="0"/>
    <x v="0"/>
    <x v="0"/>
    <x v="2"/>
    <x v="706"/>
    <x v="694"/>
    <x v="748"/>
    <x v="1"/>
    <x v="10"/>
    <x v="0"/>
    <x v="17"/>
    <x v="17"/>
    <x v="0"/>
    <x v="0"/>
    <x v="0"/>
    <x v="25"/>
    <x v="0"/>
    <x v="0"/>
    <x v="1"/>
    <x v="1"/>
  </r>
  <r>
    <x v="764"/>
    <x v="1"/>
    <x v="25"/>
    <x v="747"/>
    <x v="347"/>
    <x v="704"/>
    <x v="1"/>
    <x v="0"/>
    <x v="747"/>
    <x v="0"/>
    <x v="0"/>
    <x v="0"/>
    <x v="0"/>
    <x v="0"/>
    <x v="2"/>
    <x v="704"/>
    <x v="692"/>
    <x v="747"/>
    <x v="1"/>
    <x v="10"/>
    <x v="0"/>
    <x v="17"/>
    <x v="17"/>
    <x v="0"/>
    <x v="0"/>
    <x v="0"/>
    <x v="25"/>
    <x v="0"/>
    <x v="0"/>
    <x v="1"/>
    <x v="1"/>
  </r>
  <r>
    <x v="763"/>
    <x v="1"/>
    <x v="25"/>
    <x v="746"/>
    <x v="370"/>
    <x v="724"/>
    <x v="1"/>
    <x v="0"/>
    <x v="746"/>
    <x v="0"/>
    <x v="0"/>
    <x v="0"/>
    <x v="0"/>
    <x v="0"/>
    <x v="2"/>
    <x v="724"/>
    <x v="712"/>
    <x v="746"/>
    <x v="1"/>
    <x v="10"/>
    <x v="0"/>
    <x v="17"/>
    <x v="17"/>
    <x v="0"/>
    <x v="0"/>
    <x v="0"/>
    <x v="25"/>
    <x v="0"/>
    <x v="0"/>
    <x v="1"/>
    <x v="1"/>
  </r>
  <r>
    <x v="762"/>
    <x v="1"/>
    <x v="25"/>
    <x v="745"/>
    <x v="345"/>
    <x v="702"/>
    <x v="1"/>
    <x v="0"/>
    <x v="745"/>
    <x v="0"/>
    <x v="0"/>
    <x v="0"/>
    <x v="0"/>
    <x v="0"/>
    <x v="2"/>
    <x v="702"/>
    <x v="690"/>
    <x v="745"/>
    <x v="1"/>
    <x v="10"/>
    <x v="0"/>
    <x v="17"/>
    <x v="17"/>
    <x v="0"/>
    <x v="0"/>
    <x v="0"/>
    <x v="25"/>
    <x v="0"/>
    <x v="0"/>
    <x v="1"/>
    <x v="1"/>
  </r>
  <r>
    <x v="761"/>
    <x v="1"/>
    <x v="25"/>
    <x v="744"/>
    <x v="359"/>
    <x v="716"/>
    <x v="1"/>
    <x v="0"/>
    <x v="744"/>
    <x v="0"/>
    <x v="0"/>
    <x v="0"/>
    <x v="0"/>
    <x v="0"/>
    <x v="2"/>
    <x v="716"/>
    <x v="704"/>
    <x v="744"/>
    <x v="1"/>
    <x v="10"/>
    <x v="0"/>
    <x v="17"/>
    <x v="17"/>
    <x v="0"/>
    <x v="0"/>
    <x v="0"/>
    <x v="25"/>
    <x v="0"/>
    <x v="0"/>
    <x v="1"/>
    <x v="1"/>
  </r>
  <r>
    <x v="760"/>
    <x v="1"/>
    <x v="25"/>
    <x v="743"/>
    <x v="358"/>
    <x v="715"/>
    <x v="1"/>
    <x v="0"/>
    <x v="743"/>
    <x v="0"/>
    <x v="0"/>
    <x v="0"/>
    <x v="0"/>
    <x v="0"/>
    <x v="2"/>
    <x v="715"/>
    <x v="703"/>
    <x v="743"/>
    <x v="1"/>
    <x v="10"/>
    <x v="0"/>
    <x v="17"/>
    <x v="17"/>
    <x v="0"/>
    <x v="0"/>
    <x v="0"/>
    <x v="25"/>
    <x v="0"/>
    <x v="0"/>
    <x v="1"/>
    <x v="1"/>
  </r>
  <r>
    <x v="759"/>
    <x v="1"/>
    <x v="25"/>
    <x v="742"/>
    <x v="356"/>
    <x v="713"/>
    <x v="1"/>
    <x v="0"/>
    <x v="742"/>
    <x v="0"/>
    <x v="0"/>
    <x v="0"/>
    <x v="0"/>
    <x v="0"/>
    <x v="2"/>
    <x v="713"/>
    <x v="701"/>
    <x v="742"/>
    <x v="1"/>
    <x v="10"/>
    <x v="0"/>
    <x v="17"/>
    <x v="17"/>
    <x v="0"/>
    <x v="0"/>
    <x v="0"/>
    <x v="25"/>
    <x v="0"/>
    <x v="0"/>
    <x v="1"/>
    <x v="1"/>
  </r>
  <r>
    <x v="758"/>
    <x v="1"/>
    <x v="25"/>
    <x v="741"/>
    <x v="167"/>
    <x v="584"/>
    <x v="1"/>
    <x v="0"/>
    <x v="741"/>
    <x v="0"/>
    <x v="0"/>
    <x v="0"/>
    <x v="0"/>
    <x v="0"/>
    <x v="2"/>
    <x v="584"/>
    <x v="572"/>
    <x v="741"/>
    <x v="1"/>
    <x v="10"/>
    <x v="0"/>
    <x v="17"/>
    <x v="17"/>
    <x v="0"/>
    <x v="0"/>
    <x v="0"/>
    <x v="25"/>
    <x v="0"/>
    <x v="0"/>
    <x v="1"/>
    <x v="1"/>
  </r>
  <r>
    <x v="757"/>
    <x v="1"/>
    <x v="25"/>
    <x v="740"/>
    <x v="164"/>
    <x v="582"/>
    <x v="1"/>
    <x v="0"/>
    <x v="740"/>
    <x v="0"/>
    <x v="0"/>
    <x v="0"/>
    <x v="0"/>
    <x v="0"/>
    <x v="2"/>
    <x v="582"/>
    <x v="570"/>
    <x v="740"/>
    <x v="1"/>
    <x v="10"/>
    <x v="0"/>
    <x v="17"/>
    <x v="17"/>
    <x v="0"/>
    <x v="0"/>
    <x v="0"/>
    <x v="25"/>
    <x v="0"/>
    <x v="0"/>
    <x v="1"/>
    <x v="1"/>
  </r>
  <r>
    <x v="756"/>
    <x v="1"/>
    <x v="25"/>
    <x v="739"/>
    <x v="170"/>
    <x v="586"/>
    <x v="1"/>
    <x v="0"/>
    <x v="739"/>
    <x v="0"/>
    <x v="0"/>
    <x v="0"/>
    <x v="0"/>
    <x v="0"/>
    <x v="2"/>
    <x v="586"/>
    <x v="574"/>
    <x v="739"/>
    <x v="1"/>
    <x v="10"/>
    <x v="0"/>
    <x v="17"/>
    <x v="17"/>
    <x v="0"/>
    <x v="0"/>
    <x v="0"/>
    <x v="25"/>
    <x v="0"/>
    <x v="0"/>
    <x v="1"/>
    <x v="1"/>
  </r>
  <r>
    <x v="755"/>
    <x v="1"/>
    <x v="25"/>
    <x v="738"/>
    <x v="161"/>
    <x v="581"/>
    <x v="1"/>
    <x v="0"/>
    <x v="738"/>
    <x v="0"/>
    <x v="0"/>
    <x v="0"/>
    <x v="0"/>
    <x v="0"/>
    <x v="2"/>
    <x v="581"/>
    <x v="569"/>
    <x v="738"/>
    <x v="1"/>
    <x v="10"/>
    <x v="0"/>
    <x v="17"/>
    <x v="17"/>
    <x v="0"/>
    <x v="0"/>
    <x v="0"/>
    <x v="25"/>
    <x v="0"/>
    <x v="0"/>
    <x v="1"/>
    <x v="1"/>
  </r>
  <r>
    <x v="754"/>
    <x v="1"/>
    <x v="25"/>
    <x v="737"/>
    <x v="151"/>
    <x v="574"/>
    <x v="1"/>
    <x v="0"/>
    <x v="737"/>
    <x v="0"/>
    <x v="0"/>
    <x v="0"/>
    <x v="0"/>
    <x v="0"/>
    <x v="2"/>
    <x v="574"/>
    <x v="562"/>
    <x v="737"/>
    <x v="1"/>
    <x v="10"/>
    <x v="0"/>
    <x v="17"/>
    <x v="17"/>
    <x v="0"/>
    <x v="0"/>
    <x v="0"/>
    <x v="25"/>
    <x v="0"/>
    <x v="0"/>
    <x v="1"/>
    <x v="1"/>
  </r>
  <r>
    <x v="753"/>
    <x v="1"/>
    <x v="25"/>
    <x v="736"/>
    <x v="148"/>
    <x v="572"/>
    <x v="1"/>
    <x v="0"/>
    <x v="736"/>
    <x v="0"/>
    <x v="0"/>
    <x v="0"/>
    <x v="0"/>
    <x v="0"/>
    <x v="2"/>
    <x v="572"/>
    <x v="560"/>
    <x v="736"/>
    <x v="1"/>
    <x v="10"/>
    <x v="0"/>
    <x v="17"/>
    <x v="17"/>
    <x v="0"/>
    <x v="0"/>
    <x v="0"/>
    <x v="25"/>
    <x v="0"/>
    <x v="0"/>
    <x v="1"/>
    <x v="1"/>
  </r>
  <r>
    <x v="752"/>
    <x v="1"/>
    <x v="25"/>
    <x v="735"/>
    <x v="135"/>
    <x v="564"/>
    <x v="1"/>
    <x v="0"/>
    <x v="735"/>
    <x v="0"/>
    <x v="0"/>
    <x v="0"/>
    <x v="0"/>
    <x v="0"/>
    <x v="2"/>
    <x v="564"/>
    <x v="552"/>
    <x v="735"/>
    <x v="1"/>
    <x v="10"/>
    <x v="0"/>
    <x v="17"/>
    <x v="17"/>
    <x v="0"/>
    <x v="0"/>
    <x v="0"/>
    <x v="25"/>
    <x v="0"/>
    <x v="0"/>
    <x v="1"/>
    <x v="1"/>
  </r>
  <r>
    <x v="751"/>
    <x v="1"/>
    <x v="25"/>
    <x v="734"/>
    <x v="147"/>
    <x v="571"/>
    <x v="1"/>
    <x v="0"/>
    <x v="734"/>
    <x v="0"/>
    <x v="0"/>
    <x v="0"/>
    <x v="0"/>
    <x v="0"/>
    <x v="2"/>
    <x v="571"/>
    <x v="559"/>
    <x v="734"/>
    <x v="1"/>
    <x v="10"/>
    <x v="0"/>
    <x v="17"/>
    <x v="17"/>
    <x v="0"/>
    <x v="0"/>
    <x v="0"/>
    <x v="25"/>
    <x v="0"/>
    <x v="0"/>
    <x v="1"/>
    <x v="1"/>
  </r>
  <r>
    <x v="750"/>
    <x v="1"/>
    <x v="25"/>
    <x v="733"/>
    <x v="158"/>
    <x v="579"/>
    <x v="1"/>
    <x v="0"/>
    <x v="733"/>
    <x v="0"/>
    <x v="0"/>
    <x v="0"/>
    <x v="0"/>
    <x v="0"/>
    <x v="2"/>
    <x v="579"/>
    <x v="567"/>
    <x v="733"/>
    <x v="1"/>
    <x v="10"/>
    <x v="0"/>
    <x v="17"/>
    <x v="17"/>
    <x v="0"/>
    <x v="0"/>
    <x v="0"/>
    <x v="25"/>
    <x v="0"/>
    <x v="0"/>
    <x v="1"/>
    <x v="1"/>
  </r>
  <r>
    <x v="749"/>
    <x v="1"/>
    <x v="25"/>
    <x v="732"/>
    <x v="152"/>
    <x v="576"/>
    <x v="1"/>
    <x v="0"/>
    <x v="732"/>
    <x v="0"/>
    <x v="0"/>
    <x v="0"/>
    <x v="0"/>
    <x v="0"/>
    <x v="2"/>
    <x v="576"/>
    <x v="564"/>
    <x v="732"/>
    <x v="1"/>
    <x v="10"/>
    <x v="0"/>
    <x v="17"/>
    <x v="17"/>
    <x v="0"/>
    <x v="0"/>
    <x v="0"/>
    <x v="25"/>
    <x v="0"/>
    <x v="0"/>
    <x v="1"/>
    <x v="1"/>
  </r>
  <r>
    <x v="748"/>
    <x v="1"/>
    <x v="25"/>
    <x v="731"/>
    <x v="146"/>
    <x v="570"/>
    <x v="1"/>
    <x v="0"/>
    <x v="731"/>
    <x v="0"/>
    <x v="0"/>
    <x v="0"/>
    <x v="0"/>
    <x v="0"/>
    <x v="2"/>
    <x v="570"/>
    <x v="558"/>
    <x v="731"/>
    <x v="1"/>
    <x v="10"/>
    <x v="0"/>
    <x v="17"/>
    <x v="17"/>
    <x v="0"/>
    <x v="0"/>
    <x v="0"/>
    <x v="25"/>
    <x v="0"/>
    <x v="0"/>
    <x v="1"/>
    <x v="1"/>
  </r>
  <r>
    <x v="747"/>
    <x v="1"/>
    <x v="25"/>
    <x v="730"/>
    <x v="143"/>
    <x v="569"/>
    <x v="1"/>
    <x v="0"/>
    <x v="730"/>
    <x v="0"/>
    <x v="0"/>
    <x v="0"/>
    <x v="0"/>
    <x v="0"/>
    <x v="2"/>
    <x v="569"/>
    <x v="557"/>
    <x v="730"/>
    <x v="1"/>
    <x v="10"/>
    <x v="0"/>
    <x v="17"/>
    <x v="17"/>
    <x v="0"/>
    <x v="0"/>
    <x v="0"/>
    <x v="25"/>
    <x v="0"/>
    <x v="0"/>
    <x v="1"/>
    <x v="1"/>
  </r>
  <r>
    <x v="746"/>
    <x v="1"/>
    <x v="25"/>
    <x v="729"/>
    <x v="141"/>
    <x v="567"/>
    <x v="1"/>
    <x v="0"/>
    <x v="729"/>
    <x v="0"/>
    <x v="0"/>
    <x v="0"/>
    <x v="0"/>
    <x v="0"/>
    <x v="2"/>
    <x v="567"/>
    <x v="555"/>
    <x v="729"/>
    <x v="1"/>
    <x v="10"/>
    <x v="0"/>
    <x v="17"/>
    <x v="17"/>
    <x v="0"/>
    <x v="0"/>
    <x v="0"/>
    <x v="25"/>
    <x v="0"/>
    <x v="0"/>
    <x v="1"/>
    <x v="1"/>
  </r>
  <r>
    <x v="745"/>
    <x v="1"/>
    <x v="25"/>
    <x v="728"/>
    <x v="138"/>
    <x v="566"/>
    <x v="1"/>
    <x v="0"/>
    <x v="728"/>
    <x v="0"/>
    <x v="0"/>
    <x v="0"/>
    <x v="0"/>
    <x v="0"/>
    <x v="2"/>
    <x v="566"/>
    <x v="554"/>
    <x v="728"/>
    <x v="1"/>
    <x v="10"/>
    <x v="0"/>
    <x v="17"/>
    <x v="17"/>
    <x v="0"/>
    <x v="0"/>
    <x v="0"/>
    <x v="25"/>
    <x v="0"/>
    <x v="0"/>
    <x v="1"/>
    <x v="1"/>
  </r>
  <r>
    <x v="744"/>
    <x v="1"/>
    <x v="25"/>
    <x v="727"/>
    <x v="134"/>
    <x v="562"/>
    <x v="1"/>
    <x v="0"/>
    <x v="727"/>
    <x v="0"/>
    <x v="0"/>
    <x v="0"/>
    <x v="0"/>
    <x v="0"/>
    <x v="2"/>
    <x v="562"/>
    <x v="550"/>
    <x v="727"/>
    <x v="1"/>
    <x v="10"/>
    <x v="0"/>
    <x v="17"/>
    <x v="17"/>
    <x v="0"/>
    <x v="0"/>
    <x v="0"/>
    <x v="25"/>
    <x v="0"/>
    <x v="0"/>
    <x v="1"/>
    <x v="1"/>
  </r>
  <r>
    <x v="743"/>
    <x v="1"/>
    <x v="25"/>
    <x v="726"/>
    <x v="639"/>
    <x v="867"/>
    <x v="1"/>
    <x v="0"/>
    <x v="726"/>
    <x v="0"/>
    <x v="0"/>
    <x v="0"/>
    <x v="0"/>
    <x v="0"/>
    <x v="2"/>
    <x v="867"/>
    <x v="855"/>
    <x v="726"/>
    <x v="1"/>
    <x v="10"/>
    <x v="0"/>
    <x v="17"/>
    <x v="17"/>
    <x v="0"/>
    <x v="0"/>
    <x v="0"/>
    <x v="25"/>
    <x v="0"/>
    <x v="0"/>
    <x v="1"/>
    <x v="1"/>
  </r>
  <r>
    <x v="742"/>
    <x v="1"/>
    <x v="25"/>
    <x v="725"/>
    <x v="637"/>
    <x v="865"/>
    <x v="1"/>
    <x v="0"/>
    <x v="725"/>
    <x v="0"/>
    <x v="0"/>
    <x v="0"/>
    <x v="0"/>
    <x v="0"/>
    <x v="2"/>
    <x v="865"/>
    <x v="853"/>
    <x v="725"/>
    <x v="1"/>
    <x v="10"/>
    <x v="0"/>
    <x v="17"/>
    <x v="17"/>
    <x v="0"/>
    <x v="0"/>
    <x v="0"/>
    <x v="25"/>
    <x v="0"/>
    <x v="0"/>
    <x v="1"/>
    <x v="1"/>
  </r>
  <r>
    <x v="741"/>
    <x v="1"/>
    <x v="25"/>
    <x v="724"/>
    <x v="635"/>
    <x v="863"/>
    <x v="1"/>
    <x v="0"/>
    <x v="724"/>
    <x v="0"/>
    <x v="0"/>
    <x v="0"/>
    <x v="0"/>
    <x v="0"/>
    <x v="2"/>
    <x v="863"/>
    <x v="851"/>
    <x v="724"/>
    <x v="1"/>
    <x v="10"/>
    <x v="0"/>
    <x v="17"/>
    <x v="17"/>
    <x v="0"/>
    <x v="0"/>
    <x v="0"/>
    <x v="25"/>
    <x v="0"/>
    <x v="0"/>
    <x v="1"/>
    <x v="1"/>
  </r>
  <r>
    <x v="740"/>
    <x v="1"/>
    <x v="25"/>
    <x v="723"/>
    <x v="631"/>
    <x v="860"/>
    <x v="1"/>
    <x v="0"/>
    <x v="723"/>
    <x v="0"/>
    <x v="0"/>
    <x v="0"/>
    <x v="0"/>
    <x v="0"/>
    <x v="2"/>
    <x v="860"/>
    <x v="848"/>
    <x v="723"/>
    <x v="1"/>
    <x v="10"/>
    <x v="0"/>
    <x v="17"/>
    <x v="17"/>
    <x v="0"/>
    <x v="0"/>
    <x v="0"/>
    <x v="25"/>
    <x v="0"/>
    <x v="0"/>
    <x v="1"/>
    <x v="1"/>
  </r>
  <r>
    <x v="739"/>
    <x v="1"/>
    <x v="25"/>
    <x v="722"/>
    <x v="629"/>
    <x v="858"/>
    <x v="1"/>
    <x v="0"/>
    <x v="722"/>
    <x v="0"/>
    <x v="0"/>
    <x v="0"/>
    <x v="0"/>
    <x v="0"/>
    <x v="2"/>
    <x v="858"/>
    <x v="846"/>
    <x v="722"/>
    <x v="1"/>
    <x v="10"/>
    <x v="0"/>
    <x v="17"/>
    <x v="17"/>
    <x v="0"/>
    <x v="0"/>
    <x v="0"/>
    <x v="25"/>
    <x v="0"/>
    <x v="0"/>
    <x v="1"/>
    <x v="1"/>
  </r>
  <r>
    <x v="738"/>
    <x v="1"/>
    <x v="25"/>
    <x v="721"/>
    <x v="626"/>
    <x v="855"/>
    <x v="1"/>
    <x v="0"/>
    <x v="721"/>
    <x v="0"/>
    <x v="0"/>
    <x v="0"/>
    <x v="0"/>
    <x v="0"/>
    <x v="2"/>
    <x v="855"/>
    <x v="843"/>
    <x v="721"/>
    <x v="1"/>
    <x v="10"/>
    <x v="0"/>
    <x v="17"/>
    <x v="17"/>
    <x v="0"/>
    <x v="0"/>
    <x v="0"/>
    <x v="25"/>
    <x v="0"/>
    <x v="0"/>
    <x v="1"/>
    <x v="1"/>
  </r>
  <r>
    <x v="737"/>
    <x v="1"/>
    <x v="25"/>
    <x v="720"/>
    <x v="624"/>
    <x v="853"/>
    <x v="1"/>
    <x v="0"/>
    <x v="720"/>
    <x v="0"/>
    <x v="0"/>
    <x v="0"/>
    <x v="0"/>
    <x v="0"/>
    <x v="2"/>
    <x v="853"/>
    <x v="841"/>
    <x v="720"/>
    <x v="1"/>
    <x v="10"/>
    <x v="0"/>
    <x v="17"/>
    <x v="17"/>
    <x v="0"/>
    <x v="0"/>
    <x v="0"/>
    <x v="25"/>
    <x v="0"/>
    <x v="0"/>
    <x v="1"/>
    <x v="1"/>
  </r>
  <r>
    <x v="736"/>
    <x v="1"/>
    <x v="25"/>
    <x v="719"/>
    <x v="622"/>
    <x v="851"/>
    <x v="1"/>
    <x v="0"/>
    <x v="719"/>
    <x v="0"/>
    <x v="0"/>
    <x v="0"/>
    <x v="0"/>
    <x v="0"/>
    <x v="2"/>
    <x v="851"/>
    <x v="839"/>
    <x v="719"/>
    <x v="1"/>
    <x v="10"/>
    <x v="0"/>
    <x v="17"/>
    <x v="17"/>
    <x v="0"/>
    <x v="0"/>
    <x v="0"/>
    <x v="25"/>
    <x v="0"/>
    <x v="0"/>
    <x v="1"/>
    <x v="1"/>
  </r>
  <r>
    <x v="735"/>
    <x v="1"/>
    <x v="25"/>
    <x v="718"/>
    <x v="620"/>
    <x v="849"/>
    <x v="1"/>
    <x v="0"/>
    <x v="718"/>
    <x v="0"/>
    <x v="0"/>
    <x v="0"/>
    <x v="0"/>
    <x v="0"/>
    <x v="2"/>
    <x v="849"/>
    <x v="837"/>
    <x v="718"/>
    <x v="1"/>
    <x v="10"/>
    <x v="0"/>
    <x v="17"/>
    <x v="17"/>
    <x v="0"/>
    <x v="0"/>
    <x v="0"/>
    <x v="25"/>
    <x v="0"/>
    <x v="0"/>
    <x v="1"/>
    <x v="1"/>
  </r>
  <r>
    <x v="734"/>
    <x v="1"/>
    <x v="25"/>
    <x v="717"/>
    <x v="619"/>
    <x v="848"/>
    <x v="1"/>
    <x v="0"/>
    <x v="717"/>
    <x v="0"/>
    <x v="0"/>
    <x v="0"/>
    <x v="0"/>
    <x v="0"/>
    <x v="2"/>
    <x v="848"/>
    <x v="836"/>
    <x v="717"/>
    <x v="1"/>
    <x v="10"/>
    <x v="0"/>
    <x v="17"/>
    <x v="17"/>
    <x v="0"/>
    <x v="0"/>
    <x v="0"/>
    <x v="25"/>
    <x v="0"/>
    <x v="0"/>
    <x v="1"/>
    <x v="1"/>
  </r>
  <r>
    <x v="733"/>
    <x v="1"/>
    <x v="25"/>
    <x v="716"/>
    <x v="616"/>
    <x v="846"/>
    <x v="1"/>
    <x v="0"/>
    <x v="716"/>
    <x v="0"/>
    <x v="0"/>
    <x v="0"/>
    <x v="0"/>
    <x v="0"/>
    <x v="2"/>
    <x v="846"/>
    <x v="834"/>
    <x v="716"/>
    <x v="1"/>
    <x v="10"/>
    <x v="0"/>
    <x v="17"/>
    <x v="17"/>
    <x v="0"/>
    <x v="0"/>
    <x v="0"/>
    <x v="25"/>
    <x v="0"/>
    <x v="0"/>
    <x v="1"/>
    <x v="1"/>
  </r>
  <r>
    <x v="732"/>
    <x v="1"/>
    <x v="25"/>
    <x v="715"/>
    <x v="612"/>
    <x v="843"/>
    <x v="1"/>
    <x v="0"/>
    <x v="715"/>
    <x v="0"/>
    <x v="0"/>
    <x v="0"/>
    <x v="0"/>
    <x v="0"/>
    <x v="2"/>
    <x v="843"/>
    <x v="831"/>
    <x v="715"/>
    <x v="1"/>
    <x v="10"/>
    <x v="0"/>
    <x v="17"/>
    <x v="17"/>
    <x v="0"/>
    <x v="0"/>
    <x v="0"/>
    <x v="25"/>
    <x v="0"/>
    <x v="0"/>
    <x v="1"/>
    <x v="1"/>
  </r>
  <r>
    <x v="731"/>
    <x v="1"/>
    <x v="25"/>
    <x v="714"/>
    <x v="610"/>
    <x v="841"/>
    <x v="1"/>
    <x v="0"/>
    <x v="714"/>
    <x v="0"/>
    <x v="0"/>
    <x v="0"/>
    <x v="0"/>
    <x v="0"/>
    <x v="2"/>
    <x v="841"/>
    <x v="829"/>
    <x v="714"/>
    <x v="1"/>
    <x v="10"/>
    <x v="0"/>
    <x v="17"/>
    <x v="17"/>
    <x v="0"/>
    <x v="0"/>
    <x v="0"/>
    <x v="25"/>
    <x v="0"/>
    <x v="0"/>
    <x v="1"/>
    <x v="1"/>
  </r>
  <r>
    <x v="730"/>
    <x v="1"/>
    <x v="25"/>
    <x v="713"/>
    <x v="608"/>
    <x v="839"/>
    <x v="1"/>
    <x v="0"/>
    <x v="713"/>
    <x v="0"/>
    <x v="0"/>
    <x v="0"/>
    <x v="0"/>
    <x v="0"/>
    <x v="2"/>
    <x v="839"/>
    <x v="827"/>
    <x v="713"/>
    <x v="1"/>
    <x v="10"/>
    <x v="0"/>
    <x v="17"/>
    <x v="17"/>
    <x v="0"/>
    <x v="0"/>
    <x v="0"/>
    <x v="25"/>
    <x v="0"/>
    <x v="0"/>
    <x v="1"/>
    <x v="1"/>
  </r>
  <r>
    <x v="729"/>
    <x v="1"/>
    <x v="25"/>
    <x v="712"/>
    <x v="606"/>
    <x v="837"/>
    <x v="1"/>
    <x v="0"/>
    <x v="712"/>
    <x v="0"/>
    <x v="0"/>
    <x v="0"/>
    <x v="0"/>
    <x v="0"/>
    <x v="2"/>
    <x v="837"/>
    <x v="825"/>
    <x v="712"/>
    <x v="1"/>
    <x v="10"/>
    <x v="0"/>
    <x v="17"/>
    <x v="17"/>
    <x v="0"/>
    <x v="0"/>
    <x v="0"/>
    <x v="25"/>
    <x v="0"/>
    <x v="0"/>
    <x v="1"/>
    <x v="1"/>
  </r>
  <r>
    <x v="728"/>
    <x v="1"/>
    <x v="25"/>
    <x v="711"/>
    <x v="604"/>
    <x v="835"/>
    <x v="1"/>
    <x v="0"/>
    <x v="711"/>
    <x v="0"/>
    <x v="0"/>
    <x v="0"/>
    <x v="0"/>
    <x v="0"/>
    <x v="2"/>
    <x v="835"/>
    <x v="823"/>
    <x v="711"/>
    <x v="1"/>
    <x v="10"/>
    <x v="0"/>
    <x v="17"/>
    <x v="17"/>
    <x v="0"/>
    <x v="0"/>
    <x v="0"/>
    <x v="25"/>
    <x v="0"/>
    <x v="0"/>
    <x v="1"/>
    <x v="1"/>
  </r>
  <r>
    <x v="727"/>
    <x v="1"/>
    <x v="25"/>
    <x v="710"/>
    <x v="602"/>
    <x v="833"/>
    <x v="1"/>
    <x v="0"/>
    <x v="710"/>
    <x v="0"/>
    <x v="0"/>
    <x v="0"/>
    <x v="0"/>
    <x v="0"/>
    <x v="2"/>
    <x v="833"/>
    <x v="821"/>
    <x v="710"/>
    <x v="1"/>
    <x v="10"/>
    <x v="0"/>
    <x v="17"/>
    <x v="17"/>
    <x v="0"/>
    <x v="0"/>
    <x v="0"/>
    <x v="25"/>
    <x v="0"/>
    <x v="0"/>
    <x v="1"/>
    <x v="1"/>
  </r>
  <r>
    <x v="726"/>
    <x v="1"/>
    <x v="25"/>
    <x v="709"/>
    <x v="600"/>
    <x v="831"/>
    <x v="1"/>
    <x v="0"/>
    <x v="709"/>
    <x v="0"/>
    <x v="0"/>
    <x v="0"/>
    <x v="0"/>
    <x v="0"/>
    <x v="2"/>
    <x v="831"/>
    <x v="819"/>
    <x v="709"/>
    <x v="1"/>
    <x v="10"/>
    <x v="0"/>
    <x v="17"/>
    <x v="17"/>
    <x v="0"/>
    <x v="0"/>
    <x v="0"/>
    <x v="25"/>
    <x v="0"/>
    <x v="0"/>
    <x v="1"/>
    <x v="1"/>
  </r>
  <r>
    <x v="725"/>
    <x v="1"/>
    <x v="25"/>
    <x v="708"/>
    <x v="598"/>
    <x v="829"/>
    <x v="1"/>
    <x v="0"/>
    <x v="708"/>
    <x v="0"/>
    <x v="0"/>
    <x v="0"/>
    <x v="0"/>
    <x v="0"/>
    <x v="2"/>
    <x v="829"/>
    <x v="817"/>
    <x v="708"/>
    <x v="1"/>
    <x v="10"/>
    <x v="0"/>
    <x v="17"/>
    <x v="17"/>
    <x v="0"/>
    <x v="0"/>
    <x v="0"/>
    <x v="25"/>
    <x v="0"/>
    <x v="0"/>
    <x v="1"/>
    <x v="1"/>
  </r>
  <r>
    <x v="724"/>
    <x v="1"/>
    <x v="25"/>
    <x v="707"/>
    <x v="596"/>
    <x v="827"/>
    <x v="1"/>
    <x v="0"/>
    <x v="707"/>
    <x v="0"/>
    <x v="0"/>
    <x v="0"/>
    <x v="0"/>
    <x v="0"/>
    <x v="2"/>
    <x v="827"/>
    <x v="815"/>
    <x v="707"/>
    <x v="1"/>
    <x v="10"/>
    <x v="0"/>
    <x v="17"/>
    <x v="17"/>
    <x v="0"/>
    <x v="0"/>
    <x v="0"/>
    <x v="25"/>
    <x v="0"/>
    <x v="0"/>
    <x v="1"/>
    <x v="1"/>
  </r>
  <r>
    <x v="723"/>
    <x v="1"/>
    <x v="25"/>
    <x v="706"/>
    <x v="594"/>
    <x v="825"/>
    <x v="1"/>
    <x v="0"/>
    <x v="706"/>
    <x v="0"/>
    <x v="0"/>
    <x v="0"/>
    <x v="0"/>
    <x v="0"/>
    <x v="2"/>
    <x v="825"/>
    <x v="813"/>
    <x v="706"/>
    <x v="1"/>
    <x v="10"/>
    <x v="0"/>
    <x v="17"/>
    <x v="17"/>
    <x v="0"/>
    <x v="0"/>
    <x v="0"/>
    <x v="25"/>
    <x v="0"/>
    <x v="0"/>
    <x v="1"/>
    <x v="1"/>
  </r>
  <r>
    <x v="722"/>
    <x v="1"/>
    <x v="25"/>
    <x v="705"/>
    <x v="592"/>
    <x v="823"/>
    <x v="1"/>
    <x v="0"/>
    <x v="705"/>
    <x v="0"/>
    <x v="0"/>
    <x v="0"/>
    <x v="0"/>
    <x v="0"/>
    <x v="2"/>
    <x v="823"/>
    <x v="811"/>
    <x v="705"/>
    <x v="1"/>
    <x v="10"/>
    <x v="0"/>
    <x v="17"/>
    <x v="17"/>
    <x v="0"/>
    <x v="0"/>
    <x v="0"/>
    <x v="25"/>
    <x v="0"/>
    <x v="0"/>
    <x v="1"/>
    <x v="1"/>
  </r>
  <r>
    <x v="721"/>
    <x v="1"/>
    <x v="25"/>
    <x v="704"/>
    <x v="590"/>
    <x v="821"/>
    <x v="1"/>
    <x v="0"/>
    <x v="704"/>
    <x v="0"/>
    <x v="0"/>
    <x v="0"/>
    <x v="0"/>
    <x v="0"/>
    <x v="2"/>
    <x v="821"/>
    <x v="809"/>
    <x v="704"/>
    <x v="1"/>
    <x v="10"/>
    <x v="0"/>
    <x v="17"/>
    <x v="17"/>
    <x v="0"/>
    <x v="0"/>
    <x v="0"/>
    <x v="25"/>
    <x v="0"/>
    <x v="0"/>
    <x v="1"/>
    <x v="1"/>
  </r>
  <r>
    <x v="720"/>
    <x v="1"/>
    <x v="25"/>
    <x v="703"/>
    <x v="588"/>
    <x v="819"/>
    <x v="1"/>
    <x v="0"/>
    <x v="703"/>
    <x v="0"/>
    <x v="0"/>
    <x v="0"/>
    <x v="0"/>
    <x v="0"/>
    <x v="2"/>
    <x v="819"/>
    <x v="807"/>
    <x v="703"/>
    <x v="1"/>
    <x v="10"/>
    <x v="0"/>
    <x v="17"/>
    <x v="17"/>
    <x v="0"/>
    <x v="0"/>
    <x v="0"/>
    <x v="25"/>
    <x v="0"/>
    <x v="0"/>
    <x v="1"/>
    <x v="1"/>
  </r>
  <r>
    <x v="719"/>
    <x v="1"/>
    <x v="25"/>
    <x v="702"/>
    <x v="586"/>
    <x v="817"/>
    <x v="1"/>
    <x v="0"/>
    <x v="702"/>
    <x v="0"/>
    <x v="0"/>
    <x v="0"/>
    <x v="0"/>
    <x v="0"/>
    <x v="2"/>
    <x v="817"/>
    <x v="805"/>
    <x v="702"/>
    <x v="1"/>
    <x v="10"/>
    <x v="0"/>
    <x v="17"/>
    <x v="17"/>
    <x v="0"/>
    <x v="0"/>
    <x v="0"/>
    <x v="25"/>
    <x v="0"/>
    <x v="0"/>
    <x v="1"/>
    <x v="1"/>
  </r>
  <r>
    <x v="718"/>
    <x v="1"/>
    <x v="25"/>
    <x v="701"/>
    <x v="584"/>
    <x v="815"/>
    <x v="1"/>
    <x v="0"/>
    <x v="701"/>
    <x v="0"/>
    <x v="0"/>
    <x v="0"/>
    <x v="0"/>
    <x v="0"/>
    <x v="2"/>
    <x v="815"/>
    <x v="803"/>
    <x v="701"/>
    <x v="1"/>
    <x v="10"/>
    <x v="0"/>
    <x v="17"/>
    <x v="17"/>
    <x v="0"/>
    <x v="0"/>
    <x v="0"/>
    <x v="25"/>
    <x v="0"/>
    <x v="0"/>
    <x v="1"/>
    <x v="1"/>
  </r>
  <r>
    <x v="717"/>
    <x v="1"/>
    <x v="25"/>
    <x v="700"/>
    <x v="582"/>
    <x v="813"/>
    <x v="1"/>
    <x v="0"/>
    <x v="700"/>
    <x v="0"/>
    <x v="0"/>
    <x v="0"/>
    <x v="0"/>
    <x v="0"/>
    <x v="2"/>
    <x v="813"/>
    <x v="801"/>
    <x v="700"/>
    <x v="1"/>
    <x v="10"/>
    <x v="0"/>
    <x v="17"/>
    <x v="17"/>
    <x v="0"/>
    <x v="0"/>
    <x v="0"/>
    <x v="25"/>
    <x v="0"/>
    <x v="0"/>
    <x v="1"/>
    <x v="1"/>
  </r>
  <r>
    <x v="716"/>
    <x v="1"/>
    <x v="25"/>
    <x v="699"/>
    <x v="640"/>
    <x v="866"/>
    <x v="1"/>
    <x v="0"/>
    <x v="699"/>
    <x v="0"/>
    <x v="0"/>
    <x v="0"/>
    <x v="0"/>
    <x v="0"/>
    <x v="2"/>
    <x v="866"/>
    <x v="854"/>
    <x v="699"/>
    <x v="1"/>
    <x v="10"/>
    <x v="0"/>
    <x v="17"/>
    <x v="17"/>
    <x v="0"/>
    <x v="0"/>
    <x v="0"/>
    <x v="25"/>
    <x v="0"/>
    <x v="0"/>
    <x v="1"/>
    <x v="1"/>
  </r>
  <r>
    <x v="715"/>
    <x v="1"/>
    <x v="25"/>
    <x v="698"/>
    <x v="636"/>
    <x v="862"/>
    <x v="1"/>
    <x v="0"/>
    <x v="698"/>
    <x v="0"/>
    <x v="0"/>
    <x v="0"/>
    <x v="0"/>
    <x v="0"/>
    <x v="2"/>
    <x v="862"/>
    <x v="850"/>
    <x v="698"/>
    <x v="1"/>
    <x v="10"/>
    <x v="0"/>
    <x v="17"/>
    <x v="17"/>
    <x v="0"/>
    <x v="0"/>
    <x v="0"/>
    <x v="25"/>
    <x v="0"/>
    <x v="0"/>
    <x v="1"/>
    <x v="1"/>
  </r>
  <r>
    <x v="714"/>
    <x v="1"/>
    <x v="25"/>
    <x v="697"/>
    <x v="614"/>
    <x v="842"/>
    <x v="1"/>
    <x v="0"/>
    <x v="697"/>
    <x v="0"/>
    <x v="0"/>
    <x v="0"/>
    <x v="0"/>
    <x v="0"/>
    <x v="2"/>
    <x v="842"/>
    <x v="830"/>
    <x v="697"/>
    <x v="1"/>
    <x v="10"/>
    <x v="0"/>
    <x v="17"/>
    <x v="17"/>
    <x v="0"/>
    <x v="0"/>
    <x v="0"/>
    <x v="25"/>
    <x v="0"/>
    <x v="0"/>
    <x v="1"/>
    <x v="1"/>
  </r>
  <r>
    <x v="713"/>
    <x v="1"/>
    <x v="25"/>
    <x v="696"/>
    <x v="621"/>
    <x v="847"/>
    <x v="1"/>
    <x v="0"/>
    <x v="696"/>
    <x v="0"/>
    <x v="0"/>
    <x v="0"/>
    <x v="0"/>
    <x v="0"/>
    <x v="2"/>
    <x v="847"/>
    <x v="835"/>
    <x v="696"/>
    <x v="1"/>
    <x v="10"/>
    <x v="0"/>
    <x v="17"/>
    <x v="17"/>
    <x v="0"/>
    <x v="0"/>
    <x v="0"/>
    <x v="25"/>
    <x v="0"/>
    <x v="0"/>
    <x v="1"/>
    <x v="1"/>
  </r>
  <r>
    <x v="712"/>
    <x v="1"/>
    <x v="25"/>
    <x v="695"/>
    <x v="638"/>
    <x v="864"/>
    <x v="1"/>
    <x v="0"/>
    <x v="695"/>
    <x v="0"/>
    <x v="0"/>
    <x v="0"/>
    <x v="0"/>
    <x v="0"/>
    <x v="2"/>
    <x v="864"/>
    <x v="852"/>
    <x v="695"/>
    <x v="1"/>
    <x v="10"/>
    <x v="0"/>
    <x v="17"/>
    <x v="17"/>
    <x v="0"/>
    <x v="0"/>
    <x v="0"/>
    <x v="25"/>
    <x v="0"/>
    <x v="0"/>
    <x v="1"/>
    <x v="1"/>
  </r>
  <r>
    <x v="711"/>
    <x v="1"/>
    <x v="25"/>
    <x v="694"/>
    <x v="632"/>
    <x v="859"/>
    <x v="1"/>
    <x v="0"/>
    <x v="694"/>
    <x v="0"/>
    <x v="0"/>
    <x v="0"/>
    <x v="0"/>
    <x v="0"/>
    <x v="2"/>
    <x v="859"/>
    <x v="847"/>
    <x v="694"/>
    <x v="1"/>
    <x v="10"/>
    <x v="0"/>
    <x v="17"/>
    <x v="17"/>
    <x v="0"/>
    <x v="0"/>
    <x v="0"/>
    <x v="25"/>
    <x v="0"/>
    <x v="0"/>
    <x v="1"/>
    <x v="1"/>
  </r>
  <r>
    <x v="710"/>
    <x v="1"/>
    <x v="25"/>
    <x v="693"/>
    <x v="601"/>
    <x v="830"/>
    <x v="1"/>
    <x v="0"/>
    <x v="693"/>
    <x v="0"/>
    <x v="0"/>
    <x v="0"/>
    <x v="0"/>
    <x v="0"/>
    <x v="2"/>
    <x v="830"/>
    <x v="818"/>
    <x v="693"/>
    <x v="1"/>
    <x v="10"/>
    <x v="0"/>
    <x v="17"/>
    <x v="17"/>
    <x v="0"/>
    <x v="0"/>
    <x v="0"/>
    <x v="25"/>
    <x v="0"/>
    <x v="0"/>
    <x v="1"/>
    <x v="1"/>
  </r>
  <r>
    <x v="709"/>
    <x v="1"/>
    <x v="25"/>
    <x v="692"/>
    <x v="603"/>
    <x v="832"/>
    <x v="1"/>
    <x v="0"/>
    <x v="692"/>
    <x v="0"/>
    <x v="0"/>
    <x v="0"/>
    <x v="0"/>
    <x v="0"/>
    <x v="2"/>
    <x v="832"/>
    <x v="820"/>
    <x v="692"/>
    <x v="1"/>
    <x v="10"/>
    <x v="0"/>
    <x v="17"/>
    <x v="17"/>
    <x v="0"/>
    <x v="0"/>
    <x v="0"/>
    <x v="25"/>
    <x v="0"/>
    <x v="0"/>
    <x v="1"/>
    <x v="1"/>
  </r>
  <r>
    <x v="708"/>
    <x v="1"/>
    <x v="25"/>
    <x v="691"/>
    <x v="630"/>
    <x v="857"/>
    <x v="1"/>
    <x v="0"/>
    <x v="691"/>
    <x v="0"/>
    <x v="0"/>
    <x v="0"/>
    <x v="0"/>
    <x v="0"/>
    <x v="2"/>
    <x v="857"/>
    <x v="845"/>
    <x v="691"/>
    <x v="1"/>
    <x v="10"/>
    <x v="0"/>
    <x v="17"/>
    <x v="17"/>
    <x v="0"/>
    <x v="0"/>
    <x v="0"/>
    <x v="25"/>
    <x v="0"/>
    <x v="0"/>
    <x v="1"/>
    <x v="1"/>
  </r>
  <r>
    <x v="707"/>
    <x v="1"/>
    <x v="25"/>
    <x v="690"/>
    <x v="618"/>
    <x v="845"/>
    <x v="1"/>
    <x v="0"/>
    <x v="690"/>
    <x v="0"/>
    <x v="0"/>
    <x v="0"/>
    <x v="0"/>
    <x v="0"/>
    <x v="2"/>
    <x v="845"/>
    <x v="833"/>
    <x v="690"/>
    <x v="1"/>
    <x v="10"/>
    <x v="0"/>
    <x v="17"/>
    <x v="17"/>
    <x v="0"/>
    <x v="0"/>
    <x v="0"/>
    <x v="25"/>
    <x v="0"/>
    <x v="0"/>
    <x v="1"/>
    <x v="1"/>
  </r>
  <r>
    <x v="706"/>
    <x v="1"/>
    <x v="25"/>
    <x v="689"/>
    <x v="625"/>
    <x v="852"/>
    <x v="1"/>
    <x v="0"/>
    <x v="689"/>
    <x v="0"/>
    <x v="0"/>
    <x v="0"/>
    <x v="0"/>
    <x v="0"/>
    <x v="2"/>
    <x v="852"/>
    <x v="840"/>
    <x v="689"/>
    <x v="1"/>
    <x v="10"/>
    <x v="0"/>
    <x v="17"/>
    <x v="17"/>
    <x v="0"/>
    <x v="0"/>
    <x v="0"/>
    <x v="25"/>
    <x v="0"/>
    <x v="0"/>
    <x v="1"/>
    <x v="1"/>
  </r>
  <r>
    <x v="705"/>
    <x v="1"/>
    <x v="25"/>
    <x v="688"/>
    <x v="623"/>
    <x v="850"/>
    <x v="1"/>
    <x v="0"/>
    <x v="688"/>
    <x v="0"/>
    <x v="0"/>
    <x v="0"/>
    <x v="0"/>
    <x v="0"/>
    <x v="2"/>
    <x v="850"/>
    <x v="838"/>
    <x v="688"/>
    <x v="1"/>
    <x v="10"/>
    <x v="0"/>
    <x v="17"/>
    <x v="17"/>
    <x v="0"/>
    <x v="0"/>
    <x v="0"/>
    <x v="25"/>
    <x v="0"/>
    <x v="0"/>
    <x v="1"/>
    <x v="1"/>
  </r>
  <r>
    <x v="704"/>
    <x v="1"/>
    <x v="25"/>
    <x v="687"/>
    <x v="615"/>
    <x v="844"/>
    <x v="1"/>
    <x v="0"/>
    <x v="687"/>
    <x v="0"/>
    <x v="0"/>
    <x v="0"/>
    <x v="0"/>
    <x v="0"/>
    <x v="2"/>
    <x v="844"/>
    <x v="832"/>
    <x v="687"/>
    <x v="1"/>
    <x v="10"/>
    <x v="0"/>
    <x v="17"/>
    <x v="17"/>
    <x v="0"/>
    <x v="0"/>
    <x v="0"/>
    <x v="25"/>
    <x v="0"/>
    <x v="0"/>
    <x v="1"/>
    <x v="1"/>
  </r>
  <r>
    <x v="703"/>
    <x v="1"/>
    <x v="25"/>
    <x v="686"/>
    <x v="605"/>
    <x v="834"/>
    <x v="1"/>
    <x v="0"/>
    <x v="686"/>
    <x v="0"/>
    <x v="0"/>
    <x v="0"/>
    <x v="0"/>
    <x v="0"/>
    <x v="2"/>
    <x v="834"/>
    <x v="822"/>
    <x v="686"/>
    <x v="1"/>
    <x v="10"/>
    <x v="0"/>
    <x v="17"/>
    <x v="17"/>
    <x v="0"/>
    <x v="0"/>
    <x v="0"/>
    <x v="25"/>
    <x v="0"/>
    <x v="0"/>
    <x v="1"/>
    <x v="1"/>
  </r>
  <r>
    <x v="702"/>
    <x v="1"/>
    <x v="25"/>
    <x v="685"/>
    <x v="599"/>
    <x v="828"/>
    <x v="1"/>
    <x v="0"/>
    <x v="685"/>
    <x v="0"/>
    <x v="0"/>
    <x v="0"/>
    <x v="0"/>
    <x v="0"/>
    <x v="2"/>
    <x v="828"/>
    <x v="816"/>
    <x v="685"/>
    <x v="1"/>
    <x v="10"/>
    <x v="0"/>
    <x v="17"/>
    <x v="17"/>
    <x v="0"/>
    <x v="0"/>
    <x v="0"/>
    <x v="25"/>
    <x v="0"/>
    <x v="0"/>
    <x v="1"/>
    <x v="1"/>
  </r>
  <r>
    <x v="701"/>
    <x v="1"/>
    <x v="25"/>
    <x v="684"/>
    <x v="634"/>
    <x v="861"/>
    <x v="1"/>
    <x v="0"/>
    <x v="684"/>
    <x v="0"/>
    <x v="0"/>
    <x v="0"/>
    <x v="0"/>
    <x v="0"/>
    <x v="2"/>
    <x v="861"/>
    <x v="849"/>
    <x v="684"/>
    <x v="1"/>
    <x v="10"/>
    <x v="0"/>
    <x v="17"/>
    <x v="17"/>
    <x v="0"/>
    <x v="0"/>
    <x v="0"/>
    <x v="25"/>
    <x v="0"/>
    <x v="0"/>
    <x v="1"/>
    <x v="1"/>
  </r>
  <r>
    <x v="700"/>
    <x v="1"/>
    <x v="25"/>
    <x v="683"/>
    <x v="611"/>
    <x v="840"/>
    <x v="1"/>
    <x v="0"/>
    <x v="683"/>
    <x v="0"/>
    <x v="0"/>
    <x v="0"/>
    <x v="0"/>
    <x v="0"/>
    <x v="2"/>
    <x v="840"/>
    <x v="828"/>
    <x v="683"/>
    <x v="1"/>
    <x v="10"/>
    <x v="0"/>
    <x v="17"/>
    <x v="17"/>
    <x v="0"/>
    <x v="0"/>
    <x v="0"/>
    <x v="25"/>
    <x v="0"/>
    <x v="0"/>
    <x v="1"/>
    <x v="1"/>
  </r>
  <r>
    <x v="699"/>
    <x v="1"/>
    <x v="25"/>
    <x v="682"/>
    <x v="609"/>
    <x v="838"/>
    <x v="1"/>
    <x v="0"/>
    <x v="682"/>
    <x v="0"/>
    <x v="0"/>
    <x v="0"/>
    <x v="0"/>
    <x v="0"/>
    <x v="2"/>
    <x v="838"/>
    <x v="826"/>
    <x v="682"/>
    <x v="1"/>
    <x v="10"/>
    <x v="0"/>
    <x v="17"/>
    <x v="17"/>
    <x v="0"/>
    <x v="0"/>
    <x v="0"/>
    <x v="25"/>
    <x v="0"/>
    <x v="0"/>
    <x v="1"/>
    <x v="1"/>
  </r>
  <r>
    <x v="698"/>
    <x v="1"/>
    <x v="25"/>
    <x v="681"/>
    <x v="628"/>
    <x v="856"/>
    <x v="1"/>
    <x v="0"/>
    <x v="681"/>
    <x v="0"/>
    <x v="0"/>
    <x v="0"/>
    <x v="0"/>
    <x v="0"/>
    <x v="2"/>
    <x v="856"/>
    <x v="844"/>
    <x v="681"/>
    <x v="1"/>
    <x v="10"/>
    <x v="0"/>
    <x v="17"/>
    <x v="17"/>
    <x v="0"/>
    <x v="0"/>
    <x v="0"/>
    <x v="25"/>
    <x v="0"/>
    <x v="0"/>
    <x v="1"/>
    <x v="1"/>
  </r>
  <r>
    <x v="697"/>
    <x v="1"/>
    <x v="25"/>
    <x v="680"/>
    <x v="627"/>
    <x v="854"/>
    <x v="1"/>
    <x v="0"/>
    <x v="680"/>
    <x v="0"/>
    <x v="0"/>
    <x v="0"/>
    <x v="0"/>
    <x v="0"/>
    <x v="2"/>
    <x v="854"/>
    <x v="842"/>
    <x v="680"/>
    <x v="1"/>
    <x v="10"/>
    <x v="0"/>
    <x v="17"/>
    <x v="17"/>
    <x v="0"/>
    <x v="0"/>
    <x v="0"/>
    <x v="25"/>
    <x v="0"/>
    <x v="0"/>
    <x v="1"/>
    <x v="1"/>
  </r>
  <r>
    <x v="696"/>
    <x v="1"/>
    <x v="25"/>
    <x v="679"/>
    <x v="597"/>
    <x v="826"/>
    <x v="1"/>
    <x v="0"/>
    <x v="679"/>
    <x v="0"/>
    <x v="0"/>
    <x v="0"/>
    <x v="0"/>
    <x v="0"/>
    <x v="2"/>
    <x v="826"/>
    <x v="814"/>
    <x v="679"/>
    <x v="1"/>
    <x v="10"/>
    <x v="0"/>
    <x v="17"/>
    <x v="17"/>
    <x v="0"/>
    <x v="0"/>
    <x v="0"/>
    <x v="25"/>
    <x v="0"/>
    <x v="0"/>
    <x v="1"/>
    <x v="1"/>
  </r>
  <r>
    <x v="695"/>
    <x v="1"/>
    <x v="25"/>
    <x v="678"/>
    <x v="607"/>
    <x v="836"/>
    <x v="1"/>
    <x v="0"/>
    <x v="678"/>
    <x v="0"/>
    <x v="0"/>
    <x v="0"/>
    <x v="0"/>
    <x v="0"/>
    <x v="2"/>
    <x v="836"/>
    <x v="824"/>
    <x v="678"/>
    <x v="1"/>
    <x v="10"/>
    <x v="0"/>
    <x v="17"/>
    <x v="17"/>
    <x v="0"/>
    <x v="0"/>
    <x v="0"/>
    <x v="25"/>
    <x v="0"/>
    <x v="0"/>
    <x v="1"/>
    <x v="1"/>
  </r>
  <r>
    <x v="694"/>
    <x v="1"/>
    <x v="25"/>
    <x v="677"/>
    <x v="591"/>
    <x v="820"/>
    <x v="1"/>
    <x v="0"/>
    <x v="677"/>
    <x v="0"/>
    <x v="0"/>
    <x v="0"/>
    <x v="0"/>
    <x v="0"/>
    <x v="2"/>
    <x v="820"/>
    <x v="808"/>
    <x v="677"/>
    <x v="1"/>
    <x v="10"/>
    <x v="0"/>
    <x v="17"/>
    <x v="17"/>
    <x v="0"/>
    <x v="0"/>
    <x v="0"/>
    <x v="25"/>
    <x v="0"/>
    <x v="0"/>
    <x v="1"/>
    <x v="1"/>
  </r>
  <r>
    <x v="693"/>
    <x v="1"/>
    <x v="25"/>
    <x v="676"/>
    <x v="583"/>
    <x v="812"/>
    <x v="1"/>
    <x v="0"/>
    <x v="676"/>
    <x v="0"/>
    <x v="0"/>
    <x v="0"/>
    <x v="0"/>
    <x v="0"/>
    <x v="2"/>
    <x v="812"/>
    <x v="800"/>
    <x v="676"/>
    <x v="1"/>
    <x v="10"/>
    <x v="0"/>
    <x v="17"/>
    <x v="17"/>
    <x v="0"/>
    <x v="0"/>
    <x v="0"/>
    <x v="25"/>
    <x v="0"/>
    <x v="0"/>
    <x v="1"/>
    <x v="1"/>
  </r>
  <r>
    <x v="692"/>
    <x v="1"/>
    <x v="25"/>
    <x v="675"/>
    <x v="595"/>
    <x v="824"/>
    <x v="1"/>
    <x v="0"/>
    <x v="675"/>
    <x v="0"/>
    <x v="0"/>
    <x v="0"/>
    <x v="0"/>
    <x v="0"/>
    <x v="2"/>
    <x v="824"/>
    <x v="812"/>
    <x v="675"/>
    <x v="1"/>
    <x v="10"/>
    <x v="0"/>
    <x v="17"/>
    <x v="17"/>
    <x v="0"/>
    <x v="0"/>
    <x v="0"/>
    <x v="25"/>
    <x v="0"/>
    <x v="0"/>
    <x v="1"/>
    <x v="1"/>
  </r>
  <r>
    <x v="691"/>
    <x v="1"/>
    <x v="25"/>
    <x v="674"/>
    <x v="593"/>
    <x v="822"/>
    <x v="1"/>
    <x v="0"/>
    <x v="674"/>
    <x v="0"/>
    <x v="0"/>
    <x v="0"/>
    <x v="0"/>
    <x v="0"/>
    <x v="2"/>
    <x v="822"/>
    <x v="810"/>
    <x v="674"/>
    <x v="1"/>
    <x v="10"/>
    <x v="0"/>
    <x v="17"/>
    <x v="17"/>
    <x v="0"/>
    <x v="0"/>
    <x v="0"/>
    <x v="25"/>
    <x v="0"/>
    <x v="0"/>
    <x v="1"/>
    <x v="1"/>
  </r>
  <r>
    <x v="690"/>
    <x v="1"/>
    <x v="25"/>
    <x v="673"/>
    <x v="587"/>
    <x v="816"/>
    <x v="1"/>
    <x v="0"/>
    <x v="673"/>
    <x v="0"/>
    <x v="0"/>
    <x v="0"/>
    <x v="0"/>
    <x v="0"/>
    <x v="2"/>
    <x v="816"/>
    <x v="804"/>
    <x v="673"/>
    <x v="1"/>
    <x v="10"/>
    <x v="0"/>
    <x v="17"/>
    <x v="17"/>
    <x v="0"/>
    <x v="0"/>
    <x v="0"/>
    <x v="25"/>
    <x v="0"/>
    <x v="0"/>
    <x v="1"/>
    <x v="1"/>
  </r>
  <r>
    <x v="689"/>
    <x v="1"/>
    <x v="25"/>
    <x v="672"/>
    <x v="585"/>
    <x v="814"/>
    <x v="1"/>
    <x v="0"/>
    <x v="672"/>
    <x v="0"/>
    <x v="0"/>
    <x v="0"/>
    <x v="0"/>
    <x v="0"/>
    <x v="2"/>
    <x v="814"/>
    <x v="802"/>
    <x v="672"/>
    <x v="1"/>
    <x v="10"/>
    <x v="0"/>
    <x v="17"/>
    <x v="17"/>
    <x v="0"/>
    <x v="0"/>
    <x v="0"/>
    <x v="25"/>
    <x v="0"/>
    <x v="0"/>
    <x v="1"/>
    <x v="1"/>
  </r>
  <r>
    <x v="688"/>
    <x v="1"/>
    <x v="25"/>
    <x v="671"/>
    <x v="589"/>
    <x v="818"/>
    <x v="1"/>
    <x v="0"/>
    <x v="671"/>
    <x v="0"/>
    <x v="0"/>
    <x v="0"/>
    <x v="0"/>
    <x v="0"/>
    <x v="2"/>
    <x v="818"/>
    <x v="806"/>
    <x v="671"/>
    <x v="1"/>
    <x v="10"/>
    <x v="0"/>
    <x v="17"/>
    <x v="17"/>
    <x v="0"/>
    <x v="0"/>
    <x v="0"/>
    <x v="25"/>
    <x v="0"/>
    <x v="0"/>
    <x v="1"/>
    <x v="1"/>
  </r>
  <r>
    <x v="687"/>
    <x v="1"/>
    <x v="25"/>
    <x v="670"/>
    <x v="504"/>
    <x v="784"/>
    <x v="1"/>
    <x v="0"/>
    <x v="670"/>
    <x v="0"/>
    <x v="0"/>
    <x v="0"/>
    <x v="0"/>
    <x v="0"/>
    <x v="2"/>
    <x v="784"/>
    <x v="772"/>
    <x v="670"/>
    <x v="1"/>
    <x v="10"/>
    <x v="0"/>
    <x v="17"/>
    <x v="17"/>
    <x v="0"/>
    <x v="0"/>
    <x v="0"/>
    <x v="25"/>
    <x v="0"/>
    <x v="0"/>
    <x v="1"/>
    <x v="1"/>
  </r>
  <r>
    <x v="686"/>
    <x v="1"/>
    <x v="25"/>
    <x v="669"/>
    <x v="497"/>
    <x v="778"/>
    <x v="1"/>
    <x v="0"/>
    <x v="669"/>
    <x v="0"/>
    <x v="0"/>
    <x v="0"/>
    <x v="0"/>
    <x v="0"/>
    <x v="2"/>
    <x v="778"/>
    <x v="766"/>
    <x v="669"/>
    <x v="1"/>
    <x v="10"/>
    <x v="0"/>
    <x v="17"/>
    <x v="17"/>
    <x v="0"/>
    <x v="0"/>
    <x v="0"/>
    <x v="25"/>
    <x v="0"/>
    <x v="0"/>
    <x v="1"/>
    <x v="1"/>
  </r>
  <r>
    <x v="685"/>
    <x v="1"/>
    <x v="25"/>
    <x v="668"/>
    <x v="494"/>
    <x v="775"/>
    <x v="1"/>
    <x v="0"/>
    <x v="668"/>
    <x v="0"/>
    <x v="0"/>
    <x v="0"/>
    <x v="0"/>
    <x v="0"/>
    <x v="2"/>
    <x v="775"/>
    <x v="763"/>
    <x v="668"/>
    <x v="1"/>
    <x v="10"/>
    <x v="0"/>
    <x v="17"/>
    <x v="17"/>
    <x v="0"/>
    <x v="0"/>
    <x v="0"/>
    <x v="25"/>
    <x v="0"/>
    <x v="0"/>
    <x v="1"/>
    <x v="1"/>
  </r>
  <r>
    <x v="684"/>
    <x v="1"/>
    <x v="25"/>
    <x v="667"/>
    <x v="491"/>
    <x v="773"/>
    <x v="1"/>
    <x v="0"/>
    <x v="667"/>
    <x v="0"/>
    <x v="0"/>
    <x v="0"/>
    <x v="0"/>
    <x v="0"/>
    <x v="2"/>
    <x v="773"/>
    <x v="761"/>
    <x v="667"/>
    <x v="1"/>
    <x v="10"/>
    <x v="0"/>
    <x v="17"/>
    <x v="17"/>
    <x v="0"/>
    <x v="0"/>
    <x v="0"/>
    <x v="25"/>
    <x v="0"/>
    <x v="0"/>
    <x v="1"/>
    <x v="1"/>
  </r>
  <r>
    <x v="683"/>
    <x v="1"/>
    <x v="25"/>
    <x v="666"/>
    <x v="488"/>
    <x v="769"/>
    <x v="1"/>
    <x v="0"/>
    <x v="666"/>
    <x v="0"/>
    <x v="0"/>
    <x v="0"/>
    <x v="0"/>
    <x v="0"/>
    <x v="2"/>
    <x v="769"/>
    <x v="757"/>
    <x v="666"/>
    <x v="1"/>
    <x v="10"/>
    <x v="0"/>
    <x v="17"/>
    <x v="17"/>
    <x v="0"/>
    <x v="0"/>
    <x v="0"/>
    <x v="25"/>
    <x v="0"/>
    <x v="0"/>
    <x v="1"/>
    <x v="1"/>
  </r>
  <r>
    <x v="682"/>
    <x v="1"/>
    <x v="25"/>
    <x v="665"/>
    <x v="473"/>
    <x v="759"/>
    <x v="1"/>
    <x v="0"/>
    <x v="665"/>
    <x v="0"/>
    <x v="0"/>
    <x v="0"/>
    <x v="0"/>
    <x v="0"/>
    <x v="2"/>
    <x v="759"/>
    <x v="747"/>
    <x v="665"/>
    <x v="1"/>
    <x v="10"/>
    <x v="0"/>
    <x v="17"/>
    <x v="17"/>
    <x v="0"/>
    <x v="0"/>
    <x v="0"/>
    <x v="25"/>
    <x v="0"/>
    <x v="0"/>
    <x v="1"/>
    <x v="1"/>
  </r>
  <r>
    <x v="681"/>
    <x v="1"/>
    <x v="25"/>
    <x v="664"/>
    <x v="468"/>
    <x v="754"/>
    <x v="1"/>
    <x v="0"/>
    <x v="664"/>
    <x v="0"/>
    <x v="0"/>
    <x v="0"/>
    <x v="0"/>
    <x v="0"/>
    <x v="2"/>
    <x v="754"/>
    <x v="742"/>
    <x v="664"/>
    <x v="1"/>
    <x v="10"/>
    <x v="0"/>
    <x v="17"/>
    <x v="17"/>
    <x v="0"/>
    <x v="0"/>
    <x v="0"/>
    <x v="25"/>
    <x v="0"/>
    <x v="0"/>
    <x v="1"/>
    <x v="1"/>
  </r>
  <r>
    <x v="680"/>
    <x v="1"/>
    <x v="25"/>
    <x v="663"/>
    <x v="502"/>
    <x v="781"/>
    <x v="1"/>
    <x v="0"/>
    <x v="663"/>
    <x v="0"/>
    <x v="0"/>
    <x v="0"/>
    <x v="0"/>
    <x v="0"/>
    <x v="2"/>
    <x v="781"/>
    <x v="769"/>
    <x v="663"/>
    <x v="1"/>
    <x v="10"/>
    <x v="0"/>
    <x v="17"/>
    <x v="17"/>
    <x v="0"/>
    <x v="0"/>
    <x v="0"/>
    <x v="25"/>
    <x v="0"/>
    <x v="0"/>
    <x v="1"/>
    <x v="1"/>
  </r>
  <r>
    <x v="679"/>
    <x v="1"/>
    <x v="25"/>
    <x v="662"/>
    <x v="492"/>
    <x v="772"/>
    <x v="1"/>
    <x v="0"/>
    <x v="662"/>
    <x v="0"/>
    <x v="0"/>
    <x v="0"/>
    <x v="0"/>
    <x v="0"/>
    <x v="2"/>
    <x v="772"/>
    <x v="760"/>
    <x v="662"/>
    <x v="1"/>
    <x v="10"/>
    <x v="0"/>
    <x v="17"/>
    <x v="17"/>
    <x v="0"/>
    <x v="0"/>
    <x v="0"/>
    <x v="25"/>
    <x v="0"/>
    <x v="0"/>
    <x v="1"/>
    <x v="1"/>
  </r>
  <r>
    <x v="678"/>
    <x v="1"/>
    <x v="25"/>
    <x v="661"/>
    <x v="495"/>
    <x v="776"/>
    <x v="1"/>
    <x v="0"/>
    <x v="661"/>
    <x v="0"/>
    <x v="0"/>
    <x v="0"/>
    <x v="0"/>
    <x v="0"/>
    <x v="2"/>
    <x v="776"/>
    <x v="764"/>
    <x v="661"/>
    <x v="1"/>
    <x v="10"/>
    <x v="0"/>
    <x v="17"/>
    <x v="17"/>
    <x v="0"/>
    <x v="0"/>
    <x v="0"/>
    <x v="25"/>
    <x v="0"/>
    <x v="0"/>
    <x v="1"/>
    <x v="1"/>
  </r>
  <r>
    <x v="677"/>
    <x v="1"/>
    <x v="25"/>
    <x v="660"/>
    <x v="490"/>
    <x v="771"/>
    <x v="1"/>
    <x v="0"/>
    <x v="660"/>
    <x v="0"/>
    <x v="0"/>
    <x v="0"/>
    <x v="0"/>
    <x v="0"/>
    <x v="2"/>
    <x v="771"/>
    <x v="759"/>
    <x v="660"/>
    <x v="1"/>
    <x v="10"/>
    <x v="0"/>
    <x v="17"/>
    <x v="17"/>
    <x v="0"/>
    <x v="0"/>
    <x v="0"/>
    <x v="25"/>
    <x v="0"/>
    <x v="0"/>
    <x v="1"/>
    <x v="1"/>
  </r>
  <r>
    <x v="676"/>
    <x v="1"/>
    <x v="25"/>
    <x v="659"/>
    <x v="477"/>
    <x v="761"/>
    <x v="1"/>
    <x v="0"/>
    <x v="659"/>
    <x v="0"/>
    <x v="0"/>
    <x v="0"/>
    <x v="0"/>
    <x v="0"/>
    <x v="2"/>
    <x v="761"/>
    <x v="749"/>
    <x v="659"/>
    <x v="1"/>
    <x v="10"/>
    <x v="0"/>
    <x v="17"/>
    <x v="17"/>
    <x v="0"/>
    <x v="0"/>
    <x v="0"/>
    <x v="25"/>
    <x v="0"/>
    <x v="0"/>
    <x v="1"/>
    <x v="1"/>
  </r>
  <r>
    <x v="675"/>
    <x v="1"/>
    <x v="25"/>
    <x v="658"/>
    <x v="481"/>
    <x v="764"/>
    <x v="1"/>
    <x v="0"/>
    <x v="658"/>
    <x v="0"/>
    <x v="0"/>
    <x v="0"/>
    <x v="0"/>
    <x v="0"/>
    <x v="2"/>
    <x v="764"/>
    <x v="752"/>
    <x v="658"/>
    <x v="1"/>
    <x v="10"/>
    <x v="0"/>
    <x v="17"/>
    <x v="17"/>
    <x v="0"/>
    <x v="0"/>
    <x v="0"/>
    <x v="25"/>
    <x v="0"/>
    <x v="0"/>
    <x v="1"/>
    <x v="1"/>
  </r>
  <r>
    <x v="674"/>
    <x v="1"/>
    <x v="25"/>
    <x v="657"/>
    <x v="498"/>
    <x v="779"/>
    <x v="1"/>
    <x v="0"/>
    <x v="657"/>
    <x v="0"/>
    <x v="0"/>
    <x v="0"/>
    <x v="0"/>
    <x v="0"/>
    <x v="2"/>
    <x v="779"/>
    <x v="767"/>
    <x v="657"/>
    <x v="1"/>
    <x v="10"/>
    <x v="0"/>
    <x v="17"/>
    <x v="17"/>
    <x v="0"/>
    <x v="0"/>
    <x v="0"/>
    <x v="25"/>
    <x v="0"/>
    <x v="0"/>
    <x v="1"/>
    <x v="1"/>
  </r>
  <r>
    <x v="673"/>
    <x v="1"/>
    <x v="25"/>
    <x v="656"/>
    <x v="489"/>
    <x v="770"/>
    <x v="1"/>
    <x v="0"/>
    <x v="656"/>
    <x v="0"/>
    <x v="0"/>
    <x v="0"/>
    <x v="0"/>
    <x v="0"/>
    <x v="2"/>
    <x v="770"/>
    <x v="758"/>
    <x v="656"/>
    <x v="1"/>
    <x v="10"/>
    <x v="0"/>
    <x v="17"/>
    <x v="17"/>
    <x v="0"/>
    <x v="0"/>
    <x v="0"/>
    <x v="25"/>
    <x v="0"/>
    <x v="0"/>
    <x v="1"/>
    <x v="1"/>
  </r>
  <r>
    <x v="672"/>
    <x v="1"/>
    <x v="25"/>
    <x v="655"/>
    <x v="486"/>
    <x v="767"/>
    <x v="1"/>
    <x v="0"/>
    <x v="655"/>
    <x v="0"/>
    <x v="0"/>
    <x v="0"/>
    <x v="0"/>
    <x v="0"/>
    <x v="2"/>
    <x v="767"/>
    <x v="755"/>
    <x v="655"/>
    <x v="1"/>
    <x v="10"/>
    <x v="0"/>
    <x v="17"/>
    <x v="17"/>
    <x v="0"/>
    <x v="0"/>
    <x v="0"/>
    <x v="25"/>
    <x v="0"/>
    <x v="0"/>
    <x v="1"/>
    <x v="1"/>
  </r>
  <r>
    <x v="671"/>
    <x v="1"/>
    <x v="25"/>
    <x v="654"/>
    <x v="485"/>
    <x v="766"/>
    <x v="1"/>
    <x v="0"/>
    <x v="654"/>
    <x v="0"/>
    <x v="0"/>
    <x v="0"/>
    <x v="0"/>
    <x v="0"/>
    <x v="2"/>
    <x v="766"/>
    <x v="754"/>
    <x v="654"/>
    <x v="1"/>
    <x v="10"/>
    <x v="0"/>
    <x v="17"/>
    <x v="17"/>
    <x v="0"/>
    <x v="0"/>
    <x v="0"/>
    <x v="25"/>
    <x v="0"/>
    <x v="0"/>
    <x v="1"/>
    <x v="1"/>
  </r>
  <r>
    <x v="670"/>
    <x v="1"/>
    <x v="25"/>
    <x v="653"/>
    <x v="484"/>
    <x v="765"/>
    <x v="1"/>
    <x v="0"/>
    <x v="653"/>
    <x v="0"/>
    <x v="0"/>
    <x v="0"/>
    <x v="0"/>
    <x v="0"/>
    <x v="2"/>
    <x v="765"/>
    <x v="753"/>
    <x v="653"/>
    <x v="1"/>
    <x v="10"/>
    <x v="0"/>
    <x v="17"/>
    <x v="17"/>
    <x v="0"/>
    <x v="0"/>
    <x v="0"/>
    <x v="25"/>
    <x v="0"/>
    <x v="0"/>
    <x v="1"/>
    <x v="1"/>
  </r>
  <r>
    <x v="669"/>
    <x v="1"/>
    <x v="25"/>
    <x v="652"/>
    <x v="475"/>
    <x v="760"/>
    <x v="1"/>
    <x v="0"/>
    <x v="652"/>
    <x v="0"/>
    <x v="0"/>
    <x v="0"/>
    <x v="0"/>
    <x v="0"/>
    <x v="2"/>
    <x v="760"/>
    <x v="748"/>
    <x v="652"/>
    <x v="1"/>
    <x v="10"/>
    <x v="0"/>
    <x v="17"/>
    <x v="17"/>
    <x v="0"/>
    <x v="0"/>
    <x v="0"/>
    <x v="25"/>
    <x v="0"/>
    <x v="0"/>
    <x v="1"/>
    <x v="1"/>
  </r>
  <r>
    <x v="668"/>
    <x v="1"/>
    <x v="25"/>
    <x v="651"/>
    <x v="503"/>
    <x v="783"/>
    <x v="1"/>
    <x v="0"/>
    <x v="651"/>
    <x v="0"/>
    <x v="0"/>
    <x v="0"/>
    <x v="0"/>
    <x v="0"/>
    <x v="2"/>
    <x v="783"/>
    <x v="771"/>
    <x v="651"/>
    <x v="1"/>
    <x v="10"/>
    <x v="0"/>
    <x v="17"/>
    <x v="17"/>
    <x v="0"/>
    <x v="0"/>
    <x v="0"/>
    <x v="25"/>
    <x v="0"/>
    <x v="0"/>
    <x v="1"/>
    <x v="1"/>
  </r>
  <r>
    <x v="667"/>
    <x v="1"/>
    <x v="25"/>
    <x v="650"/>
    <x v="493"/>
    <x v="774"/>
    <x v="1"/>
    <x v="0"/>
    <x v="650"/>
    <x v="0"/>
    <x v="0"/>
    <x v="0"/>
    <x v="0"/>
    <x v="0"/>
    <x v="2"/>
    <x v="774"/>
    <x v="762"/>
    <x v="650"/>
    <x v="1"/>
    <x v="10"/>
    <x v="0"/>
    <x v="17"/>
    <x v="17"/>
    <x v="0"/>
    <x v="0"/>
    <x v="0"/>
    <x v="25"/>
    <x v="0"/>
    <x v="0"/>
    <x v="1"/>
    <x v="1"/>
  </r>
  <r>
    <x v="666"/>
    <x v="1"/>
    <x v="25"/>
    <x v="649"/>
    <x v="496"/>
    <x v="777"/>
    <x v="1"/>
    <x v="0"/>
    <x v="649"/>
    <x v="0"/>
    <x v="0"/>
    <x v="0"/>
    <x v="0"/>
    <x v="0"/>
    <x v="2"/>
    <x v="777"/>
    <x v="765"/>
    <x v="649"/>
    <x v="1"/>
    <x v="10"/>
    <x v="0"/>
    <x v="17"/>
    <x v="17"/>
    <x v="0"/>
    <x v="0"/>
    <x v="0"/>
    <x v="25"/>
    <x v="0"/>
    <x v="0"/>
    <x v="1"/>
    <x v="1"/>
  </r>
  <r>
    <x v="665"/>
    <x v="1"/>
    <x v="25"/>
    <x v="648"/>
    <x v="487"/>
    <x v="768"/>
    <x v="1"/>
    <x v="0"/>
    <x v="648"/>
    <x v="0"/>
    <x v="0"/>
    <x v="0"/>
    <x v="0"/>
    <x v="0"/>
    <x v="2"/>
    <x v="768"/>
    <x v="756"/>
    <x v="648"/>
    <x v="1"/>
    <x v="10"/>
    <x v="0"/>
    <x v="17"/>
    <x v="17"/>
    <x v="0"/>
    <x v="0"/>
    <x v="0"/>
    <x v="25"/>
    <x v="0"/>
    <x v="0"/>
    <x v="1"/>
    <x v="1"/>
  </r>
  <r>
    <x v="664"/>
    <x v="1"/>
    <x v="25"/>
    <x v="647"/>
    <x v="472"/>
    <x v="758"/>
    <x v="1"/>
    <x v="0"/>
    <x v="647"/>
    <x v="0"/>
    <x v="0"/>
    <x v="0"/>
    <x v="0"/>
    <x v="0"/>
    <x v="2"/>
    <x v="758"/>
    <x v="746"/>
    <x v="647"/>
    <x v="1"/>
    <x v="10"/>
    <x v="0"/>
    <x v="17"/>
    <x v="17"/>
    <x v="0"/>
    <x v="0"/>
    <x v="0"/>
    <x v="25"/>
    <x v="0"/>
    <x v="0"/>
    <x v="1"/>
    <x v="1"/>
  </r>
  <r>
    <x v="663"/>
    <x v="1"/>
    <x v="25"/>
    <x v="646"/>
    <x v="499"/>
    <x v="780"/>
    <x v="1"/>
    <x v="0"/>
    <x v="646"/>
    <x v="0"/>
    <x v="0"/>
    <x v="0"/>
    <x v="0"/>
    <x v="0"/>
    <x v="2"/>
    <x v="780"/>
    <x v="768"/>
    <x v="646"/>
    <x v="1"/>
    <x v="10"/>
    <x v="0"/>
    <x v="17"/>
    <x v="17"/>
    <x v="0"/>
    <x v="0"/>
    <x v="0"/>
    <x v="25"/>
    <x v="0"/>
    <x v="0"/>
    <x v="1"/>
    <x v="1"/>
  </r>
  <r>
    <x v="662"/>
    <x v="1"/>
    <x v="25"/>
    <x v="645"/>
    <x v="505"/>
    <x v="785"/>
    <x v="1"/>
    <x v="0"/>
    <x v="645"/>
    <x v="0"/>
    <x v="0"/>
    <x v="0"/>
    <x v="0"/>
    <x v="0"/>
    <x v="2"/>
    <x v="785"/>
    <x v="773"/>
    <x v="645"/>
    <x v="1"/>
    <x v="10"/>
    <x v="0"/>
    <x v="17"/>
    <x v="17"/>
    <x v="0"/>
    <x v="0"/>
    <x v="0"/>
    <x v="25"/>
    <x v="0"/>
    <x v="0"/>
    <x v="1"/>
    <x v="1"/>
  </r>
  <r>
    <x v="661"/>
    <x v="1"/>
    <x v="25"/>
    <x v="644"/>
    <x v="478"/>
    <x v="763"/>
    <x v="1"/>
    <x v="0"/>
    <x v="644"/>
    <x v="0"/>
    <x v="0"/>
    <x v="0"/>
    <x v="0"/>
    <x v="0"/>
    <x v="2"/>
    <x v="763"/>
    <x v="751"/>
    <x v="644"/>
    <x v="1"/>
    <x v="10"/>
    <x v="0"/>
    <x v="17"/>
    <x v="17"/>
    <x v="0"/>
    <x v="0"/>
    <x v="0"/>
    <x v="25"/>
    <x v="0"/>
    <x v="0"/>
    <x v="1"/>
    <x v="1"/>
  </r>
  <r>
    <x v="660"/>
    <x v="1"/>
    <x v="25"/>
    <x v="643"/>
    <x v="463"/>
    <x v="751"/>
    <x v="1"/>
    <x v="0"/>
    <x v="643"/>
    <x v="0"/>
    <x v="0"/>
    <x v="0"/>
    <x v="0"/>
    <x v="0"/>
    <x v="2"/>
    <x v="751"/>
    <x v="739"/>
    <x v="643"/>
    <x v="1"/>
    <x v="10"/>
    <x v="0"/>
    <x v="17"/>
    <x v="17"/>
    <x v="0"/>
    <x v="0"/>
    <x v="0"/>
    <x v="25"/>
    <x v="0"/>
    <x v="0"/>
    <x v="1"/>
    <x v="1"/>
  </r>
  <r>
    <x v="659"/>
    <x v="1"/>
    <x v="25"/>
    <x v="642"/>
    <x v="467"/>
    <x v="755"/>
    <x v="1"/>
    <x v="0"/>
    <x v="642"/>
    <x v="0"/>
    <x v="0"/>
    <x v="0"/>
    <x v="0"/>
    <x v="0"/>
    <x v="2"/>
    <x v="755"/>
    <x v="743"/>
    <x v="642"/>
    <x v="1"/>
    <x v="10"/>
    <x v="0"/>
    <x v="17"/>
    <x v="17"/>
    <x v="0"/>
    <x v="0"/>
    <x v="0"/>
    <x v="25"/>
    <x v="0"/>
    <x v="0"/>
    <x v="1"/>
    <x v="1"/>
  </r>
  <r>
    <x v="658"/>
    <x v="1"/>
    <x v="25"/>
    <x v="641"/>
    <x v="466"/>
    <x v="753"/>
    <x v="1"/>
    <x v="0"/>
    <x v="641"/>
    <x v="0"/>
    <x v="0"/>
    <x v="0"/>
    <x v="0"/>
    <x v="0"/>
    <x v="2"/>
    <x v="753"/>
    <x v="741"/>
    <x v="641"/>
    <x v="1"/>
    <x v="10"/>
    <x v="0"/>
    <x v="17"/>
    <x v="17"/>
    <x v="0"/>
    <x v="0"/>
    <x v="0"/>
    <x v="25"/>
    <x v="0"/>
    <x v="0"/>
    <x v="1"/>
    <x v="1"/>
  </r>
  <r>
    <x v="657"/>
    <x v="1"/>
    <x v="25"/>
    <x v="640"/>
    <x v="465"/>
    <x v="752"/>
    <x v="1"/>
    <x v="0"/>
    <x v="640"/>
    <x v="0"/>
    <x v="0"/>
    <x v="0"/>
    <x v="0"/>
    <x v="0"/>
    <x v="2"/>
    <x v="752"/>
    <x v="740"/>
    <x v="640"/>
    <x v="1"/>
    <x v="10"/>
    <x v="0"/>
    <x v="17"/>
    <x v="17"/>
    <x v="0"/>
    <x v="0"/>
    <x v="0"/>
    <x v="25"/>
    <x v="0"/>
    <x v="0"/>
    <x v="1"/>
    <x v="1"/>
  </r>
  <r>
    <x v="656"/>
    <x v="1"/>
    <x v="25"/>
    <x v="639"/>
    <x v="461"/>
    <x v="750"/>
    <x v="1"/>
    <x v="0"/>
    <x v="639"/>
    <x v="0"/>
    <x v="0"/>
    <x v="0"/>
    <x v="0"/>
    <x v="0"/>
    <x v="2"/>
    <x v="750"/>
    <x v="738"/>
    <x v="639"/>
    <x v="1"/>
    <x v="10"/>
    <x v="0"/>
    <x v="17"/>
    <x v="17"/>
    <x v="0"/>
    <x v="0"/>
    <x v="0"/>
    <x v="25"/>
    <x v="0"/>
    <x v="0"/>
    <x v="1"/>
    <x v="1"/>
  </r>
  <r>
    <x v="655"/>
    <x v="1"/>
    <x v="25"/>
    <x v="638"/>
    <x v="460"/>
    <x v="749"/>
    <x v="1"/>
    <x v="0"/>
    <x v="638"/>
    <x v="0"/>
    <x v="0"/>
    <x v="0"/>
    <x v="0"/>
    <x v="0"/>
    <x v="2"/>
    <x v="749"/>
    <x v="737"/>
    <x v="638"/>
    <x v="1"/>
    <x v="10"/>
    <x v="0"/>
    <x v="17"/>
    <x v="17"/>
    <x v="0"/>
    <x v="0"/>
    <x v="0"/>
    <x v="25"/>
    <x v="0"/>
    <x v="0"/>
    <x v="1"/>
    <x v="1"/>
  </r>
  <r>
    <x v="654"/>
    <x v="1"/>
    <x v="25"/>
    <x v="637"/>
    <x v="459"/>
    <x v="748"/>
    <x v="1"/>
    <x v="0"/>
    <x v="637"/>
    <x v="0"/>
    <x v="0"/>
    <x v="0"/>
    <x v="0"/>
    <x v="0"/>
    <x v="2"/>
    <x v="748"/>
    <x v="736"/>
    <x v="637"/>
    <x v="1"/>
    <x v="10"/>
    <x v="0"/>
    <x v="17"/>
    <x v="17"/>
    <x v="0"/>
    <x v="0"/>
    <x v="0"/>
    <x v="25"/>
    <x v="0"/>
    <x v="0"/>
    <x v="1"/>
    <x v="1"/>
  </r>
  <r>
    <x v="653"/>
    <x v="1"/>
    <x v="25"/>
    <x v="636"/>
    <x v="458"/>
    <x v="747"/>
    <x v="1"/>
    <x v="0"/>
    <x v="636"/>
    <x v="0"/>
    <x v="0"/>
    <x v="0"/>
    <x v="0"/>
    <x v="0"/>
    <x v="2"/>
    <x v="747"/>
    <x v="735"/>
    <x v="636"/>
    <x v="1"/>
    <x v="10"/>
    <x v="0"/>
    <x v="17"/>
    <x v="17"/>
    <x v="0"/>
    <x v="0"/>
    <x v="0"/>
    <x v="25"/>
    <x v="0"/>
    <x v="0"/>
    <x v="1"/>
    <x v="1"/>
  </r>
  <r>
    <x v="652"/>
    <x v="1"/>
    <x v="25"/>
    <x v="635"/>
    <x v="471"/>
    <x v="757"/>
    <x v="1"/>
    <x v="0"/>
    <x v="635"/>
    <x v="0"/>
    <x v="0"/>
    <x v="0"/>
    <x v="0"/>
    <x v="0"/>
    <x v="2"/>
    <x v="757"/>
    <x v="745"/>
    <x v="635"/>
    <x v="1"/>
    <x v="10"/>
    <x v="0"/>
    <x v="17"/>
    <x v="17"/>
    <x v="0"/>
    <x v="0"/>
    <x v="0"/>
    <x v="25"/>
    <x v="0"/>
    <x v="0"/>
    <x v="1"/>
    <x v="1"/>
  </r>
  <r>
    <x v="651"/>
    <x v="1"/>
    <x v="25"/>
    <x v="634"/>
    <x v="470"/>
    <x v="756"/>
    <x v="1"/>
    <x v="0"/>
    <x v="634"/>
    <x v="0"/>
    <x v="0"/>
    <x v="0"/>
    <x v="0"/>
    <x v="0"/>
    <x v="2"/>
    <x v="756"/>
    <x v="744"/>
    <x v="634"/>
    <x v="1"/>
    <x v="10"/>
    <x v="0"/>
    <x v="17"/>
    <x v="17"/>
    <x v="0"/>
    <x v="0"/>
    <x v="0"/>
    <x v="25"/>
    <x v="0"/>
    <x v="0"/>
    <x v="1"/>
    <x v="1"/>
  </r>
  <r>
    <x v="650"/>
    <x v="1"/>
    <x v="25"/>
    <x v="633"/>
    <x v="930"/>
    <x v="1027"/>
    <x v="1"/>
    <x v="0"/>
    <x v="633"/>
    <x v="0"/>
    <x v="0"/>
    <x v="0"/>
    <x v="0"/>
    <x v="0"/>
    <x v="2"/>
    <x v="1027"/>
    <x v="1015"/>
    <x v="633"/>
    <x v="1"/>
    <x v="10"/>
    <x v="0"/>
    <x v="17"/>
    <x v="17"/>
    <x v="0"/>
    <x v="0"/>
    <x v="0"/>
    <x v="25"/>
    <x v="0"/>
    <x v="0"/>
    <x v="1"/>
    <x v="1"/>
  </r>
  <r>
    <x v="649"/>
    <x v="1"/>
    <x v="25"/>
    <x v="632"/>
    <x v="929"/>
    <x v="1026"/>
    <x v="1"/>
    <x v="0"/>
    <x v="632"/>
    <x v="0"/>
    <x v="0"/>
    <x v="0"/>
    <x v="0"/>
    <x v="0"/>
    <x v="2"/>
    <x v="1026"/>
    <x v="1014"/>
    <x v="632"/>
    <x v="1"/>
    <x v="10"/>
    <x v="0"/>
    <x v="17"/>
    <x v="17"/>
    <x v="0"/>
    <x v="0"/>
    <x v="0"/>
    <x v="25"/>
    <x v="0"/>
    <x v="0"/>
    <x v="1"/>
    <x v="1"/>
  </r>
  <r>
    <x v="648"/>
    <x v="1"/>
    <x v="25"/>
    <x v="631"/>
    <x v="928"/>
    <x v="1025"/>
    <x v="1"/>
    <x v="0"/>
    <x v="631"/>
    <x v="0"/>
    <x v="0"/>
    <x v="0"/>
    <x v="0"/>
    <x v="0"/>
    <x v="2"/>
    <x v="1025"/>
    <x v="1013"/>
    <x v="631"/>
    <x v="1"/>
    <x v="10"/>
    <x v="0"/>
    <x v="17"/>
    <x v="17"/>
    <x v="0"/>
    <x v="0"/>
    <x v="0"/>
    <x v="25"/>
    <x v="0"/>
    <x v="0"/>
    <x v="1"/>
    <x v="1"/>
  </r>
  <r>
    <x v="647"/>
    <x v="1"/>
    <x v="25"/>
    <x v="630"/>
    <x v="932"/>
    <x v="1029"/>
    <x v="1"/>
    <x v="0"/>
    <x v="630"/>
    <x v="0"/>
    <x v="0"/>
    <x v="0"/>
    <x v="0"/>
    <x v="0"/>
    <x v="2"/>
    <x v="1029"/>
    <x v="1017"/>
    <x v="630"/>
    <x v="1"/>
    <x v="10"/>
    <x v="0"/>
    <x v="17"/>
    <x v="17"/>
    <x v="0"/>
    <x v="0"/>
    <x v="0"/>
    <x v="25"/>
    <x v="0"/>
    <x v="0"/>
    <x v="1"/>
    <x v="1"/>
  </r>
  <r>
    <x v="646"/>
    <x v="1"/>
    <x v="25"/>
    <x v="629"/>
    <x v="909"/>
    <x v="1021"/>
    <x v="1"/>
    <x v="0"/>
    <x v="629"/>
    <x v="0"/>
    <x v="0"/>
    <x v="0"/>
    <x v="0"/>
    <x v="0"/>
    <x v="2"/>
    <x v="1021"/>
    <x v="1009"/>
    <x v="629"/>
    <x v="1"/>
    <x v="10"/>
    <x v="0"/>
    <x v="17"/>
    <x v="17"/>
    <x v="0"/>
    <x v="0"/>
    <x v="0"/>
    <x v="25"/>
    <x v="0"/>
    <x v="0"/>
    <x v="1"/>
    <x v="1"/>
  </r>
  <r>
    <x v="645"/>
    <x v="1"/>
    <x v="25"/>
    <x v="628"/>
    <x v="931"/>
    <x v="1028"/>
    <x v="1"/>
    <x v="0"/>
    <x v="628"/>
    <x v="0"/>
    <x v="0"/>
    <x v="0"/>
    <x v="0"/>
    <x v="0"/>
    <x v="2"/>
    <x v="1028"/>
    <x v="1016"/>
    <x v="628"/>
    <x v="1"/>
    <x v="10"/>
    <x v="0"/>
    <x v="17"/>
    <x v="17"/>
    <x v="0"/>
    <x v="0"/>
    <x v="0"/>
    <x v="25"/>
    <x v="0"/>
    <x v="0"/>
    <x v="1"/>
    <x v="1"/>
  </r>
  <r>
    <x v="644"/>
    <x v="1"/>
    <x v="25"/>
    <x v="627"/>
    <x v="536"/>
    <x v="786"/>
    <x v="1"/>
    <x v="0"/>
    <x v="627"/>
    <x v="0"/>
    <x v="0"/>
    <x v="0"/>
    <x v="0"/>
    <x v="0"/>
    <x v="2"/>
    <x v="786"/>
    <x v="774"/>
    <x v="627"/>
    <x v="1"/>
    <x v="10"/>
    <x v="0"/>
    <x v="17"/>
    <x v="17"/>
    <x v="0"/>
    <x v="0"/>
    <x v="0"/>
    <x v="25"/>
    <x v="0"/>
    <x v="0"/>
    <x v="1"/>
    <x v="1"/>
  </r>
  <r>
    <x v="643"/>
    <x v="1"/>
    <x v="25"/>
    <x v="626"/>
    <x v="537"/>
    <x v="787"/>
    <x v="1"/>
    <x v="0"/>
    <x v="626"/>
    <x v="0"/>
    <x v="0"/>
    <x v="0"/>
    <x v="0"/>
    <x v="0"/>
    <x v="2"/>
    <x v="787"/>
    <x v="775"/>
    <x v="626"/>
    <x v="1"/>
    <x v="10"/>
    <x v="0"/>
    <x v="17"/>
    <x v="17"/>
    <x v="0"/>
    <x v="0"/>
    <x v="0"/>
    <x v="25"/>
    <x v="0"/>
    <x v="0"/>
    <x v="1"/>
    <x v="1"/>
  </r>
  <r>
    <x v="642"/>
    <x v="1"/>
    <x v="25"/>
    <x v="625"/>
    <x v="838"/>
    <x v="988"/>
    <x v="1"/>
    <x v="0"/>
    <x v="625"/>
    <x v="0"/>
    <x v="0"/>
    <x v="0"/>
    <x v="0"/>
    <x v="0"/>
    <x v="2"/>
    <x v="988"/>
    <x v="976"/>
    <x v="625"/>
    <x v="1"/>
    <x v="10"/>
    <x v="0"/>
    <x v="17"/>
    <x v="17"/>
    <x v="0"/>
    <x v="0"/>
    <x v="0"/>
    <x v="25"/>
    <x v="0"/>
    <x v="0"/>
    <x v="1"/>
    <x v="1"/>
  </r>
  <r>
    <x v="641"/>
    <x v="1"/>
    <x v="25"/>
    <x v="624"/>
    <x v="816"/>
    <x v="973"/>
    <x v="1"/>
    <x v="0"/>
    <x v="624"/>
    <x v="0"/>
    <x v="0"/>
    <x v="0"/>
    <x v="0"/>
    <x v="0"/>
    <x v="2"/>
    <x v="973"/>
    <x v="961"/>
    <x v="624"/>
    <x v="1"/>
    <x v="10"/>
    <x v="0"/>
    <x v="17"/>
    <x v="17"/>
    <x v="0"/>
    <x v="0"/>
    <x v="0"/>
    <x v="25"/>
    <x v="0"/>
    <x v="0"/>
    <x v="1"/>
    <x v="1"/>
  </r>
  <r>
    <x v="640"/>
    <x v="1"/>
    <x v="25"/>
    <x v="623"/>
    <x v="800"/>
    <x v="960"/>
    <x v="1"/>
    <x v="0"/>
    <x v="623"/>
    <x v="0"/>
    <x v="0"/>
    <x v="0"/>
    <x v="0"/>
    <x v="0"/>
    <x v="2"/>
    <x v="960"/>
    <x v="948"/>
    <x v="623"/>
    <x v="1"/>
    <x v="10"/>
    <x v="0"/>
    <x v="17"/>
    <x v="17"/>
    <x v="0"/>
    <x v="0"/>
    <x v="0"/>
    <x v="25"/>
    <x v="0"/>
    <x v="0"/>
    <x v="1"/>
    <x v="1"/>
  </r>
  <r>
    <x v="639"/>
    <x v="1"/>
    <x v="25"/>
    <x v="622"/>
    <x v="803"/>
    <x v="962"/>
    <x v="1"/>
    <x v="0"/>
    <x v="622"/>
    <x v="0"/>
    <x v="0"/>
    <x v="0"/>
    <x v="0"/>
    <x v="0"/>
    <x v="2"/>
    <x v="962"/>
    <x v="950"/>
    <x v="622"/>
    <x v="1"/>
    <x v="10"/>
    <x v="0"/>
    <x v="17"/>
    <x v="17"/>
    <x v="0"/>
    <x v="0"/>
    <x v="0"/>
    <x v="25"/>
    <x v="0"/>
    <x v="0"/>
    <x v="1"/>
    <x v="1"/>
  </r>
  <r>
    <x v="638"/>
    <x v="1"/>
    <x v="25"/>
    <x v="621"/>
    <x v="818"/>
    <x v="975"/>
    <x v="1"/>
    <x v="0"/>
    <x v="621"/>
    <x v="0"/>
    <x v="0"/>
    <x v="0"/>
    <x v="0"/>
    <x v="0"/>
    <x v="2"/>
    <x v="975"/>
    <x v="963"/>
    <x v="621"/>
    <x v="1"/>
    <x v="10"/>
    <x v="0"/>
    <x v="17"/>
    <x v="17"/>
    <x v="0"/>
    <x v="0"/>
    <x v="0"/>
    <x v="25"/>
    <x v="0"/>
    <x v="0"/>
    <x v="1"/>
    <x v="1"/>
  </r>
  <r>
    <x v="637"/>
    <x v="1"/>
    <x v="25"/>
    <x v="620"/>
    <x v="806"/>
    <x v="964"/>
    <x v="1"/>
    <x v="0"/>
    <x v="620"/>
    <x v="0"/>
    <x v="0"/>
    <x v="0"/>
    <x v="0"/>
    <x v="0"/>
    <x v="2"/>
    <x v="964"/>
    <x v="952"/>
    <x v="620"/>
    <x v="1"/>
    <x v="10"/>
    <x v="0"/>
    <x v="17"/>
    <x v="17"/>
    <x v="0"/>
    <x v="0"/>
    <x v="0"/>
    <x v="25"/>
    <x v="0"/>
    <x v="0"/>
    <x v="1"/>
    <x v="1"/>
  </r>
  <r>
    <x v="636"/>
    <x v="1"/>
    <x v="25"/>
    <x v="619"/>
    <x v="801"/>
    <x v="961"/>
    <x v="1"/>
    <x v="0"/>
    <x v="619"/>
    <x v="0"/>
    <x v="0"/>
    <x v="0"/>
    <x v="0"/>
    <x v="0"/>
    <x v="2"/>
    <x v="961"/>
    <x v="949"/>
    <x v="619"/>
    <x v="1"/>
    <x v="10"/>
    <x v="0"/>
    <x v="17"/>
    <x v="17"/>
    <x v="0"/>
    <x v="0"/>
    <x v="0"/>
    <x v="25"/>
    <x v="0"/>
    <x v="0"/>
    <x v="1"/>
    <x v="1"/>
  </r>
  <r>
    <x v="635"/>
    <x v="1"/>
    <x v="25"/>
    <x v="618"/>
    <x v="821"/>
    <x v="977"/>
    <x v="1"/>
    <x v="0"/>
    <x v="618"/>
    <x v="0"/>
    <x v="0"/>
    <x v="0"/>
    <x v="0"/>
    <x v="0"/>
    <x v="2"/>
    <x v="977"/>
    <x v="965"/>
    <x v="618"/>
    <x v="1"/>
    <x v="10"/>
    <x v="0"/>
    <x v="17"/>
    <x v="17"/>
    <x v="0"/>
    <x v="0"/>
    <x v="0"/>
    <x v="25"/>
    <x v="0"/>
    <x v="0"/>
    <x v="1"/>
    <x v="1"/>
  </r>
  <r>
    <x v="634"/>
    <x v="1"/>
    <x v="25"/>
    <x v="617"/>
    <x v="809"/>
    <x v="967"/>
    <x v="1"/>
    <x v="0"/>
    <x v="617"/>
    <x v="0"/>
    <x v="0"/>
    <x v="0"/>
    <x v="0"/>
    <x v="0"/>
    <x v="2"/>
    <x v="967"/>
    <x v="955"/>
    <x v="617"/>
    <x v="1"/>
    <x v="10"/>
    <x v="0"/>
    <x v="17"/>
    <x v="17"/>
    <x v="0"/>
    <x v="0"/>
    <x v="0"/>
    <x v="25"/>
    <x v="0"/>
    <x v="0"/>
    <x v="1"/>
    <x v="1"/>
  </r>
  <r>
    <x v="633"/>
    <x v="1"/>
    <x v="25"/>
    <x v="616"/>
    <x v="822"/>
    <x v="978"/>
    <x v="1"/>
    <x v="0"/>
    <x v="616"/>
    <x v="0"/>
    <x v="0"/>
    <x v="0"/>
    <x v="0"/>
    <x v="0"/>
    <x v="2"/>
    <x v="978"/>
    <x v="966"/>
    <x v="616"/>
    <x v="1"/>
    <x v="10"/>
    <x v="0"/>
    <x v="17"/>
    <x v="17"/>
    <x v="0"/>
    <x v="0"/>
    <x v="0"/>
    <x v="25"/>
    <x v="0"/>
    <x v="0"/>
    <x v="1"/>
    <x v="1"/>
  </r>
  <r>
    <x v="632"/>
    <x v="1"/>
    <x v="25"/>
    <x v="615"/>
    <x v="837"/>
    <x v="987"/>
    <x v="1"/>
    <x v="0"/>
    <x v="615"/>
    <x v="0"/>
    <x v="0"/>
    <x v="0"/>
    <x v="0"/>
    <x v="0"/>
    <x v="2"/>
    <x v="987"/>
    <x v="975"/>
    <x v="615"/>
    <x v="1"/>
    <x v="10"/>
    <x v="0"/>
    <x v="17"/>
    <x v="17"/>
    <x v="0"/>
    <x v="0"/>
    <x v="0"/>
    <x v="25"/>
    <x v="0"/>
    <x v="0"/>
    <x v="1"/>
    <x v="1"/>
  </r>
  <r>
    <x v="631"/>
    <x v="1"/>
    <x v="25"/>
    <x v="614"/>
    <x v="836"/>
    <x v="986"/>
    <x v="1"/>
    <x v="0"/>
    <x v="614"/>
    <x v="0"/>
    <x v="0"/>
    <x v="0"/>
    <x v="0"/>
    <x v="0"/>
    <x v="2"/>
    <x v="986"/>
    <x v="974"/>
    <x v="614"/>
    <x v="1"/>
    <x v="10"/>
    <x v="0"/>
    <x v="17"/>
    <x v="17"/>
    <x v="0"/>
    <x v="0"/>
    <x v="0"/>
    <x v="25"/>
    <x v="0"/>
    <x v="0"/>
    <x v="1"/>
    <x v="1"/>
  </r>
  <r>
    <x v="630"/>
    <x v="1"/>
    <x v="25"/>
    <x v="613"/>
    <x v="834"/>
    <x v="984"/>
    <x v="1"/>
    <x v="0"/>
    <x v="613"/>
    <x v="0"/>
    <x v="0"/>
    <x v="0"/>
    <x v="0"/>
    <x v="0"/>
    <x v="2"/>
    <x v="984"/>
    <x v="972"/>
    <x v="613"/>
    <x v="1"/>
    <x v="10"/>
    <x v="0"/>
    <x v="17"/>
    <x v="17"/>
    <x v="0"/>
    <x v="0"/>
    <x v="0"/>
    <x v="25"/>
    <x v="0"/>
    <x v="0"/>
    <x v="1"/>
    <x v="1"/>
  </r>
  <r>
    <x v="629"/>
    <x v="1"/>
    <x v="25"/>
    <x v="612"/>
    <x v="835"/>
    <x v="985"/>
    <x v="1"/>
    <x v="0"/>
    <x v="612"/>
    <x v="0"/>
    <x v="0"/>
    <x v="0"/>
    <x v="0"/>
    <x v="0"/>
    <x v="2"/>
    <x v="985"/>
    <x v="973"/>
    <x v="612"/>
    <x v="1"/>
    <x v="10"/>
    <x v="0"/>
    <x v="17"/>
    <x v="17"/>
    <x v="0"/>
    <x v="0"/>
    <x v="0"/>
    <x v="25"/>
    <x v="0"/>
    <x v="0"/>
    <x v="1"/>
    <x v="1"/>
  </r>
  <r>
    <x v="628"/>
    <x v="1"/>
    <x v="25"/>
    <x v="611"/>
    <x v="808"/>
    <x v="966"/>
    <x v="1"/>
    <x v="0"/>
    <x v="611"/>
    <x v="0"/>
    <x v="0"/>
    <x v="0"/>
    <x v="0"/>
    <x v="0"/>
    <x v="2"/>
    <x v="966"/>
    <x v="954"/>
    <x v="611"/>
    <x v="1"/>
    <x v="10"/>
    <x v="0"/>
    <x v="17"/>
    <x v="17"/>
    <x v="0"/>
    <x v="0"/>
    <x v="0"/>
    <x v="25"/>
    <x v="0"/>
    <x v="0"/>
    <x v="1"/>
    <x v="1"/>
  </r>
  <r>
    <x v="627"/>
    <x v="1"/>
    <x v="25"/>
    <x v="610"/>
    <x v="842"/>
    <x v="991"/>
    <x v="1"/>
    <x v="0"/>
    <x v="610"/>
    <x v="0"/>
    <x v="0"/>
    <x v="0"/>
    <x v="0"/>
    <x v="0"/>
    <x v="2"/>
    <x v="991"/>
    <x v="979"/>
    <x v="610"/>
    <x v="1"/>
    <x v="10"/>
    <x v="0"/>
    <x v="17"/>
    <x v="17"/>
    <x v="0"/>
    <x v="0"/>
    <x v="0"/>
    <x v="25"/>
    <x v="0"/>
    <x v="0"/>
    <x v="1"/>
    <x v="1"/>
  </r>
  <r>
    <x v="626"/>
    <x v="1"/>
    <x v="25"/>
    <x v="609"/>
    <x v="817"/>
    <x v="974"/>
    <x v="1"/>
    <x v="0"/>
    <x v="609"/>
    <x v="0"/>
    <x v="0"/>
    <x v="0"/>
    <x v="0"/>
    <x v="0"/>
    <x v="2"/>
    <x v="974"/>
    <x v="962"/>
    <x v="609"/>
    <x v="1"/>
    <x v="10"/>
    <x v="0"/>
    <x v="17"/>
    <x v="17"/>
    <x v="0"/>
    <x v="0"/>
    <x v="0"/>
    <x v="25"/>
    <x v="0"/>
    <x v="0"/>
    <x v="1"/>
    <x v="1"/>
  </r>
  <r>
    <x v="625"/>
    <x v="1"/>
    <x v="25"/>
    <x v="608"/>
    <x v="848"/>
    <x v="994"/>
    <x v="1"/>
    <x v="0"/>
    <x v="608"/>
    <x v="0"/>
    <x v="0"/>
    <x v="0"/>
    <x v="0"/>
    <x v="0"/>
    <x v="2"/>
    <x v="994"/>
    <x v="982"/>
    <x v="608"/>
    <x v="1"/>
    <x v="10"/>
    <x v="0"/>
    <x v="17"/>
    <x v="17"/>
    <x v="0"/>
    <x v="0"/>
    <x v="0"/>
    <x v="25"/>
    <x v="0"/>
    <x v="0"/>
    <x v="1"/>
    <x v="1"/>
  </r>
  <r>
    <x v="624"/>
    <x v="1"/>
    <x v="25"/>
    <x v="607"/>
    <x v="847"/>
    <x v="993"/>
    <x v="1"/>
    <x v="0"/>
    <x v="607"/>
    <x v="0"/>
    <x v="0"/>
    <x v="0"/>
    <x v="0"/>
    <x v="0"/>
    <x v="2"/>
    <x v="993"/>
    <x v="981"/>
    <x v="607"/>
    <x v="1"/>
    <x v="10"/>
    <x v="0"/>
    <x v="17"/>
    <x v="17"/>
    <x v="0"/>
    <x v="0"/>
    <x v="0"/>
    <x v="25"/>
    <x v="0"/>
    <x v="0"/>
    <x v="1"/>
    <x v="1"/>
  </r>
  <r>
    <x v="623"/>
    <x v="1"/>
    <x v="25"/>
    <x v="606"/>
    <x v="844"/>
    <x v="992"/>
    <x v="1"/>
    <x v="0"/>
    <x v="606"/>
    <x v="0"/>
    <x v="0"/>
    <x v="0"/>
    <x v="0"/>
    <x v="0"/>
    <x v="2"/>
    <x v="992"/>
    <x v="980"/>
    <x v="606"/>
    <x v="1"/>
    <x v="10"/>
    <x v="0"/>
    <x v="17"/>
    <x v="17"/>
    <x v="0"/>
    <x v="0"/>
    <x v="0"/>
    <x v="25"/>
    <x v="0"/>
    <x v="0"/>
    <x v="1"/>
    <x v="1"/>
  </r>
  <r>
    <x v="622"/>
    <x v="1"/>
    <x v="25"/>
    <x v="605"/>
    <x v="854"/>
    <x v="997"/>
    <x v="1"/>
    <x v="0"/>
    <x v="605"/>
    <x v="0"/>
    <x v="0"/>
    <x v="0"/>
    <x v="0"/>
    <x v="0"/>
    <x v="2"/>
    <x v="997"/>
    <x v="985"/>
    <x v="605"/>
    <x v="1"/>
    <x v="10"/>
    <x v="0"/>
    <x v="17"/>
    <x v="17"/>
    <x v="0"/>
    <x v="0"/>
    <x v="0"/>
    <x v="25"/>
    <x v="0"/>
    <x v="0"/>
    <x v="1"/>
    <x v="1"/>
  </r>
  <r>
    <x v="621"/>
    <x v="1"/>
    <x v="25"/>
    <x v="604"/>
    <x v="855"/>
    <x v="998"/>
    <x v="1"/>
    <x v="0"/>
    <x v="604"/>
    <x v="0"/>
    <x v="0"/>
    <x v="0"/>
    <x v="0"/>
    <x v="0"/>
    <x v="2"/>
    <x v="998"/>
    <x v="986"/>
    <x v="604"/>
    <x v="1"/>
    <x v="10"/>
    <x v="0"/>
    <x v="17"/>
    <x v="17"/>
    <x v="0"/>
    <x v="0"/>
    <x v="0"/>
    <x v="25"/>
    <x v="0"/>
    <x v="0"/>
    <x v="1"/>
    <x v="1"/>
  </r>
  <r>
    <x v="620"/>
    <x v="1"/>
    <x v="25"/>
    <x v="603"/>
    <x v="810"/>
    <x v="968"/>
    <x v="1"/>
    <x v="0"/>
    <x v="603"/>
    <x v="0"/>
    <x v="0"/>
    <x v="0"/>
    <x v="0"/>
    <x v="0"/>
    <x v="2"/>
    <x v="968"/>
    <x v="956"/>
    <x v="603"/>
    <x v="1"/>
    <x v="10"/>
    <x v="0"/>
    <x v="17"/>
    <x v="17"/>
    <x v="0"/>
    <x v="0"/>
    <x v="0"/>
    <x v="25"/>
    <x v="0"/>
    <x v="0"/>
    <x v="1"/>
    <x v="1"/>
  </r>
  <r>
    <x v="619"/>
    <x v="1"/>
    <x v="25"/>
    <x v="602"/>
    <x v="853"/>
    <x v="996"/>
    <x v="1"/>
    <x v="0"/>
    <x v="602"/>
    <x v="0"/>
    <x v="0"/>
    <x v="0"/>
    <x v="0"/>
    <x v="0"/>
    <x v="2"/>
    <x v="996"/>
    <x v="984"/>
    <x v="602"/>
    <x v="1"/>
    <x v="10"/>
    <x v="0"/>
    <x v="17"/>
    <x v="17"/>
    <x v="0"/>
    <x v="0"/>
    <x v="0"/>
    <x v="25"/>
    <x v="0"/>
    <x v="0"/>
    <x v="1"/>
    <x v="1"/>
  </r>
  <r>
    <x v="618"/>
    <x v="1"/>
    <x v="25"/>
    <x v="601"/>
    <x v="819"/>
    <x v="976"/>
    <x v="1"/>
    <x v="0"/>
    <x v="601"/>
    <x v="0"/>
    <x v="0"/>
    <x v="0"/>
    <x v="0"/>
    <x v="0"/>
    <x v="2"/>
    <x v="976"/>
    <x v="964"/>
    <x v="601"/>
    <x v="1"/>
    <x v="10"/>
    <x v="0"/>
    <x v="17"/>
    <x v="17"/>
    <x v="0"/>
    <x v="0"/>
    <x v="0"/>
    <x v="25"/>
    <x v="0"/>
    <x v="0"/>
    <x v="1"/>
    <x v="1"/>
  </r>
  <r>
    <x v="617"/>
    <x v="1"/>
    <x v="25"/>
    <x v="600"/>
    <x v="830"/>
    <x v="982"/>
    <x v="1"/>
    <x v="0"/>
    <x v="600"/>
    <x v="0"/>
    <x v="0"/>
    <x v="0"/>
    <x v="0"/>
    <x v="0"/>
    <x v="2"/>
    <x v="982"/>
    <x v="970"/>
    <x v="600"/>
    <x v="1"/>
    <x v="10"/>
    <x v="0"/>
    <x v="17"/>
    <x v="17"/>
    <x v="0"/>
    <x v="0"/>
    <x v="0"/>
    <x v="25"/>
    <x v="0"/>
    <x v="0"/>
    <x v="1"/>
    <x v="1"/>
  </r>
  <r>
    <x v="616"/>
    <x v="1"/>
    <x v="25"/>
    <x v="599"/>
    <x v="826"/>
    <x v="980"/>
    <x v="1"/>
    <x v="0"/>
    <x v="599"/>
    <x v="0"/>
    <x v="0"/>
    <x v="0"/>
    <x v="0"/>
    <x v="0"/>
    <x v="2"/>
    <x v="980"/>
    <x v="968"/>
    <x v="599"/>
    <x v="1"/>
    <x v="10"/>
    <x v="0"/>
    <x v="17"/>
    <x v="17"/>
    <x v="0"/>
    <x v="0"/>
    <x v="0"/>
    <x v="25"/>
    <x v="0"/>
    <x v="0"/>
    <x v="1"/>
    <x v="1"/>
  </r>
  <r>
    <x v="615"/>
    <x v="1"/>
    <x v="25"/>
    <x v="598"/>
    <x v="841"/>
    <x v="990"/>
    <x v="1"/>
    <x v="0"/>
    <x v="598"/>
    <x v="0"/>
    <x v="0"/>
    <x v="0"/>
    <x v="0"/>
    <x v="0"/>
    <x v="2"/>
    <x v="990"/>
    <x v="978"/>
    <x v="598"/>
    <x v="1"/>
    <x v="10"/>
    <x v="0"/>
    <x v="17"/>
    <x v="17"/>
    <x v="0"/>
    <x v="0"/>
    <x v="0"/>
    <x v="25"/>
    <x v="0"/>
    <x v="0"/>
    <x v="1"/>
    <x v="1"/>
  </r>
  <r>
    <x v="614"/>
    <x v="1"/>
    <x v="25"/>
    <x v="597"/>
    <x v="807"/>
    <x v="965"/>
    <x v="1"/>
    <x v="0"/>
    <x v="597"/>
    <x v="0"/>
    <x v="0"/>
    <x v="0"/>
    <x v="0"/>
    <x v="0"/>
    <x v="2"/>
    <x v="965"/>
    <x v="953"/>
    <x v="597"/>
    <x v="1"/>
    <x v="10"/>
    <x v="0"/>
    <x v="17"/>
    <x v="17"/>
    <x v="0"/>
    <x v="0"/>
    <x v="0"/>
    <x v="25"/>
    <x v="0"/>
    <x v="0"/>
    <x v="1"/>
    <x v="1"/>
  </r>
  <r>
    <x v="613"/>
    <x v="1"/>
    <x v="25"/>
    <x v="596"/>
    <x v="815"/>
    <x v="972"/>
    <x v="1"/>
    <x v="0"/>
    <x v="596"/>
    <x v="0"/>
    <x v="0"/>
    <x v="0"/>
    <x v="0"/>
    <x v="0"/>
    <x v="2"/>
    <x v="972"/>
    <x v="960"/>
    <x v="596"/>
    <x v="1"/>
    <x v="10"/>
    <x v="0"/>
    <x v="17"/>
    <x v="17"/>
    <x v="0"/>
    <x v="0"/>
    <x v="0"/>
    <x v="25"/>
    <x v="0"/>
    <x v="0"/>
    <x v="1"/>
    <x v="1"/>
  </r>
  <r>
    <x v="612"/>
    <x v="1"/>
    <x v="25"/>
    <x v="595"/>
    <x v="813"/>
    <x v="971"/>
    <x v="1"/>
    <x v="0"/>
    <x v="595"/>
    <x v="0"/>
    <x v="0"/>
    <x v="0"/>
    <x v="0"/>
    <x v="0"/>
    <x v="2"/>
    <x v="971"/>
    <x v="959"/>
    <x v="595"/>
    <x v="1"/>
    <x v="10"/>
    <x v="0"/>
    <x v="17"/>
    <x v="17"/>
    <x v="0"/>
    <x v="0"/>
    <x v="0"/>
    <x v="25"/>
    <x v="0"/>
    <x v="0"/>
    <x v="1"/>
    <x v="1"/>
  </r>
  <r>
    <x v="611"/>
    <x v="1"/>
    <x v="25"/>
    <x v="594"/>
    <x v="815"/>
    <x v="970"/>
    <x v="1"/>
    <x v="0"/>
    <x v="594"/>
    <x v="0"/>
    <x v="0"/>
    <x v="0"/>
    <x v="0"/>
    <x v="0"/>
    <x v="2"/>
    <x v="970"/>
    <x v="958"/>
    <x v="594"/>
    <x v="1"/>
    <x v="10"/>
    <x v="0"/>
    <x v="17"/>
    <x v="17"/>
    <x v="0"/>
    <x v="0"/>
    <x v="0"/>
    <x v="25"/>
    <x v="0"/>
    <x v="0"/>
    <x v="1"/>
    <x v="1"/>
  </r>
  <r>
    <x v="610"/>
    <x v="1"/>
    <x v="25"/>
    <x v="593"/>
    <x v="110"/>
    <x v="5"/>
    <x v="1"/>
    <x v="0"/>
    <x v="593"/>
    <x v="0"/>
    <x v="0"/>
    <x v="0"/>
    <x v="0"/>
    <x v="0"/>
    <x v="2"/>
    <x v="5"/>
    <x v="0"/>
    <x v="593"/>
    <x v="1"/>
    <x v="10"/>
    <x v="0"/>
    <x v="17"/>
    <x v="17"/>
    <x v="0"/>
    <x v="0"/>
    <x v="0"/>
    <x v="24"/>
    <x v="0"/>
    <x v="0"/>
    <x v="1"/>
    <x v="1"/>
  </r>
  <r>
    <x v="609"/>
    <x v="1"/>
    <x v="25"/>
    <x v="592"/>
    <x v="111"/>
    <x v="6"/>
    <x v="1"/>
    <x v="0"/>
    <x v="592"/>
    <x v="0"/>
    <x v="0"/>
    <x v="0"/>
    <x v="0"/>
    <x v="0"/>
    <x v="2"/>
    <x v="6"/>
    <x v="1"/>
    <x v="592"/>
    <x v="1"/>
    <x v="10"/>
    <x v="0"/>
    <x v="17"/>
    <x v="17"/>
    <x v="0"/>
    <x v="0"/>
    <x v="0"/>
    <x v="24"/>
    <x v="0"/>
    <x v="0"/>
    <x v="1"/>
    <x v="1"/>
  </r>
  <r>
    <x v="608"/>
    <x v="1"/>
    <x v="25"/>
    <x v="591"/>
    <x v="991"/>
    <x v="383"/>
    <x v="1"/>
    <x v="0"/>
    <x v="591"/>
    <x v="0"/>
    <x v="0"/>
    <x v="0"/>
    <x v="0"/>
    <x v="0"/>
    <x v="2"/>
    <x v="383"/>
    <x v="372"/>
    <x v="591"/>
    <x v="1"/>
    <x v="10"/>
    <x v="0"/>
    <x v="17"/>
    <x v="17"/>
    <x v="0"/>
    <x v="0"/>
    <x v="0"/>
    <x v="24"/>
    <x v="0"/>
    <x v="0"/>
    <x v="1"/>
    <x v="1"/>
  </r>
  <r>
    <x v="607"/>
    <x v="1"/>
    <x v="25"/>
    <x v="590"/>
    <x v="118"/>
    <x v="17"/>
    <x v="1"/>
    <x v="0"/>
    <x v="590"/>
    <x v="0"/>
    <x v="0"/>
    <x v="0"/>
    <x v="0"/>
    <x v="0"/>
    <x v="2"/>
    <x v="17"/>
    <x v="13"/>
    <x v="590"/>
    <x v="1"/>
    <x v="9"/>
    <x v="0"/>
    <x v="17"/>
    <x v="17"/>
    <x v="0"/>
    <x v="0"/>
    <x v="0"/>
    <x v="24"/>
    <x v="0"/>
    <x v="0"/>
    <x v="1"/>
    <x v="1"/>
  </r>
  <r>
    <x v="606"/>
    <x v="1"/>
    <x v="25"/>
    <x v="589"/>
    <x v="678"/>
    <x v="18"/>
    <x v="1"/>
    <x v="0"/>
    <x v="589"/>
    <x v="0"/>
    <x v="0"/>
    <x v="0"/>
    <x v="0"/>
    <x v="0"/>
    <x v="2"/>
    <x v="18"/>
    <x v="14"/>
    <x v="589"/>
    <x v="1"/>
    <x v="10"/>
    <x v="0"/>
    <x v="17"/>
    <x v="17"/>
    <x v="0"/>
    <x v="0"/>
    <x v="0"/>
    <x v="33"/>
    <x v="0"/>
    <x v="0"/>
    <x v="1"/>
    <x v="1"/>
  </r>
  <r>
    <x v="591"/>
    <x v="1"/>
    <x v="25"/>
    <x v="588"/>
    <x v="997"/>
    <x v="19"/>
    <x v="1"/>
    <x v="0"/>
    <x v="574"/>
    <x v="0"/>
    <x v="0"/>
    <x v="0"/>
    <x v="0"/>
    <x v="0"/>
    <x v="2"/>
    <x v="19"/>
    <x v="15"/>
    <x v="588"/>
    <x v="1"/>
    <x v="10"/>
    <x v="0"/>
    <x v="17"/>
    <x v="17"/>
    <x v="0"/>
    <x v="0"/>
    <x v="0"/>
    <x v="31"/>
    <x v="0"/>
    <x v="0"/>
    <x v="1"/>
    <x v="1"/>
  </r>
  <r>
    <x v="590"/>
    <x v="1"/>
    <x v="25"/>
    <x v="587"/>
    <x v="114"/>
    <x v="7"/>
    <x v="1"/>
    <x v="0"/>
    <x v="573"/>
    <x v="0"/>
    <x v="0"/>
    <x v="0"/>
    <x v="0"/>
    <x v="0"/>
    <x v="2"/>
    <x v="7"/>
    <x v="2"/>
    <x v="587"/>
    <x v="1"/>
    <x v="10"/>
    <x v="0"/>
    <x v="17"/>
    <x v="17"/>
    <x v="0"/>
    <x v="0"/>
    <x v="0"/>
    <x v="31"/>
    <x v="0"/>
    <x v="0"/>
    <x v="1"/>
    <x v="1"/>
  </r>
  <r>
    <x v="462"/>
    <x v="1"/>
    <x v="25"/>
    <x v="586"/>
    <x v="117"/>
    <x v="1152"/>
    <x v="1"/>
    <x v="0"/>
    <x v="445"/>
    <x v="0"/>
    <x v="0"/>
    <x v="0"/>
    <x v="0"/>
    <x v="0"/>
    <x v="2"/>
    <x v="1152"/>
    <x v="1140"/>
    <x v="586"/>
    <x v="0"/>
    <x v="10"/>
    <x v="0"/>
    <x v="17"/>
    <x v="17"/>
    <x v="0"/>
    <x v="0"/>
    <x v="0"/>
    <x v="31"/>
    <x v="0"/>
    <x v="0"/>
    <x v="1"/>
    <x v="1"/>
  </r>
  <r>
    <x v="605"/>
    <x v="1"/>
    <x v="25"/>
    <x v="585"/>
    <x v="107"/>
    <x v="1149"/>
    <x v="1"/>
    <x v="0"/>
    <x v="588"/>
    <x v="0"/>
    <x v="0"/>
    <x v="0"/>
    <x v="0"/>
    <x v="0"/>
    <x v="2"/>
    <x v="1149"/>
    <x v="1137"/>
    <x v="585"/>
    <x v="1"/>
    <x v="10"/>
    <x v="0"/>
    <x v="17"/>
    <x v="17"/>
    <x v="0"/>
    <x v="0"/>
    <x v="0"/>
    <x v="31"/>
    <x v="0"/>
    <x v="0"/>
    <x v="1"/>
    <x v="1"/>
  </r>
  <r>
    <x v="604"/>
    <x v="1"/>
    <x v="25"/>
    <x v="584"/>
    <x v="106"/>
    <x v="1148"/>
    <x v="1"/>
    <x v="0"/>
    <x v="587"/>
    <x v="0"/>
    <x v="0"/>
    <x v="0"/>
    <x v="0"/>
    <x v="0"/>
    <x v="2"/>
    <x v="1148"/>
    <x v="1136"/>
    <x v="584"/>
    <x v="1"/>
    <x v="10"/>
    <x v="0"/>
    <x v="17"/>
    <x v="17"/>
    <x v="0"/>
    <x v="0"/>
    <x v="0"/>
    <x v="31"/>
    <x v="0"/>
    <x v="0"/>
    <x v="1"/>
    <x v="1"/>
  </r>
  <r>
    <x v="603"/>
    <x v="1"/>
    <x v="25"/>
    <x v="583"/>
    <x v="105"/>
    <x v="1147"/>
    <x v="1"/>
    <x v="0"/>
    <x v="586"/>
    <x v="0"/>
    <x v="0"/>
    <x v="0"/>
    <x v="0"/>
    <x v="0"/>
    <x v="2"/>
    <x v="1147"/>
    <x v="1135"/>
    <x v="583"/>
    <x v="1"/>
    <x v="10"/>
    <x v="0"/>
    <x v="17"/>
    <x v="17"/>
    <x v="0"/>
    <x v="0"/>
    <x v="0"/>
    <x v="31"/>
    <x v="0"/>
    <x v="0"/>
    <x v="1"/>
    <x v="1"/>
  </r>
  <r>
    <x v="602"/>
    <x v="1"/>
    <x v="25"/>
    <x v="582"/>
    <x v="104"/>
    <x v="1146"/>
    <x v="1"/>
    <x v="0"/>
    <x v="585"/>
    <x v="0"/>
    <x v="0"/>
    <x v="0"/>
    <x v="0"/>
    <x v="0"/>
    <x v="2"/>
    <x v="1146"/>
    <x v="1134"/>
    <x v="582"/>
    <x v="1"/>
    <x v="10"/>
    <x v="0"/>
    <x v="17"/>
    <x v="17"/>
    <x v="0"/>
    <x v="0"/>
    <x v="0"/>
    <x v="31"/>
    <x v="0"/>
    <x v="0"/>
    <x v="1"/>
    <x v="1"/>
  </r>
  <r>
    <x v="601"/>
    <x v="1"/>
    <x v="25"/>
    <x v="581"/>
    <x v="103"/>
    <x v="1145"/>
    <x v="1"/>
    <x v="0"/>
    <x v="584"/>
    <x v="0"/>
    <x v="0"/>
    <x v="0"/>
    <x v="0"/>
    <x v="0"/>
    <x v="2"/>
    <x v="1145"/>
    <x v="1133"/>
    <x v="581"/>
    <x v="1"/>
    <x v="10"/>
    <x v="0"/>
    <x v="17"/>
    <x v="17"/>
    <x v="0"/>
    <x v="0"/>
    <x v="0"/>
    <x v="31"/>
    <x v="0"/>
    <x v="0"/>
    <x v="1"/>
    <x v="1"/>
  </r>
  <r>
    <x v="600"/>
    <x v="1"/>
    <x v="25"/>
    <x v="580"/>
    <x v="102"/>
    <x v="1144"/>
    <x v="1"/>
    <x v="0"/>
    <x v="583"/>
    <x v="0"/>
    <x v="0"/>
    <x v="0"/>
    <x v="0"/>
    <x v="0"/>
    <x v="2"/>
    <x v="1144"/>
    <x v="1132"/>
    <x v="580"/>
    <x v="1"/>
    <x v="10"/>
    <x v="0"/>
    <x v="17"/>
    <x v="17"/>
    <x v="0"/>
    <x v="0"/>
    <x v="0"/>
    <x v="31"/>
    <x v="0"/>
    <x v="0"/>
    <x v="1"/>
    <x v="1"/>
  </r>
  <r>
    <x v="599"/>
    <x v="1"/>
    <x v="25"/>
    <x v="579"/>
    <x v="101"/>
    <x v="1143"/>
    <x v="1"/>
    <x v="0"/>
    <x v="582"/>
    <x v="0"/>
    <x v="0"/>
    <x v="0"/>
    <x v="0"/>
    <x v="0"/>
    <x v="2"/>
    <x v="1143"/>
    <x v="1131"/>
    <x v="579"/>
    <x v="1"/>
    <x v="10"/>
    <x v="0"/>
    <x v="17"/>
    <x v="17"/>
    <x v="0"/>
    <x v="0"/>
    <x v="0"/>
    <x v="31"/>
    <x v="0"/>
    <x v="0"/>
    <x v="1"/>
    <x v="1"/>
  </r>
  <r>
    <x v="598"/>
    <x v="1"/>
    <x v="25"/>
    <x v="578"/>
    <x v="100"/>
    <x v="1142"/>
    <x v="1"/>
    <x v="0"/>
    <x v="581"/>
    <x v="0"/>
    <x v="0"/>
    <x v="0"/>
    <x v="0"/>
    <x v="0"/>
    <x v="2"/>
    <x v="1142"/>
    <x v="1130"/>
    <x v="578"/>
    <x v="1"/>
    <x v="10"/>
    <x v="0"/>
    <x v="17"/>
    <x v="17"/>
    <x v="0"/>
    <x v="0"/>
    <x v="0"/>
    <x v="31"/>
    <x v="0"/>
    <x v="0"/>
    <x v="1"/>
    <x v="1"/>
  </r>
  <r>
    <x v="597"/>
    <x v="1"/>
    <x v="25"/>
    <x v="577"/>
    <x v="99"/>
    <x v="1141"/>
    <x v="1"/>
    <x v="0"/>
    <x v="580"/>
    <x v="0"/>
    <x v="0"/>
    <x v="0"/>
    <x v="0"/>
    <x v="0"/>
    <x v="2"/>
    <x v="1141"/>
    <x v="1129"/>
    <x v="577"/>
    <x v="1"/>
    <x v="10"/>
    <x v="0"/>
    <x v="17"/>
    <x v="17"/>
    <x v="0"/>
    <x v="0"/>
    <x v="0"/>
    <x v="31"/>
    <x v="0"/>
    <x v="0"/>
    <x v="1"/>
    <x v="1"/>
  </r>
  <r>
    <x v="596"/>
    <x v="1"/>
    <x v="25"/>
    <x v="576"/>
    <x v="98"/>
    <x v="1140"/>
    <x v="1"/>
    <x v="0"/>
    <x v="579"/>
    <x v="0"/>
    <x v="0"/>
    <x v="0"/>
    <x v="0"/>
    <x v="0"/>
    <x v="2"/>
    <x v="1140"/>
    <x v="1128"/>
    <x v="576"/>
    <x v="1"/>
    <x v="10"/>
    <x v="0"/>
    <x v="17"/>
    <x v="17"/>
    <x v="0"/>
    <x v="0"/>
    <x v="0"/>
    <x v="31"/>
    <x v="0"/>
    <x v="0"/>
    <x v="1"/>
    <x v="1"/>
  </r>
  <r>
    <x v="595"/>
    <x v="1"/>
    <x v="25"/>
    <x v="575"/>
    <x v="97"/>
    <x v="1139"/>
    <x v="1"/>
    <x v="0"/>
    <x v="578"/>
    <x v="0"/>
    <x v="0"/>
    <x v="0"/>
    <x v="0"/>
    <x v="0"/>
    <x v="2"/>
    <x v="1139"/>
    <x v="1127"/>
    <x v="575"/>
    <x v="1"/>
    <x v="10"/>
    <x v="0"/>
    <x v="17"/>
    <x v="17"/>
    <x v="0"/>
    <x v="0"/>
    <x v="0"/>
    <x v="31"/>
    <x v="0"/>
    <x v="0"/>
    <x v="1"/>
    <x v="1"/>
  </r>
  <r>
    <x v="594"/>
    <x v="1"/>
    <x v="25"/>
    <x v="574"/>
    <x v="96"/>
    <x v="1138"/>
    <x v="1"/>
    <x v="0"/>
    <x v="577"/>
    <x v="0"/>
    <x v="0"/>
    <x v="0"/>
    <x v="0"/>
    <x v="0"/>
    <x v="2"/>
    <x v="1138"/>
    <x v="1126"/>
    <x v="574"/>
    <x v="1"/>
    <x v="10"/>
    <x v="0"/>
    <x v="17"/>
    <x v="17"/>
    <x v="0"/>
    <x v="0"/>
    <x v="0"/>
    <x v="31"/>
    <x v="0"/>
    <x v="0"/>
    <x v="1"/>
    <x v="1"/>
  </r>
  <r>
    <x v="593"/>
    <x v="1"/>
    <x v="25"/>
    <x v="573"/>
    <x v="116"/>
    <x v="1151"/>
    <x v="1"/>
    <x v="0"/>
    <x v="576"/>
    <x v="0"/>
    <x v="0"/>
    <x v="0"/>
    <x v="0"/>
    <x v="0"/>
    <x v="2"/>
    <x v="1151"/>
    <x v="1139"/>
    <x v="573"/>
    <x v="1"/>
    <x v="10"/>
    <x v="0"/>
    <x v="17"/>
    <x v="17"/>
    <x v="0"/>
    <x v="0"/>
    <x v="0"/>
    <x v="31"/>
    <x v="0"/>
    <x v="0"/>
    <x v="1"/>
    <x v="1"/>
  </r>
  <r>
    <x v="592"/>
    <x v="1"/>
    <x v="25"/>
    <x v="572"/>
    <x v="115"/>
    <x v="1150"/>
    <x v="1"/>
    <x v="0"/>
    <x v="575"/>
    <x v="0"/>
    <x v="0"/>
    <x v="0"/>
    <x v="0"/>
    <x v="0"/>
    <x v="2"/>
    <x v="1150"/>
    <x v="1138"/>
    <x v="572"/>
    <x v="1"/>
    <x v="10"/>
    <x v="0"/>
    <x v="17"/>
    <x v="17"/>
    <x v="0"/>
    <x v="0"/>
    <x v="0"/>
    <x v="31"/>
    <x v="0"/>
    <x v="0"/>
    <x v="1"/>
    <x v="1"/>
  </r>
  <r>
    <x v="589"/>
    <x v="1"/>
    <x v="25"/>
    <x v="571"/>
    <x v="212"/>
    <x v="1162"/>
    <x v="1"/>
    <x v="0"/>
    <x v="572"/>
    <x v="0"/>
    <x v="0"/>
    <x v="0"/>
    <x v="0"/>
    <x v="0"/>
    <x v="2"/>
    <x v="1162"/>
    <x v="1150"/>
    <x v="571"/>
    <x v="1"/>
    <x v="3"/>
    <x v="0"/>
    <x v="17"/>
    <x v="17"/>
    <x v="0"/>
    <x v="0"/>
    <x v="0"/>
    <x v="24"/>
    <x v="0"/>
    <x v="0"/>
    <x v="1"/>
    <x v="1"/>
  </r>
  <r>
    <x v="588"/>
    <x v="1"/>
    <x v="25"/>
    <x v="570"/>
    <x v="211"/>
    <x v="1161"/>
    <x v="1"/>
    <x v="0"/>
    <x v="571"/>
    <x v="0"/>
    <x v="0"/>
    <x v="0"/>
    <x v="0"/>
    <x v="0"/>
    <x v="2"/>
    <x v="1161"/>
    <x v="1149"/>
    <x v="570"/>
    <x v="1"/>
    <x v="4"/>
    <x v="0"/>
    <x v="17"/>
    <x v="17"/>
    <x v="0"/>
    <x v="0"/>
    <x v="0"/>
    <x v="24"/>
    <x v="0"/>
    <x v="0"/>
    <x v="1"/>
    <x v="1"/>
  </r>
  <r>
    <x v="586"/>
    <x v="1"/>
    <x v="25"/>
    <x v="569"/>
    <x v="133"/>
    <x v="11"/>
    <x v="1"/>
    <x v="0"/>
    <x v="569"/>
    <x v="0"/>
    <x v="0"/>
    <x v="0"/>
    <x v="0"/>
    <x v="0"/>
    <x v="2"/>
    <x v="11"/>
    <x v="6"/>
    <x v="569"/>
    <x v="1"/>
    <x v="7"/>
    <x v="0"/>
    <x v="17"/>
    <x v="17"/>
    <x v="0"/>
    <x v="0"/>
    <x v="0"/>
    <x v="24"/>
    <x v="0"/>
    <x v="0"/>
    <x v="1"/>
    <x v="1"/>
  </r>
  <r>
    <x v="587"/>
    <x v="1"/>
    <x v="25"/>
    <x v="568"/>
    <x v="132"/>
    <x v="10"/>
    <x v="1"/>
    <x v="0"/>
    <x v="570"/>
    <x v="0"/>
    <x v="0"/>
    <x v="0"/>
    <x v="0"/>
    <x v="0"/>
    <x v="2"/>
    <x v="10"/>
    <x v="5"/>
    <x v="568"/>
    <x v="1"/>
    <x v="7"/>
    <x v="0"/>
    <x v="17"/>
    <x v="17"/>
    <x v="0"/>
    <x v="0"/>
    <x v="0"/>
    <x v="24"/>
    <x v="0"/>
    <x v="0"/>
    <x v="1"/>
    <x v="1"/>
  </r>
  <r>
    <x v="584"/>
    <x v="1"/>
    <x v="25"/>
    <x v="567"/>
    <x v="131"/>
    <x v="9"/>
    <x v="1"/>
    <x v="0"/>
    <x v="567"/>
    <x v="0"/>
    <x v="0"/>
    <x v="0"/>
    <x v="0"/>
    <x v="0"/>
    <x v="2"/>
    <x v="9"/>
    <x v="4"/>
    <x v="567"/>
    <x v="1"/>
    <x v="10"/>
    <x v="0"/>
    <x v="17"/>
    <x v="17"/>
    <x v="0"/>
    <x v="0"/>
    <x v="0"/>
    <x v="24"/>
    <x v="0"/>
    <x v="0"/>
    <x v="1"/>
    <x v="1"/>
  </r>
  <r>
    <x v="585"/>
    <x v="1"/>
    <x v="25"/>
    <x v="566"/>
    <x v="130"/>
    <x v="9"/>
    <x v="1"/>
    <x v="0"/>
    <x v="568"/>
    <x v="0"/>
    <x v="0"/>
    <x v="0"/>
    <x v="0"/>
    <x v="0"/>
    <x v="2"/>
    <x v="9"/>
    <x v="4"/>
    <x v="566"/>
    <x v="1"/>
    <x v="10"/>
    <x v="0"/>
    <x v="17"/>
    <x v="17"/>
    <x v="0"/>
    <x v="0"/>
    <x v="0"/>
    <x v="24"/>
    <x v="0"/>
    <x v="0"/>
    <x v="1"/>
    <x v="1"/>
  </r>
  <r>
    <x v="583"/>
    <x v="1"/>
    <x v="25"/>
    <x v="565"/>
    <x v="540"/>
    <x v="14"/>
    <x v="1"/>
    <x v="0"/>
    <x v="566"/>
    <x v="0"/>
    <x v="0"/>
    <x v="0"/>
    <x v="0"/>
    <x v="0"/>
    <x v="2"/>
    <x v="14"/>
    <x v="10"/>
    <x v="565"/>
    <x v="1"/>
    <x v="10"/>
    <x v="0"/>
    <x v="17"/>
    <x v="17"/>
    <x v="0"/>
    <x v="0"/>
    <x v="0"/>
    <x v="24"/>
    <x v="0"/>
    <x v="0"/>
    <x v="1"/>
    <x v="1"/>
  </r>
  <r>
    <x v="582"/>
    <x v="1"/>
    <x v="25"/>
    <x v="564"/>
    <x v="539"/>
    <x v="13"/>
    <x v="1"/>
    <x v="0"/>
    <x v="565"/>
    <x v="0"/>
    <x v="0"/>
    <x v="0"/>
    <x v="0"/>
    <x v="0"/>
    <x v="2"/>
    <x v="13"/>
    <x v="8"/>
    <x v="564"/>
    <x v="1"/>
    <x v="10"/>
    <x v="0"/>
    <x v="17"/>
    <x v="17"/>
    <x v="0"/>
    <x v="0"/>
    <x v="0"/>
    <x v="24"/>
    <x v="0"/>
    <x v="0"/>
    <x v="1"/>
    <x v="1"/>
  </r>
  <r>
    <x v="580"/>
    <x v="1"/>
    <x v="25"/>
    <x v="563"/>
    <x v="542"/>
    <x v="16"/>
    <x v="1"/>
    <x v="0"/>
    <x v="563"/>
    <x v="0"/>
    <x v="0"/>
    <x v="0"/>
    <x v="0"/>
    <x v="0"/>
    <x v="2"/>
    <x v="16"/>
    <x v="12"/>
    <x v="563"/>
    <x v="1"/>
    <x v="10"/>
    <x v="0"/>
    <x v="17"/>
    <x v="17"/>
    <x v="0"/>
    <x v="0"/>
    <x v="0"/>
    <x v="24"/>
    <x v="0"/>
    <x v="0"/>
    <x v="1"/>
    <x v="1"/>
  </r>
  <r>
    <x v="581"/>
    <x v="1"/>
    <x v="25"/>
    <x v="562"/>
    <x v="541"/>
    <x v="15"/>
    <x v="1"/>
    <x v="0"/>
    <x v="564"/>
    <x v="0"/>
    <x v="0"/>
    <x v="0"/>
    <x v="0"/>
    <x v="0"/>
    <x v="2"/>
    <x v="15"/>
    <x v="11"/>
    <x v="562"/>
    <x v="1"/>
    <x v="10"/>
    <x v="0"/>
    <x v="17"/>
    <x v="17"/>
    <x v="0"/>
    <x v="0"/>
    <x v="0"/>
    <x v="24"/>
    <x v="0"/>
    <x v="0"/>
    <x v="1"/>
    <x v="1"/>
  </r>
  <r>
    <x v="579"/>
    <x v="1"/>
    <x v="25"/>
    <x v="561"/>
    <x v="129"/>
    <x v="8"/>
    <x v="1"/>
    <x v="0"/>
    <x v="562"/>
    <x v="0"/>
    <x v="0"/>
    <x v="0"/>
    <x v="0"/>
    <x v="0"/>
    <x v="2"/>
    <x v="8"/>
    <x v="3"/>
    <x v="561"/>
    <x v="1"/>
    <x v="6"/>
    <x v="0"/>
    <x v="17"/>
    <x v="17"/>
    <x v="0"/>
    <x v="0"/>
    <x v="0"/>
    <x v="24"/>
    <x v="0"/>
    <x v="0"/>
    <x v="1"/>
    <x v="1"/>
  </r>
  <r>
    <x v="578"/>
    <x v="1"/>
    <x v="25"/>
    <x v="560"/>
    <x v="95"/>
    <x v="1136"/>
    <x v="1"/>
    <x v="0"/>
    <x v="561"/>
    <x v="0"/>
    <x v="0"/>
    <x v="0"/>
    <x v="0"/>
    <x v="0"/>
    <x v="2"/>
    <x v="1136"/>
    <x v="1124"/>
    <x v="560"/>
    <x v="1"/>
    <x v="10"/>
    <x v="0"/>
    <x v="17"/>
    <x v="17"/>
    <x v="0"/>
    <x v="0"/>
    <x v="0"/>
    <x v="24"/>
    <x v="0"/>
    <x v="0"/>
    <x v="1"/>
    <x v="1"/>
  </r>
  <r>
    <x v="577"/>
    <x v="1"/>
    <x v="25"/>
    <x v="559"/>
    <x v="516"/>
    <x v="1244"/>
    <x v="1"/>
    <x v="0"/>
    <x v="560"/>
    <x v="0"/>
    <x v="0"/>
    <x v="0"/>
    <x v="0"/>
    <x v="0"/>
    <x v="2"/>
    <x v="1244"/>
    <x v="1232"/>
    <x v="559"/>
    <x v="1"/>
    <x v="5"/>
    <x v="0"/>
    <x v="17"/>
    <x v="17"/>
    <x v="0"/>
    <x v="0"/>
    <x v="0"/>
    <x v="32"/>
    <x v="0"/>
    <x v="0"/>
    <x v="1"/>
    <x v="1"/>
  </r>
  <r>
    <x v="576"/>
    <x v="1"/>
    <x v="25"/>
    <x v="558"/>
    <x v="515"/>
    <x v="1243"/>
    <x v="1"/>
    <x v="0"/>
    <x v="559"/>
    <x v="0"/>
    <x v="0"/>
    <x v="0"/>
    <x v="0"/>
    <x v="0"/>
    <x v="2"/>
    <x v="1243"/>
    <x v="1231"/>
    <x v="558"/>
    <x v="1"/>
    <x v="5"/>
    <x v="0"/>
    <x v="17"/>
    <x v="17"/>
    <x v="0"/>
    <x v="0"/>
    <x v="0"/>
    <x v="32"/>
    <x v="0"/>
    <x v="0"/>
    <x v="1"/>
    <x v="1"/>
  </r>
  <r>
    <x v="575"/>
    <x v="1"/>
    <x v="25"/>
    <x v="557"/>
    <x v="535"/>
    <x v="1242"/>
    <x v="1"/>
    <x v="0"/>
    <x v="558"/>
    <x v="0"/>
    <x v="0"/>
    <x v="0"/>
    <x v="0"/>
    <x v="0"/>
    <x v="2"/>
    <x v="1242"/>
    <x v="1230"/>
    <x v="557"/>
    <x v="1"/>
    <x v="5"/>
    <x v="0"/>
    <x v="17"/>
    <x v="17"/>
    <x v="0"/>
    <x v="0"/>
    <x v="0"/>
    <x v="32"/>
    <x v="0"/>
    <x v="0"/>
    <x v="1"/>
    <x v="1"/>
  </r>
  <r>
    <x v="574"/>
    <x v="1"/>
    <x v="25"/>
    <x v="556"/>
    <x v="534"/>
    <x v="1241"/>
    <x v="1"/>
    <x v="0"/>
    <x v="557"/>
    <x v="0"/>
    <x v="0"/>
    <x v="0"/>
    <x v="0"/>
    <x v="0"/>
    <x v="2"/>
    <x v="1241"/>
    <x v="1229"/>
    <x v="556"/>
    <x v="1"/>
    <x v="5"/>
    <x v="0"/>
    <x v="17"/>
    <x v="17"/>
    <x v="0"/>
    <x v="0"/>
    <x v="0"/>
    <x v="32"/>
    <x v="0"/>
    <x v="0"/>
    <x v="1"/>
    <x v="1"/>
  </r>
  <r>
    <x v="573"/>
    <x v="1"/>
    <x v="25"/>
    <x v="555"/>
    <x v="531"/>
    <x v="1240"/>
    <x v="1"/>
    <x v="0"/>
    <x v="556"/>
    <x v="0"/>
    <x v="0"/>
    <x v="0"/>
    <x v="0"/>
    <x v="0"/>
    <x v="2"/>
    <x v="1240"/>
    <x v="1228"/>
    <x v="555"/>
    <x v="1"/>
    <x v="1"/>
    <x v="0"/>
    <x v="17"/>
    <x v="17"/>
    <x v="0"/>
    <x v="0"/>
    <x v="0"/>
    <x v="32"/>
    <x v="0"/>
    <x v="0"/>
    <x v="1"/>
    <x v="1"/>
  </r>
  <r>
    <x v="572"/>
    <x v="1"/>
    <x v="25"/>
    <x v="554"/>
    <x v="530"/>
    <x v="1239"/>
    <x v="1"/>
    <x v="0"/>
    <x v="555"/>
    <x v="0"/>
    <x v="0"/>
    <x v="0"/>
    <x v="0"/>
    <x v="0"/>
    <x v="2"/>
    <x v="1239"/>
    <x v="1227"/>
    <x v="554"/>
    <x v="1"/>
    <x v="1"/>
    <x v="0"/>
    <x v="17"/>
    <x v="17"/>
    <x v="0"/>
    <x v="0"/>
    <x v="0"/>
    <x v="32"/>
    <x v="0"/>
    <x v="0"/>
    <x v="1"/>
    <x v="1"/>
  </r>
  <r>
    <x v="571"/>
    <x v="1"/>
    <x v="25"/>
    <x v="553"/>
    <x v="529"/>
    <x v="1238"/>
    <x v="1"/>
    <x v="0"/>
    <x v="554"/>
    <x v="0"/>
    <x v="0"/>
    <x v="0"/>
    <x v="0"/>
    <x v="0"/>
    <x v="2"/>
    <x v="1238"/>
    <x v="1226"/>
    <x v="553"/>
    <x v="1"/>
    <x v="1"/>
    <x v="0"/>
    <x v="17"/>
    <x v="17"/>
    <x v="0"/>
    <x v="0"/>
    <x v="0"/>
    <x v="32"/>
    <x v="0"/>
    <x v="0"/>
    <x v="1"/>
    <x v="1"/>
  </r>
  <r>
    <x v="570"/>
    <x v="1"/>
    <x v="25"/>
    <x v="552"/>
    <x v="528"/>
    <x v="1237"/>
    <x v="1"/>
    <x v="0"/>
    <x v="553"/>
    <x v="0"/>
    <x v="0"/>
    <x v="0"/>
    <x v="0"/>
    <x v="0"/>
    <x v="2"/>
    <x v="1237"/>
    <x v="1225"/>
    <x v="552"/>
    <x v="1"/>
    <x v="1"/>
    <x v="0"/>
    <x v="17"/>
    <x v="17"/>
    <x v="0"/>
    <x v="0"/>
    <x v="0"/>
    <x v="32"/>
    <x v="0"/>
    <x v="0"/>
    <x v="1"/>
    <x v="1"/>
  </r>
  <r>
    <x v="569"/>
    <x v="1"/>
    <x v="25"/>
    <x v="551"/>
    <x v="527"/>
    <x v="1236"/>
    <x v="1"/>
    <x v="0"/>
    <x v="552"/>
    <x v="0"/>
    <x v="0"/>
    <x v="0"/>
    <x v="0"/>
    <x v="0"/>
    <x v="2"/>
    <x v="1236"/>
    <x v="1224"/>
    <x v="551"/>
    <x v="1"/>
    <x v="1"/>
    <x v="0"/>
    <x v="17"/>
    <x v="17"/>
    <x v="0"/>
    <x v="0"/>
    <x v="0"/>
    <x v="32"/>
    <x v="0"/>
    <x v="0"/>
    <x v="1"/>
    <x v="1"/>
  </r>
  <r>
    <x v="568"/>
    <x v="1"/>
    <x v="25"/>
    <x v="550"/>
    <x v="526"/>
    <x v="1235"/>
    <x v="1"/>
    <x v="0"/>
    <x v="551"/>
    <x v="0"/>
    <x v="0"/>
    <x v="0"/>
    <x v="0"/>
    <x v="0"/>
    <x v="2"/>
    <x v="1235"/>
    <x v="1223"/>
    <x v="550"/>
    <x v="1"/>
    <x v="1"/>
    <x v="0"/>
    <x v="17"/>
    <x v="17"/>
    <x v="0"/>
    <x v="0"/>
    <x v="0"/>
    <x v="32"/>
    <x v="0"/>
    <x v="0"/>
    <x v="1"/>
    <x v="1"/>
  </r>
  <r>
    <x v="567"/>
    <x v="1"/>
    <x v="25"/>
    <x v="549"/>
    <x v="525"/>
    <x v="1234"/>
    <x v="1"/>
    <x v="0"/>
    <x v="550"/>
    <x v="0"/>
    <x v="0"/>
    <x v="0"/>
    <x v="0"/>
    <x v="0"/>
    <x v="2"/>
    <x v="1234"/>
    <x v="1222"/>
    <x v="549"/>
    <x v="1"/>
    <x v="0"/>
    <x v="0"/>
    <x v="17"/>
    <x v="17"/>
    <x v="0"/>
    <x v="0"/>
    <x v="0"/>
    <x v="32"/>
    <x v="0"/>
    <x v="0"/>
    <x v="1"/>
    <x v="1"/>
  </r>
  <r>
    <x v="566"/>
    <x v="1"/>
    <x v="25"/>
    <x v="548"/>
    <x v="524"/>
    <x v="1233"/>
    <x v="1"/>
    <x v="0"/>
    <x v="549"/>
    <x v="0"/>
    <x v="0"/>
    <x v="0"/>
    <x v="0"/>
    <x v="0"/>
    <x v="2"/>
    <x v="1233"/>
    <x v="1221"/>
    <x v="548"/>
    <x v="1"/>
    <x v="0"/>
    <x v="0"/>
    <x v="17"/>
    <x v="17"/>
    <x v="0"/>
    <x v="0"/>
    <x v="0"/>
    <x v="32"/>
    <x v="0"/>
    <x v="0"/>
    <x v="1"/>
    <x v="1"/>
  </r>
  <r>
    <x v="565"/>
    <x v="1"/>
    <x v="25"/>
    <x v="547"/>
    <x v="523"/>
    <x v="1232"/>
    <x v="1"/>
    <x v="0"/>
    <x v="548"/>
    <x v="0"/>
    <x v="0"/>
    <x v="0"/>
    <x v="0"/>
    <x v="0"/>
    <x v="2"/>
    <x v="1232"/>
    <x v="1220"/>
    <x v="547"/>
    <x v="1"/>
    <x v="0"/>
    <x v="0"/>
    <x v="17"/>
    <x v="17"/>
    <x v="0"/>
    <x v="0"/>
    <x v="0"/>
    <x v="32"/>
    <x v="0"/>
    <x v="0"/>
    <x v="1"/>
    <x v="1"/>
  </r>
  <r>
    <x v="564"/>
    <x v="1"/>
    <x v="25"/>
    <x v="546"/>
    <x v="522"/>
    <x v="1231"/>
    <x v="1"/>
    <x v="0"/>
    <x v="547"/>
    <x v="0"/>
    <x v="0"/>
    <x v="0"/>
    <x v="0"/>
    <x v="0"/>
    <x v="2"/>
    <x v="1231"/>
    <x v="1219"/>
    <x v="546"/>
    <x v="1"/>
    <x v="0"/>
    <x v="0"/>
    <x v="17"/>
    <x v="17"/>
    <x v="0"/>
    <x v="0"/>
    <x v="0"/>
    <x v="32"/>
    <x v="0"/>
    <x v="0"/>
    <x v="1"/>
    <x v="1"/>
  </r>
  <r>
    <x v="563"/>
    <x v="1"/>
    <x v="25"/>
    <x v="545"/>
    <x v="521"/>
    <x v="1230"/>
    <x v="1"/>
    <x v="0"/>
    <x v="546"/>
    <x v="0"/>
    <x v="0"/>
    <x v="0"/>
    <x v="0"/>
    <x v="0"/>
    <x v="2"/>
    <x v="1230"/>
    <x v="1218"/>
    <x v="545"/>
    <x v="1"/>
    <x v="5"/>
    <x v="0"/>
    <x v="17"/>
    <x v="17"/>
    <x v="0"/>
    <x v="0"/>
    <x v="0"/>
    <x v="32"/>
    <x v="0"/>
    <x v="0"/>
    <x v="1"/>
    <x v="1"/>
  </r>
  <r>
    <x v="562"/>
    <x v="1"/>
    <x v="25"/>
    <x v="544"/>
    <x v="520"/>
    <x v="1229"/>
    <x v="1"/>
    <x v="0"/>
    <x v="545"/>
    <x v="0"/>
    <x v="0"/>
    <x v="0"/>
    <x v="0"/>
    <x v="0"/>
    <x v="2"/>
    <x v="1229"/>
    <x v="1217"/>
    <x v="544"/>
    <x v="1"/>
    <x v="5"/>
    <x v="0"/>
    <x v="17"/>
    <x v="17"/>
    <x v="0"/>
    <x v="0"/>
    <x v="0"/>
    <x v="32"/>
    <x v="0"/>
    <x v="0"/>
    <x v="1"/>
    <x v="1"/>
  </r>
  <r>
    <x v="561"/>
    <x v="1"/>
    <x v="25"/>
    <x v="543"/>
    <x v="519"/>
    <x v="1228"/>
    <x v="1"/>
    <x v="0"/>
    <x v="544"/>
    <x v="0"/>
    <x v="0"/>
    <x v="0"/>
    <x v="0"/>
    <x v="0"/>
    <x v="2"/>
    <x v="1228"/>
    <x v="1216"/>
    <x v="543"/>
    <x v="1"/>
    <x v="5"/>
    <x v="0"/>
    <x v="17"/>
    <x v="17"/>
    <x v="0"/>
    <x v="0"/>
    <x v="0"/>
    <x v="32"/>
    <x v="0"/>
    <x v="0"/>
    <x v="1"/>
    <x v="1"/>
  </r>
  <r>
    <x v="560"/>
    <x v="1"/>
    <x v="25"/>
    <x v="542"/>
    <x v="518"/>
    <x v="1227"/>
    <x v="1"/>
    <x v="0"/>
    <x v="543"/>
    <x v="0"/>
    <x v="0"/>
    <x v="0"/>
    <x v="0"/>
    <x v="0"/>
    <x v="2"/>
    <x v="1227"/>
    <x v="1215"/>
    <x v="542"/>
    <x v="1"/>
    <x v="5"/>
    <x v="0"/>
    <x v="17"/>
    <x v="17"/>
    <x v="0"/>
    <x v="0"/>
    <x v="0"/>
    <x v="32"/>
    <x v="0"/>
    <x v="0"/>
    <x v="1"/>
    <x v="1"/>
  </r>
  <r>
    <x v="559"/>
    <x v="1"/>
    <x v="25"/>
    <x v="541"/>
    <x v="517"/>
    <x v="1226"/>
    <x v="1"/>
    <x v="0"/>
    <x v="542"/>
    <x v="0"/>
    <x v="0"/>
    <x v="0"/>
    <x v="0"/>
    <x v="0"/>
    <x v="2"/>
    <x v="1226"/>
    <x v="1214"/>
    <x v="541"/>
    <x v="1"/>
    <x v="5"/>
    <x v="0"/>
    <x v="17"/>
    <x v="17"/>
    <x v="0"/>
    <x v="0"/>
    <x v="0"/>
    <x v="32"/>
    <x v="0"/>
    <x v="0"/>
    <x v="1"/>
    <x v="1"/>
  </r>
  <r>
    <x v="558"/>
    <x v="1"/>
    <x v="25"/>
    <x v="540"/>
    <x v="514"/>
    <x v="1225"/>
    <x v="1"/>
    <x v="0"/>
    <x v="541"/>
    <x v="0"/>
    <x v="0"/>
    <x v="0"/>
    <x v="0"/>
    <x v="0"/>
    <x v="2"/>
    <x v="1225"/>
    <x v="1213"/>
    <x v="540"/>
    <x v="1"/>
    <x v="1"/>
    <x v="0"/>
    <x v="17"/>
    <x v="17"/>
    <x v="0"/>
    <x v="0"/>
    <x v="0"/>
    <x v="32"/>
    <x v="0"/>
    <x v="0"/>
    <x v="1"/>
    <x v="1"/>
  </r>
  <r>
    <x v="557"/>
    <x v="1"/>
    <x v="25"/>
    <x v="539"/>
    <x v="513"/>
    <x v="1224"/>
    <x v="1"/>
    <x v="0"/>
    <x v="540"/>
    <x v="0"/>
    <x v="0"/>
    <x v="0"/>
    <x v="0"/>
    <x v="0"/>
    <x v="2"/>
    <x v="1224"/>
    <x v="1212"/>
    <x v="539"/>
    <x v="1"/>
    <x v="1"/>
    <x v="0"/>
    <x v="17"/>
    <x v="17"/>
    <x v="0"/>
    <x v="0"/>
    <x v="0"/>
    <x v="32"/>
    <x v="0"/>
    <x v="0"/>
    <x v="1"/>
    <x v="1"/>
  </r>
  <r>
    <x v="556"/>
    <x v="1"/>
    <x v="25"/>
    <x v="538"/>
    <x v="512"/>
    <x v="1223"/>
    <x v="1"/>
    <x v="0"/>
    <x v="539"/>
    <x v="0"/>
    <x v="0"/>
    <x v="0"/>
    <x v="0"/>
    <x v="0"/>
    <x v="2"/>
    <x v="1223"/>
    <x v="1211"/>
    <x v="538"/>
    <x v="1"/>
    <x v="1"/>
    <x v="0"/>
    <x v="17"/>
    <x v="17"/>
    <x v="0"/>
    <x v="0"/>
    <x v="0"/>
    <x v="32"/>
    <x v="0"/>
    <x v="0"/>
    <x v="1"/>
    <x v="1"/>
  </r>
  <r>
    <x v="555"/>
    <x v="1"/>
    <x v="25"/>
    <x v="537"/>
    <x v="511"/>
    <x v="1222"/>
    <x v="1"/>
    <x v="0"/>
    <x v="538"/>
    <x v="0"/>
    <x v="0"/>
    <x v="0"/>
    <x v="0"/>
    <x v="0"/>
    <x v="2"/>
    <x v="1222"/>
    <x v="1210"/>
    <x v="537"/>
    <x v="1"/>
    <x v="1"/>
    <x v="0"/>
    <x v="17"/>
    <x v="17"/>
    <x v="0"/>
    <x v="0"/>
    <x v="0"/>
    <x v="32"/>
    <x v="0"/>
    <x v="0"/>
    <x v="1"/>
    <x v="1"/>
  </r>
  <r>
    <x v="554"/>
    <x v="1"/>
    <x v="25"/>
    <x v="536"/>
    <x v="510"/>
    <x v="1221"/>
    <x v="1"/>
    <x v="0"/>
    <x v="537"/>
    <x v="0"/>
    <x v="0"/>
    <x v="0"/>
    <x v="0"/>
    <x v="0"/>
    <x v="2"/>
    <x v="1221"/>
    <x v="1209"/>
    <x v="536"/>
    <x v="1"/>
    <x v="1"/>
    <x v="0"/>
    <x v="17"/>
    <x v="17"/>
    <x v="0"/>
    <x v="0"/>
    <x v="0"/>
    <x v="32"/>
    <x v="0"/>
    <x v="0"/>
    <x v="1"/>
    <x v="1"/>
  </r>
  <r>
    <x v="553"/>
    <x v="1"/>
    <x v="25"/>
    <x v="535"/>
    <x v="509"/>
    <x v="1220"/>
    <x v="1"/>
    <x v="0"/>
    <x v="536"/>
    <x v="0"/>
    <x v="0"/>
    <x v="0"/>
    <x v="0"/>
    <x v="0"/>
    <x v="2"/>
    <x v="1220"/>
    <x v="1208"/>
    <x v="535"/>
    <x v="1"/>
    <x v="1"/>
    <x v="0"/>
    <x v="17"/>
    <x v="17"/>
    <x v="0"/>
    <x v="0"/>
    <x v="0"/>
    <x v="32"/>
    <x v="0"/>
    <x v="0"/>
    <x v="1"/>
    <x v="1"/>
  </r>
  <r>
    <x v="552"/>
    <x v="1"/>
    <x v="25"/>
    <x v="534"/>
    <x v="508"/>
    <x v="1219"/>
    <x v="1"/>
    <x v="0"/>
    <x v="535"/>
    <x v="0"/>
    <x v="0"/>
    <x v="0"/>
    <x v="0"/>
    <x v="0"/>
    <x v="2"/>
    <x v="1219"/>
    <x v="1207"/>
    <x v="534"/>
    <x v="1"/>
    <x v="1"/>
    <x v="0"/>
    <x v="17"/>
    <x v="17"/>
    <x v="0"/>
    <x v="0"/>
    <x v="0"/>
    <x v="32"/>
    <x v="0"/>
    <x v="0"/>
    <x v="1"/>
    <x v="1"/>
  </r>
  <r>
    <x v="551"/>
    <x v="1"/>
    <x v="25"/>
    <x v="533"/>
    <x v="507"/>
    <x v="1218"/>
    <x v="1"/>
    <x v="0"/>
    <x v="534"/>
    <x v="0"/>
    <x v="0"/>
    <x v="0"/>
    <x v="0"/>
    <x v="0"/>
    <x v="2"/>
    <x v="1218"/>
    <x v="1206"/>
    <x v="533"/>
    <x v="1"/>
    <x v="1"/>
    <x v="0"/>
    <x v="17"/>
    <x v="17"/>
    <x v="0"/>
    <x v="0"/>
    <x v="0"/>
    <x v="32"/>
    <x v="0"/>
    <x v="0"/>
    <x v="1"/>
    <x v="1"/>
  </r>
  <r>
    <x v="550"/>
    <x v="1"/>
    <x v="25"/>
    <x v="532"/>
    <x v="506"/>
    <x v="1217"/>
    <x v="1"/>
    <x v="0"/>
    <x v="533"/>
    <x v="0"/>
    <x v="0"/>
    <x v="0"/>
    <x v="0"/>
    <x v="0"/>
    <x v="2"/>
    <x v="1217"/>
    <x v="1205"/>
    <x v="532"/>
    <x v="1"/>
    <x v="1"/>
    <x v="0"/>
    <x v="17"/>
    <x v="17"/>
    <x v="0"/>
    <x v="0"/>
    <x v="0"/>
    <x v="32"/>
    <x v="0"/>
    <x v="0"/>
    <x v="1"/>
    <x v="1"/>
  </r>
  <r>
    <x v="549"/>
    <x v="1"/>
    <x v="25"/>
    <x v="531"/>
    <x v="532"/>
    <x v="1245"/>
    <x v="1"/>
    <x v="0"/>
    <x v="532"/>
    <x v="0"/>
    <x v="0"/>
    <x v="0"/>
    <x v="0"/>
    <x v="0"/>
    <x v="2"/>
    <x v="1245"/>
    <x v="1233"/>
    <x v="531"/>
    <x v="1"/>
    <x v="2"/>
    <x v="0"/>
    <x v="17"/>
    <x v="17"/>
    <x v="0"/>
    <x v="0"/>
    <x v="0"/>
    <x v="32"/>
    <x v="0"/>
    <x v="0"/>
    <x v="1"/>
    <x v="1"/>
  </r>
  <r>
    <x v="548"/>
    <x v="1"/>
    <x v="25"/>
    <x v="530"/>
    <x v="122"/>
    <x v="1154"/>
    <x v="1"/>
    <x v="0"/>
    <x v="531"/>
    <x v="0"/>
    <x v="0"/>
    <x v="0"/>
    <x v="0"/>
    <x v="0"/>
    <x v="2"/>
    <x v="1154"/>
    <x v="1142"/>
    <x v="530"/>
    <x v="1"/>
    <x v="10"/>
    <x v="0"/>
    <x v="17"/>
    <x v="17"/>
    <x v="0"/>
    <x v="0"/>
    <x v="0"/>
    <x v="27"/>
    <x v="0"/>
    <x v="0"/>
    <x v="1"/>
    <x v="1"/>
  </r>
  <r>
    <x v="547"/>
    <x v="1"/>
    <x v="25"/>
    <x v="529"/>
    <x v="121"/>
    <x v="1155"/>
    <x v="1"/>
    <x v="0"/>
    <x v="530"/>
    <x v="0"/>
    <x v="0"/>
    <x v="0"/>
    <x v="0"/>
    <x v="0"/>
    <x v="2"/>
    <x v="1155"/>
    <x v="1143"/>
    <x v="529"/>
    <x v="1"/>
    <x v="10"/>
    <x v="0"/>
    <x v="17"/>
    <x v="17"/>
    <x v="0"/>
    <x v="0"/>
    <x v="0"/>
    <x v="27"/>
    <x v="0"/>
    <x v="0"/>
    <x v="1"/>
    <x v="1"/>
  </r>
  <r>
    <x v="545"/>
    <x v="1"/>
    <x v="25"/>
    <x v="528"/>
    <x v="112"/>
    <x v="1263"/>
    <x v="1"/>
    <x v="0"/>
    <x v="528"/>
    <x v="0"/>
    <x v="0"/>
    <x v="0"/>
    <x v="0"/>
    <x v="0"/>
    <x v="2"/>
    <x v="1263"/>
    <x v="1251"/>
    <x v="528"/>
    <x v="1"/>
    <x v="10"/>
    <x v="0"/>
    <x v="17"/>
    <x v="17"/>
    <x v="0"/>
    <x v="0"/>
    <x v="0"/>
    <x v="27"/>
    <x v="0"/>
    <x v="0"/>
    <x v="1"/>
    <x v="1"/>
  </r>
  <r>
    <x v="546"/>
    <x v="1"/>
    <x v="25"/>
    <x v="527"/>
    <x v="119"/>
    <x v="1153"/>
    <x v="1"/>
    <x v="0"/>
    <x v="529"/>
    <x v="0"/>
    <x v="0"/>
    <x v="0"/>
    <x v="0"/>
    <x v="0"/>
    <x v="2"/>
    <x v="1153"/>
    <x v="1141"/>
    <x v="527"/>
    <x v="1"/>
    <x v="10"/>
    <x v="0"/>
    <x v="17"/>
    <x v="17"/>
    <x v="0"/>
    <x v="0"/>
    <x v="0"/>
    <x v="24"/>
    <x v="0"/>
    <x v="0"/>
    <x v="1"/>
    <x v="1"/>
  </r>
  <r>
    <x v="544"/>
    <x v="1"/>
    <x v="25"/>
    <x v="526"/>
    <x v="124"/>
    <x v="1137"/>
    <x v="1"/>
    <x v="0"/>
    <x v="527"/>
    <x v="0"/>
    <x v="0"/>
    <x v="0"/>
    <x v="0"/>
    <x v="0"/>
    <x v="2"/>
    <x v="1137"/>
    <x v="1125"/>
    <x v="526"/>
    <x v="1"/>
    <x v="10"/>
    <x v="0"/>
    <x v="17"/>
    <x v="17"/>
    <x v="0"/>
    <x v="0"/>
    <x v="0"/>
    <x v="24"/>
    <x v="0"/>
    <x v="0"/>
    <x v="1"/>
    <x v="1"/>
  </r>
  <r>
    <x v="543"/>
    <x v="1"/>
    <x v="25"/>
    <x v="525"/>
    <x v="123"/>
    <x v="12"/>
    <x v="1"/>
    <x v="0"/>
    <x v="526"/>
    <x v="0"/>
    <x v="0"/>
    <x v="0"/>
    <x v="0"/>
    <x v="0"/>
    <x v="2"/>
    <x v="12"/>
    <x v="7"/>
    <x v="525"/>
    <x v="1"/>
    <x v="10"/>
    <x v="0"/>
    <x v="17"/>
    <x v="17"/>
    <x v="0"/>
    <x v="0"/>
    <x v="0"/>
    <x v="24"/>
    <x v="0"/>
    <x v="0"/>
    <x v="1"/>
    <x v="1"/>
  </r>
  <r>
    <x v="542"/>
    <x v="1"/>
    <x v="25"/>
    <x v="524"/>
    <x v="402"/>
    <x v="1163"/>
    <x v="1"/>
    <x v="0"/>
    <x v="525"/>
    <x v="0"/>
    <x v="0"/>
    <x v="0"/>
    <x v="0"/>
    <x v="0"/>
    <x v="2"/>
    <x v="1163"/>
    <x v="1151"/>
    <x v="524"/>
    <x v="1"/>
    <x v="10"/>
    <x v="0"/>
    <x v="17"/>
    <x v="17"/>
    <x v="0"/>
    <x v="0"/>
    <x v="0"/>
    <x v="24"/>
    <x v="0"/>
    <x v="0"/>
    <x v="1"/>
    <x v="1"/>
  </r>
  <r>
    <x v="541"/>
    <x v="1"/>
    <x v="25"/>
    <x v="523"/>
    <x v="954"/>
    <x v="1255"/>
    <x v="1"/>
    <x v="0"/>
    <x v="524"/>
    <x v="0"/>
    <x v="0"/>
    <x v="0"/>
    <x v="0"/>
    <x v="0"/>
    <x v="2"/>
    <x v="1255"/>
    <x v="1243"/>
    <x v="523"/>
    <x v="1"/>
    <x v="10"/>
    <x v="0"/>
    <x v="17"/>
    <x v="17"/>
    <x v="0"/>
    <x v="0"/>
    <x v="0"/>
    <x v="24"/>
    <x v="0"/>
    <x v="0"/>
    <x v="1"/>
    <x v="1"/>
  </r>
  <r>
    <x v="540"/>
    <x v="1"/>
    <x v="25"/>
    <x v="522"/>
    <x v="960"/>
    <x v="1258"/>
    <x v="1"/>
    <x v="0"/>
    <x v="523"/>
    <x v="0"/>
    <x v="0"/>
    <x v="0"/>
    <x v="0"/>
    <x v="0"/>
    <x v="2"/>
    <x v="1258"/>
    <x v="1246"/>
    <x v="522"/>
    <x v="1"/>
    <x v="10"/>
    <x v="0"/>
    <x v="17"/>
    <x v="17"/>
    <x v="0"/>
    <x v="0"/>
    <x v="0"/>
    <x v="24"/>
    <x v="0"/>
    <x v="0"/>
    <x v="1"/>
    <x v="1"/>
  </r>
  <r>
    <x v="539"/>
    <x v="1"/>
    <x v="25"/>
    <x v="521"/>
    <x v="1355"/>
    <x v="1266"/>
    <x v="1"/>
    <x v="0"/>
    <x v="522"/>
    <x v="0"/>
    <x v="0"/>
    <x v="0"/>
    <x v="0"/>
    <x v="0"/>
    <x v="2"/>
    <x v="1266"/>
    <x v="1254"/>
    <x v="521"/>
    <x v="1"/>
    <x v="10"/>
    <x v="0"/>
    <x v="17"/>
    <x v="17"/>
    <x v="0"/>
    <x v="0"/>
    <x v="0"/>
    <x v="24"/>
    <x v="0"/>
    <x v="0"/>
    <x v="1"/>
    <x v="1"/>
  </r>
  <r>
    <x v="538"/>
    <x v="1"/>
    <x v="25"/>
    <x v="520"/>
    <x v="953"/>
    <x v="1254"/>
    <x v="1"/>
    <x v="0"/>
    <x v="521"/>
    <x v="0"/>
    <x v="0"/>
    <x v="0"/>
    <x v="0"/>
    <x v="0"/>
    <x v="2"/>
    <x v="1254"/>
    <x v="1242"/>
    <x v="520"/>
    <x v="1"/>
    <x v="10"/>
    <x v="0"/>
    <x v="17"/>
    <x v="17"/>
    <x v="0"/>
    <x v="0"/>
    <x v="0"/>
    <x v="24"/>
    <x v="0"/>
    <x v="0"/>
    <x v="1"/>
    <x v="1"/>
  </r>
  <r>
    <x v="537"/>
    <x v="1"/>
    <x v="25"/>
    <x v="519"/>
    <x v="957"/>
    <x v="1256"/>
    <x v="1"/>
    <x v="0"/>
    <x v="520"/>
    <x v="0"/>
    <x v="0"/>
    <x v="0"/>
    <x v="0"/>
    <x v="0"/>
    <x v="2"/>
    <x v="1256"/>
    <x v="1244"/>
    <x v="519"/>
    <x v="1"/>
    <x v="10"/>
    <x v="0"/>
    <x v="17"/>
    <x v="17"/>
    <x v="0"/>
    <x v="0"/>
    <x v="0"/>
    <x v="24"/>
    <x v="0"/>
    <x v="0"/>
    <x v="1"/>
    <x v="1"/>
  </r>
  <r>
    <x v="536"/>
    <x v="1"/>
    <x v="25"/>
    <x v="518"/>
    <x v="1356"/>
    <x v="1267"/>
    <x v="1"/>
    <x v="0"/>
    <x v="519"/>
    <x v="0"/>
    <x v="0"/>
    <x v="0"/>
    <x v="0"/>
    <x v="0"/>
    <x v="2"/>
    <x v="1267"/>
    <x v="1255"/>
    <x v="518"/>
    <x v="1"/>
    <x v="10"/>
    <x v="0"/>
    <x v="17"/>
    <x v="17"/>
    <x v="0"/>
    <x v="0"/>
    <x v="0"/>
    <x v="24"/>
    <x v="0"/>
    <x v="0"/>
    <x v="1"/>
    <x v="1"/>
  </r>
  <r>
    <x v="535"/>
    <x v="1"/>
    <x v="25"/>
    <x v="517"/>
    <x v="1357"/>
    <x v="1268"/>
    <x v="1"/>
    <x v="0"/>
    <x v="518"/>
    <x v="0"/>
    <x v="0"/>
    <x v="0"/>
    <x v="0"/>
    <x v="0"/>
    <x v="2"/>
    <x v="1268"/>
    <x v="1256"/>
    <x v="517"/>
    <x v="1"/>
    <x v="10"/>
    <x v="0"/>
    <x v="17"/>
    <x v="17"/>
    <x v="0"/>
    <x v="0"/>
    <x v="0"/>
    <x v="33"/>
    <x v="0"/>
    <x v="0"/>
    <x v="1"/>
    <x v="1"/>
  </r>
  <r>
    <x v="533"/>
    <x v="1"/>
    <x v="25"/>
    <x v="516"/>
    <x v="950"/>
    <x v="1264"/>
    <x v="1"/>
    <x v="0"/>
    <x v="516"/>
    <x v="0"/>
    <x v="0"/>
    <x v="0"/>
    <x v="0"/>
    <x v="0"/>
    <x v="2"/>
    <x v="1264"/>
    <x v="1252"/>
    <x v="516"/>
    <x v="1"/>
    <x v="10"/>
    <x v="0"/>
    <x v="17"/>
    <x v="17"/>
    <x v="0"/>
    <x v="0"/>
    <x v="0"/>
    <x v="24"/>
    <x v="0"/>
    <x v="0"/>
    <x v="1"/>
    <x v="1"/>
  </r>
  <r>
    <x v="534"/>
    <x v="1"/>
    <x v="25"/>
    <x v="515"/>
    <x v="955"/>
    <x v="1248"/>
    <x v="1"/>
    <x v="0"/>
    <x v="517"/>
    <x v="0"/>
    <x v="0"/>
    <x v="0"/>
    <x v="0"/>
    <x v="0"/>
    <x v="2"/>
    <x v="1248"/>
    <x v="1236"/>
    <x v="515"/>
    <x v="1"/>
    <x v="10"/>
    <x v="0"/>
    <x v="17"/>
    <x v="17"/>
    <x v="0"/>
    <x v="0"/>
    <x v="0"/>
    <x v="24"/>
    <x v="0"/>
    <x v="0"/>
    <x v="1"/>
    <x v="1"/>
  </r>
  <r>
    <x v="531"/>
    <x v="1"/>
    <x v="25"/>
    <x v="514"/>
    <x v="952"/>
    <x v="1265"/>
    <x v="1"/>
    <x v="0"/>
    <x v="514"/>
    <x v="0"/>
    <x v="0"/>
    <x v="0"/>
    <x v="0"/>
    <x v="0"/>
    <x v="2"/>
    <x v="1265"/>
    <x v="1253"/>
    <x v="514"/>
    <x v="1"/>
    <x v="10"/>
    <x v="0"/>
    <x v="17"/>
    <x v="17"/>
    <x v="0"/>
    <x v="0"/>
    <x v="0"/>
    <x v="24"/>
    <x v="0"/>
    <x v="0"/>
    <x v="1"/>
    <x v="1"/>
  </r>
  <r>
    <x v="532"/>
    <x v="1"/>
    <x v="25"/>
    <x v="513"/>
    <x v="958"/>
    <x v="1257"/>
    <x v="1"/>
    <x v="0"/>
    <x v="515"/>
    <x v="0"/>
    <x v="0"/>
    <x v="0"/>
    <x v="0"/>
    <x v="0"/>
    <x v="2"/>
    <x v="1257"/>
    <x v="1245"/>
    <x v="513"/>
    <x v="1"/>
    <x v="10"/>
    <x v="0"/>
    <x v="17"/>
    <x v="17"/>
    <x v="0"/>
    <x v="0"/>
    <x v="0"/>
    <x v="30"/>
    <x v="0"/>
    <x v="0"/>
    <x v="1"/>
    <x v="1"/>
  </r>
  <r>
    <x v="461"/>
    <x v="1"/>
    <x v="25"/>
    <x v="512"/>
    <x v="949"/>
    <x v="1261"/>
    <x v="1"/>
    <x v="0"/>
    <x v="444"/>
    <x v="0"/>
    <x v="0"/>
    <x v="0"/>
    <x v="0"/>
    <x v="0"/>
    <x v="2"/>
    <x v="1261"/>
    <x v="1249"/>
    <x v="512"/>
    <x v="0"/>
    <x v="10"/>
    <x v="0"/>
    <x v="17"/>
    <x v="17"/>
    <x v="0"/>
    <x v="0"/>
    <x v="0"/>
    <x v="24"/>
    <x v="0"/>
    <x v="0"/>
    <x v="1"/>
    <x v="1"/>
  </r>
  <r>
    <x v="460"/>
    <x v="1"/>
    <x v="25"/>
    <x v="511"/>
    <x v="948"/>
    <x v="1260"/>
    <x v="1"/>
    <x v="0"/>
    <x v="443"/>
    <x v="0"/>
    <x v="0"/>
    <x v="0"/>
    <x v="0"/>
    <x v="0"/>
    <x v="2"/>
    <x v="1260"/>
    <x v="1248"/>
    <x v="511"/>
    <x v="0"/>
    <x v="10"/>
    <x v="0"/>
    <x v="17"/>
    <x v="17"/>
    <x v="0"/>
    <x v="0"/>
    <x v="0"/>
    <x v="24"/>
    <x v="0"/>
    <x v="0"/>
    <x v="1"/>
    <x v="1"/>
  </r>
  <r>
    <x v="530"/>
    <x v="1"/>
    <x v="25"/>
    <x v="510"/>
    <x v="963"/>
    <x v="1249"/>
    <x v="1"/>
    <x v="0"/>
    <x v="513"/>
    <x v="0"/>
    <x v="0"/>
    <x v="0"/>
    <x v="0"/>
    <x v="0"/>
    <x v="2"/>
    <x v="1249"/>
    <x v="1237"/>
    <x v="510"/>
    <x v="1"/>
    <x v="10"/>
    <x v="0"/>
    <x v="17"/>
    <x v="17"/>
    <x v="0"/>
    <x v="0"/>
    <x v="0"/>
    <x v="30"/>
    <x v="0"/>
    <x v="0"/>
    <x v="1"/>
    <x v="1"/>
  </r>
  <r>
    <x v="529"/>
    <x v="1"/>
    <x v="25"/>
    <x v="509"/>
    <x v="956"/>
    <x v="1248"/>
    <x v="1"/>
    <x v="0"/>
    <x v="512"/>
    <x v="0"/>
    <x v="0"/>
    <x v="0"/>
    <x v="0"/>
    <x v="0"/>
    <x v="2"/>
    <x v="1248"/>
    <x v="1236"/>
    <x v="509"/>
    <x v="1"/>
    <x v="10"/>
    <x v="0"/>
    <x v="17"/>
    <x v="17"/>
    <x v="0"/>
    <x v="0"/>
    <x v="0"/>
    <x v="30"/>
    <x v="0"/>
    <x v="0"/>
    <x v="1"/>
    <x v="1"/>
  </r>
  <r>
    <x v="528"/>
    <x v="1"/>
    <x v="25"/>
    <x v="508"/>
    <x v="959"/>
    <x v="1252"/>
    <x v="1"/>
    <x v="0"/>
    <x v="511"/>
    <x v="0"/>
    <x v="0"/>
    <x v="0"/>
    <x v="0"/>
    <x v="0"/>
    <x v="2"/>
    <x v="1252"/>
    <x v="1240"/>
    <x v="508"/>
    <x v="1"/>
    <x v="10"/>
    <x v="0"/>
    <x v="17"/>
    <x v="17"/>
    <x v="0"/>
    <x v="0"/>
    <x v="0"/>
    <x v="30"/>
    <x v="0"/>
    <x v="0"/>
    <x v="1"/>
    <x v="1"/>
  </r>
  <r>
    <x v="527"/>
    <x v="1"/>
    <x v="25"/>
    <x v="507"/>
    <x v="964"/>
    <x v="1250"/>
    <x v="1"/>
    <x v="0"/>
    <x v="510"/>
    <x v="0"/>
    <x v="0"/>
    <x v="0"/>
    <x v="0"/>
    <x v="0"/>
    <x v="2"/>
    <x v="1250"/>
    <x v="1238"/>
    <x v="507"/>
    <x v="1"/>
    <x v="10"/>
    <x v="0"/>
    <x v="17"/>
    <x v="17"/>
    <x v="0"/>
    <x v="0"/>
    <x v="0"/>
    <x v="30"/>
    <x v="0"/>
    <x v="0"/>
    <x v="1"/>
    <x v="1"/>
  </r>
  <r>
    <x v="526"/>
    <x v="1"/>
    <x v="25"/>
    <x v="506"/>
    <x v="951"/>
    <x v="1251"/>
    <x v="1"/>
    <x v="0"/>
    <x v="509"/>
    <x v="0"/>
    <x v="0"/>
    <x v="0"/>
    <x v="0"/>
    <x v="0"/>
    <x v="2"/>
    <x v="1251"/>
    <x v="1239"/>
    <x v="506"/>
    <x v="1"/>
    <x v="10"/>
    <x v="0"/>
    <x v="17"/>
    <x v="17"/>
    <x v="0"/>
    <x v="0"/>
    <x v="0"/>
    <x v="24"/>
    <x v="0"/>
    <x v="0"/>
    <x v="1"/>
    <x v="1"/>
  </r>
  <r>
    <x v="525"/>
    <x v="1"/>
    <x v="25"/>
    <x v="505"/>
    <x v="946"/>
    <x v="1253"/>
    <x v="1"/>
    <x v="0"/>
    <x v="508"/>
    <x v="0"/>
    <x v="0"/>
    <x v="0"/>
    <x v="0"/>
    <x v="0"/>
    <x v="2"/>
    <x v="1253"/>
    <x v="1241"/>
    <x v="505"/>
    <x v="1"/>
    <x v="10"/>
    <x v="0"/>
    <x v="17"/>
    <x v="17"/>
    <x v="0"/>
    <x v="0"/>
    <x v="0"/>
    <x v="30"/>
    <x v="0"/>
    <x v="0"/>
    <x v="1"/>
    <x v="1"/>
  </r>
  <r>
    <x v="524"/>
    <x v="1"/>
    <x v="25"/>
    <x v="504"/>
    <x v="173"/>
    <x v="1160"/>
    <x v="1"/>
    <x v="0"/>
    <x v="507"/>
    <x v="0"/>
    <x v="0"/>
    <x v="0"/>
    <x v="0"/>
    <x v="0"/>
    <x v="2"/>
    <x v="1160"/>
    <x v="1148"/>
    <x v="504"/>
    <x v="1"/>
    <x v="8"/>
    <x v="0"/>
    <x v="17"/>
    <x v="17"/>
    <x v="0"/>
    <x v="0"/>
    <x v="0"/>
    <x v="24"/>
    <x v="0"/>
    <x v="0"/>
    <x v="1"/>
    <x v="1"/>
  </r>
  <r>
    <x v="523"/>
    <x v="1"/>
    <x v="25"/>
    <x v="503"/>
    <x v="213"/>
    <x v="1246"/>
    <x v="1"/>
    <x v="0"/>
    <x v="506"/>
    <x v="0"/>
    <x v="0"/>
    <x v="0"/>
    <x v="0"/>
    <x v="0"/>
    <x v="2"/>
    <x v="1246"/>
    <x v="1234"/>
    <x v="503"/>
    <x v="1"/>
    <x v="10"/>
    <x v="0"/>
    <x v="17"/>
    <x v="17"/>
    <x v="0"/>
    <x v="0"/>
    <x v="0"/>
    <x v="24"/>
    <x v="0"/>
    <x v="0"/>
    <x v="1"/>
    <x v="1"/>
  </r>
  <r>
    <x v="522"/>
    <x v="1"/>
    <x v="25"/>
    <x v="502"/>
    <x v="990"/>
    <x v="1159"/>
    <x v="1"/>
    <x v="0"/>
    <x v="505"/>
    <x v="0"/>
    <x v="0"/>
    <x v="0"/>
    <x v="0"/>
    <x v="0"/>
    <x v="2"/>
    <x v="1159"/>
    <x v="1147"/>
    <x v="502"/>
    <x v="1"/>
    <x v="10"/>
    <x v="0"/>
    <x v="17"/>
    <x v="17"/>
    <x v="0"/>
    <x v="0"/>
    <x v="0"/>
    <x v="29"/>
    <x v="0"/>
    <x v="0"/>
    <x v="1"/>
    <x v="1"/>
  </r>
  <r>
    <x v="521"/>
    <x v="1"/>
    <x v="25"/>
    <x v="501"/>
    <x v="962"/>
    <x v="1259"/>
    <x v="1"/>
    <x v="0"/>
    <x v="504"/>
    <x v="0"/>
    <x v="0"/>
    <x v="0"/>
    <x v="0"/>
    <x v="0"/>
    <x v="2"/>
    <x v="1259"/>
    <x v="1247"/>
    <x v="501"/>
    <x v="1"/>
    <x v="10"/>
    <x v="0"/>
    <x v="17"/>
    <x v="17"/>
    <x v="0"/>
    <x v="0"/>
    <x v="0"/>
    <x v="24"/>
    <x v="0"/>
    <x v="0"/>
    <x v="1"/>
    <x v="1"/>
  </r>
  <r>
    <x v="520"/>
    <x v="1"/>
    <x v="25"/>
    <x v="500"/>
    <x v="18"/>
    <x v="1065"/>
    <x v="1"/>
    <x v="0"/>
    <x v="503"/>
    <x v="0"/>
    <x v="0"/>
    <x v="0"/>
    <x v="0"/>
    <x v="0"/>
    <x v="2"/>
    <x v="1065"/>
    <x v="1053"/>
    <x v="500"/>
    <x v="1"/>
    <x v="10"/>
    <x v="0"/>
    <x v="17"/>
    <x v="17"/>
    <x v="0"/>
    <x v="0"/>
    <x v="0"/>
    <x v="25"/>
    <x v="0"/>
    <x v="0"/>
    <x v="1"/>
    <x v="1"/>
  </r>
  <r>
    <x v="519"/>
    <x v="1"/>
    <x v="25"/>
    <x v="499"/>
    <x v="25"/>
    <x v="1066"/>
    <x v="1"/>
    <x v="0"/>
    <x v="502"/>
    <x v="0"/>
    <x v="0"/>
    <x v="0"/>
    <x v="0"/>
    <x v="0"/>
    <x v="2"/>
    <x v="1066"/>
    <x v="1054"/>
    <x v="499"/>
    <x v="1"/>
    <x v="10"/>
    <x v="0"/>
    <x v="17"/>
    <x v="17"/>
    <x v="0"/>
    <x v="0"/>
    <x v="0"/>
    <x v="25"/>
    <x v="0"/>
    <x v="0"/>
    <x v="1"/>
    <x v="1"/>
  </r>
  <r>
    <x v="518"/>
    <x v="1"/>
    <x v="25"/>
    <x v="498"/>
    <x v="9"/>
    <x v="1058"/>
    <x v="1"/>
    <x v="0"/>
    <x v="501"/>
    <x v="0"/>
    <x v="0"/>
    <x v="0"/>
    <x v="0"/>
    <x v="0"/>
    <x v="2"/>
    <x v="1058"/>
    <x v="1046"/>
    <x v="498"/>
    <x v="1"/>
    <x v="10"/>
    <x v="0"/>
    <x v="17"/>
    <x v="17"/>
    <x v="0"/>
    <x v="0"/>
    <x v="0"/>
    <x v="25"/>
    <x v="0"/>
    <x v="0"/>
    <x v="1"/>
    <x v="1"/>
  </r>
  <r>
    <x v="517"/>
    <x v="1"/>
    <x v="25"/>
    <x v="497"/>
    <x v="0"/>
    <x v="477"/>
    <x v="1"/>
    <x v="0"/>
    <x v="500"/>
    <x v="0"/>
    <x v="0"/>
    <x v="0"/>
    <x v="0"/>
    <x v="0"/>
    <x v="2"/>
    <x v="477"/>
    <x v="465"/>
    <x v="497"/>
    <x v="1"/>
    <x v="10"/>
    <x v="0"/>
    <x v="17"/>
    <x v="17"/>
    <x v="0"/>
    <x v="0"/>
    <x v="0"/>
    <x v="25"/>
    <x v="0"/>
    <x v="0"/>
    <x v="1"/>
    <x v="1"/>
  </r>
  <r>
    <x v="464"/>
    <x v="1"/>
    <x v="25"/>
    <x v="496"/>
    <x v="403"/>
    <x v="1216"/>
    <x v="1"/>
    <x v="0"/>
    <x v="447"/>
    <x v="0"/>
    <x v="0"/>
    <x v="0"/>
    <x v="0"/>
    <x v="0"/>
    <x v="2"/>
    <x v="1216"/>
    <x v="1204"/>
    <x v="496"/>
    <x v="1"/>
    <x v="10"/>
    <x v="0"/>
    <x v="17"/>
    <x v="17"/>
    <x v="0"/>
    <x v="0"/>
    <x v="0"/>
    <x v="31"/>
    <x v="0"/>
    <x v="0"/>
    <x v="1"/>
    <x v="1"/>
  </r>
  <r>
    <x v="516"/>
    <x v="1"/>
    <x v="25"/>
    <x v="495"/>
    <x v="455"/>
    <x v="1215"/>
    <x v="1"/>
    <x v="0"/>
    <x v="499"/>
    <x v="0"/>
    <x v="0"/>
    <x v="0"/>
    <x v="0"/>
    <x v="0"/>
    <x v="2"/>
    <x v="1215"/>
    <x v="1203"/>
    <x v="495"/>
    <x v="1"/>
    <x v="10"/>
    <x v="0"/>
    <x v="17"/>
    <x v="17"/>
    <x v="0"/>
    <x v="0"/>
    <x v="0"/>
    <x v="31"/>
    <x v="0"/>
    <x v="0"/>
    <x v="1"/>
    <x v="1"/>
  </r>
  <r>
    <x v="515"/>
    <x v="1"/>
    <x v="25"/>
    <x v="494"/>
    <x v="454"/>
    <x v="1214"/>
    <x v="1"/>
    <x v="0"/>
    <x v="498"/>
    <x v="0"/>
    <x v="0"/>
    <x v="0"/>
    <x v="0"/>
    <x v="0"/>
    <x v="2"/>
    <x v="1214"/>
    <x v="1202"/>
    <x v="494"/>
    <x v="1"/>
    <x v="10"/>
    <x v="0"/>
    <x v="17"/>
    <x v="17"/>
    <x v="0"/>
    <x v="0"/>
    <x v="0"/>
    <x v="31"/>
    <x v="0"/>
    <x v="0"/>
    <x v="1"/>
    <x v="1"/>
  </r>
  <r>
    <x v="514"/>
    <x v="1"/>
    <x v="25"/>
    <x v="493"/>
    <x v="453"/>
    <x v="1213"/>
    <x v="1"/>
    <x v="0"/>
    <x v="497"/>
    <x v="0"/>
    <x v="0"/>
    <x v="0"/>
    <x v="0"/>
    <x v="0"/>
    <x v="2"/>
    <x v="1213"/>
    <x v="1201"/>
    <x v="493"/>
    <x v="1"/>
    <x v="10"/>
    <x v="0"/>
    <x v="17"/>
    <x v="17"/>
    <x v="0"/>
    <x v="0"/>
    <x v="0"/>
    <x v="31"/>
    <x v="0"/>
    <x v="0"/>
    <x v="1"/>
    <x v="1"/>
  </r>
  <r>
    <x v="513"/>
    <x v="1"/>
    <x v="25"/>
    <x v="492"/>
    <x v="452"/>
    <x v="1212"/>
    <x v="1"/>
    <x v="0"/>
    <x v="496"/>
    <x v="0"/>
    <x v="0"/>
    <x v="0"/>
    <x v="0"/>
    <x v="0"/>
    <x v="2"/>
    <x v="1212"/>
    <x v="1200"/>
    <x v="492"/>
    <x v="1"/>
    <x v="10"/>
    <x v="0"/>
    <x v="17"/>
    <x v="17"/>
    <x v="0"/>
    <x v="0"/>
    <x v="0"/>
    <x v="31"/>
    <x v="0"/>
    <x v="0"/>
    <x v="1"/>
    <x v="1"/>
  </r>
  <r>
    <x v="512"/>
    <x v="1"/>
    <x v="25"/>
    <x v="491"/>
    <x v="451"/>
    <x v="1211"/>
    <x v="1"/>
    <x v="0"/>
    <x v="495"/>
    <x v="0"/>
    <x v="0"/>
    <x v="0"/>
    <x v="0"/>
    <x v="0"/>
    <x v="2"/>
    <x v="1211"/>
    <x v="1199"/>
    <x v="491"/>
    <x v="1"/>
    <x v="10"/>
    <x v="0"/>
    <x v="17"/>
    <x v="17"/>
    <x v="0"/>
    <x v="0"/>
    <x v="0"/>
    <x v="31"/>
    <x v="0"/>
    <x v="0"/>
    <x v="1"/>
    <x v="1"/>
  </r>
  <r>
    <x v="511"/>
    <x v="1"/>
    <x v="25"/>
    <x v="490"/>
    <x v="450"/>
    <x v="1210"/>
    <x v="1"/>
    <x v="0"/>
    <x v="494"/>
    <x v="0"/>
    <x v="0"/>
    <x v="0"/>
    <x v="0"/>
    <x v="0"/>
    <x v="2"/>
    <x v="1210"/>
    <x v="1198"/>
    <x v="490"/>
    <x v="1"/>
    <x v="10"/>
    <x v="0"/>
    <x v="17"/>
    <x v="17"/>
    <x v="0"/>
    <x v="0"/>
    <x v="0"/>
    <x v="31"/>
    <x v="0"/>
    <x v="0"/>
    <x v="1"/>
    <x v="1"/>
  </r>
  <r>
    <x v="510"/>
    <x v="1"/>
    <x v="25"/>
    <x v="489"/>
    <x v="449"/>
    <x v="1209"/>
    <x v="1"/>
    <x v="0"/>
    <x v="493"/>
    <x v="0"/>
    <x v="0"/>
    <x v="0"/>
    <x v="0"/>
    <x v="0"/>
    <x v="2"/>
    <x v="1209"/>
    <x v="1197"/>
    <x v="489"/>
    <x v="1"/>
    <x v="10"/>
    <x v="0"/>
    <x v="17"/>
    <x v="17"/>
    <x v="0"/>
    <x v="0"/>
    <x v="0"/>
    <x v="31"/>
    <x v="0"/>
    <x v="0"/>
    <x v="1"/>
    <x v="1"/>
  </r>
  <r>
    <x v="509"/>
    <x v="1"/>
    <x v="25"/>
    <x v="488"/>
    <x v="448"/>
    <x v="1208"/>
    <x v="1"/>
    <x v="0"/>
    <x v="492"/>
    <x v="0"/>
    <x v="0"/>
    <x v="0"/>
    <x v="0"/>
    <x v="0"/>
    <x v="2"/>
    <x v="1208"/>
    <x v="1196"/>
    <x v="488"/>
    <x v="1"/>
    <x v="10"/>
    <x v="0"/>
    <x v="17"/>
    <x v="17"/>
    <x v="0"/>
    <x v="0"/>
    <x v="0"/>
    <x v="31"/>
    <x v="0"/>
    <x v="0"/>
    <x v="1"/>
    <x v="1"/>
  </r>
  <r>
    <x v="508"/>
    <x v="1"/>
    <x v="25"/>
    <x v="487"/>
    <x v="447"/>
    <x v="1207"/>
    <x v="1"/>
    <x v="0"/>
    <x v="491"/>
    <x v="0"/>
    <x v="0"/>
    <x v="0"/>
    <x v="0"/>
    <x v="0"/>
    <x v="2"/>
    <x v="1207"/>
    <x v="1195"/>
    <x v="487"/>
    <x v="1"/>
    <x v="10"/>
    <x v="0"/>
    <x v="17"/>
    <x v="17"/>
    <x v="0"/>
    <x v="0"/>
    <x v="0"/>
    <x v="31"/>
    <x v="0"/>
    <x v="0"/>
    <x v="1"/>
    <x v="1"/>
  </r>
  <r>
    <x v="507"/>
    <x v="1"/>
    <x v="25"/>
    <x v="486"/>
    <x v="446"/>
    <x v="1206"/>
    <x v="1"/>
    <x v="0"/>
    <x v="490"/>
    <x v="0"/>
    <x v="0"/>
    <x v="0"/>
    <x v="0"/>
    <x v="0"/>
    <x v="2"/>
    <x v="1206"/>
    <x v="1194"/>
    <x v="486"/>
    <x v="1"/>
    <x v="10"/>
    <x v="0"/>
    <x v="17"/>
    <x v="17"/>
    <x v="0"/>
    <x v="0"/>
    <x v="0"/>
    <x v="31"/>
    <x v="0"/>
    <x v="0"/>
    <x v="1"/>
    <x v="1"/>
  </r>
  <r>
    <x v="506"/>
    <x v="1"/>
    <x v="25"/>
    <x v="485"/>
    <x v="445"/>
    <x v="1205"/>
    <x v="1"/>
    <x v="0"/>
    <x v="489"/>
    <x v="0"/>
    <x v="0"/>
    <x v="0"/>
    <x v="0"/>
    <x v="0"/>
    <x v="2"/>
    <x v="1205"/>
    <x v="1193"/>
    <x v="485"/>
    <x v="1"/>
    <x v="10"/>
    <x v="0"/>
    <x v="17"/>
    <x v="17"/>
    <x v="0"/>
    <x v="0"/>
    <x v="0"/>
    <x v="31"/>
    <x v="0"/>
    <x v="0"/>
    <x v="1"/>
    <x v="1"/>
  </r>
  <r>
    <x v="505"/>
    <x v="1"/>
    <x v="25"/>
    <x v="484"/>
    <x v="444"/>
    <x v="1204"/>
    <x v="1"/>
    <x v="0"/>
    <x v="488"/>
    <x v="0"/>
    <x v="0"/>
    <x v="0"/>
    <x v="0"/>
    <x v="0"/>
    <x v="2"/>
    <x v="1204"/>
    <x v="1192"/>
    <x v="484"/>
    <x v="1"/>
    <x v="10"/>
    <x v="0"/>
    <x v="17"/>
    <x v="17"/>
    <x v="0"/>
    <x v="0"/>
    <x v="0"/>
    <x v="31"/>
    <x v="0"/>
    <x v="0"/>
    <x v="1"/>
    <x v="1"/>
  </r>
  <r>
    <x v="504"/>
    <x v="1"/>
    <x v="25"/>
    <x v="483"/>
    <x v="443"/>
    <x v="1203"/>
    <x v="1"/>
    <x v="0"/>
    <x v="487"/>
    <x v="0"/>
    <x v="0"/>
    <x v="0"/>
    <x v="0"/>
    <x v="0"/>
    <x v="2"/>
    <x v="1203"/>
    <x v="1191"/>
    <x v="483"/>
    <x v="1"/>
    <x v="10"/>
    <x v="0"/>
    <x v="17"/>
    <x v="17"/>
    <x v="0"/>
    <x v="0"/>
    <x v="0"/>
    <x v="31"/>
    <x v="0"/>
    <x v="0"/>
    <x v="1"/>
    <x v="1"/>
  </r>
  <r>
    <x v="503"/>
    <x v="1"/>
    <x v="25"/>
    <x v="482"/>
    <x v="442"/>
    <x v="1202"/>
    <x v="1"/>
    <x v="0"/>
    <x v="486"/>
    <x v="0"/>
    <x v="0"/>
    <x v="0"/>
    <x v="0"/>
    <x v="0"/>
    <x v="2"/>
    <x v="1202"/>
    <x v="1190"/>
    <x v="482"/>
    <x v="1"/>
    <x v="10"/>
    <x v="0"/>
    <x v="17"/>
    <x v="17"/>
    <x v="0"/>
    <x v="0"/>
    <x v="0"/>
    <x v="31"/>
    <x v="0"/>
    <x v="0"/>
    <x v="1"/>
    <x v="1"/>
  </r>
  <r>
    <x v="502"/>
    <x v="1"/>
    <x v="25"/>
    <x v="481"/>
    <x v="441"/>
    <x v="1201"/>
    <x v="1"/>
    <x v="0"/>
    <x v="485"/>
    <x v="0"/>
    <x v="0"/>
    <x v="0"/>
    <x v="0"/>
    <x v="0"/>
    <x v="2"/>
    <x v="1201"/>
    <x v="1189"/>
    <x v="481"/>
    <x v="1"/>
    <x v="10"/>
    <x v="0"/>
    <x v="17"/>
    <x v="17"/>
    <x v="0"/>
    <x v="0"/>
    <x v="0"/>
    <x v="31"/>
    <x v="0"/>
    <x v="0"/>
    <x v="1"/>
    <x v="1"/>
  </r>
  <r>
    <x v="501"/>
    <x v="1"/>
    <x v="25"/>
    <x v="480"/>
    <x v="440"/>
    <x v="1200"/>
    <x v="1"/>
    <x v="0"/>
    <x v="484"/>
    <x v="0"/>
    <x v="0"/>
    <x v="0"/>
    <x v="0"/>
    <x v="0"/>
    <x v="2"/>
    <x v="1200"/>
    <x v="1188"/>
    <x v="480"/>
    <x v="1"/>
    <x v="10"/>
    <x v="0"/>
    <x v="17"/>
    <x v="17"/>
    <x v="0"/>
    <x v="0"/>
    <x v="0"/>
    <x v="31"/>
    <x v="0"/>
    <x v="0"/>
    <x v="1"/>
    <x v="1"/>
  </r>
  <r>
    <x v="500"/>
    <x v="1"/>
    <x v="25"/>
    <x v="479"/>
    <x v="439"/>
    <x v="1199"/>
    <x v="1"/>
    <x v="0"/>
    <x v="483"/>
    <x v="0"/>
    <x v="0"/>
    <x v="0"/>
    <x v="0"/>
    <x v="0"/>
    <x v="2"/>
    <x v="1199"/>
    <x v="1187"/>
    <x v="479"/>
    <x v="1"/>
    <x v="10"/>
    <x v="0"/>
    <x v="17"/>
    <x v="17"/>
    <x v="0"/>
    <x v="0"/>
    <x v="0"/>
    <x v="31"/>
    <x v="0"/>
    <x v="0"/>
    <x v="1"/>
    <x v="1"/>
  </r>
  <r>
    <x v="499"/>
    <x v="1"/>
    <x v="25"/>
    <x v="478"/>
    <x v="438"/>
    <x v="1198"/>
    <x v="1"/>
    <x v="0"/>
    <x v="482"/>
    <x v="0"/>
    <x v="0"/>
    <x v="0"/>
    <x v="0"/>
    <x v="0"/>
    <x v="2"/>
    <x v="1198"/>
    <x v="1186"/>
    <x v="478"/>
    <x v="1"/>
    <x v="10"/>
    <x v="0"/>
    <x v="17"/>
    <x v="17"/>
    <x v="0"/>
    <x v="0"/>
    <x v="0"/>
    <x v="31"/>
    <x v="0"/>
    <x v="0"/>
    <x v="1"/>
    <x v="1"/>
  </r>
  <r>
    <x v="498"/>
    <x v="1"/>
    <x v="25"/>
    <x v="477"/>
    <x v="437"/>
    <x v="1197"/>
    <x v="1"/>
    <x v="0"/>
    <x v="481"/>
    <x v="0"/>
    <x v="0"/>
    <x v="0"/>
    <x v="0"/>
    <x v="0"/>
    <x v="2"/>
    <x v="1197"/>
    <x v="1185"/>
    <x v="477"/>
    <x v="1"/>
    <x v="10"/>
    <x v="0"/>
    <x v="17"/>
    <x v="17"/>
    <x v="0"/>
    <x v="0"/>
    <x v="0"/>
    <x v="31"/>
    <x v="0"/>
    <x v="0"/>
    <x v="1"/>
    <x v="1"/>
  </r>
  <r>
    <x v="497"/>
    <x v="1"/>
    <x v="25"/>
    <x v="476"/>
    <x v="436"/>
    <x v="1196"/>
    <x v="1"/>
    <x v="0"/>
    <x v="480"/>
    <x v="0"/>
    <x v="0"/>
    <x v="0"/>
    <x v="0"/>
    <x v="0"/>
    <x v="2"/>
    <x v="1196"/>
    <x v="1184"/>
    <x v="476"/>
    <x v="1"/>
    <x v="10"/>
    <x v="0"/>
    <x v="17"/>
    <x v="17"/>
    <x v="0"/>
    <x v="0"/>
    <x v="0"/>
    <x v="31"/>
    <x v="0"/>
    <x v="0"/>
    <x v="1"/>
    <x v="1"/>
  </r>
  <r>
    <x v="496"/>
    <x v="1"/>
    <x v="25"/>
    <x v="475"/>
    <x v="435"/>
    <x v="1195"/>
    <x v="1"/>
    <x v="0"/>
    <x v="479"/>
    <x v="0"/>
    <x v="0"/>
    <x v="0"/>
    <x v="0"/>
    <x v="0"/>
    <x v="2"/>
    <x v="1195"/>
    <x v="1183"/>
    <x v="475"/>
    <x v="1"/>
    <x v="10"/>
    <x v="0"/>
    <x v="17"/>
    <x v="17"/>
    <x v="0"/>
    <x v="0"/>
    <x v="0"/>
    <x v="31"/>
    <x v="0"/>
    <x v="0"/>
    <x v="1"/>
    <x v="1"/>
  </r>
  <r>
    <x v="495"/>
    <x v="1"/>
    <x v="25"/>
    <x v="474"/>
    <x v="434"/>
    <x v="1194"/>
    <x v="1"/>
    <x v="0"/>
    <x v="478"/>
    <x v="0"/>
    <x v="0"/>
    <x v="0"/>
    <x v="0"/>
    <x v="0"/>
    <x v="2"/>
    <x v="1194"/>
    <x v="1182"/>
    <x v="474"/>
    <x v="1"/>
    <x v="10"/>
    <x v="0"/>
    <x v="17"/>
    <x v="17"/>
    <x v="0"/>
    <x v="0"/>
    <x v="0"/>
    <x v="31"/>
    <x v="0"/>
    <x v="0"/>
    <x v="1"/>
    <x v="1"/>
  </r>
  <r>
    <x v="494"/>
    <x v="1"/>
    <x v="25"/>
    <x v="473"/>
    <x v="433"/>
    <x v="1193"/>
    <x v="1"/>
    <x v="0"/>
    <x v="477"/>
    <x v="0"/>
    <x v="0"/>
    <x v="0"/>
    <x v="0"/>
    <x v="0"/>
    <x v="2"/>
    <x v="1193"/>
    <x v="1181"/>
    <x v="473"/>
    <x v="1"/>
    <x v="10"/>
    <x v="0"/>
    <x v="17"/>
    <x v="17"/>
    <x v="0"/>
    <x v="0"/>
    <x v="0"/>
    <x v="31"/>
    <x v="0"/>
    <x v="0"/>
    <x v="1"/>
    <x v="1"/>
  </r>
  <r>
    <x v="493"/>
    <x v="1"/>
    <x v="25"/>
    <x v="472"/>
    <x v="432"/>
    <x v="1192"/>
    <x v="1"/>
    <x v="0"/>
    <x v="476"/>
    <x v="0"/>
    <x v="0"/>
    <x v="0"/>
    <x v="0"/>
    <x v="0"/>
    <x v="2"/>
    <x v="1192"/>
    <x v="1180"/>
    <x v="472"/>
    <x v="1"/>
    <x v="10"/>
    <x v="0"/>
    <x v="17"/>
    <x v="17"/>
    <x v="0"/>
    <x v="0"/>
    <x v="0"/>
    <x v="31"/>
    <x v="0"/>
    <x v="0"/>
    <x v="1"/>
    <x v="1"/>
  </r>
  <r>
    <x v="492"/>
    <x v="1"/>
    <x v="25"/>
    <x v="471"/>
    <x v="431"/>
    <x v="1191"/>
    <x v="1"/>
    <x v="0"/>
    <x v="475"/>
    <x v="0"/>
    <x v="0"/>
    <x v="0"/>
    <x v="0"/>
    <x v="0"/>
    <x v="2"/>
    <x v="1191"/>
    <x v="1179"/>
    <x v="471"/>
    <x v="1"/>
    <x v="10"/>
    <x v="0"/>
    <x v="17"/>
    <x v="17"/>
    <x v="0"/>
    <x v="0"/>
    <x v="0"/>
    <x v="31"/>
    <x v="0"/>
    <x v="0"/>
    <x v="1"/>
    <x v="1"/>
  </r>
  <r>
    <x v="491"/>
    <x v="1"/>
    <x v="25"/>
    <x v="470"/>
    <x v="430"/>
    <x v="1190"/>
    <x v="1"/>
    <x v="0"/>
    <x v="474"/>
    <x v="0"/>
    <x v="0"/>
    <x v="0"/>
    <x v="0"/>
    <x v="0"/>
    <x v="2"/>
    <x v="1190"/>
    <x v="1178"/>
    <x v="470"/>
    <x v="1"/>
    <x v="10"/>
    <x v="0"/>
    <x v="17"/>
    <x v="17"/>
    <x v="0"/>
    <x v="0"/>
    <x v="0"/>
    <x v="31"/>
    <x v="0"/>
    <x v="0"/>
    <x v="1"/>
    <x v="1"/>
  </r>
  <r>
    <x v="490"/>
    <x v="1"/>
    <x v="25"/>
    <x v="469"/>
    <x v="429"/>
    <x v="1189"/>
    <x v="1"/>
    <x v="0"/>
    <x v="473"/>
    <x v="0"/>
    <x v="0"/>
    <x v="0"/>
    <x v="0"/>
    <x v="0"/>
    <x v="2"/>
    <x v="1189"/>
    <x v="1177"/>
    <x v="469"/>
    <x v="1"/>
    <x v="10"/>
    <x v="0"/>
    <x v="17"/>
    <x v="17"/>
    <x v="0"/>
    <x v="0"/>
    <x v="0"/>
    <x v="31"/>
    <x v="0"/>
    <x v="0"/>
    <x v="1"/>
    <x v="1"/>
  </r>
  <r>
    <x v="489"/>
    <x v="1"/>
    <x v="25"/>
    <x v="468"/>
    <x v="428"/>
    <x v="1188"/>
    <x v="1"/>
    <x v="0"/>
    <x v="472"/>
    <x v="0"/>
    <x v="0"/>
    <x v="0"/>
    <x v="0"/>
    <x v="0"/>
    <x v="2"/>
    <x v="1188"/>
    <x v="1176"/>
    <x v="468"/>
    <x v="1"/>
    <x v="10"/>
    <x v="0"/>
    <x v="17"/>
    <x v="17"/>
    <x v="0"/>
    <x v="0"/>
    <x v="0"/>
    <x v="31"/>
    <x v="0"/>
    <x v="0"/>
    <x v="1"/>
    <x v="1"/>
  </r>
  <r>
    <x v="488"/>
    <x v="1"/>
    <x v="25"/>
    <x v="467"/>
    <x v="427"/>
    <x v="1187"/>
    <x v="1"/>
    <x v="0"/>
    <x v="471"/>
    <x v="0"/>
    <x v="0"/>
    <x v="0"/>
    <x v="0"/>
    <x v="0"/>
    <x v="2"/>
    <x v="1187"/>
    <x v="1175"/>
    <x v="467"/>
    <x v="1"/>
    <x v="10"/>
    <x v="0"/>
    <x v="17"/>
    <x v="17"/>
    <x v="0"/>
    <x v="0"/>
    <x v="0"/>
    <x v="31"/>
    <x v="0"/>
    <x v="0"/>
    <x v="1"/>
    <x v="1"/>
  </r>
  <r>
    <x v="487"/>
    <x v="1"/>
    <x v="25"/>
    <x v="466"/>
    <x v="426"/>
    <x v="1186"/>
    <x v="1"/>
    <x v="0"/>
    <x v="470"/>
    <x v="0"/>
    <x v="0"/>
    <x v="0"/>
    <x v="0"/>
    <x v="0"/>
    <x v="2"/>
    <x v="1186"/>
    <x v="1174"/>
    <x v="466"/>
    <x v="1"/>
    <x v="10"/>
    <x v="0"/>
    <x v="17"/>
    <x v="17"/>
    <x v="0"/>
    <x v="0"/>
    <x v="0"/>
    <x v="31"/>
    <x v="0"/>
    <x v="0"/>
    <x v="1"/>
    <x v="1"/>
  </r>
  <r>
    <x v="486"/>
    <x v="1"/>
    <x v="25"/>
    <x v="465"/>
    <x v="425"/>
    <x v="1185"/>
    <x v="1"/>
    <x v="0"/>
    <x v="469"/>
    <x v="0"/>
    <x v="0"/>
    <x v="0"/>
    <x v="0"/>
    <x v="0"/>
    <x v="2"/>
    <x v="1185"/>
    <x v="1173"/>
    <x v="465"/>
    <x v="1"/>
    <x v="10"/>
    <x v="0"/>
    <x v="17"/>
    <x v="17"/>
    <x v="0"/>
    <x v="0"/>
    <x v="0"/>
    <x v="31"/>
    <x v="0"/>
    <x v="0"/>
    <x v="1"/>
    <x v="1"/>
  </r>
  <r>
    <x v="485"/>
    <x v="1"/>
    <x v="25"/>
    <x v="464"/>
    <x v="424"/>
    <x v="1184"/>
    <x v="1"/>
    <x v="0"/>
    <x v="468"/>
    <x v="0"/>
    <x v="0"/>
    <x v="0"/>
    <x v="0"/>
    <x v="0"/>
    <x v="2"/>
    <x v="1184"/>
    <x v="1172"/>
    <x v="464"/>
    <x v="1"/>
    <x v="10"/>
    <x v="0"/>
    <x v="17"/>
    <x v="17"/>
    <x v="0"/>
    <x v="0"/>
    <x v="0"/>
    <x v="31"/>
    <x v="0"/>
    <x v="0"/>
    <x v="1"/>
    <x v="1"/>
  </r>
  <r>
    <x v="484"/>
    <x v="1"/>
    <x v="25"/>
    <x v="463"/>
    <x v="423"/>
    <x v="1183"/>
    <x v="1"/>
    <x v="0"/>
    <x v="467"/>
    <x v="0"/>
    <x v="0"/>
    <x v="0"/>
    <x v="0"/>
    <x v="0"/>
    <x v="2"/>
    <x v="1183"/>
    <x v="1171"/>
    <x v="463"/>
    <x v="1"/>
    <x v="10"/>
    <x v="0"/>
    <x v="17"/>
    <x v="17"/>
    <x v="0"/>
    <x v="0"/>
    <x v="0"/>
    <x v="31"/>
    <x v="0"/>
    <x v="0"/>
    <x v="1"/>
    <x v="1"/>
  </r>
  <r>
    <x v="483"/>
    <x v="1"/>
    <x v="25"/>
    <x v="462"/>
    <x v="422"/>
    <x v="1182"/>
    <x v="1"/>
    <x v="0"/>
    <x v="466"/>
    <x v="0"/>
    <x v="0"/>
    <x v="0"/>
    <x v="0"/>
    <x v="0"/>
    <x v="2"/>
    <x v="1182"/>
    <x v="1170"/>
    <x v="462"/>
    <x v="1"/>
    <x v="10"/>
    <x v="0"/>
    <x v="17"/>
    <x v="17"/>
    <x v="0"/>
    <x v="0"/>
    <x v="0"/>
    <x v="31"/>
    <x v="0"/>
    <x v="0"/>
    <x v="1"/>
    <x v="1"/>
  </r>
  <r>
    <x v="482"/>
    <x v="1"/>
    <x v="25"/>
    <x v="461"/>
    <x v="421"/>
    <x v="1181"/>
    <x v="1"/>
    <x v="0"/>
    <x v="465"/>
    <x v="0"/>
    <x v="0"/>
    <x v="0"/>
    <x v="0"/>
    <x v="0"/>
    <x v="2"/>
    <x v="1181"/>
    <x v="1169"/>
    <x v="461"/>
    <x v="1"/>
    <x v="10"/>
    <x v="0"/>
    <x v="17"/>
    <x v="17"/>
    <x v="0"/>
    <x v="0"/>
    <x v="0"/>
    <x v="31"/>
    <x v="0"/>
    <x v="0"/>
    <x v="1"/>
    <x v="1"/>
  </r>
  <r>
    <x v="481"/>
    <x v="1"/>
    <x v="25"/>
    <x v="460"/>
    <x v="420"/>
    <x v="1180"/>
    <x v="1"/>
    <x v="0"/>
    <x v="464"/>
    <x v="0"/>
    <x v="0"/>
    <x v="0"/>
    <x v="0"/>
    <x v="0"/>
    <x v="2"/>
    <x v="1180"/>
    <x v="1168"/>
    <x v="460"/>
    <x v="1"/>
    <x v="10"/>
    <x v="0"/>
    <x v="17"/>
    <x v="17"/>
    <x v="0"/>
    <x v="0"/>
    <x v="0"/>
    <x v="31"/>
    <x v="0"/>
    <x v="0"/>
    <x v="1"/>
    <x v="1"/>
  </r>
  <r>
    <x v="480"/>
    <x v="1"/>
    <x v="25"/>
    <x v="459"/>
    <x v="419"/>
    <x v="1179"/>
    <x v="1"/>
    <x v="0"/>
    <x v="463"/>
    <x v="0"/>
    <x v="0"/>
    <x v="0"/>
    <x v="0"/>
    <x v="0"/>
    <x v="2"/>
    <x v="1179"/>
    <x v="1167"/>
    <x v="459"/>
    <x v="1"/>
    <x v="10"/>
    <x v="0"/>
    <x v="17"/>
    <x v="17"/>
    <x v="0"/>
    <x v="0"/>
    <x v="0"/>
    <x v="31"/>
    <x v="0"/>
    <x v="0"/>
    <x v="1"/>
    <x v="1"/>
  </r>
  <r>
    <x v="479"/>
    <x v="1"/>
    <x v="25"/>
    <x v="458"/>
    <x v="418"/>
    <x v="1178"/>
    <x v="1"/>
    <x v="0"/>
    <x v="462"/>
    <x v="0"/>
    <x v="0"/>
    <x v="0"/>
    <x v="0"/>
    <x v="0"/>
    <x v="2"/>
    <x v="1178"/>
    <x v="1166"/>
    <x v="458"/>
    <x v="1"/>
    <x v="10"/>
    <x v="0"/>
    <x v="17"/>
    <x v="17"/>
    <x v="0"/>
    <x v="0"/>
    <x v="0"/>
    <x v="31"/>
    <x v="0"/>
    <x v="0"/>
    <x v="1"/>
    <x v="1"/>
  </r>
  <r>
    <x v="478"/>
    <x v="1"/>
    <x v="25"/>
    <x v="457"/>
    <x v="417"/>
    <x v="1177"/>
    <x v="1"/>
    <x v="0"/>
    <x v="461"/>
    <x v="0"/>
    <x v="0"/>
    <x v="0"/>
    <x v="0"/>
    <x v="0"/>
    <x v="2"/>
    <x v="1177"/>
    <x v="1165"/>
    <x v="457"/>
    <x v="1"/>
    <x v="10"/>
    <x v="0"/>
    <x v="17"/>
    <x v="17"/>
    <x v="0"/>
    <x v="0"/>
    <x v="0"/>
    <x v="31"/>
    <x v="0"/>
    <x v="0"/>
    <x v="1"/>
    <x v="1"/>
  </r>
  <r>
    <x v="477"/>
    <x v="1"/>
    <x v="25"/>
    <x v="456"/>
    <x v="416"/>
    <x v="1176"/>
    <x v="1"/>
    <x v="0"/>
    <x v="460"/>
    <x v="0"/>
    <x v="0"/>
    <x v="0"/>
    <x v="0"/>
    <x v="0"/>
    <x v="2"/>
    <x v="1176"/>
    <x v="1164"/>
    <x v="456"/>
    <x v="1"/>
    <x v="10"/>
    <x v="0"/>
    <x v="17"/>
    <x v="17"/>
    <x v="0"/>
    <x v="0"/>
    <x v="0"/>
    <x v="31"/>
    <x v="0"/>
    <x v="0"/>
    <x v="1"/>
    <x v="1"/>
  </r>
  <r>
    <x v="476"/>
    <x v="1"/>
    <x v="25"/>
    <x v="455"/>
    <x v="415"/>
    <x v="1175"/>
    <x v="1"/>
    <x v="0"/>
    <x v="459"/>
    <x v="0"/>
    <x v="0"/>
    <x v="0"/>
    <x v="0"/>
    <x v="0"/>
    <x v="2"/>
    <x v="1175"/>
    <x v="1163"/>
    <x v="455"/>
    <x v="1"/>
    <x v="10"/>
    <x v="0"/>
    <x v="17"/>
    <x v="17"/>
    <x v="0"/>
    <x v="0"/>
    <x v="0"/>
    <x v="31"/>
    <x v="0"/>
    <x v="0"/>
    <x v="1"/>
    <x v="1"/>
  </r>
  <r>
    <x v="475"/>
    <x v="1"/>
    <x v="25"/>
    <x v="454"/>
    <x v="414"/>
    <x v="1174"/>
    <x v="1"/>
    <x v="0"/>
    <x v="458"/>
    <x v="0"/>
    <x v="0"/>
    <x v="0"/>
    <x v="0"/>
    <x v="0"/>
    <x v="2"/>
    <x v="1174"/>
    <x v="1162"/>
    <x v="454"/>
    <x v="1"/>
    <x v="10"/>
    <x v="0"/>
    <x v="17"/>
    <x v="17"/>
    <x v="0"/>
    <x v="0"/>
    <x v="0"/>
    <x v="31"/>
    <x v="0"/>
    <x v="0"/>
    <x v="1"/>
    <x v="1"/>
  </r>
  <r>
    <x v="474"/>
    <x v="1"/>
    <x v="25"/>
    <x v="453"/>
    <x v="413"/>
    <x v="1173"/>
    <x v="1"/>
    <x v="0"/>
    <x v="457"/>
    <x v="0"/>
    <x v="0"/>
    <x v="0"/>
    <x v="0"/>
    <x v="0"/>
    <x v="2"/>
    <x v="1173"/>
    <x v="1161"/>
    <x v="453"/>
    <x v="1"/>
    <x v="10"/>
    <x v="0"/>
    <x v="17"/>
    <x v="17"/>
    <x v="0"/>
    <x v="0"/>
    <x v="0"/>
    <x v="31"/>
    <x v="0"/>
    <x v="0"/>
    <x v="1"/>
    <x v="1"/>
  </r>
  <r>
    <x v="473"/>
    <x v="1"/>
    <x v="25"/>
    <x v="452"/>
    <x v="412"/>
    <x v="1172"/>
    <x v="1"/>
    <x v="0"/>
    <x v="456"/>
    <x v="0"/>
    <x v="0"/>
    <x v="0"/>
    <x v="0"/>
    <x v="0"/>
    <x v="2"/>
    <x v="1172"/>
    <x v="1160"/>
    <x v="452"/>
    <x v="1"/>
    <x v="10"/>
    <x v="0"/>
    <x v="17"/>
    <x v="17"/>
    <x v="0"/>
    <x v="0"/>
    <x v="0"/>
    <x v="31"/>
    <x v="0"/>
    <x v="0"/>
    <x v="1"/>
    <x v="1"/>
  </r>
  <r>
    <x v="472"/>
    <x v="1"/>
    <x v="25"/>
    <x v="451"/>
    <x v="411"/>
    <x v="1171"/>
    <x v="1"/>
    <x v="0"/>
    <x v="455"/>
    <x v="0"/>
    <x v="0"/>
    <x v="0"/>
    <x v="0"/>
    <x v="0"/>
    <x v="2"/>
    <x v="1171"/>
    <x v="1159"/>
    <x v="451"/>
    <x v="1"/>
    <x v="10"/>
    <x v="0"/>
    <x v="17"/>
    <x v="17"/>
    <x v="0"/>
    <x v="0"/>
    <x v="0"/>
    <x v="31"/>
    <x v="0"/>
    <x v="0"/>
    <x v="1"/>
    <x v="1"/>
  </r>
  <r>
    <x v="471"/>
    <x v="1"/>
    <x v="25"/>
    <x v="450"/>
    <x v="410"/>
    <x v="1170"/>
    <x v="1"/>
    <x v="0"/>
    <x v="454"/>
    <x v="0"/>
    <x v="0"/>
    <x v="0"/>
    <x v="0"/>
    <x v="0"/>
    <x v="2"/>
    <x v="1170"/>
    <x v="1158"/>
    <x v="450"/>
    <x v="1"/>
    <x v="10"/>
    <x v="0"/>
    <x v="17"/>
    <x v="17"/>
    <x v="0"/>
    <x v="0"/>
    <x v="0"/>
    <x v="31"/>
    <x v="0"/>
    <x v="0"/>
    <x v="1"/>
    <x v="1"/>
  </r>
  <r>
    <x v="470"/>
    <x v="1"/>
    <x v="25"/>
    <x v="449"/>
    <x v="409"/>
    <x v="1169"/>
    <x v="1"/>
    <x v="0"/>
    <x v="453"/>
    <x v="0"/>
    <x v="0"/>
    <x v="0"/>
    <x v="0"/>
    <x v="0"/>
    <x v="2"/>
    <x v="1169"/>
    <x v="1157"/>
    <x v="449"/>
    <x v="1"/>
    <x v="10"/>
    <x v="0"/>
    <x v="17"/>
    <x v="17"/>
    <x v="0"/>
    <x v="0"/>
    <x v="0"/>
    <x v="31"/>
    <x v="0"/>
    <x v="0"/>
    <x v="1"/>
    <x v="1"/>
  </r>
  <r>
    <x v="469"/>
    <x v="1"/>
    <x v="25"/>
    <x v="448"/>
    <x v="408"/>
    <x v="1168"/>
    <x v="1"/>
    <x v="0"/>
    <x v="452"/>
    <x v="0"/>
    <x v="0"/>
    <x v="0"/>
    <x v="0"/>
    <x v="0"/>
    <x v="2"/>
    <x v="1168"/>
    <x v="1156"/>
    <x v="448"/>
    <x v="1"/>
    <x v="10"/>
    <x v="0"/>
    <x v="17"/>
    <x v="17"/>
    <x v="0"/>
    <x v="0"/>
    <x v="0"/>
    <x v="31"/>
    <x v="0"/>
    <x v="0"/>
    <x v="1"/>
    <x v="1"/>
  </r>
  <r>
    <x v="468"/>
    <x v="1"/>
    <x v="25"/>
    <x v="447"/>
    <x v="407"/>
    <x v="1167"/>
    <x v="1"/>
    <x v="0"/>
    <x v="451"/>
    <x v="0"/>
    <x v="0"/>
    <x v="0"/>
    <x v="0"/>
    <x v="0"/>
    <x v="2"/>
    <x v="1167"/>
    <x v="1155"/>
    <x v="447"/>
    <x v="1"/>
    <x v="10"/>
    <x v="0"/>
    <x v="17"/>
    <x v="17"/>
    <x v="0"/>
    <x v="0"/>
    <x v="0"/>
    <x v="31"/>
    <x v="0"/>
    <x v="0"/>
    <x v="1"/>
    <x v="1"/>
  </r>
  <r>
    <x v="467"/>
    <x v="1"/>
    <x v="25"/>
    <x v="446"/>
    <x v="406"/>
    <x v="1166"/>
    <x v="1"/>
    <x v="0"/>
    <x v="450"/>
    <x v="0"/>
    <x v="0"/>
    <x v="0"/>
    <x v="0"/>
    <x v="0"/>
    <x v="2"/>
    <x v="1166"/>
    <x v="1154"/>
    <x v="446"/>
    <x v="1"/>
    <x v="10"/>
    <x v="0"/>
    <x v="17"/>
    <x v="17"/>
    <x v="0"/>
    <x v="0"/>
    <x v="0"/>
    <x v="31"/>
    <x v="0"/>
    <x v="0"/>
    <x v="1"/>
    <x v="1"/>
  </r>
  <r>
    <x v="466"/>
    <x v="1"/>
    <x v="25"/>
    <x v="445"/>
    <x v="405"/>
    <x v="1165"/>
    <x v="1"/>
    <x v="0"/>
    <x v="449"/>
    <x v="0"/>
    <x v="0"/>
    <x v="0"/>
    <x v="0"/>
    <x v="0"/>
    <x v="2"/>
    <x v="1165"/>
    <x v="1153"/>
    <x v="445"/>
    <x v="1"/>
    <x v="10"/>
    <x v="0"/>
    <x v="17"/>
    <x v="17"/>
    <x v="0"/>
    <x v="0"/>
    <x v="0"/>
    <x v="31"/>
    <x v="0"/>
    <x v="0"/>
    <x v="1"/>
    <x v="1"/>
  </r>
  <r>
    <x v="465"/>
    <x v="1"/>
    <x v="25"/>
    <x v="444"/>
    <x v="404"/>
    <x v="1164"/>
    <x v="1"/>
    <x v="0"/>
    <x v="448"/>
    <x v="0"/>
    <x v="0"/>
    <x v="0"/>
    <x v="0"/>
    <x v="0"/>
    <x v="2"/>
    <x v="1164"/>
    <x v="1152"/>
    <x v="444"/>
    <x v="1"/>
    <x v="10"/>
    <x v="0"/>
    <x v="17"/>
    <x v="17"/>
    <x v="0"/>
    <x v="0"/>
    <x v="0"/>
    <x v="31"/>
    <x v="0"/>
    <x v="0"/>
    <x v="1"/>
    <x v="1"/>
  </r>
  <r>
    <x v="463"/>
    <x v="1"/>
    <x v="25"/>
    <x v="443"/>
    <x v="1047"/>
    <x v="1262"/>
    <x v="1"/>
    <x v="0"/>
    <x v="446"/>
    <x v="0"/>
    <x v="0"/>
    <x v="0"/>
    <x v="0"/>
    <x v="0"/>
    <x v="2"/>
    <x v="1262"/>
    <x v="1250"/>
    <x v="443"/>
    <x v="1"/>
    <x v="10"/>
    <x v="0"/>
    <x v="17"/>
    <x v="17"/>
    <x v="0"/>
    <x v="0"/>
    <x v="0"/>
    <x v="24"/>
    <x v="0"/>
    <x v="0"/>
    <x v="1"/>
    <x v="1"/>
  </r>
  <r>
    <x v="380"/>
    <x v="1"/>
    <x v="25"/>
    <x v="363"/>
    <x v="825"/>
    <x v="443"/>
    <x v="1"/>
    <x v="0"/>
    <x v="363"/>
    <x v="0"/>
    <x v="0"/>
    <x v="0"/>
    <x v="0"/>
    <x v="0"/>
    <x v="3"/>
    <x v="443"/>
    <x v="432"/>
    <x v="363"/>
    <x v="2"/>
    <x v="10"/>
    <x v="0"/>
    <x v="2"/>
    <x v="15"/>
    <x v="0"/>
    <x v="0"/>
    <x v="0"/>
    <x v="19"/>
    <x v="0"/>
    <x v="0"/>
    <x v="1"/>
    <x v="1"/>
  </r>
  <r>
    <x v="381"/>
    <x v="1"/>
    <x v="25"/>
    <x v="364"/>
    <x v="840"/>
    <x v="446"/>
    <x v="1"/>
    <x v="0"/>
    <x v="364"/>
    <x v="0"/>
    <x v="0"/>
    <x v="0"/>
    <x v="0"/>
    <x v="0"/>
    <x v="3"/>
    <x v="446"/>
    <x v="435"/>
    <x v="364"/>
    <x v="2"/>
    <x v="10"/>
    <x v="0"/>
    <x v="2"/>
    <x v="15"/>
    <x v="0"/>
    <x v="0"/>
    <x v="0"/>
    <x v="19"/>
    <x v="0"/>
    <x v="0"/>
    <x v="1"/>
    <x v="1"/>
  </r>
  <r>
    <x v="382"/>
    <x v="1"/>
    <x v="25"/>
    <x v="365"/>
    <x v="829"/>
    <x v="444"/>
    <x v="1"/>
    <x v="0"/>
    <x v="365"/>
    <x v="0"/>
    <x v="0"/>
    <x v="0"/>
    <x v="0"/>
    <x v="0"/>
    <x v="3"/>
    <x v="444"/>
    <x v="433"/>
    <x v="365"/>
    <x v="2"/>
    <x v="10"/>
    <x v="0"/>
    <x v="2"/>
    <x v="15"/>
    <x v="0"/>
    <x v="0"/>
    <x v="0"/>
    <x v="19"/>
    <x v="0"/>
    <x v="0"/>
    <x v="1"/>
    <x v="1"/>
  </r>
  <r>
    <x v="383"/>
    <x v="1"/>
    <x v="25"/>
    <x v="366"/>
    <x v="805"/>
    <x v="441"/>
    <x v="1"/>
    <x v="0"/>
    <x v="366"/>
    <x v="0"/>
    <x v="0"/>
    <x v="0"/>
    <x v="0"/>
    <x v="0"/>
    <x v="3"/>
    <x v="441"/>
    <x v="430"/>
    <x v="366"/>
    <x v="2"/>
    <x v="10"/>
    <x v="0"/>
    <x v="2"/>
    <x v="15"/>
    <x v="0"/>
    <x v="0"/>
    <x v="0"/>
    <x v="19"/>
    <x v="0"/>
    <x v="0"/>
    <x v="1"/>
    <x v="1"/>
  </r>
  <r>
    <x v="431"/>
    <x v="1"/>
    <x v="25"/>
    <x v="367"/>
    <x v="812"/>
    <x v="442"/>
    <x v="1"/>
    <x v="0"/>
    <x v="414"/>
    <x v="0"/>
    <x v="0"/>
    <x v="0"/>
    <x v="0"/>
    <x v="0"/>
    <x v="3"/>
    <x v="442"/>
    <x v="431"/>
    <x v="367"/>
    <x v="2"/>
    <x v="10"/>
    <x v="0"/>
    <x v="2"/>
    <x v="15"/>
    <x v="0"/>
    <x v="0"/>
    <x v="0"/>
    <x v="19"/>
    <x v="0"/>
    <x v="0"/>
    <x v="1"/>
    <x v="1"/>
  </r>
  <r>
    <x v="384"/>
    <x v="1"/>
    <x v="25"/>
    <x v="368"/>
    <x v="832"/>
    <x v="445"/>
    <x v="1"/>
    <x v="0"/>
    <x v="367"/>
    <x v="0"/>
    <x v="0"/>
    <x v="0"/>
    <x v="0"/>
    <x v="0"/>
    <x v="3"/>
    <x v="445"/>
    <x v="434"/>
    <x v="368"/>
    <x v="2"/>
    <x v="10"/>
    <x v="0"/>
    <x v="2"/>
    <x v="15"/>
    <x v="0"/>
    <x v="0"/>
    <x v="0"/>
    <x v="19"/>
    <x v="0"/>
    <x v="0"/>
    <x v="1"/>
    <x v="1"/>
  </r>
  <r>
    <x v="432"/>
    <x v="1"/>
    <x v="25"/>
    <x v="369"/>
    <x v="850"/>
    <x v="447"/>
    <x v="1"/>
    <x v="0"/>
    <x v="415"/>
    <x v="0"/>
    <x v="0"/>
    <x v="0"/>
    <x v="0"/>
    <x v="0"/>
    <x v="3"/>
    <x v="447"/>
    <x v="436"/>
    <x v="369"/>
    <x v="2"/>
    <x v="10"/>
    <x v="0"/>
    <x v="2"/>
    <x v="15"/>
    <x v="0"/>
    <x v="0"/>
    <x v="0"/>
    <x v="19"/>
    <x v="0"/>
    <x v="0"/>
    <x v="1"/>
    <x v="1"/>
  </r>
  <r>
    <x v="385"/>
    <x v="1"/>
    <x v="25"/>
    <x v="370"/>
    <x v="938"/>
    <x v="453"/>
    <x v="1"/>
    <x v="0"/>
    <x v="368"/>
    <x v="0"/>
    <x v="0"/>
    <x v="0"/>
    <x v="0"/>
    <x v="0"/>
    <x v="3"/>
    <x v="453"/>
    <x v="442"/>
    <x v="370"/>
    <x v="2"/>
    <x v="10"/>
    <x v="0"/>
    <x v="2"/>
    <x v="15"/>
    <x v="0"/>
    <x v="0"/>
    <x v="0"/>
    <x v="19"/>
    <x v="0"/>
    <x v="0"/>
    <x v="1"/>
    <x v="1"/>
  </r>
  <r>
    <x v="386"/>
    <x v="1"/>
    <x v="25"/>
    <x v="371"/>
    <x v="927"/>
    <x v="452"/>
    <x v="1"/>
    <x v="0"/>
    <x v="369"/>
    <x v="0"/>
    <x v="0"/>
    <x v="0"/>
    <x v="0"/>
    <x v="0"/>
    <x v="3"/>
    <x v="452"/>
    <x v="441"/>
    <x v="371"/>
    <x v="2"/>
    <x v="10"/>
    <x v="0"/>
    <x v="2"/>
    <x v="15"/>
    <x v="0"/>
    <x v="0"/>
    <x v="0"/>
    <x v="19"/>
    <x v="0"/>
    <x v="0"/>
    <x v="1"/>
    <x v="1"/>
  </r>
  <r>
    <x v="387"/>
    <x v="1"/>
    <x v="25"/>
    <x v="372"/>
    <x v="945"/>
    <x v="454"/>
    <x v="1"/>
    <x v="0"/>
    <x v="370"/>
    <x v="0"/>
    <x v="0"/>
    <x v="0"/>
    <x v="0"/>
    <x v="0"/>
    <x v="3"/>
    <x v="454"/>
    <x v="443"/>
    <x v="372"/>
    <x v="2"/>
    <x v="10"/>
    <x v="0"/>
    <x v="2"/>
    <x v="15"/>
    <x v="0"/>
    <x v="0"/>
    <x v="0"/>
    <x v="19"/>
    <x v="0"/>
    <x v="0"/>
    <x v="1"/>
    <x v="1"/>
  </r>
  <r>
    <x v="433"/>
    <x v="1"/>
    <x v="25"/>
    <x v="373"/>
    <x v="919"/>
    <x v="450"/>
    <x v="1"/>
    <x v="0"/>
    <x v="416"/>
    <x v="0"/>
    <x v="0"/>
    <x v="0"/>
    <x v="0"/>
    <x v="0"/>
    <x v="3"/>
    <x v="450"/>
    <x v="439"/>
    <x v="373"/>
    <x v="2"/>
    <x v="10"/>
    <x v="0"/>
    <x v="2"/>
    <x v="15"/>
    <x v="0"/>
    <x v="0"/>
    <x v="0"/>
    <x v="19"/>
    <x v="0"/>
    <x v="0"/>
    <x v="1"/>
    <x v="1"/>
  </r>
  <r>
    <x v="388"/>
    <x v="1"/>
    <x v="25"/>
    <x v="374"/>
    <x v="925"/>
    <x v="451"/>
    <x v="1"/>
    <x v="0"/>
    <x v="371"/>
    <x v="0"/>
    <x v="0"/>
    <x v="0"/>
    <x v="0"/>
    <x v="0"/>
    <x v="3"/>
    <x v="451"/>
    <x v="440"/>
    <x v="374"/>
    <x v="2"/>
    <x v="10"/>
    <x v="0"/>
    <x v="2"/>
    <x v="15"/>
    <x v="0"/>
    <x v="0"/>
    <x v="0"/>
    <x v="19"/>
    <x v="0"/>
    <x v="0"/>
    <x v="1"/>
    <x v="1"/>
  </r>
  <r>
    <x v="434"/>
    <x v="1"/>
    <x v="25"/>
    <x v="375"/>
    <x v="501"/>
    <x v="414"/>
    <x v="1"/>
    <x v="0"/>
    <x v="417"/>
    <x v="0"/>
    <x v="0"/>
    <x v="0"/>
    <x v="0"/>
    <x v="0"/>
    <x v="3"/>
    <x v="414"/>
    <x v="403"/>
    <x v="375"/>
    <x v="2"/>
    <x v="10"/>
    <x v="0"/>
    <x v="2"/>
    <x v="15"/>
    <x v="0"/>
    <x v="0"/>
    <x v="0"/>
    <x v="19"/>
    <x v="0"/>
    <x v="0"/>
    <x v="1"/>
    <x v="1"/>
  </r>
  <r>
    <x v="389"/>
    <x v="1"/>
    <x v="25"/>
    <x v="376"/>
    <x v="480"/>
    <x v="413"/>
    <x v="1"/>
    <x v="0"/>
    <x v="372"/>
    <x v="0"/>
    <x v="0"/>
    <x v="0"/>
    <x v="0"/>
    <x v="0"/>
    <x v="3"/>
    <x v="413"/>
    <x v="402"/>
    <x v="376"/>
    <x v="2"/>
    <x v="10"/>
    <x v="0"/>
    <x v="2"/>
    <x v="15"/>
    <x v="0"/>
    <x v="0"/>
    <x v="0"/>
    <x v="19"/>
    <x v="0"/>
    <x v="0"/>
    <x v="1"/>
    <x v="1"/>
  </r>
  <r>
    <x v="435"/>
    <x v="1"/>
    <x v="25"/>
    <x v="377"/>
    <x v="457"/>
    <x v="412"/>
    <x v="1"/>
    <x v="0"/>
    <x v="418"/>
    <x v="0"/>
    <x v="0"/>
    <x v="0"/>
    <x v="0"/>
    <x v="0"/>
    <x v="3"/>
    <x v="412"/>
    <x v="401"/>
    <x v="377"/>
    <x v="2"/>
    <x v="10"/>
    <x v="0"/>
    <x v="2"/>
    <x v="15"/>
    <x v="0"/>
    <x v="0"/>
    <x v="0"/>
    <x v="19"/>
    <x v="0"/>
    <x v="0"/>
    <x v="1"/>
    <x v="1"/>
  </r>
  <r>
    <x v="436"/>
    <x v="1"/>
    <x v="25"/>
    <x v="378"/>
    <x v="150"/>
    <x v="387"/>
    <x v="1"/>
    <x v="0"/>
    <x v="419"/>
    <x v="0"/>
    <x v="0"/>
    <x v="0"/>
    <x v="0"/>
    <x v="0"/>
    <x v="3"/>
    <x v="387"/>
    <x v="376"/>
    <x v="378"/>
    <x v="2"/>
    <x v="10"/>
    <x v="0"/>
    <x v="2"/>
    <x v="15"/>
    <x v="0"/>
    <x v="0"/>
    <x v="0"/>
    <x v="19"/>
    <x v="0"/>
    <x v="0"/>
    <x v="1"/>
    <x v="1"/>
  </r>
  <r>
    <x v="390"/>
    <x v="1"/>
    <x v="25"/>
    <x v="379"/>
    <x v="172"/>
    <x v="394"/>
    <x v="1"/>
    <x v="0"/>
    <x v="373"/>
    <x v="0"/>
    <x v="0"/>
    <x v="0"/>
    <x v="0"/>
    <x v="0"/>
    <x v="3"/>
    <x v="394"/>
    <x v="383"/>
    <x v="379"/>
    <x v="2"/>
    <x v="10"/>
    <x v="0"/>
    <x v="2"/>
    <x v="15"/>
    <x v="0"/>
    <x v="0"/>
    <x v="0"/>
    <x v="19"/>
    <x v="0"/>
    <x v="0"/>
    <x v="1"/>
    <x v="1"/>
  </r>
  <r>
    <x v="391"/>
    <x v="1"/>
    <x v="25"/>
    <x v="380"/>
    <x v="169"/>
    <x v="393"/>
    <x v="1"/>
    <x v="0"/>
    <x v="374"/>
    <x v="0"/>
    <x v="0"/>
    <x v="0"/>
    <x v="0"/>
    <x v="0"/>
    <x v="3"/>
    <x v="393"/>
    <x v="382"/>
    <x v="380"/>
    <x v="2"/>
    <x v="10"/>
    <x v="0"/>
    <x v="2"/>
    <x v="15"/>
    <x v="0"/>
    <x v="0"/>
    <x v="0"/>
    <x v="19"/>
    <x v="0"/>
    <x v="0"/>
    <x v="1"/>
    <x v="1"/>
  </r>
  <r>
    <x v="392"/>
    <x v="1"/>
    <x v="25"/>
    <x v="381"/>
    <x v="160"/>
    <x v="390"/>
    <x v="1"/>
    <x v="0"/>
    <x v="375"/>
    <x v="0"/>
    <x v="0"/>
    <x v="0"/>
    <x v="0"/>
    <x v="0"/>
    <x v="3"/>
    <x v="390"/>
    <x v="379"/>
    <x v="381"/>
    <x v="2"/>
    <x v="10"/>
    <x v="0"/>
    <x v="2"/>
    <x v="15"/>
    <x v="0"/>
    <x v="0"/>
    <x v="0"/>
    <x v="19"/>
    <x v="0"/>
    <x v="0"/>
    <x v="1"/>
    <x v="1"/>
  </r>
  <r>
    <x v="393"/>
    <x v="1"/>
    <x v="25"/>
    <x v="382"/>
    <x v="145"/>
    <x v="386"/>
    <x v="1"/>
    <x v="0"/>
    <x v="376"/>
    <x v="0"/>
    <x v="0"/>
    <x v="0"/>
    <x v="0"/>
    <x v="0"/>
    <x v="3"/>
    <x v="386"/>
    <x v="375"/>
    <x v="382"/>
    <x v="2"/>
    <x v="10"/>
    <x v="0"/>
    <x v="2"/>
    <x v="15"/>
    <x v="0"/>
    <x v="0"/>
    <x v="0"/>
    <x v="19"/>
    <x v="0"/>
    <x v="0"/>
    <x v="1"/>
    <x v="1"/>
  </r>
  <r>
    <x v="394"/>
    <x v="1"/>
    <x v="25"/>
    <x v="383"/>
    <x v="154"/>
    <x v="388"/>
    <x v="1"/>
    <x v="0"/>
    <x v="377"/>
    <x v="0"/>
    <x v="0"/>
    <x v="0"/>
    <x v="0"/>
    <x v="0"/>
    <x v="3"/>
    <x v="388"/>
    <x v="377"/>
    <x v="383"/>
    <x v="2"/>
    <x v="10"/>
    <x v="0"/>
    <x v="2"/>
    <x v="15"/>
    <x v="0"/>
    <x v="0"/>
    <x v="0"/>
    <x v="19"/>
    <x v="0"/>
    <x v="0"/>
    <x v="1"/>
    <x v="1"/>
  </r>
  <r>
    <x v="395"/>
    <x v="1"/>
    <x v="25"/>
    <x v="384"/>
    <x v="137"/>
    <x v="384"/>
    <x v="1"/>
    <x v="0"/>
    <x v="378"/>
    <x v="0"/>
    <x v="0"/>
    <x v="0"/>
    <x v="0"/>
    <x v="0"/>
    <x v="3"/>
    <x v="384"/>
    <x v="373"/>
    <x v="384"/>
    <x v="2"/>
    <x v="10"/>
    <x v="0"/>
    <x v="2"/>
    <x v="15"/>
    <x v="0"/>
    <x v="0"/>
    <x v="0"/>
    <x v="19"/>
    <x v="0"/>
    <x v="0"/>
    <x v="1"/>
    <x v="1"/>
  </r>
  <r>
    <x v="396"/>
    <x v="1"/>
    <x v="25"/>
    <x v="385"/>
    <x v="163"/>
    <x v="391"/>
    <x v="1"/>
    <x v="0"/>
    <x v="379"/>
    <x v="0"/>
    <x v="0"/>
    <x v="0"/>
    <x v="0"/>
    <x v="0"/>
    <x v="3"/>
    <x v="391"/>
    <x v="380"/>
    <x v="385"/>
    <x v="2"/>
    <x v="10"/>
    <x v="0"/>
    <x v="2"/>
    <x v="15"/>
    <x v="0"/>
    <x v="0"/>
    <x v="0"/>
    <x v="19"/>
    <x v="0"/>
    <x v="0"/>
    <x v="1"/>
    <x v="1"/>
  </r>
  <r>
    <x v="397"/>
    <x v="1"/>
    <x v="25"/>
    <x v="386"/>
    <x v="166"/>
    <x v="392"/>
    <x v="1"/>
    <x v="0"/>
    <x v="380"/>
    <x v="0"/>
    <x v="0"/>
    <x v="0"/>
    <x v="0"/>
    <x v="0"/>
    <x v="3"/>
    <x v="392"/>
    <x v="381"/>
    <x v="386"/>
    <x v="2"/>
    <x v="10"/>
    <x v="0"/>
    <x v="2"/>
    <x v="15"/>
    <x v="0"/>
    <x v="0"/>
    <x v="0"/>
    <x v="19"/>
    <x v="0"/>
    <x v="0"/>
    <x v="1"/>
    <x v="1"/>
  </r>
  <r>
    <x v="398"/>
    <x v="1"/>
    <x v="25"/>
    <x v="387"/>
    <x v="140"/>
    <x v="385"/>
    <x v="1"/>
    <x v="0"/>
    <x v="381"/>
    <x v="0"/>
    <x v="0"/>
    <x v="0"/>
    <x v="0"/>
    <x v="0"/>
    <x v="3"/>
    <x v="385"/>
    <x v="374"/>
    <x v="387"/>
    <x v="2"/>
    <x v="10"/>
    <x v="0"/>
    <x v="2"/>
    <x v="15"/>
    <x v="0"/>
    <x v="0"/>
    <x v="0"/>
    <x v="19"/>
    <x v="0"/>
    <x v="0"/>
    <x v="1"/>
    <x v="1"/>
  </r>
  <r>
    <x v="399"/>
    <x v="1"/>
    <x v="25"/>
    <x v="388"/>
    <x v="157"/>
    <x v="389"/>
    <x v="1"/>
    <x v="0"/>
    <x v="382"/>
    <x v="0"/>
    <x v="0"/>
    <x v="0"/>
    <x v="0"/>
    <x v="0"/>
    <x v="3"/>
    <x v="389"/>
    <x v="378"/>
    <x v="388"/>
    <x v="2"/>
    <x v="10"/>
    <x v="0"/>
    <x v="2"/>
    <x v="15"/>
    <x v="0"/>
    <x v="0"/>
    <x v="0"/>
    <x v="19"/>
    <x v="0"/>
    <x v="0"/>
    <x v="1"/>
    <x v="1"/>
  </r>
  <r>
    <x v="437"/>
    <x v="1"/>
    <x v="25"/>
    <x v="389"/>
    <x v="386"/>
    <x v="409"/>
    <x v="1"/>
    <x v="0"/>
    <x v="420"/>
    <x v="0"/>
    <x v="0"/>
    <x v="0"/>
    <x v="0"/>
    <x v="0"/>
    <x v="3"/>
    <x v="409"/>
    <x v="398"/>
    <x v="389"/>
    <x v="2"/>
    <x v="10"/>
    <x v="0"/>
    <x v="2"/>
    <x v="15"/>
    <x v="0"/>
    <x v="0"/>
    <x v="0"/>
    <x v="19"/>
    <x v="0"/>
    <x v="0"/>
    <x v="1"/>
    <x v="1"/>
  </r>
  <r>
    <x v="438"/>
    <x v="1"/>
    <x v="25"/>
    <x v="390"/>
    <x v="380"/>
    <x v="408"/>
    <x v="1"/>
    <x v="0"/>
    <x v="421"/>
    <x v="0"/>
    <x v="0"/>
    <x v="0"/>
    <x v="0"/>
    <x v="0"/>
    <x v="3"/>
    <x v="408"/>
    <x v="397"/>
    <x v="390"/>
    <x v="2"/>
    <x v="10"/>
    <x v="0"/>
    <x v="2"/>
    <x v="15"/>
    <x v="0"/>
    <x v="0"/>
    <x v="0"/>
    <x v="19"/>
    <x v="0"/>
    <x v="0"/>
    <x v="1"/>
    <x v="1"/>
  </r>
  <r>
    <x v="439"/>
    <x v="1"/>
    <x v="25"/>
    <x v="391"/>
    <x v="399"/>
    <x v="411"/>
    <x v="1"/>
    <x v="0"/>
    <x v="422"/>
    <x v="0"/>
    <x v="0"/>
    <x v="0"/>
    <x v="0"/>
    <x v="0"/>
    <x v="3"/>
    <x v="411"/>
    <x v="400"/>
    <x v="391"/>
    <x v="2"/>
    <x v="10"/>
    <x v="0"/>
    <x v="2"/>
    <x v="15"/>
    <x v="0"/>
    <x v="0"/>
    <x v="0"/>
    <x v="19"/>
    <x v="0"/>
    <x v="0"/>
    <x v="1"/>
    <x v="1"/>
  </r>
  <r>
    <x v="440"/>
    <x v="1"/>
    <x v="25"/>
    <x v="392"/>
    <x v="393"/>
    <x v="410"/>
    <x v="1"/>
    <x v="0"/>
    <x v="423"/>
    <x v="0"/>
    <x v="0"/>
    <x v="0"/>
    <x v="0"/>
    <x v="0"/>
    <x v="3"/>
    <x v="410"/>
    <x v="399"/>
    <x v="392"/>
    <x v="2"/>
    <x v="10"/>
    <x v="0"/>
    <x v="2"/>
    <x v="15"/>
    <x v="0"/>
    <x v="0"/>
    <x v="0"/>
    <x v="19"/>
    <x v="0"/>
    <x v="0"/>
    <x v="1"/>
    <x v="1"/>
  </r>
  <r>
    <x v="400"/>
    <x v="1"/>
    <x v="25"/>
    <x v="393"/>
    <x v="362"/>
    <x v="407"/>
    <x v="1"/>
    <x v="0"/>
    <x v="383"/>
    <x v="0"/>
    <x v="0"/>
    <x v="0"/>
    <x v="0"/>
    <x v="0"/>
    <x v="3"/>
    <x v="407"/>
    <x v="396"/>
    <x v="393"/>
    <x v="2"/>
    <x v="10"/>
    <x v="0"/>
    <x v="2"/>
    <x v="15"/>
    <x v="0"/>
    <x v="0"/>
    <x v="0"/>
    <x v="19"/>
    <x v="0"/>
    <x v="0"/>
    <x v="1"/>
    <x v="1"/>
  </r>
  <r>
    <x v="401"/>
    <x v="1"/>
    <x v="25"/>
    <x v="394"/>
    <x v="652"/>
    <x v="422"/>
    <x v="1"/>
    <x v="0"/>
    <x v="384"/>
    <x v="0"/>
    <x v="0"/>
    <x v="0"/>
    <x v="0"/>
    <x v="0"/>
    <x v="3"/>
    <x v="422"/>
    <x v="411"/>
    <x v="394"/>
    <x v="2"/>
    <x v="10"/>
    <x v="0"/>
    <x v="2"/>
    <x v="15"/>
    <x v="0"/>
    <x v="0"/>
    <x v="0"/>
    <x v="19"/>
    <x v="0"/>
    <x v="0"/>
    <x v="1"/>
    <x v="1"/>
  </r>
  <r>
    <x v="441"/>
    <x v="1"/>
    <x v="25"/>
    <x v="395"/>
    <x v="658"/>
    <x v="424"/>
    <x v="1"/>
    <x v="0"/>
    <x v="424"/>
    <x v="0"/>
    <x v="0"/>
    <x v="0"/>
    <x v="0"/>
    <x v="0"/>
    <x v="3"/>
    <x v="424"/>
    <x v="413"/>
    <x v="395"/>
    <x v="2"/>
    <x v="10"/>
    <x v="0"/>
    <x v="2"/>
    <x v="15"/>
    <x v="0"/>
    <x v="0"/>
    <x v="0"/>
    <x v="19"/>
    <x v="0"/>
    <x v="0"/>
    <x v="1"/>
    <x v="1"/>
  </r>
  <r>
    <x v="402"/>
    <x v="1"/>
    <x v="25"/>
    <x v="396"/>
    <x v="675"/>
    <x v="426"/>
    <x v="1"/>
    <x v="0"/>
    <x v="385"/>
    <x v="0"/>
    <x v="0"/>
    <x v="0"/>
    <x v="0"/>
    <x v="0"/>
    <x v="3"/>
    <x v="426"/>
    <x v="415"/>
    <x v="396"/>
    <x v="2"/>
    <x v="10"/>
    <x v="0"/>
    <x v="2"/>
    <x v="15"/>
    <x v="0"/>
    <x v="0"/>
    <x v="0"/>
    <x v="19"/>
    <x v="0"/>
    <x v="0"/>
    <x v="1"/>
    <x v="1"/>
  </r>
  <r>
    <x v="442"/>
    <x v="1"/>
    <x v="25"/>
    <x v="397"/>
    <x v="666"/>
    <x v="425"/>
    <x v="1"/>
    <x v="0"/>
    <x v="425"/>
    <x v="0"/>
    <x v="0"/>
    <x v="0"/>
    <x v="0"/>
    <x v="0"/>
    <x v="3"/>
    <x v="425"/>
    <x v="414"/>
    <x v="397"/>
    <x v="2"/>
    <x v="10"/>
    <x v="0"/>
    <x v="2"/>
    <x v="15"/>
    <x v="0"/>
    <x v="0"/>
    <x v="0"/>
    <x v="19"/>
    <x v="0"/>
    <x v="0"/>
    <x v="1"/>
    <x v="1"/>
  </r>
  <r>
    <x v="403"/>
    <x v="1"/>
    <x v="25"/>
    <x v="398"/>
    <x v="654"/>
    <x v="423"/>
    <x v="1"/>
    <x v="0"/>
    <x v="386"/>
    <x v="0"/>
    <x v="0"/>
    <x v="0"/>
    <x v="0"/>
    <x v="0"/>
    <x v="3"/>
    <x v="423"/>
    <x v="412"/>
    <x v="398"/>
    <x v="2"/>
    <x v="10"/>
    <x v="0"/>
    <x v="2"/>
    <x v="15"/>
    <x v="0"/>
    <x v="0"/>
    <x v="0"/>
    <x v="19"/>
    <x v="0"/>
    <x v="0"/>
    <x v="1"/>
    <x v="1"/>
  </r>
  <r>
    <x v="404"/>
    <x v="1"/>
    <x v="25"/>
    <x v="399"/>
    <x v="324"/>
    <x v="404"/>
    <x v="1"/>
    <x v="0"/>
    <x v="387"/>
    <x v="0"/>
    <x v="0"/>
    <x v="0"/>
    <x v="0"/>
    <x v="0"/>
    <x v="3"/>
    <x v="404"/>
    <x v="393"/>
    <x v="399"/>
    <x v="2"/>
    <x v="10"/>
    <x v="0"/>
    <x v="2"/>
    <x v="15"/>
    <x v="0"/>
    <x v="0"/>
    <x v="0"/>
    <x v="19"/>
    <x v="0"/>
    <x v="0"/>
    <x v="1"/>
    <x v="1"/>
  </r>
  <r>
    <x v="405"/>
    <x v="1"/>
    <x v="25"/>
    <x v="400"/>
    <x v="328"/>
    <x v="405"/>
    <x v="1"/>
    <x v="0"/>
    <x v="388"/>
    <x v="0"/>
    <x v="0"/>
    <x v="0"/>
    <x v="0"/>
    <x v="0"/>
    <x v="3"/>
    <x v="405"/>
    <x v="394"/>
    <x v="400"/>
    <x v="2"/>
    <x v="10"/>
    <x v="0"/>
    <x v="2"/>
    <x v="15"/>
    <x v="0"/>
    <x v="0"/>
    <x v="0"/>
    <x v="19"/>
    <x v="0"/>
    <x v="0"/>
    <x v="1"/>
    <x v="1"/>
  </r>
  <r>
    <x v="406"/>
    <x v="1"/>
    <x v="25"/>
    <x v="401"/>
    <x v="341"/>
    <x v="406"/>
    <x v="1"/>
    <x v="0"/>
    <x v="389"/>
    <x v="0"/>
    <x v="0"/>
    <x v="0"/>
    <x v="0"/>
    <x v="0"/>
    <x v="3"/>
    <x v="406"/>
    <x v="395"/>
    <x v="401"/>
    <x v="2"/>
    <x v="10"/>
    <x v="0"/>
    <x v="2"/>
    <x v="15"/>
    <x v="0"/>
    <x v="0"/>
    <x v="0"/>
    <x v="19"/>
    <x v="0"/>
    <x v="0"/>
    <x v="1"/>
    <x v="1"/>
  </r>
  <r>
    <x v="407"/>
    <x v="1"/>
    <x v="25"/>
    <x v="402"/>
    <x v="228"/>
    <x v="397"/>
    <x v="1"/>
    <x v="0"/>
    <x v="390"/>
    <x v="0"/>
    <x v="0"/>
    <x v="0"/>
    <x v="0"/>
    <x v="0"/>
    <x v="3"/>
    <x v="397"/>
    <x v="386"/>
    <x v="402"/>
    <x v="2"/>
    <x v="10"/>
    <x v="0"/>
    <x v="2"/>
    <x v="15"/>
    <x v="0"/>
    <x v="0"/>
    <x v="0"/>
    <x v="19"/>
    <x v="0"/>
    <x v="0"/>
    <x v="1"/>
    <x v="1"/>
  </r>
  <r>
    <x v="408"/>
    <x v="1"/>
    <x v="25"/>
    <x v="403"/>
    <x v="218"/>
    <x v="396"/>
    <x v="1"/>
    <x v="0"/>
    <x v="391"/>
    <x v="0"/>
    <x v="0"/>
    <x v="0"/>
    <x v="0"/>
    <x v="0"/>
    <x v="3"/>
    <x v="396"/>
    <x v="385"/>
    <x v="403"/>
    <x v="2"/>
    <x v="10"/>
    <x v="0"/>
    <x v="2"/>
    <x v="15"/>
    <x v="0"/>
    <x v="0"/>
    <x v="0"/>
    <x v="19"/>
    <x v="0"/>
    <x v="0"/>
    <x v="1"/>
    <x v="1"/>
  </r>
  <r>
    <x v="409"/>
    <x v="1"/>
    <x v="25"/>
    <x v="404"/>
    <x v="237"/>
    <x v="398"/>
    <x v="1"/>
    <x v="0"/>
    <x v="392"/>
    <x v="0"/>
    <x v="0"/>
    <x v="0"/>
    <x v="0"/>
    <x v="0"/>
    <x v="3"/>
    <x v="398"/>
    <x v="387"/>
    <x v="404"/>
    <x v="2"/>
    <x v="10"/>
    <x v="0"/>
    <x v="2"/>
    <x v="15"/>
    <x v="0"/>
    <x v="0"/>
    <x v="0"/>
    <x v="19"/>
    <x v="0"/>
    <x v="0"/>
    <x v="1"/>
    <x v="1"/>
  </r>
  <r>
    <x v="410"/>
    <x v="1"/>
    <x v="25"/>
    <x v="405"/>
    <x v="785"/>
    <x v="440"/>
    <x v="1"/>
    <x v="0"/>
    <x v="393"/>
    <x v="0"/>
    <x v="0"/>
    <x v="0"/>
    <x v="0"/>
    <x v="0"/>
    <x v="3"/>
    <x v="440"/>
    <x v="429"/>
    <x v="405"/>
    <x v="2"/>
    <x v="10"/>
    <x v="0"/>
    <x v="2"/>
    <x v="15"/>
    <x v="0"/>
    <x v="0"/>
    <x v="0"/>
    <x v="19"/>
    <x v="0"/>
    <x v="0"/>
    <x v="1"/>
    <x v="1"/>
  </r>
  <r>
    <x v="411"/>
    <x v="1"/>
    <x v="25"/>
    <x v="406"/>
    <x v="777"/>
    <x v="439"/>
    <x v="1"/>
    <x v="0"/>
    <x v="394"/>
    <x v="0"/>
    <x v="0"/>
    <x v="0"/>
    <x v="0"/>
    <x v="0"/>
    <x v="3"/>
    <x v="439"/>
    <x v="428"/>
    <x v="406"/>
    <x v="2"/>
    <x v="10"/>
    <x v="0"/>
    <x v="2"/>
    <x v="15"/>
    <x v="0"/>
    <x v="0"/>
    <x v="0"/>
    <x v="19"/>
    <x v="0"/>
    <x v="0"/>
    <x v="1"/>
    <x v="1"/>
  </r>
  <r>
    <x v="443"/>
    <x v="1"/>
    <x v="25"/>
    <x v="407"/>
    <x v="552"/>
    <x v="416"/>
    <x v="1"/>
    <x v="0"/>
    <x v="426"/>
    <x v="0"/>
    <x v="0"/>
    <x v="0"/>
    <x v="0"/>
    <x v="0"/>
    <x v="3"/>
    <x v="416"/>
    <x v="405"/>
    <x v="407"/>
    <x v="2"/>
    <x v="10"/>
    <x v="0"/>
    <x v="2"/>
    <x v="15"/>
    <x v="0"/>
    <x v="0"/>
    <x v="0"/>
    <x v="19"/>
    <x v="0"/>
    <x v="0"/>
    <x v="1"/>
    <x v="1"/>
  </r>
  <r>
    <x v="444"/>
    <x v="1"/>
    <x v="25"/>
    <x v="408"/>
    <x v="576"/>
    <x v="420"/>
    <x v="1"/>
    <x v="0"/>
    <x v="427"/>
    <x v="0"/>
    <x v="0"/>
    <x v="0"/>
    <x v="0"/>
    <x v="0"/>
    <x v="3"/>
    <x v="420"/>
    <x v="409"/>
    <x v="408"/>
    <x v="2"/>
    <x v="10"/>
    <x v="0"/>
    <x v="2"/>
    <x v="15"/>
    <x v="0"/>
    <x v="0"/>
    <x v="0"/>
    <x v="19"/>
    <x v="0"/>
    <x v="0"/>
    <x v="1"/>
    <x v="1"/>
  </r>
  <r>
    <x v="412"/>
    <x v="1"/>
    <x v="25"/>
    <x v="409"/>
    <x v="546"/>
    <x v="415"/>
    <x v="1"/>
    <x v="0"/>
    <x v="395"/>
    <x v="0"/>
    <x v="0"/>
    <x v="0"/>
    <x v="0"/>
    <x v="0"/>
    <x v="3"/>
    <x v="415"/>
    <x v="404"/>
    <x v="409"/>
    <x v="2"/>
    <x v="10"/>
    <x v="0"/>
    <x v="2"/>
    <x v="15"/>
    <x v="0"/>
    <x v="0"/>
    <x v="0"/>
    <x v="19"/>
    <x v="0"/>
    <x v="0"/>
    <x v="1"/>
    <x v="1"/>
  </r>
  <r>
    <x v="413"/>
    <x v="1"/>
    <x v="25"/>
    <x v="410"/>
    <x v="572"/>
    <x v="419"/>
    <x v="1"/>
    <x v="0"/>
    <x v="396"/>
    <x v="0"/>
    <x v="0"/>
    <x v="0"/>
    <x v="0"/>
    <x v="0"/>
    <x v="3"/>
    <x v="419"/>
    <x v="408"/>
    <x v="410"/>
    <x v="2"/>
    <x v="10"/>
    <x v="0"/>
    <x v="2"/>
    <x v="15"/>
    <x v="0"/>
    <x v="0"/>
    <x v="0"/>
    <x v="19"/>
    <x v="0"/>
    <x v="0"/>
    <x v="1"/>
    <x v="1"/>
  </r>
  <r>
    <x v="414"/>
    <x v="1"/>
    <x v="25"/>
    <x v="411"/>
    <x v="579"/>
    <x v="421"/>
    <x v="1"/>
    <x v="0"/>
    <x v="397"/>
    <x v="0"/>
    <x v="0"/>
    <x v="0"/>
    <x v="0"/>
    <x v="0"/>
    <x v="3"/>
    <x v="421"/>
    <x v="410"/>
    <x v="411"/>
    <x v="2"/>
    <x v="10"/>
    <x v="0"/>
    <x v="2"/>
    <x v="15"/>
    <x v="0"/>
    <x v="0"/>
    <x v="0"/>
    <x v="19"/>
    <x v="0"/>
    <x v="0"/>
    <x v="1"/>
    <x v="1"/>
  </r>
  <r>
    <x v="415"/>
    <x v="1"/>
    <x v="25"/>
    <x v="412"/>
    <x v="556"/>
    <x v="417"/>
    <x v="1"/>
    <x v="0"/>
    <x v="398"/>
    <x v="0"/>
    <x v="0"/>
    <x v="0"/>
    <x v="0"/>
    <x v="0"/>
    <x v="3"/>
    <x v="417"/>
    <x v="406"/>
    <x v="412"/>
    <x v="2"/>
    <x v="10"/>
    <x v="0"/>
    <x v="2"/>
    <x v="15"/>
    <x v="0"/>
    <x v="0"/>
    <x v="0"/>
    <x v="19"/>
    <x v="0"/>
    <x v="0"/>
    <x v="1"/>
    <x v="1"/>
  </r>
  <r>
    <x v="445"/>
    <x v="1"/>
    <x v="25"/>
    <x v="413"/>
    <x v="570"/>
    <x v="418"/>
    <x v="1"/>
    <x v="0"/>
    <x v="428"/>
    <x v="0"/>
    <x v="0"/>
    <x v="0"/>
    <x v="0"/>
    <x v="0"/>
    <x v="3"/>
    <x v="418"/>
    <x v="407"/>
    <x v="413"/>
    <x v="2"/>
    <x v="10"/>
    <x v="0"/>
    <x v="2"/>
    <x v="15"/>
    <x v="0"/>
    <x v="0"/>
    <x v="0"/>
    <x v="19"/>
    <x v="0"/>
    <x v="0"/>
    <x v="1"/>
    <x v="1"/>
  </r>
  <r>
    <x v="416"/>
    <x v="1"/>
    <x v="25"/>
    <x v="414"/>
    <x v="719"/>
    <x v="434"/>
    <x v="1"/>
    <x v="0"/>
    <x v="399"/>
    <x v="0"/>
    <x v="0"/>
    <x v="0"/>
    <x v="0"/>
    <x v="0"/>
    <x v="3"/>
    <x v="434"/>
    <x v="423"/>
    <x v="414"/>
    <x v="2"/>
    <x v="10"/>
    <x v="0"/>
    <x v="2"/>
    <x v="15"/>
    <x v="0"/>
    <x v="0"/>
    <x v="0"/>
    <x v="19"/>
    <x v="0"/>
    <x v="0"/>
    <x v="1"/>
    <x v="1"/>
  </r>
  <r>
    <x v="446"/>
    <x v="1"/>
    <x v="25"/>
    <x v="415"/>
    <x v="707"/>
    <x v="431"/>
    <x v="1"/>
    <x v="0"/>
    <x v="429"/>
    <x v="0"/>
    <x v="0"/>
    <x v="0"/>
    <x v="0"/>
    <x v="0"/>
    <x v="3"/>
    <x v="431"/>
    <x v="420"/>
    <x v="415"/>
    <x v="2"/>
    <x v="10"/>
    <x v="0"/>
    <x v="2"/>
    <x v="15"/>
    <x v="0"/>
    <x v="0"/>
    <x v="0"/>
    <x v="19"/>
    <x v="0"/>
    <x v="0"/>
    <x v="1"/>
    <x v="1"/>
  </r>
  <r>
    <x v="447"/>
    <x v="1"/>
    <x v="25"/>
    <x v="416"/>
    <x v="703"/>
    <x v="430"/>
    <x v="1"/>
    <x v="0"/>
    <x v="430"/>
    <x v="0"/>
    <x v="0"/>
    <x v="0"/>
    <x v="0"/>
    <x v="0"/>
    <x v="3"/>
    <x v="430"/>
    <x v="419"/>
    <x v="416"/>
    <x v="2"/>
    <x v="10"/>
    <x v="0"/>
    <x v="2"/>
    <x v="15"/>
    <x v="0"/>
    <x v="0"/>
    <x v="0"/>
    <x v="19"/>
    <x v="0"/>
    <x v="0"/>
    <x v="1"/>
    <x v="1"/>
  </r>
  <r>
    <x v="417"/>
    <x v="1"/>
    <x v="25"/>
    <x v="417"/>
    <x v="716"/>
    <x v="433"/>
    <x v="1"/>
    <x v="0"/>
    <x v="400"/>
    <x v="0"/>
    <x v="0"/>
    <x v="0"/>
    <x v="0"/>
    <x v="0"/>
    <x v="3"/>
    <x v="433"/>
    <x v="422"/>
    <x v="417"/>
    <x v="2"/>
    <x v="10"/>
    <x v="0"/>
    <x v="2"/>
    <x v="15"/>
    <x v="0"/>
    <x v="0"/>
    <x v="0"/>
    <x v="19"/>
    <x v="0"/>
    <x v="0"/>
    <x v="1"/>
    <x v="1"/>
  </r>
  <r>
    <x v="418"/>
    <x v="1"/>
    <x v="25"/>
    <x v="418"/>
    <x v="692"/>
    <x v="428"/>
    <x v="1"/>
    <x v="0"/>
    <x v="401"/>
    <x v="0"/>
    <x v="0"/>
    <x v="0"/>
    <x v="0"/>
    <x v="0"/>
    <x v="3"/>
    <x v="428"/>
    <x v="417"/>
    <x v="418"/>
    <x v="2"/>
    <x v="10"/>
    <x v="0"/>
    <x v="2"/>
    <x v="15"/>
    <x v="0"/>
    <x v="0"/>
    <x v="0"/>
    <x v="19"/>
    <x v="0"/>
    <x v="0"/>
    <x v="1"/>
    <x v="1"/>
  </r>
  <r>
    <x v="419"/>
    <x v="1"/>
    <x v="25"/>
    <x v="419"/>
    <x v="696"/>
    <x v="429"/>
    <x v="1"/>
    <x v="0"/>
    <x v="402"/>
    <x v="0"/>
    <x v="0"/>
    <x v="0"/>
    <x v="0"/>
    <x v="0"/>
    <x v="3"/>
    <x v="429"/>
    <x v="418"/>
    <x v="419"/>
    <x v="2"/>
    <x v="10"/>
    <x v="0"/>
    <x v="2"/>
    <x v="15"/>
    <x v="0"/>
    <x v="0"/>
    <x v="0"/>
    <x v="19"/>
    <x v="0"/>
    <x v="0"/>
    <x v="1"/>
    <x v="1"/>
  </r>
  <r>
    <x v="420"/>
    <x v="1"/>
    <x v="25"/>
    <x v="420"/>
    <x v="730"/>
    <x v="437"/>
    <x v="1"/>
    <x v="0"/>
    <x v="403"/>
    <x v="0"/>
    <x v="0"/>
    <x v="0"/>
    <x v="0"/>
    <x v="0"/>
    <x v="3"/>
    <x v="437"/>
    <x v="426"/>
    <x v="420"/>
    <x v="2"/>
    <x v="10"/>
    <x v="0"/>
    <x v="2"/>
    <x v="15"/>
    <x v="0"/>
    <x v="0"/>
    <x v="0"/>
    <x v="19"/>
    <x v="0"/>
    <x v="0"/>
    <x v="1"/>
    <x v="1"/>
  </r>
  <r>
    <x v="421"/>
    <x v="1"/>
    <x v="25"/>
    <x v="421"/>
    <x v="728"/>
    <x v="436"/>
    <x v="1"/>
    <x v="0"/>
    <x v="404"/>
    <x v="0"/>
    <x v="0"/>
    <x v="0"/>
    <x v="0"/>
    <x v="0"/>
    <x v="3"/>
    <x v="436"/>
    <x v="425"/>
    <x v="421"/>
    <x v="2"/>
    <x v="10"/>
    <x v="0"/>
    <x v="2"/>
    <x v="15"/>
    <x v="0"/>
    <x v="0"/>
    <x v="0"/>
    <x v="19"/>
    <x v="0"/>
    <x v="0"/>
    <x v="1"/>
    <x v="1"/>
  </r>
  <r>
    <x v="422"/>
    <x v="1"/>
    <x v="25"/>
    <x v="422"/>
    <x v="683"/>
    <x v="427"/>
    <x v="1"/>
    <x v="0"/>
    <x v="405"/>
    <x v="0"/>
    <x v="0"/>
    <x v="0"/>
    <x v="0"/>
    <x v="0"/>
    <x v="3"/>
    <x v="427"/>
    <x v="416"/>
    <x v="422"/>
    <x v="2"/>
    <x v="10"/>
    <x v="0"/>
    <x v="2"/>
    <x v="15"/>
    <x v="0"/>
    <x v="0"/>
    <x v="0"/>
    <x v="19"/>
    <x v="0"/>
    <x v="0"/>
    <x v="1"/>
    <x v="1"/>
  </r>
  <r>
    <x v="448"/>
    <x v="1"/>
    <x v="25"/>
    <x v="423"/>
    <x v="713"/>
    <x v="432"/>
    <x v="1"/>
    <x v="0"/>
    <x v="431"/>
    <x v="0"/>
    <x v="0"/>
    <x v="0"/>
    <x v="0"/>
    <x v="0"/>
    <x v="3"/>
    <x v="432"/>
    <x v="421"/>
    <x v="423"/>
    <x v="2"/>
    <x v="10"/>
    <x v="0"/>
    <x v="2"/>
    <x v="15"/>
    <x v="0"/>
    <x v="0"/>
    <x v="0"/>
    <x v="19"/>
    <x v="0"/>
    <x v="0"/>
    <x v="1"/>
    <x v="1"/>
  </r>
  <r>
    <x v="449"/>
    <x v="1"/>
    <x v="25"/>
    <x v="424"/>
    <x v="736"/>
    <x v="438"/>
    <x v="1"/>
    <x v="0"/>
    <x v="432"/>
    <x v="0"/>
    <x v="0"/>
    <x v="0"/>
    <x v="0"/>
    <x v="0"/>
    <x v="3"/>
    <x v="438"/>
    <x v="427"/>
    <x v="424"/>
    <x v="2"/>
    <x v="10"/>
    <x v="0"/>
    <x v="2"/>
    <x v="15"/>
    <x v="0"/>
    <x v="0"/>
    <x v="0"/>
    <x v="19"/>
    <x v="0"/>
    <x v="0"/>
    <x v="1"/>
    <x v="1"/>
  </r>
  <r>
    <x v="450"/>
    <x v="1"/>
    <x v="25"/>
    <x v="425"/>
    <x v="722"/>
    <x v="435"/>
    <x v="1"/>
    <x v="0"/>
    <x v="433"/>
    <x v="0"/>
    <x v="0"/>
    <x v="0"/>
    <x v="0"/>
    <x v="0"/>
    <x v="3"/>
    <x v="435"/>
    <x v="424"/>
    <x v="425"/>
    <x v="2"/>
    <x v="10"/>
    <x v="0"/>
    <x v="2"/>
    <x v="15"/>
    <x v="0"/>
    <x v="0"/>
    <x v="0"/>
    <x v="19"/>
    <x v="0"/>
    <x v="0"/>
    <x v="1"/>
    <x v="1"/>
  </r>
  <r>
    <x v="423"/>
    <x v="1"/>
    <x v="25"/>
    <x v="426"/>
    <x v="278"/>
    <x v="401"/>
    <x v="1"/>
    <x v="0"/>
    <x v="406"/>
    <x v="0"/>
    <x v="0"/>
    <x v="0"/>
    <x v="0"/>
    <x v="0"/>
    <x v="3"/>
    <x v="401"/>
    <x v="390"/>
    <x v="426"/>
    <x v="2"/>
    <x v="10"/>
    <x v="0"/>
    <x v="2"/>
    <x v="15"/>
    <x v="0"/>
    <x v="0"/>
    <x v="0"/>
    <x v="19"/>
    <x v="0"/>
    <x v="0"/>
    <x v="1"/>
    <x v="1"/>
  </r>
  <r>
    <x v="451"/>
    <x v="1"/>
    <x v="25"/>
    <x v="427"/>
    <x v="268"/>
    <x v="400"/>
    <x v="1"/>
    <x v="0"/>
    <x v="434"/>
    <x v="0"/>
    <x v="0"/>
    <x v="0"/>
    <x v="0"/>
    <x v="0"/>
    <x v="3"/>
    <x v="400"/>
    <x v="389"/>
    <x v="427"/>
    <x v="2"/>
    <x v="10"/>
    <x v="0"/>
    <x v="2"/>
    <x v="15"/>
    <x v="0"/>
    <x v="0"/>
    <x v="0"/>
    <x v="19"/>
    <x v="0"/>
    <x v="0"/>
    <x v="1"/>
    <x v="1"/>
  </r>
  <r>
    <x v="452"/>
    <x v="1"/>
    <x v="25"/>
    <x v="428"/>
    <x v="263"/>
    <x v="399"/>
    <x v="1"/>
    <x v="0"/>
    <x v="435"/>
    <x v="0"/>
    <x v="0"/>
    <x v="0"/>
    <x v="0"/>
    <x v="0"/>
    <x v="3"/>
    <x v="399"/>
    <x v="388"/>
    <x v="428"/>
    <x v="2"/>
    <x v="10"/>
    <x v="0"/>
    <x v="2"/>
    <x v="15"/>
    <x v="0"/>
    <x v="0"/>
    <x v="0"/>
    <x v="19"/>
    <x v="0"/>
    <x v="0"/>
    <x v="1"/>
    <x v="1"/>
  </r>
  <r>
    <x v="453"/>
    <x v="1"/>
    <x v="25"/>
    <x v="429"/>
    <x v="286"/>
    <x v="402"/>
    <x v="1"/>
    <x v="0"/>
    <x v="436"/>
    <x v="0"/>
    <x v="0"/>
    <x v="0"/>
    <x v="0"/>
    <x v="0"/>
    <x v="3"/>
    <x v="402"/>
    <x v="391"/>
    <x v="429"/>
    <x v="2"/>
    <x v="10"/>
    <x v="0"/>
    <x v="2"/>
    <x v="15"/>
    <x v="0"/>
    <x v="0"/>
    <x v="0"/>
    <x v="19"/>
    <x v="0"/>
    <x v="0"/>
    <x v="1"/>
    <x v="1"/>
  </r>
  <r>
    <x v="454"/>
    <x v="1"/>
    <x v="25"/>
    <x v="430"/>
    <x v="300"/>
    <x v="403"/>
    <x v="1"/>
    <x v="0"/>
    <x v="437"/>
    <x v="0"/>
    <x v="0"/>
    <x v="0"/>
    <x v="0"/>
    <x v="0"/>
    <x v="3"/>
    <x v="403"/>
    <x v="392"/>
    <x v="430"/>
    <x v="2"/>
    <x v="10"/>
    <x v="0"/>
    <x v="2"/>
    <x v="15"/>
    <x v="0"/>
    <x v="0"/>
    <x v="0"/>
    <x v="19"/>
    <x v="0"/>
    <x v="0"/>
    <x v="1"/>
    <x v="1"/>
  </r>
  <r>
    <x v="455"/>
    <x v="1"/>
    <x v="25"/>
    <x v="431"/>
    <x v="182"/>
    <x v="395"/>
    <x v="1"/>
    <x v="0"/>
    <x v="438"/>
    <x v="0"/>
    <x v="0"/>
    <x v="0"/>
    <x v="0"/>
    <x v="0"/>
    <x v="3"/>
    <x v="395"/>
    <x v="384"/>
    <x v="431"/>
    <x v="2"/>
    <x v="10"/>
    <x v="0"/>
    <x v="2"/>
    <x v="15"/>
    <x v="0"/>
    <x v="0"/>
    <x v="0"/>
    <x v="19"/>
    <x v="0"/>
    <x v="0"/>
    <x v="1"/>
    <x v="1"/>
  </r>
  <r>
    <x v="424"/>
    <x v="1"/>
    <x v="25"/>
    <x v="432"/>
    <x v="895"/>
    <x v="448"/>
    <x v="1"/>
    <x v="0"/>
    <x v="407"/>
    <x v="0"/>
    <x v="0"/>
    <x v="0"/>
    <x v="0"/>
    <x v="0"/>
    <x v="3"/>
    <x v="448"/>
    <x v="437"/>
    <x v="432"/>
    <x v="2"/>
    <x v="10"/>
    <x v="0"/>
    <x v="2"/>
    <x v="15"/>
    <x v="0"/>
    <x v="0"/>
    <x v="0"/>
    <x v="19"/>
    <x v="0"/>
    <x v="0"/>
    <x v="1"/>
    <x v="1"/>
  </r>
  <r>
    <x v="456"/>
    <x v="1"/>
    <x v="25"/>
    <x v="433"/>
    <x v="897"/>
    <x v="449"/>
    <x v="1"/>
    <x v="0"/>
    <x v="439"/>
    <x v="0"/>
    <x v="0"/>
    <x v="0"/>
    <x v="0"/>
    <x v="0"/>
    <x v="3"/>
    <x v="449"/>
    <x v="438"/>
    <x v="433"/>
    <x v="2"/>
    <x v="10"/>
    <x v="0"/>
    <x v="2"/>
    <x v="15"/>
    <x v="0"/>
    <x v="0"/>
    <x v="0"/>
    <x v="19"/>
    <x v="0"/>
    <x v="0"/>
    <x v="1"/>
    <x v="1"/>
  </r>
  <r>
    <x v="425"/>
    <x v="1"/>
    <x v="25"/>
    <x v="434"/>
    <x v="983"/>
    <x v="460"/>
    <x v="1"/>
    <x v="0"/>
    <x v="408"/>
    <x v="0"/>
    <x v="0"/>
    <x v="0"/>
    <x v="0"/>
    <x v="0"/>
    <x v="3"/>
    <x v="460"/>
    <x v="449"/>
    <x v="434"/>
    <x v="2"/>
    <x v="10"/>
    <x v="0"/>
    <x v="2"/>
    <x v="15"/>
    <x v="0"/>
    <x v="0"/>
    <x v="0"/>
    <x v="19"/>
    <x v="0"/>
    <x v="0"/>
    <x v="1"/>
    <x v="1"/>
  </r>
  <r>
    <x v="426"/>
    <x v="1"/>
    <x v="25"/>
    <x v="435"/>
    <x v="970"/>
    <x v="456"/>
    <x v="1"/>
    <x v="0"/>
    <x v="409"/>
    <x v="0"/>
    <x v="0"/>
    <x v="0"/>
    <x v="0"/>
    <x v="0"/>
    <x v="3"/>
    <x v="456"/>
    <x v="445"/>
    <x v="435"/>
    <x v="2"/>
    <x v="10"/>
    <x v="0"/>
    <x v="2"/>
    <x v="15"/>
    <x v="0"/>
    <x v="0"/>
    <x v="0"/>
    <x v="19"/>
    <x v="0"/>
    <x v="0"/>
    <x v="1"/>
    <x v="1"/>
  </r>
  <r>
    <x v="427"/>
    <x v="1"/>
    <x v="25"/>
    <x v="436"/>
    <x v="987"/>
    <x v="462"/>
    <x v="1"/>
    <x v="0"/>
    <x v="410"/>
    <x v="0"/>
    <x v="0"/>
    <x v="0"/>
    <x v="0"/>
    <x v="0"/>
    <x v="3"/>
    <x v="462"/>
    <x v="451"/>
    <x v="436"/>
    <x v="2"/>
    <x v="10"/>
    <x v="0"/>
    <x v="2"/>
    <x v="15"/>
    <x v="0"/>
    <x v="0"/>
    <x v="0"/>
    <x v="19"/>
    <x v="0"/>
    <x v="0"/>
    <x v="1"/>
    <x v="1"/>
  </r>
  <r>
    <x v="428"/>
    <x v="1"/>
    <x v="25"/>
    <x v="437"/>
    <x v="973"/>
    <x v="457"/>
    <x v="1"/>
    <x v="0"/>
    <x v="411"/>
    <x v="0"/>
    <x v="0"/>
    <x v="0"/>
    <x v="0"/>
    <x v="0"/>
    <x v="3"/>
    <x v="457"/>
    <x v="446"/>
    <x v="437"/>
    <x v="2"/>
    <x v="10"/>
    <x v="0"/>
    <x v="2"/>
    <x v="15"/>
    <x v="0"/>
    <x v="0"/>
    <x v="0"/>
    <x v="19"/>
    <x v="0"/>
    <x v="0"/>
    <x v="1"/>
    <x v="1"/>
  </r>
  <r>
    <x v="429"/>
    <x v="1"/>
    <x v="25"/>
    <x v="438"/>
    <x v="976"/>
    <x v="458"/>
    <x v="1"/>
    <x v="0"/>
    <x v="412"/>
    <x v="0"/>
    <x v="0"/>
    <x v="0"/>
    <x v="0"/>
    <x v="0"/>
    <x v="3"/>
    <x v="458"/>
    <x v="447"/>
    <x v="438"/>
    <x v="2"/>
    <x v="10"/>
    <x v="0"/>
    <x v="2"/>
    <x v="15"/>
    <x v="0"/>
    <x v="0"/>
    <x v="0"/>
    <x v="19"/>
    <x v="0"/>
    <x v="0"/>
    <x v="1"/>
    <x v="1"/>
  </r>
  <r>
    <x v="430"/>
    <x v="1"/>
    <x v="25"/>
    <x v="439"/>
    <x v="968"/>
    <x v="455"/>
    <x v="1"/>
    <x v="0"/>
    <x v="413"/>
    <x v="0"/>
    <x v="0"/>
    <x v="0"/>
    <x v="0"/>
    <x v="0"/>
    <x v="3"/>
    <x v="455"/>
    <x v="444"/>
    <x v="439"/>
    <x v="2"/>
    <x v="10"/>
    <x v="0"/>
    <x v="2"/>
    <x v="15"/>
    <x v="0"/>
    <x v="0"/>
    <x v="0"/>
    <x v="19"/>
    <x v="0"/>
    <x v="0"/>
    <x v="1"/>
    <x v="1"/>
  </r>
  <r>
    <x v="457"/>
    <x v="1"/>
    <x v="25"/>
    <x v="440"/>
    <x v="980"/>
    <x v="459"/>
    <x v="1"/>
    <x v="0"/>
    <x v="440"/>
    <x v="0"/>
    <x v="0"/>
    <x v="0"/>
    <x v="0"/>
    <x v="0"/>
    <x v="3"/>
    <x v="459"/>
    <x v="448"/>
    <x v="440"/>
    <x v="2"/>
    <x v="10"/>
    <x v="0"/>
    <x v="2"/>
    <x v="15"/>
    <x v="0"/>
    <x v="0"/>
    <x v="0"/>
    <x v="19"/>
    <x v="0"/>
    <x v="0"/>
    <x v="1"/>
    <x v="1"/>
  </r>
  <r>
    <x v="458"/>
    <x v="1"/>
    <x v="25"/>
    <x v="441"/>
    <x v="985"/>
    <x v="461"/>
    <x v="1"/>
    <x v="0"/>
    <x v="441"/>
    <x v="0"/>
    <x v="0"/>
    <x v="0"/>
    <x v="0"/>
    <x v="0"/>
    <x v="3"/>
    <x v="461"/>
    <x v="450"/>
    <x v="441"/>
    <x v="2"/>
    <x v="10"/>
    <x v="0"/>
    <x v="2"/>
    <x v="15"/>
    <x v="0"/>
    <x v="0"/>
    <x v="0"/>
    <x v="19"/>
    <x v="0"/>
    <x v="0"/>
    <x v="1"/>
    <x v="1"/>
  </r>
  <r>
    <x v="378"/>
    <x v="1"/>
    <x v="25"/>
    <x v="362"/>
    <x v="120"/>
    <x v="464"/>
    <x v="1"/>
    <x v="0"/>
    <x v="361"/>
    <x v="0"/>
    <x v="0"/>
    <x v="0"/>
    <x v="0"/>
    <x v="0"/>
    <x v="1"/>
    <x v="464"/>
    <x v="453"/>
    <x v="362"/>
    <x v="2"/>
    <x v="10"/>
    <x v="0"/>
    <x v="3"/>
    <x v="14"/>
    <x v="0"/>
    <x v="0"/>
    <x v="0"/>
    <x v="20"/>
    <x v="0"/>
    <x v="0"/>
    <x v="1"/>
    <x v="1"/>
  </r>
  <r>
    <x v="93"/>
    <x v="0"/>
    <x v="6"/>
    <x v="50"/>
    <x v="1350"/>
    <x v="20"/>
    <x v="1"/>
    <x v="0"/>
    <x v="90"/>
    <x v="0"/>
    <x v="0"/>
    <x v="0"/>
    <x v="0"/>
    <x v="0"/>
    <x v="5"/>
    <x v="20"/>
    <x v="16"/>
    <x v="50"/>
    <x v="3"/>
    <x v="10"/>
    <x v="0"/>
    <x v="4"/>
    <x v="3"/>
    <x v="0"/>
    <x v="0"/>
    <x v="0"/>
    <x v="3"/>
    <x v="0"/>
    <x v="0"/>
    <x v="1"/>
    <x v="1"/>
  </r>
  <r>
    <x v="70"/>
    <x v="0"/>
    <x v="10"/>
    <x v="49"/>
    <x v="1351"/>
    <x v="21"/>
    <x v="1"/>
    <x v="0"/>
    <x v="67"/>
    <x v="0"/>
    <x v="0"/>
    <x v="0"/>
    <x v="0"/>
    <x v="0"/>
    <x v="5"/>
    <x v="21"/>
    <x v="17"/>
    <x v="49"/>
    <x v="3"/>
    <x v="10"/>
    <x v="0"/>
    <x v="4"/>
    <x v="3"/>
    <x v="0"/>
    <x v="0"/>
    <x v="0"/>
    <x v="4"/>
    <x v="0"/>
    <x v="0"/>
    <x v="1"/>
    <x v="1"/>
  </r>
  <r>
    <x v="376"/>
    <x v="1"/>
    <x v="25"/>
    <x v="188"/>
    <x v="125"/>
    <x v="465"/>
    <x v="1"/>
    <x v="0"/>
    <x v="359"/>
    <x v="0"/>
    <x v="0"/>
    <x v="0"/>
    <x v="0"/>
    <x v="0"/>
    <x v="6"/>
    <x v="465"/>
    <x v="454"/>
    <x v="188"/>
    <x v="2"/>
    <x v="10"/>
    <x v="0"/>
    <x v="5"/>
    <x v="5"/>
    <x v="0"/>
    <x v="0"/>
    <x v="0"/>
    <x v="20"/>
    <x v="0"/>
    <x v="0"/>
    <x v="1"/>
    <x v="1"/>
  </r>
  <r>
    <x v="373"/>
    <x v="1"/>
    <x v="25"/>
    <x v="189"/>
    <x v="126"/>
    <x v="469"/>
    <x v="1"/>
    <x v="0"/>
    <x v="356"/>
    <x v="0"/>
    <x v="0"/>
    <x v="0"/>
    <x v="0"/>
    <x v="0"/>
    <x v="0"/>
    <x v="469"/>
    <x v="457"/>
    <x v="189"/>
    <x v="1"/>
    <x v="10"/>
    <x v="0"/>
    <x v="6"/>
    <x v="6"/>
    <x v="0"/>
    <x v="0"/>
    <x v="0"/>
    <x v="23"/>
    <x v="0"/>
    <x v="0"/>
    <x v="1"/>
    <x v="1"/>
  </r>
  <r>
    <x v="374"/>
    <x v="1"/>
    <x v="25"/>
    <x v="190"/>
    <x v="126"/>
    <x v="1156"/>
    <x v="1"/>
    <x v="0"/>
    <x v="357"/>
    <x v="0"/>
    <x v="0"/>
    <x v="0"/>
    <x v="0"/>
    <x v="0"/>
    <x v="7"/>
    <x v="1156"/>
    <x v="1144"/>
    <x v="190"/>
    <x v="1"/>
    <x v="10"/>
    <x v="0"/>
    <x v="7"/>
    <x v="7"/>
    <x v="0"/>
    <x v="0"/>
    <x v="0"/>
    <x v="27"/>
    <x v="0"/>
    <x v="0"/>
    <x v="1"/>
    <x v="1"/>
  </r>
  <r>
    <x v="77"/>
    <x v="0"/>
    <x v="17"/>
    <x v="125"/>
    <x v="1048"/>
    <x v="68"/>
    <x v="0"/>
    <x v="0"/>
    <x v="74"/>
    <x v="0"/>
    <x v="0"/>
    <x v="0"/>
    <x v="0"/>
    <x v="0"/>
    <x v="8"/>
    <x v="68"/>
    <x v="64"/>
    <x v="125"/>
    <x v="3"/>
    <x v="10"/>
    <x v="0"/>
    <x v="8"/>
    <x v="4"/>
    <x v="0"/>
    <x v="0"/>
    <x v="0"/>
    <x v="4"/>
    <x v="0"/>
    <x v="0"/>
    <x v="0"/>
    <x v="0"/>
  </r>
  <r>
    <x v="88"/>
    <x v="0"/>
    <x v="17"/>
    <x v="136"/>
    <x v="1049"/>
    <x v="69"/>
    <x v="0"/>
    <x v="0"/>
    <x v="85"/>
    <x v="0"/>
    <x v="0"/>
    <x v="0"/>
    <x v="0"/>
    <x v="0"/>
    <x v="8"/>
    <x v="69"/>
    <x v="65"/>
    <x v="136"/>
    <x v="3"/>
    <x v="10"/>
    <x v="0"/>
    <x v="8"/>
    <x v="4"/>
    <x v="0"/>
    <x v="0"/>
    <x v="0"/>
    <x v="4"/>
    <x v="0"/>
    <x v="0"/>
    <x v="0"/>
    <x v="0"/>
  </r>
  <r>
    <x v="90"/>
    <x v="0"/>
    <x v="17"/>
    <x v="138"/>
    <x v="1050"/>
    <x v="70"/>
    <x v="0"/>
    <x v="0"/>
    <x v="87"/>
    <x v="0"/>
    <x v="0"/>
    <x v="0"/>
    <x v="0"/>
    <x v="0"/>
    <x v="8"/>
    <x v="70"/>
    <x v="66"/>
    <x v="138"/>
    <x v="3"/>
    <x v="10"/>
    <x v="0"/>
    <x v="8"/>
    <x v="4"/>
    <x v="0"/>
    <x v="0"/>
    <x v="0"/>
    <x v="4"/>
    <x v="0"/>
    <x v="0"/>
    <x v="0"/>
    <x v="0"/>
  </r>
  <r>
    <x v="82"/>
    <x v="0"/>
    <x v="17"/>
    <x v="130"/>
    <x v="1051"/>
    <x v="71"/>
    <x v="0"/>
    <x v="0"/>
    <x v="79"/>
    <x v="0"/>
    <x v="0"/>
    <x v="0"/>
    <x v="0"/>
    <x v="0"/>
    <x v="8"/>
    <x v="71"/>
    <x v="67"/>
    <x v="130"/>
    <x v="3"/>
    <x v="10"/>
    <x v="0"/>
    <x v="8"/>
    <x v="4"/>
    <x v="0"/>
    <x v="0"/>
    <x v="0"/>
    <x v="4"/>
    <x v="0"/>
    <x v="0"/>
    <x v="0"/>
    <x v="0"/>
  </r>
  <r>
    <x v="87"/>
    <x v="0"/>
    <x v="17"/>
    <x v="135"/>
    <x v="1052"/>
    <x v="72"/>
    <x v="0"/>
    <x v="0"/>
    <x v="84"/>
    <x v="0"/>
    <x v="0"/>
    <x v="0"/>
    <x v="0"/>
    <x v="0"/>
    <x v="8"/>
    <x v="72"/>
    <x v="68"/>
    <x v="135"/>
    <x v="3"/>
    <x v="10"/>
    <x v="0"/>
    <x v="8"/>
    <x v="4"/>
    <x v="0"/>
    <x v="0"/>
    <x v="0"/>
    <x v="4"/>
    <x v="0"/>
    <x v="0"/>
    <x v="0"/>
    <x v="0"/>
  </r>
  <r>
    <x v="81"/>
    <x v="0"/>
    <x v="17"/>
    <x v="129"/>
    <x v="1053"/>
    <x v="73"/>
    <x v="0"/>
    <x v="0"/>
    <x v="78"/>
    <x v="0"/>
    <x v="0"/>
    <x v="0"/>
    <x v="0"/>
    <x v="0"/>
    <x v="8"/>
    <x v="73"/>
    <x v="69"/>
    <x v="129"/>
    <x v="3"/>
    <x v="10"/>
    <x v="0"/>
    <x v="8"/>
    <x v="4"/>
    <x v="0"/>
    <x v="0"/>
    <x v="0"/>
    <x v="4"/>
    <x v="0"/>
    <x v="0"/>
    <x v="0"/>
    <x v="0"/>
  </r>
  <r>
    <x v="78"/>
    <x v="0"/>
    <x v="17"/>
    <x v="126"/>
    <x v="1054"/>
    <x v="74"/>
    <x v="0"/>
    <x v="0"/>
    <x v="75"/>
    <x v="0"/>
    <x v="0"/>
    <x v="0"/>
    <x v="0"/>
    <x v="0"/>
    <x v="8"/>
    <x v="74"/>
    <x v="70"/>
    <x v="126"/>
    <x v="3"/>
    <x v="10"/>
    <x v="0"/>
    <x v="8"/>
    <x v="4"/>
    <x v="0"/>
    <x v="0"/>
    <x v="0"/>
    <x v="4"/>
    <x v="0"/>
    <x v="0"/>
    <x v="0"/>
    <x v="0"/>
  </r>
  <r>
    <x v="75"/>
    <x v="0"/>
    <x v="17"/>
    <x v="123"/>
    <x v="1055"/>
    <x v="75"/>
    <x v="0"/>
    <x v="0"/>
    <x v="72"/>
    <x v="0"/>
    <x v="0"/>
    <x v="0"/>
    <x v="0"/>
    <x v="0"/>
    <x v="8"/>
    <x v="75"/>
    <x v="71"/>
    <x v="123"/>
    <x v="3"/>
    <x v="10"/>
    <x v="0"/>
    <x v="8"/>
    <x v="4"/>
    <x v="0"/>
    <x v="0"/>
    <x v="0"/>
    <x v="4"/>
    <x v="0"/>
    <x v="0"/>
    <x v="0"/>
    <x v="0"/>
  </r>
  <r>
    <x v="73"/>
    <x v="0"/>
    <x v="17"/>
    <x v="121"/>
    <x v="1056"/>
    <x v="76"/>
    <x v="0"/>
    <x v="0"/>
    <x v="70"/>
    <x v="0"/>
    <x v="0"/>
    <x v="0"/>
    <x v="0"/>
    <x v="0"/>
    <x v="8"/>
    <x v="76"/>
    <x v="72"/>
    <x v="121"/>
    <x v="3"/>
    <x v="10"/>
    <x v="0"/>
    <x v="8"/>
    <x v="4"/>
    <x v="0"/>
    <x v="0"/>
    <x v="0"/>
    <x v="4"/>
    <x v="0"/>
    <x v="0"/>
    <x v="0"/>
    <x v="0"/>
  </r>
  <r>
    <x v="92"/>
    <x v="0"/>
    <x v="17"/>
    <x v="140"/>
    <x v="1057"/>
    <x v="77"/>
    <x v="0"/>
    <x v="0"/>
    <x v="89"/>
    <x v="0"/>
    <x v="0"/>
    <x v="0"/>
    <x v="0"/>
    <x v="0"/>
    <x v="8"/>
    <x v="77"/>
    <x v="73"/>
    <x v="140"/>
    <x v="3"/>
    <x v="10"/>
    <x v="0"/>
    <x v="8"/>
    <x v="4"/>
    <x v="0"/>
    <x v="0"/>
    <x v="0"/>
    <x v="4"/>
    <x v="0"/>
    <x v="0"/>
    <x v="0"/>
    <x v="0"/>
  </r>
  <r>
    <x v="85"/>
    <x v="0"/>
    <x v="17"/>
    <x v="133"/>
    <x v="1058"/>
    <x v="78"/>
    <x v="0"/>
    <x v="0"/>
    <x v="82"/>
    <x v="0"/>
    <x v="0"/>
    <x v="0"/>
    <x v="0"/>
    <x v="0"/>
    <x v="8"/>
    <x v="78"/>
    <x v="74"/>
    <x v="133"/>
    <x v="3"/>
    <x v="10"/>
    <x v="0"/>
    <x v="8"/>
    <x v="4"/>
    <x v="0"/>
    <x v="0"/>
    <x v="0"/>
    <x v="4"/>
    <x v="0"/>
    <x v="0"/>
    <x v="0"/>
    <x v="0"/>
  </r>
  <r>
    <x v="76"/>
    <x v="0"/>
    <x v="17"/>
    <x v="124"/>
    <x v="1059"/>
    <x v="79"/>
    <x v="0"/>
    <x v="0"/>
    <x v="73"/>
    <x v="0"/>
    <x v="0"/>
    <x v="0"/>
    <x v="0"/>
    <x v="0"/>
    <x v="8"/>
    <x v="79"/>
    <x v="75"/>
    <x v="124"/>
    <x v="3"/>
    <x v="10"/>
    <x v="0"/>
    <x v="8"/>
    <x v="4"/>
    <x v="0"/>
    <x v="0"/>
    <x v="0"/>
    <x v="4"/>
    <x v="0"/>
    <x v="0"/>
    <x v="0"/>
    <x v="0"/>
  </r>
  <r>
    <x v="84"/>
    <x v="0"/>
    <x v="17"/>
    <x v="132"/>
    <x v="1060"/>
    <x v="80"/>
    <x v="0"/>
    <x v="0"/>
    <x v="81"/>
    <x v="0"/>
    <x v="0"/>
    <x v="0"/>
    <x v="0"/>
    <x v="0"/>
    <x v="8"/>
    <x v="80"/>
    <x v="76"/>
    <x v="132"/>
    <x v="3"/>
    <x v="10"/>
    <x v="0"/>
    <x v="8"/>
    <x v="4"/>
    <x v="0"/>
    <x v="0"/>
    <x v="0"/>
    <x v="4"/>
    <x v="0"/>
    <x v="0"/>
    <x v="0"/>
    <x v="0"/>
  </r>
  <r>
    <x v="80"/>
    <x v="0"/>
    <x v="17"/>
    <x v="128"/>
    <x v="1061"/>
    <x v="81"/>
    <x v="0"/>
    <x v="0"/>
    <x v="77"/>
    <x v="0"/>
    <x v="0"/>
    <x v="0"/>
    <x v="0"/>
    <x v="0"/>
    <x v="8"/>
    <x v="81"/>
    <x v="77"/>
    <x v="128"/>
    <x v="3"/>
    <x v="10"/>
    <x v="0"/>
    <x v="8"/>
    <x v="4"/>
    <x v="0"/>
    <x v="0"/>
    <x v="0"/>
    <x v="4"/>
    <x v="0"/>
    <x v="0"/>
    <x v="0"/>
    <x v="0"/>
  </r>
  <r>
    <x v="79"/>
    <x v="0"/>
    <x v="17"/>
    <x v="127"/>
    <x v="1062"/>
    <x v="82"/>
    <x v="0"/>
    <x v="0"/>
    <x v="76"/>
    <x v="0"/>
    <x v="0"/>
    <x v="0"/>
    <x v="0"/>
    <x v="0"/>
    <x v="8"/>
    <x v="82"/>
    <x v="78"/>
    <x v="127"/>
    <x v="3"/>
    <x v="10"/>
    <x v="0"/>
    <x v="8"/>
    <x v="4"/>
    <x v="0"/>
    <x v="0"/>
    <x v="0"/>
    <x v="4"/>
    <x v="0"/>
    <x v="0"/>
    <x v="0"/>
    <x v="0"/>
  </r>
  <r>
    <x v="86"/>
    <x v="0"/>
    <x v="17"/>
    <x v="134"/>
    <x v="1063"/>
    <x v="83"/>
    <x v="0"/>
    <x v="0"/>
    <x v="83"/>
    <x v="0"/>
    <x v="0"/>
    <x v="0"/>
    <x v="0"/>
    <x v="0"/>
    <x v="8"/>
    <x v="83"/>
    <x v="79"/>
    <x v="134"/>
    <x v="3"/>
    <x v="10"/>
    <x v="0"/>
    <x v="8"/>
    <x v="4"/>
    <x v="0"/>
    <x v="0"/>
    <x v="0"/>
    <x v="4"/>
    <x v="0"/>
    <x v="0"/>
    <x v="0"/>
    <x v="0"/>
  </r>
  <r>
    <x v="83"/>
    <x v="0"/>
    <x v="17"/>
    <x v="131"/>
    <x v="1064"/>
    <x v="84"/>
    <x v="0"/>
    <x v="0"/>
    <x v="80"/>
    <x v="0"/>
    <x v="0"/>
    <x v="0"/>
    <x v="0"/>
    <x v="0"/>
    <x v="8"/>
    <x v="84"/>
    <x v="80"/>
    <x v="131"/>
    <x v="3"/>
    <x v="10"/>
    <x v="0"/>
    <x v="8"/>
    <x v="4"/>
    <x v="0"/>
    <x v="0"/>
    <x v="0"/>
    <x v="4"/>
    <x v="0"/>
    <x v="0"/>
    <x v="0"/>
    <x v="0"/>
  </r>
  <r>
    <x v="72"/>
    <x v="0"/>
    <x v="17"/>
    <x v="120"/>
    <x v="1065"/>
    <x v="85"/>
    <x v="0"/>
    <x v="0"/>
    <x v="69"/>
    <x v="0"/>
    <x v="0"/>
    <x v="0"/>
    <x v="0"/>
    <x v="0"/>
    <x v="8"/>
    <x v="85"/>
    <x v="81"/>
    <x v="120"/>
    <x v="3"/>
    <x v="10"/>
    <x v="0"/>
    <x v="8"/>
    <x v="4"/>
    <x v="0"/>
    <x v="0"/>
    <x v="0"/>
    <x v="4"/>
    <x v="0"/>
    <x v="0"/>
    <x v="0"/>
    <x v="0"/>
  </r>
  <r>
    <x v="71"/>
    <x v="0"/>
    <x v="17"/>
    <x v="119"/>
    <x v="1066"/>
    <x v="86"/>
    <x v="0"/>
    <x v="0"/>
    <x v="68"/>
    <x v="0"/>
    <x v="0"/>
    <x v="0"/>
    <x v="0"/>
    <x v="0"/>
    <x v="8"/>
    <x v="86"/>
    <x v="82"/>
    <x v="119"/>
    <x v="3"/>
    <x v="10"/>
    <x v="0"/>
    <x v="8"/>
    <x v="4"/>
    <x v="0"/>
    <x v="0"/>
    <x v="0"/>
    <x v="4"/>
    <x v="0"/>
    <x v="0"/>
    <x v="0"/>
    <x v="0"/>
  </r>
  <r>
    <x v="89"/>
    <x v="0"/>
    <x v="17"/>
    <x v="137"/>
    <x v="1067"/>
    <x v="87"/>
    <x v="0"/>
    <x v="0"/>
    <x v="86"/>
    <x v="0"/>
    <x v="0"/>
    <x v="0"/>
    <x v="0"/>
    <x v="0"/>
    <x v="8"/>
    <x v="87"/>
    <x v="83"/>
    <x v="137"/>
    <x v="3"/>
    <x v="10"/>
    <x v="0"/>
    <x v="8"/>
    <x v="4"/>
    <x v="0"/>
    <x v="0"/>
    <x v="0"/>
    <x v="4"/>
    <x v="0"/>
    <x v="0"/>
    <x v="0"/>
    <x v="0"/>
  </r>
  <r>
    <x v="74"/>
    <x v="0"/>
    <x v="17"/>
    <x v="122"/>
    <x v="1068"/>
    <x v="88"/>
    <x v="0"/>
    <x v="0"/>
    <x v="71"/>
    <x v="0"/>
    <x v="0"/>
    <x v="0"/>
    <x v="0"/>
    <x v="0"/>
    <x v="8"/>
    <x v="88"/>
    <x v="84"/>
    <x v="122"/>
    <x v="3"/>
    <x v="10"/>
    <x v="0"/>
    <x v="8"/>
    <x v="4"/>
    <x v="0"/>
    <x v="0"/>
    <x v="0"/>
    <x v="4"/>
    <x v="0"/>
    <x v="0"/>
    <x v="0"/>
    <x v="0"/>
  </r>
  <r>
    <x v="91"/>
    <x v="0"/>
    <x v="17"/>
    <x v="139"/>
    <x v="1069"/>
    <x v="89"/>
    <x v="0"/>
    <x v="0"/>
    <x v="88"/>
    <x v="0"/>
    <x v="0"/>
    <x v="0"/>
    <x v="0"/>
    <x v="0"/>
    <x v="8"/>
    <x v="89"/>
    <x v="85"/>
    <x v="139"/>
    <x v="3"/>
    <x v="10"/>
    <x v="0"/>
    <x v="8"/>
    <x v="4"/>
    <x v="0"/>
    <x v="0"/>
    <x v="0"/>
    <x v="4"/>
    <x v="0"/>
    <x v="0"/>
    <x v="0"/>
    <x v="0"/>
  </r>
  <r>
    <x v="54"/>
    <x v="0"/>
    <x v="16"/>
    <x v="103"/>
    <x v="1070"/>
    <x v="112"/>
    <x v="0"/>
    <x v="0"/>
    <x v="51"/>
    <x v="0"/>
    <x v="0"/>
    <x v="0"/>
    <x v="0"/>
    <x v="0"/>
    <x v="8"/>
    <x v="112"/>
    <x v="108"/>
    <x v="103"/>
    <x v="3"/>
    <x v="10"/>
    <x v="0"/>
    <x v="8"/>
    <x v="4"/>
    <x v="0"/>
    <x v="0"/>
    <x v="0"/>
    <x v="1"/>
    <x v="0"/>
    <x v="0"/>
    <x v="0"/>
    <x v="0"/>
  </r>
  <r>
    <x v="65"/>
    <x v="0"/>
    <x v="16"/>
    <x v="114"/>
    <x v="1071"/>
    <x v="113"/>
    <x v="0"/>
    <x v="0"/>
    <x v="62"/>
    <x v="0"/>
    <x v="0"/>
    <x v="0"/>
    <x v="0"/>
    <x v="0"/>
    <x v="8"/>
    <x v="113"/>
    <x v="109"/>
    <x v="114"/>
    <x v="3"/>
    <x v="10"/>
    <x v="0"/>
    <x v="8"/>
    <x v="4"/>
    <x v="0"/>
    <x v="0"/>
    <x v="0"/>
    <x v="1"/>
    <x v="0"/>
    <x v="0"/>
    <x v="0"/>
    <x v="0"/>
  </r>
  <r>
    <x v="67"/>
    <x v="0"/>
    <x v="16"/>
    <x v="116"/>
    <x v="1072"/>
    <x v="114"/>
    <x v="0"/>
    <x v="0"/>
    <x v="64"/>
    <x v="0"/>
    <x v="0"/>
    <x v="0"/>
    <x v="0"/>
    <x v="0"/>
    <x v="8"/>
    <x v="114"/>
    <x v="110"/>
    <x v="116"/>
    <x v="3"/>
    <x v="10"/>
    <x v="0"/>
    <x v="8"/>
    <x v="4"/>
    <x v="0"/>
    <x v="0"/>
    <x v="0"/>
    <x v="1"/>
    <x v="0"/>
    <x v="0"/>
    <x v="0"/>
    <x v="0"/>
  </r>
  <r>
    <x v="59"/>
    <x v="0"/>
    <x v="16"/>
    <x v="108"/>
    <x v="1073"/>
    <x v="115"/>
    <x v="0"/>
    <x v="0"/>
    <x v="56"/>
    <x v="0"/>
    <x v="0"/>
    <x v="0"/>
    <x v="0"/>
    <x v="0"/>
    <x v="8"/>
    <x v="115"/>
    <x v="111"/>
    <x v="108"/>
    <x v="3"/>
    <x v="10"/>
    <x v="0"/>
    <x v="8"/>
    <x v="4"/>
    <x v="0"/>
    <x v="0"/>
    <x v="0"/>
    <x v="1"/>
    <x v="0"/>
    <x v="0"/>
    <x v="0"/>
    <x v="0"/>
  </r>
  <r>
    <x v="64"/>
    <x v="0"/>
    <x v="16"/>
    <x v="113"/>
    <x v="1074"/>
    <x v="116"/>
    <x v="0"/>
    <x v="0"/>
    <x v="61"/>
    <x v="0"/>
    <x v="0"/>
    <x v="0"/>
    <x v="0"/>
    <x v="0"/>
    <x v="8"/>
    <x v="116"/>
    <x v="112"/>
    <x v="113"/>
    <x v="3"/>
    <x v="10"/>
    <x v="0"/>
    <x v="8"/>
    <x v="4"/>
    <x v="0"/>
    <x v="0"/>
    <x v="0"/>
    <x v="1"/>
    <x v="0"/>
    <x v="0"/>
    <x v="0"/>
    <x v="0"/>
  </r>
  <r>
    <x v="58"/>
    <x v="0"/>
    <x v="16"/>
    <x v="107"/>
    <x v="1075"/>
    <x v="117"/>
    <x v="0"/>
    <x v="0"/>
    <x v="55"/>
    <x v="0"/>
    <x v="0"/>
    <x v="0"/>
    <x v="0"/>
    <x v="0"/>
    <x v="8"/>
    <x v="117"/>
    <x v="113"/>
    <x v="107"/>
    <x v="3"/>
    <x v="10"/>
    <x v="0"/>
    <x v="8"/>
    <x v="4"/>
    <x v="0"/>
    <x v="0"/>
    <x v="0"/>
    <x v="1"/>
    <x v="0"/>
    <x v="0"/>
    <x v="0"/>
    <x v="0"/>
  </r>
  <r>
    <x v="55"/>
    <x v="0"/>
    <x v="16"/>
    <x v="104"/>
    <x v="1076"/>
    <x v="118"/>
    <x v="0"/>
    <x v="0"/>
    <x v="52"/>
    <x v="0"/>
    <x v="0"/>
    <x v="0"/>
    <x v="0"/>
    <x v="0"/>
    <x v="8"/>
    <x v="118"/>
    <x v="114"/>
    <x v="104"/>
    <x v="3"/>
    <x v="10"/>
    <x v="0"/>
    <x v="8"/>
    <x v="4"/>
    <x v="0"/>
    <x v="0"/>
    <x v="0"/>
    <x v="1"/>
    <x v="0"/>
    <x v="0"/>
    <x v="0"/>
    <x v="0"/>
  </r>
  <r>
    <x v="52"/>
    <x v="0"/>
    <x v="16"/>
    <x v="101"/>
    <x v="1077"/>
    <x v="119"/>
    <x v="0"/>
    <x v="0"/>
    <x v="49"/>
    <x v="0"/>
    <x v="0"/>
    <x v="0"/>
    <x v="0"/>
    <x v="0"/>
    <x v="8"/>
    <x v="119"/>
    <x v="115"/>
    <x v="101"/>
    <x v="3"/>
    <x v="10"/>
    <x v="0"/>
    <x v="8"/>
    <x v="4"/>
    <x v="0"/>
    <x v="0"/>
    <x v="0"/>
    <x v="1"/>
    <x v="0"/>
    <x v="0"/>
    <x v="0"/>
    <x v="0"/>
  </r>
  <r>
    <x v="50"/>
    <x v="0"/>
    <x v="16"/>
    <x v="99"/>
    <x v="1078"/>
    <x v="120"/>
    <x v="0"/>
    <x v="0"/>
    <x v="47"/>
    <x v="0"/>
    <x v="0"/>
    <x v="0"/>
    <x v="0"/>
    <x v="0"/>
    <x v="8"/>
    <x v="120"/>
    <x v="116"/>
    <x v="99"/>
    <x v="3"/>
    <x v="10"/>
    <x v="0"/>
    <x v="8"/>
    <x v="4"/>
    <x v="0"/>
    <x v="0"/>
    <x v="0"/>
    <x v="1"/>
    <x v="0"/>
    <x v="0"/>
    <x v="0"/>
    <x v="0"/>
  </r>
  <r>
    <x v="69"/>
    <x v="0"/>
    <x v="16"/>
    <x v="118"/>
    <x v="1079"/>
    <x v="121"/>
    <x v="0"/>
    <x v="0"/>
    <x v="66"/>
    <x v="0"/>
    <x v="0"/>
    <x v="0"/>
    <x v="0"/>
    <x v="0"/>
    <x v="8"/>
    <x v="121"/>
    <x v="117"/>
    <x v="118"/>
    <x v="3"/>
    <x v="10"/>
    <x v="0"/>
    <x v="8"/>
    <x v="4"/>
    <x v="0"/>
    <x v="0"/>
    <x v="0"/>
    <x v="1"/>
    <x v="0"/>
    <x v="0"/>
    <x v="0"/>
    <x v="0"/>
  </r>
  <r>
    <x v="62"/>
    <x v="0"/>
    <x v="16"/>
    <x v="111"/>
    <x v="1080"/>
    <x v="122"/>
    <x v="0"/>
    <x v="0"/>
    <x v="59"/>
    <x v="0"/>
    <x v="0"/>
    <x v="0"/>
    <x v="0"/>
    <x v="0"/>
    <x v="8"/>
    <x v="122"/>
    <x v="118"/>
    <x v="111"/>
    <x v="3"/>
    <x v="10"/>
    <x v="0"/>
    <x v="8"/>
    <x v="4"/>
    <x v="0"/>
    <x v="0"/>
    <x v="0"/>
    <x v="1"/>
    <x v="0"/>
    <x v="0"/>
    <x v="0"/>
    <x v="0"/>
  </r>
  <r>
    <x v="53"/>
    <x v="0"/>
    <x v="16"/>
    <x v="102"/>
    <x v="1081"/>
    <x v="123"/>
    <x v="0"/>
    <x v="0"/>
    <x v="50"/>
    <x v="0"/>
    <x v="0"/>
    <x v="0"/>
    <x v="0"/>
    <x v="0"/>
    <x v="8"/>
    <x v="123"/>
    <x v="119"/>
    <x v="102"/>
    <x v="3"/>
    <x v="10"/>
    <x v="0"/>
    <x v="8"/>
    <x v="4"/>
    <x v="0"/>
    <x v="0"/>
    <x v="0"/>
    <x v="1"/>
    <x v="0"/>
    <x v="0"/>
    <x v="0"/>
    <x v="0"/>
  </r>
  <r>
    <x v="61"/>
    <x v="0"/>
    <x v="16"/>
    <x v="110"/>
    <x v="1082"/>
    <x v="124"/>
    <x v="0"/>
    <x v="0"/>
    <x v="58"/>
    <x v="0"/>
    <x v="0"/>
    <x v="0"/>
    <x v="0"/>
    <x v="0"/>
    <x v="8"/>
    <x v="124"/>
    <x v="120"/>
    <x v="110"/>
    <x v="3"/>
    <x v="10"/>
    <x v="0"/>
    <x v="8"/>
    <x v="4"/>
    <x v="0"/>
    <x v="0"/>
    <x v="0"/>
    <x v="1"/>
    <x v="0"/>
    <x v="0"/>
    <x v="0"/>
    <x v="0"/>
  </r>
  <r>
    <x v="57"/>
    <x v="0"/>
    <x v="16"/>
    <x v="106"/>
    <x v="1083"/>
    <x v="125"/>
    <x v="0"/>
    <x v="0"/>
    <x v="54"/>
    <x v="0"/>
    <x v="0"/>
    <x v="0"/>
    <x v="0"/>
    <x v="0"/>
    <x v="8"/>
    <x v="125"/>
    <x v="121"/>
    <x v="106"/>
    <x v="3"/>
    <x v="10"/>
    <x v="0"/>
    <x v="8"/>
    <x v="4"/>
    <x v="0"/>
    <x v="0"/>
    <x v="0"/>
    <x v="1"/>
    <x v="0"/>
    <x v="0"/>
    <x v="0"/>
    <x v="0"/>
  </r>
  <r>
    <x v="56"/>
    <x v="0"/>
    <x v="16"/>
    <x v="105"/>
    <x v="1084"/>
    <x v="126"/>
    <x v="0"/>
    <x v="0"/>
    <x v="53"/>
    <x v="0"/>
    <x v="0"/>
    <x v="0"/>
    <x v="0"/>
    <x v="0"/>
    <x v="8"/>
    <x v="126"/>
    <x v="122"/>
    <x v="105"/>
    <x v="3"/>
    <x v="10"/>
    <x v="0"/>
    <x v="8"/>
    <x v="4"/>
    <x v="0"/>
    <x v="0"/>
    <x v="0"/>
    <x v="1"/>
    <x v="0"/>
    <x v="0"/>
    <x v="0"/>
    <x v="0"/>
  </r>
  <r>
    <x v="63"/>
    <x v="0"/>
    <x v="16"/>
    <x v="112"/>
    <x v="1085"/>
    <x v="127"/>
    <x v="0"/>
    <x v="0"/>
    <x v="60"/>
    <x v="0"/>
    <x v="0"/>
    <x v="0"/>
    <x v="0"/>
    <x v="0"/>
    <x v="8"/>
    <x v="127"/>
    <x v="123"/>
    <x v="112"/>
    <x v="3"/>
    <x v="10"/>
    <x v="0"/>
    <x v="8"/>
    <x v="4"/>
    <x v="0"/>
    <x v="0"/>
    <x v="0"/>
    <x v="1"/>
    <x v="0"/>
    <x v="0"/>
    <x v="0"/>
    <x v="0"/>
  </r>
  <r>
    <x v="60"/>
    <x v="0"/>
    <x v="16"/>
    <x v="109"/>
    <x v="1086"/>
    <x v="128"/>
    <x v="0"/>
    <x v="0"/>
    <x v="57"/>
    <x v="0"/>
    <x v="0"/>
    <x v="0"/>
    <x v="0"/>
    <x v="0"/>
    <x v="8"/>
    <x v="128"/>
    <x v="124"/>
    <x v="109"/>
    <x v="3"/>
    <x v="10"/>
    <x v="0"/>
    <x v="8"/>
    <x v="4"/>
    <x v="0"/>
    <x v="0"/>
    <x v="0"/>
    <x v="1"/>
    <x v="0"/>
    <x v="0"/>
    <x v="0"/>
    <x v="0"/>
  </r>
  <r>
    <x v="49"/>
    <x v="0"/>
    <x v="16"/>
    <x v="98"/>
    <x v="1087"/>
    <x v="129"/>
    <x v="0"/>
    <x v="0"/>
    <x v="46"/>
    <x v="0"/>
    <x v="0"/>
    <x v="0"/>
    <x v="0"/>
    <x v="0"/>
    <x v="8"/>
    <x v="129"/>
    <x v="125"/>
    <x v="98"/>
    <x v="3"/>
    <x v="10"/>
    <x v="0"/>
    <x v="8"/>
    <x v="4"/>
    <x v="0"/>
    <x v="0"/>
    <x v="0"/>
    <x v="1"/>
    <x v="0"/>
    <x v="0"/>
    <x v="0"/>
    <x v="0"/>
  </r>
  <r>
    <x v="48"/>
    <x v="0"/>
    <x v="16"/>
    <x v="97"/>
    <x v="1088"/>
    <x v="130"/>
    <x v="0"/>
    <x v="0"/>
    <x v="45"/>
    <x v="0"/>
    <x v="0"/>
    <x v="0"/>
    <x v="0"/>
    <x v="0"/>
    <x v="8"/>
    <x v="130"/>
    <x v="126"/>
    <x v="97"/>
    <x v="3"/>
    <x v="10"/>
    <x v="0"/>
    <x v="8"/>
    <x v="4"/>
    <x v="0"/>
    <x v="0"/>
    <x v="0"/>
    <x v="1"/>
    <x v="0"/>
    <x v="0"/>
    <x v="0"/>
    <x v="0"/>
  </r>
  <r>
    <x v="66"/>
    <x v="0"/>
    <x v="16"/>
    <x v="115"/>
    <x v="1089"/>
    <x v="131"/>
    <x v="0"/>
    <x v="0"/>
    <x v="63"/>
    <x v="0"/>
    <x v="0"/>
    <x v="0"/>
    <x v="0"/>
    <x v="0"/>
    <x v="8"/>
    <x v="131"/>
    <x v="127"/>
    <x v="115"/>
    <x v="3"/>
    <x v="10"/>
    <x v="0"/>
    <x v="8"/>
    <x v="4"/>
    <x v="0"/>
    <x v="0"/>
    <x v="0"/>
    <x v="1"/>
    <x v="0"/>
    <x v="0"/>
    <x v="0"/>
    <x v="0"/>
  </r>
  <r>
    <x v="51"/>
    <x v="0"/>
    <x v="16"/>
    <x v="100"/>
    <x v="1090"/>
    <x v="132"/>
    <x v="0"/>
    <x v="0"/>
    <x v="48"/>
    <x v="0"/>
    <x v="0"/>
    <x v="0"/>
    <x v="0"/>
    <x v="0"/>
    <x v="8"/>
    <x v="132"/>
    <x v="128"/>
    <x v="100"/>
    <x v="3"/>
    <x v="10"/>
    <x v="0"/>
    <x v="8"/>
    <x v="4"/>
    <x v="0"/>
    <x v="0"/>
    <x v="0"/>
    <x v="1"/>
    <x v="0"/>
    <x v="0"/>
    <x v="0"/>
    <x v="0"/>
  </r>
  <r>
    <x v="68"/>
    <x v="0"/>
    <x v="16"/>
    <x v="117"/>
    <x v="1091"/>
    <x v="133"/>
    <x v="0"/>
    <x v="0"/>
    <x v="65"/>
    <x v="0"/>
    <x v="0"/>
    <x v="0"/>
    <x v="0"/>
    <x v="0"/>
    <x v="8"/>
    <x v="133"/>
    <x v="129"/>
    <x v="117"/>
    <x v="3"/>
    <x v="10"/>
    <x v="0"/>
    <x v="8"/>
    <x v="4"/>
    <x v="0"/>
    <x v="0"/>
    <x v="0"/>
    <x v="1"/>
    <x v="0"/>
    <x v="0"/>
    <x v="0"/>
    <x v="0"/>
  </r>
  <r>
    <x v="334"/>
    <x v="0"/>
    <x v="3"/>
    <x v="141"/>
    <x v="1092"/>
    <x v="158"/>
    <x v="1"/>
    <x v="0"/>
    <x v="331"/>
    <x v="0"/>
    <x v="0"/>
    <x v="0"/>
    <x v="0"/>
    <x v="0"/>
    <x v="8"/>
    <x v="158"/>
    <x v="154"/>
    <x v="141"/>
    <x v="3"/>
    <x v="10"/>
    <x v="0"/>
    <x v="8"/>
    <x v="4"/>
    <x v="0"/>
    <x v="0"/>
    <x v="0"/>
    <x v="4"/>
    <x v="0"/>
    <x v="0"/>
    <x v="1"/>
    <x v="1"/>
  </r>
  <r>
    <x v="341"/>
    <x v="0"/>
    <x v="16"/>
    <x v="148"/>
    <x v="1093"/>
    <x v="45"/>
    <x v="0"/>
    <x v="0"/>
    <x v="338"/>
    <x v="0"/>
    <x v="0"/>
    <x v="0"/>
    <x v="0"/>
    <x v="0"/>
    <x v="8"/>
    <x v="45"/>
    <x v="41"/>
    <x v="148"/>
    <x v="3"/>
    <x v="10"/>
    <x v="0"/>
    <x v="8"/>
    <x v="4"/>
    <x v="0"/>
    <x v="0"/>
    <x v="0"/>
    <x v="4"/>
    <x v="0"/>
    <x v="0"/>
    <x v="0"/>
    <x v="0"/>
  </r>
  <r>
    <x v="352"/>
    <x v="0"/>
    <x v="16"/>
    <x v="159"/>
    <x v="1094"/>
    <x v="46"/>
    <x v="0"/>
    <x v="0"/>
    <x v="349"/>
    <x v="0"/>
    <x v="0"/>
    <x v="0"/>
    <x v="0"/>
    <x v="0"/>
    <x v="8"/>
    <x v="46"/>
    <x v="42"/>
    <x v="159"/>
    <x v="3"/>
    <x v="10"/>
    <x v="0"/>
    <x v="8"/>
    <x v="4"/>
    <x v="0"/>
    <x v="0"/>
    <x v="0"/>
    <x v="4"/>
    <x v="0"/>
    <x v="0"/>
    <x v="0"/>
    <x v="0"/>
  </r>
  <r>
    <x v="354"/>
    <x v="0"/>
    <x v="16"/>
    <x v="161"/>
    <x v="1095"/>
    <x v="47"/>
    <x v="0"/>
    <x v="0"/>
    <x v="351"/>
    <x v="0"/>
    <x v="0"/>
    <x v="0"/>
    <x v="0"/>
    <x v="0"/>
    <x v="8"/>
    <x v="47"/>
    <x v="43"/>
    <x v="161"/>
    <x v="3"/>
    <x v="10"/>
    <x v="0"/>
    <x v="8"/>
    <x v="4"/>
    <x v="0"/>
    <x v="0"/>
    <x v="0"/>
    <x v="4"/>
    <x v="0"/>
    <x v="0"/>
    <x v="0"/>
    <x v="0"/>
  </r>
  <r>
    <x v="346"/>
    <x v="0"/>
    <x v="16"/>
    <x v="153"/>
    <x v="1096"/>
    <x v="48"/>
    <x v="0"/>
    <x v="0"/>
    <x v="343"/>
    <x v="0"/>
    <x v="0"/>
    <x v="0"/>
    <x v="0"/>
    <x v="0"/>
    <x v="8"/>
    <x v="48"/>
    <x v="44"/>
    <x v="153"/>
    <x v="3"/>
    <x v="10"/>
    <x v="0"/>
    <x v="8"/>
    <x v="4"/>
    <x v="0"/>
    <x v="0"/>
    <x v="0"/>
    <x v="4"/>
    <x v="0"/>
    <x v="0"/>
    <x v="0"/>
    <x v="0"/>
  </r>
  <r>
    <x v="351"/>
    <x v="0"/>
    <x v="16"/>
    <x v="158"/>
    <x v="1097"/>
    <x v="49"/>
    <x v="0"/>
    <x v="0"/>
    <x v="348"/>
    <x v="0"/>
    <x v="0"/>
    <x v="0"/>
    <x v="0"/>
    <x v="0"/>
    <x v="8"/>
    <x v="49"/>
    <x v="45"/>
    <x v="158"/>
    <x v="3"/>
    <x v="10"/>
    <x v="0"/>
    <x v="8"/>
    <x v="4"/>
    <x v="0"/>
    <x v="0"/>
    <x v="0"/>
    <x v="4"/>
    <x v="0"/>
    <x v="0"/>
    <x v="0"/>
    <x v="0"/>
  </r>
  <r>
    <x v="345"/>
    <x v="0"/>
    <x v="16"/>
    <x v="152"/>
    <x v="1098"/>
    <x v="50"/>
    <x v="0"/>
    <x v="0"/>
    <x v="342"/>
    <x v="0"/>
    <x v="0"/>
    <x v="0"/>
    <x v="0"/>
    <x v="0"/>
    <x v="8"/>
    <x v="50"/>
    <x v="46"/>
    <x v="152"/>
    <x v="3"/>
    <x v="10"/>
    <x v="0"/>
    <x v="8"/>
    <x v="4"/>
    <x v="0"/>
    <x v="0"/>
    <x v="0"/>
    <x v="4"/>
    <x v="0"/>
    <x v="0"/>
    <x v="0"/>
    <x v="0"/>
  </r>
  <r>
    <x v="342"/>
    <x v="0"/>
    <x v="16"/>
    <x v="149"/>
    <x v="1099"/>
    <x v="51"/>
    <x v="0"/>
    <x v="0"/>
    <x v="339"/>
    <x v="0"/>
    <x v="0"/>
    <x v="0"/>
    <x v="0"/>
    <x v="0"/>
    <x v="8"/>
    <x v="51"/>
    <x v="47"/>
    <x v="149"/>
    <x v="3"/>
    <x v="10"/>
    <x v="0"/>
    <x v="8"/>
    <x v="4"/>
    <x v="0"/>
    <x v="0"/>
    <x v="0"/>
    <x v="4"/>
    <x v="0"/>
    <x v="0"/>
    <x v="0"/>
    <x v="0"/>
  </r>
  <r>
    <x v="339"/>
    <x v="0"/>
    <x v="16"/>
    <x v="146"/>
    <x v="1100"/>
    <x v="52"/>
    <x v="0"/>
    <x v="0"/>
    <x v="336"/>
    <x v="0"/>
    <x v="0"/>
    <x v="0"/>
    <x v="0"/>
    <x v="0"/>
    <x v="8"/>
    <x v="52"/>
    <x v="48"/>
    <x v="146"/>
    <x v="3"/>
    <x v="10"/>
    <x v="0"/>
    <x v="8"/>
    <x v="4"/>
    <x v="0"/>
    <x v="0"/>
    <x v="0"/>
    <x v="4"/>
    <x v="0"/>
    <x v="0"/>
    <x v="0"/>
    <x v="0"/>
  </r>
  <r>
    <x v="337"/>
    <x v="0"/>
    <x v="16"/>
    <x v="144"/>
    <x v="1101"/>
    <x v="53"/>
    <x v="0"/>
    <x v="0"/>
    <x v="334"/>
    <x v="0"/>
    <x v="0"/>
    <x v="0"/>
    <x v="0"/>
    <x v="0"/>
    <x v="8"/>
    <x v="53"/>
    <x v="49"/>
    <x v="144"/>
    <x v="3"/>
    <x v="10"/>
    <x v="0"/>
    <x v="8"/>
    <x v="4"/>
    <x v="0"/>
    <x v="0"/>
    <x v="0"/>
    <x v="4"/>
    <x v="0"/>
    <x v="0"/>
    <x v="0"/>
    <x v="0"/>
  </r>
  <r>
    <x v="356"/>
    <x v="0"/>
    <x v="16"/>
    <x v="163"/>
    <x v="1102"/>
    <x v="54"/>
    <x v="0"/>
    <x v="0"/>
    <x v="353"/>
    <x v="0"/>
    <x v="0"/>
    <x v="0"/>
    <x v="0"/>
    <x v="0"/>
    <x v="8"/>
    <x v="54"/>
    <x v="50"/>
    <x v="163"/>
    <x v="3"/>
    <x v="10"/>
    <x v="0"/>
    <x v="8"/>
    <x v="4"/>
    <x v="0"/>
    <x v="0"/>
    <x v="0"/>
    <x v="4"/>
    <x v="0"/>
    <x v="0"/>
    <x v="0"/>
    <x v="0"/>
  </r>
  <r>
    <x v="349"/>
    <x v="0"/>
    <x v="16"/>
    <x v="156"/>
    <x v="1103"/>
    <x v="55"/>
    <x v="0"/>
    <x v="0"/>
    <x v="346"/>
    <x v="0"/>
    <x v="0"/>
    <x v="0"/>
    <x v="0"/>
    <x v="0"/>
    <x v="8"/>
    <x v="55"/>
    <x v="51"/>
    <x v="156"/>
    <x v="3"/>
    <x v="10"/>
    <x v="0"/>
    <x v="8"/>
    <x v="4"/>
    <x v="0"/>
    <x v="0"/>
    <x v="0"/>
    <x v="4"/>
    <x v="0"/>
    <x v="0"/>
    <x v="0"/>
    <x v="0"/>
  </r>
  <r>
    <x v="340"/>
    <x v="0"/>
    <x v="16"/>
    <x v="147"/>
    <x v="1104"/>
    <x v="56"/>
    <x v="0"/>
    <x v="0"/>
    <x v="337"/>
    <x v="0"/>
    <x v="0"/>
    <x v="0"/>
    <x v="0"/>
    <x v="0"/>
    <x v="8"/>
    <x v="56"/>
    <x v="52"/>
    <x v="147"/>
    <x v="3"/>
    <x v="10"/>
    <x v="0"/>
    <x v="8"/>
    <x v="4"/>
    <x v="0"/>
    <x v="0"/>
    <x v="0"/>
    <x v="4"/>
    <x v="0"/>
    <x v="0"/>
    <x v="0"/>
    <x v="0"/>
  </r>
  <r>
    <x v="348"/>
    <x v="0"/>
    <x v="16"/>
    <x v="155"/>
    <x v="1105"/>
    <x v="57"/>
    <x v="0"/>
    <x v="0"/>
    <x v="345"/>
    <x v="0"/>
    <x v="0"/>
    <x v="0"/>
    <x v="0"/>
    <x v="0"/>
    <x v="8"/>
    <x v="57"/>
    <x v="53"/>
    <x v="155"/>
    <x v="3"/>
    <x v="10"/>
    <x v="0"/>
    <x v="8"/>
    <x v="4"/>
    <x v="0"/>
    <x v="0"/>
    <x v="0"/>
    <x v="4"/>
    <x v="0"/>
    <x v="0"/>
    <x v="0"/>
    <x v="0"/>
  </r>
  <r>
    <x v="344"/>
    <x v="0"/>
    <x v="16"/>
    <x v="151"/>
    <x v="1106"/>
    <x v="58"/>
    <x v="0"/>
    <x v="0"/>
    <x v="341"/>
    <x v="0"/>
    <x v="0"/>
    <x v="0"/>
    <x v="0"/>
    <x v="0"/>
    <x v="8"/>
    <x v="58"/>
    <x v="54"/>
    <x v="151"/>
    <x v="3"/>
    <x v="10"/>
    <x v="0"/>
    <x v="8"/>
    <x v="4"/>
    <x v="0"/>
    <x v="0"/>
    <x v="0"/>
    <x v="4"/>
    <x v="0"/>
    <x v="0"/>
    <x v="0"/>
    <x v="0"/>
  </r>
  <r>
    <x v="343"/>
    <x v="0"/>
    <x v="16"/>
    <x v="150"/>
    <x v="1107"/>
    <x v="59"/>
    <x v="0"/>
    <x v="0"/>
    <x v="340"/>
    <x v="0"/>
    <x v="0"/>
    <x v="0"/>
    <x v="0"/>
    <x v="0"/>
    <x v="8"/>
    <x v="59"/>
    <x v="55"/>
    <x v="150"/>
    <x v="3"/>
    <x v="10"/>
    <x v="0"/>
    <x v="8"/>
    <x v="4"/>
    <x v="0"/>
    <x v="0"/>
    <x v="0"/>
    <x v="4"/>
    <x v="0"/>
    <x v="0"/>
    <x v="0"/>
    <x v="0"/>
  </r>
  <r>
    <x v="350"/>
    <x v="0"/>
    <x v="16"/>
    <x v="157"/>
    <x v="1108"/>
    <x v="60"/>
    <x v="0"/>
    <x v="0"/>
    <x v="347"/>
    <x v="0"/>
    <x v="0"/>
    <x v="0"/>
    <x v="0"/>
    <x v="0"/>
    <x v="8"/>
    <x v="60"/>
    <x v="56"/>
    <x v="157"/>
    <x v="3"/>
    <x v="10"/>
    <x v="0"/>
    <x v="8"/>
    <x v="4"/>
    <x v="0"/>
    <x v="0"/>
    <x v="0"/>
    <x v="4"/>
    <x v="0"/>
    <x v="0"/>
    <x v="0"/>
    <x v="0"/>
  </r>
  <r>
    <x v="347"/>
    <x v="0"/>
    <x v="16"/>
    <x v="154"/>
    <x v="1109"/>
    <x v="61"/>
    <x v="0"/>
    <x v="0"/>
    <x v="344"/>
    <x v="0"/>
    <x v="0"/>
    <x v="0"/>
    <x v="0"/>
    <x v="0"/>
    <x v="8"/>
    <x v="61"/>
    <x v="57"/>
    <x v="154"/>
    <x v="3"/>
    <x v="10"/>
    <x v="0"/>
    <x v="8"/>
    <x v="4"/>
    <x v="0"/>
    <x v="0"/>
    <x v="0"/>
    <x v="4"/>
    <x v="0"/>
    <x v="0"/>
    <x v="0"/>
    <x v="0"/>
  </r>
  <r>
    <x v="336"/>
    <x v="0"/>
    <x v="16"/>
    <x v="143"/>
    <x v="1110"/>
    <x v="62"/>
    <x v="0"/>
    <x v="0"/>
    <x v="333"/>
    <x v="0"/>
    <x v="0"/>
    <x v="0"/>
    <x v="0"/>
    <x v="0"/>
    <x v="8"/>
    <x v="62"/>
    <x v="58"/>
    <x v="143"/>
    <x v="3"/>
    <x v="10"/>
    <x v="0"/>
    <x v="8"/>
    <x v="4"/>
    <x v="0"/>
    <x v="0"/>
    <x v="0"/>
    <x v="4"/>
    <x v="0"/>
    <x v="0"/>
    <x v="0"/>
    <x v="0"/>
  </r>
  <r>
    <x v="335"/>
    <x v="0"/>
    <x v="16"/>
    <x v="142"/>
    <x v="1111"/>
    <x v="63"/>
    <x v="0"/>
    <x v="0"/>
    <x v="332"/>
    <x v="0"/>
    <x v="0"/>
    <x v="0"/>
    <x v="0"/>
    <x v="0"/>
    <x v="8"/>
    <x v="63"/>
    <x v="59"/>
    <x v="142"/>
    <x v="3"/>
    <x v="10"/>
    <x v="0"/>
    <x v="8"/>
    <x v="4"/>
    <x v="0"/>
    <x v="0"/>
    <x v="0"/>
    <x v="4"/>
    <x v="0"/>
    <x v="0"/>
    <x v="0"/>
    <x v="0"/>
  </r>
  <r>
    <x v="353"/>
    <x v="0"/>
    <x v="16"/>
    <x v="160"/>
    <x v="1112"/>
    <x v="64"/>
    <x v="0"/>
    <x v="0"/>
    <x v="350"/>
    <x v="0"/>
    <x v="0"/>
    <x v="0"/>
    <x v="0"/>
    <x v="0"/>
    <x v="8"/>
    <x v="64"/>
    <x v="60"/>
    <x v="160"/>
    <x v="3"/>
    <x v="10"/>
    <x v="0"/>
    <x v="8"/>
    <x v="4"/>
    <x v="0"/>
    <x v="0"/>
    <x v="0"/>
    <x v="4"/>
    <x v="0"/>
    <x v="0"/>
    <x v="0"/>
    <x v="0"/>
  </r>
  <r>
    <x v="338"/>
    <x v="0"/>
    <x v="16"/>
    <x v="145"/>
    <x v="1113"/>
    <x v="65"/>
    <x v="0"/>
    <x v="0"/>
    <x v="335"/>
    <x v="0"/>
    <x v="0"/>
    <x v="0"/>
    <x v="0"/>
    <x v="0"/>
    <x v="8"/>
    <x v="65"/>
    <x v="61"/>
    <x v="145"/>
    <x v="3"/>
    <x v="10"/>
    <x v="0"/>
    <x v="8"/>
    <x v="4"/>
    <x v="0"/>
    <x v="0"/>
    <x v="0"/>
    <x v="4"/>
    <x v="0"/>
    <x v="0"/>
    <x v="0"/>
    <x v="0"/>
  </r>
  <r>
    <x v="355"/>
    <x v="0"/>
    <x v="16"/>
    <x v="162"/>
    <x v="1114"/>
    <x v="66"/>
    <x v="0"/>
    <x v="0"/>
    <x v="352"/>
    <x v="0"/>
    <x v="0"/>
    <x v="0"/>
    <x v="0"/>
    <x v="0"/>
    <x v="8"/>
    <x v="66"/>
    <x v="62"/>
    <x v="162"/>
    <x v="3"/>
    <x v="10"/>
    <x v="0"/>
    <x v="8"/>
    <x v="4"/>
    <x v="0"/>
    <x v="0"/>
    <x v="0"/>
    <x v="4"/>
    <x v="0"/>
    <x v="0"/>
    <x v="0"/>
    <x v="0"/>
  </r>
  <r>
    <x v="358"/>
    <x v="1"/>
    <x v="25"/>
    <x v="186"/>
    <x v="1115"/>
    <x v="67"/>
    <x v="1"/>
    <x v="0"/>
    <x v="355"/>
    <x v="0"/>
    <x v="0"/>
    <x v="0"/>
    <x v="0"/>
    <x v="0"/>
    <x v="8"/>
    <x v="67"/>
    <x v="63"/>
    <x v="186"/>
    <x v="3"/>
    <x v="10"/>
    <x v="0"/>
    <x v="8"/>
    <x v="4"/>
    <x v="0"/>
    <x v="0"/>
    <x v="0"/>
    <x v="4"/>
    <x v="0"/>
    <x v="0"/>
    <x v="1"/>
    <x v="1"/>
  </r>
  <r>
    <x v="357"/>
    <x v="1"/>
    <x v="25"/>
    <x v="187"/>
    <x v="1116"/>
    <x v="44"/>
    <x v="1"/>
    <x v="0"/>
    <x v="354"/>
    <x v="0"/>
    <x v="0"/>
    <x v="0"/>
    <x v="0"/>
    <x v="0"/>
    <x v="8"/>
    <x v="44"/>
    <x v="40"/>
    <x v="187"/>
    <x v="3"/>
    <x v="10"/>
    <x v="0"/>
    <x v="8"/>
    <x v="4"/>
    <x v="0"/>
    <x v="0"/>
    <x v="0"/>
    <x v="4"/>
    <x v="0"/>
    <x v="0"/>
    <x v="1"/>
    <x v="1"/>
  </r>
  <r>
    <x v="9"/>
    <x v="0"/>
    <x v="16"/>
    <x v="58"/>
    <x v="1117"/>
    <x v="134"/>
    <x v="0"/>
    <x v="0"/>
    <x v="6"/>
    <x v="0"/>
    <x v="0"/>
    <x v="0"/>
    <x v="0"/>
    <x v="0"/>
    <x v="8"/>
    <x v="134"/>
    <x v="130"/>
    <x v="58"/>
    <x v="3"/>
    <x v="10"/>
    <x v="0"/>
    <x v="8"/>
    <x v="4"/>
    <x v="0"/>
    <x v="0"/>
    <x v="0"/>
    <x v="1"/>
    <x v="0"/>
    <x v="0"/>
    <x v="0"/>
    <x v="0"/>
  </r>
  <r>
    <x v="20"/>
    <x v="0"/>
    <x v="16"/>
    <x v="69"/>
    <x v="1118"/>
    <x v="135"/>
    <x v="0"/>
    <x v="0"/>
    <x v="17"/>
    <x v="0"/>
    <x v="0"/>
    <x v="0"/>
    <x v="0"/>
    <x v="0"/>
    <x v="8"/>
    <x v="135"/>
    <x v="131"/>
    <x v="69"/>
    <x v="3"/>
    <x v="10"/>
    <x v="0"/>
    <x v="8"/>
    <x v="4"/>
    <x v="0"/>
    <x v="0"/>
    <x v="0"/>
    <x v="1"/>
    <x v="0"/>
    <x v="0"/>
    <x v="0"/>
    <x v="0"/>
  </r>
  <r>
    <x v="22"/>
    <x v="0"/>
    <x v="16"/>
    <x v="71"/>
    <x v="1119"/>
    <x v="136"/>
    <x v="0"/>
    <x v="0"/>
    <x v="19"/>
    <x v="0"/>
    <x v="0"/>
    <x v="0"/>
    <x v="0"/>
    <x v="0"/>
    <x v="8"/>
    <x v="136"/>
    <x v="132"/>
    <x v="71"/>
    <x v="3"/>
    <x v="10"/>
    <x v="0"/>
    <x v="8"/>
    <x v="4"/>
    <x v="0"/>
    <x v="0"/>
    <x v="0"/>
    <x v="1"/>
    <x v="0"/>
    <x v="0"/>
    <x v="0"/>
    <x v="0"/>
  </r>
  <r>
    <x v="14"/>
    <x v="0"/>
    <x v="16"/>
    <x v="63"/>
    <x v="1120"/>
    <x v="137"/>
    <x v="0"/>
    <x v="0"/>
    <x v="11"/>
    <x v="0"/>
    <x v="0"/>
    <x v="0"/>
    <x v="0"/>
    <x v="0"/>
    <x v="8"/>
    <x v="137"/>
    <x v="133"/>
    <x v="63"/>
    <x v="3"/>
    <x v="10"/>
    <x v="0"/>
    <x v="8"/>
    <x v="4"/>
    <x v="0"/>
    <x v="0"/>
    <x v="0"/>
    <x v="1"/>
    <x v="0"/>
    <x v="0"/>
    <x v="0"/>
    <x v="0"/>
  </r>
  <r>
    <x v="19"/>
    <x v="0"/>
    <x v="16"/>
    <x v="68"/>
    <x v="1121"/>
    <x v="138"/>
    <x v="0"/>
    <x v="0"/>
    <x v="16"/>
    <x v="0"/>
    <x v="0"/>
    <x v="0"/>
    <x v="0"/>
    <x v="0"/>
    <x v="8"/>
    <x v="138"/>
    <x v="134"/>
    <x v="68"/>
    <x v="3"/>
    <x v="10"/>
    <x v="0"/>
    <x v="8"/>
    <x v="4"/>
    <x v="0"/>
    <x v="0"/>
    <x v="0"/>
    <x v="1"/>
    <x v="0"/>
    <x v="0"/>
    <x v="0"/>
    <x v="0"/>
  </r>
  <r>
    <x v="13"/>
    <x v="0"/>
    <x v="16"/>
    <x v="62"/>
    <x v="1122"/>
    <x v="139"/>
    <x v="0"/>
    <x v="0"/>
    <x v="10"/>
    <x v="0"/>
    <x v="0"/>
    <x v="0"/>
    <x v="0"/>
    <x v="0"/>
    <x v="8"/>
    <x v="139"/>
    <x v="135"/>
    <x v="62"/>
    <x v="3"/>
    <x v="10"/>
    <x v="0"/>
    <x v="8"/>
    <x v="4"/>
    <x v="0"/>
    <x v="0"/>
    <x v="0"/>
    <x v="1"/>
    <x v="0"/>
    <x v="0"/>
    <x v="0"/>
    <x v="0"/>
  </r>
  <r>
    <x v="10"/>
    <x v="0"/>
    <x v="16"/>
    <x v="59"/>
    <x v="1123"/>
    <x v="140"/>
    <x v="0"/>
    <x v="0"/>
    <x v="7"/>
    <x v="0"/>
    <x v="0"/>
    <x v="0"/>
    <x v="0"/>
    <x v="0"/>
    <x v="8"/>
    <x v="140"/>
    <x v="136"/>
    <x v="59"/>
    <x v="3"/>
    <x v="10"/>
    <x v="0"/>
    <x v="8"/>
    <x v="4"/>
    <x v="0"/>
    <x v="0"/>
    <x v="0"/>
    <x v="1"/>
    <x v="0"/>
    <x v="0"/>
    <x v="0"/>
    <x v="0"/>
  </r>
  <r>
    <x v="7"/>
    <x v="0"/>
    <x v="16"/>
    <x v="56"/>
    <x v="1124"/>
    <x v="141"/>
    <x v="0"/>
    <x v="0"/>
    <x v="4"/>
    <x v="0"/>
    <x v="0"/>
    <x v="0"/>
    <x v="0"/>
    <x v="0"/>
    <x v="8"/>
    <x v="141"/>
    <x v="137"/>
    <x v="56"/>
    <x v="3"/>
    <x v="10"/>
    <x v="0"/>
    <x v="8"/>
    <x v="4"/>
    <x v="0"/>
    <x v="0"/>
    <x v="0"/>
    <x v="1"/>
    <x v="0"/>
    <x v="0"/>
    <x v="0"/>
    <x v="0"/>
  </r>
  <r>
    <x v="5"/>
    <x v="0"/>
    <x v="16"/>
    <x v="54"/>
    <x v="1125"/>
    <x v="142"/>
    <x v="0"/>
    <x v="0"/>
    <x v="2"/>
    <x v="0"/>
    <x v="0"/>
    <x v="0"/>
    <x v="0"/>
    <x v="0"/>
    <x v="8"/>
    <x v="142"/>
    <x v="138"/>
    <x v="54"/>
    <x v="3"/>
    <x v="10"/>
    <x v="0"/>
    <x v="8"/>
    <x v="4"/>
    <x v="0"/>
    <x v="0"/>
    <x v="0"/>
    <x v="1"/>
    <x v="0"/>
    <x v="0"/>
    <x v="0"/>
    <x v="0"/>
  </r>
  <r>
    <x v="24"/>
    <x v="0"/>
    <x v="16"/>
    <x v="73"/>
    <x v="1126"/>
    <x v="143"/>
    <x v="0"/>
    <x v="0"/>
    <x v="21"/>
    <x v="0"/>
    <x v="0"/>
    <x v="0"/>
    <x v="0"/>
    <x v="0"/>
    <x v="8"/>
    <x v="143"/>
    <x v="139"/>
    <x v="73"/>
    <x v="3"/>
    <x v="10"/>
    <x v="0"/>
    <x v="8"/>
    <x v="4"/>
    <x v="0"/>
    <x v="0"/>
    <x v="0"/>
    <x v="1"/>
    <x v="0"/>
    <x v="0"/>
    <x v="0"/>
    <x v="0"/>
  </r>
  <r>
    <x v="17"/>
    <x v="0"/>
    <x v="16"/>
    <x v="66"/>
    <x v="1127"/>
    <x v="144"/>
    <x v="0"/>
    <x v="0"/>
    <x v="14"/>
    <x v="0"/>
    <x v="0"/>
    <x v="0"/>
    <x v="0"/>
    <x v="0"/>
    <x v="8"/>
    <x v="144"/>
    <x v="140"/>
    <x v="66"/>
    <x v="3"/>
    <x v="10"/>
    <x v="0"/>
    <x v="8"/>
    <x v="4"/>
    <x v="0"/>
    <x v="0"/>
    <x v="0"/>
    <x v="1"/>
    <x v="0"/>
    <x v="0"/>
    <x v="0"/>
    <x v="0"/>
  </r>
  <r>
    <x v="8"/>
    <x v="0"/>
    <x v="16"/>
    <x v="57"/>
    <x v="1128"/>
    <x v="145"/>
    <x v="0"/>
    <x v="0"/>
    <x v="5"/>
    <x v="0"/>
    <x v="0"/>
    <x v="0"/>
    <x v="0"/>
    <x v="0"/>
    <x v="8"/>
    <x v="145"/>
    <x v="141"/>
    <x v="57"/>
    <x v="3"/>
    <x v="10"/>
    <x v="0"/>
    <x v="8"/>
    <x v="4"/>
    <x v="0"/>
    <x v="0"/>
    <x v="0"/>
    <x v="1"/>
    <x v="0"/>
    <x v="0"/>
    <x v="0"/>
    <x v="0"/>
  </r>
  <r>
    <x v="16"/>
    <x v="0"/>
    <x v="16"/>
    <x v="65"/>
    <x v="1129"/>
    <x v="146"/>
    <x v="0"/>
    <x v="0"/>
    <x v="13"/>
    <x v="0"/>
    <x v="0"/>
    <x v="0"/>
    <x v="0"/>
    <x v="0"/>
    <x v="8"/>
    <x v="146"/>
    <x v="142"/>
    <x v="65"/>
    <x v="3"/>
    <x v="10"/>
    <x v="0"/>
    <x v="8"/>
    <x v="4"/>
    <x v="0"/>
    <x v="0"/>
    <x v="0"/>
    <x v="1"/>
    <x v="0"/>
    <x v="0"/>
    <x v="0"/>
    <x v="0"/>
  </r>
  <r>
    <x v="12"/>
    <x v="0"/>
    <x v="16"/>
    <x v="61"/>
    <x v="1130"/>
    <x v="147"/>
    <x v="0"/>
    <x v="0"/>
    <x v="9"/>
    <x v="0"/>
    <x v="0"/>
    <x v="0"/>
    <x v="0"/>
    <x v="0"/>
    <x v="8"/>
    <x v="147"/>
    <x v="143"/>
    <x v="61"/>
    <x v="3"/>
    <x v="10"/>
    <x v="0"/>
    <x v="8"/>
    <x v="4"/>
    <x v="0"/>
    <x v="0"/>
    <x v="0"/>
    <x v="1"/>
    <x v="0"/>
    <x v="0"/>
    <x v="0"/>
    <x v="0"/>
  </r>
  <r>
    <x v="11"/>
    <x v="0"/>
    <x v="16"/>
    <x v="60"/>
    <x v="1131"/>
    <x v="148"/>
    <x v="0"/>
    <x v="0"/>
    <x v="8"/>
    <x v="0"/>
    <x v="0"/>
    <x v="0"/>
    <x v="0"/>
    <x v="0"/>
    <x v="8"/>
    <x v="148"/>
    <x v="144"/>
    <x v="60"/>
    <x v="3"/>
    <x v="10"/>
    <x v="0"/>
    <x v="8"/>
    <x v="4"/>
    <x v="0"/>
    <x v="0"/>
    <x v="0"/>
    <x v="1"/>
    <x v="0"/>
    <x v="0"/>
    <x v="0"/>
    <x v="0"/>
  </r>
  <r>
    <x v="18"/>
    <x v="0"/>
    <x v="16"/>
    <x v="67"/>
    <x v="1132"/>
    <x v="149"/>
    <x v="0"/>
    <x v="0"/>
    <x v="15"/>
    <x v="0"/>
    <x v="0"/>
    <x v="0"/>
    <x v="0"/>
    <x v="0"/>
    <x v="8"/>
    <x v="149"/>
    <x v="145"/>
    <x v="67"/>
    <x v="3"/>
    <x v="10"/>
    <x v="0"/>
    <x v="8"/>
    <x v="4"/>
    <x v="0"/>
    <x v="0"/>
    <x v="0"/>
    <x v="1"/>
    <x v="0"/>
    <x v="0"/>
    <x v="0"/>
    <x v="0"/>
  </r>
  <r>
    <x v="15"/>
    <x v="0"/>
    <x v="16"/>
    <x v="64"/>
    <x v="1133"/>
    <x v="150"/>
    <x v="0"/>
    <x v="0"/>
    <x v="12"/>
    <x v="0"/>
    <x v="0"/>
    <x v="0"/>
    <x v="0"/>
    <x v="0"/>
    <x v="8"/>
    <x v="150"/>
    <x v="146"/>
    <x v="64"/>
    <x v="3"/>
    <x v="10"/>
    <x v="0"/>
    <x v="8"/>
    <x v="4"/>
    <x v="0"/>
    <x v="0"/>
    <x v="0"/>
    <x v="1"/>
    <x v="0"/>
    <x v="0"/>
    <x v="0"/>
    <x v="0"/>
  </r>
  <r>
    <x v="4"/>
    <x v="0"/>
    <x v="16"/>
    <x v="53"/>
    <x v="1134"/>
    <x v="151"/>
    <x v="0"/>
    <x v="0"/>
    <x v="1"/>
    <x v="0"/>
    <x v="0"/>
    <x v="0"/>
    <x v="0"/>
    <x v="0"/>
    <x v="8"/>
    <x v="151"/>
    <x v="147"/>
    <x v="53"/>
    <x v="3"/>
    <x v="10"/>
    <x v="0"/>
    <x v="8"/>
    <x v="4"/>
    <x v="0"/>
    <x v="0"/>
    <x v="0"/>
    <x v="1"/>
    <x v="0"/>
    <x v="0"/>
    <x v="0"/>
    <x v="0"/>
  </r>
  <r>
    <x v="3"/>
    <x v="0"/>
    <x v="16"/>
    <x v="52"/>
    <x v="1135"/>
    <x v="152"/>
    <x v="0"/>
    <x v="0"/>
    <x v="0"/>
    <x v="0"/>
    <x v="0"/>
    <x v="0"/>
    <x v="0"/>
    <x v="0"/>
    <x v="8"/>
    <x v="152"/>
    <x v="148"/>
    <x v="52"/>
    <x v="3"/>
    <x v="10"/>
    <x v="0"/>
    <x v="8"/>
    <x v="4"/>
    <x v="0"/>
    <x v="0"/>
    <x v="0"/>
    <x v="1"/>
    <x v="0"/>
    <x v="0"/>
    <x v="0"/>
    <x v="0"/>
  </r>
  <r>
    <x v="21"/>
    <x v="0"/>
    <x v="16"/>
    <x v="70"/>
    <x v="1136"/>
    <x v="153"/>
    <x v="0"/>
    <x v="0"/>
    <x v="18"/>
    <x v="0"/>
    <x v="0"/>
    <x v="0"/>
    <x v="0"/>
    <x v="0"/>
    <x v="8"/>
    <x v="153"/>
    <x v="149"/>
    <x v="70"/>
    <x v="3"/>
    <x v="10"/>
    <x v="0"/>
    <x v="8"/>
    <x v="4"/>
    <x v="0"/>
    <x v="0"/>
    <x v="0"/>
    <x v="1"/>
    <x v="0"/>
    <x v="0"/>
    <x v="0"/>
    <x v="0"/>
  </r>
  <r>
    <x v="6"/>
    <x v="0"/>
    <x v="16"/>
    <x v="55"/>
    <x v="1137"/>
    <x v="154"/>
    <x v="0"/>
    <x v="0"/>
    <x v="3"/>
    <x v="0"/>
    <x v="0"/>
    <x v="0"/>
    <x v="0"/>
    <x v="0"/>
    <x v="8"/>
    <x v="154"/>
    <x v="150"/>
    <x v="55"/>
    <x v="3"/>
    <x v="10"/>
    <x v="0"/>
    <x v="8"/>
    <x v="4"/>
    <x v="0"/>
    <x v="0"/>
    <x v="0"/>
    <x v="1"/>
    <x v="0"/>
    <x v="0"/>
    <x v="0"/>
    <x v="0"/>
  </r>
  <r>
    <x v="23"/>
    <x v="0"/>
    <x v="16"/>
    <x v="72"/>
    <x v="1138"/>
    <x v="155"/>
    <x v="0"/>
    <x v="0"/>
    <x v="20"/>
    <x v="0"/>
    <x v="0"/>
    <x v="0"/>
    <x v="0"/>
    <x v="0"/>
    <x v="8"/>
    <x v="155"/>
    <x v="151"/>
    <x v="72"/>
    <x v="3"/>
    <x v="10"/>
    <x v="0"/>
    <x v="8"/>
    <x v="4"/>
    <x v="0"/>
    <x v="0"/>
    <x v="0"/>
    <x v="1"/>
    <x v="0"/>
    <x v="0"/>
    <x v="0"/>
    <x v="0"/>
  </r>
  <r>
    <x v="216"/>
    <x v="0"/>
    <x v="15"/>
    <x v="170"/>
    <x v="1139"/>
    <x v="22"/>
    <x v="0"/>
    <x v="0"/>
    <x v="213"/>
    <x v="0"/>
    <x v="0"/>
    <x v="0"/>
    <x v="0"/>
    <x v="0"/>
    <x v="8"/>
    <x v="22"/>
    <x v="18"/>
    <x v="170"/>
    <x v="3"/>
    <x v="10"/>
    <x v="0"/>
    <x v="8"/>
    <x v="4"/>
    <x v="0"/>
    <x v="0"/>
    <x v="0"/>
    <x v="1"/>
    <x v="0"/>
    <x v="0"/>
    <x v="0"/>
    <x v="0"/>
  </r>
  <r>
    <x v="227"/>
    <x v="0"/>
    <x v="15"/>
    <x v="181"/>
    <x v="1140"/>
    <x v="23"/>
    <x v="0"/>
    <x v="0"/>
    <x v="224"/>
    <x v="0"/>
    <x v="0"/>
    <x v="0"/>
    <x v="0"/>
    <x v="0"/>
    <x v="8"/>
    <x v="23"/>
    <x v="19"/>
    <x v="181"/>
    <x v="3"/>
    <x v="10"/>
    <x v="0"/>
    <x v="8"/>
    <x v="4"/>
    <x v="0"/>
    <x v="0"/>
    <x v="0"/>
    <x v="1"/>
    <x v="0"/>
    <x v="0"/>
    <x v="0"/>
    <x v="0"/>
  </r>
  <r>
    <x v="229"/>
    <x v="0"/>
    <x v="15"/>
    <x v="183"/>
    <x v="1141"/>
    <x v="24"/>
    <x v="0"/>
    <x v="0"/>
    <x v="226"/>
    <x v="0"/>
    <x v="0"/>
    <x v="0"/>
    <x v="0"/>
    <x v="0"/>
    <x v="8"/>
    <x v="24"/>
    <x v="20"/>
    <x v="183"/>
    <x v="3"/>
    <x v="10"/>
    <x v="0"/>
    <x v="8"/>
    <x v="4"/>
    <x v="0"/>
    <x v="0"/>
    <x v="0"/>
    <x v="1"/>
    <x v="0"/>
    <x v="0"/>
    <x v="0"/>
    <x v="0"/>
  </r>
  <r>
    <x v="221"/>
    <x v="0"/>
    <x v="15"/>
    <x v="175"/>
    <x v="1142"/>
    <x v="25"/>
    <x v="0"/>
    <x v="0"/>
    <x v="218"/>
    <x v="0"/>
    <x v="0"/>
    <x v="0"/>
    <x v="0"/>
    <x v="0"/>
    <x v="8"/>
    <x v="25"/>
    <x v="21"/>
    <x v="175"/>
    <x v="3"/>
    <x v="10"/>
    <x v="0"/>
    <x v="8"/>
    <x v="4"/>
    <x v="0"/>
    <x v="0"/>
    <x v="0"/>
    <x v="1"/>
    <x v="0"/>
    <x v="0"/>
    <x v="0"/>
    <x v="0"/>
  </r>
  <r>
    <x v="226"/>
    <x v="0"/>
    <x v="15"/>
    <x v="180"/>
    <x v="1143"/>
    <x v="26"/>
    <x v="0"/>
    <x v="0"/>
    <x v="223"/>
    <x v="0"/>
    <x v="0"/>
    <x v="0"/>
    <x v="0"/>
    <x v="0"/>
    <x v="8"/>
    <x v="26"/>
    <x v="22"/>
    <x v="180"/>
    <x v="3"/>
    <x v="10"/>
    <x v="0"/>
    <x v="8"/>
    <x v="4"/>
    <x v="0"/>
    <x v="0"/>
    <x v="0"/>
    <x v="1"/>
    <x v="0"/>
    <x v="0"/>
    <x v="0"/>
    <x v="0"/>
  </r>
  <r>
    <x v="220"/>
    <x v="0"/>
    <x v="15"/>
    <x v="174"/>
    <x v="1144"/>
    <x v="27"/>
    <x v="0"/>
    <x v="0"/>
    <x v="217"/>
    <x v="0"/>
    <x v="0"/>
    <x v="0"/>
    <x v="0"/>
    <x v="0"/>
    <x v="8"/>
    <x v="27"/>
    <x v="23"/>
    <x v="174"/>
    <x v="3"/>
    <x v="10"/>
    <x v="0"/>
    <x v="8"/>
    <x v="4"/>
    <x v="0"/>
    <x v="0"/>
    <x v="0"/>
    <x v="1"/>
    <x v="0"/>
    <x v="0"/>
    <x v="0"/>
    <x v="0"/>
  </r>
  <r>
    <x v="217"/>
    <x v="0"/>
    <x v="15"/>
    <x v="171"/>
    <x v="1145"/>
    <x v="28"/>
    <x v="0"/>
    <x v="0"/>
    <x v="214"/>
    <x v="0"/>
    <x v="0"/>
    <x v="0"/>
    <x v="0"/>
    <x v="0"/>
    <x v="8"/>
    <x v="28"/>
    <x v="24"/>
    <x v="171"/>
    <x v="3"/>
    <x v="10"/>
    <x v="0"/>
    <x v="8"/>
    <x v="4"/>
    <x v="0"/>
    <x v="0"/>
    <x v="0"/>
    <x v="1"/>
    <x v="0"/>
    <x v="0"/>
    <x v="0"/>
    <x v="0"/>
  </r>
  <r>
    <x v="214"/>
    <x v="0"/>
    <x v="15"/>
    <x v="168"/>
    <x v="1146"/>
    <x v="29"/>
    <x v="0"/>
    <x v="0"/>
    <x v="211"/>
    <x v="0"/>
    <x v="0"/>
    <x v="0"/>
    <x v="0"/>
    <x v="0"/>
    <x v="8"/>
    <x v="29"/>
    <x v="25"/>
    <x v="168"/>
    <x v="3"/>
    <x v="10"/>
    <x v="0"/>
    <x v="8"/>
    <x v="4"/>
    <x v="0"/>
    <x v="0"/>
    <x v="0"/>
    <x v="1"/>
    <x v="0"/>
    <x v="0"/>
    <x v="0"/>
    <x v="0"/>
  </r>
  <r>
    <x v="212"/>
    <x v="0"/>
    <x v="15"/>
    <x v="166"/>
    <x v="1147"/>
    <x v="30"/>
    <x v="0"/>
    <x v="0"/>
    <x v="209"/>
    <x v="0"/>
    <x v="0"/>
    <x v="0"/>
    <x v="0"/>
    <x v="0"/>
    <x v="8"/>
    <x v="30"/>
    <x v="26"/>
    <x v="166"/>
    <x v="3"/>
    <x v="10"/>
    <x v="0"/>
    <x v="8"/>
    <x v="4"/>
    <x v="0"/>
    <x v="0"/>
    <x v="0"/>
    <x v="1"/>
    <x v="0"/>
    <x v="0"/>
    <x v="0"/>
    <x v="0"/>
  </r>
  <r>
    <x v="231"/>
    <x v="0"/>
    <x v="15"/>
    <x v="185"/>
    <x v="1148"/>
    <x v="31"/>
    <x v="0"/>
    <x v="0"/>
    <x v="228"/>
    <x v="0"/>
    <x v="0"/>
    <x v="0"/>
    <x v="0"/>
    <x v="0"/>
    <x v="8"/>
    <x v="31"/>
    <x v="27"/>
    <x v="185"/>
    <x v="3"/>
    <x v="10"/>
    <x v="0"/>
    <x v="8"/>
    <x v="4"/>
    <x v="0"/>
    <x v="0"/>
    <x v="0"/>
    <x v="1"/>
    <x v="0"/>
    <x v="0"/>
    <x v="0"/>
    <x v="0"/>
  </r>
  <r>
    <x v="224"/>
    <x v="0"/>
    <x v="15"/>
    <x v="178"/>
    <x v="1149"/>
    <x v="32"/>
    <x v="0"/>
    <x v="0"/>
    <x v="221"/>
    <x v="0"/>
    <x v="0"/>
    <x v="0"/>
    <x v="0"/>
    <x v="0"/>
    <x v="8"/>
    <x v="32"/>
    <x v="28"/>
    <x v="178"/>
    <x v="3"/>
    <x v="10"/>
    <x v="0"/>
    <x v="8"/>
    <x v="4"/>
    <x v="0"/>
    <x v="0"/>
    <x v="0"/>
    <x v="1"/>
    <x v="0"/>
    <x v="0"/>
    <x v="0"/>
    <x v="0"/>
  </r>
  <r>
    <x v="215"/>
    <x v="0"/>
    <x v="15"/>
    <x v="169"/>
    <x v="1150"/>
    <x v="33"/>
    <x v="0"/>
    <x v="0"/>
    <x v="212"/>
    <x v="0"/>
    <x v="0"/>
    <x v="0"/>
    <x v="0"/>
    <x v="0"/>
    <x v="8"/>
    <x v="33"/>
    <x v="29"/>
    <x v="169"/>
    <x v="3"/>
    <x v="10"/>
    <x v="0"/>
    <x v="8"/>
    <x v="4"/>
    <x v="0"/>
    <x v="0"/>
    <x v="0"/>
    <x v="1"/>
    <x v="0"/>
    <x v="0"/>
    <x v="0"/>
    <x v="0"/>
  </r>
  <r>
    <x v="223"/>
    <x v="0"/>
    <x v="15"/>
    <x v="177"/>
    <x v="1151"/>
    <x v="34"/>
    <x v="0"/>
    <x v="0"/>
    <x v="220"/>
    <x v="0"/>
    <x v="0"/>
    <x v="0"/>
    <x v="0"/>
    <x v="0"/>
    <x v="8"/>
    <x v="34"/>
    <x v="30"/>
    <x v="177"/>
    <x v="3"/>
    <x v="10"/>
    <x v="0"/>
    <x v="8"/>
    <x v="4"/>
    <x v="0"/>
    <x v="0"/>
    <x v="0"/>
    <x v="1"/>
    <x v="0"/>
    <x v="0"/>
    <x v="0"/>
    <x v="0"/>
  </r>
  <r>
    <x v="219"/>
    <x v="0"/>
    <x v="15"/>
    <x v="173"/>
    <x v="1152"/>
    <x v="35"/>
    <x v="0"/>
    <x v="0"/>
    <x v="216"/>
    <x v="0"/>
    <x v="0"/>
    <x v="0"/>
    <x v="0"/>
    <x v="0"/>
    <x v="8"/>
    <x v="35"/>
    <x v="31"/>
    <x v="173"/>
    <x v="3"/>
    <x v="10"/>
    <x v="0"/>
    <x v="8"/>
    <x v="4"/>
    <x v="0"/>
    <x v="0"/>
    <x v="0"/>
    <x v="1"/>
    <x v="0"/>
    <x v="0"/>
    <x v="0"/>
    <x v="0"/>
  </r>
  <r>
    <x v="218"/>
    <x v="0"/>
    <x v="15"/>
    <x v="172"/>
    <x v="1153"/>
    <x v="36"/>
    <x v="0"/>
    <x v="0"/>
    <x v="215"/>
    <x v="0"/>
    <x v="0"/>
    <x v="0"/>
    <x v="0"/>
    <x v="0"/>
    <x v="8"/>
    <x v="36"/>
    <x v="32"/>
    <x v="172"/>
    <x v="3"/>
    <x v="10"/>
    <x v="0"/>
    <x v="8"/>
    <x v="4"/>
    <x v="0"/>
    <x v="0"/>
    <x v="0"/>
    <x v="1"/>
    <x v="0"/>
    <x v="0"/>
    <x v="0"/>
    <x v="0"/>
  </r>
  <r>
    <x v="225"/>
    <x v="0"/>
    <x v="15"/>
    <x v="179"/>
    <x v="1154"/>
    <x v="37"/>
    <x v="0"/>
    <x v="0"/>
    <x v="222"/>
    <x v="0"/>
    <x v="0"/>
    <x v="0"/>
    <x v="0"/>
    <x v="0"/>
    <x v="8"/>
    <x v="37"/>
    <x v="33"/>
    <x v="179"/>
    <x v="3"/>
    <x v="10"/>
    <x v="0"/>
    <x v="8"/>
    <x v="4"/>
    <x v="0"/>
    <x v="0"/>
    <x v="0"/>
    <x v="1"/>
    <x v="0"/>
    <x v="0"/>
    <x v="0"/>
    <x v="0"/>
  </r>
  <r>
    <x v="222"/>
    <x v="0"/>
    <x v="15"/>
    <x v="176"/>
    <x v="1155"/>
    <x v="38"/>
    <x v="0"/>
    <x v="0"/>
    <x v="219"/>
    <x v="0"/>
    <x v="0"/>
    <x v="0"/>
    <x v="0"/>
    <x v="0"/>
    <x v="8"/>
    <x v="38"/>
    <x v="34"/>
    <x v="176"/>
    <x v="3"/>
    <x v="10"/>
    <x v="0"/>
    <x v="8"/>
    <x v="4"/>
    <x v="0"/>
    <x v="0"/>
    <x v="0"/>
    <x v="1"/>
    <x v="0"/>
    <x v="0"/>
    <x v="0"/>
    <x v="0"/>
  </r>
  <r>
    <x v="211"/>
    <x v="0"/>
    <x v="15"/>
    <x v="165"/>
    <x v="1156"/>
    <x v="39"/>
    <x v="0"/>
    <x v="0"/>
    <x v="208"/>
    <x v="0"/>
    <x v="0"/>
    <x v="0"/>
    <x v="0"/>
    <x v="0"/>
    <x v="8"/>
    <x v="39"/>
    <x v="35"/>
    <x v="165"/>
    <x v="3"/>
    <x v="10"/>
    <x v="0"/>
    <x v="8"/>
    <x v="4"/>
    <x v="0"/>
    <x v="0"/>
    <x v="0"/>
    <x v="1"/>
    <x v="0"/>
    <x v="0"/>
    <x v="0"/>
    <x v="0"/>
  </r>
  <r>
    <x v="210"/>
    <x v="0"/>
    <x v="15"/>
    <x v="164"/>
    <x v="1157"/>
    <x v="40"/>
    <x v="0"/>
    <x v="0"/>
    <x v="207"/>
    <x v="0"/>
    <x v="0"/>
    <x v="0"/>
    <x v="0"/>
    <x v="0"/>
    <x v="8"/>
    <x v="40"/>
    <x v="36"/>
    <x v="164"/>
    <x v="3"/>
    <x v="10"/>
    <x v="0"/>
    <x v="8"/>
    <x v="4"/>
    <x v="0"/>
    <x v="0"/>
    <x v="0"/>
    <x v="1"/>
    <x v="0"/>
    <x v="0"/>
    <x v="0"/>
    <x v="0"/>
  </r>
  <r>
    <x v="228"/>
    <x v="0"/>
    <x v="15"/>
    <x v="182"/>
    <x v="1158"/>
    <x v="41"/>
    <x v="0"/>
    <x v="0"/>
    <x v="225"/>
    <x v="0"/>
    <x v="0"/>
    <x v="0"/>
    <x v="0"/>
    <x v="0"/>
    <x v="8"/>
    <x v="41"/>
    <x v="37"/>
    <x v="182"/>
    <x v="3"/>
    <x v="10"/>
    <x v="0"/>
    <x v="8"/>
    <x v="4"/>
    <x v="0"/>
    <x v="0"/>
    <x v="0"/>
    <x v="1"/>
    <x v="0"/>
    <x v="0"/>
    <x v="0"/>
    <x v="0"/>
  </r>
  <r>
    <x v="213"/>
    <x v="0"/>
    <x v="15"/>
    <x v="167"/>
    <x v="1159"/>
    <x v="42"/>
    <x v="0"/>
    <x v="0"/>
    <x v="210"/>
    <x v="0"/>
    <x v="0"/>
    <x v="0"/>
    <x v="0"/>
    <x v="0"/>
    <x v="8"/>
    <x v="42"/>
    <x v="38"/>
    <x v="167"/>
    <x v="3"/>
    <x v="10"/>
    <x v="0"/>
    <x v="8"/>
    <x v="4"/>
    <x v="0"/>
    <x v="0"/>
    <x v="0"/>
    <x v="1"/>
    <x v="0"/>
    <x v="0"/>
    <x v="0"/>
    <x v="0"/>
  </r>
  <r>
    <x v="230"/>
    <x v="0"/>
    <x v="15"/>
    <x v="184"/>
    <x v="1160"/>
    <x v="43"/>
    <x v="0"/>
    <x v="0"/>
    <x v="227"/>
    <x v="0"/>
    <x v="0"/>
    <x v="0"/>
    <x v="0"/>
    <x v="0"/>
    <x v="8"/>
    <x v="43"/>
    <x v="39"/>
    <x v="184"/>
    <x v="3"/>
    <x v="10"/>
    <x v="0"/>
    <x v="8"/>
    <x v="4"/>
    <x v="0"/>
    <x v="0"/>
    <x v="0"/>
    <x v="1"/>
    <x v="0"/>
    <x v="0"/>
    <x v="0"/>
    <x v="0"/>
  </r>
  <r>
    <x v="94"/>
    <x v="0"/>
    <x v="12"/>
    <x v="51"/>
    <x v="1161"/>
    <x v="156"/>
    <x v="1"/>
    <x v="0"/>
    <x v="91"/>
    <x v="0"/>
    <x v="0"/>
    <x v="0"/>
    <x v="0"/>
    <x v="0"/>
    <x v="8"/>
    <x v="156"/>
    <x v="152"/>
    <x v="51"/>
    <x v="3"/>
    <x v="10"/>
    <x v="0"/>
    <x v="8"/>
    <x v="4"/>
    <x v="0"/>
    <x v="0"/>
    <x v="0"/>
    <x v="7"/>
    <x v="0"/>
    <x v="0"/>
    <x v="1"/>
    <x v="1"/>
  </r>
  <r>
    <x v="47"/>
    <x v="0"/>
    <x v="4"/>
    <x v="96"/>
    <x v="1162"/>
    <x v="157"/>
    <x v="1"/>
    <x v="0"/>
    <x v="44"/>
    <x v="0"/>
    <x v="0"/>
    <x v="0"/>
    <x v="0"/>
    <x v="0"/>
    <x v="8"/>
    <x v="157"/>
    <x v="153"/>
    <x v="96"/>
    <x v="3"/>
    <x v="10"/>
    <x v="0"/>
    <x v="8"/>
    <x v="4"/>
    <x v="0"/>
    <x v="0"/>
    <x v="0"/>
    <x v="4"/>
    <x v="0"/>
    <x v="0"/>
    <x v="1"/>
    <x v="1"/>
  </r>
  <r>
    <x v="31"/>
    <x v="0"/>
    <x v="16"/>
    <x v="80"/>
    <x v="1163"/>
    <x v="90"/>
    <x v="0"/>
    <x v="0"/>
    <x v="28"/>
    <x v="0"/>
    <x v="0"/>
    <x v="0"/>
    <x v="0"/>
    <x v="0"/>
    <x v="8"/>
    <x v="90"/>
    <x v="86"/>
    <x v="80"/>
    <x v="3"/>
    <x v="10"/>
    <x v="0"/>
    <x v="8"/>
    <x v="4"/>
    <x v="0"/>
    <x v="0"/>
    <x v="0"/>
    <x v="1"/>
    <x v="0"/>
    <x v="0"/>
    <x v="0"/>
    <x v="0"/>
  </r>
  <r>
    <x v="42"/>
    <x v="0"/>
    <x v="16"/>
    <x v="91"/>
    <x v="1164"/>
    <x v="91"/>
    <x v="0"/>
    <x v="0"/>
    <x v="39"/>
    <x v="0"/>
    <x v="0"/>
    <x v="0"/>
    <x v="0"/>
    <x v="0"/>
    <x v="8"/>
    <x v="91"/>
    <x v="87"/>
    <x v="91"/>
    <x v="3"/>
    <x v="10"/>
    <x v="0"/>
    <x v="8"/>
    <x v="4"/>
    <x v="0"/>
    <x v="0"/>
    <x v="0"/>
    <x v="1"/>
    <x v="0"/>
    <x v="0"/>
    <x v="0"/>
    <x v="0"/>
  </r>
  <r>
    <x v="44"/>
    <x v="0"/>
    <x v="16"/>
    <x v="93"/>
    <x v="1165"/>
    <x v="92"/>
    <x v="0"/>
    <x v="0"/>
    <x v="41"/>
    <x v="0"/>
    <x v="0"/>
    <x v="0"/>
    <x v="0"/>
    <x v="0"/>
    <x v="8"/>
    <x v="92"/>
    <x v="88"/>
    <x v="93"/>
    <x v="3"/>
    <x v="10"/>
    <x v="0"/>
    <x v="8"/>
    <x v="4"/>
    <x v="0"/>
    <x v="0"/>
    <x v="0"/>
    <x v="1"/>
    <x v="0"/>
    <x v="0"/>
    <x v="0"/>
    <x v="0"/>
  </r>
  <r>
    <x v="36"/>
    <x v="0"/>
    <x v="16"/>
    <x v="85"/>
    <x v="1166"/>
    <x v="93"/>
    <x v="0"/>
    <x v="0"/>
    <x v="33"/>
    <x v="0"/>
    <x v="0"/>
    <x v="0"/>
    <x v="0"/>
    <x v="0"/>
    <x v="8"/>
    <x v="93"/>
    <x v="89"/>
    <x v="85"/>
    <x v="3"/>
    <x v="10"/>
    <x v="0"/>
    <x v="8"/>
    <x v="4"/>
    <x v="0"/>
    <x v="0"/>
    <x v="0"/>
    <x v="1"/>
    <x v="0"/>
    <x v="0"/>
    <x v="0"/>
    <x v="0"/>
  </r>
  <r>
    <x v="41"/>
    <x v="0"/>
    <x v="16"/>
    <x v="90"/>
    <x v="1167"/>
    <x v="94"/>
    <x v="0"/>
    <x v="0"/>
    <x v="38"/>
    <x v="0"/>
    <x v="0"/>
    <x v="0"/>
    <x v="0"/>
    <x v="0"/>
    <x v="8"/>
    <x v="94"/>
    <x v="90"/>
    <x v="90"/>
    <x v="3"/>
    <x v="10"/>
    <x v="0"/>
    <x v="8"/>
    <x v="4"/>
    <x v="0"/>
    <x v="0"/>
    <x v="0"/>
    <x v="1"/>
    <x v="0"/>
    <x v="0"/>
    <x v="0"/>
    <x v="0"/>
  </r>
  <r>
    <x v="35"/>
    <x v="0"/>
    <x v="16"/>
    <x v="84"/>
    <x v="1168"/>
    <x v="95"/>
    <x v="0"/>
    <x v="0"/>
    <x v="32"/>
    <x v="0"/>
    <x v="0"/>
    <x v="0"/>
    <x v="0"/>
    <x v="0"/>
    <x v="8"/>
    <x v="95"/>
    <x v="91"/>
    <x v="84"/>
    <x v="3"/>
    <x v="10"/>
    <x v="0"/>
    <x v="8"/>
    <x v="4"/>
    <x v="0"/>
    <x v="0"/>
    <x v="0"/>
    <x v="1"/>
    <x v="0"/>
    <x v="0"/>
    <x v="0"/>
    <x v="0"/>
  </r>
  <r>
    <x v="32"/>
    <x v="0"/>
    <x v="16"/>
    <x v="81"/>
    <x v="1169"/>
    <x v="96"/>
    <x v="0"/>
    <x v="0"/>
    <x v="29"/>
    <x v="0"/>
    <x v="0"/>
    <x v="0"/>
    <x v="0"/>
    <x v="0"/>
    <x v="8"/>
    <x v="96"/>
    <x v="92"/>
    <x v="81"/>
    <x v="3"/>
    <x v="10"/>
    <x v="0"/>
    <x v="8"/>
    <x v="4"/>
    <x v="0"/>
    <x v="0"/>
    <x v="0"/>
    <x v="1"/>
    <x v="0"/>
    <x v="0"/>
    <x v="0"/>
    <x v="0"/>
  </r>
  <r>
    <x v="29"/>
    <x v="0"/>
    <x v="16"/>
    <x v="78"/>
    <x v="1170"/>
    <x v="97"/>
    <x v="0"/>
    <x v="0"/>
    <x v="26"/>
    <x v="0"/>
    <x v="0"/>
    <x v="0"/>
    <x v="0"/>
    <x v="0"/>
    <x v="8"/>
    <x v="97"/>
    <x v="93"/>
    <x v="78"/>
    <x v="3"/>
    <x v="10"/>
    <x v="0"/>
    <x v="8"/>
    <x v="4"/>
    <x v="0"/>
    <x v="0"/>
    <x v="0"/>
    <x v="1"/>
    <x v="0"/>
    <x v="0"/>
    <x v="0"/>
    <x v="0"/>
  </r>
  <r>
    <x v="27"/>
    <x v="0"/>
    <x v="16"/>
    <x v="76"/>
    <x v="1171"/>
    <x v="98"/>
    <x v="0"/>
    <x v="0"/>
    <x v="24"/>
    <x v="0"/>
    <x v="0"/>
    <x v="0"/>
    <x v="0"/>
    <x v="0"/>
    <x v="8"/>
    <x v="98"/>
    <x v="94"/>
    <x v="76"/>
    <x v="3"/>
    <x v="10"/>
    <x v="0"/>
    <x v="8"/>
    <x v="4"/>
    <x v="0"/>
    <x v="0"/>
    <x v="0"/>
    <x v="1"/>
    <x v="0"/>
    <x v="0"/>
    <x v="0"/>
    <x v="0"/>
  </r>
  <r>
    <x v="46"/>
    <x v="0"/>
    <x v="16"/>
    <x v="95"/>
    <x v="1172"/>
    <x v="99"/>
    <x v="0"/>
    <x v="0"/>
    <x v="43"/>
    <x v="0"/>
    <x v="0"/>
    <x v="0"/>
    <x v="0"/>
    <x v="0"/>
    <x v="8"/>
    <x v="99"/>
    <x v="95"/>
    <x v="95"/>
    <x v="3"/>
    <x v="10"/>
    <x v="0"/>
    <x v="8"/>
    <x v="4"/>
    <x v="0"/>
    <x v="0"/>
    <x v="0"/>
    <x v="1"/>
    <x v="0"/>
    <x v="0"/>
    <x v="0"/>
    <x v="0"/>
  </r>
  <r>
    <x v="39"/>
    <x v="0"/>
    <x v="16"/>
    <x v="88"/>
    <x v="1173"/>
    <x v="100"/>
    <x v="0"/>
    <x v="0"/>
    <x v="36"/>
    <x v="0"/>
    <x v="0"/>
    <x v="0"/>
    <x v="0"/>
    <x v="0"/>
    <x v="8"/>
    <x v="100"/>
    <x v="96"/>
    <x v="88"/>
    <x v="3"/>
    <x v="10"/>
    <x v="0"/>
    <x v="8"/>
    <x v="4"/>
    <x v="0"/>
    <x v="0"/>
    <x v="0"/>
    <x v="1"/>
    <x v="0"/>
    <x v="0"/>
    <x v="0"/>
    <x v="0"/>
  </r>
  <r>
    <x v="30"/>
    <x v="0"/>
    <x v="16"/>
    <x v="79"/>
    <x v="1174"/>
    <x v="101"/>
    <x v="0"/>
    <x v="0"/>
    <x v="27"/>
    <x v="0"/>
    <x v="0"/>
    <x v="0"/>
    <x v="0"/>
    <x v="0"/>
    <x v="8"/>
    <x v="101"/>
    <x v="97"/>
    <x v="79"/>
    <x v="3"/>
    <x v="10"/>
    <x v="0"/>
    <x v="8"/>
    <x v="4"/>
    <x v="0"/>
    <x v="0"/>
    <x v="0"/>
    <x v="1"/>
    <x v="0"/>
    <x v="0"/>
    <x v="0"/>
    <x v="0"/>
  </r>
  <r>
    <x v="38"/>
    <x v="0"/>
    <x v="16"/>
    <x v="87"/>
    <x v="1175"/>
    <x v="102"/>
    <x v="0"/>
    <x v="0"/>
    <x v="35"/>
    <x v="0"/>
    <x v="0"/>
    <x v="0"/>
    <x v="0"/>
    <x v="0"/>
    <x v="8"/>
    <x v="102"/>
    <x v="98"/>
    <x v="87"/>
    <x v="3"/>
    <x v="10"/>
    <x v="0"/>
    <x v="8"/>
    <x v="4"/>
    <x v="0"/>
    <x v="0"/>
    <x v="0"/>
    <x v="1"/>
    <x v="0"/>
    <x v="0"/>
    <x v="0"/>
    <x v="0"/>
  </r>
  <r>
    <x v="34"/>
    <x v="0"/>
    <x v="16"/>
    <x v="83"/>
    <x v="1176"/>
    <x v="103"/>
    <x v="0"/>
    <x v="0"/>
    <x v="31"/>
    <x v="0"/>
    <x v="0"/>
    <x v="0"/>
    <x v="0"/>
    <x v="0"/>
    <x v="8"/>
    <x v="103"/>
    <x v="99"/>
    <x v="83"/>
    <x v="3"/>
    <x v="10"/>
    <x v="0"/>
    <x v="8"/>
    <x v="4"/>
    <x v="0"/>
    <x v="0"/>
    <x v="0"/>
    <x v="1"/>
    <x v="0"/>
    <x v="0"/>
    <x v="0"/>
    <x v="0"/>
  </r>
  <r>
    <x v="33"/>
    <x v="0"/>
    <x v="16"/>
    <x v="82"/>
    <x v="1177"/>
    <x v="104"/>
    <x v="0"/>
    <x v="0"/>
    <x v="30"/>
    <x v="0"/>
    <x v="0"/>
    <x v="0"/>
    <x v="0"/>
    <x v="0"/>
    <x v="8"/>
    <x v="104"/>
    <x v="100"/>
    <x v="82"/>
    <x v="3"/>
    <x v="10"/>
    <x v="0"/>
    <x v="8"/>
    <x v="4"/>
    <x v="0"/>
    <x v="0"/>
    <x v="0"/>
    <x v="1"/>
    <x v="0"/>
    <x v="0"/>
    <x v="0"/>
    <x v="0"/>
  </r>
  <r>
    <x v="40"/>
    <x v="0"/>
    <x v="16"/>
    <x v="89"/>
    <x v="1178"/>
    <x v="105"/>
    <x v="0"/>
    <x v="0"/>
    <x v="37"/>
    <x v="0"/>
    <x v="0"/>
    <x v="0"/>
    <x v="0"/>
    <x v="0"/>
    <x v="8"/>
    <x v="105"/>
    <x v="101"/>
    <x v="89"/>
    <x v="3"/>
    <x v="10"/>
    <x v="0"/>
    <x v="8"/>
    <x v="4"/>
    <x v="0"/>
    <x v="0"/>
    <x v="0"/>
    <x v="1"/>
    <x v="0"/>
    <x v="0"/>
    <x v="0"/>
    <x v="0"/>
  </r>
  <r>
    <x v="37"/>
    <x v="0"/>
    <x v="16"/>
    <x v="86"/>
    <x v="1179"/>
    <x v="106"/>
    <x v="0"/>
    <x v="0"/>
    <x v="34"/>
    <x v="0"/>
    <x v="0"/>
    <x v="0"/>
    <x v="0"/>
    <x v="0"/>
    <x v="8"/>
    <x v="106"/>
    <x v="102"/>
    <x v="86"/>
    <x v="3"/>
    <x v="10"/>
    <x v="0"/>
    <x v="8"/>
    <x v="4"/>
    <x v="0"/>
    <x v="0"/>
    <x v="0"/>
    <x v="1"/>
    <x v="0"/>
    <x v="0"/>
    <x v="0"/>
    <x v="0"/>
  </r>
  <r>
    <x v="26"/>
    <x v="0"/>
    <x v="16"/>
    <x v="75"/>
    <x v="1180"/>
    <x v="107"/>
    <x v="0"/>
    <x v="0"/>
    <x v="23"/>
    <x v="0"/>
    <x v="0"/>
    <x v="0"/>
    <x v="0"/>
    <x v="0"/>
    <x v="8"/>
    <x v="107"/>
    <x v="103"/>
    <x v="75"/>
    <x v="3"/>
    <x v="10"/>
    <x v="0"/>
    <x v="8"/>
    <x v="4"/>
    <x v="0"/>
    <x v="0"/>
    <x v="0"/>
    <x v="1"/>
    <x v="0"/>
    <x v="0"/>
    <x v="0"/>
    <x v="0"/>
  </r>
  <r>
    <x v="25"/>
    <x v="0"/>
    <x v="16"/>
    <x v="74"/>
    <x v="1181"/>
    <x v="108"/>
    <x v="0"/>
    <x v="0"/>
    <x v="22"/>
    <x v="0"/>
    <x v="0"/>
    <x v="0"/>
    <x v="0"/>
    <x v="0"/>
    <x v="8"/>
    <x v="108"/>
    <x v="104"/>
    <x v="74"/>
    <x v="3"/>
    <x v="10"/>
    <x v="0"/>
    <x v="8"/>
    <x v="4"/>
    <x v="0"/>
    <x v="0"/>
    <x v="0"/>
    <x v="1"/>
    <x v="0"/>
    <x v="0"/>
    <x v="0"/>
    <x v="0"/>
  </r>
  <r>
    <x v="43"/>
    <x v="0"/>
    <x v="16"/>
    <x v="92"/>
    <x v="1182"/>
    <x v="109"/>
    <x v="0"/>
    <x v="0"/>
    <x v="40"/>
    <x v="0"/>
    <x v="0"/>
    <x v="0"/>
    <x v="0"/>
    <x v="0"/>
    <x v="8"/>
    <x v="109"/>
    <x v="105"/>
    <x v="92"/>
    <x v="3"/>
    <x v="10"/>
    <x v="0"/>
    <x v="8"/>
    <x v="4"/>
    <x v="0"/>
    <x v="0"/>
    <x v="0"/>
    <x v="1"/>
    <x v="0"/>
    <x v="0"/>
    <x v="0"/>
    <x v="0"/>
  </r>
  <r>
    <x v="28"/>
    <x v="0"/>
    <x v="16"/>
    <x v="77"/>
    <x v="1183"/>
    <x v="110"/>
    <x v="0"/>
    <x v="0"/>
    <x v="25"/>
    <x v="0"/>
    <x v="0"/>
    <x v="0"/>
    <x v="0"/>
    <x v="0"/>
    <x v="8"/>
    <x v="110"/>
    <x v="106"/>
    <x v="77"/>
    <x v="3"/>
    <x v="10"/>
    <x v="0"/>
    <x v="8"/>
    <x v="4"/>
    <x v="0"/>
    <x v="0"/>
    <x v="0"/>
    <x v="1"/>
    <x v="0"/>
    <x v="0"/>
    <x v="0"/>
    <x v="0"/>
  </r>
  <r>
    <x v="45"/>
    <x v="0"/>
    <x v="16"/>
    <x v="94"/>
    <x v="1184"/>
    <x v="111"/>
    <x v="0"/>
    <x v="0"/>
    <x v="42"/>
    <x v="0"/>
    <x v="0"/>
    <x v="0"/>
    <x v="0"/>
    <x v="0"/>
    <x v="8"/>
    <x v="111"/>
    <x v="107"/>
    <x v="94"/>
    <x v="3"/>
    <x v="10"/>
    <x v="0"/>
    <x v="8"/>
    <x v="4"/>
    <x v="0"/>
    <x v="0"/>
    <x v="0"/>
    <x v="1"/>
    <x v="0"/>
    <x v="0"/>
    <x v="0"/>
    <x v="0"/>
  </r>
  <r>
    <x v="379"/>
    <x v="1"/>
    <x v="25"/>
    <x v="195"/>
    <x v="533"/>
    <x v="466"/>
    <x v="1"/>
    <x v="0"/>
    <x v="362"/>
    <x v="0"/>
    <x v="0"/>
    <x v="0"/>
    <x v="0"/>
    <x v="0"/>
    <x v="9"/>
    <x v="466"/>
    <x v="455"/>
    <x v="195"/>
    <x v="2"/>
    <x v="10"/>
    <x v="0"/>
    <x v="9"/>
    <x v="11"/>
    <x v="0"/>
    <x v="0"/>
    <x v="0"/>
    <x v="21"/>
    <x v="0"/>
    <x v="0"/>
    <x v="1"/>
    <x v="1"/>
  </r>
  <r>
    <x v="233"/>
    <x v="0"/>
    <x v="24"/>
    <x v="193"/>
    <x v="1348"/>
    <x v="160"/>
    <x v="1"/>
    <x v="0"/>
    <x v="230"/>
    <x v="0"/>
    <x v="0"/>
    <x v="0"/>
    <x v="0"/>
    <x v="0"/>
    <x v="10"/>
    <x v="160"/>
    <x v="156"/>
    <x v="193"/>
    <x v="3"/>
    <x v="10"/>
    <x v="0"/>
    <x v="10"/>
    <x v="10"/>
    <x v="0"/>
    <x v="0"/>
    <x v="0"/>
    <x v="12"/>
    <x v="0"/>
    <x v="0"/>
    <x v="1"/>
    <x v="1"/>
  </r>
  <r>
    <x v="235"/>
    <x v="1"/>
    <x v="23"/>
    <x v="194"/>
    <x v="1349"/>
    <x v="159"/>
    <x v="1"/>
    <x v="0"/>
    <x v="232"/>
    <x v="0"/>
    <x v="0"/>
    <x v="0"/>
    <x v="0"/>
    <x v="0"/>
    <x v="10"/>
    <x v="159"/>
    <x v="155"/>
    <x v="194"/>
    <x v="3"/>
    <x v="10"/>
    <x v="0"/>
    <x v="10"/>
    <x v="10"/>
    <x v="0"/>
    <x v="0"/>
    <x v="0"/>
    <x v="13"/>
    <x v="0"/>
    <x v="0"/>
    <x v="1"/>
    <x v="1"/>
  </r>
  <r>
    <x v="332"/>
    <x v="0"/>
    <x v="21"/>
    <x v="357"/>
    <x v="1185"/>
    <x v="215"/>
    <x v="1"/>
    <x v="0"/>
    <x v="329"/>
    <x v="0"/>
    <x v="0"/>
    <x v="0"/>
    <x v="0"/>
    <x v="0"/>
    <x v="11"/>
    <x v="215"/>
    <x v="208"/>
    <x v="357"/>
    <x v="3"/>
    <x v="10"/>
    <x v="0"/>
    <x v="11"/>
    <x v="12"/>
    <x v="0"/>
    <x v="0"/>
    <x v="0"/>
    <x v="6"/>
    <x v="0"/>
    <x v="0"/>
    <x v="1"/>
    <x v="1"/>
  </r>
  <r>
    <x v="333"/>
    <x v="1"/>
    <x v="21"/>
    <x v="358"/>
    <x v="1186"/>
    <x v="214"/>
    <x v="1"/>
    <x v="0"/>
    <x v="330"/>
    <x v="0"/>
    <x v="0"/>
    <x v="0"/>
    <x v="0"/>
    <x v="0"/>
    <x v="11"/>
    <x v="214"/>
    <x v="207"/>
    <x v="358"/>
    <x v="3"/>
    <x v="10"/>
    <x v="0"/>
    <x v="11"/>
    <x v="12"/>
    <x v="0"/>
    <x v="0"/>
    <x v="0"/>
    <x v="6"/>
    <x v="0"/>
    <x v="0"/>
    <x v="1"/>
    <x v="1"/>
  </r>
  <r>
    <x v="236"/>
    <x v="1"/>
    <x v="25"/>
    <x v="198"/>
    <x v="1187"/>
    <x v="304"/>
    <x v="1"/>
    <x v="0"/>
    <x v="233"/>
    <x v="0"/>
    <x v="0"/>
    <x v="0"/>
    <x v="0"/>
    <x v="0"/>
    <x v="11"/>
    <x v="304"/>
    <x v="297"/>
    <x v="198"/>
    <x v="3"/>
    <x v="10"/>
    <x v="0"/>
    <x v="11"/>
    <x v="12"/>
    <x v="0"/>
    <x v="0"/>
    <x v="0"/>
    <x v="5"/>
    <x v="0"/>
    <x v="0"/>
    <x v="1"/>
    <x v="1"/>
  </r>
  <r>
    <x v="265"/>
    <x v="1"/>
    <x v="25"/>
    <x v="271"/>
    <x v="1188"/>
    <x v="260"/>
    <x v="1"/>
    <x v="0"/>
    <x v="262"/>
    <x v="0"/>
    <x v="0"/>
    <x v="0"/>
    <x v="0"/>
    <x v="0"/>
    <x v="11"/>
    <x v="260"/>
    <x v="253"/>
    <x v="271"/>
    <x v="3"/>
    <x v="10"/>
    <x v="0"/>
    <x v="11"/>
    <x v="12"/>
    <x v="0"/>
    <x v="0"/>
    <x v="0"/>
    <x v="5"/>
    <x v="0"/>
    <x v="0"/>
    <x v="1"/>
    <x v="1"/>
  </r>
  <r>
    <x v="276"/>
    <x v="1"/>
    <x v="25"/>
    <x v="282"/>
    <x v="1189"/>
    <x v="261"/>
    <x v="1"/>
    <x v="0"/>
    <x v="273"/>
    <x v="0"/>
    <x v="0"/>
    <x v="0"/>
    <x v="0"/>
    <x v="0"/>
    <x v="11"/>
    <x v="261"/>
    <x v="254"/>
    <x v="282"/>
    <x v="3"/>
    <x v="10"/>
    <x v="0"/>
    <x v="11"/>
    <x v="12"/>
    <x v="0"/>
    <x v="0"/>
    <x v="0"/>
    <x v="5"/>
    <x v="0"/>
    <x v="0"/>
    <x v="1"/>
    <x v="1"/>
  </r>
  <r>
    <x v="278"/>
    <x v="1"/>
    <x v="25"/>
    <x v="284"/>
    <x v="1190"/>
    <x v="262"/>
    <x v="1"/>
    <x v="0"/>
    <x v="275"/>
    <x v="0"/>
    <x v="0"/>
    <x v="0"/>
    <x v="0"/>
    <x v="0"/>
    <x v="11"/>
    <x v="262"/>
    <x v="255"/>
    <x v="284"/>
    <x v="3"/>
    <x v="10"/>
    <x v="0"/>
    <x v="11"/>
    <x v="12"/>
    <x v="0"/>
    <x v="0"/>
    <x v="0"/>
    <x v="5"/>
    <x v="0"/>
    <x v="0"/>
    <x v="1"/>
    <x v="1"/>
  </r>
  <r>
    <x v="270"/>
    <x v="1"/>
    <x v="25"/>
    <x v="276"/>
    <x v="1191"/>
    <x v="263"/>
    <x v="1"/>
    <x v="0"/>
    <x v="267"/>
    <x v="0"/>
    <x v="0"/>
    <x v="0"/>
    <x v="0"/>
    <x v="0"/>
    <x v="11"/>
    <x v="263"/>
    <x v="256"/>
    <x v="276"/>
    <x v="3"/>
    <x v="10"/>
    <x v="0"/>
    <x v="11"/>
    <x v="12"/>
    <x v="0"/>
    <x v="0"/>
    <x v="0"/>
    <x v="5"/>
    <x v="0"/>
    <x v="0"/>
    <x v="1"/>
    <x v="1"/>
  </r>
  <r>
    <x v="275"/>
    <x v="1"/>
    <x v="25"/>
    <x v="281"/>
    <x v="1192"/>
    <x v="264"/>
    <x v="1"/>
    <x v="0"/>
    <x v="272"/>
    <x v="0"/>
    <x v="0"/>
    <x v="0"/>
    <x v="0"/>
    <x v="0"/>
    <x v="11"/>
    <x v="264"/>
    <x v="257"/>
    <x v="281"/>
    <x v="3"/>
    <x v="10"/>
    <x v="0"/>
    <x v="11"/>
    <x v="12"/>
    <x v="0"/>
    <x v="0"/>
    <x v="0"/>
    <x v="5"/>
    <x v="0"/>
    <x v="0"/>
    <x v="1"/>
    <x v="1"/>
  </r>
  <r>
    <x v="269"/>
    <x v="1"/>
    <x v="25"/>
    <x v="275"/>
    <x v="1193"/>
    <x v="265"/>
    <x v="1"/>
    <x v="0"/>
    <x v="266"/>
    <x v="0"/>
    <x v="0"/>
    <x v="0"/>
    <x v="0"/>
    <x v="0"/>
    <x v="11"/>
    <x v="265"/>
    <x v="258"/>
    <x v="275"/>
    <x v="3"/>
    <x v="10"/>
    <x v="0"/>
    <x v="11"/>
    <x v="12"/>
    <x v="0"/>
    <x v="0"/>
    <x v="0"/>
    <x v="5"/>
    <x v="0"/>
    <x v="0"/>
    <x v="1"/>
    <x v="1"/>
  </r>
  <r>
    <x v="266"/>
    <x v="1"/>
    <x v="25"/>
    <x v="272"/>
    <x v="1194"/>
    <x v="266"/>
    <x v="1"/>
    <x v="0"/>
    <x v="263"/>
    <x v="0"/>
    <x v="0"/>
    <x v="0"/>
    <x v="0"/>
    <x v="0"/>
    <x v="11"/>
    <x v="266"/>
    <x v="259"/>
    <x v="272"/>
    <x v="3"/>
    <x v="10"/>
    <x v="0"/>
    <x v="11"/>
    <x v="12"/>
    <x v="0"/>
    <x v="0"/>
    <x v="0"/>
    <x v="5"/>
    <x v="0"/>
    <x v="0"/>
    <x v="1"/>
    <x v="1"/>
  </r>
  <r>
    <x v="263"/>
    <x v="1"/>
    <x v="25"/>
    <x v="269"/>
    <x v="1195"/>
    <x v="267"/>
    <x v="1"/>
    <x v="0"/>
    <x v="260"/>
    <x v="0"/>
    <x v="0"/>
    <x v="0"/>
    <x v="0"/>
    <x v="0"/>
    <x v="11"/>
    <x v="267"/>
    <x v="260"/>
    <x v="269"/>
    <x v="3"/>
    <x v="10"/>
    <x v="0"/>
    <x v="11"/>
    <x v="12"/>
    <x v="0"/>
    <x v="0"/>
    <x v="0"/>
    <x v="5"/>
    <x v="0"/>
    <x v="0"/>
    <x v="1"/>
    <x v="1"/>
  </r>
  <r>
    <x v="261"/>
    <x v="1"/>
    <x v="25"/>
    <x v="267"/>
    <x v="1196"/>
    <x v="268"/>
    <x v="1"/>
    <x v="0"/>
    <x v="258"/>
    <x v="0"/>
    <x v="0"/>
    <x v="0"/>
    <x v="0"/>
    <x v="0"/>
    <x v="11"/>
    <x v="268"/>
    <x v="261"/>
    <x v="267"/>
    <x v="3"/>
    <x v="10"/>
    <x v="0"/>
    <x v="11"/>
    <x v="12"/>
    <x v="0"/>
    <x v="0"/>
    <x v="0"/>
    <x v="5"/>
    <x v="0"/>
    <x v="0"/>
    <x v="1"/>
    <x v="1"/>
  </r>
  <r>
    <x v="280"/>
    <x v="1"/>
    <x v="25"/>
    <x v="286"/>
    <x v="1197"/>
    <x v="269"/>
    <x v="1"/>
    <x v="0"/>
    <x v="277"/>
    <x v="0"/>
    <x v="0"/>
    <x v="0"/>
    <x v="0"/>
    <x v="0"/>
    <x v="11"/>
    <x v="269"/>
    <x v="262"/>
    <x v="286"/>
    <x v="3"/>
    <x v="10"/>
    <x v="0"/>
    <x v="11"/>
    <x v="12"/>
    <x v="0"/>
    <x v="0"/>
    <x v="0"/>
    <x v="5"/>
    <x v="0"/>
    <x v="0"/>
    <x v="1"/>
    <x v="1"/>
  </r>
  <r>
    <x v="273"/>
    <x v="1"/>
    <x v="25"/>
    <x v="279"/>
    <x v="1198"/>
    <x v="270"/>
    <x v="1"/>
    <x v="0"/>
    <x v="270"/>
    <x v="0"/>
    <x v="0"/>
    <x v="0"/>
    <x v="0"/>
    <x v="0"/>
    <x v="11"/>
    <x v="270"/>
    <x v="263"/>
    <x v="279"/>
    <x v="3"/>
    <x v="10"/>
    <x v="0"/>
    <x v="11"/>
    <x v="12"/>
    <x v="0"/>
    <x v="0"/>
    <x v="0"/>
    <x v="5"/>
    <x v="0"/>
    <x v="0"/>
    <x v="1"/>
    <x v="1"/>
  </r>
  <r>
    <x v="264"/>
    <x v="1"/>
    <x v="25"/>
    <x v="270"/>
    <x v="1199"/>
    <x v="271"/>
    <x v="1"/>
    <x v="0"/>
    <x v="261"/>
    <x v="0"/>
    <x v="0"/>
    <x v="0"/>
    <x v="0"/>
    <x v="0"/>
    <x v="11"/>
    <x v="271"/>
    <x v="264"/>
    <x v="270"/>
    <x v="3"/>
    <x v="10"/>
    <x v="0"/>
    <x v="11"/>
    <x v="12"/>
    <x v="0"/>
    <x v="0"/>
    <x v="0"/>
    <x v="5"/>
    <x v="0"/>
    <x v="0"/>
    <x v="1"/>
    <x v="1"/>
  </r>
  <r>
    <x v="272"/>
    <x v="1"/>
    <x v="25"/>
    <x v="278"/>
    <x v="1200"/>
    <x v="272"/>
    <x v="1"/>
    <x v="0"/>
    <x v="269"/>
    <x v="0"/>
    <x v="0"/>
    <x v="0"/>
    <x v="0"/>
    <x v="0"/>
    <x v="11"/>
    <x v="272"/>
    <x v="265"/>
    <x v="278"/>
    <x v="3"/>
    <x v="10"/>
    <x v="0"/>
    <x v="11"/>
    <x v="12"/>
    <x v="0"/>
    <x v="0"/>
    <x v="0"/>
    <x v="5"/>
    <x v="0"/>
    <x v="0"/>
    <x v="1"/>
    <x v="1"/>
  </r>
  <r>
    <x v="268"/>
    <x v="1"/>
    <x v="25"/>
    <x v="274"/>
    <x v="1201"/>
    <x v="273"/>
    <x v="1"/>
    <x v="0"/>
    <x v="265"/>
    <x v="0"/>
    <x v="0"/>
    <x v="0"/>
    <x v="0"/>
    <x v="0"/>
    <x v="11"/>
    <x v="273"/>
    <x v="266"/>
    <x v="274"/>
    <x v="3"/>
    <x v="10"/>
    <x v="0"/>
    <x v="11"/>
    <x v="12"/>
    <x v="0"/>
    <x v="0"/>
    <x v="0"/>
    <x v="5"/>
    <x v="0"/>
    <x v="0"/>
    <x v="1"/>
    <x v="1"/>
  </r>
  <r>
    <x v="267"/>
    <x v="1"/>
    <x v="25"/>
    <x v="273"/>
    <x v="1202"/>
    <x v="274"/>
    <x v="1"/>
    <x v="0"/>
    <x v="264"/>
    <x v="0"/>
    <x v="0"/>
    <x v="0"/>
    <x v="0"/>
    <x v="0"/>
    <x v="11"/>
    <x v="274"/>
    <x v="267"/>
    <x v="273"/>
    <x v="3"/>
    <x v="10"/>
    <x v="0"/>
    <x v="11"/>
    <x v="12"/>
    <x v="0"/>
    <x v="0"/>
    <x v="0"/>
    <x v="5"/>
    <x v="0"/>
    <x v="0"/>
    <x v="1"/>
    <x v="1"/>
  </r>
  <r>
    <x v="274"/>
    <x v="1"/>
    <x v="25"/>
    <x v="280"/>
    <x v="1203"/>
    <x v="275"/>
    <x v="1"/>
    <x v="0"/>
    <x v="271"/>
    <x v="0"/>
    <x v="0"/>
    <x v="0"/>
    <x v="0"/>
    <x v="0"/>
    <x v="11"/>
    <x v="275"/>
    <x v="268"/>
    <x v="280"/>
    <x v="3"/>
    <x v="10"/>
    <x v="0"/>
    <x v="11"/>
    <x v="12"/>
    <x v="0"/>
    <x v="0"/>
    <x v="0"/>
    <x v="5"/>
    <x v="0"/>
    <x v="0"/>
    <x v="1"/>
    <x v="1"/>
  </r>
  <r>
    <x v="271"/>
    <x v="1"/>
    <x v="25"/>
    <x v="277"/>
    <x v="1204"/>
    <x v="276"/>
    <x v="1"/>
    <x v="0"/>
    <x v="268"/>
    <x v="0"/>
    <x v="0"/>
    <x v="0"/>
    <x v="0"/>
    <x v="0"/>
    <x v="11"/>
    <x v="276"/>
    <x v="269"/>
    <x v="277"/>
    <x v="3"/>
    <x v="10"/>
    <x v="0"/>
    <x v="11"/>
    <x v="12"/>
    <x v="0"/>
    <x v="0"/>
    <x v="0"/>
    <x v="5"/>
    <x v="0"/>
    <x v="0"/>
    <x v="1"/>
    <x v="1"/>
  </r>
  <r>
    <x v="260"/>
    <x v="1"/>
    <x v="25"/>
    <x v="266"/>
    <x v="1205"/>
    <x v="277"/>
    <x v="1"/>
    <x v="0"/>
    <x v="257"/>
    <x v="0"/>
    <x v="0"/>
    <x v="0"/>
    <x v="0"/>
    <x v="0"/>
    <x v="11"/>
    <x v="277"/>
    <x v="270"/>
    <x v="266"/>
    <x v="3"/>
    <x v="10"/>
    <x v="0"/>
    <x v="11"/>
    <x v="12"/>
    <x v="0"/>
    <x v="0"/>
    <x v="0"/>
    <x v="5"/>
    <x v="0"/>
    <x v="0"/>
    <x v="1"/>
    <x v="1"/>
  </r>
  <r>
    <x v="259"/>
    <x v="1"/>
    <x v="25"/>
    <x v="265"/>
    <x v="1206"/>
    <x v="278"/>
    <x v="1"/>
    <x v="0"/>
    <x v="256"/>
    <x v="0"/>
    <x v="0"/>
    <x v="0"/>
    <x v="0"/>
    <x v="0"/>
    <x v="11"/>
    <x v="278"/>
    <x v="271"/>
    <x v="265"/>
    <x v="3"/>
    <x v="10"/>
    <x v="0"/>
    <x v="11"/>
    <x v="12"/>
    <x v="0"/>
    <x v="0"/>
    <x v="0"/>
    <x v="5"/>
    <x v="0"/>
    <x v="0"/>
    <x v="1"/>
    <x v="1"/>
  </r>
  <r>
    <x v="277"/>
    <x v="1"/>
    <x v="25"/>
    <x v="283"/>
    <x v="1207"/>
    <x v="279"/>
    <x v="1"/>
    <x v="0"/>
    <x v="274"/>
    <x v="0"/>
    <x v="0"/>
    <x v="0"/>
    <x v="0"/>
    <x v="0"/>
    <x v="11"/>
    <x v="279"/>
    <x v="272"/>
    <x v="283"/>
    <x v="3"/>
    <x v="10"/>
    <x v="0"/>
    <x v="11"/>
    <x v="12"/>
    <x v="0"/>
    <x v="0"/>
    <x v="0"/>
    <x v="5"/>
    <x v="0"/>
    <x v="0"/>
    <x v="1"/>
    <x v="1"/>
  </r>
  <r>
    <x v="262"/>
    <x v="1"/>
    <x v="25"/>
    <x v="268"/>
    <x v="1208"/>
    <x v="280"/>
    <x v="1"/>
    <x v="0"/>
    <x v="259"/>
    <x v="0"/>
    <x v="0"/>
    <x v="0"/>
    <x v="0"/>
    <x v="0"/>
    <x v="11"/>
    <x v="280"/>
    <x v="273"/>
    <x v="268"/>
    <x v="3"/>
    <x v="10"/>
    <x v="0"/>
    <x v="11"/>
    <x v="12"/>
    <x v="0"/>
    <x v="0"/>
    <x v="0"/>
    <x v="5"/>
    <x v="0"/>
    <x v="0"/>
    <x v="1"/>
    <x v="1"/>
  </r>
  <r>
    <x v="279"/>
    <x v="1"/>
    <x v="25"/>
    <x v="285"/>
    <x v="1209"/>
    <x v="281"/>
    <x v="1"/>
    <x v="0"/>
    <x v="276"/>
    <x v="0"/>
    <x v="0"/>
    <x v="0"/>
    <x v="0"/>
    <x v="0"/>
    <x v="11"/>
    <x v="281"/>
    <x v="274"/>
    <x v="285"/>
    <x v="3"/>
    <x v="10"/>
    <x v="0"/>
    <x v="11"/>
    <x v="12"/>
    <x v="0"/>
    <x v="0"/>
    <x v="0"/>
    <x v="5"/>
    <x v="0"/>
    <x v="0"/>
    <x v="1"/>
    <x v="1"/>
  </r>
  <r>
    <x v="287"/>
    <x v="1"/>
    <x v="25"/>
    <x v="293"/>
    <x v="1210"/>
    <x v="238"/>
    <x v="1"/>
    <x v="0"/>
    <x v="284"/>
    <x v="0"/>
    <x v="0"/>
    <x v="0"/>
    <x v="0"/>
    <x v="0"/>
    <x v="11"/>
    <x v="238"/>
    <x v="231"/>
    <x v="293"/>
    <x v="3"/>
    <x v="10"/>
    <x v="0"/>
    <x v="11"/>
    <x v="12"/>
    <x v="0"/>
    <x v="0"/>
    <x v="0"/>
    <x v="5"/>
    <x v="0"/>
    <x v="0"/>
    <x v="1"/>
    <x v="1"/>
  </r>
  <r>
    <x v="298"/>
    <x v="1"/>
    <x v="25"/>
    <x v="304"/>
    <x v="1211"/>
    <x v="239"/>
    <x v="1"/>
    <x v="0"/>
    <x v="295"/>
    <x v="0"/>
    <x v="0"/>
    <x v="0"/>
    <x v="0"/>
    <x v="0"/>
    <x v="11"/>
    <x v="239"/>
    <x v="232"/>
    <x v="304"/>
    <x v="3"/>
    <x v="10"/>
    <x v="0"/>
    <x v="11"/>
    <x v="12"/>
    <x v="0"/>
    <x v="0"/>
    <x v="0"/>
    <x v="5"/>
    <x v="0"/>
    <x v="0"/>
    <x v="1"/>
    <x v="1"/>
  </r>
  <r>
    <x v="300"/>
    <x v="1"/>
    <x v="25"/>
    <x v="306"/>
    <x v="1212"/>
    <x v="240"/>
    <x v="1"/>
    <x v="0"/>
    <x v="297"/>
    <x v="0"/>
    <x v="0"/>
    <x v="0"/>
    <x v="0"/>
    <x v="0"/>
    <x v="11"/>
    <x v="240"/>
    <x v="233"/>
    <x v="306"/>
    <x v="3"/>
    <x v="10"/>
    <x v="0"/>
    <x v="11"/>
    <x v="12"/>
    <x v="0"/>
    <x v="0"/>
    <x v="0"/>
    <x v="5"/>
    <x v="0"/>
    <x v="0"/>
    <x v="1"/>
    <x v="1"/>
  </r>
  <r>
    <x v="292"/>
    <x v="1"/>
    <x v="25"/>
    <x v="298"/>
    <x v="1213"/>
    <x v="241"/>
    <x v="1"/>
    <x v="0"/>
    <x v="289"/>
    <x v="0"/>
    <x v="0"/>
    <x v="0"/>
    <x v="0"/>
    <x v="0"/>
    <x v="11"/>
    <x v="241"/>
    <x v="234"/>
    <x v="298"/>
    <x v="3"/>
    <x v="10"/>
    <x v="0"/>
    <x v="11"/>
    <x v="12"/>
    <x v="0"/>
    <x v="0"/>
    <x v="0"/>
    <x v="5"/>
    <x v="0"/>
    <x v="0"/>
    <x v="1"/>
    <x v="1"/>
  </r>
  <r>
    <x v="297"/>
    <x v="1"/>
    <x v="25"/>
    <x v="303"/>
    <x v="1214"/>
    <x v="242"/>
    <x v="1"/>
    <x v="0"/>
    <x v="294"/>
    <x v="0"/>
    <x v="0"/>
    <x v="0"/>
    <x v="0"/>
    <x v="0"/>
    <x v="11"/>
    <x v="242"/>
    <x v="235"/>
    <x v="303"/>
    <x v="3"/>
    <x v="10"/>
    <x v="0"/>
    <x v="11"/>
    <x v="12"/>
    <x v="0"/>
    <x v="0"/>
    <x v="0"/>
    <x v="5"/>
    <x v="0"/>
    <x v="0"/>
    <x v="1"/>
    <x v="1"/>
  </r>
  <r>
    <x v="291"/>
    <x v="1"/>
    <x v="25"/>
    <x v="297"/>
    <x v="1215"/>
    <x v="243"/>
    <x v="1"/>
    <x v="0"/>
    <x v="288"/>
    <x v="0"/>
    <x v="0"/>
    <x v="0"/>
    <x v="0"/>
    <x v="0"/>
    <x v="11"/>
    <x v="243"/>
    <x v="236"/>
    <x v="297"/>
    <x v="3"/>
    <x v="10"/>
    <x v="0"/>
    <x v="11"/>
    <x v="12"/>
    <x v="0"/>
    <x v="0"/>
    <x v="0"/>
    <x v="5"/>
    <x v="0"/>
    <x v="0"/>
    <x v="1"/>
    <x v="1"/>
  </r>
  <r>
    <x v="288"/>
    <x v="1"/>
    <x v="25"/>
    <x v="294"/>
    <x v="1216"/>
    <x v="244"/>
    <x v="1"/>
    <x v="0"/>
    <x v="285"/>
    <x v="0"/>
    <x v="0"/>
    <x v="0"/>
    <x v="0"/>
    <x v="0"/>
    <x v="11"/>
    <x v="244"/>
    <x v="237"/>
    <x v="294"/>
    <x v="3"/>
    <x v="10"/>
    <x v="0"/>
    <x v="11"/>
    <x v="12"/>
    <x v="0"/>
    <x v="0"/>
    <x v="0"/>
    <x v="5"/>
    <x v="0"/>
    <x v="0"/>
    <x v="1"/>
    <x v="1"/>
  </r>
  <r>
    <x v="285"/>
    <x v="1"/>
    <x v="25"/>
    <x v="291"/>
    <x v="1217"/>
    <x v="245"/>
    <x v="1"/>
    <x v="0"/>
    <x v="282"/>
    <x v="0"/>
    <x v="0"/>
    <x v="0"/>
    <x v="0"/>
    <x v="0"/>
    <x v="11"/>
    <x v="245"/>
    <x v="238"/>
    <x v="291"/>
    <x v="3"/>
    <x v="10"/>
    <x v="0"/>
    <x v="11"/>
    <x v="12"/>
    <x v="0"/>
    <x v="0"/>
    <x v="0"/>
    <x v="5"/>
    <x v="0"/>
    <x v="0"/>
    <x v="1"/>
    <x v="1"/>
  </r>
  <r>
    <x v="283"/>
    <x v="1"/>
    <x v="25"/>
    <x v="289"/>
    <x v="1218"/>
    <x v="246"/>
    <x v="1"/>
    <x v="0"/>
    <x v="280"/>
    <x v="0"/>
    <x v="0"/>
    <x v="0"/>
    <x v="0"/>
    <x v="0"/>
    <x v="11"/>
    <x v="246"/>
    <x v="239"/>
    <x v="289"/>
    <x v="3"/>
    <x v="10"/>
    <x v="0"/>
    <x v="11"/>
    <x v="12"/>
    <x v="0"/>
    <x v="0"/>
    <x v="0"/>
    <x v="5"/>
    <x v="0"/>
    <x v="0"/>
    <x v="1"/>
    <x v="1"/>
  </r>
  <r>
    <x v="302"/>
    <x v="1"/>
    <x v="25"/>
    <x v="308"/>
    <x v="1219"/>
    <x v="247"/>
    <x v="1"/>
    <x v="0"/>
    <x v="299"/>
    <x v="0"/>
    <x v="0"/>
    <x v="0"/>
    <x v="0"/>
    <x v="0"/>
    <x v="11"/>
    <x v="247"/>
    <x v="240"/>
    <x v="308"/>
    <x v="3"/>
    <x v="10"/>
    <x v="0"/>
    <x v="11"/>
    <x v="12"/>
    <x v="0"/>
    <x v="0"/>
    <x v="0"/>
    <x v="5"/>
    <x v="0"/>
    <x v="0"/>
    <x v="1"/>
    <x v="1"/>
  </r>
  <r>
    <x v="295"/>
    <x v="1"/>
    <x v="25"/>
    <x v="301"/>
    <x v="1220"/>
    <x v="248"/>
    <x v="1"/>
    <x v="0"/>
    <x v="292"/>
    <x v="0"/>
    <x v="0"/>
    <x v="0"/>
    <x v="0"/>
    <x v="0"/>
    <x v="11"/>
    <x v="248"/>
    <x v="241"/>
    <x v="301"/>
    <x v="3"/>
    <x v="10"/>
    <x v="0"/>
    <x v="11"/>
    <x v="12"/>
    <x v="0"/>
    <x v="0"/>
    <x v="0"/>
    <x v="5"/>
    <x v="0"/>
    <x v="0"/>
    <x v="1"/>
    <x v="1"/>
  </r>
  <r>
    <x v="286"/>
    <x v="1"/>
    <x v="25"/>
    <x v="292"/>
    <x v="1221"/>
    <x v="249"/>
    <x v="1"/>
    <x v="0"/>
    <x v="283"/>
    <x v="0"/>
    <x v="0"/>
    <x v="0"/>
    <x v="0"/>
    <x v="0"/>
    <x v="11"/>
    <x v="249"/>
    <x v="242"/>
    <x v="292"/>
    <x v="3"/>
    <x v="10"/>
    <x v="0"/>
    <x v="11"/>
    <x v="12"/>
    <x v="0"/>
    <x v="0"/>
    <x v="0"/>
    <x v="5"/>
    <x v="0"/>
    <x v="0"/>
    <x v="1"/>
    <x v="1"/>
  </r>
  <r>
    <x v="294"/>
    <x v="1"/>
    <x v="25"/>
    <x v="300"/>
    <x v="1222"/>
    <x v="250"/>
    <x v="1"/>
    <x v="0"/>
    <x v="291"/>
    <x v="0"/>
    <x v="0"/>
    <x v="0"/>
    <x v="0"/>
    <x v="0"/>
    <x v="11"/>
    <x v="250"/>
    <x v="243"/>
    <x v="300"/>
    <x v="3"/>
    <x v="10"/>
    <x v="0"/>
    <x v="11"/>
    <x v="12"/>
    <x v="0"/>
    <x v="0"/>
    <x v="0"/>
    <x v="5"/>
    <x v="0"/>
    <x v="0"/>
    <x v="1"/>
    <x v="1"/>
  </r>
  <r>
    <x v="290"/>
    <x v="1"/>
    <x v="25"/>
    <x v="296"/>
    <x v="1223"/>
    <x v="251"/>
    <x v="1"/>
    <x v="0"/>
    <x v="287"/>
    <x v="0"/>
    <x v="0"/>
    <x v="0"/>
    <x v="0"/>
    <x v="0"/>
    <x v="11"/>
    <x v="251"/>
    <x v="244"/>
    <x v="296"/>
    <x v="3"/>
    <x v="10"/>
    <x v="0"/>
    <x v="11"/>
    <x v="12"/>
    <x v="0"/>
    <x v="0"/>
    <x v="0"/>
    <x v="5"/>
    <x v="0"/>
    <x v="0"/>
    <x v="1"/>
    <x v="1"/>
  </r>
  <r>
    <x v="289"/>
    <x v="1"/>
    <x v="25"/>
    <x v="295"/>
    <x v="1224"/>
    <x v="252"/>
    <x v="1"/>
    <x v="0"/>
    <x v="286"/>
    <x v="0"/>
    <x v="0"/>
    <x v="0"/>
    <x v="0"/>
    <x v="0"/>
    <x v="11"/>
    <x v="252"/>
    <x v="245"/>
    <x v="295"/>
    <x v="3"/>
    <x v="10"/>
    <x v="0"/>
    <x v="11"/>
    <x v="12"/>
    <x v="0"/>
    <x v="0"/>
    <x v="0"/>
    <x v="5"/>
    <x v="0"/>
    <x v="0"/>
    <x v="1"/>
    <x v="1"/>
  </r>
  <r>
    <x v="296"/>
    <x v="1"/>
    <x v="25"/>
    <x v="302"/>
    <x v="1225"/>
    <x v="253"/>
    <x v="1"/>
    <x v="0"/>
    <x v="293"/>
    <x v="0"/>
    <x v="0"/>
    <x v="0"/>
    <x v="0"/>
    <x v="0"/>
    <x v="11"/>
    <x v="253"/>
    <x v="246"/>
    <x v="302"/>
    <x v="3"/>
    <x v="10"/>
    <x v="0"/>
    <x v="11"/>
    <x v="12"/>
    <x v="0"/>
    <x v="0"/>
    <x v="0"/>
    <x v="5"/>
    <x v="0"/>
    <x v="0"/>
    <x v="1"/>
    <x v="1"/>
  </r>
  <r>
    <x v="293"/>
    <x v="1"/>
    <x v="25"/>
    <x v="299"/>
    <x v="1226"/>
    <x v="254"/>
    <x v="1"/>
    <x v="0"/>
    <x v="290"/>
    <x v="0"/>
    <x v="0"/>
    <x v="0"/>
    <x v="0"/>
    <x v="0"/>
    <x v="11"/>
    <x v="254"/>
    <x v="247"/>
    <x v="299"/>
    <x v="3"/>
    <x v="10"/>
    <x v="0"/>
    <x v="11"/>
    <x v="12"/>
    <x v="0"/>
    <x v="0"/>
    <x v="0"/>
    <x v="5"/>
    <x v="0"/>
    <x v="0"/>
    <x v="1"/>
    <x v="1"/>
  </r>
  <r>
    <x v="282"/>
    <x v="1"/>
    <x v="25"/>
    <x v="288"/>
    <x v="1227"/>
    <x v="255"/>
    <x v="1"/>
    <x v="0"/>
    <x v="279"/>
    <x v="0"/>
    <x v="0"/>
    <x v="0"/>
    <x v="0"/>
    <x v="0"/>
    <x v="11"/>
    <x v="255"/>
    <x v="248"/>
    <x v="288"/>
    <x v="3"/>
    <x v="10"/>
    <x v="0"/>
    <x v="11"/>
    <x v="12"/>
    <x v="0"/>
    <x v="0"/>
    <x v="0"/>
    <x v="5"/>
    <x v="0"/>
    <x v="0"/>
    <x v="1"/>
    <x v="1"/>
  </r>
  <r>
    <x v="281"/>
    <x v="1"/>
    <x v="25"/>
    <x v="287"/>
    <x v="1228"/>
    <x v="256"/>
    <x v="1"/>
    <x v="0"/>
    <x v="278"/>
    <x v="0"/>
    <x v="0"/>
    <x v="0"/>
    <x v="0"/>
    <x v="0"/>
    <x v="11"/>
    <x v="256"/>
    <x v="249"/>
    <x v="287"/>
    <x v="3"/>
    <x v="10"/>
    <x v="0"/>
    <x v="11"/>
    <x v="12"/>
    <x v="0"/>
    <x v="0"/>
    <x v="0"/>
    <x v="5"/>
    <x v="0"/>
    <x v="0"/>
    <x v="1"/>
    <x v="1"/>
  </r>
  <r>
    <x v="299"/>
    <x v="1"/>
    <x v="25"/>
    <x v="305"/>
    <x v="1229"/>
    <x v="257"/>
    <x v="1"/>
    <x v="0"/>
    <x v="296"/>
    <x v="0"/>
    <x v="0"/>
    <x v="0"/>
    <x v="0"/>
    <x v="0"/>
    <x v="11"/>
    <x v="257"/>
    <x v="250"/>
    <x v="305"/>
    <x v="3"/>
    <x v="10"/>
    <x v="0"/>
    <x v="11"/>
    <x v="12"/>
    <x v="0"/>
    <x v="0"/>
    <x v="0"/>
    <x v="5"/>
    <x v="0"/>
    <x v="0"/>
    <x v="1"/>
    <x v="1"/>
  </r>
  <r>
    <x v="284"/>
    <x v="1"/>
    <x v="25"/>
    <x v="290"/>
    <x v="1230"/>
    <x v="258"/>
    <x v="1"/>
    <x v="0"/>
    <x v="281"/>
    <x v="0"/>
    <x v="0"/>
    <x v="0"/>
    <x v="0"/>
    <x v="0"/>
    <x v="11"/>
    <x v="258"/>
    <x v="251"/>
    <x v="290"/>
    <x v="3"/>
    <x v="10"/>
    <x v="0"/>
    <x v="11"/>
    <x v="12"/>
    <x v="0"/>
    <x v="0"/>
    <x v="0"/>
    <x v="5"/>
    <x v="0"/>
    <x v="0"/>
    <x v="1"/>
    <x v="1"/>
  </r>
  <r>
    <x v="301"/>
    <x v="1"/>
    <x v="25"/>
    <x v="307"/>
    <x v="1231"/>
    <x v="259"/>
    <x v="1"/>
    <x v="0"/>
    <x v="298"/>
    <x v="0"/>
    <x v="0"/>
    <x v="0"/>
    <x v="0"/>
    <x v="0"/>
    <x v="11"/>
    <x v="259"/>
    <x v="252"/>
    <x v="307"/>
    <x v="3"/>
    <x v="10"/>
    <x v="0"/>
    <x v="11"/>
    <x v="12"/>
    <x v="0"/>
    <x v="0"/>
    <x v="0"/>
    <x v="5"/>
    <x v="0"/>
    <x v="0"/>
    <x v="1"/>
    <x v="1"/>
  </r>
  <r>
    <x v="243"/>
    <x v="0"/>
    <x v="18"/>
    <x v="205"/>
    <x v="1232"/>
    <x v="161"/>
    <x v="0"/>
    <x v="0"/>
    <x v="240"/>
    <x v="0"/>
    <x v="0"/>
    <x v="0"/>
    <x v="0"/>
    <x v="0"/>
    <x v="11"/>
    <x v="161"/>
    <x v="157"/>
    <x v="205"/>
    <x v="3"/>
    <x v="10"/>
    <x v="0"/>
    <x v="11"/>
    <x v="12"/>
    <x v="0"/>
    <x v="0"/>
    <x v="0"/>
    <x v="2"/>
    <x v="0"/>
    <x v="0"/>
    <x v="0"/>
    <x v="0"/>
  </r>
  <r>
    <x v="254"/>
    <x v="0"/>
    <x v="18"/>
    <x v="216"/>
    <x v="1233"/>
    <x v="162"/>
    <x v="0"/>
    <x v="0"/>
    <x v="251"/>
    <x v="0"/>
    <x v="0"/>
    <x v="0"/>
    <x v="0"/>
    <x v="0"/>
    <x v="11"/>
    <x v="162"/>
    <x v="158"/>
    <x v="216"/>
    <x v="3"/>
    <x v="10"/>
    <x v="0"/>
    <x v="11"/>
    <x v="12"/>
    <x v="0"/>
    <x v="0"/>
    <x v="0"/>
    <x v="2"/>
    <x v="0"/>
    <x v="0"/>
    <x v="0"/>
    <x v="0"/>
  </r>
  <r>
    <x v="256"/>
    <x v="0"/>
    <x v="18"/>
    <x v="218"/>
    <x v="1234"/>
    <x v="163"/>
    <x v="0"/>
    <x v="0"/>
    <x v="253"/>
    <x v="0"/>
    <x v="0"/>
    <x v="0"/>
    <x v="0"/>
    <x v="0"/>
    <x v="11"/>
    <x v="163"/>
    <x v="159"/>
    <x v="218"/>
    <x v="3"/>
    <x v="10"/>
    <x v="0"/>
    <x v="11"/>
    <x v="12"/>
    <x v="0"/>
    <x v="0"/>
    <x v="0"/>
    <x v="2"/>
    <x v="0"/>
    <x v="0"/>
    <x v="0"/>
    <x v="0"/>
  </r>
  <r>
    <x v="248"/>
    <x v="0"/>
    <x v="18"/>
    <x v="210"/>
    <x v="1235"/>
    <x v="164"/>
    <x v="0"/>
    <x v="0"/>
    <x v="245"/>
    <x v="0"/>
    <x v="0"/>
    <x v="0"/>
    <x v="0"/>
    <x v="0"/>
    <x v="11"/>
    <x v="164"/>
    <x v="160"/>
    <x v="210"/>
    <x v="3"/>
    <x v="10"/>
    <x v="0"/>
    <x v="11"/>
    <x v="12"/>
    <x v="0"/>
    <x v="0"/>
    <x v="0"/>
    <x v="2"/>
    <x v="0"/>
    <x v="0"/>
    <x v="0"/>
    <x v="0"/>
  </r>
  <r>
    <x v="253"/>
    <x v="0"/>
    <x v="18"/>
    <x v="215"/>
    <x v="1236"/>
    <x v="165"/>
    <x v="0"/>
    <x v="0"/>
    <x v="250"/>
    <x v="0"/>
    <x v="0"/>
    <x v="0"/>
    <x v="0"/>
    <x v="0"/>
    <x v="11"/>
    <x v="165"/>
    <x v="161"/>
    <x v="215"/>
    <x v="3"/>
    <x v="10"/>
    <x v="0"/>
    <x v="11"/>
    <x v="12"/>
    <x v="0"/>
    <x v="0"/>
    <x v="0"/>
    <x v="2"/>
    <x v="0"/>
    <x v="0"/>
    <x v="0"/>
    <x v="0"/>
  </r>
  <r>
    <x v="247"/>
    <x v="0"/>
    <x v="18"/>
    <x v="209"/>
    <x v="1237"/>
    <x v="166"/>
    <x v="0"/>
    <x v="0"/>
    <x v="244"/>
    <x v="0"/>
    <x v="0"/>
    <x v="0"/>
    <x v="0"/>
    <x v="0"/>
    <x v="11"/>
    <x v="166"/>
    <x v="162"/>
    <x v="209"/>
    <x v="3"/>
    <x v="10"/>
    <x v="0"/>
    <x v="11"/>
    <x v="12"/>
    <x v="0"/>
    <x v="0"/>
    <x v="0"/>
    <x v="2"/>
    <x v="0"/>
    <x v="0"/>
    <x v="0"/>
    <x v="0"/>
  </r>
  <r>
    <x v="244"/>
    <x v="0"/>
    <x v="18"/>
    <x v="206"/>
    <x v="1238"/>
    <x v="167"/>
    <x v="0"/>
    <x v="0"/>
    <x v="241"/>
    <x v="0"/>
    <x v="0"/>
    <x v="0"/>
    <x v="0"/>
    <x v="0"/>
    <x v="11"/>
    <x v="167"/>
    <x v="163"/>
    <x v="206"/>
    <x v="3"/>
    <x v="10"/>
    <x v="0"/>
    <x v="11"/>
    <x v="12"/>
    <x v="0"/>
    <x v="0"/>
    <x v="0"/>
    <x v="2"/>
    <x v="0"/>
    <x v="0"/>
    <x v="0"/>
    <x v="0"/>
  </r>
  <r>
    <x v="241"/>
    <x v="0"/>
    <x v="18"/>
    <x v="203"/>
    <x v="1239"/>
    <x v="168"/>
    <x v="0"/>
    <x v="0"/>
    <x v="238"/>
    <x v="0"/>
    <x v="0"/>
    <x v="0"/>
    <x v="0"/>
    <x v="0"/>
    <x v="11"/>
    <x v="168"/>
    <x v="164"/>
    <x v="203"/>
    <x v="3"/>
    <x v="10"/>
    <x v="0"/>
    <x v="11"/>
    <x v="12"/>
    <x v="0"/>
    <x v="0"/>
    <x v="0"/>
    <x v="2"/>
    <x v="0"/>
    <x v="0"/>
    <x v="0"/>
    <x v="0"/>
  </r>
  <r>
    <x v="239"/>
    <x v="0"/>
    <x v="18"/>
    <x v="201"/>
    <x v="1240"/>
    <x v="169"/>
    <x v="0"/>
    <x v="0"/>
    <x v="236"/>
    <x v="0"/>
    <x v="0"/>
    <x v="0"/>
    <x v="0"/>
    <x v="0"/>
    <x v="11"/>
    <x v="169"/>
    <x v="165"/>
    <x v="201"/>
    <x v="3"/>
    <x v="10"/>
    <x v="0"/>
    <x v="11"/>
    <x v="12"/>
    <x v="0"/>
    <x v="0"/>
    <x v="0"/>
    <x v="2"/>
    <x v="0"/>
    <x v="0"/>
    <x v="0"/>
    <x v="0"/>
  </r>
  <r>
    <x v="258"/>
    <x v="0"/>
    <x v="18"/>
    <x v="220"/>
    <x v="1241"/>
    <x v="170"/>
    <x v="0"/>
    <x v="0"/>
    <x v="255"/>
    <x v="0"/>
    <x v="0"/>
    <x v="0"/>
    <x v="0"/>
    <x v="0"/>
    <x v="11"/>
    <x v="170"/>
    <x v="166"/>
    <x v="220"/>
    <x v="3"/>
    <x v="10"/>
    <x v="0"/>
    <x v="11"/>
    <x v="12"/>
    <x v="0"/>
    <x v="0"/>
    <x v="0"/>
    <x v="2"/>
    <x v="0"/>
    <x v="0"/>
    <x v="0"/>
    <x v="0"/>
  </r>
  <r>
    <x v="251"/>
    <x v="0"/>
    <x v="18"/>
    <x v="213"/>
    <x v="1242"/>
    <x v="171"/>
    <x v="0"/>
    <x v="0"/>
    <x v="248"/>
    <x v="0"/>
    <x v="0"/>
    <x v="0"/>
    <x v="0"/>
    <x v="0"/>
    <x v="11"/>
    <x v="171"/>
    <x v="167"/>
    <x v="213"/>
    <x v="3"/>
    <x v="10"/>
    <x v="0"/>
    <x v="11"/>
    <x v="12"/>
    <x v="0"/>
    <x v="0"/>
    <x v="0"/>
    <x v="2"/>
    <x v="0"/>
    <x v="0"/>
    <x v="0"/>
    <x v="0"/>
  </r>
  <r>
    <x v="242"/>
    <x v="0"/>
    <x v="18"/>
    <x v="204"/>
    <x v="1243"/>
    <x v="172"/>
    <x v="0"/>
    <x v="0"/>
    <x v="239"/>
    <x v="0"/>
    <x v="0"/>
    <x v="0"/>
    <x v="0"/>
    <x v="0"/>
    <x v="11"/>
    <x v="172"/>
    <x v="168"/>
    <x v="204"/>
    <x v="3"/>
    <x v="10"/>
    <x v="0"/>
    <x v="11"/>
    <x v="12"/>
    <x v="0"/>
    <x v="0"/>
    <x v="0"/>
    <x v="2"/>
    <x v="0"/>
    <x v="0"/>
    <x v="0"/>
    <x v="0"/>
  </r>
  <r>
    <x v="250"/>
    <x v="0"/>
    <x v="18"/>
    <x v="212"/>
    <x v="1244"/>
    <x v="173"/>
    <x v="0"/>
    <x v="0"/>
    <x v="247"/>
    <x v="0"/>
    <x v="0"/>
    <x v="0"/>
    <x v="0"/>
    <x v="0"/>
    <x v="11"/>
    <x v="173"/>
    <x v="169"/>
    <x v="212"/>
    <x v="3"/>
    <x v="10"/>
    <x v="0"/>
    <x v="11"/>
    <x v="12"/>
    <x v="0"/>
    <x v="0"/>
    <x v="0"/>
    <x v="2"/>
    <x v="0"/>
    <x v="0"/>
    <x v="0"/>
    <x v="0"/>
  </r>
  <r>
    <x v="246"/>
    <x v="0"/>
    <x v="18"/>
    <x v="208"/>
    <x v="1245"/>
    <x v="174"/>
    <x v="0"/>
    <x v="0"/>
    <x v="243"/>
    <x v="0"/>
    <x v="0"/>
    <x v="0"/>
    <x v="0"/>
    <x v="0"/>
    <x v="11"/>
    <x v="174"/>
    <x v="170"/>
    <x v="208"/>
    <x v="3"/>
    <x v="10"/>
    <x v="0"/>
    <x v="11"/>
    <x v="12"/>
    <x v="0"/>
    <x v="0"/>
    <x v="0"/>
    <x v="2"/>
    <x v="0"/>
    <x v="0"/>
    <x v="0"/>
    <x v="0"/>
  </r>
  <r>
    <x v="245"/>
    <x v="0"/>
    <x v="18"/>
    <x v="207"/>
    <x v="1246"/>
    <x v="175"/>
    <x v="0"/>
    <x v="0"/>
    <x v="242"/>
    <x v="0"/>
    <x v="0"/>
    <x v="0"/>
    <x v="0"/>
    <x v="0"/>
    <x v="11"/>
    <x v="175"/>
    <x v="171"/>
    <x v="207"/>
    <x v="3"/>
    <x v="10"/>
    <x v="0"/>
    <x v="11"/>
    <x v="12"/>
    <x v="0"/>
    <x v="0"/>
    <x v="0"/>
    <x v="2"/>
    <x v="0"/>
    <x v="0"/>
    <x v="0"/>
    <x v="0"/>
  </r>
  <r>
    <x v="252"/>
    <x v="0"/>
    <x v="18"/>
    <x v="214"/>
    <x v="1247"/>
    <x v="176"/>
    <x v="0"/>
    <x v="0"/>
    <x v="249"/>
    <x v="0"/>
    <x v="0"/>
    <x v="0"/>
    <x v="0"/>
    <x v="0"/>
    <x v="11"/>
    <x v="176"/>
    <x v="172"/>
    <x v="214"/>
    <x v="3"/>
    <x v="10"/>
    <x v="0"/>
    <x v="11"/>
    <x v="12"/>
    <x v="0"/>
    <x v="0"/>
    <x v="0"/>
    <x v="2"/>
    <x v="0"/>
    <x v="0"/>
    <x v="0"/>
    <x v="0"/>
  </r>
  <r>
    <x v="249"/>
    <x v="0"/>
    <x v="18"/>
    <x v="211"/>
    <x v="1248"/>
    <x v="177"/>
    <x v="0"/>
    <x v="0"/>
    <x v="246"/>
    <x v="0"/>
    <x v="0"/>
    <x v="0"/>
    <x v="0"/>
    <x v="0"/>
    <x v="11"/>
    <x v="177"/>
    <x v="173"/>
    <x v="211"/>
    <x v="3"/>
    <x v="10"/>
    <x v="0"/>
    <x v="11"/>
    <x v="12"/>
    <x v="0"/>
    <x v="0"/>
    <x v="0"/>
    <x v="2"/>
    <x v="0"/>
    <x v="0"/>
    <x v="0"/>
    <x v="0"/>
  </r>
  <r>
    <x v="238"/>
    <x v="0"/>
    <x v="18"/>
    <x v="200"/>
    <x v="1249"/>
    <x v="178"/>
    <x v="0"/>
    <x v="0"/>
    <x v="235"/>
    <x v="0"/>
    <x v="0"/>
    <x v="0"/>
    <x v="0"/>
    <x v="0"/>
    <x v="11"/>
    <x v="178"/>
    <x v="174"/>
    <x v="200"/>
    <x v="3"/>
    <x v="10"/>
    <x v="0"/>
    <x v="11"/>
    <x v="12"/>
    <x v="0"/>
    <x v="0"/>
    <x v="0"/>
    <x v="2"/>
    <x v="0"/>
    <x v="0"/>
    <x v="0"/>
    <x v="0"/>
  </r>
  <r>
    <x v="237"/>
    <x v="0"/>
    <x v="18"/>
    <x v="199"/>
    <x v="1250"/>
    <x v="179"/>
    <x v="0"/>
    <x v="0"/>
    <x v="234"/>
    <x v="0"/>
    <x v="0"/>
    <x v="0"/>
    <x v="0"/>
    <x v="0"/>
    <x v="11"/>
    <x v="179"/>
    <x v="175"/>
    <x v="199"/>
    <x v="3"/>
    <x v="10"/>
    <x v="0"/>
    <x v="11"/>
    <x v="12"/>
    <x v="0"/>
    <x v="0"/>
    <x v="0"/>
    <x v="2"/>
    <x v="0"/>
    <x v="0"/>
    <x v="0"/>
    <x v="0"/>
  </r>
  <r>
    <x v="255"/>
    <x v="0"/>
    <x v="18"/>
    <x v="217"/>
    <x v="1251"/>
    <x v="180"/>
    <x v="0"/>
    <x v="0"/>
    <x v="252"/>
    <x v="0"/>
    <x v="0"/>
    <x v="0"/>
    <x v="0"/>
    <x v="0"/>
    <x v="11"/>
    <x v="180"/>
    <x v="176"/>
    <x v="217"/>
    <x v="3"/>
    <x v="10"/>
    <x v="0"/>
    <x v="11"/>
    <x v="12"/>
    <x v="0"/>
    <x v="0"/>
    <x v="0"/>
    <x v="2"/>
    <x v="0"/>
    <x v="0"/>
    <x v="0"/>
    <x v="0"/>
  </r>
  <r>
    <x v="240"/>
    <x v="0"/>
    <x v="18"/>
    <x v="202"/>
    <x v="1252"/>
    <x v="181"/>
    <x v="0"/>
    <x v="0"/>
    <x v="237"/>
    <x v="0"/>
    <x v="0"/>
    <x v="0"/>
    <x v="0"/>
    <x v="0"/>
    <x v="11"/>
    <x v="181"/>
    <x v="177"/>
    <x v="202"/>
    <x v="3"/>
    <x v="10"/>
    <x v="0"/>
    <x v="11"/>
    <x v="12"/>
    <x v="0"/>
    <x v="0"/>
    <x v="0"/>
    <x v="2"/>
    <x v="0"/>
    <x v="0"/>
    <x v="0"/>
    <x v="0"/>
  </r>
  <r>
    <x v="257"/>
    <x v="0"/>
    <x v="18"/>
    <x v="219"/>
    <x v="1253"/>
    <x v="182"/>
    <x v="0"/>
    <x v="0"/>
    <x v="254"/>
    <x v="0"/>
    <x v="0"/>
    <x v="0"/>
    <x v="0"/>
    <x v="0"/>
    <x v="11"/>
    <x v="182"/>
    <x v="178"/>
    <x v="219"/>
    <x v="3"/>
    <x v="10"/>
    <x v="0"/>
    <x v="11"/>
    <x v="12"/>
    <x v="0"/>
    <x v="0"/>
    <x v="0"/>
    <x v="2"/>
    <x v="0"/>
    <x v="0"/>
    <x v="0"/>
    <x v="0"/>
  </r>
  <r>
    <x v="309"/>
    <x v="0"/>
    <x v="18"/>
    <x v="315"/>
    <x v="1254"/>
    <x v="184"/>
    <x v="0"/>
    <x v="0"/>
    <x v="306"/>
    <x v="0"/>
    <x v="0"/>
    <x v="0"/>
    <x v="0"/>
    <x v="0"/>
    <x v="11"/>
    <x v="184"/>
    <x v="180"/>
    <x v="315"/>
    <x v="3"/>
    <x v="10"/>
    <x v="0"/>
    <x v="11"/>
    <x v="12"/>
    <x v="0"/>
    <x v="0"/>
    <x v="0"/>
    <x v="5"/>
    <x v="0"/>
    <x v="0"/>
    <x v="0"/>
    <x v="0"/>
  </r>
  <r>
    <x v="320"/>
    <x v="0"/>
    <x v="18"/>
    <x v="326"/>
    <x v="1255"/>
    <x v="185"/>
    <x v="0"/>
    <x v="0"/>
    <x v="317"/>
    <x v="0"/>
    <x v="0"/>
    <x v="0"/>
    <x v="0"/>
    <x v="0"/>
    <x v="11"/>
    <x v="185"/>
    <x v="181"/>
    <x v="326"/>
    <x v="3"/>
    <x v="10"/>
    <x v="0"/>
    <x v="11"/>
    <x v="12"/>
    <x v="0"/>
    <x v="0"/>
    <x v="0"/>
    <x v="5"/>
    <x v="0"/>
    <x v="0"/>
    <x v="0"/>
    <x v="0"/>
  </r>
  <r>
    <x v="322"/>
    <x v="0"/>
    <x v="18"/>
    <x v="328"/>
    <x v="1256"/>
    <x v="186"/>
    <x v="0"/>
    <x v="0"/>
    <x v="319"/>
    <x v="0"/>
    <x v="0"/>
    <x v="0"/>
    <x v="0"/>
    <x v="0"/>
    <x v="11"/>
    <x v="186"/>
    <x v="182"/>
    <x v="328"/>
    <x v="3"/>
    <x v="10"/>
    <x v="0"/>
    <x v="11"/>
    <x v="12"/>
    <x v="0"/>
    <x v="0"/>
    <x v="0"/>
    <x v="5"/>
    <x v="0"/>
    <x v="0"/>
    <x v="0"/>
    <x v="0"/>
  </r>
  <r>
    <x v="314"/>
    <x v="0"/>
    <x v="18"/>
    <x v="320"/>
    <x v="1257"/>
    <x v="187"/>
    <x v="0"/>
    <x v="0"/>
    <x v="311"/>
    <x v="0"/>
    <x v="0"/>
    <x v="0"/>
    <x v="0"/>
    <x v="0"/>
    <x v="11"/>
    <x v="187"/>
    <x v="183"/>
    <x v="320"/>
    <x v="3"/>
    <x v="10"/>
    <x v="0"/>
    <x v="11"/>
    <x v="12"/>
    <x v="0"/>
    <x v="0"/>
    <x v="0"/>
    <x v="5"/>
    <x v="0"/>
    <x v="0"/>
    <x v="0"/>
    <x v="0"/>
  </r>
  <r>
    <x v="319"/>
    <x v="0"/>
    <x v="18"/>
    <x v="325"/>
    <x v="1258"/>
    <x v="188"/>
    <x v="0"/>
    <x v="0"/>
    <x v="316"/>
    <x v="0"/>
    <x v="0"/>
    <x v="0"/>
    <x v="0"/>
    <x v="0"/>
    <x v="11"/>
    <x v="188"/>
    <x v="184"/>
    <x v="325"/>
    <x v="3"/>
    <x v="10"/>
    <x v="0"/>
    <x v="11"/>
    <x v="12"/>
    <x v="0"/>
    <x v="0"/>
    <x v="0"/>
    <x v="5"/>
    <x v="0"/>
    <x v="0"/>
    <x v="0"/>
    <x v="0"/>
  </r>
  <r>
    <x v="313"/>
    <x v="0"/>
    <x v="18"/>
    <x v="319"/>
    <x v="1259"/>
    <x v="189"/>
    <x v="0"/>
    <x v="0"/>
    <x v="310"/>
    <x v="0"/>
    <x v="0"/>
    <x v="0"/>
    <x v="0"/>
    <x v="0"/>
    <x v="11"/>
    <x v="189"/>
    <x v="185"/>
    <x v="319"/>
    <x v="3"/>
    <x v="10"/>
    <x v="0"/>
    <x v="11"/>
    <x v="12"/>
    <x v="0"/>
    <x v="0"/>
    <x v="0"/>
    <x v="5"/>
    <x v="0"/>
    <x v="0"/>
    <x v="0"/>
    <x v="0"/>
  </r>
  <r>
    <x v="310"/>
    <x v="0"/>
    <x v="18"/>
    <x v="316"/>
    <x v="1260"/>
    <x v="190"/>
    <x v="0"/>
    <x v="0"/>
    <x v="307"/>
    <x v="0"/>
    <x v="0"/>
    <x v="0"/>
    <x v="0"/>
    <x v="0"/>
    <x v="11"/>
    <x v="190"/>
    <x v="186"/>
    <x v="316"/>
    <x v="3"/>
    <x v="10"/>
    <x v="0"/>
    <x v="11"/>
    <x v="12"/>
    <x v="0"/>
    <x v="0"/>
    <x v="0"/>
    <x v="5"/>
    <x v="0"/>
    <x v="0"/>
    <x v="0"/>
    <x v="0"/>
  </r>
  <r>
    <x v="307"/>
    <x v="0"/>
    <x v="18"/>
    <x v="313"/>
    <x v="1261"/>
    <x v="191"/>
    <x v="0"/>
    <x v="0"/>
    <x v="304"/>
    <x v="0"/>
    <x v="0"/>
    <x v="0"/>
    <x v="0"/>
    <x v="0"/>
    <x v="11"/>
    <x v="191"/>
    <x v="187"/>
    <x v="313"/>
    <x v="3"/>
    <x v="10"/>
    <x v="0"/>
    <x v="11"/>
    <x v="12"/>
    <x v="0"/>
    <x v="0"/>
    <x v="0"/>
    <x v="5"/>
    <x v="0"/>
    <x v="0"/>
    <x v="0"/>
    <x v="0"/>
  </r>
  <r>
    <x v="305"/>
    <x v="0"/>
    <x v="18"/>
    <x v="311"/>
    <x v="1262"/>
    <x v="192"/>
    <x v="0"/>
    <x v="0"/>
    <x v="302"/>
    <x v="0"/>
    <x v="0"/>
    <x v="0"/>
    <x v="0"/>
    <x v="0"/>
    <x v="11"/>
    <x v="192"/>
    <x v="188"/>
    <x v="311"/>
    <x v="3"/>
    <x v="10"/>
    <x v="0"/>
    <x v="11"/>
    <x v="12"/>
    <x v="0"/>
    <x v="0"/>
    <x v="0"/>
    <x v="5"/>
    <x v="0"/>
    <x v="0"/>
    <x v="0"/>
    <x v="0"/>
  </r>
  <r>
    <x v="324"/>
    <x v="0"/>
    <x v="18"/>
    <x v="330"/>
    <x v="1263"/>
    <x v="193"/>
    <x v="0"/>
    <x v="0"/>
    <x v="321"/>
    <x v="0"/>
    <x v="0"/>
    <x v="0"/>
    <x v="0"/>
    <x v="0"/>
    <x v="11"/>
    <x v="193"/>
    <x v="189"/>
    <x v="330"/>
    <x v="3"/>
    <x v="10"/>
    <x v="0"/>
    <x v="11"/>
    <x v="12"/>
    <x v="0"/>
    <x v="0"/>
    <x v="0"/>
    <x v="5"/>
    <x v="0"/>
    <x v="0"/>
    <x v="0"/>
    <x v="0"/>
  </r>
  <r>
    <x v="317"/>
    <x v="0"/>
    <x v="18"/>
    <x v="323"/>
    <x v="1264"/>
    <x v="194"/>
    <x v="0"/>
    <x v="0"/>
    <x v="314"/>
    <x v="0"/>
    <x v="0"/>
    <x v="0"/>
    <x v="0"/>
    <x v="0"/>
    <x v="11"/>
    <x v="194"/>
    <x v="190"/>
    <x v="323"/>
    <x v="3"/>
    <x v="10"/>
    <x v="0"/>
    <x v="11"/>
    <x v="12"/>
    <x v="0"/>
    <x v="0"/>
    <x v="0"/>
    <x v="5"/>
    <x v="0"/>
    <x v="0"/>
    <x v="0"/>
    <x v="0"/>
  </r>
  <r>
    <x v="308"/>
    <x v="0"/>
    <x v="18"/>
    <x v="314"/>
    <x v="1265"/>
    <x v="195"/>
    <x v="0"/>
    <x v="0"/>
    <x v="305"/>
    <x v="0"/>
    <x v="0"/>
    <x v="0"/>
    <x v="0"/>
    <x v="0"/>
    <x v="11"/>
    <x v="195"/>
    <x v="191"/>
    <x v="314"/>
    <x v="3"/>
    <x v="10"/>
    <x v="0"/>
    <x v="11"/>
    <x v="12"/>
    <x v="0"/>
    <x v="0"/>
    <x v="0"/>
    <x v="5"/>
    <x v="0"/>
    <x v="0"/>
    <x v="0"/>
    <x v="0"/>
  </r>
  <r>
    <x v="316"/>
    <x v="0"/>
    <x v="18"/>
    <x v="322"/>
    <x v="1266"/>
    <x v="196"/>
    <x v="0"/>
    <x v="0"/>
    <x v="313"/>
    <x v="0"/>
    <x v="0"/>
    <x v="0"/>
    <x v="0"/>
    <x v="0"/>
    <x v="11"/>
    <x v="196"/>
    <x v="192"/>
    <x v="322"/>
    <x v="3"/>
    <x v="10"/>
    <x v="0"/>
    <x v="11"/>
    <x v="12"/>
    <x v="0"/>
    <x v="0"/>
    <x v="0"/>
    <x v="5"/>
    <x v="0"/>
    <x v="0"/>
    <x v="0"/>
    <x v="0"/>
  </r>
  <r>
    <x v="312"/>
    <x v="0"/>
    <x v="18"/>
    <x v="318"/>
    <x v="1267"/>
    <x v="197"/>
    <x v="0"/>
    <x v="0"/>
    <x v="309"/>
    <x v="0"/>
    <x v="0"/>
    <x v="0"/>
    <x v="0"/>
    <x v="0"/>
    <x v="11"/>
    <x v="197"/>
    <x v="193"/>
    <x v="318"/>
    <x v="3"/>
    <x v="10"/>
    <x v="0"/>
    <x v="11"/>
    <x v="12"/>
    <x v="0"/>
    <x v="0"/>
    <x v="0"/>
    <x v="5"/>
    <x v="0"/>
    <x v="0"/>
    <x v="0"/>
    <x v="0"/>
  </r>
  <r>
    <x v="311"/>
    <x v="0"/>
    <x v="18"/>
    <x v="317"/>
    <x v="1268"/>
    <x v="198"/>
    <x v="0"/>
    <x v="0"/>
    <x v="308"/>
    <x v="0"/>
    <x v="0"/>
    <x v="0"/>
    <x v="0"/>
    <x v="0"/>
    <x v="11"/>
    <x v="198"/>
    <x v="194"/>
    <x v="317"/>
    <x v="3"/>
    <x v="10"/>
    <x v="0"/>
    <x v="11"/>
    <x v="12"/>
    <x v="0"/>
    <x v="0"/>
    <x v="0"/>
    <x v="5"/>
    <x v="0"/>
    <x v="0"/>
    <x v="0"/>
    <x v="0"/>
  </r>
  <r>
    <x v="318"/>
    <x v="0"/>
    <x v="18"/>
    <x v="324"/>
    <x v="1269"/>
    <x v="199"/>
    <x v="0"/>
    <x v="0"/>
    <x v="315"/>
    <x v="0"/>
    <x v="0"/>
    <x v="0"/>
    <x v="0"/>
    <x v="0"/>
    <x v="11"/>
    <x v="199"/>
    <x v="195"/>
    <x v="324"/>
    <x v="3"/>
    <x v="10"/>
    <x v="0"/>
    <x v="11"/>
    <x v="12"/>
    <x v="0"/>
    <x v="0"/>
    <x v="0"/>
    <x v="5"/>
    <x v="0"/>
    <x v="0"/>
    <x v="0"/>
    <x v="0"/>
  </r>
  <r>
    <x v="315"/>
    <x v="0"/>
    <x v="18"/>
    <x v="321"/>
    <x v="1270"/>
    <x v="200"/>
    <x v="0"/>
    <x v="0"/>
    <x v="312"/>
    <x v="0"/>
    <x v="0"/>
    <x v="0"/>
    <x v="0"/>
    <x v="0"/>
    <x v="11"/>
    <x v="200"/>
    <x v="196"/>
    <x v="321"/>
    <x v="3"/>
    <x v="10"/>
    <x v="0"/>
    <x v="11"/>
    <x v="12"/>
    <x v="0"/>
    <x v="0"/>
    <x v="0"/>
    <x v="5"/>
    <x v="0"/>
    <x v="0"/>
    <x v="0"/>
    <x v="0"/>
  </r>
  <r>
    <x v="304"/>
    <x v="0"/>
    <x v="18"/>
    <x v="310"/>
    <x v="1271"/>
    <x v="201"/>
    <x v="0"/>
    <x v="0"/>
    <x v="301"/>
    <x v="0"/>
    <x v="0"/>
    <x v="0"/>
    <x v="0"/>
    <x v="0"/>
    <x v="11"/>
    <x v="201"/>
    <x v="197"/>
    <x v="310"/>
    <x v="3"/>
    <x v="10"/>
    <x v="0"/>
    <x v="11"/>
    <x v="12"/>
    <x v="0"/>
    <x v="0"/>
    <x v="0"/>
    <x v="5"/>
    <x v="0"/>
    <x v="0"/>
    <x v="0"/>
    <x v="0"/>
  </r>
  <r>
    <x v="303"/>
    <x v="0"/>
    <x v="18"/>
    <x v="309"/>
    <x v="1272"/>
    <x v="202"/>
    <x v="0"/>
    <x v="0"/>
    <x v="300"/>
    <x v="0"/>
    <x v="0"/>
    <x v="0"/>
    <x v="0"/>
    <x v="0"/>
    <x v="11"/>
    <x v="202"/>
    <x v="198"/>
    <x v="309"/>
    <x v="3"/>
    <x v="10"/>
    <x v="0"/>
    <x v="11"/>
    <x v="12"/>
    <x v="0"/>
    <x v="0"/>
    <x v="0"/>
    <x v="5"/>
    <x v="0"/>
    <x v="0"/>
    <x v="0"/>
    <x v="0"/>
  </r>
  <r>
    <x v="321"/>
    <x v="0"/>
    <x v="18"/>
    <x v="327"/>
    <x v="1273"/>
    <x v="203"/>
    <x v="0"/>
    <x v="0"/>
    <x v="318"/>
    <x v="0"/>
    <x v="0"/>
    <x v="0"/>
    <x v="0"/>
    <x v="0"/>
    <x v="11"/>
    <x v="203"/>
    <x v="199"/>
    <x v="327"/>
    <x v="3"/>
    <x v="10"/>
    <x v="0"/>
    <x v="11"/>
    <x v="12"/>
    <x v="0"/>
    <x v="0"/>
    <x v="0"/>
    <x v="5"/>
    <x v="0"/>
    <x v="0"/>
    <x v="0"/>
    <x v="0"/>
  </r>
  <r>
    <x v="306"/>
    <x v="0"/>
    <x v="18"/>
    <x v="312"/>
    <x v="1274"/>
    <x v="204"/>
    <x v="0"/>
    <x v="0"/>
    <x v="303"/>
    <x v="0"/>
    <x v="0"/>
    <x v="0"/>
    <x v="0"/>
    <x v="0"/>
    <x v="11"/>
    <x v="204"/>
    <x v="200"/>
    <x v="312"/>
    <x v="3"/>
    <x v="10"/>
    <x v="0"/>
    <x v="11"/>
    <x v="12"/>
    <x v="0"/>
    <x v="0"/>
    <x v="0"/>
    <x v="5"/>
    <x v="0"/>
    <x v="0"/>
    <x v="0"/>
    <x v="0"/>
  </r>
  <r>
    <x v="323"/>
    <x v="0"/>
    <x v="18"/>
    <x v="329"/>
    <x v="1275"/>
    <x v="205"/>
    <x v="0"/>
    <x v="0"/>
    <x v="320"/>
    <x v="0"/>
    <x v="0"/>
    <x v="0"/>
    <x v="0"/>
    <x v="0"/>
    <x v="11"/>
    <x v="205"/>
    <x v="201"/>
    <x v="329"/>
    <x v="3"/>
    <x v="10"/>
    <x v="0"/>
    <x v="11"/>
    <x v="12"/>
    <x v="0"/>
    <x v="0"/>
    <x v="0"/>
    <x v="5"/>
    <x v="0"/>
    <x v="0"/>
    <x v="0"/>
    <x v="0"/>
  </r>
  <r>
    <x v="232"/>
    <x v="0"/>
    <x v="7"/>
    <x v="196"/>
    <x v="1276"/>
    <x v="183"/>
    <x v="1"/>
    <x v="0"/>
    <x v="229"/>
    <x v="0"/>
    <x v="0"/>
    <x v="0"/>
    <x v="0"/>
    <x v="0"/>
    <x v="11"/>
    <x v="183"/>
    <x v="179"/>
    <x v="196"/>
    <x v="3"/>
    <x v="10"/>
    <x v="0"/>
    <x v="11"/>
    <x v="12"/>
    <x v="0"/>
    <x v="0"/>
    <x v="0"/>
    <x v="6"/>
    <x v="0"/>
    <x v="0"/>
    <x v="1"/>
    <x v="1"/>
  </r>
  <r>
    <x v="327"/>
    <x v="0"/>
    <x v="22"/>
    <x v="333"/>
    <x v="1277"/>
    <x v="211"/>
    <x v="1"/>
    <x v="0"/>
    <x v="324"/>
    <x v="0"/>
    <x v="0"/>
    <x v="0"/>
    <x v="0"/>
    <x v="0"/>
    <x v="11"/>
    <x v="211"/>
    <x v="204"/>
    <x v="333"/>
    <x v="3"/>
    <x v="10"/>
    <x v="0"/>
    <x v="11"/>
    <x v="12"/>
    <x v="0"/>
    <x v="0"/>
    <x v="0"/>
    <x v="0"/>
    <x v="0"/>
    <x v="0"/>
    <x v="1"/>
    <x v="1"/>
  </r>
  <r>
    <x v="328"/>
    <x v="0"/>
    <x v="22"/>
    <x v="334"/>
    <x v="1278"/>
    <x v="213"/>
    <x v="1"/>
    <x v="0"/>
    <x v="325"/>
    <x v="0"/>
    <x v="0"/>
    <x v="0"/>
    <x v="0"/>
    <x v="0"/>
    <x v="11"/>
    <x v="213"/>
    <x v="206"/>
    <x v="334"/>
    <x v="3"/>
    <x v="10"/>
    <x v="0"/>
    <x v="11"/>
    <x v="12"/>
    <x v="0"/>
    <x v="0"/>
    <x v="0"/>
    <x v="0"/>
    <x v="0"/>
    <x v="0"/>
    <x v="1"/>
    <x v="1"/>
  </r>
  <r>
    <x v="325"/>
    <x v="0"/>
    <x v="22"/>
    <x v="331"/>
    <x v="1279"/>
    <x v="210"/>
    <x v="1"/>
    <x v="0"/>
    <x v="322"/>
    <x v="0"/>
    <x v="0"/>
    <x v="0"/>
    <x v="0"/>
    <x v="0"/>
    <x v="11"/>
    <x v="210"/>
    <x v="203"/>
    <x v="331"/>
    <x v="3"/>
    <x v="10"/>
    <x v="0"/>
    <x v="11"/>
    <x v="12"/>
    <x v="0"/>
    <x v="0"/>
    <x v="0"/>
    <x v="0"/>
    <x v="0"/>
    <x v="0"/>
    <x v="1"/>
    <x v="1"/>
  </r>
  <r>
    <x v="326"/>
    <x v="0"/>
    <x v="22"/>
    <x v="332"/>
    <x v="1280"/>
    <x v="212"/>
    <x v="1"/>
    <x v="0"/>
    <x v="323"/>
    <x v="0"/>
    <x v="0"/>
    <x v="0"/>
    <x v="0"/>
    <x v="0"/>
    <x v="11"/>
    <x v="212"/>
    <x v="205"/>
    <x v="332"/>
    <x v="3"/>
    <x v="10"/>
    <x v="0"/>
    <x v="11"/>
    <x v="12"/>
    <x v="0"/>
    <x v="0"/>
    <x v="0"/>
    <x v="0"/>
    <x v="0"/>
    <x v="0"/>
    <x v="1"/>
    <x v="1"/>
  </r>
  <r>
    <x v="168"/>
    <x v="0"/>
    <x v="18"/>
    <x v="249"/>
    <x v="1281"/>
    <x v="216"/>
    <x v="0"/>
    <x v="0"/>
    <x v="165"/>
    <x v="0"/>
    <x v="0"/>
    <x v="0"/>
    <x v="0"/>
    <x v="0"/>
    <x v="11"/>
    <x v="216"/>
    <x v="209"/>
    <x v="249"/>
    <x v="3"/>
    <x v="10"/>
    <x v="0"/>
    <x v="11"/>
    <x v="12"/>
    <x v="0"/>
    <x v="0"/>
    <x v="0"/>
    <x v="15"/>
    <x v="0"/>
    <x v="0"/>
    <x v="0"/>
    <x v="0"/>
  </r>
  <r>
    <x v="179"/>
    <x v="0"/>
    <x v="18"/>
    <x v="260"/>
    <x v="1282"/>
    <x v="217"/>
    <x v="0"/>
    <x v="0"/>
    <x v="176"/>
    <x v="0"/>
    <x v="0"/>
    <x v="0"/>
    <x v="0"/>
    <x v="0"/>
    <x v="11"/>
    <x v="217"/>
    <x v="210"/>
    <x v="260"/>
    <x v="3"/>
    <x v="10"/>
    <x v="0"/>
    <x v="11"/>
    <x v="12"/>
    <x v="0"/>
    <x v="0"/>
    <x v="0"/>
    <x v="15"/>
    <x v="0"/>
    <x v="0"/>
    <x v="0"/>
    <x v="0"/>
  </r>
  <r>
    <x v="181"/>
    <x v="0"/>
    <x v="18"/>
    <x v="262"/>
    <x v="1283"/>
    <x v="218"/>
    <x v="0"/>
    <x v="0"/>
    <x v="178"/>
    <x v="0"/>
    <x v="0"/>
    <x v="0"/>
    <x v="0"/>
    <x v="0"/>
    <x v="11"/>
    <x v="218"/>
    <x v="211"/>
    <x v="262"/>
    <x v="3"/>
    <x v="10"/>
    <x v="0"/>
    <x v="11"/>
    <x v="12"/>
    <x v="0"/>
    <x v="0"/>
    <x v="0"/>
    <x v="15"/>
    <x v="0"/>
    <x v="0"/>
    <x v="0"/>
    <x v="0"/>
  </r>
  <r>
    <x v="173"/>
    <x v="0"/>
    <x v="18"/>
    <x v="254"/>
    <x v="1284"/>
    <x v="219"/>
    <x v="0"/>
    <x v="0"/>
    <x v="170"/>
    <x v="0"/>
    <x v="0"/>
    <x v="0"/>
    <x v="0"/>
    <x v="0"/>
    <x v="11"/>
    <x v="219"/>
    <x v="212"/>
    <x v="254"/>
    <x v="3"/>
    <x v="10"/>
    <x v="0"/>
    <x v="11"/>
    <x v="12"/>
    <x v="0"/>
    <x v="0"/>
    <x v="0"/>
    <x v="15"/>
    <x v="0"/>
    <x v="0"/>
    <x v="0"/>
    <x v="0"/>
  </r>
  <r>
    <x v="178"/>
    <x v="0"/>
    <x v="18"/>
    <x v="259"/>
    <x v="1285"/>
    <x v="220"/>
    <x v="0"/>
    <x v="0"/>
    <x v="175"/>
    <x v="0"/>
    <x v="0"/>
    <x v="0"/>
    <x v="0"/>
    <x v="0"/>
    <x v="11"/>
    <x v="220"/>
    <x v="213"/>
    <x v="259"/>
    <x v="3"/>
    <x v="10"/>
    <x v="0"/>
    <x v="11"/>
    <x v="12"/>
    <x v="0"/>
    <x v="0"/>
    <x v="0"/>
    <x v="15"/>
    <x v="0"/>
    <x v="0"/>
    <x v="0"/>
    <x v="0"/>
  </r>
  <r>
    <x v="172"/>
    <x v="0"/>
    <x v="18"/>
    <x v="253"/>
    <x v="1286"/>
    <x v="221"/>
    <x v="0"/>
    <x v="0"/>
    <x v="169"/>
    <x v="0"/>
    <x v="0"/>
    <x v="0"/>
    <x v="0"/>
    <x v="0"/>
    <x v="11"/>
    <x v="221"/>
    <x v="214"/>
    <x v="253"/>
    <x v="3"/>
    <x v="10"/>
    <x v="0"/>
    <x v="11"/>
    <x v="12"/>
    <x v="0"/>
    <x v="0"/>
    <x v="0"/>
    <x v="15"/>
    <x v="0"/>
    <x v="0"/>
    <x v="0"/>
    <x v="0"/>
  </r>
  <r>
    <x v="169"/>
    <x v="0"/>
    <x v="18"/>
    <x v="250"/>
    <x v="1287"/>
    <x v="222"/>
    <x v="0"/>
    <x v="0"/>
    <x v="166"/>
    <x v="0"/>
    <x v="0"/>
    <x v="0"/>
    <x v="0"/>
    <x v="0"/>
    <x v="11"/>
    <x v="222"/>
    <x v="215"/>
    <x v="250"/>
    <x v="3"/>
    <x v="10"/>
    <x v="0"/>
    <x v="11"/>
    <x v="12"/>
    <x v="0"/>
    <x v="0"/>
    <x v="0"/>
    <x v="15"/>
    <x v="0"/>
    <x v="0"/>
    <x v="0"/>
    <x v="0"/>
  </r>
  <r>
    <x v="166"/>
    <x v="0"/>
    <x v="18"/>
    <x v="247"/>
    <x v="1288"/>
    <x v="223"/>
    <x v="0"/>
    <x v="0"/>
    <x v="163"/>
    <x v="0"/>
    <x v="0"/>
    <x v="0"/>
    <x v="0"/>
    <x v="0"/>
    <x v="11"/>
    <x v="223"/>
    <x v="216"/>
    <x v="247"/>
    <x v="3"/>
    <x v="10"/>
    <x v="0"/>
    <x v="11"/>
    <x v="12"/>
    <x v="0"/>
    <x v="0"/>
    <x v="0"/>
    <x v="15"/>
    <x v="0"/>
    <x v="0"/>
    <x v="0"/>
    <x v="0"/>
  </r>
  <r>
    <x v="164"/>
    <x v="0"/>
    <x v="18"/>
    <x v="245"/>
    <x v="1289"/>
    <x v="224"/>
    <x v="0"/>
    <x v="0"/>
    <x v="161"/>
    <x v="0"/>
    <x v="0"/>
    <x v="0"/>
    <x v="0"/>
    <x v="0"/>
    <x v="11"/>
    <x v="224"/>
    <x v="217"/>
    <x v="245"/>
    <x v="3"/>
    <x v="10"/>
    <x v="0"/>
    <x v="11"/>
    <x v="12"/>
    <x v="0"/>
    <x v="0"/>
    <x v="0"/>
    <x v="15"/>
    <x v="0"/>
    <x v="0"/>
    <x v="0"/>
    <x v="0"/>
  </r>
  <r>
    <x v="183"/>
    <x v="0"/>
    <x v="18"/>
    <x v="264"/>
    <x v="1290"/>
    <x v="225"/>
    <x v="0"/>
    <x v="0"/>
    <x v="180"/>
    <x v="0"/>
    <x v="0"/>
    <x v="0"/>
    <x v="0"/>
    <x v="0"/>
    <x v="11"/>
    <x v="225"/>
    <x v="218"/>
    <x v="264"/>
    <x v="3"/>
    <x v="10"/>
    <x v="0"/>
    <x v="11"/>
    <x v="12"/>
    <x v="0"/>
    <x v="0"/>
    <x v="0"/>
    <x v="15"/>
    <x v="0"/>
    <x v="0"/>
    <x v="0"/>
    <x v="0"/>
  </r>
  <r>
    <x v="176"/>
    <x v="0"/>
    <x v="18"/>
    <x v="257"/>
    <x v="1291"/>
    <x v="226"/>
    <x v="0"/>
    <x v="0"/>
    <x v="173"/>
    <x v="0"/>
    <x v="0"/>
    <x v="0"/>
    <x v="0"/>
    <x v="0"/>
    <x v="11"/>
    <x v="226"/>
    <x v="219"/>
    <x v="257"/>
    <x v="3"/>
    <x v="10"/>
    <x v="0"/>
    <x v="11"/>
    <x v="12"/>
    <x v="0"/>
    <x v="0"/>
    <x v="0"/>
    <x v="15"/>
    <x v="0"/>
    <x v="0"/>
    <x v="0"/>
    <x v="0"/>
  </r>
  <r>
    <x v="167"/>
    <x v="0"/>
    <x v="18"/>
    <x v="248"/>
    <x v="1292"/>
    <x v="227"/>
    <x v="0"/>
    <x v="0"/>
    <x v="164"/>
    <x v="0"/>
    <x v="0"/>
    <x v="0"/>
    <x v="0"/>
    <x v="0"/>
    <x v="11"/>
    <x v="227"/>
    <x v="220"/>
    <x v="248"/>
    <x v="3"/>
    <x v="10"/>
    <x v="0"/>
    <x v="11"/>
    <x v="12"/>
    <x v="0"/>
    <x v="0"/>
    <x v="0"/>
    <x v="15"/>
    <x v="0"/>
    <x v="0"/>
    <x v="0"/>
    <x v="0"/>
  </r>
  <r>
    <x v="175"/>
    <x v="0"/>
    <x v="18"/>
    <x v="256"/>
    <x v="1293"/>
    <x v="228"/>
    <x v="0"/>
    <x v="0"/>
    <x v="172"/>
    <x v="0"/>
    <x v="0"/>
    <x v="0"/>
    <x v="0"/>
    <x v="0"/>
    <x v="11"/>
    <x v="228"/>
    <x v="221"/>
    <x v="256"/>
    <x v="3"/>
    <x v="10"/>
    <x v="0"/>
    <x v="11"/>
    <x v="12"/>
    <x v="0"/>
    <x v="0"/>
    <x v="0"/>
    <x v="15"/>
    <x v="0"/>
    <x v="0"/>
    <x v="0"/>
    <x v="0"/>
  </r>
  <r>
    <x v="171"/>
    <x v="0"/>
    <x v="18"/>
    <x v="252"/>
    <x v="1294"/>
    <x v="229"/>
    <x v="0"/>
    <x v="0"/>
    <x v="168"/>
    <x v="0"/>
    <x v="0"/>
    <x v="0"/>
    <x v="0"/>
    <x v="0"/>
    <x v="11"/>
    <x v="229"/>
    <x v="222"/>
    <x v="252"/>
    <x v="3"/>
    <x v="10"/>
    <x v="0"/>
    <x v="11"/>
    <x v="12"/>
    <x v="0"/>
    <x v="0"/>
    <x v="0"/>
    <x v="15"/>
    <x v="0"/>
    <x v="0"/>
    <x v="0"/>
    <x v="0"/>
  </r>
  <r>
    <x v="170"/>
    <x v="0"/>
    <x v="18"/>
    <x v="251"/>
    <x v="1295"/>
    <x v="230"/>
    <x v="0"/>
    <x v="0"/>
    <x v="167"/>
    <x v="0"/>
    <x v="0"/>
    <x v="0"/>
    <x v="0"/>
    <x v="0"/>
    <x v="11"/>
    <x v="230"/>
    <x v="223"/>
    <x v="251"/>
    <x v="3"/>
    <x v="10"/>
    <x v="0"/>
    <x v="11"/>
    <x v="12"/>
    <x v="0"/>
    <x v="0"/>
    <x v="0"/>
    <x v="15"/>
    <x v="0"/>
    <x v="0"/>
    <x v="0"/>
    <x v="0"/>
  </r>
  <r>
    <x v="177"/>
    <x v="0"/>
    <x v="18"/>
    <x v="258"/>
    <x v="1296"/>
    <x v="231"/>
    <x v="0"/>
    <x v="0"/>
    <x v="174"/>
    <x v="0"/>
    <x v="0"/>
    <x v="0"/>
    <x v="0"/>
    <x v="0"/>
    <x v="11"/>
    <x v="231"/>
    <x v="224"/>
    <x v="258"/>
    <x v="3"/>
    <x v="10"/>
    <x v="0"/>
    <x v="11"/>
    <x v="12"/>
    <x v="0"/>
    <x v="0"/>
    <x v="0"/>
    <x v="15"/>
    <x v="0"/>
    <x v="0"/>
    <x v="0"/>
    <x v="0"/>
  </r>
  <r>
    <x v="174"/>
    <x v="0"/>
    <x v="18"/>
    <x v="255"/>
    <x v="1297"/>
    <x v="232"/>
    <x v="0"/>
    <x v="0"/>
    <x v="171"/>
    <x v="0"/>
    <x v="0"/>
    <x v="0"/>
    <x v="0"/>
    <x v="0"/>
    <x v="11"/>
    <x v="232"/>
    <x v="225"/>
    <x v="255"/>
    <x v="3"/>
    <x v="10"/>
    <x v="0"/>
    <x v="11"/>
    <x v="12"/>
    <x v="0"/>
    <x v="0"/>
    <x v="0"/>
    <x v="15"/>
    <x v="0"/>
    <x v="0"/>
    <x v="0"/>
    <x v="0"/>
  </r>
  <r>
    <x v="163"/>
    <x v="0"/>
    <x v="18"/>
    <x v="244"/>
    <x v="1298"/>
    <x v="233"/>
    <x v="0"/>
    <x v="0"/>
    <x v="160"/>
    <x v="0"/>
    <x v="0"/>
    <x v="0"/>
    <x v="0"/>
    <x v="0"/>
    <x v="11"/>
    <x v="233"/>
    <x v="226"/>
    <x v="244"/>
    <x v="3"/>
    <x v="10"/>
    <x v="0"/>
    <x v="11"/>
    <x v="12"/>
    <x v="0"/>
    <x v="0"/>
    <x v="0"/>
    <x v="15"/>
    <x v="0"/>
    <x v="0"/>
    <x v="0"/>
    <x v="0"/>
  </r>
  <r>
    <x v="162"/>
    <x v="0"/>
    <x v="18"/>
    <x v="243"/>
    <x v="1299"/>
    <x v="234"/>
    <x v="0"/>
    <x v="0"/>
    <x v="159"/>
    <x v="0"/>
    <x v="0"/>
    <x v="0"/>
    <x v="0"/>
    <x v="0"/>
    <x v="11"/>
    <x v="234"/>
    <x v="227"/>
    <x v="243"/>
    <x v="3"/>
    <x v="10"/>
    <x v="0"/>
    <x v="11"/>
    <x v="12"/>
    <x v="0"/>
    <x v="0"/>
    <x v="0"/>
    <x v="15"/>
    <x v="0"/>
    <x v="0"/>
    <x v="0"/>
    <x v="0"/>
  </r>
  <r>
    <x v="180"/>
    <x v="0"/>
    <x v="18"/>
    <x v="261"/>
    <x v="1300"/>
    <x v="235"/>
    <x v="0"/>
    <x v="0"/>
    <x v="177"/>
    <x v="0"/>
    <x v="0"/>
    <x v="0"/>
    <x v="0"/>
    <x v="0"/>
    <x v="11"/>
    <x v="235"/>
    <x v="228"/>
    <x v="261"/>
    <x v="3"/>
    <x v="10"/>
    <x v="0"/>
    <x v="11"/>
    <x v="12"/>
    <x v="0"/>
    <x v="0"/>
    <x v="0"/>
    <x v="15"/>
    <x v="0"/>
    <x v="0"/>
    <x v="0"/>
    <x v="0"/>
  </r>
  <r>
    <x v="165"/>
    <x v="0"/>
    <x v="18"/>
    <x v="246"/>
    <x v="1301"/>
    <x v="236"/>
    <x v="0"/>
    <x v="0"/>
    <x v="162"/>
    <x v="0"/>
    <x v="0"/>
    <x v="0"/>
    <x v="0"/>
    <x v="0"/>
    <x v="11"/>
    <x v="236"/>
    <x v="229"/>
    <x v="246"/>
    <x v="3"/>
    <x v="10"/>
    <x v="0"/>
    <x v="11"/>
    <x v="12"/>
    <x v="0"/>
    <x v="0"/>
    <x v="0"/>
    <x v="15"/>
    <x v="0"/>
    <x v="0"/>
    <x v="0"/>
    <x v="0"/>
  </r>
  <r>
    <x v="182"/>
    <x v="0"/>
    <x v="18"/>
    <x v="263"/>
    <x v="1302"/>
    <x v="237"/>
    <x v="0"/>
    <x v="0"/>
    <x v="179"/>
    <x v="0"/>
    <x v="0"/>
    <x v="0"/>
    <x v="0"/>
    <x v="0"/>
    <x v="11"/>
    <x v="237"/>
    <x v="230"/>
    <x v="263"/>
    <x v="3"/>
    <x v="10"/>
    <x v="0"/>
    <x v="11"/>
    <x v="12"/>
    <x v="0"/>
    <x v="0"/>
    <x v="0"/>
    <x v="15"/>
    <x v="0"/>
    <x v="0"/>
    <x v="0"/>
    <x v="0"/>
  </r>
  <r>
    <x v="194"/>
    <x v="0"/>
    <x v="11"/>
    <x v="341"/>
    <x v="1303"/>
    <x v="305"/>
    <x v="1"/>
    <x v="0"/>
    <x v="191"/>
    <x v="0"/>
    <x v="0"/>
    <x v="0"/>
    <x v="0"/>
    <x v="0"/>
    <x v="11"/>
    <x v="305"/>
    <x v="298"/>
    <x v="341"/>
    <x v="3"/>
    <x v="10"/>
    <x v="0"/>
    <x v="11"/>
    <x v="12"/>
    <x v="0"/>
    <x v="0"/>
    <x v="0"/>
    <x v="15"/>
    <x v="0"/>
    <x v="0"/>
    <x v="1"/>
    <x v="1"/>
  </r>
  <r>
    <x v="205"/>
    <x v="0"/>
    <x v="11"/>
    <x v="352"/>
    <x v="1304"/>
    <x v="306"/>
    <x v="1"/>
    <x v="0"/>
    <x v="202"/>
    <x v="0"/>
    <x v="0"/>
    <x v="0"/>
    <x v="0"/>
    <x v="0"/>
    <x v="11"/>
    <x v="306"/>
    <x v="299"/>
    <x v="352"/>
    <x v="3"/>
    <x v="10"/>
    <x v="0"/>
    <x v="11"/>
    <x v="12"/>
    <x v="0"/>
    <x v="0"/>
    <x v="0"/>
    <x v="15"/>
    <x v="0"/>
    <x v="0"/>
    <x v="1"/>
    <x v="1"/>
  </r>
  <r>
    <x v="207"/>
    <x v="0"/>
    <x v="11"/>
    <x v="354"/>
    <x v="1305"/>
    <x v="307"/>
    <x v="1"/>
    <x v="0"/>
    <x v="204"/>
    <x v="0"/>
    <x v="0"/>
    <x v="0"/>
    <x v="0"/>
    <x v="0"/>
    <x v="11"/>
    <x v="307"/>
    <x v="300"/>
    <x v="354"/>
    <x v="3"/>
    <x v="10"/>
    <x v="0"/>
    <x v="11"/>
    <x v="12"/>
    <x v="0"/>
    <x v="0"/>
    <x v="0"/>
    <x v="15"/>
    <x v="0"/>
    <x v="0"/>
    <x v="1"/>
    <x v="1"/>
  </r>
  <r>
    <x v="199"/>
    <x v="0"/>
    <x v="11"/>
    <x v="346"/>
    <x v="1306"/>
    <x v="308"/>
    <x v="1"/>
    <x v="0"/>
    <x v="196"/>
    <x v="0"/>
    <x v="0"/>
    <x v="0"/>
    <x v="0"/>
    <x v="0"/>
    <x v="11"/>
    <x v="308"/>
    <x v="301"/>
    <x v="346"/>
    <x v="3"/>
    <x v="10"/>
    <x v="0"/>
    <x v="11"/>
    <x v="12"/>
    <x v="0"/>
    <x v="0"/>
    <x v="0"/>
    <x v="15"/>
    <x v="0"/>
    <x v="0"/>
    <x v="1"/>
    <x v="1"/>
  </r>
  <r>
    <x v="204"/>
    <x v="0"/>
    <x v="11"/>
    <x v="351"/>
    <x v="1307"/>
    <x v="309"/>
    <x v="1"/>
    <x v="0"/>
    <x v="201"/>
    <x v="0"/>
    <x v="0"/>
    <x v="0"/>
    <x v="0"/>
    <x v="0"/>
    <x v="11"/>
    <x v="309"/>
    <x v="302"/>
    <x v="351"/>
    <x v="3"/>
    <x v="10"/>
    <x v="0"/>
    <x v="11"/>
    <x v="12"/>
    <x v="0"/>
    <x v="0"/>
    <x v="0"/>
    <x v="15"/>
    <x v="0"/>
    <x v="0"/>
    <x v="1"/>
    <x v="1"/>
  </r>
  <r>
    <x v="198"/>
    <x v="0"/>
    <x v="11"/>
    <x v="345"/>
    <x v="1308"/>
    <x v="310"/>
    <x v="1"/>
    <x v="0"/>
    <x v="195"/>
    <x v="0"/>
    <x v="0"/>
    <x v="0"/>
    <x v="0"/>
    <x v="0"/>
    <x v="11"/>
    <x v="310"/>
    <x v="303"/>
    <x v="345"/>
    <x v="3"/>
    <x v="10"/>
    <x v="0"/>
    <x v="11"/>
    <x v="12"/>
    <x v="0"/>
    <x v="0"/>
    <x v="0"/>
    <x v="15"/>
    <x v="0"/>
    <x v="0"/>
    <x v="1"/>
    <x v="1"/>
  </r>
  <r>
    <x v="195"/>
    <x v="0"/>
    <x v="11"/>
    <x v="342"/>
    <x v="1309"/>
    <x v="311"/>
    <x v="1"/>
    <x v="0"/>
    <x v="192"/>
    <x v="0"/>
    <x v="0"/>
    <x v="0"/>
    <x v="0"/>
    <x v="0"/>
    <x v="11"/>
    <x v="311"/>
    <x v="304"/>
    <x v="342"/>
    <x v="3"/>
    <x v="10"/>
    <x v="0"/>
    <x v="11"/>
    <x v="12"/>
    <x v="0"/>
    <x v="0"/>
    <x v="0"/>
    <x v="15"/>
    <x v="0"/>
    <x v="0"/>
    <x v="1"/>
    <x v="1"/>
  </r>
  <r>
    <x v="192"/>
    <x v="0"/>
    <x v="11"/>
    <x v="339"/>
    <x v="1310"/>
    <x v="312"/>
    <x v="1"/>
    <x v="0"/>
    <x v="189"/>
    <x v="0"/>
    <x v="0"/>
    <x v="0"/>
    <x v="0"/>
    <x v="0"/>
    <x v="11"/>
    <x v="312"/>
    <x v="305"/>
    <x v="339"/>
    <x v="3"/>
    <x v="10"/>
    <x v="0"/>
    <x v="11"/>
    <x v="12"/>
    <x v="0"/>
    <x v="0"/>
    <x v="0"/>
    <x v="15"/>
    <x v="0"/>
    <x v="0"/>
    <x v="1"/>
    <x v="1"/>
  </r>
  <r>
    <x v="190"/>
    <x v="0"/>
    <x v="11"/>
    <x v="337"/>
    <x v="1311"/>
    <x v="313"/>
    <x v="1"/>
    <x v="0"/>
    <x v="187"/>
    <x v="0"/>
    <x v="0"/>
    <x v="0"/>
    <x v="0"/>
    <x v="0"/>
    <x v="11"/>
    <x v="313"/>
    <x v="306"/>
    <x v="337"/>
    <x v="3"/>
    <x v="10"/>
    <x v="0"/>
    <x v="11"/>
    <x v="12"/>
    <x v="0"/>
    <x v="0"/>
    <x v="0"/>
    <x v="15"/>
    <x v="0"/>
    <x v="0"/>
    <x v="1"/>
    <x v="1"/>
  </r>
  <r>
    <x v="209"/>
    <x v="0"/>
    <x v="11"/>
    <x v="356"/>
    <x v="1312"/>
    <x v="314"/>
    <x v="1"/>
    <x v="0"/>
    <x v="206"/>
    <x v="0"/>
    <x v="0"/>
    <x v="0"/>
    <x v="0"/>
    <x v="0"/>
    <x v="11"/>
    <x v="314"/>
    <x v="307"/>
    <x v="356"/>
    <x v="3"/>
    <x v="10"/>
    <x v="0"/>
    <x v="11"/>
    <x v="12"/>
    <x v="0"/>
    <x v="0"/>
    <x v="0"/>
    <x v="15"/>
    <x v="0"/>
    <x v="0"/>
    <x v="1"/>
    <x v="1"/>
  </r>
  <r>
    <x v="202"/>
    <x v="0"/>
    <x v="11"/>
    <x v="349"/>
    <x v="1313"/>
    <x v="315"/>
    <x v="1"/>
    <x v="0"/>
    <x v="199"/>
    <x v="0"/>
    <x v="0"/>
    <x v="0"/>
    <x v="0"/>
    <x v="0"/>
    <x v="11"/>
    <x v="315"/>
    <x v="308"/>
    <x v="349"/>
    <x v="3"/>
    <x v="10"/>
    <x v="0"/>
    <x v="11"/>
    <x v="12"/>
    <x v="0"/>
    <x v="0"/>
    <x v="0"/>
    <x v="15"/>
    <x v="0"/>
    <x v="0"/>
    <x v="1"/>
    <x v="1"/>
  </r>
  <r>
    <x v="193"/>
    <x v="0"/>
    <x v="11"/>
    <x v="340"/>
    <x v="1314"/>
    <x v="316"/>
    <x v="1"/>
    <x v="0"/>
    <x v="190"/>
    <x v="0"/>
    <x v="0"/>
    <x v="0"/>
    <x v="0"/>
    <x v="0"/>
    <x v="11"/>
    <x v="316"/>
    <x v="309"/>
    <x v="340"/>
    <x v="3"/>
    <x v="10"/>
    <x v="0"/>
    <x v="11"/>
    <x v="12"/>
    <x v="0"/>
    <x v="0"/>
    <x v="0"/>
    <x v="15"/>
    <x v="0"/>
    <x v="0"/>
    <x v="1"/>
    <x v="1"/>
  </r>
  <r>
    <x v="201"/>
    <x v="0"/>
    <x v="11"/>
    <x v="348"/>
    <x v="1315"/>
    <x v="317"/>
    <x v="1"/>
    <x v="0"/>
    <x v="198"/>
    <x v="0"/>
    <x v="0"/>
    <x v="0"/>
    <x v="0"/>
    <x v="0"/>
    <x v="11"/>
    <x v="317"/>
    <x v="310"/>
    <x v="348"/>
    <x v="3"/>
    <x v="10"/>
    <x v="0"/>
    <x v="11"/>
    <x v="12"/>
    <x v="0"/>
    <x v="0"/>
    <x v="0"/>
    <x v="15"/>
    <x v="0"/>
    <x v="0"/>
    <x v="1"/>
    <x v="1"/>
  </r>
  <r>
    <x v="197"/>
    <x v="0"/>
    <x v="11"/>
    <x v="344"/>
    <x v="1316"/>
    <x v="318"/>
    <x v="1"/>
    <x v="0"/>
    <x v="194"/>
    <x v="0"/>
    <x v="0"/>
    <x v="0"/>
    <x v="0"/>
    <x v="0"/>
    <x v="11"/>
    <x v="318"/>
    <x v="311"/>
    <x v="344"/>
    <x v="3"/>
    <x v="10"/>
    <x v="0"/>
    <x v="11"/>
    <x v="12"/>
    <x v="0"/>
    <x v="0"/>
    <x v="0"/>
    <x v="15"/>
    <x v="0"/>
    <x v="0"/>
    <x v="1"/>
    <x v="1"/>
  </r>
  <r>
    <x v="196"/>
    <x v="0"/>
    <x v="11"/>
    <x v="343"/>
    <x v="1317"/>
    <x v="319"/>
    <x v="1"/>
    <x v="0"/>
    <x v="193"/>
    <x v="0"/>
    <x v="0"/>
    <x v="0"/>
    <x v="0"/>
    <x v="0"/>
    <x v="11"/>
    <x v="319"/>
    <x v="312"/>
    <x v="343"/>
    <x v="3"/>
    <x v="10"/>
    <x v="0"/>
    <x v="11"/>
    <x v="12"/>
    <x v="0"/>
    <x v="0"/>
    <x v="0"/>
    <x v="15"/>
    <x v="0"/>
    <x v="0"/>
    <x v="1"/>
    <x v="1"/>
  </r>
  <r>
    <x v="203"/>
    <x v="0"/>
    <x v="11"/>
    <x v="350"/>
    <x v="1318"/>
    <x v="320"/>
    <x v="1"/>
    <x v="0"/>
    <x v="200"/>
    <x v="0"/>
    <x v="0"/>
    <x v="0"/>
    <x v="0"/>
    <x v="0"/>
    <x v="11"/>
    <x v="320"/>
    <x v="313"/>
    <x v="350"/>
    <x v="3"/>
    <x v="10"/>
    <x v="0"/>
    <x v="11"/>
    <x v="12"/>
    <x v="0"/>
    <x v="0"/>
    <x v="0"/>
    <x v="15"/>
    <x v="0"/>
    <x v="0"/>
    <x v="1"/>
    <x v="1"/>
  </r>
  <r>
    <x v="200"/>
    <x v="0"/>
    <x v="11"/>
    <x v="347"/>
    <x v="1319"/>
    <x v="321"/>
    <x v="1"/>
    <x v="0"/>
    <x v="197"/>
    <x v="0"/>
    <x v="0"/>
    <x v="0"/>
    <x v="0"/>
    <x v="0"/>
    <x v="11"/>
    <x v="321"/>
    <x v="314"/>
    <x v="347"/>
    <x v="3"/>
    <x v="10"/>
    <x v="0"/>
    <x v="11"/>
    <x v="12"/>
    <x v="0"/>
    <x v="0"/>
    <x v="0"/>
    <x v="15"/>
    <x v="0"/>
    <x v="0"/>
    <x v="1"/>
    <x v="1"/>
  </r>
  <r>
    <x v="189"/>
    <x v="0"/>
    <x v="11"/>
    <x v="336"/>
    <x v="1320"/>
    <x v="322"/>
    <x v="1"/>
    <x v="0"/>
    <x v="186"/>
    <x v="0"/>
    <x v="0"/>
    <x v="0"/>
    <x v="0"/>
    <x v="0"/>
    <x v="11"/>
    <x v="322"/>
    <x v="315"/>
    <x v="336"/>
    <x v="3"/>
    <x v="10"/>
    <x v="0"/>
    <x v="11"/>
    <x v="12"/>
    <x v="0"/>
    <x v="0"/>
    <x v="0"/>
    <x v="15"/>
    <x v="0"/>
    <x v="0"/>
    <x v="1"/>
    <x v="1"/>
  </r>
  <r>
    <x v="188"/>
    <x v="0"/>
    <x v="11"/>
    <x v="335"/>
    <x v="1321"/>
    <x v="323"/>
    <x v="1"/>
    <x v="0"/>
    <x v="185"/>
    <x v="0"/>
    <x v="0"/>
    <x v="0"/>
    <x v="0"/>
    <x v="0"/>
    <x v="11"/>
    <x v="323"/>
    <x v="316"/>
    <x v="335"/>
    <x v="3"/>
    <x v="10"/>
    <x v="0"/>
    <x v="11"/>
    <x v="12"/>
    <x v="0"/>
    <x v="0"/>
    <x v="0"/>
    <x v="15"/>
    <x v="0"/>
    <x v="0"/>
    <x v="1"/>
    <x v="1"/>
  </r>
  <r>
    <x v="206"/>
    <x v="0"/>
    <x v="11"/>
    <x v="353"/>
    <x v="1322"/>
    <x v="324"/>
    <x v="1"/>
    <x v="0"/>
    <x v="203"/>
    <x v="0"/>
    <x v="0"/>
    <x v="0"/>
    <x v="0"/>
    <x v="0"/>
    <x v="11"/>
    <x v="324"/>
    <x v="317"/>
    <x v="353"/>
    <x v="3"/>
    <x v="10"/>
    <x v="0"/>
    <x v="11"/>
    <x v="12"/>
    <x v="0"/>
    <x v="0"/>
    <x v="0"/>
    <x v="15"/>
    <x v="0"/>
    <x v="0"/>
    <x v="1"/>
    <x v="1"/>
  </r>
  <r>
    <x v="191"/>
    <x v="0"/>
    <x v="11"/>
    <x v="338"/>
    <x v="1323"/>
    <x v="325"/>
    <x v="1"/>
    <x v="0"/>
    <x v="188"/>
    <x v="0"/>
    <x v="0"/>
    <x v="0"/>
    <x v="0"/>
    <x v="0"/>
    <x v="11"/>
    <x v="325"/>
    <x v="318"/>
    <x v="338"/>
    <x v="3"/>
    <x v="10"/>
    <x v="0"/>
    <x v="11"/>
    <x v="12"/>
    <x v="0"/>
    <x v="0"/>
    <x v="0"/>
    <x v="15"/>
    <x v="0"/>
    <x v="0"/>
    <x v="1"/>
    <x v="1"/>
  </r>
  <r>
    <x v="208"/>
    <x v="0"/>
    <x v="11"/>
    <x v="355"/>
    <x v="1324"/>
    <x v="326"/>
    <x v="1"/>
    <x v="0"/>
    <x v="205"/>
    <x v="0"/>
    <x v="0"/>
    <x v="0"/>
    <x v="0"/>
    <x v="0"/>
    <x v="11"/>
    <x v="326"/>
    <x v="319"/>
    <x v="355"/>
    <x v="3"/>
    <x v="10"/>
    <x v="0"/>
    <x v="11"/>
    <x v="12"/>
    <x v="0"/>
    <x v="0"/>
    <x v="0"/>
    <x v="15"/>
    <x v="0"/>
    <x v="0"/>
    <x v="1"/>
    <x v="1"/>
  </r>
  <r>
    <x v="124"/>
    <x v="0"/>
    <x v="20"/>
    <x v="227"/>
    <x v="1325"/>
    <x v="282"/>
    <x v="0"/>
    <x v="0"/>
    <x v="121"/>
    <x v="0"/>
    <x v="0"/>
    <x v="0"/>
    <x v="0"/>
    <x v="0"/>
    <x v="11"/>
    <x v="282"/>
    <x v="275"/>
    <x v="227"/>
    <x v="3"/>
    <x v="10"/>
    <x v="0"/>
    <x v="11"/>
    <x v="12"/>
    <x v="0"/>
    <x v="0"/>
    <x v="0"/>
    <x v="16"/>
    <x v="0"/>
    <x v="0"/>
    <x v="0"/>
    <x v="0"/>
  </r>
  <r>
    <x v="135"/>
    <x v="0"/>
    <x v="20"/>
    <x v="238"/>
    <x v="1326"/>
    <x v="283"/>
    <x v="0"/>
    <x v="0"/>
    <x v="132"/>
    <x v="0"/>
    <x v="0"/>
    <x v="0"/>
    <x v="0"/>
    <x v="0"/>
    <x v="11"/>
    <x v="283"/>
    <x v="276"/>
    <x v="238"/>
    <x v="3"/>
    <x v="10"/>
    <x v="0"/>
    <x v="11"/>
    <x v="12"/>
    <x v="0"/>
    <x v="0"/>
    <x v="0"/>
    <x v="16"/>
    <x v="0"/>
    <x v="0"/>
    <x v="0"/>
    <x v="0"/>
  </r>
  <r>
    <x v="137"/>
    <x v="0"/>
    <x v="20"/>
    <x v="240"/>
    <x v="1327"/>
    <x v="284"/>
    <x v="0"/>
    <x v="0"/>
    <x v="134"/>
    <x v="0"/>
    <x v="0"/>
    <x v="0"/>
    <x v="0"/>
    <x v="0"/>
    <x v="11"/>
    <x v="284"/>
    <x v="277"/>
    <x v="240"/>
    <x v="3"/>
    <x v="10"/>
    <x v="0"/>
    <x v="11"/>
    <x v="12"/>
    <x v="0"/>
    <x v="0"/>
    <x v="0"/>
    <x v="16"/>
    <x v="0"/>
    <x v="0"/>
    <x v="0"/>
    <x v="0"/>
  </r>
  <r>
    <x v="129"/>
    <x v="0"/>
    <x v="20"/>
    <x v="232"/>
    <x v="1328"/>
    <x v="285"/>
    <x v="0"/>
    <x v="0"/>
    <x v="126"/>
    <x v="0"/>
    <x v="0"/>
    <x v="0"/>
    <x v="0"/>
    <x v="0"/>
    <x v="11"/>
    <x v="285"/>
    <x v="278"/>
    <x v="232"/>
    <x v="3"/>
    <x v="10"/>
    <x v="0"/>
    <x v="11"/>
    <x v="12"/>
    <x v="0"/>
    <x v="0"/>
    <x v="0"/>
    <x v="16"/>
    <x v="0"/>
    <x v="0"/>
    <x v="0"/>
    <x v="0"/>
  </r>
  <r>
    <x v="134"/>
    <x v="0"/>
    <x v="20"/>
    <x v="237"/>
    <x v="1329"/>
    <x v="286"/>
    <x v="0"/>
    <x v="0"/>
    <x v="131"/>
    <x v="0"/>
    <x v="0"/>
    <x v="0"/>
    <x v="0"/>
    <x v="0"/>
    <x v="11"/>
    <x v="286"/>
    <x v="279"/>
    <x v="237"/>
    <x v="3"/>
    <x v="10"/>
    <x v="0"/>
    <x v="11"/>
    <x v="12"/>
    <x v="0"/>
    <x v="0"/>
    <x v="0"/>
    <x v="16"/>
    <x v="0"/>
    <x v="0"/>
    <x v="0"/>
    <x v="0"/>
  </r>
  <r>
    <x v="128"/>
    <x v="0"/>
    <x v="20"/>
    <x v="231"/>
    <x v="1330"/>
    <x v="287"/>
    <x v="0"/>
    <x v="0"/>
    <x v="125"/>
    <x v="0"/>
    <x v="0"/>
    <x v="0"/>
    <x v="0"/>
    <x v="0"/>
    <x v="11"/>
    <x v="287"/>
    <x v="280"/>
    <x v="231"/>
    <x v="3"/>
    <x v="10"/>
    <x v="0"/>
    <x v="11"/>
    <x v="12"/>
    <x v="0"/>
    <x v="0"/>
    <x v="0"/>
    <x v="16"/>
    <x v="0"/>
    <x v="0"/>
    <x v="0"/>
    <x v="0"/>
  </r>
  <r>
    <x v="125"/>
    <x v="0"/>
    <x v="20"/>
    <x v="228"/>
    <x v="1331"/>
    <x v="288"/>
    <x v="0"/>
    <x v="0"/>
    <x v="122"/>
    <x v="0"/>
    <x v="0"/>
    <x v="0"/>
    <x v="0"/>
    <x v="0"/>
    <x v="11"/>
    <x v="288"/>
    <x v="281"/>
    <x v="228"/>
    <x v="3"/>
    <x v="10"/>
    <x v="0"/>
    <x v="11"/>
    <x v="12"/>
    <x v="0"/>
    <x v="0"/>
    <x v="0"/>
    <x v="16"/>
    <x v="0"/>
    <x v="0"/>
    <x v="0"/>
    <x v="0"/>
  </r>
  <r>
    <x v="122"/>
    <x v="0"/>
    <x v="20"/>
    <x v="225"/>
    <x v="1332"/>
    <x v="289"/>
    <x v="0"/>
    <x v="0"/>
    <x v="119"/>
    <x v="0"/>
    <x v="0"/>
    <x v="0"/>
    <x v="0"/>
    <x v="0"/>
    <x v="11"/>
    <x v="289"/>
    <x v="282"/>
    <x v="225"/>
    <x v="3"/>
    <x v="10"/>
    <x v="0"/>
    <x v="11"/>
    <x v="12"/>
    <x v="0"/>
    <x v="0"/>
    <x v="0"/>
    <x v="16"/>
    <x v="0"/>
    <x v="0"/>
    <x v="0"/>
    <x v="0"/>
  </r>
  <r>
    <x v="120"/>
    <x v="0"/>
    <x v="20"/>
    <x v="223"/>
    <x v="1333"/>
    <x v="290"/>
    <x v="0"/>
    <x v="0"/>
    <x v="117"/>
    <x v="0"/>
    <x v="0"/>
    <x v="0"/>
    <x v="0"/>
    <x v="0"/>
    <x v="11"/>
    <x v="290"/>
    <x v="283"/>
    <x v="223"/>
    <x v="3"/>
    <x v="10"/>
    <x v="0"/>
    <x v="11"/>
    <x v="12"/>
    <x v="0"/>
    <x v="0"/>
    <x v="0"/>
    <x v="16"/>
    <x v="0"/>
    <x v="0"/>
    <x v="0"/>
    <x v="0"/>
  </r>
  <r>
    <x v="139"/>
    <x v="0"/>
    <x v="20"/>
    <x v="242"/>
    <x v="1334"/>
    <x v="291"/>
    <x v="0"/>
    <x v="0"/>
    <x v="136"/>
    <x v="0"/>
    <x v="0"/>
    <x v="0"/>
    <x v="0"/>
    <x v="0"/>
    <x v="11"/>
    <x v="291"/>
    <x v="284"/>
    <x v="242"/>
    <x v="3"/>
    <x v="10"/>
    <x v="0"/>
    <x v="11"/>
    <x v="12"/>
    <x v="0"/>
    <x v="0"/>
    <x v="0"/>
    <x v="16"/>
    <x v="0"/>
    <x v="0"/>
    <x v="0"/>
    <x v="0"/>
  </r>
  <r>
    <x v="132"/>
    <x v="0"/>
    <x v="20"/>
    <x v="235"/>
    <x v="1335"/>
    <x v="292"/>
    <x v="0"/>
    <x v="0"/>
    <x v="129"/>
    <x v="0"/>
    <x v="0"/>
    <x v="0"/>
    <x v="0"/>
    <x v="0"/>
    <x v="11"/>
    <x v="292"/>
    <x v="285"/>
    <x v="235"/>
    <x v="3"/>
    <x v="10"/>
    <x v="0"/>
    <x v="11"/>
    <x v="12"/>
    <x v="0"/>
    <x v="0"/>
    <x v="0"/>
    <x v="16"/>
    <x v="0"/>
    <x v="0"/>
    <x v="0"/>
    <x v="0"/>
  </r>
  <r>
    <x v="123"/>
    <x v="0"/>
    <x v="20"/>
    <x v="226"/>
    <x v="1336"/>
    <x v="293"/>
    <x v="0"/>
    <x v="0"/>
    <x v="120"/>
    <x v="0"/>
    <x v="0"/>
    <x v="0"/>
    <x v="0"/>
    <x v="0"/>
    <x v="11"/>
    <x v="293"/>
    <x v="286"/>
    <x v="226"/>
    <x v="3"/>
    <x v="10"/>
    <x v="0"/>
    <x v="11"/>
    <x v="12"/>
    <x v="0"/>
    <x v="0"/>
    <x v="0"/>
    <x v="16"/>
    <x v="0"/>
    <x v="0"/>
    <x v="0"/>
    <x v="0"/>
  </r>
  <r>
    <x v="131"/>
    <x v="0"/>
    <x v="20"/>
    <x v="234"/>
    <x v="1337"/>
    <x v="294"/>
    <x v="0"/>
    <x v="0"/>
    <x v="128"/>
    <x v="0"/>
    <x v="0"/>
    <x v="0"/>
    <x v="0"/>
    <x v="0"/>
    <x v="11"/>
    <x v="294"/>
    <x v="287"/>
    <x v="234"/>
    <x v="3"/>
    <x v="10"/>
    <x v="0"/>
    <x v="11"/>
    <x v="12"/>
    <x v="0"/>
    <x v="0"/>
    <x v="0"/>
    <x v="16"/>
    <x v="0"/>
    <x v="0"/>
    <x v="0"/>
    <x v="0"/>
  </r>
  <r>
    <x v="127"/>
    <x v="0"/>
    <x v="20"/>
    <x v="230"/>
    <x v="1338"/>
    <x v="295"/>
    <x v="0"/>
    <x v="0"/>
    <x v="124"/>
    <x v="0"/>
    <x v="0"/>
    <x v="0"/>
    <x v="0"/>
    <x v="0"/>
    <x v="11"/>
    <x v="295"/>
    <x v="288"/>
    <x v="230"/>
    <x v="3"/>
    <x v="10"/>
    <x v="0"/>
    <x v="11"/>
    <x v="12"/>
    <x v="0"/>
    <x v="0"/>
    <x v="0"/>
    <x v="16"/>
    <x v="0"/>
    <x v="0"/>
    <x v="0"/>
    <x v="0"/>
  </r>
  <r>
    <x v="126"/>
    <x v="0"/>
    <x v="20"/>
    <x v="229"/>
    <x v="1339"/>
    <x v="296"/>
    <x v="0"/>
    <x v="0"/>
    <x v="123"/>
    <x v="0"/>
    <x v="0"/>
    <x v="0"/>
    <x v="0"/>
    <x v="0"/>
    <x v="11"/>
    <x v="296"/>
    <x v="289"/>
    <x v="229"/>
    <x v="3"/>
    <x v="10"/>
    <x v="0"/>
    <x v="11"/>
    <x v="12"/>
    <x v="0"/>
    <x v="0"/>
    <x v="0"/>
    <x v="16"/>
    <x v="0"/>
    <x v="0"/>
    <x v="0"/>
    <x v="0"/>
  </r>
  <r>
    <x v="133"/>
    <x v="0"/>
    <x v="20"/>
    <x v="236"/>
    <x v="1340"/>
    <x v="297"/>
    <x v="0"/>
    <x v="0"/>
    <x v="130"/>
    <x v="0"/>
    <x v="0"/>
    <x v="0"/>
    <x v="0"/>
    <x v="0"/>
    <x v="11"/>
    <x v="297"/>
    <x v="290"/>
    <x v="236"/>
    <x v="3"/>
    <x v="10"/>
    <x v="0"/>
    <x v="11"/>
    <x v="12"/>
    <x v="0"/>
    <x v="0"/>
    <x v="0"/>
    <x v="16"/>
    <x v="0"/>
    <x v="0"/>
    <x v="0"/>
    <x v="0"/>
  </r>
  <r>
    <x v="130"/>
    <x v="0"/>
    <x v="20"/>
    <x v="233"/>
    <x v="1341"/>
    <x v="298"/>
    <x v="0"/>
    <x v="0"/>
    <x v="127"/>
    <x v="0"/>
    <x v="0"/>
    <x v="0"/>
    <x v="0"/>
    <x v="0"/>
    <x v="11"/>
    <x v="298"/>
    <x v="291"/>
    <x v="233"/>
    <x v="3"/>
    <x v="10"/>
    <x v="0"/>
    <x v="11"/>
    <x v="12"/>
    <x v="0"/>
    <x v="0"/>
    <x v="0"/>
    <x v="16"/>
    <x v="0"/>
    <x v="0"/>
    <x v="0"/>
    <x v="0"/>
  </r>
  <r>
    <x v="119"/>
    <x v="0"/>
    <x v="20"/>
    <x v="222"/>
    <x v="1342"/>
    <x v="299"/>
    <x v="0"/>
    <x v="0"/>
    <x v="116"/>
    <x v="0"/>
    <x v="0"/>
    <x v="0"/>
    <x v="0"/>
    <x v="0"/>
    <x v="11"/>
    <x v="299"/>
    <x v="292"/>
    <x v="222"/>
    <x v="3"/>
    <x v="10"/>
    <x v="0"/>
    <x v="11"/>
    <x v="12"/>
    <x v="0"/>
    <x v="0"/>
    <x v="0"/>
    <x v="16"/>
    <x v="0"/>
    <x v="0"/>
    <x v="0"/>
    <x v="0"/>
  </r>
  <r>
    <x v="118"/>
    <x v="0"/>
    <x v="20"/>
    <x v="221"/>
    <x v="1343"/>
    <x v="300"/>
    <x v="0"/>
    <x v="0"/>
    <x v="115"/>
    <x v="0"/>
    <x v="0"/>
    <x v="0"/>
    <x v="0"/>
    <x v="0"/>
    <x v="11"/>
    <x v="300"/>
    <x v="293"/>
    <x v="221"/>
    <x v="3"/>
    <x v="10"/>
    <x v="0"/>
    <x v="11"/>
    <x v="12"/>
    <x v="0"/>
    <x v="0"/>
    <x v="0"/>
    <x v="16"/>
    <x v="0"/>
    <x v="0"/>
    <x v="0"/>
    <x v="0"/>
  </r>
  <r>
    <x v="136"/>
    <x v="0"/>
    <x v="20"/>
    <x v="239"/>
    <x v="1344"/>
    <x v="301"/>
    <x v="0"/>
    <x v="0"/>
    <x v="133"/>
    <x v="0"/>
    <x v="0"/>
    <x v="0"/>
    <x v="0"/>
    <x v="0"/>
    <x v="11"/>
    <x v="301"/>
    <x v="294"/>
    <x v="239"/>
    <x v="3"/>
    <x v="10"/>
    <x v="0"/>
    <x v="11"/>
    <x v="12"/>
    <x v="0"/>
    <x v="0"/>
    <x v="0"/>
    <x v="16"/>
    <x v="0"/>
    <x v="0"/>
    <x v="0"/>
    <x v="0"/>
  </r>
  <r>
    <x v="121"/>
    <x v="0"/>
    <x v="20"/>
    <x v="224"/>
    <x v="1345"/>
    <x v="302"/>
    <x v="0"/>
    <x v="0"/>
    <x v="118"/>
    <x v="0"/>
    <x v="0"/>
    <x v="0"/>
    <x v="0"/>
    <x v="0"/>
    <x v="11"/>
    <x v="302"/>
    <x v="295"/>
    <x v="224"/>
    <x v="3"/>
    <x v="10"/>
    <x v="0"/>
    <x v="11"/>
    <x v="12"/>
    <x v="0"/>
    <x v="0"/>
    <x v="0"/>
    <x v="16"/>
    <x v="0"/>
    <x v="0"/>
    <x v="0"/>
    <x v="0"/>
  </r>
  <r>
    <x v="138"/>
    <x v="0"/>
    <x v="20"/>
    <x v="241"/>
    <x v="1346"/>
    <x v="303"/>
    <x v="0"/>
    <x v="0"/>
    <x v="135"/>
    <x v="0"/>
    <x v="0"/>
    <x v="0"/>
    <x v="0"/>
    <x v="0"/>
    <x v="11"/>
    <x v="303"/>
    <x v="296"/>
    <x v="241"/>
    <x v="3"/>
    <x v="10"/>
    <x v="0"/>
    <x v="11"/>
    <x v="12"/>
    <x v="0"/>
    <x v="0"/>
    <x v="0"/>
    <x v="16"/>
    <x v="0"/>
    <x v="0"/>
    <x v="0"/>
    <x v="0"/>
  </r>
  <r>
    <x v="234"/>
    <x v="0"/>
    <x v="9"/>
    <x v="197"/>
    <x v="1347"/>
    <x v="207"/>
    <x v="1"/>
    <x v="0"/>
    <x v="231"/>
    <x v="0"/>
    <x v="0"/>
    <x v="0"/>
    <x v="0"/>
    <x v="0"/>
    <x v="11"/>
    <x v="207"/>
    <x v="202"/>
    <x v="197"/>
    <x v="3"/>
    <x v="10"/>
    <x v="0"/>
    <x v="11"/>
    <x v="12"/>
    <x v="0"/>
    <x v="0"/>
    <x v="0"/>
    <x v="13"/>
    <x v="0"/>
    <x v="0"/>
    <x v="1"/>
    <x v="1"/>
  </r>
  <r>
    <x v="366"/>
    <x v="1"/>
    <x v="25"/>
    <x v="1438"/>
    <x v="992"/>
    <x v="0"/>
    <x v="1"/>
    <x v="1"/>
    <x v="1425"/>
    <x v="0"/>
    <x v="0"/>
    <x v="0"/>
    <x v="0"/>
    <x v="1"/>
    <x v="14"/>
    <x v="0"/>
    <x v="1422"/>
    <x v="1438"/>
    <x v="3"/>
    <x v="10"/>
    <x v="0"/>
    <x v="11"/>
    <x v="12"/>
    <x v="1"/>
    <x v="1"/>
    <x v="1"/>
    <x v="34"/>
    <x v="0"/>
    <x v="0"/>
    <x v="1"/>
    <x v="1"/>
  </r>
  <r>
    <x v="365"/>
    <x v="1"/>
    <x v="25"/>
    <x v="1437"/>
    <x v="993"/>
    <x v="0"/>
    <x v="1"/>
    <x v="1"/>
    <x v="1425"/>
    <x v="0"/>
    <x v="0"/>
    <x v="0"/>
    <x v="0"/>
    <x v="1"/>
    <x v="14"/>
    <x v="0"/>
    <x v="1422"/>
    <x v="1437"/>
    <x v="3"/>
    <x v="10"/>
    <x v="0"/>
    <x v="11"/>
    <x v="12"/>
    <x v="1"/>
    <x v="1"/>
    <x v="1"/>
    <x v="34"/>
    <x v="0"/>
    <x v="0"/>
    <x v="1"/>
    <x v="1"/>
  </r>
  <r>
    <x v="369"/>
    <x v="1"/>
    <x v="25"/>
    <x v="1441"/>
    <x v="994"/>
    <x v="206"/>
    <x v="1"/>
    <x v="1"/>
    <x v="1425"/>
    <x v="0"/>
    <x v="0"/>
    <x v="0"/>
    <x v="0"/>
    <x v="1"/>
    <x v="14"/>
    <x v="206"/>
    <x v="1422"/>
    <x v="1441"/>
    <x v="3"/>
    <x v="10"/>
    <x v="0"/>
    <x v="11"/>
    <x v="12"/>
    <x v="1"/>
    <x v="1"/>
    <x v="1"/>
    <x v="34"/>
    <x v="0"/>
    <x v="0"/>
    <x v="1"/>
    <x v="1"/>
  </r>
  <r>
    <x v="368"/>
    <x v="1"/>
    <x v="25"/>
    <x v="1440"/>
    <x v="995"/>
    <x v="209"/>
    <x v="1"/>
    <x v="1"/>
    <x v="1425"/>
    <x v="0"/>
    <x v="0"/>
    <x v="0"/>
    <x v="0"/>
    <x v="1"/>
    <x v="14"/>
    <x v="209"/>
    <x v="1422"/>
    <x v="1440"/>
    <x v="3"/>
    <x v="10"/>
    <x v="0"/>
    <x v="11"/>
    <x v="12"/>
    <x v="1"/>
    <x v="1"/>
    <x v="1"/>
    <x v="34"/>
    <x v="0"/>
    <x v="0"/>
    <x v="1"/>
    <x v="1"/>
  </r>
  <r>
    <x v="367"/>
    <x v="1"/>
    <x v="25"/>
    <x v="1439"/>
    <x v="996"/>
    <x v="208"/>
    <x v="1"/>
    <x v="1"/>
    <x v="1425"/>
    <x v="0"/>
    <x v="0"/>
    <x v="0"/>
    <x v="0"/>
    <x v="1"/>
    <x v="14"/>
    <x v="208"/>
    <x v="1422"/>
    <x v="1439"/>
    <x v="3"/>
    <x v="10"/>
    <x v="0"/>
    <x v="11"/>
    <x v="12"/>
    <x v="1"/>
    <x v="1"/>
    <x v="1"/>
    <x v="34"/>
    <x v="0"/>
    <x v="0"/>
    <x v="1"/>
    <x v="1"/>
  </r>
  <r>
    <x v="330"/>
    <x v="0"/>
    <x v="5"/>
    <x v="360"/>
    <x v="1352"/>
    <x v="328"/>
    <x v="1"/>
    <x v="0"/>
    <x v="327"/>
    <x v="0"/>
    <x v="0"/>
    <x v="0"/>
    <x v="0"/>
    <x v="0"/>
    <x v="12"/>
    <x v="328"/>
    <x v="321"/>
    <x v="360"/>
    <x v="3"/>
    <x v="10"/>
    <x v="0"/>
    <x v="12"/>
    <x v="13"/>
    <x v="0"/>
    <x v="0"/>
    <x v="0"/>
    <x v="14"/>
    <x v="0"/>
    <x v="0"/>
    <x v="1"/>
    <x v="1"/>
  </r>
  <r>
    <x v="331"/>
    <x v="0"/>
    <x v="5"/>
    <x v="361"/>
    <x v="1353"/>
    <x v="327"/>
    <x v="1"/>
    <x v="0"/>
    <x v="328"/>
    <x v="0"/>
    <x v="0"/>
    <x v="0"/>
    <x v="0"/>
    <x v="0"/>
    <x v="12"/>
    <x v="327"/>
    <x v="320"/>
    <x v="361"/>
    <x v="3"/>
    <x v="10"/>
    <x v="0"/>
    <x v="12"/>
    <x v="13"/>
    <x v="0"/>
    <x v="0"/>
    <x v="0"/>
    <x v="14"/>
    <x v="0"/>
    <x v="0"/>
    <x v="1"/>
    <x v="1"/>
  </r>
  <r>
    <x v="329"/>
    <x v="1"/>
    <x v="8"/>
    <x v="359"/>
    <x v="1354"/>
    <x v="329"/>
    <x v="1"/>
    <x v="0"/>
    <x v="326"/>
    <x v="0"/>
    <x v="0"/>
    <x v="0"/>
    <x v="0"/>
    <x v="0"/>
    <x v="12"/>
    <x v="329"/>
    <x v="322"/>
    <x v="359"/>
    <x v="3"/>
    <x v="10"/>
    <x v="0"/>
    <x v="12"/>
    <x v="13"/>
    <x v="0"/>
    <x v="0"/>
    <x v="0"/>
    <x v="17"/>
    <x v="0"/>
    <x v="0"/>
    <x v="1"/>
    <x v="1"/>
  </r>
  <r>
    <x v="375"/>
    <x v="1"/>
    <x v="25"/>
    <x v="191"/>
    <x v="961"/>
    <x v="463"/>
    <x v="1"/>
    <x v="0"/>
    <x v="358"/>
    <x v="0"/>
    <x v="0"/>
    <x v="0"/>
    <x v="0"/>
    <x v="0"/>
    <x v="4"/>
    <x v="463"/>
    <x v="452"/>
    <x v="191"/>
    <x v="2"/>
    <x v="10"/>
    <x v="0"/>
    <x v="13"/>
    <x v="8"/>
    <x v="0"/>
    <x v="0"/>
    <x v="0"/>
    <x v="18"/>
    <x v="0"/>
    <x v="0"/>
    <x v="1"/>
    <x v="1"/>
  </r>
  <r>
    <x v="377"/>
    <x v="1"/>
    <x v="25"/>
    <x v="192"/>
    <x v="947"/>
    <x v="467"/>
    <x v="1"/>
    <x v="0"/>
    <x v="360"/>
    <x v="0"/>
    <x v="0"/>
    <x v="0"/>
    <x v="0"/>
    <x v="0"/>
    <x v="4"/>
    <x v="467"/>
    <x v="456"/>
    <x v="192"/>
    <x v="2"/>
    <x v="10"/>
    <x v="0"/>
    <x v="13"/>
    <x v="8"/>
    <x v="0"/>
    <x v="0"/>
    <x v="0"/>
    <x v="18"/>
    <x v="0"/>
    <x v="0"/>
    <x v="1"/>
    <x v="1"/>
  </r>
  <r>
    <x v="187"/>
    <x v="0"/>
    <x v="14"/>
    <x v="48"/>
    <x v="998"/>
    <x v="330"/>
    <x v="1"/>
    <x v="0"/>
    <x v="184"/>
    <x v="0"/>
    <x v="0"/>
    <x v="0"/>
    <x v="0"/>
    <x v="0"/>
    <x v="13"/>
    <x v="330"/>
    <x v="323"/>
    <x v="48"/>
    <x v="3"/>
    <x v="10"/>
    <x v="0"/>
    <x v="14"/>
    <x v="1"/>
    <x v="0"/>
    <x v="0"/>
    <x v="0"/>
    <x v="8"/>
    <x v="0"/>
    <x v="0"/>
    <x v="1"/>
    <x v="1"/>
  </r>
  <r>
    <x v="186"/>
    <x v="0"/>
    <x v="13"/>
    <x v="47"/>
    <x v="999"/>
    <x v="376"/>
    <x v="1"/>
    <x v="0"/>
    <x v="183"/>
    <x v="0"/>
    <x v="0"/>
    <x v="0"/>
    <x v="0"/>
    <x v="0"/>
    <x v="13"/>
    <x v="376"/>
    <x v="369"/>
    <x v="47"/>
    <x v="3"/>
    <x v="10"/>
    <x v="0"/>
    <x v="14"/>
    <x v="1"/>
    <x v="0"/>
    <x v="0"/>
    <x v="0"/>
    <x v="8"/>
    <x v="0"/>
    <x v="0"/>
    <x v="1"/>
    <x v="1"/>
  </r>
  <r>
    <x v="102"/>
    <x v="0"/>
    <x v="18"/>
    <x v="7"/>
    <x v="1000"/>
    <x v="354"/>
    <x v="0"/>
    <x v="0"/>
    <x v="99"/>
    <x v="0"/>
    <x v="0"/>
    <x v="0"/>
    <x v="0"/>
    <x v="0"/>
    <x v="13"/>
    <x v="354"/>
    <x v="347"/>
    <x v="7"/>
    <x v="3"/>
    <x v="10"/>
    <x v="0"/>
    <x v="14"/>
    <x v="1"/>
    <x v="0"/>
    <x v="0"/>
    <x v="0"/>
    <x v="10"/>
    <x v="0"/>
    <x v="0"/>
    <x v="0"/>
    <x v="0"/>
  </r>
  <r>
    <x v="113"/>
    <x v="0"/>
    <x v="18"/>
    <x v="18"/>
    <x v="1001"/>
    <x v="355"/>
    <x v="0"/>
    <x v="0"/>
    <x v="110"/>
    <x v="0"/>
    <x v="0"/>
    <x v="0"/>
    <x v="0"/>
    <x v="0"/>
    <x v="13"/>
    <x v="355"/>
    <x v="348"/>
    <x v="18"/>
    <x v="3"/>
    <x v="10"/>
    <x v="0"/>
    <x v="14"/>
    <x v="1"/>
    <x v="0"/>
    <x v="0"/>
    <x v="0"/>
    <x v="10"/>
    <x v="0"/>
    <x v="0"/>
    <x v="0"/>
    <x v="0"/>
  </r>
  <r>
    <x v="115"/>
    <x v="0"/>
    <x v="18"/>
    <x v="20"/>
    <x v="1002"/>
    <x v="356"/>
    <x v="0"/>
    <x v="0"/>
    <x v="112"/>
    <x v="0"/>
    <x v="0"/>
    <x v="0"/>
    <x v="0"/>
    <x v="0"/>
    <x v="13"/>
    <x v="356"/>
    <x v="349"/>
    <x v="20"/>
    <x v="3"/>
    <x v="10"/>
    <x v="0"/>
    <x v="14"/>
    <x v="1"/>
    <x v="0"/>
    <x v="0"/>
    <x v="0"/>
    <x v="10"/>
    <x v="0"/>
    <x v="0"/>
    <x v="0"/>
    <x v="0"/>
  </r>
  <r>
    <x v="107"/>
    <x v="0"/>
    <x v="18"/>
    <x v="12"/>
    <x v="1003"/>
    <x v="357"/>
    <x v="0"/>
    <x v="0"/>
    <x v="104"/>
    <x v="0"/>
    <x v="0"/>
    <x v="0"/>
    <x v="0"/>
    <x v="0"/>
    <x v="13"/>
    <x v="357"/>
    <x v="350"/>
    <x v="12"/>
    <x v="3"/>
    <x v="10"/>
    <x v="0"/>
    <x v="14"/>
    <x v="1"/>
    <x v="0"/>
    <x v="0"/>
    <x v="0"/>
    <x v="10"/>
    <x v="0"/>
    <x v="0"/>
    <x v="0"/>
    <x v="0"/>
  </r>
  <r>
    <x v="112"/>
    <x v="0"/>
    <x v="18"/>
    <x v="17"/>
    <x v="1004"/>
    <x v="358"/>
    <x v="0"/>
    <x v="0"/>
    <x v="109"/>
    <x v="0"/>
    <x v="0"/>
    <x v="0"/>
    <x v="0"/>
    <x v="0"/>
    <x v="13"/>
    <x v="358"/>
    <x v="351"/>
    <x v="17"/>
    <x v="3"/>
    <x v="10"/>
    <x v="0"/>
    <x v="14"/>
    <x v="1"/>
    <x v="0"/>
    <x v="0"/>
    <x v="0"/>
    <x v="10"/>
    <x v="0"/>
    <x v="0"/>
    <x v="0"/>
    <x v="0"/>
  </r>
  <r>
    <x v="106"/>
    <x v="0"/>
    <x v="18"/>
    <x v="11"/>
    <x v="1005"/>
    <x v="359"/>
    <x v="0"/>
    <x v="0"/>
    <x v="103"/>
    <x v="0"/>
    <x v="0"/>
    <x v="0"/>
    <x v="0"/>
    <x v="0"/>
    <x v="13"/>
    <x v="359"/>
    <x v="352"/>
    <x v="11"/>
    <x v="3"/>
    <x v="10"/>
    <x v="0"/>
    <x v="14"/>
    <x v="1"/>
    <x v="0"/>
    <x v="0"/>
    <x v="0"/>
    <x v="10"/>
    <x v="0"/>
    <x v="0"/>
    <x v="0"/>
    <x v="0"/>
  </r>
  <r>
    <x v="103"/>
    <x v="0"/>
    <x v="18"/>
    <x v="8"/>
    <x v="1006"/>
    <x v="360"/>
    <x v="0"/>
    <x v="0"/>
    <x v="100"/>
    <x v="0"/>
    <x v="0"/>
    <x v="0"/>
    <x v="0"/>
    <x v="0"/>
    <x v="13"/>
    <x v="360"/>
    <x v="353"/>
    <x v="8"/>
    <x v="3"/>
    <x v="10"/>
    <x v="0"/>
    <x v="14"/>
    <x v="1"/>
    <x v="0"/>
    <x v="0"/>
    <x v="0"/>
    <x v="10"/>
    <x v="0"/>
    <x v="0"/>
    <x v="0"/>
    <x v="0"/>
  </r>
  <r>
    <x v="100"/>
    <x v="0"/>
    <x v="18"/>
    <x v="5"/>
    <x v="1007"/>
    <x v="361"/>
    <x v="0"/>
    <x v="0"/>
    <x v="97"/>
    <x v="0"/>
    <x v="0"/>
    <x v="0"/>
    <x v="0"/>
    <x v="0"/>
    <x v="13"/>
    <x v="361"/>
    <x v="354"/>
    <x v="5"/>
    <x v="3"/>
    <x v="10"/>
    <x v="0"/>
    <x v="14"/>
    <x v="1"/>
    <x v="0"/>
    <x v="0"/>
    <x v="0"/>
    <x v="10"/>
    <x v="0"/>
    <x v="0"/>
    <x v="0"/>
    <x v="0"/>
  </r>
  <r>
    <x v="98"/>
    <x v="0"/>
    <x v="18"/>
    <x v="3"/>
    <x v="1008"/>
    <x v="362"/>
    <x v="0"/>
    <x v="0"/>
    <x v="95"/>
    <x v="0"/>
    <x v="0"/>
    <x v="0"/>
    <x v="0"/>
    <x v="0"/>
    <x v="13"/>
    <x v="362"/>
    <x v="355"/>
    <x v="3"/>
    <x v="3"/>
    <x v="10"/>
    <x v="0"/>
    <x v="14"/>
    <x v="1"/>
    <x v="0"/>
    <x v="0"/>
    <x v="0"/>
    <x v="10"/>
    <x v="0"/>
    <x v="0"/>
    <x v="0"/>
    <x v="0"/>
  </r>
  <r>
    <x v="117"/>
    <x v="0"/>
    <x v="18"/>
    <x v="22"/>
    <x v="1009"/>
    <x v="363"/>
    <x v="0"/>
    <x v="0"/>
    <x v="114"/>
    <x v="0"/>
    <x v="0"/>
    <x v="0"/>
    <x v="0"/>
    <x v="0"/>
    <x v="13"/>
    <x v="363"/>
    <x v="356"/>
    <x v="22"/>
    <x v="3"/>
    <x v="10"/>
    <x v="0"/>
    <x v="14"/>
    <x v="1"/>
    <x v="0"/>
    <x v="0"/>
    <x v="0"/>
    <x v="10"/>
    <x v="0"/>
    <x v="0"/>
    <x v="0"/>
    <x v="0"/>
  </r>
  <r>
    <x v="110"/>
    <x v="0"/>
    <x v="18"/>
    <x v="15"/>
    <x v="1010"/>
    <x v="364"/>
    <x v="0"/>
    <x v="0"/>
    <x v="107"/>
    <x v="0"/>
    <x v="0"/>
    <x v="0"/>
    <x v="0"/>
    <x v="0"/>
    <x v="13"/>
    <x v="364"/>
    <x v="357"/>
    <x v="15"/>
    <x v="3"/>
    <x v="10"/>
    <x v="0"/>
    <x v="14"/>
    <x v="1"/>
    <x v="0"/>
    <x v="0"/>
    <x v="0"/>
    <x v="10"/>
    <x v="0"/>
    <x v="0"/>
    <x v="0"/>
    <x v="0"/>
  </r>
  <r>
    <x v="101"/>
    <x v="0"/>
    <x v="18"/>
    <x v="6"/>
    <x v="1011"/>
    <x v="365"/>
    <x v="0"/>
    <x v="0"/>
    <x v="98"/>
    <x v="0"/>
    <x v="0"/>
    <x v="0"/>
    <x v="0"/>
    <x v="0"/>
    <x v="13"/>
    <x v="365"/>
    <x v="358"/>
    <x v="6"/>
    <x v="3"/>
    <x v="10"/>
    <x v="0"/>
    <x v="14"/>
    <x v="1"/>
    <x v="0"/>
    <x v="0"/>
    <x v="0"/>
    <x v="10"/>
    <x v="0"/>
    <x v="0"/>
    <x v="0"/>
    <x v="0"/>
  </r>
  <r>
    <x v="109"/>
    <x v="0"/>
    <x v="18"/>
    <x v="14"/>
    <x v="1012"/>
    <x v="366"/>
    <x v="0"/>
    <x v="0"/>
    <x v="106"/>
    <x v="0"/>
    <x v="0"/>
    <x v="0"/>
    <x v="0"/>
    <x v="0"/>
    <x v="13"/>
    <x v="366"/>
    <x v="359"/>
    <x v="14"/>
    <x v="3"/>
    <x v="10"/>
    <x v="0"/>
    <x v="14"/>
    <x v="1"/>
    <x v="0"/>
    <x v="0"/>
    <x v="0"/>
    <x v="10"/>
    <x v="0"/>
    <x v="0"/>
    <x v="0"/>
    <x v="0"/>
  </r>
  <r>
    <x v="105"/>
    <x v="0"/>
    <x v="18"/>
    <x v="10"/>
    <x v="1013"/>
    <x v="367"/>
    <x v="0"/>
    <x v="0"/>
    <x v="102"/>
    <x v="0"/>
    <x v="0"/>
    <x v="0"/>
    <x v="0"/>
    <x v="0"/>
    <x v="13"/>
    <x v="367"/>
    <x v="360"/>
    <x v="10"/>
    <x v="3"/>
    <x v="10"/>
    <x v="0"/>
    <x v="14"/>
    <x v="1"/>
    <x v="0"/>
    <x v="0"/>
    <x v="0"/>
    <x v="10"/>
    <x v="0"/>
    <x v="0"/>
    <x v="0"/>
    <x v="0"/>
  </r>
  <r>
    <x v="104"/>
    <x v="0"/>
    <x v="18"/>
    <x v="9"/>
    <x v="1014"/>
    <x v="368"/>
    <x v="0"/>
    <x v="0"/>
    <x v="101"/>
    <x v="0"/>
    <x v="0"/>
    <x v="0"/>
    <x v="0"/>
    <x v="0"/>
    <x v="13"/>
    <x v="368"/>
    <x v="361"/>
    <x v="9"/>
    <x v="3"/>
    <x v="10"/>
    <x v="0"/>
    <x v="14"/>
    <x v="1"/>
    <x v="0"/>
    <x v="0"/>
    <x v="0"/>
    <x v="10"/>
    <x v="0"/>
    <x v="0"/>
    <x v="0"/>
    <x v="0"/>
  </r>
  <r>
    <x v="111"/>
    <x v="0"/>
    <x v="18"/>
    <x v="16"/>
    <x v="1015"/>
    <x v="369"/>
    <x v="0"/>
    <x v="0"/>
    <x v="108"/>
    <x v="0"/>
    <x v="0"/>
    <x v="0"/>
    <x v="0"/>
    <x v="0"/>
    <x v="13"/>
    <x v="369"/>
    <x v="362"/>
    <x v="16"/>
    <x v="3"/>
    <x v="10"/>
    <x v="0"/>
    <x v="14"/>
    <x v="1"/>
    <x v="0"/>
    <x v="0"/>
    <x v="0"/>
    <x v="10"/>
    <x v="0"/>
    <x v="0"/>
    <x v="0"/>
    <x v="0"/>
  </r>
  <r>
    <x v="108"/>
    <x v="0"/>
    <x v="18"/>
    <x v="13"/>
    <x v="1016"/>
    <x v="370"/>
    <x v="0"/>
    <x v="0"/>
    <x v="105"/>
    <x v="0"/>
    <x v="0"/>
    <x v="0"/>
    <x v="0"/>
    <x v="0"/>
    <x v="13"/>
    <x v="370"/>
    <x v="363"/>
    <x v="13"/>
    <x v="3"/>
    <x v="10"/>
    <x v="0"/>
    <x v="14"/>
    <x v="1"/>
    <x v="0"/>
    <x v="0"/>
    <x v="0"/>
    <x v="10"/>
    <x v="0"/>
    <x v="0"/>
    <x v="0"/>
    <x v="0"/>
  </r>
  <r>
    <x v="97"/>
    <x v="0"/>
    <x v="18"/>
    <x v="2"/>
    <x v="1017"/>
    <x v="371"/>
    <x v="0"/>
    <x v="0"/>
    <x v="94"/>
    <x v="0"/>
    <x v="0"/>
    <x v="0"/>
    <x v="0"/>
    <x v="0"/>
    <x v="13"/>
    <x v="371"/>
    <x v="364"/>
    <x v="2"/>
    <x v="3"/>
    <x v="10"/>
    <x v="0"/>
    <x v="14"/>
    <x v="1"/>
    <x v="0"/>
    <x v="0"/>
    <x v="0"/>
    <x v="10"/>
    <x v="0"/>
    <x v="0"/>
    <x v="0"/>
    <x v="0"/>
  </r>
  <r>
    <x v="96"/>
    <x v="0"/>
    <x v="18"/>
    <x v="1"/>
    <x v="1018"/>
    <x v="372"/>
    <x v="0"/>
    <x v="0"/>
    <x v="93"/>
    <x v="0"/>
    <x v="0"/>
    <x v="0"/>
    <x v="0"/>
    <x v="0"/>
    <x v="13"/>
    <x v="372"/>
    <x v="365"/>
    <x v="1"/>
    <x v="3"/>
    <x v="10"/>
    <x v="0"/>
    <x v="14"/>
    <x v="1"/>
    <x v="0"/>
    <x v="0"/>
    <x v="0"/>
    <x v="10"/>
    <x v="0"/>
    <x v="0"/>
    <x v="0"/>
    <x v="0"/>
  </r>
  <r>
    <x v="114"/>
    <x v="0"/>
    <x v="18"/>
    <x v="19"/>
    <x v="1019"/>
    <x v="373"/>
    <x v="0"/>
    <x v="0"/>
    <x v="111"/>
    <x v="0"/>
    <x v="0"/>
    <x v="0"/>
    <x v="0"/>
    <x v="0"/>
    <x v="13"/>
    <x v="373"/>
    <x v="366"/>
    <x v="19"/>
    <x v="3"/>
    <x v="10"/>
    <x v="0"/>
    <x v="14"/>
    <x v="1"/>
    <x v="0"/>
    <x v="0"/>
    <x v="0"/>
    <x v="10"/>
    <x v="0"/>
    <x v="0"/>
    <x v="0"/>
    <x v="0"/>
  </r>
  <r>
    <x v="99"/>
    <x v="0"/>
    <x v="18"/>
    <x v="4"/>
    <x v="1020"/>
    <x v="374"/>
    <x v="0"/>
    <x v="0"/>
    <x v="96"/>
    <x v="0"/>
    <x v="0"/>
    <x v="0"/>
    <x v="0"/>
    <x v="0"/>
    <x v="13"/>
    <x v="374"/>
    <x v="367"/>
    <x v="4"/>
    <x v="3"/>
    <x v="10"/>
    <x v="0"/>
    <x v="14"/>
    <x v="1"/>
    <x v="0"/>
    <x v="0"/>
    <x v="0"/>
    <x v="10"/>
    <x v="0"/>
    <x v="0"/>
    <x v="0"/>
    <x v="0"/>
  </r>
  <r>
    <x v="116"/>
    <x v="0"/>
    <x v="18"/>
    <x v="21"/>
    <x v="1021"/>
    <x v="375"/>
    <x v="0"/>
    <x v="0"/>
    <x v="113"/>
    <x v="0"/>
    <x v="0"/>
    <x v="0"/>
    <x v="0"/>
    <x v="0"/>
    <x v="13"/>
    <x v="375"/>
    <x v="368"/>
    <x v="21"/>
    <x v="3"/>
    <x v="10"/>
    <x v="0"/>
    <x v="14"/>
    <x v="1"/>
    <x v="0"/>
    <x v="0"/>
    <x v="0"/>
    <x v="10"/>
    <x v="0"/>
    <x v="0"/>
    <x v="0"/>
    <x v="0"/>
  </r>
  <r>
    <x v="146"/>
    <x v="0"/>
    <x v="19"/>
    <x v="29"/>
    <x v="1022"/>
    <x v="331"/>
    <x v="0"/>
    <x v="0"/>
    <x v="143"/>
    <x v="0"/>
    <x v="0"/>
    <x v="0"/>
    <x v="0"/>
    <x v="0"/>
    <x v="13"/>
    <x v="331"/>
    <x v="324"/>
    <x v="29"/>
    <x v="3"/>
    <x v="10"/>
    <x v="0"/>
    <x v="14"/>
    <x v="1"/>
    <x v="0"/>
    <x v="0"/>
    <x v="0"/>
    <x v="11"/>
    <x v="0"/>
    <x v="0"/>
    <x v="0"/>
    <x v="0"/>
  </r>
  <r>
    <x v="157"/>
    <x v="0"/>
    <x v="19"/>
    <x v="40"/>
    <x v="1023"/>
    <x v="332"/>
    <x v="0"/>
    <x v="0"/>
    <x v="154"/>
    <x v="0"/>
    <x v="0"/>
    <x v="0"/>
    <x v="0"/>
    <x v="0"/>
    <x v="13"/>
    <x v="332"/>
    <x v="325"/>
    <x v="40"/>
    <x v="3"/>
    <x v="10"/>
    <x v="0"/>
    <x v="14"/>
    <x v="1"/>
    <x v="0"/>
    <x v="0"/>
    <x v="0"/>
    <x v="11"/>
    <x v="0"/>
    <x v="0"/>
    <x v="0"/>
    <x v="0"/>
  </r>
  <r>
    <x v="159"/>
    <x v="0"/>
    <x v="19"/>
    <x v="42"/>
    <x v="1024"/>
    <x v="333"/>
    <x v="0"/>
    <x v="0"/>
    <x v="156"/>
    <x v="0"/>
    <x v="0"/>
    <x v="0"/>
    <x v="0"/>
    <x v="0"/>
    <x v="13"/>
    <x v="333"/>
    <x v="326"/>
    <x v="42"/>
    <x v="3"/>
    <x v="10"/>
    <x v="0"/>
    <x v="14"/>
    <x v="1"/>
    <x v="0"/>
    <x v="0"/>
    <x v="0"/>
    <x v="11"/>
    <x v="0"/>
    <x v="0"/>
    <x v="0"/>
    <x v="0"/>
  </r>
  <r>
    <x v="151"/>
    <x v="0"/>
    <x v="19"/>
    <x v="34"/>
    <x v="1025"/>
    <x v="334"/>
    <x v="0"/>
    <x v="0"/>
    <x v="148"/>
    <x v="0"/>
    <x v="0"/>
    <x v="0"/>
    <x v="0"/>
    <x v="0"/>
    <x v="13"/>
    <x v="334"/>
    <x v="327"/>
    <x v="34"/>
    <x v="3"/>
    <x v="10"/>
    <x v="0"/>
    <x v="14"/>
    <x v="1"/>
    <x v="0"/>
    <x v="0"/>
    <x v="0"/>
    <x v="11"/>
    <x v="0"/>
    <x v="0"/>
    <x v="0"/>
    <x v="0"/>
  </r>
  <r>
    <x v="156"/>
    <x v="0"/>
    <x v="19"/>
    <x v="39"/>
    <x v="1026"/>
    <x v="335"/>
    <x v="0"/>
    <x v="0"/>
    <x v="153"/>
    <x v="0"/>
    <x v="0"/>
    <x v="0"/>
    <x v="0"/>
    <x v="0"/>
    <x v="13"/>
    <x v="335"/>
    <x v="328"/>
    <x v="39"/>
    <x v="3"/>
    <x v="10"/>
    <x v="0"/>
    <x v="14"/>
    <x v="1"/>
    <x v="0"/>
    <x v="0"/>
    <x v="0"/>
    <x v="11"/>
    <x v="0"/>
    <x v="0"/>
    <x v="0"/>
    <x v="0"/>
  </r>
  <r>
    <x v="150"/>
    <x v="0"/>
    <x v="19"/>
    <x v="33"/>
    <x v="1027"/>
    <x v="336"/>
    <x v="0"/>
    <x v="0"/>
    <x v="147"/>
    <x v="0"/>
    <x v="0"/>
    <x v="0"/>
    <x v="0"/>
    <x v="0"/>
    <x v="13"/>
    <x v="336"/>
    <x v="329"/>
    <x v="33"/>
    <x v="3"/>
    <x v="10"/>
    <x v="0"/>
    <x v="14"/>
    <x v="1"/>
    <x v="0"/>
    <x v="0"/>
    <x v="0"/>
    <x v="11"/>
    <x v="0"/>
    <x v="0"/>
    <x v="0"/>
    <x v="0"/>
  </r>
  <r>
    <x v="147"/>
    <x v="0"/>
    <x v="19"/>
    <x v="30"/>
    <x v="1028"/>
    <x v="337"/>
    <x v="0"/>
    <x v="0"/>
    <x v="144"/>
    <x v="0"/>
    <x v="0"/>
    <x v="0"/>
    <x v="0"/>
    <x v="0"/>
    <x v="13"/>
    <x v="337"/>
    <x v="330"/>
    <x v="30"/>
    <x v="3"/>
    <x v="10"/>
    <x v="0"/>
    <x v="14"/>
    <x v="1"/>
    <x v="0"/>
    <x v="0"/>
    <x v="0"/>
    <x v="11"/>
    <x v="0"/>
    <x v="0"/>
    <x v="0"/>
    <x v="0"/>
  </r>
  <r>
    <x v="144"/>
    <x v="0"/>
    <x v="19"/>
    <x v="27"/>
    <x v="1029"/>
    <x v="338"/>
    <x v="0"/>
    <x v="0"/>
    <x v="141"/>
    <x v="0"/>
    <x v="0"/>
    <x v="0"/>
    <x v="0"/>
    <x v="0"/>
    <x v="13"/>
    <x v="338"/>
    <x v="331"/>
    <x v="27"/>
    <x v="3"/>
    <x v="10"/>
    <x v="0"/>
    <x v="14"/>
    <x v="1"/>
    <x v="0"/>
    <x v="0"/>
    <x v="0"/>
    <x v="11"/>
    <x v="0"/>
    <x v="0"/>
    <x v="0"/>
    <x v="0"/>
  </r>
  <r>
    <x v="142"/>
    <x v="0"/>
    <x v="19"/>
    <x v="25"/>
    <x v="1030"/>
    <x v="339"/>
    <x v="0"/>
    <x v="0"/>
    <x v="139"/>
    <x v="0"/>
    <x v="0"/>
    <x v="0"/>
    <x v="0"/>
    <x v="0"/>
    <x v="13"/>
    <x v="339"/>
    <x v="332"/>
    <x v="25"/>
    <x v="3"/>
    <x v="10"/>
    <x v="0"/>
    <x v="14"/>
    <x v="1"/>
    <x v="0"/>
    <x v="0"/>
    <x v="0"/>
    <x v="11"/>
    <x v="0"/>
    <x v="0"/>
    <x v="0"/>
    <x v="0"/>
  </r>
  <r>
    <x v="161"/>
    <x v="0"/>
    <x v="19"/>
    <x v="44"/>
    <x v="1031"/>
    <x v="340"/>
    <x v="0"/>
    <x v="0"/>
    <x v="158"/>
    <x v="0"/>
    <x v="0"/>
    <x v="0"/>
    <x v="0"/>
    <x v="0"/>
    <x v="13"/>
    <x v="340"/>
    <x v="333"/>
    <x v="44"/>
    <x v="3"/>
    <x v="10"/>
    <x v="0"/>
    <x v="14"/>
    <x v="1"/>
    <x v="0"/>
    <x v="0"/>
    <x v="0"/>
    <x v="11"/>
    <x v="0"/>
    <x v="0"/>
    <x v="0"/>
    <x v="0"/>
  </r>
  <r>
    <x v="154"/>
    <x v="0"/>
    <x v="19"/>
    <x v="37"/>
    <x v="1032"/>
    <x v="341"/>
    <x v="0"/>
    <x v="0"/>
    <x v="151"/>
    <x v="0"/>
    <x v="0"/>
    <x v="0"/>
    <x v="0"/>
    <x v="0"/>
    <x v="13"/>
    <x v="341"/>
    <x v="334"/>
    <x v="37"/>
    <x v="3"/>
    <x v="10"/>
    <x v="0"/>
    <x v="14"/>
    <x v="1"/>
    <x v="0"/>
    <x v="0"/>
    <x v="0"/>
    <x v="11"/>
    <x v="0"/>
    <x v="0"/>
    <x v="0"/>
    <x v="0"/>
  </r>
  <r>
    <x v="145"/>
    <x v="0"/>
    <x v="19"/>
    <x v="28"/>
    <x v="1033"/>
    <x v="342"/>
    <x v="0"/>
    <x v="0"/>
    <x v="142"/>
    <x v="0"/>
    <x v="0"/>
    <x v="0"/>
    <x v="0"/>
    <x v="0"/>
    <x v="13"/>
    <x v="342"/>
    <x v="335"/>
    <x v="28"/>
    <x v="3"/>
    <x v="10"/>
    <x v="0"/>
    <x v="14"/>
    <x v="1"/>
    <x v="0"/>
    <x v="0"/>
    <x v="0"/>
    <x v="11"/>
    <x v="0"/>
    <x v="0"/>
    <x v="0"/>
    <x v="0"/>
  </r>
  <r>
    <x v="153"/>
    <x v="0"/>
    <x v="19"/>
    <x v="36"/>
    <x v="1034"/>
    <x v="343"/>
    <x v="0"/>
    <x v="0"/>
    <x v="150"/>
    <x v="0"/>
    <x v="0"/>
    <x v="0"/>
    <x v="0"/>
    <x v="0"/>
    <x v="13"/>
    <x v="343"/>
    <x v="336"/>
    <x v="36"/>
    <x v="3"/>
    <x v="10"/>
    <x v="0"/>
    <x v="14"/>
    <x v="1"/>
    <x v="0"/>
    <x v="0"/>
    <x v="0"/>
    <x v="11"/>
    <x v="0"/>
    <x v="0"/>
    <x v="0"/>
    <x v="0"/>
  </r>
  <r>
    <x v="149"/>
    <x v="0"/>
    <x v="19"/>
    <x v="32"/>
    <x v="1035"/>
    <x v="344"/>
    <x v="0"/>
    <x v="0"/>
    <x v="146"/>
    <x v="0"/>
    <x v="0"/>
    <x v="0"/>
    <x v="0"/>
    <x v="0"/>
    <x v="13"/>
    <x v="344"/>
    <x v="337"/>
    <x v="32"/>
    <x v="3"/>
    <x v="10"/>
    <x v="0"/>
    <x v="14"/>
    <x v="1"/>
    <x v="0"/>
    <x v="0"/>
    <x v="0"/>
    <x v="11"/>
    <x v="0"/>
    <x v="0"/>
    <x v="0"/>
    <x v="0"/>
  </r>
  <r>
    <x v="148"/>
    <x v="0"/>
    <x v="19"/>
    <x v="31"/>
    <x v="1036"/>
    <x v="345"/>
    <x v="0"/>
    <x v="0"/>
    <x v="145"/>
    <x v="0"/>
    <x v="0"/>
    <x v="0"/>
    <x v="0"/>
    <x v="0"/>
    <x v="13"/>
    <x v="345"/>
    <x v="338"/>
    <x v="31"/>
    <x v="3"/>
    <x v="10"/>
    <x v="0"/>
    <x v="14"/>
    <x v="1"/>
    <x v="0"/>
    <x v="0"/>
    <x v="0"/>
    <x v="11"/>
    <x v="0"/>
    <x v="0"/>
    <x v="0"/>
    <x v="0"/>
  </r>
  <r>
    <x v="155"/>
    <x v="0"/>
    <x v="19"/>
    <x v="38"/>
    <x v="1037"/>
    <x v="346"/>
    <x v="0"/>
    <x v="0"/>
    <x v="152"/>
    <x v="0"/>
    <x v="0"/>
    <x v="0"/>
    <x v="0"/>
    <x v="0"/>
    <x v="13"/>
    <x v="346"/>
    <x v="339"/>
    <x v="38"/>
    <x v="3"/>
    <x v="10"/>
    <x v="0"/>
    <x v="14"/>
    <x v="1"/>
    <x v="0"/>
    <x v="0"/>
    <x v="0"/>
    <x v="11"/>
    <x v="0"/>
    <x v="0"/>
    <x v="0"/>
    <x v="0"/>
  </r>
  <r>
    <x v="152"/>
    <x v="0"/>
    <x v="19"/>
    <x v="35"/>
    <x v="1038"/>
    <x v="347"/>
    <x v="0"/>
    <x v="0"/>
    <x v="149"/>
    <x v="0"/>
    <x v="0"/>
    <x v="0"/>
    <x v="0"/>
    <x v="0"/>
    <x v="13"/>
    <x v="347"/>
    <x v="340"/>
    <x v="35"/>
    <x v="3"/>
    <x v="10"/>
    <x v="0"/>
    <x v="14"/>
    <x v="1"/>
    <x v="0"/>
    <x v="0"/>
    <x v="0"/>
    <x v="11"/>
    <x v="0"/>
    <x v="0"/>
    <x v="0"/>
    <x v="0"/>
  </r>
  <r>
    <x v="141"/>
    <x v="0"/>
    <x v="19"/>
    <x v="24"/>
    <x v="1039"/>
    <x v="348"/>
    <x v="0"/>
    <x v="0"/>
    <x v="138"/>
    <x v="0"/>
    <x v="0"/>
    <x v="0"/>
    <x v="0"/>
    <x v="0"/>
    <x v="13"/>
    <x v="348"/>
    <x v="341"/>
    <x v="24"/>
    <x v="3"/>
    <x v="10"/>
    <x v="0"/>
    <x v="14"/>
    <x v="1"/>
    <x v="0"/>
    <x v="0"/>
    <x v="0"/>
    <x v="11"/>
    <x v="0"/>
    <x v="0"/>
    <x v="0"/>
    <x v="0"/>
  </r>
  <r>
    <x v="140"/>
    <x v="0"/>
    <x v="19"/>
    <x v="23"/>
    <x v="1040"/>
    <x v="349"/>
    <x v="0"/>
    <x v="0"/>
    <x v="137"/>
    <x v="0"/>
    <x v="0"/>
    <x v="0"/>
    <x v="0"/>
    <x v="0"/>
    <x v="13"/>
    <x v="349"/>
    <x v="342"/>
    <x v="23"/>
    <x v="3"/>
    <x v="10"/>
    <x v="0"/>
    <x v="14"/>
    <x v="1"/>
    <x v="0"/>
    <x v="0"/>
    <x v="0"/>
    <x v="11"/>
    <x v="0"/>
    <x v="0"/>
    <x v="0"/>
    <x v="0"/>
  </r>
  <r>
    <x v="158"/>
    <x v="0"/>
    <x v="19"/>
    <x v="41"/>
    <x v="1041"/>
    <x v="350"/>
    <x v="0"/>
    <x v="0"/>
    <x v="155"/>
    <x v="0"/>
    <x v="0"/>
    <x v="0"/>
    <x v="0"/>
    <x v="0"/>
    <x v="13"/>
    <x v="350"/>
    <x v="343"/>
    <x v="41"/>
    <x v="3"/>
    <x v="10"/>
    <x v="0"/>
    <x v="14"/>
    <x v="1"/>
    <x v="0"/>
    <x v="0"/>
    <x v="0"/>
    <x v="11"/>
    <x v="0"/>
    <x v="0"/>
    <x v="0"/>
    <x v="0"/>
  </r>
  <r>
    <x v="143"/>
    <x v="0"/>
    <x v="19"/>
    <x v="26"/>
    <x v="1042"/>
    <x v="351"/>
    <x v="0"/>
    <x v="0"/>
    <x v="140"/>
    <x v="0"/>
    <x v="0"/>
    <x v="0"/>
    <x v="0"/>
    <x v="0"/>
    <x v="13"/>
    <x v="351"/>
    <x v="344"/>
    <x v="26"/>
    <x v="3"/>
    <x v="10"/>
    <x v="0"/>
    <x v="14"/>
    <x v="1"/>
    <x v="0"/>
    <x v="0"/>
    <x v="0"/>
    <x v="11"/>
    <x v="0"/>
    <x v="0"/>
    <x v="0"/>
    <x v="0"/>
  </r>
  <r>
    <x v="160"/>
    <x v="0"/>
    <x v="19"/>
    <x v="43"/>
    <x v="1043"/>
    <x v="352"/>
    <x v="0"/>
    <x v="0"/>
    <x v="157"/>
    <x v="0"/>
    <x v="0"/>
    <x v="0"/>
    <x v="0"/>
    <x v="0"/>
    <x v="13"/>
    <x v="352"/>
    <x v="345"/>
    <x v="43"/>
    <x v="3"/>
    <x v="10"/>
    <x v="0"/>
    <x v="14"/>
    <x v="1"/>
    <x v="0"/>
    <x v="0"/>
    <x v="0"/>
    <x v="11"/>
    <x v="0"/>
    <x v="0"/>
    <x v="0"/>
    <x v="0"/>
  </r>
  <r>
    <x v="184"/>
    <x v="1"/>
    <x v="25"/>
    <x v="45"/>
    <x v="1044"/>
    <x v="378"/>
    <x v="1"/>
    <x v="0"/>
    <x v="181"/>
    <x v="0"/>
    <x v="0"/>
    <x v="0"/>
    <x v="0"/>
    <x v="0"/>
    <x v="13"/>
    <x v="378"/>
    <x v="371"/>
    <x v="45"/>
    <x v="3"/>
    <x v="10"/>
    <x v="0"/>
    <x v="14"/>
    <x v="1"/>
    <x v="0"/>
    <x v="0"/>
    <x v="0"/>
    <x v="9"/>
    <x v="0"/>
    <x v="0"/>
    <x v="1"/>
    <x v="1"/>
  </r>
  <r>
    <x v="95"/>
    <x v="1"/>
    <x v="25"/>
    <x v="0"/>
    <x v="1045"/>
    <x v="377"/>
    <x v="1"/>
    <x v="0"/>
    <x v="92"/>
    <x v="0"/>
    <x v="0"/>
    <x v="0"/>
    <x v="0"/>
    <x v="0"/>
    <x v="13"/>
    <x v="377"/>
    <x v="370"/>
    <x v="0"/>
    <x v="3"/>
    <x v="10"/>
    <x v="0"/>
    <x v="14"/>
    <x v="1"/>
    <x v="0"/>
    <x v="0"/>
    <x v="0"/>
    <x v="9"/>
    <x v="0"/>
    <x v="0"/>
    <x v="1"/>
    <x v="1"/>
  </r>
  <r>
    <x v="185"/>
    <x v="1"/>
    <x v="25"/>
    <x v="46"/>
    <x v="1046"/>
    <x v="353"/>
    <x v="1"/>
    <x v="0"/>
    <x v="182"/>
    <x v="0"/>
    <x v="0"/>
    <x v="0"/>
    <x v="0"/>
    <x v="0"/>
    <x v="13"/>
    <x v="353"/>
    <x v="346"/>
    <x v="46"/>
    <x v="3"/>
    <x v="10"/>
    <x v="0"/>
    <x v="14"/>
    <x v="1"/>
    <x v="0"/>
    <x v="0"/>
    <x v="0"/>
    <x v="9"/>
    <x v="0"/>
    <x v="0"/>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樞紐分析表1" cacheId="7" applyNumberFormats="0" applyBorderFormats="0" applyFontFormats="0" applyPatternFormats="0" applyAlignmentFormats="0" applyWidthHeightFormats="0" dataCaption="Values" itemPrintTitles="1" indent="0" compact="0" outline="1" outlineData="1" compactData="0" multipleFieldFilters="0">
  <location ref="A1:B20" firstHeaderRow="1" firstDataRow="1" firstDataCol="1"/>
  <pivotFields count="31">
    <pivotField showAll="0"/>
    <pivotField compact="0" showAll="0"/>
    <pivotField compact="0" showAll="0"/>
    <pivotField showAll="0"/>
    <pivotField showAll="0"/>
    <pivotField showAll="0"/>
    <pivotField compact="0" showAll="0"/>
    <pivotField showAll="0"/>
    <pivotField compact="0" showAll="0"/>
    <pivotField showAll="0"/>
    <pivotField showAll="0"/>
    <pivotField showAll="0"/>
    <pivotField showAll="0"/>
    <pivotField compact="0" showAll="0"/>
    <pivotField showAll="0"/>
    <pivotField showAll="0"/>
    <pivotField showAll="0"/>
    <pivotField showAll="0"/>
    <pivotField compact="0" showAll="0"/>
    <pivotField showAll="0"/>
    <pivotField compact="0" showAll="0"/>
    <pivotField axis="axisRow" showAll="0">
      <items count="19">
        <item x="0"/>
        <item x="1"/>
        <item x="15"/>
        <item x="16"/>
        <item x="17"/>
        <item x="2"/>
        <item x="3"/>
        <item x="4"/>
        <item x="5"/>
        <item x="6"/>
        <item x="7"/>
        <item x="8"/>
        <item x="9"/>
        <item x="10"/>
        <item x="11"/>
        <item x="12"/>
        <item x="13"/>
        <item x="14"/>
        <item t="default"/>
      </items>
    </pivotField>
    <pivotField showAll="0"/>
    <pivotField showAll="0"/>
    <pivotField compact="0" showAll="0"/>
    <pivotField showAll="0"/>
    <pivotField showAll="0"/>
    <pivotField showAll="0"/>
    <pivotField showAll="0"/>
    <pivotField showAll="0"/>
    <pivotField compact="0" showAll="0"/>
  </pivotFields>
  <rowFields count="1">
    <field x="21"/>
  </rowFields>
  <rowItems count="19">
    <i>
      <x/>
    </i>
    <i>
      <x v="1"/>
    </i>
    <i>
      <x v="2"/>
    </i>
    <i>
      <x v="3"/>
    </i>
    <i>
      <x v="4"/>
    </i>
    <i>
      <x v="5"/>
    </i>
    <i>
      <x v="6"/>
    </i>
    <i>
      <x v="7"/>
    </i>
    <i>
      <x v="8"/>
    </i>
    <i>
      <x v="9"/>
    </i>
    <i>
      <x v="10"/>
    </i>
    <i>
      <x v="11"/>
    </i>
    <i>
      <x v="12"/>
    </i>
    <i>
      <x v="13"/>
    </i>
    <i>
      <x v="14"/>
    </i>
    <i>
      <x v="15"/>
    </i>
    <i>
      <x v="16"/>
    </i>
    <i>
      <x v="17"/>
    </i>
    <i t="grand">
      <x/>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DataPilot1" cacheId="8" applyNumberFormats="0" applyBorderFormats="0" applyFontFormats="0" applyPatternFormats="0" applyAlignmentFormats="0" applyWidthHeightFormats="0" dataCaption="Values" itemPrintTitles="1" indent="0" outline="1" outlineData="1" multipleFieldFilters="0">
  <location ref="A3:D26" firstHeaderRow="1" firstDataRow="2" firstDataCol="1"/>
  <pivotFields count="20">
    <pivotField showAll="0"/>
    <pivotField dataField="1"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axis="axisRow" showAll="0">
      <items count="19">
        <item x="0"/>
        <item x="1"/>
        <item x="15"/>
        <item x="16"/>
        <item x="17"/>
        <item x="2"/>
        <item x="3"/>
        <item x="4"/>
        <item x="5"/>
        <item x="6"/>
        <item x="7"/>
        <item x="8"/>
        <item x="9"/>
        <item x="10"/>
        <item x="11"/>
        <item x="12"/>
        <item x="13"/>
        <item x="14"/>
        <item t="default"/>
      </items>
    </pivotField>
    <pivotField showAll="0"/>
    <pivotField showAll="0"/>
    <pivotField showAll="0"/>
    <pivotField showAll="0"/>
    <pivotField axis="axisCol" showAll="0">
      <items count="3">
        <item x="0"/>
        <item x="1"/>
        <item t="default"/>
      </items>
    </pivotField>
  </pivotFields>
  <rowFields count="2">
    <field x="3"/>
    <field x="14"/>
  </rowFields>
  <rowItems count="22">
    <i>
      <x/>
    </i>
    <i r="1">
      <x v="3"/>
    </i>
    <i r="1">
      <x v="4"/>
    </i>
    <i r="1">
      <x v="5"/>
    </i>
    <i r="1">
      <x v="6"/>
    </i>
    <i r="1">
      <x v="7"/>
    </i>
    <i r="1">
      <x v="8"/>
    </i>
    <i r="1">
      <x v="9"/>
    </i>
    <i r="1">
      <x v="10"/>
    </i>
    <i r="1">
      <x v="11"/>
    </i>
    <i r="1">
      <x v="12"/>
    </i>
    <i r="1">
      <x v="13"/>
    </i>
    <i r="1">
      <x v="14"/>
    </i>
    <i r="1">
      <x v="15"/>
    </i>
    <i r="1">
      <x v="16"/>
    </i>
    <i r="1">
      <x v="17"/>
    </i>
    <i>
      <x v="1"/>
    </i>
    <i r="1">
      <x/>
    </i>
    <i r="1">
      <x v="1"/>
    </i>
    <i r="1">
      <x v="2"/>
    </i>
    <i r="1">
      <x v="14"/>
    </i>
    <i t="grand">
      <x/>
    </i>
  </rowItems>
  <colFields count="1">
    <field x="19"/>
  </colFields>
  <colItems count="3">
    <i>
      <x/>
    </i>
    <i>
      <x v="1"/>
    </i>
    <i t="grand">
      <x/>
    </i>
  </colItems>
  <dataFields count="1">
    <dataField name="計數 - 唯一識別碼" fld="1"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1" displayName="表格1" ref="A2:AE1432" totalsRowShown="0">
  <autoFilter ref="A2:AE1432" xr:uid="{00000000-0009-0000-0100-000001000000}"/>
  <tableColumns count="31">
    <tableColumn id="1" xr3:uid="{00000000-0010-0000-0000-000001000000}" name="URL"/>
    <tableColumn id="2" xr3:uid="{00000000-0010-0000-0000-000002000000}" name="URL需把{}換成英文的V"/>
    <tableColumn id="3" xr3:uid="{00000000-0010-0000-0000-000003000000}" name="URL參數英文名稱"/>
    <tableColumn id="4" xr3:uid="{00000000-0010-0000-0000-000004000000}" name="唯一識別碼"/>
    <tableColumn id="5" xr3:uid="{00000000-0010-0000-0000-000005000000}" name="服務名稱(中)"/>
    <tableColumn id="6" xr3:uid="{00000000-0010-0000-0000-000006000000}" name="服務名稱(中)_正規化"/>
    <tableColumn id="7" xr3:uid="{00000000-0010-0000-0000-000007000000}" name="列舉值需要代碼中文對照(請參照AD欄及範例檔製作OAS文本)"/>
    <tableColumn id="8" xr3:uid="{00000000-0010-0000-0000-000008000000}" name="服務版本(v[主版本號].[次版本號]，如v1.0），v小寫，英數字一律半形。)"/>
    <tableColumn id="9" xr3:uid="{00000000-0010-0000-0000-000009000000}" name="服務網址(A+C欄組合，請參照OAS範例檔寫法)"/>
    <tableColumn id="10" xr3:uid="{00000000-0010-0000-0000-00000A000000}" name="輸入參數_x000a_(資訊太多，不納入本表)"/>
    <tableColumn id="11" xr3:uid="{00000000-0010-0000-0000-00000B000000}" name="回應資料格式_x000a_(資訊太多，不納入本表)"/>
    <tableColumn id="12" xr3:uid="{00000000-0010-0000-0000-00000C000000}" name="回應資料Schema_x000a_(資訊太多，不納入本表)"/>
    <tableColumn id="13" xr3:uid="{00000000-0010-0000-0000-00000D000000}" name="OAS文本版本"/>
    <tableColumn id="14" xr3:uid="{00000000-0010-0000-0000-00000E000000}" name="服務圖資更新時間(yyyy-mm-dd-hh-mm-ss)"/>
    <tableColumn id="15" xr3:uid="{00000000-0010-0000-0000-00000F000000}" name="OAS文本描述(中)(同一份json內容會一樣)"/>
    <tableColumn id="16" xr3:uid="{00000000-0010-0000-0000-000010000000}" name="服務名稱(中)_有正規化名稱用F欄，無則用E欄，此欄已經套用公式，請勿直接修正此欄，請編輯F欄。"/>
    <tableColumn id="17" xr3:uid="{00000000-0010-0000-0000-000011000000}" name="服務描述(中)(每個唯一碼都要各自的服務描述)"/>
    <tableColumn id="18" xr3:uid="{00000000-0010-0000-0000-000012000000}" name="唯一識別碼2"/>
    <tableColumn id="19" xr3:uid="{00000000-0010-0000-0000-000013000000}" name="坐標系統(OGC服務都是必填，請填EPSG:[EPSG代碼])"/>
    <tableColumn id="20" xr3:uid="{00000000-0010-0000-0000-000014000000}" name="圖例網址"/>
    <tableColumn id="21" xr3:uid="{00000000-0010-0000-0000-000015000000}" name="服務標準(只有OGC與非OGC，此欄已套用公式)" dataDxfId="1"/>
    <tableColumn id="22" xr3:uid="{00000000-0010-0000-0000-000016000000}" name="服務類別(中)"/>
    <tableColumn id="23" xr3:uid="{00000000-0010-0000-0000-000017000000}" name="服務類別(英)"/>
    <tableColumn id="24" xr3:uid="{00000000-0010-0000-0000-000018000000}" name="來源系統"/>
    <tableColumn id="25" xr3:uid="{00000000-0010-0000-0000-000019000000}" name="提供機關(請填寫機關全名)"/>
    <tableColumn id="26" xr3:uid="{00000000-0010-0000-0000-00001A000000}" name="服務資料更新頻率(每月/不定期 擇一填寫)"/>
    <tableColumn id="27" xr3:uid="{00000000-0010-0000-0000-00001B000000}" name="服務關鍵字(以半形逗號分隔)"/>
    <tableColumn id="28" xr3:uid="{00000000-0010-0000-0000-00001C000000}" name="OAS文本資訊位置(請給路徑，無需繳交實體json檔，訂閱網檢核通過後會改成訂閱網網域網址)"/>
    <tableColumn id="29" xr3:uid="{00000000-0010-0000-0000-00001D000000}" name="OAS文本更新時間(訂閱網審核後系統自統帶入審核日期)"/>
    <tableColumn id="30" xr3:uid="{00000000-0010-0000-0000-00001E000000}" name="OAS文本寫法規劃（對應Swagger Editor驗證，參考3）"/>
    <tableColumn id="31" xr3:uid="{00000000-0010-0000-0000-00001F000000}" name="更新資料用"/>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1_5" displayName="表格1_5" ref="A1:T1443" totalsRowShown="0">
  <autoFilter ref="A1:T1443" xr:uid="{00000000-0009-0000-0100-000002000000}"/>
  <tableColumns count="20">
    <tableColumn id="1" xr3:uid="{00000000-0010-0000-0100-000001000000}" name="index用"/>
    <tableColumn id="2" xr3:uid="{00000000-0010-0000-0100-000002000000}" name="唯一識別碼"/>
    <tableColumn id="3" xr3:uid="{00000000-0010-0000-0100-000003000000}" name="服務版本"/>
    <tableColumn id="4" xr3:uid="{00000000-0010-0000-0100-000004000000}" name="來源系統"/>
    <tableColumn id="5" xr3:uid="{00000000-0010-0000-0100-000005000000}" name="115服務類別(英)"/>
    <tableColumn id="6" xr3:uid="{00000000-0010-0000-0100-000006000000}" name="代碼"/>
    <tableColumn id="7" xr3:uid="{00000000-0010-0000-0100-000007000000}" name="domain"/>
    <tableColumn id="8" xr3:uid="{00000000-0010-0000-0100-000008000000}" name="URL"/>
    <tableColumn id="9" xr3:uid="{00000000-0010-0000-0100-000009000000}" name="URL需把{}換成英文的V"/>
    <tableColumn id="10" xr3:uid="{00000000-0010-0000-0100-00000A000000}" name="URL參數英文名稱"/>
    <tableColumn id="11" xr3:uid="{00000000-0010-0000-0100-00000B000000}" name="列舉值需要代碼中文對照"/>
    <tableColumn id="12" xr3:uid="{00000000-0010-0000-0100-00000C000000}" name="服務代碼"/>
    <tableColumn id="13" xr3:uid="{00000000-0010-0000-0100-00000D000000}" name="API代碼"/>
    <tableColumn id="14" xr3:uid="{00000000-0010-0000-0100-00000E000000}" name="介接代號"/>
    <tableColumn id="15" xr3:uid="{00000000-0010-0000-0100-00000F000000}" name="115服務類別"/>
    <tableColumn id="16" xr3:uid="{00000000-0010-0000-0100-000010000000}" name="服務名稱（中）"/>
    <tableColumn id="17" xr3:uid="{00000000-0010-0000-0100-000011000000}" name="服務名稱(中)_正規化"/>
    <tableColumn id="18" xr3:uid="{00000000-0010-0000-0100-000012000000}" name="圖層說明API有無"/>
    <tableColumn id="19" xr3:uid="{00000000-0010-0000-0100-000013000000}" name="請求方法"/>
    <tableColumn id="20" xr3:uid="{00000000-0010-0000-0100-000014000000}" name="SwaggerUI有無下拉選單"/>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表格2" displayName="表格2" ref="A1:L22" totalsRowShown="0">
  <autoFilter ref="A1:L22" xr:uid="{00000000-0009-0000-0100-000003000000}"/>
  <tableColumns count="12">
    <tableColumn id="1" xr3:uid="{00000000-0010-0000-0200-000001000000}" name="排序"/>
    <tableColumn id="2" xr3:uid="{00000000-0010-0000-0200-000002000000}" name="服務資訊欄位名稱"/>
    <tableColumn id="3" xr3:uid="{00000000-0010-0000-0200-000003000000}" name="底圖服務類別_x000a_適用項目"/>
    <tableColumn id="4" xr3:uid="{00000000-0010-0000-0200-000004000000}" name="加值服務類別&amp;主題圖資類別適用項目"/>
    <tableColumn id="5" xr3:uid="{00000000-0010-0000-0200-000005000000}" name="正式運作_x000a_資料來源"/>
    <tableColumn id="6" xr3:uid="{00000000-0010-0000-0200-000006000000}" name="115年第1次上架_x000a_(提供檔案EXCEL及OAS文本)"/>
    <tableColumn id="7" xr3:uid="{00000000-0010-0000-0200-000007000000}" name="顯示資料來源註記"/>
    <tableColumn id="8" xr3:uid="{00000000-0010-0000-0200-000008000000}" name="顯示位置_x000a_TGS首頁/空間資訊服務/網路資訊服務 "/>
    <tableColumn id="9" xr3:uid="{00000000-0010-0000-0200-000009000000}" name="顯示位置_x000a_TGS首頁/空間資訊服務/服務使用說明/Swagger "/>
    <tableColumn id="10" xr3:uid="{00000000-0010-0000-0200-00000A000000}" name="說明 "/>
    <tableColumn id="11" xr3:uid="{00000000-0010-0000-0200-00000B000000}" name="資料型態"/>
    <tableColumn id="12" xr3:uid="{00000000-0010-0000-0200-00000C000000}" name="長度限制"/>
  </tableColumns>
  <tableStyleInfo showFirstColumn="0" showLastColumn="0" showRowStripes="1" showColumnStripes="0"/>
</table>
</file>

<file path=xl/theme/theme1.xml><?xml version="1.0" encoding="utf-8"?>
<a:theme xmlns:a="http://schemas.openxmlformats.org/drawingml/2006/main" name="Office 佈景主題">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I31"/>
  <sheetViews>
    <sheetView zoomScale="75" zoomScaleNormal="75" workbookViewId="0">
      <selection activeCell="C18" sqref="C18"/>
    </sheetView>
  </sheetViews>
  <sheetFormatPr defaultColWidth="8.6328125" defaultRowHeight="17" x14ac:dyDescent="0.4"/>
  <cols>
    <col min="1" max="1" width="5.08984375" customWidth="1"/>
    <col min="2" max="2" width="32.36328125" customWidth="1"/>
    <col min="3" max="3" width="67" style="1" customWidth="1"/>
    <col min="4" max="4" width="64.08984375" style="1" customWidth="1"/>
    <col min="5" max="5" width="11.453125" style="1" hidden="1" customWidth="1"/>
    <col min="6" max="6" width="62.6328125" style="1" customWidth="1"/>
    <col min="7" max="7" width="11.453125" customWidth="1"/>
    <col min="8" max="8" width="15.08984375" customWidth="1"/>
    <col min="9" max="9" width="13.453125" customWidth="1"/>
  </cols>
  <sheetData>
    <row r="1" spans="1:9" ht="149.25" customHeight="1" x14ac:dyDescent="0.4">
      <c r="A1" s="2" t="s">
        <v>22</v>
      </c>
      <c r="B1" s="3"/>
      <c r="C1" s="4"/>
      <c r="D1" s="5" t="s">
        <v>23</v>
      </c>
      <c r="E1" s="6" t="s">
        <v>24</v>
      </c>
      <c r="F1" s="7"/>
      <c r="G1" t="s">
        <v>25</v>
      </c>
    </row>
    <row r="2" spans="1:9" ht="17.25" customHeight="1" x14ac:dyDescent="0.4">
      <c r="A2" s="2" t="str">
        <f t="array" ref="A2:A31">_xlfn.MAP(_xlfn.SEQUENCE(30),_xlfn.LAMBDA(_xlpm.n,SUBSTITUTE(ADDRESS(1,_xlpm.n,4),"1","")))</f>
        <v>A</v>
      </c>
      <c r="B2" s="8" t="s">
        <v>26</v>
      </c>
      <c r="C2" s="9" t="s">
        <v>27</v>
      </c>
      <c r="D2" s="10"/>
      <c r="E2" s="10"/>
      <c r="F2" s="11" t="s">
        <v>28</v>
      </c>
      <c r="G2" s="12" t="s">
        <v>29</v>
      </c>
    </row>
    <row r="3" spans="1:9" ht="17.25" customHeight="1" x14ac:dyDescent="0.4">
      <c r="A3" s="2" t="str">
        <v>B</v>
      </c>
      <c r="B3" s="8" t="s">
        <v>26</v>
      </c>
      <c r="C3" s="9" t="s">
        <v>30</v>
      </c>
      <c r="D3" s="10"/>
      <c r="E3" s="10"/>
      <c r="F3" s="11" t="s">
        <v>31</v>
      </c>
    </row>
    <row r="4" spans="1:9" ht="17.25" customHeight="1" x14ac:dyDescent="0.4">
      <c r="A4" s="2" t="str">
        <v>C</v>
      </c>
      <c r="B4" s="8" t="s">
        <v>26</v>
      </c>
      <c r="C4" s="9" t="s">
        <v>32</v>
      </c>
      <c r="D4" s="10"/>
      <c r="E4" s="10"/>
      <c r="F4" s="13" t="s">
        <v>33</v>
      </c>
    </row>
    <row r="5" spans="1:9" ht="17.25" customHeight="1" x14ac:dyDescent="0.4">
      <c r="A5" s="2" t="str">
        <v>D</v>
      </c>
      <c r="B5" s="8" t="s">
        <v>34</v>
      </c>
      <c r="C5" s="14" t="s">
        <v>35</v>
      </c>
      <c r="D5" s="3">
        <v>2</v>
      </c>
      <c r="E5" s="3" t="s">
        <v>36</v>
      </c>
      <c r="F5" s="15" t="s">
        <v>37</v>
      </c>
    </row>
    <row r="6" spans="1:9" ht="17.25" customHeight="1" x14ac:dyDescent="0.4">
      <c r="A6" s="2" t="str">
        <v>E</v>
      </c>
      <c r="B6" s="8" t="s">
        <v>34</v>
      </c>
      <c r="C6" s="9" t="s">
        <v>38</v>
      </c>
      <c r="D6" s="3">
        <v>3</v>
      </c>
      <c r="E6" s="3" t="s">
        <v>39</v>
      </c>
      <c r="F6" s="11" t="s">
        <v>40</v>
      </c>
    </row>
    <row r="7" spans="1:9" ht="17.25" customHeight="1" x14ac:dyDescent="0.4">
      <c r="A7" s="2" t="str">
        <v>F</v>
      </c>
      <c r="B7" s="8" t="s">
        <v>34</v>
      </c>
      <c r="C7" s="9" t="s">
        <v>41</v>
      </c>
      <c r="D7" s="3">
        <v>3</v>
      </c>
      <c r="E7" s="3" t="s">
        <v>39</v>
      </c>
      <c r="F7" s="11" t="s">
        <v>42</v>
      </c>
      <c r="G7" t="s">
        <v>43</v>
      </c>
      <c r="H7" t="s">
        <v>44</v>
      </c>
      <c r="I7" t="s">
        <v>45</v>
      </c>
    </row>
    <row r="8" spans="1:9" ht="17.25" customHeight="1" x14ac:dyDescent="0.4">
      <c r="A8" s="2" t="str">
        <v>G</v>
      </c>
      <c r="B8" s="8" t="s">
        <v>34</v>
      </c>
      <c r="C8" s="9" t="s">
        <v>46</v>
      </c>
      <c r="D8" s="3">
        <v>3</v>
      </c>
      <c r="E8" s="3" t="s">
        <v>36</v>
      </c>
      <c r="F8" s="15" t="s">
        <v>31</v>
      </c>
    </row>
    <row r="9" spans="1:9" ht="32.25" customHeight="1" x14ac:dyDescent="0.4">
      <c r="A9" s="2" t="str">
        <v>H</v>
      </c>
      <c r="B9" s="8" t="s">
        <v>34</v>
      </c>
      <c r="C9" s="16" t="s">
        <v>47</v>
      </c>
      <c r="D9" s="3" t="s">
        <v>48</v>
      </c>
      <c r="E9" s="3" t="s">
        <v>36</v>
      </c>
      <c r="F9" s="17" t="s">
        <v>49</v>
      </c>
    </row>
    <row r="10" spans="1:9" ht="17.25" customHeight="1" x14ac:dyDescent="0.4">
      <c r="A10" s="2" t="str">
        <v>I</v>
      </c>
      <c r="B10" s="8" t="s">
        <v>34</v>
      </c>
      <c r="C10" s="9" t="s">
        <v>50</v>
      </c>
      <c r="D10" s="3">
        <v>2</v>
      </c>
      <c r="E10" s="3" t="s">
        <v>39</v>
      </c>
      <c r="F10" s="13" t="s">
        <v>51</v>
      </c>
    </row>
    <row r="11" spans="1:9" ht="32.25" customHeight="1" x14ac:dyDescent="0.4">
      <c r="A11" s="2" t="str">
        <v>J</v>
      </c>
      <c r="B11" s="8" t="s">
        <v>34</v>
      </c>
      <c r="C11" s="9" t="s">
        <v>52</v>
      </c>
      <c r="D11" s="18" t="s">
        <v>53</v>
      </c>
      <c r="E11" s="3" t="s">
        <v>36</v>
      </c>
      <c r="F11" s="19"/>
    </row>
    <row r="12" spans="1:9" ht="32.25" customHeight="1" x14ac:dyDescent="0.4">
      <c r="A12" s="2" t="str">
        <v>K</v>
      </c>
      <c r="B12" s="8" t="s">
        <v>34</v>
      </c>
      <c r="C12" s="9" t="s">
        <v>54</v>
      </c>
      <c r="D12" s="18" t="s">
        <v>55</v>
      </c>
      <c r="E12" s="3" t="s">
        <v>36</v>
      </c>
      <c r="F12" s="20"/>
    </row>
    <row r="13" spans="1:9" ht="36.75" customHeight="1" x14ac:dyDescent="0.4">
      <c r="A13" s="2" t="str">
        <v>L</v>
      </c>
      <c r="B13" s="8" t="s">
        <v>34</v>
      </c>
      <c r="C13" s="9" t="s">
        <v>56</v>
      </c>
      <c r="D13" s="18" t="s">
        <v>57</v>
      </c>
      <c r="E13" s="3" t="s">
        <v>36</v>
      </c>
      <c r="F13" s="20"/>
    </row>
    <row r="14" spans="1:9" ht="17.25" customHeight="1" x14ac:dyDescent="0.4">
      <c r="A14" s="2" t="str">
        <v>M</v>
      </c>
      <c r="B14" s="8" t="s">
        <v>34</v>
      </c>
      <c r="C14" s="14" t="s">
        <v>58</v>
      </c>
      <c r="D14" s="21" t="s">
        <v>59</v>
      </c>
      <c r="E14" s="3" t="s">
        <v>36</v>
      </c>
      <c r="F14" s="15" t="s">
        <v>60</v>
      </c>
    </row>
    <row r="15" spans="1:9" ht="32.25" customHeight="1" x14ac:dyDescent="0.4">
      <c r="A15" s="2" t="str">
        <v>N</v>
      </c>
      <c r="B15" s="22" t="s">
        <v>61</v>
      </c>
      <c r="C15" s="9" t="s">
        <v>62</v>
      </c>
      <c r="D15" s="3" t="s">
        <v>63</v>
      </c>
      <c r="E15" s="3" t="s">
        <v>36</v>
      </c>
      <c r="F15" s="15" t="s">
        <v>64</v>
      </c>
    </row>
    <row r="16" spans="1:9" ht="48" customHeight="1" x14ac:dyDescent="0.4">
      <c r="A16" s="2" t="str">
        <v>O</v>
      </c>
      <c r="B16" s="8" t="s">
        <v>34</v>
      </c>
      <c r="C16" s="9" t="s">
        <v>65</v>
      </c>
      <c r="D16" s="3">
        <v>3</v>
      </c>
      <c r="E16" s="3" t="s">
        <v>36</v>
      </c>
      <c r="F16" s="23" t="s">
        <v>66</v>
      </c>
    </row>
    <row r="17" spans="1:6" ht="32.25" customHeight="1" x14ac:dyDescent="0.4">
      <c r="A17" s="2" t="str">
        <v>P</v>
      </c>
      <c r="B17" s="8" t="s">
        <v>34</v>
      </c>
      <c r="C17" s="14" t="s">
        <v>67</v>
      </c>
      <c r="D17" s="21" t="s">
        <v>68</v>
      </c>
      <c r="E17" s="3" t="s">
        <v>68</v>
      </c>
      <c r="F17" s="15" t="str">
        <f>IF(LEN(TRIM(F7))&gt;0,F7,F6)</f>
        <v>模糊檢索 API_路名清單_臺北市</v>
      </c>
    </row>
    <row r="18" spans="1:6" ht="17.25" customHeight="1" x14ac:dyDescent="0.4">
      <c r="A18" s="2" t="str">
        <v>Q</v>
      </c>
      <c r="B18" s="8" t="s">
        <v>34</v>
      </c>
      <c r="C18" s="9" t="s">
        <v>69</v>
      </c>
      <c r="D18" s="3">
        <v>3</v>
      </c>
      <c r="E18" s="3" t="s">
        <v>39</v>
      </c>
      <c r="F18" s="13" t="s">
        <v>70</v>
      </c>
    </row>
    <row r="19" spans="1:6" ht="17.25" customHeight="1" x14ac:dyDescent="0.4">
      <c r="A19" s="2" t="str">
        <v>R</v>
      </c>
      <c r="B19" s="8" t="s">
        <v>71</v>
      </c>
      <c r="C19" s="14" t="s">
        <v>72</v>
      </c>
      <c r="D19" s="3" t="s">
        <v>73</v>
      </c>
      <c r="E19" s="3" t="s">
        <v>36</v>
      </c>
      <c r="F19" s="15" t="str">
        <f>F5</f>
        <v>2dms_addrm_v1_ListRoad_A</v>
      </c>
    </row>
    <row r="20" spans="1:6" ht="17.25" customHeight="1" x14ac:dyDescent="0.4">
      <c r="A20" s="2" t="str">
        <v>S</v>
      </c>
      <c r="B20" s="8" t="s">
        <v>74</v>
      </c>
      <c r="C20" s="24" t="s">
        <v>75</v>
      </c>
      <c r="D20" s="3">
        <v>4</v>
      </c>
      <c r="E20" s="3" t="s">
        <v>39</v>
      </c>
      <c r="F20" s="15"/>
    </row>
    <row r="21" spans="1:6" ht="17.25" customHeight="1" x14ac:dyDescent="0.4">
      <c r="A21" s="2" t="str">
        <v>T</v>
      </c>
      <c r="B21" s="8" t="s">
        <v>74</v>
      </c>
      <c r="C21" s="24" t="s">
        <v>76</v>
      </c>
      <c r="D21" s="3">
        <v>4</v>
      </c>
      <c r="E21" s="3" t="s">
        <v>39</v>
      </c>
      <c r="F21" s="15"/>
    </row>
    <row r="22" spans="1:6" ht="17.25" customHeight="1" x14ac:dyDescent="0.4">
      <c r="A22" s="2" t="str">
        <v>U</v>
      </c>
      <c r="B22" s="8" t="s">
        <v>74</v>
      </c>
      <c r="C22" s="14" t="s">
        <v>77</v>
      </c>
      <c r="D22" s="3">
        <v>4</v>
      </c>
      <c r="E22" s="3" t="s">
        <v>39</v>
      </c>
      <c r="F22" s="15" t="str">
        <f>_xlfn.XLOOKUP(F23,[1]參考2_服務標準對照!2:2,[1]參考2_服務標準對照!4:4,"")&amp;""</f>
        <v/>
      </c>
    </row>
    <row r="23" spans="1:6" ht="17.25" customHeight="1" x14ac:dyDescent="0.4">
      <c r="A23" s="2" t="str">
        <v>V</v>
      </c>
      <c r="B23" s="8" t="s">
        <v>71</v>
      </c>
      <c r="C23" s="14" t="s">
        <v>0</v>
      </c>
      <c r="D23" s="3" t="s">
        <v>73</v>
      </c>
      <c r="E23" s="3" t="s">
        <v>36</v>
      </c>
      <c r="F23" s="15" t="s">
        <v>20</v>
      </c>
    </row>
    <row r="24" spans="1:6" ht="17.25" customHeight="1" x14ac:dyDescent="0.4">
      <c r="A24" s="2" t="str">
        <v>W</v>
      </c>
      <c r="B24" s="8" t="s">
        <v>71</v>
      </c>
      <c r="C24" s="14" t="s">
        <v>78</v>
      </c>
      <c r="D24" s="3" t="s">
        <v>73</v>
      </c>
      <c r="E24" s="3" t="s">
        <v>36</v>
      </c>
      <c r="F24" s="15" t="s">
        <v>79</v>
      </c>
    </row>
    <row r="25" spans="1:6" ht="17.25" customHeight="1" x14ac:dyDescent="0.4">
      <c r="A25" s="2" t="str">
        <v>X</v>
      </c>
      <c r="B25" s="8" t="s">
        <v>71</v>
      </c>
      <c r="C25" s="14" t="s">
        <v>80</v>
      </c>
      <c r="D25" s="3" t="s">
        <v>73</v>
      </c>
      <c r="E25" s="3" t="s">
        <v>36</v>
      </c>
      <c r="F25" s="15" t="s">
        <v>81</v>
      </c>
    </row>
    <row r="26" spans="1:6" ht="17.25" customHeight="1" x14ac:dyDescent="0.4">
      <c r="A26" s="2" t="str">
        <v>Y</v>
      </c>
      <c r="B26" s="8" t="s">
        <v>71</v>
      </c>
      <c r="C26" s="24" t="s">
        <v>82</v>
      </c>
      <c r="D26" s="3">
        <v>4</v>
      </c>
      <c r="E26" s="3" t="s">
        <v>39</v>
      </c>
      <c r="F26" s="13" t="s">
        <v>83</v>
      </c>
    </row>
    <row r="27" spans="1:6" ht="17.25" customHeight="1" x14ac:dyDescent="0.4">
      <c r="A27" s="2" t="str">
        <v>Z</v>
      </c>
      <c r="B27" s="8" t="s">
        <v>71</v>
      </c>
      <c r="C27" s="24" t="s">
        <v>84</v>
      </c>
      <c r="D27" s="3">
        <v>4</v>
      </c>
      <c r="E27" s="3" t="s">
        <v>39</v>
      </c>
      <c r="F27" s="13" t="s">
        <v>85</v>
      </c>
    </row>
    <row r="28" spans="1:6" ht="17.25" customHeight="1" x14ac:dyDescent="0.4">
      <c r="A28" s="2" t="str">
        <v>AA</v>
      </c>
      <c r="B28" s="8" t="s">
        <v>74</v>
      </c>
      <c r="C28" s="24" t="s">
        <v>86</v>
      </c>
      <c r="D28" s="3">
        <v>4</v>
      </c>
      <c r="E28" s="3" t="s">
        <v>39</v>
      </c>
      <c r="F28" s="13" t="s">
        <v>87</v>
      </c>
    </row>
    <row r="29" spans="1:6" ht="32.25" customHeight="1" x14ac:dyDescent="0.4">
      <c r="A29" s="2" t="str">
        <v>AB</v>
      </c>
      <c r="B29" s="8" t="s">
        <v>88</v>
      </c>
      <c r="C29" s="9" t="s">
        <v>89</v>
      </c>
      <c r="D29" s="3">
        <v>3</v>
      </c>
      <c r="E29" s="3" t="s">
        <v>36</v>
      </c>
      <c r="F29" s="13" t="s">
        <v>90</v>
      </c>
    </row>
    <row r="30" spans="1:6" ht="17.25" customHeight="1" x14ac:dyDescent="0.4">
      <c r="A30" s="2" t="str">
        <v>AC</v>
      </c>
      <c r="B30" s="8" t="s">
        <v>91</v>
      </c>
      <c r="C30" s="25" t="s">
        <v>92</v>
      </c>
      <c r="D30" s="3" t="s">
        <v>93</v>
      </c>
      <c r="E30" s="3" t="s">
        <v>36</v>
      </c>
      <c r="F30" s="15" t="s">
        <v>94</v>
      </c>
    </row>
    <row r="31" spans="1:6" ht="17.25" customHeight="1" x14ac:dyDescent="0.4">
      <c r="A31" s="2" t="str">
        <v>AD</v>
      </c>
      <c r="B31" s="8" t="s">
        <v>26</v>
      </c>
      <c r="C31" s="14" t="s">
        <v>95</v>
      </c>
      <c r="D31" s="21"/>
      <c r="E31" s="3" t="s">
        <v>68</v>
      </c>
      <c r="F31" s="26" t="s">
        <v>96</v>
      </c>
    </row>
  </sheetData>
  <phoneticPr fontId="13" type="noConversion"/>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AE1432"/>
  <sheetViews>
    <sheetView tabSelected="1" topLeftCell="N1" zoomScale="75" zoomScaleNormal="75" workbookViewId="0">
      <pane ySplit="2" topLeftCell="A1431" activePane="bottomLeft" state="frozen"/>
      <selection activeCell="P1" sqref="P1"/>
      <selection pane="bottomLeft" activeCell="W1431" sqref="W1431"/>
    </sheetView>
  </sheetViews>
  <sheetFormatPr defaultColWidth="8.6328125" defaultRowHeight="17" x14ac:dyDescent="0.4"/>
  <cols>
    <col min="1" max="1" width="30.453125" style="27" customWidth="1"/>
    <col min="2" max="2" width="12.36328125" style="27" customWidth="1"/>
    <col min="3" max="3" width="20.7265625" style="27" customWidth="1"/>
    <col min="4" max="4" width="35" style="27" customWidth="1"/>
    <col min="5" max="5" width="17.90625" style="27" customWidth="1"/>
    <col min="6" max="6" width="27" style="28" customWidth="1"/>
    <col min="7" max="7" width="13.7265625" style="27" customWidth="1"/>
    <col min="8" max="13" width="10.6328125" style="27" customWidth="1"/>
    <col min="14" max="14" width="38.08984375" style="27" customWidth="1"/>
    <col min="15" max="15" width="10.6328125" style="27" customWidth="1"/>
    <col min="16" max="16" width="41.453125" style="27" customWidth="1"/>
    <col min="17" max="17" width="10.6328125" style="27" customWidth="1"/>
    <col min="18" max="18" width="20.26953125" style="27" customWidth="1"/>
    <col min="19" max="22" width="10.6328125" style="27" customWidth="1"/>
    <col min="23" max="23" width="10.54296875" style="27" customWidth="1"/>
    <col min="24" max="30" width="10.6328125" style="27" customWidth="1"/>
    <col min="31" max="31" width="12" style="27" hidden="1" customWidth="1"/>
    <col min="32" max="32" width="8.6328125" style="27" customWidth="1"/>
    <col min="33" max="16384" width="8.6328125" style="27"/>
  </cols>
  <sheetData>
    <row r="1" spans="1:31" s="30" customFormat="1" ht="47.25" customHeight="1" x14ac:dyDescent="0.4">
      <c r="A1" s="29" t="s">
        <v>26</v>
      </c>
      <c r="B1" s="29" t="s">
        <v>26</v>
      </c>
      <c r="C1" s="29" t="s">
        <v>26</v>
      </c>
      <c r="D1" s="29" t="s">
        <v>34</v>
      </c>
      <c r="E1" s="29" t="s">
        <v>34</v>
      </c>
      <c r="F1" s="29" t="s">
        <v>34</v>
      </c>
      <c r="G1" s="29" t="s">
        <v>34</v>
      </c>
      <c r="H1" s="29" t="s">
        <v>34</v>
      </c>
      <c r="I1" s="29" t="s">
        <v>34</v>
      </c>
      <c r="J1" s="29" t="s">
        <v>34</v>
      </c>
      <c r="K1" s="29" t="s">
        <v>34</v>
      </c>
      <c r="L1" s="29" t="s">
        <v>34</v>
      </c>
      <c r="M1" s="29" t="s">
        <v>34</v>
      </c>
      <c r="N1" s="29" t="s">
        <v>61</v>
      </c>
      <c r="O1" s="29" t="s">
        <v>34</v>
      </c>
      <c r="P1" s="29" t="s">
        <v>34</v>
      </c>
      <c r="Q1" s="29" t="s">
        <v>34</v>
      </c>
      <c r="R1" s="29" t="s">
        <v>71</v>
      </c>
      <c r="S1" s="29" t="s">
        <v>74</v>
      </c>
      <c r="T1" s="29" t="s">
        <v>74</v>
      </c>
      <c r="U1" s="29" t="s">
        <v>74</v>
      </c>
      <c r="V1" s="29" t="s">
        <v>71</v>
      </c>
      <c r="W1" s="29" t="s">
        <v>71</v>
      </c>
      <c r="X1" s="29" t="s">
        <v>71</v>
      </c>
      <c r="Y1" s="29" t="s">
        <v>71</v>
      </c>
      <c r="Z1" s="29" t="s">
        <v>71</v>
      </c>
      <c r="AA1" s="29" t="s">
        <v>74</v>
      </c>
      <c r="AB1" s="29" t="s">
        <v>88</v>
      </c>
      <c r="AC1" s="29" t="s">
        <v>91</v>
      </c>
      <c r="AD1" s="29" t="s">
        <v>26</v>
      </c>
    </row>
    <row r="2" spans="1:31" s="29" customFormat="1" ht="64" customHeight="1" x14ac:dyDescent="0.4">
      <c r="A2" s="31" t="s">
        <v>27</v>
      </c>
      <c r="B2" s="31" t="s">
        <v>30</v>
      </c>
      <c r="C2" s="31" t="s">
        <v>32</v>
      </c>
      <c r="D2" s="32" t="s">
        <v>35</v>
      </c>
      <c r="E2" s="31" t="s">
        <v>38</v>
      </c>
      <c r="F2" s="31" t="s">
        <v>41</v>
      </c>
      <c r="G2" s="31" t="s">
        <v>46</v>
      </c>
      <c r="H2" s="33" t="s">
        <v>47</v>
      </c>
      <c r="I2" s="31" t="s">
        <v>50</v>
      </c>
      <c r="J2" s="31" t="s">
        <v>52</v>
      </c>
      <c r="K2" s="31" t="s">
        <v>54</v>
      </c>
      <c r="L2" s="31" t="s">
        <v>56</v>
      </c>
      <c r="M2" s="32" t="s">
        <v>58</v>
      </c>
      <c r="N2" s="31" t="s">
        <v>62</v>
      </c>
      <c r="O2" s="31" t="s">
        <v>65</v>
      </c>
      <c r="P2" s="32" t="s">
        <v>67</v>
      </c>
      <c r="Q2" s="31" t="s">
        <v>69</v>
      </c>
      <c r="R2" s="32" t="s">
        <v>72</v>
      </c>
      <c r="S2" s="34" t="s">
        <v>97</v>
      </c>
      <c r="T2" s="34" t="s">
        <v>76</v>
      </c>
      <c r="U2" s="32" t="s">
        <v>77</v>
      </c>
      <c r="V2" s="32" t="s">
        <v>0</v>
      </c>
      <c r="W2" s="32" t="s">
        <v>78</v>
      </c>
      <c r="X2" s="32" t="s">
        <v>80</v>
      </c>
      <c r="Y2" s="34" t="s">
        <v>82</v>
      </c>
      <c r="Z2" s="34" t="s">
        <v>84</v>
      </c>
      <c r="AA2" s="34" t="s">
        <v>86</v>
      </c>
      <c r="AB2" s="31" t="s">
        <v>89</v>
      </c>
      <c r="AC2" s="32" t="s">
        <v>92</v>
      </c>
      <c r="AD2" s="32" t="s">
        <v>95</v>
      </c>
      <c r="AE2" s="29" t="s">
        <v>98</v>
      </c>
    </row>
    <row r="3" spans="1:31" ht="299.25" customHeight="1" x14ac:dyDescent="0.4">
      <c r="A3" s="29" t="s">
        <v>148</v>
      </c>
      <c r="B3" s="29"/>
      <c r="C3" s="29"/>
      <c r="D3" s="29" t="s">
        <v>149</v>
      </c>
      <c r="E3" s="29" t="s">
        <v>150</v>
      </c>
      <c r="F3" s="29" t="s">
        <v>6</v>
      </c>
      <c r="G3" s="35"/>
      <c r="H3" s="35" t="s">
        <v>151</v>
      </c>
      <c r="I3" s="29" t="s">
        <v>148</v>
      </c>
      <c r="J3" s="37"/>
      <c r="K3" s="38"/>
      <c r="L3" s="38"/>
      <c r="M3" s="36" t="s">
        <v>60</v>
      </c>
      <c r="N3" s="15" t="s">
        <v>152</v>
      </c>
      <c r="O3" s="36" t="s">
        <v>153</v>
      </c>
      <c r="P3" s="36" t="str">
        <f t="shared" ref="P3:P54" si="0">IF(LEN(TRIM(F3))&gt;0,F3,E3)</f>
        <v>WMS</v>
      </c>
      <c r="Q3" s="29" t="s">
        <v>154</v>
      </c>
      <c r="R3" s="29" t="str">
        <f t="shared" ref="R3:R54" si="1">D3</f>
        <v>2dms_wms_v1_WMS</v>
      </c>
      <c r="S3" s="39" t="s">
        <v>155</v>
      </c>
      <c r="U3" s="27" t="str">
        <f>_xlfn.XLOOKUP(表格1[[#This Row],[服務類別(英)]],參考2_服務標準對照!$B:$B,參考2_服務標準對照!$C:$C,"")&amp;""</f>
        <v>OGC</v>
      </c>
      <c r="V3" s="29" t="s">
        <v>6</v>
      </c>
      <c r="W3" s="29" t="s">
        <v>156</v>
      </c>
      <c r="X3" s="29" t="s">
        <v>81</v>
      </c>
      <c r="Y3" s="36" t="s">
        <v>83</v>
      </c>
      <c r="Z3" s="36" t="s">
        <v>157</v>
      </c>
      <c r="AA3" s="36" t="s">
        <v>6</v>
      </c>
      <c r="AB3" s="36"/>
      <c r="AC3" s="36"/>
      <c r="AD3" s="29" t="s">
        <v>96</v>
      </c>
      <c r="AE3" s="36" t="str">
        <f>_xlfn.XLOOKUP(表格1[[#This Row],[唯一識別碼]],API清冊0707!B:B,API清冊0707!T:T,"")&amp;""</f>
        <v>有下拉選單</v>
      </c>
    </row>
    <row r="4" spans="1:31" ht="204.75" customHeight="1" x14ac:dyDescent="0.4">
      <c r="A4" s="29" t="s">
        <v>158</v>
      </c>
      <c r="B4" s="29"/>
      <c r="C4" s="29"/>
      <c r="D4" s="29" t="s">
        <v>159</v>
      </c>
      <c r="E4" s="29" t="s">
        <v>160</v>
      </c>
      <c r="F4" s="29" t="s">
        <v>161</v>
      </c>
      <c r="G4" s="35"/>
      <c r="H4" s="35" t="s">
        <v>151</v>
      </c>
      <c r="I4" s="29" t="s">
        <v>158</v>
      </c>
      <c r="J4" s="37"/>
      <c r="K4" s="38"/>
      <c r="L4" s="38"/>
      <c r="M4" s="36" t="s">
        <v>60</v>
      </c>
      <c r="N4" s="15" t="s">
        <v>152</v>
      </c>
      <c r="O4" s="36" t="s">
        <v>162</v>
      </c>
      <c r="P4" s="36" t="str">
        <f t="shared" si="0"/>
        <v>WMTS_村里界線(108年)</v>
      </c>
      <c r="Q4" s="29" t="s">
        <v>161</v>
      </c>
      <c r="R4" s="29" t="str">
        <f t="shared" si="1"/>
        <v>2dms_wmts_v1_Village201910</v>
      </c>
      <c r="S4" s="39" t="s">
        <v>155</v>
      </c>
      <c r="U4" s="27" t="str">
        <f>_xlfn.XLOOKUP(表格1[[#This Row],[服務類別(英)]],參考2_服務標準對照!$B:$B,參考2_服務標準對照!$C:$C,"")&amp;""</f>
        <v>OGC</v>
      </c>
      <c r="V4" s="29" t="s">
        <v>7</v>
      </c>
      <c r="W4" s="29" t="s">
        <v>163</v>
      </c>
      <c r="X4" s="29" t="s">
        <v>81</v>
      </c>
      <c r="Y4" s="36" t="s">
        <v>83</v>
      </c>
      <c r="Z4" s="36" t="s">
        <v>157</v>
      </c>
      <c r="AA4" s="36" t="s">
        <v>164</v>
      </c>
      <c r="AB4" s="36"/>
      <c r="AC4" s="36"/>
      <c r="AD4" s="29" t="s">
        <v>119</v>
      </c>
      <c r="AE4" s="36" t="str">
        <f>_xlfn.XLOOKUP(表格1[[#This Row],[唯一識別碼]],API清冊0707!B:B,API清冊0707!T:T,"")&amp;""</f>
        <v>無下拉選單</v>
      </c>
    </row>
    <row r="5" spans="1:31" ht="189" customHeight="1" x14ac:dyDescent="0.4">
      <c r="A5" s="29" t="s">
        <v>165</v>
      </c>
      <c r="B5" s="29"/>
      <c r="C5" s="29"/>
      <c r="D5" s="29" t="s">
        <v>166</v>
      </c>
      <c r="E5" s="29" t="s">
        <v>167</v>
      </c>
      <c r="F5" s="29" t="s">
        <v>168</v>
      </c>
      <c r="G5" s="35"/>
      <c r="H5" s="35" t="s">
        <v>151</v>
      </c>
      <c r="I5" s="29" t="s">
        <v>165</v>
      </c>
      <c r="J5" s="37"/>
      <c r="K5" s="38"/>
      <c r="L5" s="38"/>
      <c r="M5" s="36" t="s">
        <v>60</v>
      </c>
      <c r="N5" s="15" t="s">
        <v>152</v>
      </c>
      <c r="O5" s="36" t="s">
        <v>162</v>
      </c>
      <c r="P5" s="36" t="str">
        <f t="shared" si="0"/>
        <v>WMTS_村里界線</v>
      </c>
      <c r="Q5" s="29" t="s">
        <v>168</v>
      </c>
      <c r="R5" s="29" t="str">
        <f t="shared" si="1"/>
        <v>2dms_wmts_v1_Village</v>
      </c>
      <c r="S5" s="39" t="s">
        <v>155</v>
      </c>
      <c r="U5" s="27" t="str">
        <f>_xlfn.XLOOKUP(表格1[[#This Row],[服務類別(英)]],參考2_服務標準對照!$B:$B,參考2_服務標準對照!$C:$C,"")&amp;""</f>
        <v>OGC</v>
      </c>
      <c r="V5" s="29" t="s">
        <v>7</v>
      </c>
      <c r="W5" s="29" t="s">
        <v>163</v>
      </c>
      <c r="X5" s="29" t="s">
        <v>81</v>
      </c>
      <c r="Y5" s="36" t="s">
        <v>83</v>
      </c>
      <c r="Z5" s="36" t="s">
        <v>157</v>
      </c>
      <c r="AA5" s="36" t="s">
        <v>164</v>
      </c>
      <c r="AB5" s="36"/>
      <c r="AC5" s="36"/>
      <c r="AD5" s="29" t="s">
        <v>119</v>
      </c>
      <c r="AE5" s="36" t="str">
        <f>_xlfn.XLOOKUP(表格1[[#This Row],[唯一識別碼]],API清冊0707!B:B,API清冊0707!T:T,"")&amp;""</f>
        <v>無下拉選單</v>
      </c>
    </row>
    <row r="6" spans="1:31" ht="204.75" customHeight="1" x14ac:dyDescent="0.4">
      <c r="A6" s="29" t="s">
        <v>169</v>
      </c>
      <c r="B6" s="29"/>
      <c r="C6" s="29"/>
      <c r="D6" s="29" t="s">
        <v>170</v>
      </c>
      <c r="E6" s="29" t="s">
        <v>171</v>
      </c>
      <c r="F6" s="29" t="s">
        <v>172</v>
      </c>
      <c r="G6" s="35"/>
      <c r="H6" s="35" t="s">
        <v>151</v>
      </c>
      <c r="I6" s="29" t="s">
        <v>169</v>
      </c>
      <c r="J6" s="37"/>
      <c r="K6" s="38"/>
      <c r="L6" s="38"/>
      <c r="M6" s="36" t="s">
        <v>60</v>
      </c>
      <c r="N6" s="15" t="s">
        <v>152</v>
      </c>
      <c r="O6" s="36" t="s">
        <v>162</v>
      </c>
      <c r="P6" s="36" t="str">
        <f t="shared" si="0"/>
        <v>WMTS_UAV空拍影像_嘉義縣民雄(111年)</v>
      </c>
      <c r="Q6" s="29" t="s">
        <v>172</v>
      </c>
      <c r="R6" s="29" t="str">
        <f t="shared" si="1"/>
        <v>2dms_wmts_v1_UAV111Q01</v>
      </c>
      <c r="S6" s="39" t="s">
        <v>155</v>
      </c>
      <c r="U6" s="27" t="str">
        <f>_xlfn.XLOOKUP(表格1[[#This Row],[服務類別(英)]],參考2_服務標準對照!$B:$B,參考2_服務標準對照!$C:$C,"")&amp;""</f>
        <v>OGC</v>
      </c>
      <c r="V6" s="29" t="s">
        <v>7</v>
      </c>
      <c r="W6" s="29" t="s">
        <v>163</v>
      </c>
      <c r="X6" s="29" t="s">
        <v>81</v>
      </c>
      <c r="Y6" s="36" t="s">
        <v>83</v>
      </c>
      <c r="Z6" s="36" t="s">
        <v>157</v>
      </c>
      <c r="AA6" s="36" t="s">
        <v>173</v>
      </c>
      <c r="AB6" s="36"/>
      <c r="AC6" s="36"/>
      <c r="AD6" s="29" t="s">
        <v>119</v>
      </c>
      <c r="AE6" s="36" t="str">
        <f>_xlfn.XLOOKUP(表格1[[#This Row],[唯一識別碼]],API清冊0707!B:B,API清冊0707!T:T,"")&amp;""</f>
        <v>無下拉選單</v>
      </c>
    </row>
    <row r="7" spans="1:31" ht="204.75" customHeight="1" x14ac:dyDescent="0.4">
      <c r="A7" s="29" t="s">
        <v>174</v>
      </c>
      <c r="B7" s="29"/>
      <c r="C7" s="29"/>
      <c r="D7" s="29" t="s">
        <v>175</v>
      </c>
      <c r="E7" s="29" t="s">
        <v>176</v>
      </c>
      <c r="F7" s="29" t="s">
        <v>177</v>
      </c>
      <c r="G7" s="35"/>
      <c r="H7" s="35" t="s">
        <v>151</v>
      </c>
      <c r="I7" s="29" t="s">
        <v>174</v>
      </c>
      <c r="J7" s="37"/>
      <c r="K7" s="38"/>
      <c r="L7" s="38"/>
      <c r="M7" s="36" t="s">
        <v>60</v>
      </c>
      <c r="N7" s="15" t="s">
        <v>152</v>
      </c>
      <c r="O7" s="36" t="s">
        <v>162</v>
      </c>
      <c r="P7" s="36" t="str">
        <f t="shared" si="0"/>
        <v>WMTS_UAV空拍影像_雲林縣口湖(111年)</v>
      </c>
      <c r="Q7" s="29" t="s">
        <v>177</v>
      </c>
      <c r="R7" s="29" t="str">
        <f t="shared" si="1"/>
        <v>2dms_wmts_v1_UAV111P02</v>
      </c>
      <c r="S7" s="39" t="s">
        <v>155</v>
      </c>
      <c r="U7" s="27" t="str">
        <f>_xlfn.XLOOKUP(表格1[[#This Row],[服務類別(英)]],參考2_服務標準對照!$B:$B,參考2_服務標準對照!$C:$C,"")&amp;""</f>
        <v>OGC</v>
      </c>
      <c r="V7" s="29" t="s">
        <v>7</v>
      </c>
      <c r="W7" s="29" t="s">
        <v>163</v>
      </c>
      <c r="X7" s="29" t="s">
        <v>81</v>
      </c>
      <c r="Y7" s="36" t="s">
        <v>83</v>
      </c>
      <c r="Z7" s="36" t="s">
        <v>157</v>
      </c>
      <c r="AA7" s="36" t="s">
        <v>173</v>
      </c>
      <c r="AB7" s="36"/>
      <c r="AC7" s="36"/>
      <c r="AD7" s="29" t="s">
        <v>119</v>
      </c>
      <c r="AE7" s="36" t="str">
        <f>_xlfn.XLOOKUP(表格1[[#This Row],[唯一識別碼]],API清冊0707!B:B,API清冊0707!T:T,"")&amp;""</f>
        <v>無下拉選單</v>
      </c>
    </row>
    <row r="8" spans="1:31" ht="204.75" customHeight="1" x14ac:dyDescent="0.4">
      <c r="A8" s="29" t="s">
        <v>178</v>
      </c>
      <c r="B8" s="29"/>
      <c r="C8" s="29"/>
      <c r="D8" s="29" t="s">
        <v>179</v>
      </c>
      <c r="E8" s="29" t="s">
        <v>180</v>
      </c>
      <c r="F8" s="29" t="s">
        <v>181</v>
      </c>
      <c r="G8" s="35"/>
      <c r="H8" s="35" t="s">
        <v>151</v>
      </c>
      <c r="I8" s="29" t="s">
        <v>178</v>
      </c>
      <c r="J8" s="37"/>
      <c r="K8" s="38"/>
      <c r="L8" s="38"/>
      <c r="M8" s="36" t="s">
        <v>60</v>
      </c>
      <c r="N8" s="15" t="s">
        <v>152</v>
      </c>
      <c r="O8" s="36" t="s">
        <v>162</v>
      </c>
      <c r="P8" s="36" t="str">
        <f t="shared" si="0"/>
        <v>WMTS_UAV空拍影像_雲林縣臺西(111年)</v>
      </c>
      <c r="Q8" s="29" t="s">
        <v>181</v>
      </c>
      <c r="R8" s="29" t="str">
        <f t="shared" si="1"/>
        <v>2dms_wmts_v1_UAV111P01</v>
      </c>
      <c r="S8" s="39" t="s">
        <v>155</v>
      </c>
      <c r="U8" s="27" t="str">
        <f>_xlfn.XLOOKUP(表格1[[#This Row],[服務類別(英)]],參考2_服務標準對照!$B:$B,參考2_服務標準對照!$C:$C,"")&amp;""</f>
        <v>OGC</v>
      </c>
      <c r="V8" s="29" t="s">
        <v>7</v>
      </c>
      <c r="W8" s="29" t="s">
        <v>163</v>
      </c>
      <c r="X8" s="29" t="s">
        <v>81</v>
      </c>
      <c r="Y8" s="36" t="s">
        <v>83</v>
      </c>
      <c r="Z8" s="36" t="s">
        <v>157</v>
      </c>
      <c r="AA8" s="36" t="s">
        <v>173</v>
      </c>
      <c r="AB8" s="36"/>
      <c r="AC8" s="36"/>
      <c r="AD8" s="29" t="s">
        <v>119</v>
      </c>
      <c r="AE8" s="36" t="str">
        <f>_xlfn.XLOOKUP(表格1[[#This Row],[唯一識別碼]],API清冊0707!B:B,API清冊0707!T:T,"")&amp;""</f>
        <v>無下拉選單</v>
      </c>
    </row>
    <row r="9" spans="1:31" ht="204.75" customHeight="1" x14ac:dyDescent="0.4">
      <c r="A9" s="29" t="s">
        <v>182</v>
      </c>
      <c r="B9" s="29"/>
      <c r="C9" s="29"/>
      <c r="D9" s="29" t="s">
        <v>183</v>
      </c>
      <c r="E9" s="29" t="s">
        <v>184</v>
      </c>
      <c r="F9" s="29" t="s">
        <v>185</v>
      </c>
      <c r="G9" s="35"/>
      <c r="H9" s="35" t="s">
        <v>151</v>
      </c>
      <c r="I9" s="29" t="s">
        <v>182</v>
      </c>
      <c r="J9" s="37"/>
      <c r="K9" s="38"/>
      <c r="L9" s="38"/>
      <c r="M9" s="36" t="s">
        <v>60</v>
      </c>
      <c r="N9" s="15" t="s">
        <v>152</v>
      </c>
      <c r="O9" s="36" t="s">
        <v>162</v>
      </c>
      <c r="P9" s="36" t="str">
        <f t="shared" si="0"/>
        <v>WMTS_UAV空拍影像_苗栗縣泰安鄉觀霧(111年)</v>
      </c>
      <c r="Q9" s="29" t="s">
        <v>185</v>
      </c>
      <c r="R9" s="29" t="str">
        <f t="shared" si="1"/>
        <v>2dms_wmts_v1_UAV111K02</v>
      </c>
      <c r="S9" s="39" t="s">
        <v>155</v>
      </c>
      <c r="U9" s="27" t="str">
        <f>_xlfn.XLOOKUP(表格1[[#This Row],[服務類別(英)]],參考2_服務標準對照!$B:$B,參考2_服務標準對照!$C:$C,"")&amp;""</f>
        <v>OGC</v>
      </c>
      <c r="V9" s="29" t="s">
        <v>7</v>
      </c>
      <c r="W9" s="29" t="s">
        <v>163</v>
      </c>
      <c r="X9" s="29" t="s">
        <v>81</v>
      </c>
      <c r="Y9" s="36" t="s">
        <v>83</v>
      </c>
      <c r="Z9" s="36" t="s">
        <v>157</v>
      </c>
      <c r="AA9" s="36" t="s">
        <v>186</v>
      </c>
      <c r="AB9" s="36"/>
      <c r="AC9" s="36"/>
      <c r="AD9" s="29" t="s">
        <v>119</v>
      </c>
      <c r="AE9" s="36" t="str">
        <f>_xlfn.XLOOKUP(表格1[[#This Row],[唯一識別碼]],API清冊0707!B:B,API清冊0707!T:T,"")&amp;""</f>
        <v>無下拉選單</v>
      </c>
    </row>
    <row r="10" spans="1:31" ht="204.75" customHeight="1" x14ac:dyDescent="0.4">
      <c r="A10" s="29" t="s">
        <v>187</v>
      </c>
      <c r="B10" s="29"/>
      <c r="C10" s="29"/>
      <c r="D10" s="29" t="s">
        <v>188</v>
      </c>
      <c r="E10" s="29" t="s">
        <v>189</v>
      </c>
      <c r="F10" s="29" t="s">
        <v>190</v>
      </c>
      <c r="G10" s="35"/>
      <c r="H10" s="35" t="s">
        <v>151</v>
      </c>
      <c r="I10" s="29" t="s">
        <v>187</v>
      </c>
      <c r="J10" s="37"/>
      <c r="K10" s="38"/>
      <c r="L10" s="38"/>
      <c r="M10" s="36" t="s">
        <v>60</v>
      </c>
      <c r="N10" s="15" t="s">
        <v>152</v>
      </c>
      <c r="O10" s="36" t="s">
        <v>162</v>
      </c>
      <c r="P10" s="36" t="str">
        <f t="shared" si="0"/>
        <v>WMTS_UAV空拍影像_苗栗縣泰安鄉雪見(111年)</v>
      </c>
      <c r="Q10" s="29" t="s">
        <v>190</v>
      </c>
      <c r="R10" s="29" t="str">
        <f t="shared" si="1"/>
        <v>2dms_wmts_v1_UAV111K01</v>
      </c>
      <c r="S10" s="39" t="s">
        <v>155</v>
      </c>
      <c r="U10" s="27" t="str">
        <f>_xlfn.XLOOKUP(表格1[[#This Row],[服務類別(英)]],參考2_服務標準對照!$B:$B,參考2_服務標準對照!$C:$C,"")&amp;""</f>
        <v>OGC</v>
      </c>
      <c r="V10" s="29" t="s">
        <v>7</v>
      </c>
      <c r="W10" s="29" t="s">
        <v>163</v>
      </c>
      <c r="X10" s="29" t="s">
        <v>81</v>
      </c>
      <c r="Y10" s="36" t="s">
        <v>83</v>
      </c>
      <c r="Z10" s="36" t="s">
        <v>157</v>
      </c>
      <c r="AA10" s="36" t="s">
        <v>186</v>
      </c>
      <c r="AB10" s="36"/>
      <c r="AC10" s="36"/>
      <c r="AD10" s="29" t="s">
        <v>119</v>
      </c>
      <c r="AE10" s="36" t="str">
        <f>_xlfn.XLOOKUP(表格1[[#This Row],[唯一識別碼]],API清冊0707!B:B,API清冊0707!T:T,"")&amp;""</f>
        <v>無下拉選單</v>
      </c>
    </row>
    <row r="11" spans="1:31" ht="204.75" customHeight="1" x14ac:dyDescent="0.4">
      <c r="A11" s="29" t="s">
        <v>191</v>
      </c>
      <c r="B11" s="29"/>
      <c r="C11" s="29"/>
      <c r="D11" s="29" t="s">
        <v>192</v>
      </c>
      <c r="E11" s="29" t="s">
        <v>193</v>
      </c>
      <c r="F11" s="29" t="s">
        <v>194</v>
      </c>
      <c r="G11" s="35"/>
      <c r="H11" s="35" t="s">
        <v>151</v>
      </c>
      <c r="I11" s="29" t="s">
        <v>191</v>
      </c>
      <c r="J11" s="37"/>
      <c r="K11" s="38"/>
      <c r="L11" s="38"/>
      <c r="M11" s="36" t="s">
        <v>60</v>
      </c>
      <c r="N11" s="15" t="s">
        <v>152</v>
      </c>
      <c r="O11" s="36" t="s">
        <v>162</v>
      </c>
      <c r="P11" s="36" t="str">
        <f t="shared" si="0"/>
        <v>WMTS_UAV空拍影像_新竹縣竹北_3(111年)</v>
      </c>
      <c r="Q11" s="29" t="s">
        <v>194</v>
      </c>
      <c r="R11" s="29" t="str">
        <f t="shared" si="1"/>
        <v>2dms_wmts_v1_UAV111J03</v>
      </c>
      <c r="S11" s="39" t="s">
        <v>155</v>
      </c>
      <c r="U11" s="27" t="str">
        <f>_xlfn.XLOOKUP(表格1[[#This Row],[服務類別(英)]],參考2_服務標準對照!$B:$B,參考2_服務標準對照!$C:$C,"")&amp;""</f>
        <v>OGC</v>
      </c>
      <c r="V11" s="29" t="s">
        <v>7</v>
      </c>
      <c r="W11" s="29" t="s">
        <v>163</v>
      </c>
      <c r="X11" s="29" t="s">
        <v>81</v>
      </c>
      <c r="Y11" s="36" t="s">
        <v>83</v>
      </c>
      <c r="Z11" s="36" t="s">
        <v>157</v>
      </c>
      <c r="AA11" s="36" t="s">
        <v>173</v>
      </c>
      <c r="AB11" s="36"/>
      <c r="AC11" s="36"/>
      <c r="AD11" s="29" t="s">
        <v>119</v>
      </c>
      <c r="AE11" s="36" t="str">
        <f>_xlfn.XLOOKUP(表格1[[#This Row],[唯一識別碼]],API清冊0707!B:B,API清冊0707!T:T,"")&amp;""</f>
        <v>無下拉選單</v>
      </c>
    </row>
    <row r="12" spans="1:31" ht="204.75" customHeight="1" x14ac:dyDescent="0.4">
      <c r="A12" s="29" t="s">
        <v>195</v>
      </c>
      <c r="B12" s="29"/>
      <c r="C12" s="29"/>
      <c r="D12" s="29" t="s">
        <v>196</v>
      </c>
      <c r="E12" s="29" t="s">
        <v>197</v>
      </c>
      <c r="F12" s="29" t="s">
        <v>198</v>
      </c>
      <c r="G12" s="35"/>
      <c r="H12" s="35" t="s">
        <v>151</v>
      </c>
      <c r="I12" s="29" t="s">
        <v>195</v>
      </c>
      <c r="J12" s="37"/>
      <c r="K12" s="38"/>
      <c r="L12" s="38"/>
      <c r="M12" s="36" t="s">
        <v>60</v>
      </c>
      <c r="N12" s="15" t="s">
        <v>152</v>
      </c>
      <c r="O12" s="36" t="s">
        <v>162</v>
      </c>
      <c r="P12" s="36" t="str">
        <f t="shared" si="0"/>
        <v>WMTS_UAV空拍影像_新竹縣竹北_2(111年)</v>
      </c>
      <c r="Q12" s="29" t="s">
        <v>198</v>
      </c>
      <c r="R12" s="29" t="str">
        <f t="shared" si="1"/>
        <v>2dms_wmts_v1_UAV111J02</v>
      </c>
      <c r="S12" s="39" t="s">
        <v>155</v>
      </c>
      <c r="U12" s="27" t="str">
        <f>_xlfn.XLOOKUP(表格1[[#This Row],[服務類別(英)]],參考2_服務標準對照!$B:$B,參考2_服務標準對照!$C:$C,"")&amp;""</f>
        <v>OGC</v>
      </c>
      <c r="V12" s="29" t="s">
        <v>7</v>
      </c>
      <c r="W12" s="29" t="s">
        <v>163</v>
      </c>
      <c r="X12" s="29" t="s">
        <v>81</v>
      </c>
      <c r="Y12" s="36" t="s">
        <v>83</v>
      </c>
      <c r="Z12" s="36" t="s">
        <v>157</v>
      </c>
      <c r="AA12" s="36" t="s">
        <v>173</v>
      </c>
      <c r="AB12" s="36"/>
      <c r="AC12" s="36"/>
      <c r="AD12" s="29" t="s">
        <v>119</v>
      </c>
      <c r="AE12" s="36" t="str">
        <f>_xlfn.XLOOKUP(表格1[[#This Row],[唯一識別碼]],API清冊0707!B:B,API清冊0707!T:T,"")&amp;""</f>
        <v>無下拉選單</v>
      </c>
    </row>
    <row r="13" spans="1:31" ht="204.75" customHeight="1" x14ac:dyDescent="0.4">
      <c r="A13" s="29" t="s">
        <v>199</v>
      </c>
      <c r="B13" s="29"/>
      <c r="C13" s="29"/>
      <c r="D13" s="29" t="s">
        <v>200</v>
      </c>
      <c r="E13" s="29" t="s">
        <v>201</v>
      </c>
      <c r="F13" s="29" t="s">
        <v>202</v>
      </c>
      <c r="G13" s="35"/>
      <c r="H13" s="35" t="s">
        <v>151</v>
      </c>
      <c r="I13" s="29" t="s">
        <v>199</v>
      </c>
      <c r="J13" s="37"/>
      <c r="K13" s="38"/>
      <c r="L13" s="38"/>
      <c r="M13" s="36" t="s">
        <v>60</v>
      </c>
      <c r="N13" s="15" t="s">
        <v>152</v>
      </c>
      <c r="O13" s="36" t="s">
        <v>162</v>
      </c>
      <c r="P13" s="36" t="str">
        <f t="shared" si="0"/>
        <v>WMTS_UAV空拍影像_新竹縣竹北_1(111年)</v>
      </c>
      <c r="Q13" s="29" t="s">
        <v>202</v>
      </c>
      <c r="R13" s="29" t="str">
        <f t="shared" si="1"/>
        <v>2dms_wmts_v1_UAV111J01</v>
      </c>
      <c r="S13" s="39" t="s">
        <v>155</v>
      </c>
      <c r="U13" s="27" t="str">
        <f>_xlfn.XLOOKUP(表格1[[#This Row],[服務類別(英)]],參考2_服務標準對照!$B:$B,參考2_服務標準對照!$C:$C,"")&amp;""</f>
        <v>OGC</v>
      </c>
      <c r="V13" s="29" t="s">
        <v>7</v>
      </c>
      <c r="W13" s="29" t="s">
        <v>163</v>
      </c>
      <c r="X13" s="29" t="s">
        <v>81</v>
      </c>
      <c r="Y13" s="36" t="s">
        <v>83</v>
      </c>
      <c r="Z13" s="36" t="s">
        <v>157</v>
      </c>
      <c r="AA13" s="36" t="s">
        <v>173</v>
      </c>
      <c r="AB13" s="36"/>
      <c r="AC13" s="36"/>
      <c r="AD13" s="29" t="s">
        <v>119</v>
      </c>
      <c r="AE13" s="36" t="str">
        <f>_xlfn.XLOOKUP(表格1[[#This Row],[唯一識別碼]],API清冊0707!B:B,API清冊0707!T:T,"")&amp;""</f>
        <v>無下拉選單</v>
      </c>
    </row>
    <row r="14" spans="1:31" ht="204.75" customHeight="1" x14ac:dyDescent="0.4">
      <c r="A14" s="29" t="s">
        <v>203</v>
      </c>
      <c r="B14" s="29"/>
      <c r="C14" s="29"/>
      <c r="D14" s="29" t="s">
        <v>204</v>
      </c>
      <c r="E14" s="29" t="s">
        <v>205</v>
      </c>
      <c r="F14" s="29" t="s">
        <v>206</v>
      </c>
      <c r="G14" s="35"/>
      <c r="H14" s="35" t="s">
        <v>151</v>
      </c>
      <c r="I14" s="29" t="s">
        <v>203</v>
      </c>
      <c r="J14" s="37"/>
      <c r="K14" s="38"/>
      <c r="L14" s="38"/>
      <c r="M14" s="36" t="s">
        <v>60</v>
      </c>
      <c r="N14" s="15" t="s">
        <v>152</v>
      </c>
      <c r="O14" s="36" t="s">
        <v>162</v>
      </c>
      <c r="P14" s="36" t="str">
        <f t="shared" si="0"/>
        <v>WMTS_UAV空拍影像_高雄市永安(111年)</v>
      </c>
      <c r="Q14" s="29" t="s">
        <v>206</v>
      </c>
      <c r="R14" s="29" t="str">
        <f t="shared" si="1"/>
        <v>2dms_wmts_v1_UAV111E01</v>
      </c>
      <c r="S14" s="39" t="s">
        <v>155</v>
      </c>
      <c r="U14" s="27" t="str">
        <f>_xlfn.XLOOKUP(表格1[[#This Row],[服務類別(英)]],參考2_服務標準對照!$B:$B,參考2_服務標準對照!$C:$C,"")&amp;""</f>
        <v>OGC</v>
      </c>
      <c r="V14" s="29" t="s">
        <v>7</v>
      </c>
      <c r="W14" s="29" t="s">
        <v>163</v>
      </c>
      <c r="X14" s="29" t="s">
        <v>81</v>
      </c>
      <c r="Y14" s="36" t="s">
        <v>83</v>
      </c>
      <c r="Z14" s="36" t="s">
        <v>157</v>
      </c>
      <c r="AA14" s="36" t="s">
        <v>173</v>
      </c>
      <c r="AB14" s="36"/>
      <c r="AC14" s="36"/>
      <c r="AD14" s="29" t="s">
        <v>119</v>
      </c>
      <c r="AE14" s="36" t="str">
        <f>_xlfn.XLOOKUP(表格1[[#This Row],[唯一識別碼]],API清冊0707!B:B,API清冊0707!T:T,"")&amp;""</f>
        <v>無下拉選單</v>
      </c>
    </row>
    <row r="15" spans="1:31" ht="204.75" customHeight="1" x14ac:dyDescent="0.4">
      <c r="A15" s="29" t="s">
        <v>207</v>
      </c>
      <c r="B15" s="29"/>
      <c r="C15" s="29"/>
      <c r="D15" s="29" t="s">
        <v>208</v>
      </c>
      <c r="E15" s="29" t="s">
        <v>209</v>
      </c>
      <c r="F15" s="29" t="s">
        <v>210</v>
      </c>
      <c r="G15" s="35"/>
      <c r="H15" s="35" t="s">
        <v>151</v>
      </c>
      <c r="I15" s="29" t="s">
        <v>207</v>
      </c>
      <c r="J15" s="37"/>
      <c r="K15" s="38"/>
      <c r="L15" s="38"/>
      <c r="M15" s="36" t="s">
        <v>60</v>
      </c>
      <c r="N15" s="15" t="s">
        <v>152</v>
      </c>
      <c r="O15" s="36" t="s">
        <v>162</v>
      </c>
      <c r="P15" s="36" t="str">
        <f t="shared" si="0"/>
        <v>WMTS_UAV空拍影像_臺南市柳營(111年)</v>
      </c>
      <c r="Q15" s="29" t="s">
        <v>210</v>
      </c>
      <c r="R15" s="29" t="str">
        <f t="shared" si="1"/>
        <v>2dms_wmts_v1_UAV111D01</v>
      </c>
      <c r="S15" s="39" t="s">
        <v>155</v>
      </c>
      <c r="U15" s="27" t="str">
        <f>_xlfn.XLOOKUP(表格1[[#This Row],[服務類別(英)]],參考2_服務標準對照!$B:$B,參考2_服務標準對照!$C:$C,"")&amp;""</f>
        <v>OGC</v>
      </c>
      <c r="V15" s="29" t="s">
        <v>7</v>
      </c>
      <c r="W15" s="29" t="s">
        <v>163</v>
      </c>
      <c r="X15" s="29" t="s">
        <v>81</v>
      </c>
      <c r="Y15" s="36" t="s">
        <v>83</v>
      </c>
      <c r="Z15" s="36" t="s">
        <v>157</v>
      </c>
      <c r="AA15" s="36" t="s">
        <v>173</v>
      </c>
      <c r="AB15" s="36"/>
      <c r="AC15" s="36"/>
      <c r="AD15" s="29" t="s">
        <v>119</v>
      </c>
      <c r="AE15" s="36" t="str">
        <f>_xlfn.XLOOKUP(表格1[[#This Row],[唯一識別碼]],API清冊0707!B:B,API清冊0707!T:T,"")&amp;""</f>
        <v>無下拉選單</v>
      </c>
    </row>
    <row r="16" spans="1:31" ht="189" customHeight="1" x14ac:dyDescent="0.4">
      <c r="A16" s="29" t="s">
        <v>211</v>
      </c>
      <c r="B16" s="29"/>
      <c r="C16" s="29"/>
      <c r="D16" s="29" t="s">
        <v>212</v>
      </c>
      <c r="E16" s="29" t="s">
        <v>213</v>
      </c>
      <c r="F16" s="29" t="s">
        <v>214</v>
      </c>
      <c r="G16" s="35"/>
      <c r="H16" s="35" t="s">
        <v>151</v>
      </c>
      <c r="I16" s="29" t="s">
        <v>211</v>
      </c>
      <c r="J16" s="37"/>
      <c r="K16" s="38"/>
      <c r="L16" s="38"/>
      <c r="M16" s="36" t="s">
        <v>60</v>
      </c>
      <c r="N16" s="15" t="s">
        <v>152</v>
      </c>
      <c r="O16" s="36" t="s">
        <v>162</v>
      </c>
      <c r="P16" s="36" t="str">
        <f t="shared" si="0"/>
        <v>WMTS_UAV空拍影像_臺北市士林陽明山夢幻湖(111年)</v>
      </c>
      <c r="Q16" s="29" t="s">
        <v>214</v>
      </c>
      <c r="R16" s="29" t="str">
        <f t="shared" si="1"/>
        <v xml:space="preserve">2dms_wmts_v1_UAV111A06 </v>
      </c>
      <c r="S16" s="39" t="s">
        <v>155</v>
      </c>
      <c r="U16" s="27" t="str">
        <f>_xlfn.XLOOKUP(表格1[[#This Row],[服務類別(英)]],參考2_服務標準對照!$B:$B,參考2_服務標準對照!$C:$C,"")&amp;""</f>
        <v>OGC</v>
      </c>
      <c r="V16" s="29" t="s">
        <v>7</v>
      </c>
      <c r="W16" s="29" t="s">
        <v>163</v>
      </c>
      <c r="X16" s="29" t="s">
        <v>81</v>
      </c>
      <c r="Y16" s="36" t="s">
        <v>83</v>
      </c>
      <c r="Z16" s="36" t="s">
        <v>157</v>
      </c>
      <c r="AA16" s="36" t="s">
        <v>173</v>
      </c>
      <c r="AB16" s="36"/>
      <c r="AC16" s="36"/>
      <c r="AD16" s="29" t="s">
        <v>119</v>
      </c>
      <c r="AE16" s="36" t="str">
        <f>_xlfn.XLOOKUP(表格1[[#This Row],[唯一識別碼]],API清冊0707!B:B,API清冊0707!T:T,"")&amp;""</f>
        <v>無下拉選單</v>
      </c>
    </row>
    <row r="17" spans="1:31" ht="204.75" customHeight="1" x14ac:dyDescent="0.4">
      <c r="A17" s="29" t="s">
        <v>215</v>
      </c>
      <c r="B17" s="29"/>
      <c r="C17" s="29"/>
      <c r="D17" s="29" t="s">
        <v>216</v>
      </c>
      <c r="E17" s="29" t="s">
        <v>217</v>
      </c>
      <c r="F17" s="29" t="s">
        <v>218</v>
      </c>
      <c r="G17" s="35"/>
      <c r="H17" s="35" t="s">
        <v>151</v>
      </c>
      <c r="I17" s="29" t="s">
        <v>215</v>
      </c>
      <c r="J17" s="37"/>
      <c r="K17" s="38"/>
      <c r="L17" s="38"/>
      <c r="M17" s="36" t="s">
        <v>60</v>
      </c>
      <c r="N17" s="15" t="s">
        <v>152</v>
      </c>
      <c r="O17" s="36" t="s">
        <v>162</v>
      </c>
      <c r="P17" s="36" t="str">
        <f t="shared" si="0"/>
        <v>WMTS_UAV空拍影像_臺北市士林陽明山馬槽(111年)</v>
      </c>
      <c r="Q17" s="29" t="s">
        <v>218</v>
      </c>
      <c r="R17" s="29" t="str">
        <f t="shared" si="1"/>
        <v>2dms_wmts_v1_UAV111A05</v>
      </c>
      <c r="S17" s="39" t="s">
        <v>155</v>
      </c>
      <c r="U17" s="27" t="str">
        <f>_xlfn.XLOOKUP(表格1[[#This Row],[服務類別(英)]],參考2_服務標準對照!$B:$B,參考2_服務標準對照!$C:$C,"")&amp;""</f>
        <v>OGC</v>
      </c>
      <c r="V17" s="29" t="s">
        <v>7</v>
      </c>
      <c r="W17" s="29" t="s">
        <v>163</v>
      </c>
      <c r="X17" s="29" t="s">
        <v>81</v>
      </c>
      <c r="Y17" s="36" t="s">
        <v>83</v>
      </c>
      <c r="Z17" s="36" t="s">
        <v>157</v>
      </c>
      <c r="AA17" s="36" t="s">
        <v>173</v>
      </c>
      <c r="AB17" s="36"/>
      <c r="AC17" s="36"/>
      <c r="AD17" s="29" t="s">
        <v>119</v>
      </c>
      <c r="AE17" s="36" t="str">
        <f>_xlfn.XLOOKUP(表格1[[#This Row],[唯一識別碼]],API清冊0707!B:B,API清冊0707!T:T,"")&amp;""</f>
        <v>無下拉選單</v>
      </c>
    </row>
    <row r="18" spans="1:31" ht="204.75" customHeight="1" x14ac:dyDescent="0.4">
      <c r="A18" s="29" t="s">
        <v>219</v>
      </c>
      <c r="B18" s="29"/>
      <c r="C18" s="29"/>
      <c r="D18" s="29" t="s">
        <v>220</v>
      </c>
      <c r="E18" s="29" t="s">
        <v>221</v>
      </c>
      <c r="F18" s="29" t="s">
        <v>222</v>
      </c>
      <c r="G18" s="35"/>
      <c r="H18" s="35" t="s">
        <v>151</v>
      </c>
      <c r="I18" s="29" t="s">
        <v>219</v>
      </c>
      <c r="J18" s="37"/>
      <c r="K18" s="38"/>
      <c r="L18" s="38"/>
      <c r="M18" s="36" t="s">
        <v>60</v>
      </c>
      <c r="N18" s="15" t="s">
        <v>152</v>
      </c>
      <c r="O18" s="36" t="s">
        <v>162</v>
      </c>
      <c r="P18" s="36" t="str">
        <f t="shared" si="0"/>
        <v>WMTS_UAV空拍影像_臺北市士林陽明山大油坑(111年)</v>
      </c>
      <c r="Q18" s="29" t="s">
        <v>222</v>
      </c>
      <c r="R18" s="29" t="str">
        <f t="shared" si="1"/>
        <v>2dms_wmts_v1_UAV111A04</v>
      </c>
      <c r="S18" s="39" t="s">
        <v>155</v>
      </c>
      <c r="U18" s="27" t="str">
        <f>_xlfn.XLOOKUP(表格1[[#This Row],[服務類別(英)]],參考2_服務標準對照!$B:$B,參考2_服務標準對照!$C:$C,"")&amp;""</f>
        <v>OGC</v>
      </c>
      <c r="V18" s="29" t="s">
        <v>7</v>
      </c>
      <c r="W18" s="29" t="s">
        <v>163</v>
      </c>
      <c r="X18" s="29" t="s">
        <v>81</v>
      </c>
      <c r="Y18" s="36" t="s">
        <v>83</v>
      </c>
      <c r="Z18" s="36" t="s">
        <v>157</v>
      </c>
      <c r="AA18" s="36" t="s">
        <v>173</v>
      </c>
      <c r="AB18" s="36"/>
      <c r="AC18" s="36"/>
      <c r="AD18" s="29" t="s">
        <v>119</v>
      </c>
      <c r="AE18" s="36" t="str">
        <f>_xlfn.XLOOKUP(表格1[[#This Row],[唯一識別碼]],API清冊0707!B:B,API清冊0707!T:T,"")&amp;""</f>
        <v>無下拉選單</v>
      </c>
    </row>
    <row r="19" spans="1:31" ht="189" customHeight="1" x14ac:dyDescent="0.4">
      <c r="A19" s="29" t="s">
        <v>223</v>
      </c>
      <c r="B19" s="29"/>
      <c r="C19" s="29"/>
      <c r="D19" s="29" t="s">
        <v>224</v>
      </c>
      <c r="E19" s="29" t="s">
        <v>225</v>
      </c>
      <c r="F19" s="29" t="s">
        <v>226</v>
      </c>
      <c r="G19" s="35"/>
      <c r="H19" s="35" t="s">
        <v>151</v>
      </c>
      <c r="I19" s="29" t="s">
        <v>223</v>
      </c>
      <c r="J19" s="37"/>
      <c r="K19" s="38"/>
      <c r="L19" s="38"/>
      <c r="M19" s="36" t="s">
        <v>60</v>
      </c>
      <c r="N19" s="15" t="s">
        <v>152</v>
      </c>
      <c r="O19" s="36" t="s">
        <v>162</v>
      </c>
      <c r="P19" s="36" t="str">
        <f t="shared" si="0"/>
        <v>WMTS_UAV空拍影像_臺北市萬華(111年)</v>
      </c>
      <c r="Q19" s="29" t="s">
        <v>226</v>
      </c>
      <c r="R19" s="29" t="str">
        <f t="shared" si="1"/>
        <v xml:space="preserve">2dms_wmts_v1_UAV111A03 </v>
      </c>
      <c r="S19" s="39" t="s">
        <v>155</v>
      </c>
      <c r="U19" s="27" t="str">
        <f>_xlfn.XLOOKUP(表格1[[#This Row],[服務類別(英)]],參考2_服務標準對照!$B:$B,參考2_服務標準對照!$C:$C,"")&amp;""</f>
        <v>OGC</v>
      </c>
      <c r="V19" s="29" t="s">
        <v>7</v>
      </c>
      <c r="W19" s="29" t="s">
        <v>163</v>
      </c>
      <c r="X19" s="29" t="s">
        <v>81</v>
      </c>
      <c r="Y19" s="36" t="s">
        <v>83</v>
      </c>
      <c r="Z19" s="36" t="s">
        <v>157</v>
      </c>
      <c r="AA19" s="36" t="s">
        <v>173</v>
      </c>
      <c r="AB19" s="36"/>
      <c r="AC19" s="36"/>
      <c r="AD19" s="29" t="s">
        <v>119</v>
      </c>
      <c r="AE19" s="36" t="str">
        <f>_xlfn.XLOOKUP(表格1[[#This Row],[唯一識別碼]],API清冊0707!B:B,API清冊0707!T:T,"")&amp;""</f>
        <v>無下拉選單</v>
      </c>
    </row>
    <row r="20" spans="1:31" ht="204.75" customHeight="1" x14ac:dyDescent="0.4">
      <c r="A20" s="29" t="s">
        <v>227</v>
      </c>
      <c r="B20" s="29"/>
      <c r="C20" s="29"/>
      <c r="D20" s="29" t="s">
        <v>228</v>
      </c>
      <c r="E20" s="29" t="s">
        <v>229</v>
      </c>
      <c r="F20" s="29" t="s">
        <v>230</v>
      </c>
      <c r="G20" s="35"/>
      <c r="H20" s="35" t="s">
        <v>151</v>
      </c>
      <c r="I20" s="29" t="s">
        <v>227</v>
      </c>
      <c r="J20" s="37"/>
      <c r="K20" s="38"/>
      <c r="L20" s="38"/>
      <c r="M20" s="36" t="s">
        <v>60</v>
      </c>
      <c r="N20" s="15" t="s">
        <v>152</v>
      </c>
      <c r="O20" s="36" t="s">
        <v>162</v>
      </c>
      <c r="P20" s="36" t="str">
        <f t="shared" si="0"/>
        <v>WMTS_UAV空拍影像_臺北市北投(111年)</v>
      </c>
      <c r="Q20" s="29" t="s">
        <v>230</v>
      </c>
      <c r="R20" s="29" t="str">
        <f t="shared" si="1"/>
        <v>2dms_wmts_v1_UAV111A02</v>
      </c>
      <c r="S20" s="39" t="s">
        <v>155</v>
      </c>
      <c r="U20" s="27" t="str">
        <f>_xlfn.XLOOKUP(表格1[[#This Row],[服務類別(英)]],參考2_服務標準對照!$B:$B,參考2_服務標準對照!$C:$C,"")&amp;""</f>
        <v>OGC</v>
      </c>
      <c r="V20" s="29" t="s">
        <v>7</v>
      </c>
      <c r="W20" s="29" t="s">
        <v>163</v>
      </c>
      <c r="X20" s="29" t="s">
        <v>81</v>
      </c>
      <c r="Y20" s="36" t="s">
        <v>83</v>
      </c>
      <c r="Z20" s="36" t="s">
        <v>157</v>
      </c>
      <c r="AA20" s="36" t="s">
        <v>173</v>
      </c>
      <c r="AB20" s="36"/>
      <c r="AC20" s="36"/>
      <c r="AD20" s="29" t="s">
        <v>119</v>
      </c>
      <c r="AE20" s="36" t="str">
        <f>_xlfn.XLOOKUP(表格1[[#This Row],[唯一識別碼]],API清冊0707!B:B,API清冊0707!T:T,"")&amp;""</f>
        <v>無下拉選單</v>
      </c>
    </row>
    <row r="21" spans="1:31" ht="204.75" customHeight="1" x14ac:dyDescent="0.4">
      <c r="A21" s="29" t="s">
        <v>231</v>
      </c>
      <c r="B21" s="29"/>
      <c r="C21" s="29"/>
      <c r="D21" s="29" t="s">
        <v>232</v>
      </c>
      <c r="E21" s="29" t="s">
        <v>233</v>
      </c>
      <c r="F21" s="29" t="s">
        <v>234</v>
      </c>
      <c r="G21" s="35"/>
      <c r="H21" s="35" t="s">
        <v>151</v>
      </c>
      <c r="I21" s="29" t="s">
        <v>231</v>
      </c>
      <c r="J21" s="37"/>
      <c r="K21" s="38"/>
      <c r="L21" s="38"/>
      <c r="M21" s="36" t="s">
        <v>60</v>
      </c>
      <c r="N21" s="15" t="s">
        <v>152</v>
      </c>
      <c r="O21" s="36" t="s">
        <v>162</v>
      </c>
      <c r="P21" s="36" t="str">
        <f t="shared" si="0"/>
        <v>WMTS_UAV空拍影像_嘉義縣鹿草(110年)</v>
      </c>
      <c r="Q21" s="29" t="s">
        <v>234</v>
      </c>
      <c r="R21" s="29" t="str">
        <f t="shared" si="1"/>
        <v>2dms_wmts_v1_UAV110Q02</v>
      </c>
      <c r="S21" s="39" t="s">
        <v>155</v>
      </c>
      <c r="U21" s="27" t="str">
        <f>_xlfn.XLOOKUP(表格1[[#This Row],[服務類別(英)]],參考2_服務標準對照!$B:$B,參考2_服務標準對照!$C:$C,"")&amp;""</f>
        <v>OGC</v>
      </c>
      <c r="V21" s="29" t="s">
        <v>7</v>
      </c>
      <c r="W21" s="29" t="s">
        <v>163</v>
      </c>
      <c r="X21" s="29" t="s">
        <v>81</v>
      </c>
      <c r="Y21" s="36" t="s">
        <v>83</v>
      </c>
      <c r="Z21" s="36" t="s">
        <v>157</v>
      </c>
      <c r="AA21" s="36" t="s">
        <v>173</v>
      </c>
      <c r="AB21" s="36"/>
      <c r="AC21" s="36"/>
      <c r="AD21" s="29" t="s">
        <v>119</v>
      </c>
      <c r="AE21" s="36" t="str">
        <f>_xlfn.XLOOKUP(表格1[[#This Row],[唯一識別碼]],API清冊0707!B:B,API清冊0707!T:T,"")&amp;""</f>
        <v>無下拉選單</v>
      </c>
    </row>
    <row r="22" spans="1:31" ht="204.75" customHeight="1" x14ac:dyDescent="0.4">
      <c r="A22" s="29" t="s">
        <v>235</v>
      </c>
      <c r="B22" s="29"/>
      <c r="C22" s="29"/>
      <c r="D22" s="29" t="s">
        <v>236</v>
      </c>
      <c r="E22" s="29" t="s">
        <v>237</v>
      </c>
      <c r="F22" s="29" t="s">
        <v>238</v>
      </c>
      <c r="G22" s="35"/>
      <c r="H22" s="35" t="s">
        <v>151</v>
      </c>
      <c r="I22" s="29" t="s">
        <v>235</v>
      </c>
      <c r="J22" s="37"/>
      <c r="K22" s="38"/>
      <c r="L22" s="38"/>
      <c r="M22" s="36" t="s">
        <v>60</v>
      </c>
      <c r="N22" s="15" t="s">
        <v>152</v>
      </c>
      <c r="O22" s="36" t="s">
        <v>162</v>
      </c>
      <c r="P22" s="36" t="str">
        <f t="shared" si="0"/>
        <v>WMTS_UAV空拍影像_嘉義縣朴子(110年)</v>
      </c>
      <c r="Q22" s="29" t="s">
        <v>238</v>
      </c>
      <c r="R22" s="29" t="str">
        <f t="shared" si="1"/>
        <v>2dms_wmts_v1_UAV110Q01</v>
      </c>
      <c r="S22" s="39" t="s">
        <v>155</v>
      </c>
      <c r="U22" s="27" t="str">
        <f>_xlfn.XLOOKUP(表格1[[#This Row],[服務類別(英)]],參考2_服務標準對照!$B:$B,參考2_服務標準對照!$C:$C,"")&amp;""</f>
        <v>OGC</v>
      </c>
      <c r="V22" s="29" t="s">
        <v>7</v>
      </c>
      <c r="W22" s="29" t="s">
        <v>163</v>
      </c>
      <c r="X22" s="29" t="s">
        <v>81</v>
      </c>
      <c r="Y22" s="36" t="s">
        <v>83</v>
      </c>
      <c r="Z22" s="36" t="s">
        <v>157</v>
      </c>
      <c r="AA22" s="36" t="s">
        <v>173</v>
      </c>
      <c r="AB22" s="36"/>
      <c r="AC22" s="36"/>
      <c r="AD22" s="29" t="s">
        <v>119</v>
      </c>
      <c r="AE22" s="36" t="str">
        <f>_xlfn.XLOOKUP(表格1[[#This Row],[唯一識別碼]],API清冊0707!B:B,API清冊0707!T:T,"")&amp;""</f>
        <v>無下拉選單</v>
      </c>
    </row>
    <row r="23" spans="1:31" ht="189" customHeight="1" x14ac:dyDescent="0.4">
      <c r="A23" s="29" t="s">
        <v>239</v>
      </c>
      <c r="B23" s="29"/>
      <c r="C23" s="29"/>
      <c r="D23" s="29" t="s">
        <v>240</v>
      </c>
      <c r="E23" s="29" t="s">
        <v>241</v>
      </c>
      <c r="F23" s="29" t="s">
        <v>242</v>
      </c>
      <c r="G23" s="35"/>
      <c r="H23" s="35" t="s">
        <v>151</v>
      </c>
      <c r="I23" s="29" t="s">
        <v>239</v>
      </c>
      <c r="J23" s="37"/>
      <c r="K23" s="38"/>
      <c r="L23" s="38"/>
      <c r="M23" s="36" t="s">
        <v>60</v>
      </c>
      <c r="N23" s="15" t="s">
        <v>152</v>
      </c>
      <c r="O23" s="36" t="s">
        <v>162</v>
      </c>
      <c r="P23" s="36" t="str">
        <f t="shared" si="0"/>
        <v>WMTS_UAV空拍影像_彰化縣芳苑(110年)</v>
      </c>
      <c r="Q23" s="29" t="s">
        <v>242</v>
      </c>
      <c r="R23" s="29" t="str">
        <f t="shared" si="1"/>
        <v xml:space="preserve">2dms_wmts_v1_UAV110N01 </v>
      </c>
      <c r="S23" s="39" t="s">
        <v>155</v>
      </c>
      <c r="U23" s="27" t="str">
        <f>_xlfn.XLOOKUP(表格1[[#This Row],[服務類別(英)]],參考2_服務標準對照!$B:$B,參考2_服務標準對照!$C:$C,"")&amp;""</f>
        <v>OGC</v>
      </c>
      <c r="V23" s="29" t="s">
        <v>7</v>
      </c>
      <c r="W23" s="29" t="s">
        <v>163</v>
      </c>
      <c r="X23" s="29" t="s">
        <v>81</v>
      </c>
      <c r="Y23" s="36" t="s">
        <v>83</v>
      </c>
      <c r="Z23" s="36" t="s">
        <v>157</v>
      </c>
      <c r="AA23" s="36" t="s">
        <v>173</v>
      </c>
      <c r="AB23" s="36"/>
      <c r="AC23" s="36"/>
      <c r="AD23" s="29" t="s">
        <v>119</v>
      </c>
      <c r="AE23" s="36" t="str">
        <f>_xlfn.XLOOKUP(表格1[[#This Row],[唯一識別碼]],API清冊0707!B:B,API清冊0707!T:T,"")&amp;""</f>
        <v>無下拉選單</v>
      </c>
    </row>
    <row r="24" spans="1:31" ht="204.75" customHeight="1" x14ac:dyDescent="0.4">
      <c r="A24" s="29" t="s">
        <v>243</v>
      </c>
      <c r="B24" s="29"/>
      <c r="C24" s="29"/>
      <c r="D24" s="29" t="s">
        <v>244</v>
      </c>
      <c r="E24" s="29" t="s">
        <v>245</v>
      </c>
      <c r="F24" s="29" t="s">
        <v>246</v>
      </c>
      <c r="G24" s="35"/>
      <c r="H24" s="35" t="s">
        <v>151</v>
      </c>
      <c r="I24" s="29" t="s">
        <v>243</v>
      </c>
      <c r="J24" s="37"/>
      <c r="K24" s="38"/>
      <c r="L24" s="38"/>
      <c r="M24" s="36" t="s">
        <v>60</v>
      </c>
      <c r="N24" s="15" t="s">
        <v>152</v>
      </c>
      <c r="O24" s="36" t="s">
        <v>162</v>
      </c>
      <c r="P24" s="36" t="str">
        <f t="shared" si="0"/>
        <v>WMTS_UAV空拍影像_高雄市大社(110年)</v>
      </c>
      <c r="Q24" s="29" t="s">
        <v>246</v>
      </c>
      <c r="R24" s="29" t="str">
        <f t="shared" si="1"/>
        <v>2dms_wmts_v1_UAV110E02</v>
      </c>
      <c r="S24" s="39" t="s">
        <v>155</v>
      </c>
      <c r="U24" s="27" t="str">
        <f>_xlfn.XLOOKUP(表格1[[#This Row],[服務類別(英)]],參考2_服務標準對照!$B:$B,參考2_服務標準對照!$C:$C,"")&amp;""</f>
        <v>OGC</v>
      </c>
      <c r="V24" s="29" t="s">
        <v>7</v>
      </c>
      <c r="W24" s="29" t="s">
        <v>163</v>
      </c>
      <c r="X24" s="29" t="s">
        <v>81</v>
      </c>
      <c r="Y24" s="36" t="s">
        <v>83</v>
      </c>
      <c r="Z24" s="36" t="s">
        <v>157</v>
      </c>
      <c r="AA24" s="36" t="s">
        <v>173</v>
      </c>
      <c r="AB24" s="36"/>
      <c r="AC24" s="36"/>
      <c r="AD24" s="29" t="s">
        <v>119</v>
      </c>
      <c r="AE24" s="36" t="str">
        <f>_xlfn.XLOOKUP(表格1[[#This Row],[唯一識別碼]],API清冊0707!B:B,API清冊0707!T:T,"")&amp;""</f>
        <v>無下拉選單</v>
      </c>
    </row>
    <row r="25" spans="1:31" ht="189" customHeight="1" x14ac:dyDescent="0.4">
      <c r="A25" s="29" t="s">
        <v>247</v>
      </c>
      <c r="B25" s="29"/>
      <c r="C25" s="29"/>
      <c r="D25" s="29" t="s">
        <v>248</v>
      </c>
      <c r="E25" s="29" t="s">
        <v>249</v>
      </c>
      <c r="F25" s="29" t="s">
        <v>250</v>
      </c>
      <c r="G25" s="35"/>
      <c r="H25" s="35" t="s">
        <v>151</v>
      </c>
      <c r="I25" s="29" t="s">
        <v>247</v>
      </c>
      <c r="J25" s="37"/>
      <c r="K25" s="38"/>
      <c r="L25" s="38"/>
      <c r="M25" s="36" t="s">
        <v>60</v>
      </c>
      <c r="N25" s="15" t="s">
        <v>152</v>
      </c>
      <c r="O25" s="36" t="s">
        <v>162</v>
      </c>
      <c r="P25" s="36" t="str">
        <f t="shared" si="0"/>
        <v>WMTS_UAV空拍影像_臺南市歸仁_2(110年)</v>
      </c>
      <c r="Q25" s="29" t="s">
        <v>250</v>
      </c>
      <c r="R25" s="29" t="str">
        <f t="shared" si="1"/>
        <v xml:space="preserve">2dms_wmts_v1_UAV110D08 </v>
      </c>
      <c r="S25" s="39" t="s">
        <v>155</v>
      </c>
      <c r="U25" s="27" t="str">
        <f>_xlfn.XLOOKUP(表格1[[#This Row],[服務類別(英)]],參考2_服務標準對照!$B:$B,參考2_服務標準對照!$C:$C,"")&amp;""</f>
        <v>OGC</v>
      </c>
      <c r="V25" s="29" t="s">
        <v>7</v>
      </c>
      <c r="W25" s="29" t="s">
        <v>163</v>
      </c>
      <c r="X25" s="29" t="s">
        <v>81</v>
      </c>
      <c r="Y25" s="36" t="s">
        <v>83</v>
      </c>
      <c r="Z25" s="36" t="s">
        <v>157</v>
      </c>
      <c r="AA25" s="36" t="s">
        <v>173</v>
      </c>
      <c r="AB25" s="36"/>
      <c r="AC25" s="36"/>
      <c r="AD25" s="29" t="s">
        <v>119</v>
      </c>
      <c r="AE25" s="36" t="str">
        <f>_xlfn.XLOOKUP(表格1[[#This Row],[唯一識別碼]],API清冊0707!B:B,API清冊0707!T:T,"")&amp;""</f>
        <v>無下拉選單</v>
      </c>
    </row>
    <row r="26" spans="1:31" ht="189" customHeight="1" x14ac:dyDescent="0.4">
      <c r="A26" s="29" t="s">
        <v>251</v>
      </c>
      <c r="B26" s="29"/>
      <c r="C26" s="29"/>
      <c r="D26" s="29" t="s">
        <v>252</v>
      </c>
      <c r="E26" s="29" t="s">
        <v>253</v>
      </c>
      <c r="F26" s="29" t="s">
        <v>250</v>
      </c>
      <c r="G26" s="35"/>
      <c r="H26" s="35" t="s">
        <v>151</v>
      </c>
      <c r="I26" s="29" t="s">
        <v>251</v>
      </c>
      <c r="J26" s="37"/>
      <c r="K26" s="38"/>
      <c r="L26" s="38"/>
      <c r="M26" s="36" t="s">
        <v>60</v>
      </c>
      <c r="N26" s="15" t="s">
        <v>152</v>
      </c>
      <c r="O26" s="36" t="s">
        <v>162</v>
      </c>
      <c r="P26" s="36" t="str">
        <f t="shared" si="0"/>
        <v>WMTS_UAV空拍影像_臺南市歸仁_2(110年)</v>
      </c>
      <c r="Q26" s="29" t="s">
        <v>250</v>
      </c>
      <c r="R26" s="29" t="str">
        <f t="shared" si="1"/>
        <v xml:space="preserve">2dms_wmts_v1_UAV110D07 </v>
      </c>
      <c r="S26" s="39" t="s">
        <v>155</v>
      </c>
      <c r="U26" s="27" t="str">
        <f>_xlfn.XLOOKUP(表格1[[#This Row],[服務類別(英)]],參考2_服務標準對照!$B:$B,參考2_服務標準對照!$C:$C,"")&amp;""</f>
        <v>OGC</v>
      </c>
      <c r="V26" s="29" t="s">
        <v>7</v>
      </c>
      <c r="W26" s="29" t="s">
        <v>163</v>
      </c>
      <c r="X26" s="29" t="s">
        <v>81</v>
      </c>
      <c r="Y26" s="36" t="s">
        <v>83</v>
      </c>
      <c r="Z26" s="36" t="s">
        <v>157</v>
      </c>
      <c r="AA26" s="36" t="s">
        <v>173</v>
      </c>
      <c r="AB26" s="36"/>
      <c r="AC26" s="36"/>
      <c r="AD26" s="29" t="s">
        <v>119</v>
      </c>
      <c r="AE26" s="36" t="str">
        <f>_xlfn.XLOOKUP(表格1[[#This Row],[唯一識別碼]],API清冊0707!B:B,API清冊0707!T:T,"")&amp;""</f>
        <v>無下拉選單</v>
      </c>
    </row>
    <row r="27" spans="1:31" ht="204.75" customHeight="1" x14ac:dyDescent="0.4">
      <c r="A27" s="29" t="s">
        <v>254</v>
      </c>
      <c r="B27" s="29"/>
      <c r="C27" s="29"/>
      <c r="D27" s="29" t="s">
        <v>255</v>
      </c>
      <c r="E27" s="29" t="s">
        <v>256</v>
      </c>
      <c r="F27" s="29" t="s">
        <v>257</v>
      </c>
      <c r="G27" s="35"/>
      <c r="H27" s="35" t="s">
        <v>151</v>
      </c>
      <c r="I27" s="29" t="s">
        <v>254</v>
      </c>
      <c r="J27" s="37"/>
      <c r="K27" s="38"/>
      <c r="L27" s="38"/>
      <c r="M27" s="36" t="s">
        <v>60</v>
      </c>
      <c r="N27" s="15" t="s">
        <v>152</v>
      </c>
      <c r="O27" s="36" t="s">
        <v>162</v>
      </c>
      <c r="P27" s="36" t="str">
        <f t="shared" si="0"/>
        <v>WMTS_UAV空拍影像_臺南市永康_2(110年)</v>
      </c>
      <c r="Q27" s="29" t="s">
        <v>257</v>
      </c>
      <c r="R27" s="29" t="str">
        <f t="shared" si="1"/>
        <v>2dms_wmts_v1_UAV110D06</v>
      </c>
      <c r="S27" s="39" t="s">
        <v>155</v>
      </c>
      <c r="U27" s="27" t="str">
        <f>_xlfn.XLOOKUP(表格1[[#This Row],[服務類別(英)]],參考2_服務標準對照!$B:$B,參考2_服務標準對照!$C:$C,"")&amp;""</f>
        <v>OGC</v>
      </c>
      <c r="V27" s="29" t="s">
        <v>7</v>
      </c>
      <c r="W27" s="29" t="s">
        <v>163</v>
      </c>
      <c r="X27" s="29" t="s">
        <v>81</v>
      </c>
      <c r="Y27" s="36" t="s">
        <v>83</v>
      </c>
      <c r="Z27" s="36" t="s">
        <v>157</v>
      </c>
      <c r="AA27" s="36" t="s">
        <v>173</v>
      </c>
      <c r="AB27" s="36"/>
      <c r="AC27" s="36"/>
      <c r="AD27" s="29" t="s">
        <v>119</v>
      </c>
      <c r="AE27" s="36" t="str">
        <f>_xlfn.XLOOKUP(表格1[[#This Row],[唯一識別碼]],API清冊0707!B:B,API清冊0707!T:T,"")&amp;""</f>
        <v>無下拉選單</v>
      </c>
    </row>
    <row r="28" spans="1:31" ht="189" customHeight="1" x14ac:dyDescent="0.4">
      <c r="A28" s="29" t="s">
        <v>258</v>
      </c>
      <c r="B28" s="29"/>
      <c r="C28" s="29"/>
      <c r="D28" s="29" t="s">
        <v>259</v>
      </c>
      <c r="E28" s="29" t="s">
        <v>260</v>
      </c>
      <c r="F28" s="29" t="s">
        <v>261</v>
      </c>
      <c r="G28" s="35"/>
      <c r="H28" s="35" t="s">
        <v>151</v>
      </c>
      <c r="I28" s="29" t="s">
        <v>258</v>
      </c>
      <c r="J28" s="37"/>
      <c r="K28" s="38"/>
      <c r="L28" s="38"/>
      <c r="M28" s="36" t="s">
        <v>60</v>
      </c>
      <c r="N28" s="15" t="s">
        <v>152</v>
      </c>
      <c r="O28" s="36" t="s">
        <v>162</v>
      </c>
      <c r="P28" s="36" t="str">
        <f t="shared" si="0"/>
        <v>WMTS_UAV空拍影像_臺南市西港(110年)</v>
      </c>
      <c r="Q28" s="29" t="s">
        <v>261</v>
      </c>
      <c r="R28" s="29" t="str">
        <f t="shared" si="1"/>
        <v xml:space="preserve">2dms_wmts_v1_UAV110D05 </v>
      </c>
      <c r="S28" s="39" t="s">
        <v>155</v>
      </c>
      <c r="U28" s="27" t="str">
        <f>_xlfn.XLOOKUP(表格1[[#This Row],[服務類別(英)]],參考2_服務標準對照!$B:$B,參考2_服務標準對照!$C:$C,"")&amp;""</f>
        <v>OGC</v>
      </c>
      <c r="V28" s="29" t="s">
        <v>7</v>
      </c>
      <c r="W28" s="29" t="s">
        <v>163</v>
      </c>
      <c r="X28" s="29" t="s">
        <v>81</v>
      </c>
      <c r="Y28" s="36" t="s">
        <v>83</v>
      </c>
      <c r="Z28" s="36" t="s">
        <v>157</v>
      </c>
      <c r="AA28" s="36" t="s">
        <v>173</v>
      </c>
      <c r="AB28" s="36"/>
      <c r="AC28" s="36"/>
      <c r="AD28" s="29" t="s">
        <v>119</v>
      </c>
      <c r="AE28" s="36" t="str">
        <f>_xlfn.XLOOKUP(表格1[[#This Row],[唯一識別碼]],API清冊0707!B:B,API清冊0707!T:T,"")&amp;""</f>
        <v>無下拉選單</v>
      </c>
    </row>
    <row r="29" spans="1:31" ht="204.75" customHeight="1" x14ac:dyDescent="0.4">
      <c r="A29" s="29" t="s">
        <v>262</v>
      </c>
      <c r="B29" s="29"/>
      <c r="C29" s="29"/>
      <c r="D29" s="29" t="s">
        <v>263</v>
      </c>
      <c r="E29" s="29" t="s">
        <v>264</v>
      </c>
      <c r="F29" s="29" t="s">
        <v>265</v>
      </c>
      <c r="G29" s="35"/>
      <c r="H29" s="35" t="s">
        <v>151</v>
      </c>
      <c r="I29" s="29" t="s">
        <v>262</v>
      </c>
      <c r="J29" s="37"/>
      <c r="K29" s="38"/>
      <c r="L29" s="38"/>
      <c r="M29" s="36" t="s">
        <v>60</v>
      </c>
      <c r="N29" s="15" t="s">
        <v>152</v>
      </c>
      <c r="O29" s="36" t="s">
        <v>162</v>
      </c>
      <c r="P29" s="36" t="str">
        <f t="shared" si="0"/>
        <v>WMTS_UAV空拍影像_臺南市新營(110年)</v>
      </c>
      <c r="Q29" s="29" t="s">
        <v>265</v>
      </c>
      <c r="R29" s="29" t="str">
        <f t="shared" si="1"/>
        <v>2dms_wmts_v1_UAV110D04</v>
      </c>
      <c r="S29" s="39" t="s">
        <v>155</v>
      </c>
      <c r="U29" s="27" t="str">
        <f>_xlfn.XLOOKUP(表格1[[#This Row],[服務類別(英)]],參考2_服務標準對照!$B:$B,參考2_服務標準對照!$C:$C,"")&amp;""</f>
        <v>OGC</v>
      </c>
      <c r="V29" s="29" t="s">
        <v>7</v>
      </c>
      <c r="W29" s="29" t="s">
        <v>163</v>
      </c>
      <c r="X29" s="29" t="s">
        <v>81</v>
      </c>
      <c r="Y29" s="36" t="s">
        <v>83</v>
      </c>
      <c r="Z29" s="36" t="s">
        <v>157</v>
      </c>
      <c r="AA29" s="36" t="s">
        <v>173</v>
      </c>
      <c r="AB29" s="36"/>
      <c r="AC29" s="36"/>
      <c r="AD29" s="29" t="s">
        <v>119</v>
      </c>
      <c r="AE29" s="36" t="str">
        <f>_xlfn.XLOOKUP(表格1[[#This Row],[唯一識別碼]],API清冊0707!B:B,API清冊0707!T:T,"")&amp;""</f>
        <v>無下拉選單</v>
      </c>
    </row>
    <row r="30" spans="1:31" ht="204.75" customHeight="1" x14ac:dyDescent="0.4">
      <c r="A30" s="29" t="s">
        <v>266</v>
      </c>
      <c r="B30" s="29"/>
      <c r="C30" s="29"/>
      <c r="D30" s="29" t="s">
        <v>267</v>
      </c>
      <c r="E30" s="29" t="s">
        <v>268</v>
      </c>
      <c r="F30" s="29" t="s">
        <v>269</v>
      </c>
      <c r="G30" s="35"/>
      <c r="H30" s="35" t="s">
        <v>151</v>
      </c>
      <c r="I30" s="29" t="s">
        <v>266</v>
      </c>
      <c r="J30" s="37"/>
      <c r="K30" s="38"/>
      <c r="L30" s="38"/>
      <c r="M30" s="36" t="s">
        <v>60</v>
      </c>
      <c r="N30" s="15" t="s">
        <v>152</v>
      </c>
      <c r="O30" s="36" t="s">
        <v>162</v>
      </c>
      <c r="P30" s="36" t="str">
        <f t="shared" si="0"/>
        <v>WMTS_UAV空拍影像_臺南市安南(110年)</v>
      </c>
      <c r="Q30" s="29" t="s">
        <v>269</v>
      </c>
      <c r="R30" s="29" t="str">
        <f t="shared" si="1"/>
        <v>2dms_wmts_v1_UAV110D03</v>
      </c>
      <c r="S30" s="39" t="s">
        <v>155</v>
      </c>
      <c r="U30" s="27" t="str">
        <f>_xlfn.XLOOKUP(表格1[[#This Row],[服務類別(英)]],參考2_服務標準對照!$B:$B,參考2_服務標準對照!$C:$C,"")&amp;""</f>
        <v>OGC</v>
      </c>
      <c r="V30" s="29" t="s">
        <v>7</v>
      </c>
      <c r="W30" s="29" t="s">
        <v>163</v>
      </c>
      <c r="X30" s="29" t="s">
        <v>81</v>
      </c>
      <c r="Y30" s="36" t="s">
        <v>83</v>
      </c>
      <c r="Z30" s="36" t="s">
        <v>157</v>
      </c>
      <c r="AA30" s="36" t="s">
        <v>173</v>
      </c>
      <c r="AB30" s="36"/>
      <c r="AC30" s="36"/>
      <c r="AD30" s="29" t="s">
        <v>119</v>
      </c>
      <c r="AE30" s="36" t="str">
        <f>_xlfn.XLOOKUP(表格1[[#This Row],[唯一識別碼]],API清冊0707!B:B,API清冊0707!T:T,"")&amp;""</f>
        <v>無下拉選單</v>
      </c>
    </row>
    <row r="31" spans="1:31" ht="204.75" customHeight="1" x14ac:dyDescent="0.4">
      <c r="A31" s="29" t="s">
        <v>270</v>
      </c>
      <c r="B31" s="29"/>
      <c r="C31" s="29"/>
      <c r="D31" s="29" t="s">
        <v>271</v>
      </c>
      <c r="E31" s="29" t="s">
        <v>272</v>
      </c>
      <c r="F31" s="29" t="s">
        <v>273</v>
      </c>
      <c r="G31" s="35"/>
      <c r="H31" s="35" t="s">
        <v>151</v>
      </c>
      <c r="I31" s="29" t="s">
        <v>270</v>
      </c>
      <c r="J31" s="37"/>
      <c r="K31" s="38"/>
      <c r="L31" s="38"/>
      <c r="M31" s="36" t="s">
        <v>60</v>
      </c>
      <c r="N31" s="15" t="s">
        <v>152</v>
      </c>
      <c r="O31" s="36" t="s">
        <v>162</v>
      </c>
      <c r="P31" s="36" t="str">
        <f t="shared" si="0"/>
        <v>WMTS_UAV空拍影像_臺南市南化(110年)</v>
      </c>
      <c r="Q31" s="29" t="s">
        <v>273</v>
      </c>
      <c r="R31" s="29" t="str">
        <f t="shared" si="1"/>
        <v>2dms_wmts_v1_UAV110D02</v>
      </c>
      <c r="S31" s="39" t="s">
        <v>155</v>
      </c>
      <c r="U31" s="27" t="str">
        <f>_xlfn.XLOOKUP(表格1[[#This Row],[服務類別(英)]],參考2_服務標準對照!$B:$B,參考2_服務標準對照!$C:$C,"")&amp;""</f>
        <v>OGC</v>
      </c>
      <c r="V31" s="29" t="s">
        <v>7</v>
      </c>
      <c r="W31" s="29" t="s">
        <v>163</v>
      </c>
      <c r="X31" s="29" t="s">
        <v>81</v>
      </c>
      <c r="Y31" s="36" t="s">
        <v>83</v>
      </c>
      <c r="Z31" s="36" t="s">
        <v>157</v>
      </c>
      <c r="AA31" s="36" t="s">
        <v>173</v>
      </c>
      <c r="AB31" s="36"/>
      <c r="AC31" s="36"/>
      <c r="AD31" s="29" t="s">
        <v>119</v>
      </c>
      <c r="AE31" s="36" t="str">
        <f>_xlfn.XLOOKUP(表格1[[#This Row],[唯一識別碼]],API清冊0707!B:B,API清冊0707!T:T,"")&amp;""</f>
        <v>無下拉選單</v>
      </c>
    </row>
    <row r="32" spans="1:31" ht="204.75" customHeight="1" x14ac:dyDescent="0.4">
      <c r="A32" s="29" t="s">
        <v>274</v>
      </c>
      <c r="B32" s="29"/>
      <c r="C32" s="29"/>
      <c r="D32" s="29" t="s">
        <v>275</v>
      </c>
      <c r="E32" s="29" t="s">
        <v>276</v>
      </c>
      <c r="F32" s="29" t="s">
        <v>277</v>
      </c>
      <c r="G32" s="35"/>
      <c r="H32" s="35" t="s">
        <v>151</v>
      </c>
      <c r="I32" s="29" t="s">
        <v>274</v>
      </c>
      <c r="J32" s="37"/>
      <c r="K32" s="38"/>
      <c r="L32" s="38"/>
      <c r="M32" s="36" t="s">
        <v>60</v>
      </c>
      <c r="N32" s="15" t="s">
        <v>152</v>
      </c>
      <c r="O32" s="36" t="s">
        <v>162</v>
      </c>
      <c r="P32" s="36" t="str">
        <f t="shared" si="0"/>
        <v>WMTS_UAV空拍影像_臺南市永康_1(110年)</v>
      </c>
      <c r="Q32" s="29" t="s">
        <v>277</v>
      </c>
      <c r="R32" s="29" t="str">
        <f t="shared" si="1"/>
        <v>2dms_wmts_v1_UAV110D01</v>
      </c>
      <c r="S32" s="39" t="s">
        <v>155</v>
      </c>
      <c r="U32" s="27" t="str">
        <f>_xlfn.XLOOKUP(表格1[[#This Row],[服務類別(英)]],參考2_服務標準對照!$B:$B,參考2_服務標準對照!$C:$C,"")&amp;""</f>
        <v>OGC</v>
      </c>
      <c r="V32" s="29" t="s">
        <v>7</v>
      </c>
      <c r="W32" s="29" t="s">
        <v>163</v>
      </c>
      <c r="X32" s="29" t="s">
        <v>81</v>
      </c>
      <c r="Y32" s="36" t="s">
        <v>83</v>
      </c>
      <c r="Z32" s="36" t="s">
        <v>157</v>
      </c>
      <c r="AA32" s="36" t="s">
        <v>173</v>
      </c>
      <c r="AB32" s="36"/>
      <c r="AC32" s="36"/>
      <c r="AD32" s="29" t="s">
        <v>119</v>
      </c>
      <c r="AE32" s="36" t="str">
        <f>_xlfn.XLOOKUP(表格1[[#This Row],[唯一識別碼]],API清冊0707!B:B,API清冊0707!T:T,"")&amp;""</f>
        <v>無下拉選單</v>
      </c>
    </row>
    <row r="33" spans="1:31" ht="204.75" customHeight="1" x14ac:dyDescent="0.4">
      <c r="A33" s="29" t="s">
        <v>278</v>
      </c>
      <c r="B33" s="29"/>
      <c r="C33" s="29"/>
      <c r="D33" s="29" t="s">
        <v>279</v>
      </c>
      <c r="E33" s="29" t="s">
        <v>280</v>
      </c>
      <c r="F33" s="29" t="s">
        <v>281</v>
      </c>
      <c r="G33" s="35"/>
      <c r="H33" s="35" t="s">
        <v>151</v>
      </c>
      <c r="I33" s="29" t="s">
        <v>278</v>
      </c>
      <c r="J33" s="37"/>
      <c r="K33" s="38"/>
      <c r="L33" s="38"/>
      <c r="M33" s="36" t="s">
        <v>60</v>
      </c>
      <c r="N33" s="15" t="s">
        <v>152</v>
      </c>
      <c r="O33" s="36" t="s">
        <v>162</v>
      </c>
      <c r="P33" s="36" t="str">
        <f t="shared" si="0"/>
        <v>WMTS_UAV空拍影像_臺中市霧峰(110年)</v>
      </c>
      <c r="Q33" s="29" t="s">
        <v>281</v>
      </c>
      <c r="R33" s="29" t="str">
        <f t="shared" si="1"/>
        <v>2dms_wmts_v1_UAV110B03</v>
      </c>
      <c r="S33" s="39" t="s">
        <v>155</v>
      </c>
      <c r="U33" s="27" t="str">
        <f>_xlfn.XLOOKUP(表格1[[#This Row],[服務類別(英)]],參考2_服務標準對照!$B:$B,參考2_服務標準對照!$C:$C,"")&amp;""</f>
        <v>OGC</v>
      </c>
      <c r="V33" s="29" t="s">
        <v>7</v>
      </c>
      <c r="W33" s="29" t="s">
        <v>163</v>
      </c>
      <c r="X33" s="29" t="s">
        <v>81</v>
      </c>
      <c r="Y33" s="36" t="s">
        <v>83</v>
      </c>
      <c r="Z33" s="36" t="s">
        <v>157</v>
      </c>
      <c r="AA33" s="36" t="s">
        <v>173</v>
      </c>
      <c r="AB33" s="36"/>
      <c r="AC33" s="36"/>
      <c r="AD33" s="29" t="s">
        <v>119</v>
      </c>
      <c r="AE33" s="36" t="str">
        <f>_xlfn.XLOOKUP(表格1[[#This Row],[唯一識別碼]],API清冊0707!B:B,API清冊0707!T:T,"")&amp;""</f>
        <v>無下拉選單</v>
      </c>
    </row>
    <row r="34" spans="1:31" ht="204.75" customHeight="1" x14ac:dyDescent="0.4">
      <c r="A34" s="29" t="s">
        <v>282</v>
      </c>
      <c r="B34" s="29"/>
      <c r="C34" s="29"/>
      <c r="D34" s="29" t="s">
        <v>283</v>
      </c>
      <c r="E34" s="29" t="s">
        <v>284</v>
      </c>
      <c r="F34" s="29" t="s">
        <v>285</v>
      </c>
      <c r="G34" s="35"/>
      <c r="H34" s="35" t="s">
        <v>151</v>
      </c>
      <c r="I34" s="29" t="s">
        <v>282</v>
      </c>
      <c r="J34" s="37"/>
      <c r="K34" s="38"/>
      <c r="L34" s="38"/>
      <c r="M34" s="36" t="s">
        <v>60</v>
      </c>
      <c r="N34" s="15" t="s">
        <v>152</v>
      </c>
      <c r="O34" s="36" t="s">
        <v>162</v>
      </c>
      <c r="P34" s="36" t="str">
        <f t="shared" si="0"/>
        <v>WMTS_UAV空拍影像_臺中市烏日(110年)</v>
      </c>
      <c r="Q34" s="29" t="s">
        <v>285</v>
      </c>
      <c r="R34" s="29" t="str">
        <f t="shared" si="1"/>
        <v>2dms_wmts_v1_UAV110B02</v>
      </c>
      <c r="S34" s="39" t="s">
        <v>155</v>
      </c>
      <c r="U34" s="27" t="str">
        <f>_xlfn.XLOOKUP(表格1[[#This Row],[服務類別(英)]],參考2_服務標準對照!$B:$B,參考2_服務標準對照!$C:$C,"")&amp;""</f>
        <v>OGC</v>
      </c>
      <c r="V34" s="29" t="s">
        <v>7</v>
      </c>
      <c r="W34" s="29" t="s">
        <v>163</v>
      </c>
      <c r="X34" s="29" t="s">
        <v>81</v>
      </c>
      <c r="Y34" s="36" t="s">
        <v>83</v>
      </c>
      <c r="Z34" s="36" t="s">
        <v>157</v>
      </c>
      <c r="AA34" s="36" t="s">
        <v>173</v>
      </c>
      <c r="AB34" s="36"/>
      <c r="AC34" s="36"/>
      <c r="AD34" s="29" t="s">
        <v>119</v>
      </c>
      <c r="AE34" s="36" t="str">
        <f>_xlfn.XLOOKUP(表格1[[#This Row],[唯一識別碼]],API清冊0707!B:B,API清冊0707!T:T,"")&amp;""</f>
        <v>無下拉選單</v>
      </c>
    </row>
    <row r="35" spans="1:31" ht="204.75" customHeight="1" x14ac:dyDescent="0.4">
      <c r="A35" s="29" t="s">
        <v>286</v>
      </c>
      <c r="B35" s="29"/>
      <c r="C35" s="29"/>
      <c r="D35" s="29" t="s">
        <v>287</v>
      </c>
      <c r="E35" s="29" t="s">
        <v>288</v>
      </c>
      <c r="F35" s="29" t="s">
        <v>289</v>
      </c>
      <c r="G35" s="35"/>
      <c r="H35" s="35" t="s">
        <v>151</v>
      </c>
      <c r="I35" s="29" t="s">
        <v>286</v>
      </c>
      <c r="J35" s="37"/>
      <c r="K35" s="38"/>
      <c r="L35" s="38"/>
      <c r="M35" s="36" t="s">
        <v>60</v>
      </c>
      <c r="N35" s="15" t="s">
        <v>152</v>
      </c>
      <c r="O35" s="36" t="s">
        <v>162</v>
      </c>
      <c r="P35" s="36" t="str">
        <f t="shared" si="0"/>
        <v>WMTS_UAV空拍影像_臺中市豐原(110年)</v>
      </c>
      <c r="Q35" s="29" t="s">
        <v>289</v>
      </c>
      <c r="R35" s="29" t="str">
        <f t="shared" si="1"/>
        <v>2dms_wmts_v1_UAV110B01</v>
      </c>
      <c r="S35" s="39" t="s">
        <v>155</v>
      </c>
      <c r="U35" s="27" t="str">
        <f>_xlfn.XLOOKUP(表格1[[#This Row],[服務類別(英)]],參考2_服務標準對照!$B:$B,參考2_服務標準對照!$C:$C,"")&amp;""</f>
        <v>OGC</v>
      </c>
      <c r="V35" s="29" t="s">
        <v>7</v>
      </c>
      <c r="W35" s="29" t="s">
        <v>163</v>
      </c>
      <c r="X35" s="29" t="s">
        <v>81</v>
      </c>
      <c r="Y35" s="36" t="s">
        <v>83</v>
      </c>
      <c r="Z35" s="36" t="s">
        <v>157</v>
      </c>
      <c r="AA35" s="36" t="s">
        <v>173</v>
      </c>
      <c r="AB35" s="36"/>
      <c r="AC35" s="36"/>
      <c r="AD35" s="29" t="s">
        <v>119</v>
      </c>
      <c r="AE35" s="36" t="str">
        <f>_xlfn.XLOOKUP(表格1[[#This Row],[唯一識別碼]],API清冊0707!B:B,API清冊0707!T:T,"")&amp;""</f>
        <v>無下拉選單</v>
      </c>
    </row>
    <row r="36" spans="1:31" ht="204.75" customHeight="1" x14ac:dyDescent="0.4">
      <c r="A36" s="29" t="s">
        <v>290</v>
      </c>
      <c r="B36" s="29"/>
      <c r="C36" s="29"/>
      <c r="D36" s="29" t="s">
        <v>291</v>
      </c>
      <c r="E36" s="29" t="s">
        <v>292</v>
      </c>
      <c r="F36" s="29" t="s">
        <v>293</v>
      </c>
      <c r="G36" s="35"/>
      <c r="H36" s="35" t="s">
        <v>151</v>
      </c>
      <c r="I36" s="29" t="s">
        <v>290</v>
      </c>
      <c r="J36" s="37"/>
      <c r="K36" s="38"/>
      <c r="L36" s="38"/>
      <c r="M36" s="36" t="s">
        <v>60</v>
      </c>
      <c r="N36" s="15" t="s">
        <v>152</v>
      </c>
      <c r="O36" s="36" t="s">
        <v>162</v>
      </c>
      <c r="P36" s="36" t="str">
        <f t="shared" si="0"/>
        <v>WMTS_UAV空拍影像_臺北市士林(110年)</v>
      </c>
      <c r="Q36" s="29" t="s">
        <v>293</v>
      </c>
      <c r="R36" s="29" t="str">
        <f t="shared" si="1"/>
        <v>2dms_wmts_v1_UAV110A01</v>
      </c>
      <c r="S36" s="39" t="s">
        <v>155</v>
      </c>
      <c r="U36" s="27" t="str">
        <f>_xlfn.XLOOKUP(表格1[[#This Row],[服務類別(英)]],參考2_服務標準對照!$B:$B,參考2_服務標準對照!$C:$C,"")&amp;""</f>
        <v>OGC</v>
      </c>
      <c r="V36" s="29" t="s">
        <v>7</v>
      </c>
      <c r="W36" s="29" t="s">
        <v>163</v>
      </c>
      <c r="X36" s="29" t="s">
        <v>81</v>
      </c>
      <c r="Y36" s="36" t="s">
        <v>83</v>
      </c>
      <c r="Z36" s="36" t="s">
        <v>157</v>
      </c>
      <c r="AA36" s="36" t="s">
        <v>173</v>
      </c>
      <c r="AB36" s="36"/>
      <c r="AC36" s="36"/>
      <c r="AD36" s="29" t="s">
        <v>119</v>
      </c>
      <c r="AE36" s="36" t="str">
        <f>_xlfn.XLOOKUP(表格1[[#This Row],[唯一識別碼]],API清冊0707!B:B,API清冊0707!T:T,"")&amp;""</f>
        <v>無下拉選單</v>
      </c>
    </row>
    <row r="37" spans="1:31" ht="204.75" customHeight="1" x14ac:dyDescent="0.4">
      <c r="A37" s="29" t="s">
        <v>294</v>
      </c>
      <c r="B37" s="29"/>
      <c r="C37" s="29"/>
      <c r="D37" s="29" t="s">
        <v>295</v>
      </c>
      <c r="E37" s="29" t="s">
        <v>296</v>
      </c>
      <c r="F37" s="29" t="s">
        <v>297</v>
      </c>
      <c r="G37" s="35"/>
      <c r="H37" s="35" t="s">
        <v>151</v>
      </c>
      <c r="I37" s="29" t="s">
        <v>294</v>
      </c>
      <c r="J37" s="37"/>
      <c r="K37" s="38"/>
      <c r="L37" s="38"/>
      <c r="M37" s="36" t="s">
        <v>60</v>
      </c>
      <c r="N37" s="15" t="s">
        <v>152</v>
      </c>
      <c r="O37" s="36" t="s">
        <v>162</v>
      </c>
      <c r="P37" s="36" t="str">
        <f t="shared" si="0"/>
        <v>WMTS_UAV空拍影像_花蓮縣光復(109年)</v>
      </c>
      <c r="Q37" s="29" t="s">
        <v>297</v>
      </c>
      <c r="R37" s="29" t="str">
        <f t="shared" si="1"/>
        <v>2dms_wmts_v1_UAV109U03</v>
      </c>
      <c r="S37" s="39" t="s">
        <v>155</v>
      </c>
      <c r="U37" s="27" t="str">
        <f>_xlfn.XLOOKUP(表格1[[#This Row],[服務類別(英)]],參考2_服務標準對照!$B:$B,參考2_服務標準對照!$C:$C,"")&amp;""</f>
        <v>OGC</v>
      </c>
      <c r="V37" s="29" t="s">
        <v>7</v>
      </c>
      <c r="W37" s="29" t="s">
        <v>163</v>
      </c>
      <c r="X37" s="29" t="s">
        <v>81</v>
      </c>
      <c r="Y37" s="36" t="s">
        <v>83</v>
      </c>
      <c r="Z37" s="36" t="s">
        <v>157</v>
      </c>
      <c r="AA37" s="36" t="s">
        <v>173</v>
      </c>
      <c r="AB37" s="36"/>
      <c r="AC37" s="36"/>
      <c r="AD37" s="29" t="s">
        <v>119</v>
      </c>
      <c r="AE37" s="36" t="str">
        <f>_xlfn.XLOOKUP(表格1[[#This Row],[唯一識別碼]],API清冊0707!B:B,API清冊0707!T:T,"")&amp;""</f>
        <v>無下拉選單</v>
      </c>
    </row>
    <row r="38" spans="1:31" ht="204.75" customHeight="1" x14ac:dyDescent="0.4">
      <c r="A38" s="29" t="s">
        <v>298</v>
      </c>
      <c r="B38" s="29"/>
      <c r="C38" s="29"/>
      <c r="D38" s="29" t="s">
        <v>299</v>
      </c>
      <c r="E38" s="29" t="s">
        <v>300</v>
      </c>
      <c r="F38" s="29" t="s">
        <v>301</v>
      </c>
      <c r="G38" s="35"/>
      <c r="H38" s="35" t="s">
        <v>151</v>
      </c>
      <c r="I38" s="29" t="s">
        <v>298</v>
      </c>
      <c r="J38" s="37"/>
      <c r="K38" s="38"/>
      <c r="L38" s="38"/>
      <c r="M38" s="36" t="s">
        <v>60</v>
      </c>
      <c r="N38" s="15" t="s">
        <v>152</v>
      </c>
      <c r="O38" s="36" t="s">
        <v>162</v>
      </c>
      <c r="P38" s="36" t="str">
        <f t="shared" si="0"/>
        <v>WMTS_UAV空拍影像_花蓮縣卓溪_2(109年)</v>
      </c>
      <c r="Q38" s="29" t="s">
        <v>301</v>
      </c>
      <c r="R38" s="29" t="str">
        <f t="shared" si="1"/>
        <v>2dms_wmts_v1_UAV109U02</v>
      </c>
      <c r="S38" s="39" t="s">
        <v>155</v>
      </c>
      <c r="U38" s="27" t="str">
        <f>_xlfn.XLOOKUP(表格1[[#This Row],[服務類別(英)]],參考2_服務標準對照!$B:$B,參考2_服務標準對照!$C:$C,"")&amp;""</f>
        <v>OGC</v>
      </c>
      <c r="V38" s="29" t="s">
        <v>7</v>
      </c>
      <c r="W38" s="29" t="s">
        <v>163</v>
      </c>
      <c r="X38" s="29" t="s">
        <v>81</v>
      </c>
      <c r="Y38" s="36" t="s">
        <v>83</v>
      </c>
      <c r="Z38" s="36" t="s">
        <v>157</v>
      </c>
      <c r="AA38" s="36" t="s">
        <v>173</v>
      </c>
      <c r="AB38" s="36"/>
      <c r="AC38" s="36"/>
      <c r="AD38" s="29" t="s">
        <v>119</v>
      </c>
      <c r="AE38" s="36" t="str">
        <f>_xlfn.XLOOKUP(表格1[[#This Row],[唯一識別碼]],API清冊0707!B:B,API清冊0707!T:T,"")&amp;""</f>
        <v>無下拉選單</v>
      </c>
    </row>
    <row r="39" spans="1:31" ht="204.75" customHeight="1" x14ac:dyDescent="0.4">
      <c r="A39" s="29" t="s">
        <v>302</v>
      </c>
      <c r="B39" s="29"/>
      <c r="C39" s="29"/>
      <c r="D39" s="29" t="s">
        <v>303</v>
      </c>
      <c r="E39" s="29" t="s">
        <v>304</v>
      </c>
      <c r="F39" s="29" t="s">
        <v>305</v>
      </c>
      <c r="G39" s="35"/>
      <c r="H39" s="35" t="s">
        <v>151</v>
      </c>
      <c r="I39" s="29" t="s">
        <v>302</v>
      </c>
      <c r="J39" s="37"/>
      <c r="K39" s="38"/>
      <c r="L39" s="38"/>
      <c r="M39" s="36" t="s">
        <v>60</v>
      </c>
      <c r="N39" s="15" t="s">
        <v>152</v>
      </c>
      <c r="O39" s="36" t="s">
        <v>162</v>
      </c>
      <c r="P39" s="36" t="str">
        <f t="shared" si="0"/>
        <v>WMTS_UAV空拍影像_花蓮縣卓溪_1(109年)</v>
      </c>
      <c r="Q39" s="29" t="s">
        <v>305</v>
      </c>
      <c r="R39" s="29" t="str">
        <f t="shared" si="1"/>
        <v>2dms_wmts_v1_UAV109U01</v>
      </c>
      <c r="S39" s="39" t="s">
        <v>155</v>
      </c>
      <c r="U39" s="27" t="str">
        <f>_xlfn.XLOOKUP(表格1[[#This Row],[服務類別(英)]],參考2_服務標準對照!$B:$B,參考2_服務標準對照!$C:$C,"")&amp;""</f>
        <v>OGC</v>
      </c>
      <c r="V39" s="29" t="s">
        <v>7</v>
      </c>
      <c r="W39" s="29" t="s">
        <v>163</v>
      </c>
      <c r="X39" s="29" t="s">
        <v>81</v>
      </c>
      <c r="Y39" s="36" t="s">
        <v>83</v>
      </c>
      <c r="Z39" s="36" t="s">
        <v>157</v>
      </c>
      <c r="AA39" s="36" t="s">
        <v>173</v>
      </c>
      <c r="AB39" s="36"/>
      <c r="AC39" s="36"/>
      <c r="AD39" s="29" t="s">
        <v>119</v>
      </c>
      <c r="AE39" s="36" t="str">
        <f>_xlfn.XLOOKUP(表格1[[#This Row],[唯一識別碼]],API清冊0707!B:B,API清冊0707!T:T,"")&amp;""</f>
        <v>無下拉選單</v>
      </c>
    </row>
    <row r="40" spans="1:31" ht="204.75" customHeight="1" x14ac:dyDescent="0.4">
      <c r="A40" s="29" t="s">
        <v>306</v>
      </c>
      <c r="B40" s="29"/>
      <c r="C40" s="29"/>
      <c r="D40" s="29" t="s">
        <v>307</v>
      </c>
      <c r="E40" s="29" t="s">
        <v>308</v>
      </c>
      <c r="F40" s="29" t="s">
        <v>309</v>
      </c>
      <c r="G40" s="35"/>
      <c r="H40" s="35" t="s">
        <v>151</v>
      </c>
      <c r="I40" s="29" t="s">
        <v>306</v>
      </c>
      <c r="J40" s="37"/>
      <c r="K40" s="38"/>
      <c r="L40" s="38"/>
      <c r="M40" s="36" t="s">
        <v>60</v>
      </c>
      <c r="N40" s="15" t="s">
        <v>152</v>
      </c>
      <c r="O40" s="36" t="s">
        <v>162</v>
      </c>
      <c r="P40" s="36" t="str">
        <f t="shared" si="0"/>
        <v>WMTS_UAV空拍影像_屏東縣高樹(109年)</v>
      </c>
      <c r="Q40" s="29" t="s">
        <v>309</v>
      </c>
      <c r="R40" s="29" t="str">
        <f t="shared" si="1"/>
        <v>2dms_wmts_v1_UAV109T03</v>
      </c>
      <c r="S40" s="39" t="s">
        <v>155</v>
      </c>
      <c r="U40" s="27" t="str">
        <f>_xlfn.XLOOKUP(表格1[[#This Row],[服務類別(英)]],參考2_服務標準對照!$B:$B,參考2_服務標準對照!$C:$C,"")&amp;""</f>
        <v>OGC</v>
      </c>
      <c r="V40" s="29" t="s">
        <v>7</v>
      </c>
      <c r="W40" s="29" t="s">
        <v>163</v>
      </c>
      <c r="X40" s="29" t="s">
        <v>81</v>
      </c>
      <c r="Y40" s="36" t="s">
        <v>83</v>
      </c>
      <c r="Z40" s="36" t="s">
        <v>157</v>
      </c>
      <c r="AA40" s="36" t="s">
        <v>173</v>
      </c>
      <c r="AB40" s="36"/>
      <c r="AC40" s="36"/>
      <c r="AD40" s="29" t="s">
        <v>119</v>
      </c>
      <c r="AE40" s="36" t="str">
        <f>_xlfn.XLOOKUP(表格1[[#This Row],[唯一識別碼]],API清冊0707!B:B,API清冊0707!T:T,"")&amp;""</f>
        <v>無下拉選單</v>
      </c>
    </row>
    <row r="41" spans="1:31" ht="204.75" customHeight="1" x14ac:dyDescent="0.4">
      <c r="A41" s="29" t="s">
        <v>310</v>
      </c>
      <c r="B41" s="29"/>
      <c r="C41" s="29"/>
      <c r="D41" s="29" t="s">
        <v>311</v>
      </c>
      <c r="E41" s="29" t="s">
        <v>312</v>
      </c>
      <c r="F41" s="29" t="s">
        <v>313</v>
      </c>
      <c r="G41" s="35"/>
      <c r="H41" s="35" t="s">
        <v>151</v>
      </c>
      <c r="I41" s="29" t="s">
        <v>310</v>
      </c>
      <c r="J41" s="37"/>
      <c r="K41" s="38"/>
      <c r="L41" s="38"/>
      <c r="M41" s="36" t="s">
        <v>60</v>
      </c>
      <c r="N41" s="15" t="s">
        <v>152</v>
      </c>
      <c r="O41" s="36" t="s">
        <v>162</v>
      </c>
      <c r="P41" s="36" t="str">
        <f t="shared" si="0"/>
        <v>WMTS_UAV空拍影像_屏東縣屏東(109年)</v>
      </c>
      <c r="Q41" s="29" t="s">
        <v>313</v>
      </c>
      <c r="R41" s="29" t="str">
        <f t="shared" si="1"/>
        <v>2dms_wmts_v1_UAV109T02</v>
      </c>
      <c r="S41" s="39" t="s">
        <v>155</v>
      </c>
      <c r="U41" s="27" t="str">
        <f>_xlfn.XLOOKUP(表格1[[#This Row],[服務類別(英)]],參考2_服務標準對照!$B:$B,參考2_服務標準對照!$C:$C,"")&amp;""</f>
        <v>OGC</v>
      </c>
      <c r="V41" s="29" t="s">
        <v>7</v>
      </c>
      <c r="W41" s="29" t="s">
        <v>163</v>
      </c>
      <c r="X41" s="29" t="s">
        <v>81</v>
      </c>
      <c r="Y41" s="36" t="s">
        <v>83</v>
      </c>
      <c r="Z41" s="36" t="s">
        <v>157</v>
      </c>
      <c r="AA41" s="36" t="s">
        <v>173</v>
      </c>
      <c r="AB41" s="36"/>
      <c r="AC41" s="36"/>
      <c r="AD41" s="29" t="s">
        <v>119</v>
      </c>
      <c r="AE41" s="36" t="str">
        <f>_xlfn.XLOOKUP(表格1[[#This Row],[唯一識別碼]],API清冊0707!B:B,API清冊0707!T:T,"")&amp;""</f>
        <v>無下拉選單</v>
      </c>
    </row>
    <row r="42" spans="1:31" ht="204.75" customHeight="1" x14ac:dyDescent="0.4">
      <c r="A42" s="29" t="s">
        <v>314</v>
      </c>
      <c r="B42" s="29"/>
      <c r="C42" s="29"/>
      <c r="D42" s="29" t="s">
        <v>315</v>
      </c>
      <c r="E42" s="29" t="s">
        <v>316</v>
      </c>
      <c r="F42" s="29" t="s">
        <v>317</v>
      </c>
      <c r="G42" s="35"/>
      <c r="H42" s="35" t="s">
        <v>151</v>
      </c>
      <c r="I42" s="29" t="s">
        <v>314</v>
      </c>
      <c r="J42" s="37"/>
      <c r="K42" s="38"/>
      <c r="L42" s="38"/>
      <c r="M42" s="36" t="s">
        <v>60</v>
      </c>
      <c r="N42" s="15" t="s">
        <v>152</v>
      </c>
      <c r="O42" s="36" t="s">
        <v>162</v>
      </c>
      <c r="P42" s="36" t="str">
        <f t="shared" si="0"/>
        <v>WMTS_UAV空拍影像_屏東東港(109年)</v>
      </c>
      <c r="Q42" s="29" t="s">
        <v>317</v>
      </c>
      <c r="R42" s="29" t="str">
        <f t="shared" si="1"/>
        <v>2dms_wmts_v1_UAV109T01</v>
      </c>
      <c r="S42" s="39" t="s">
        <v>155</v>
      </c>
      <c r="U42" s="27" t="str">
        <f>_xlfn.XLOOKUP(表格1[[#This Row],[服務類別(英)]],參考2_服務標準對照!$B:$B,參考2_服務標準對照!$C:$C,"")&amp;""</f>
        <v>OGC</v>
      </c>
      <c r="V42" s="29" t="s">
        <v>7</v>
      </c>
      <c r="W42" s="29" t="s">
        <v>163</v>
      </c>
      <c r="X42" s="29" t="s">
        <v>81</v>
      </c>
      <c r="Y42" s="36" t="s">
        <v>83</v>
      </c>
      <c r="Z42" s="36" t="s">
        <v>157</v>
      </c>
      <c r="AA42" s="36" t="s">
        <v>173</v>
      </c>
      <c r="AB42" s="36"/>
      <c r="AC42" s="36"/>
      <c r="AD42" s="29" t="s">
        <v>119</v>
      </c>
      <c r="AE42" s="36" t="str">
        <f>_xlfn.XLOOKUP(表格1[[#This Row],[唯一識別碼]],API清冊0707!B:B,API清冊0707!T:T,"")&amp;""</f>
        <v>無下拉選單</v>
      </c>
    </row>
    <row r="43" spans="1:31" ht="204.75" customHeight="1" x14ac:dyDescent="0.4">
      <c r="A43" s="29" t="s">
        <v>318</v>
      </c>
      <c r="B43" s="29"/>
      <c r="C43" s="29"/>
      <c r="D43" s="29" t="s">
        <v>319</v>
      </c>
      <c r="E43" s="29" t="s">
        <v>320</v>
      </c>
      <c r="F43" s="29" t="s">
        <v>321</v>
      </c>
      <c r="G43" s="35"/>
      <c r="H43" s="35" t="s">
        <v>151</v>
      </c>
      <c r="I43" s="29" t="s">
        <v>318</v>
      </c>
      <c r="J43" s="37"/>
      <c r="K43" s="38"/>
      <c r="L43" s="38"/>
      <c r="M43" s="36" t="s">
        <v>60</v>
      </c>
      <c r="N43" s="15" t="s">
        <v>152</v>
      </c>
      <c r="O43" s="36" t="s">
        <v>162</v>
      </c>
      <c r="P43" s="36" t="str">
        <f t="shared" si="0"/>
        <v>WMTS_UAV空拍影像_嘉義縣義竹(109年)</v>
      </c>
      <c r="Q43" s="29" t="s">
        <v>321</v>
      </c>
      <c r="R43" s="29" t="str">
        <f t="shared" si="1"/>
        <v>2dms_wmts_v1_UAV109Q01</v>
      </c>
      <c r="S43" s="39" t="s">
        <v>155</v>
      </c>
      <c r="U43" s="27" t="str">
        <f>_xlfn.XLOOKUP(表格1[[#This Row],[服務類別(英)]],參考2_服務標準對照!$B:$B,參考2_服務標準對照!$C:$C,"")&amp;""</f>
        <v>OGC</v>
      </c>
      <c r="V43" s="29" t="s">
        <v>7</v>
      </c>
      <c r="W43" s="29" t="s">
        <v>163</v>
      </c>
      <c r="X43" s="29" t="s">
        <v>81</v>
      </c>
      <c r="Y43" s="36" t="s">
        <v>83</v>
      </c>
      <c r="Z43" s="36" t="s">
        <v>157</v>
      </c>
      <c r="AA43" s="36" t="s">
        <v>173</v>
      </c>
      <c r="AB43" s="36"/>
      <c r="AC43" s="36"/>
      <c r="AD43" s="29" t="s">
        <v>119</v>
      </c>
      <c r="AE43" s="36" t="str">
        <f>_xlfn.XLOOKUP(表格1[[#This Row],[唯一識別碼]],API清冊0707!B:B,API清冊0707!T:T,"")&amp;""</f>
        <v>無下拉選單</v>
      </c>
    </row>
    <row r="44" spans="1:31" ht="204.75" customHeight="1" x14ac:dyDescent="0.4">
      <c r="A44" s="29" t="s">
        <v>322</v>
      </c>
      <c r="B44" s="29"/>
      <c r="C44" s="29"/>
      <c r="D44" s="29" t="s">
        <v>323</v>
      </c>
      <c r="E44" s="29" t="s">
        <v>324</v>
      </c>
      <c r="F44" s="29" t="s">
        <v>325</v>
      </c>
      <c r="G44" s="35"/>
      <c r="H44" s="35" t="s">
        <v>151</v>
      </c>
      <c r="I44" s="29" t="s">
        <v>322</v>
      </c>
      <c r="J44" s="37"/>
      <c r="K44" s="38"/>
      <c r="L44" s="38"/>
      <c r="M44" s="36" t="s">
        <v>60</v>
      </c>
      <c r="N44" s="15" t="s">
        <v>152</v>
      </c>
      <c r="O44" s="36" t="s">
        <v>162</v>
      </c>
      <c r="P44" s="36" t="str">
        <f t="shared" si="0"/>
        <v>WMTS_UAV空拍影像_雲林古坑(109年)</v>
      </c>
      <c r="Q44" s="29" t="s">
        <v>325</v>
      </c>
      <c r="R44" s="29" t="str">
        <f t="shared" si="1"/>
        <v>2dms_wmts_v1_UAV109P01</v>
      </c>
      <c r="S44" s="39" t="s">
        <v>155</v>
      </c>
      <c r="U44" s="27" t="str">
        <f>_xlfn.XLOOKUP(表格1[[#This Row],[服務類別(英)]],參考2_服務標準對照!$B:$B,參考2_服務標準對照!$C:$C,"")&amp;""</f>
        <v>OGC</v>
      </c>
      <c r="V44" s="29" t="s">
        <v>7</v>
      </c>
      <c r="W44" s="29" t="s">
        <v>163</v>
      </c>
      <c r="X44" s="29" t="s">
        <v>81</v>
      </c>
      <c r="Y44" s="36" t="s">
        <v>83</v>
      </c>
      <c r="Z44" s="36" t="s">
        <v>157</v>
      </c>
      <c r="AA44" s="36" t="s">
        <v>173</v>
      </c>
      <c r="AB44" s="36"/>
      <c r="AC44" s="36"/>
      <c r="AD44" s="29" t="s">
        <v>119</v>
      </c>
      <c r="AE44" s="36" t="str">
        <f>_xlfn.XLOOKUP(表格1[[#This Row],[唯一識別碼]],API清冊0707!B:B,API清冊0707!T:T,"")&amp;""</f>
        <v>無下拉選單</v>
      </c>
    </row>
    <row r="45" spans="1:31" ht="204.75" customHeight="1" x14ac:dyDescent="0.4">
      <c r="A45" s="29" t="s">
        <v>326</v>
      </c>
      <c r="B45" s="29"/>
      <c r="C45" s="29"/>
      <c r="D45" s="29" t="s">
        <v>327</v>
      </c>
      <c r="E45" s="29" t="s">
        <v>328</v>
      </c>
      <c r="F45" s="29" t="s">
        <v>329</v>
      </c>
      <c r="G45" s="35"/>
      <c r="H45" s="35" t="s">
        <v>151</v>
      </c>
      <c r="I45" s="29" t="s">
        <v>326</v>
      </c>
      <c r="J45" s="37"/>
      <c r="K45" s="38"/>
      <c r="L45" s="38"/>
      <c r="M45" s="36" t="s">
        <v>60</v>
      </c>
      <c r="N45" s="15" t="s">
        <v>152</v>
      </c>
      <c r="O45" s="36" t="s">
        <v>162</v>
      </c>
      <c r="P45" s="36" t="str">
        <f t="shared" si="0"/>
        <v>WMTS_UAV空拍影像_苗栗縣苗栗(109年)</v>
      </c>
      <c r="Q45" s="29" t="s">
        <v>329</v>
      </c>
      <c r="R45" s="29" t="str">
        <f t="shared" si="1"/>
        <v>2dms_wmts_v1_UAV109K02</v>
      </c>
      <c r="S45" s="39" t="s">
        <v>155</v>
      </c>
      <c r="U45" s="27" t="str">
        <f>_xlfn.XLOOKUP(表格1[[#This Row],[服務類別(英)]],參考2_服務標準對照!$B:$B,參考2_服務標準對照!$C:$C,"")&amp;""</f>
        <v>OGC</v>
      </c>
      <c r="V45" s="29" t="s">
        <v>7</v>
      </c>
      <c r="W45" s="29" t="s">
        <v>163</v>
      </c>
      <c r="X45" s="29" t="s">
        <v>81</v>
      </c>
      <c r="Y45" s="36" t="s">
        <v>83</v>
      </c>
      <c r="Z45" s="36" t="s">
        <v>157</v>
      </c>
      <c r="AA45" s="36" t="s">
        <v>173</v>
      </c>
      <c r="AB45" s="36"/>
      <c r="AC45" s="36"/>
      <c r="AD45" s="29" t="s">
        <v>119</v>
      </c>
      <c r="AE45" s="36" t="str">
        <f>_xlfn.XLOOKUP(表格1[[#This Row],[唯一識別碼]],API清冊0707!B:B,API清冊0707!T:T,"")&amp;""</f>
        <v>無下拉選單</v>
      </c>
    </row>
    <row r="46" spans="1:31" ht="204.75" customHeight="1" x14ac:dyDescent="0.4">
      <c r="A46" s="29" t="s">
        <v>330</v>
      </c>
      <c r="B46" s="29"/>
      <c r="C46" s="29"/>
      <c r="D46" s="29" t="s">
        <v>331</v>
      </c>
      <c r="E46" s="29" t="s">
        <v>332</v>
      </c>
      <c r="F46" s="29" t="s">
        <v>333</v>
      </c>
      <c r="G46" s="35"/>
      <c r="H46" s="35" t="s">
        <v>151</v>
      </c>
      <c r="I46" s="29" t="s">
        <v>330</v>
      </c>
      <c r="J46" s="37"/>
      <c r="K46" s="38"/>
      <c r="L46" s="38"/>
      <c r="M46" s="36" t="s">
        <v>60</v>
      </c>
      <c r="N46" s="15" t="s">
        <v>152</v>
      </c>
      <c r="O46" s="36" t="s">
        <v>162</v>
      </c>
      <c r="P46" s="36" t="str">
        <f t="shared" si="0"/>
        <v>WMTS_UAV空拍影像_苗栗縣西湖(109年)</v>
      </c>
      <c r="Q46" s="29" t="s">
        <v>333</v>
      </c>
      <c r="R46" s="29" t="str">
        <f t="shared" si="1"/>
        <v>2dms_wmts_v1_UAV109K01</v>
      </c>
      <c r="S46" s="39" t="s">
        <v>155</v>
      </c>
      <c r="U46" s="27" t="str">
        <f>_xlfn.XLOOKUP(表格1[[#This Row],[服務類別(英)]],參考2_服務標準對照!$B:$B,參考2_服務標準對照!$C:$C,"")&amp;""</f>
        <v>OGC</v>
      </c>
      <c r="V46" s="29" t="s">
        <v>7</v>
      </c>
      <c r="W46" s="29" t="s">
        <v>163</v>
      </c>
      <c r="X46" s="29" t="s">
        <v>81</v>
      </c>
      <c r="Y46" s="36" t="s">
        <v>83</v>
      </c>
      <c r="Z46" s="36" t="s">
        <v>157</v>
      </c>
      <c r="AA46" s="36" t="s">
        <v>173</v>
      </c>
      <c r="AB46" s="36"/>
      <c r="AC46" s="36"/>
      <c r="AD46" s="29" t="s">
        <v>119</v>
      </c>
      <c r="AE46" s="36" t="str">
        <f>_xlfn.XLOOKUP(表格1[[#This Row],[唯一識別碼]],API清冊0707!B:B,API清冊0707!T:T,"")&amp;""</f>
        <v>無下拉選單</v>
      </c>
    </row>
    <row r="47" spans="1:31" ht="204.75" customHeight="1" x14ac:dyDescent="0.4">
      <c r="A47" s="29" t="s">
        <v>334</v>
      </c>
      <c r="B47" s="29"/>
      <c r="C47" s="29"/>
      <c r="D47" s="29" t="s">
        <v>335</v>
      </c>
      <c r="E47" s="29" t="s">
        <v>336</v>
      </c>
      <c r="F47" s="29" t="s">
        <v>337</v>
      </c>
      <c r="G47" s="35"/>
      <c r="H47" s="35" t="s">
        <v>151</v>
      </c>
      <c r="I47" s="29" t="s">
        <v>334</v>
      </c>
      <c r="J47" s="37"/>
      <c r="K47" s="38"/>
      <c r="L47" s="38"/>
      <c r="M47" s="36" t="s">
        <v>60</v>
      </c>
      <c r="N47" s="15" t="s">
        <v>152</v>
      </c>
      <c r="O47" s="36" t="s">
        <v>162</v>
      </c>
      <c r="P47" s="36" t="str">
        <f t="shared" si="0"/>
        <v>WMTS_UAV空拍影像_高雄市岡山(109年)</v>
      </c>
      <c r="Q47" s="29" t="s">
        <v>337</v>
      </c>
      <c r="R47" s="29" t="str">
        <f t="shared" si="1"/>
        <v>2dms_wmts_v1_UAV109E01</v>
      </c>
      <c r="S47" s="39" t="s">
        <v>155</v>
      </c>
      <c r="U47" s="27" t="str">
        <f>_xlfn.XLOOKUP(表格1[[#This Row],[服務類別(英)]],參考2_服務標準對照!$B:$B,參考2_服務標準對照!$C:$C,"")&amp;""</f>
        <v>OGC</v>
      </c>
      <c r="V47" s="29" t="s">
        <v>7</v>
      </c>
      <c r="W47" s="29" t="s">
        <v>163</v>
      </c>
      <c r="X47" s="29" t="s">
        <v>81</v>
      </c>
      <c r="Y47" s="36" t="s">
        <v>83</v>
      </c>
      <c r="Z47" s="36" t="s">
        <v>157</v>
      </c>
      <c r="AA47" s="36" t="s">
        <v>173</v>
      </c>
      <c r="AB47" s="36"/>
      <c r="AC47" s="36"/>
      <c r="AD47" s="29" t="s">
        <v>119</v>
      </c>
      <c r="AE47" s="36" t="str">
        <f>_xlfn.XLOOKUP(表格1[[#This Row],[唯一識別碼]],API清冊0707!B:B,API清冊0707!T:T,"")&amp;""</f>
        <v>無下拉選單</v>
      </c>
    </row>
    <row r="48" spans="1:31" ht="204.75" customHeight="1" x14ac:dyDescent="0.4">
      <c r="A48" s="29" t="s">
        <v>338</v>
      </c>
      <c r="B48" s="29"/>
      <c r="C48" s="29"/>
      <c r="D48" s="29" t="s">
        <v>339</v>
      </c>
      <c r="E48" s="29" t="s">
        <v>340</v>
      </c>
      <c r="F48" s="29" t="s">
        <v>341</v>
      </c>
      <c r="G48" s="35"/>
      <c r="H48" s="35" t="s">
        <v>151</v>
      </c>
      <c r="I48" s="29" t="s">
        <v>338</v>
      </c>
      <c r="J48" s="37"/>
      <c r="K48" s="38"/>
      <c r="L48" s="38"/>
      <c r="M48" s="36" t="s">
        <v>60</v>
      </c>
      <c r="N48" s="15" t="s">
        <v>152</v>
      </c>
      <c r="O48" s="36" t="s">
        <v>162</v>
      </c>
      <c r="P48" s="36" t="str">
        <f t="shared" si="0"/>
        <v>WMTS_UAV空拍影像_臺南市麻豆(109年)</v>
      </c>
      <c r="Q48" s="29" t="s">
        <v>341</v>
      </c>
      <c r="R48" s="29" t="str">
        <f t="shared" si="1"/>
        <v>2dms_wmts_v1_UAV109D01</v>
      </c>
      <c r="S48" s="39" t="s">
        <v>155</v>
      </c>
      <c r="U48" s="27" t="str">
        <f>_xlfn.XLOOKUP(表格1[[#This Row],[服務類別(英)]],參考2_服務標準對照!$B:$B,參考2_服務標準對照!$C:$C,"")&amp;""</f>
        <v>OGC</v>
      </c>
      <c r="V48" s="29" t="s">
        <v>7</v>
      </c>
      <c r="W48" s="29" t="s">
        <v>163</v>
      </c>
      <c r="X48" s="29" t="s">
        <v>81</v>
      </c>
      <c r="Y48" s="36" t="s">
        <v>83</v>
      </c>
      <c r="Z48" s="36" t="s">
        <v>157</v>
      </c>
      <c r="AA48" s="36" t="s">
        <v>173</v>
      </c>
      <c r="AB48" s="36"/>
      <c r="AC48" s="36"/>
      <c r="AD48" s="29" t="s">
        <v>119</v>
      </c>
      <c r="AE48" s="36" t="str">
        <f>_xlfn.XLOOKUP(表格1[[#This Row],[唯一識別碼]],API清冊0707!B:B,API清冊0707!T:T,"")&amp;""</f>
        <v>無下拉選單</v>
      </c>
    </row>
    <row r="49" spans="1:31" ht="204.75" customHeight="1" x14ac:dyDescent="0.4">
      <c r="A49" s="29" t="s">
        <v>342</v>
      </c>
      <c r="B49" s="29"/>
      <c r="C49" s="29"/>
      <c r="D49" s="29" t="s">
        <v>343</v>
      </c>
      <c r="E49" s="29" t="s">
        <v>344</v>
      </c>
      <c r="F49" s="29" t="s">
        <v>345</v>
      </c>
      <c r="G49" s="35"/>
      <c r="H49" s="35" t="s">
        <v>151</v>
      </c>
      <c r="I49" s="29" t="s">
        <v>342</v>
      </c>
      <c r="J49" s="37"/>
      <c r="K49" s="38"/>
      <c r="L49" s="38"/>
      <c r="M49" s="36" t="s">
        <v>60</v>
      </c>
      <c r="N49" s="15" t="s">
        <v>152</v>
      </c>
      <c r="O49" s="36" t="s">
        <v>162</v>
      </c>
      <c r="P49" s="36" t="str">
        <f t="shared" si="0"/>
        <v>WMTS_UAV空拍影像_臺中市梧棲(109年)</v>
      </c>
      <c r="Q49" s="29" t="s">
        <v>345</v>
      </c>
      <c r="R49" s="29" t="str">
        <f t="shared" si="1"/>
        <v>2dms_wmts_v1_UAV109B01</v>
      </c>
      <c r="S49" s="39" t="s">
        <v>155</v>
      </c>
      <c r="U49" s="27" t="str">
        <f>_xlfn.XLOOKUP(表格1[[#This Row],[服務類別(英)]],參考2_服務標準對照!$B:$B,參考2_服務標準對照!$C:$C,"")&amp;""</f>
        <v>OGC</v>
      </c>
      <c r="V49" s="29" t="s">
        <v>7</v>
      </c>
      <c r="W49" s="29" t="s">
        <v>163</v>
      </c>
      <c r="X49" s="29" t="s">
        <v>81</v>
      </c>
      <c r="Y49" s="36" t="s">
        <v>83</v>
      </c>
      <c r="Z49" s="36" t="s">
        <v>157</v>
      </c>
      <c r="AA49" s="36" t="s">
        <v>173</v>
      </c>
      <c r="AB49" s="36"/>
      <c r="AC49" s="36"/>
      <c r="AD49" s="29" t="s">
        <v>119</v>
      </c>
      <c r="AE49" s="36" t="str">
        <f>_xlfn.XLOOKUP(表格1[[#This Row],[唯一識別碼]],API清冊0707!B:B,API清冊0707!T:T,"")&amp;""</f>
        <v>無下拉選單</v>
      </c>
    </row>
    <row r="50" spans="1:31" ht="204.75" customHeight="1" x14ac:dyDescent="0.4">
      <c r="A50" s="29" t="s">
        <v>346</v>
      </c>
      <c r="B50" s="29"/>
      <c r="C50" s="29"/>
      <c r="D50" s="29" t="s">
        <v>347</v>
      </c>
      <c r="E50" s="29" t="s">
        <v>348</v>
      </c>
      <c r="F50" s="29" t="s">
        <v>349</v>
      </c>
      <c r="G50" s="35"/>
      <c r="H50" s="35" t="s">
        <v>151</v>
      </c>
      <c r="I50" s="29" t="s">
        <v>346</v>
      </c>
      <c r="J50" s="37"/>
      <c r="K50" s="38"/>
      <c r="L50" s="38"/>
      <c r="M50" s="36" t="s">
        <v>60</v>
      </c>
      <c r="N50" s="15" t="s">
        <v>152</v>
      </c>
      <c r="O50" s="36" t="s">
        <v>162</v>
      </c>
      <c r="P50" s="36" t="str">
        <f t="shared" si="0"/>
        <v>WMTS_UAV空拍影像_臺北市士林(109年)</v>
      </c>
      <c r="Q50" s="29" t="s">
        <v>349</v>
      </c>
      <c r="R50" s="29" t="str">
        <f t="shared" si="1"/>
        <v>2dms_wmts_v1_UAV109A01</v>
      </c>
      <c r="S50" s="39" t="s">
        <v>155</v>
      </c>
      <c r="U50" s="27" t="str">
        <f>_xlfn.XLOOKUP(表格1[[#This Row],[服務類別(英)]],參考2_服務標準對照!$B:$B,參考2_服務標準對照!$C:$C,"")&amp;""</f>
        <v>OGC</v>
      </c>
      <c r="V50" s="29" t="s">
        <v>7</v>
      </c>
      <c r="W50" s="29" t="s">
        <v>163</v>
      </c>
      <c r="X50" s="29" t="s">
        <v>81</v>
      </c>
      <c r="Y50" s="36" t="s">
        <v>83</v>
      </c>
      <c r="Z50" s="36" t="s">
        <v>157</v>
      </c>
      <c r="AA50" s="36" t="s">
        <v>173</v>
      </c>
      <c r="AB50" s="36"/>
      <c r="AC50" s="36"/>
      <c r="AD50" s="29" t="s">
        <v>119</v>
      </c>
      <c r="AE50" s="36" t="str">
        <f>_xlfn.XLOOKUP(表格1[[#This Row],[唯一識別碼]],API清冊0707!B:B,API清冊0707!T:T,"")&amp;""</f>
        <v>無下拉選單</v>
      </c>
    </row>
    <row r="51" spans="1:31" ht="204.75" customHeight="1" x14ac:dyDescent="0.4">
      <c r="A51" s="29" t="s">
        <v>350</v>
      </c>
      <c r="B51" s="29"/>
      <c r="C51" s="29"/>
      <c r="D51" s="29" t="s">
        <v>351</v>
      </c>
      <c r="E51" s="29" t="s">
        <v>352</v>
      </c>
      <c r="F51" s="29" t="s">
        <v>353</v>
      </c>
      <c r="G51" s="35"/>
      <c r="H51" s="35" t="s">
        <v>151</v>
      </c>
      <c r="I51" s="29" t="s">
        <v>350</v>
      </c>
      <c r="J51" s="37"/>
      <c r="K51" s="38"/>
      <c r="L51" s="38"/>
      <c r="M51" s="36" t="s">
        <v>60</v>
      </c>
      <c r="N51" s="15" t="s">
        <v>152</v>
      </c>
      <c r="O51" s="36" t="s">
        <v>162</v>
      </c>
      <c r="P51" s="36" t="str">
        <f t="shared" si="0"/>
        <v>WMTS_UAV空拍影像_嘉義縣布袋鎮_2(108年)</v>
      </c>
      <c r="Q51" s="29" t="s">
        <v>353</v>
      </c>
      <c r="R51" s="29" t="str">
        <f t="shared" si="1"/>
        <v>2dms_wmts_v1_UAV108Q02</v>
      </c>
      <c r="S51" s="39" t="s">
        <v>155</v>
      </c>
      <c r="U51" s="27" t="str">
        <f>_xlfn.XLOOKUP(表格1[[#This Row],[服務類別(英)]],參考2_服務標準對照!$B:$B,參考2_服務標準對照!$C:$C,"")&amp;""</f>
        <v>OGC</v>
      </c>
      <c r="V51" s="29" t="s">
        <v>7</v>
      </c>
      <c r="W51" s="29" t="s">
        <v>163</v>
      </c>
      <c r="X51" s="29" t="s">
        <v>81</v>
      </c>
      <c r="Y51" s="36" t="s">
        <v>83</v>
      </c>
      <c r="Z51" s="36" t="s">
        <v>157</v>
      </c>
      <c r="AA51" s="36" t="s">
        <v>173</v>
      </c>
      <c r="AB51" s="36"/>
      <c r="AC51" s="36"/>
      <c r="AD51" s="29" t="s">
        <v>119</v>
      </c>
      <c r="AE51" s="36" t="str">
        <f>_xlfn.XLOOKUP(表格1[[#This Row],[唯一識別碼]],API清冊0707!B:B,API清冊0707!T:T,"")&amp;""</f>
        <v>無下拉選單</v>
      </c>
    </row>
    <row r="52" spans="1:31" ht="204.75" customHeight="1" x14ac:dyDescent="0.4">
      <c r="A52" s="29" t="s">
        <v>354</v>
      </c>
      <c r="B52" s="29"/>
      <c r="C52" s="29"/>
      <c r="D52" s="29" t="s">
        <v>355</v>
      </c>
      <c r="E52" s="29" t="s">
        <v>356</v>
      </c>
      <c r="F52" s="29" t="s">
        <v>357</v>
      </c>
      <c r="G52" s="35"/>
      <c r="H52" s="35" t="s">
        <v>151</v>
      </c>
      <c r="I52" s="29" t="s">
        <v>354</v>
      </c>
      <c r="J52" s="37"/>
      <c r="K52" s="38"/>
      <c r="L52" s="38"/>
      <c r="M52" s="36" t="s">
        <v>60</v>
      </c>
      <c r="N52" s="15" t="s">
        <v>152</v>
      </c>
      <c r="O52" s="36" t="s">
        <v>162</v>
      </c>
      <c r="P52" s="36" t="str">
        <f t="shared" si="0"/>
        <v>WMTS_UAV空拍影像_嘉義縣布袋鎮_1(108年)</v>
      </c>
      <c r="Q52" s="29" t="s">
        <v>357</v>
      </c>
      <c r="R52" s="29" t="str">
        <f t="shared" si="1"/>
        <v>2dms_wmts_v1_UAV108Q01</v>
      </c>
      <c r="S52" s="39" t="s">
        <v>155</v>
      </c>
      <c r="U52" s="27" t="str">
        <f>_xlfn.XLOOKUP(表格1[[#This Row],[服務類別(英)]],參考2_服務標準對照!$B:$B,參考2_服務標準對照!$C:$C,"")&amp;""</f>
        <v>OGC</v>
      </c>
      <c r="V52" s="29" t="s">
        <v>7</v>
      </c>
      <c r="W52" s="29" t="s">
        <v>163</v>
      </c>
      <c r="X52" s="29" t="s">
        <v>81</v>
      </c>
      <c r="Y52" s="36" t="s">
        <v>83</v>
      </c>
      <c r="Z52" s="36" t="s">
        <v>157</v>
      </c>
      <c r="AA52" s="36" t="s">
        <v>173</v>
      </c>
      <c r="AB52" s="36"/>
      <c r="AC52" s="36"/>
      <c r="AD52" s="29" t="s">
        <v>119</v>
      </c>
      <c r="AE52" s="36" t="str">
        <f>_xlfn.XLOOKUP(表格1[[#This Row],[唯一識別碼]],API清冊0707!B:B,API清冊0707!T:T,"")&amp;""</f>
        <v>無下拉選單</v>
      </c>
    </row>
    <row r="53" spans="1:31" ht="204.75" customHeight="1" x14ac:dyDescent="0.4">
      <c r="A53" s="29" t="s">
        <v>358</v>
      </c>
      <c r="B53" s="29"/>
      <c r="C53" s="29"/>
      <c r="D53" s="29" t="s">
        <v>359</v>
      </c>
      <c r="E53" s="29" t="s">
        <v>360</v>
      </c>
      <c r="F53" s="29" t="s">
        <v>361</v>
      </c>
      <c r="G53" s="35"/>
      <c r="H53" s="35" t="s">
        <v>151</v>
      </c>
      <c r="I53" s="29" t="s">
        <v>358</v>
      </c>
      <c r="J53" s="37"/>
      <c r="K53" s="38"/>
      <c r="L53" s="38"/>
      <c r="M53" s="36" t="s">
        <v>60</v>
      </c>
      <c r="N53" s="15" t="s">
        <v>152</v>
      </c>
      <c r="O53" s="36" t="s">
        <v>162</v>
      </c>
      <c r="P53" s="36" t="str">
        <f t="shared" si="0"/>
        <v>WMTS_UAV空拍影像_宜蘭縣五結鄉(108年)</v>
      </c>
      <c r="Q53" s="29" t="s">
        <v>361</v>
      </c>
      <c r="R53" s="29" t="str">
        <f t="shared" si="1"/>
        <v>2dms_wmts_v1_UAV108G01</v>
      </c>
      <c r="S53" s="39" t="s">
        <v>155</v>
      </c>
      <c r="U53" s="27" t="str">
        <f>_xlfn.XLOOKUP(表格1[[#This Row],[服務類別(英)]],參考2_服務標準對照!$B:$B,參考2_服務標準對照!$C:$C,"")&amp;""</f>
        <v>OGC</v>
      </c>
      <c r="V53" s="29" t="s">
        <v>7</v>
      </c>
      <c r="W53" s="29" t="s">
        <v>163</v>
      </c>
      <c r="X53" s="29" t="s">
        <v>81</v>
      </c>
      <c r="Y53" s="36" t="s">
        <v>83</v>
      </c>
      <c r="Z53" s="36" t="s">
        <v>157</v>
      </c>
      <c r="AA53" s="36" t="s">
        <v>173</v>
      </c>
      <c r="AB53" s="36"/>
      <c r="AC53" s="36"/>
      <c r="AD53" s="29" t="s">
        <v>119</v>
      </c>
      <c r="AE53" s="36" t="str">
        <f>_xlfn.XLOOKUP(表格1[[#This Row],[唯一識別碼]],API清冊0707!B:B,API清冊0707!T:T,"")&amp;""</f>
        <v>無下拉選單</v>
      </c>
    </row>
    <row r="54" spans="1:31" ht="204.75" customHeight="1" x14ac:dyDescent="0.4">
      <c r="A54" s="29" t="s">
        <v>362</v>
      </c>
      <c r="B54" s="29"/>
      <c r="C54" s="29"/>
      <c r="D54" s="29" t="s">
        <v>363</v>
      </c>
      <c r="E54" s="29" t="s">
        <v>364</v>
      </c>
      <c r="F54" s="29" t="s">
        <v>365</v>
      </c>
      <c r="G54" s="35"/>
      <c r="H54" s="35" t="s">
        <v>151</v>
      </c>
      <c r="I54" s="29" t="s">
        <v>362</v>
      </c>
      <c r="J54" s="37"/>
      <c r="K54" s="38"/>
      <c r="L54" s="38"/>
      <c r="M54" s="36" t="s">
        <v>60</v>
      </c>
      <c r="N54" s="15" t="s">
        <v>152</v>
      </c>
      <c r="O54" s="36" t="s">
        <v>162</v>
      </c>
      <c r="P54" s="36" t="str">
        <f t="shared" si="0"/>
        <v>WMTS_UAV空拍影像_高雄市大寮區(108年)</v>
      </c>
      <c r="Q54" s="29" t="s">
        <v>365</v>
      </c>
      <c r="R54" s="29" t="str">
        <f t="shared" si="1"/>
        <v>2dms_wmts_v1_UAV108E01</v>
      </c>
      <c r="S54" s="39" t="s">
        <v>155</v>
      </c>
      <c r="U54" s="27" t="str">
        <f>_xlfn.XLOOKUP(表格1[[#This Row],[服務類別(英)]],參考2_服務標準對照!$B:$B,參考2_服務標準對照!$C:$C,"")&amp;""</f>
        <v>OGC</v>
      </c>
      <c r="V54" s="29" t="s">
        <v>7</v>
      </c>
      <c r="W54" s="29" t="s">
        <v>163</v>
      </c>
      <c r="X54" s="29" t="s">
        <v>81</v>
      </c>
      <c r="Y54" s="36" t="s">
        <v>83</v>
      </c>
      <c r="Z54" s="36" t="s">
        <v>157</v>
      </c>
      <c r="AA54" s="36" t="s">
        <v>173</v>
      </c>
      <c r="AB54" s="36"/>
      <c r="AC54" s="36"/>
      <c r="AD54" s="29" t="s">
        <v>119</v>
      </c>
      <c r="AE54" s="36" t="str">
        <f>_xlfn.XLOOKUP(表格1[[#This Row],[唯一識別碼]],API清冊0707!B:B,API清冊0707!T:T,"")&amp;""</f>
        <v>無下拉選單</v>
      </c>
    </row>
    <row r="55" spans="1:31" ht="204.75" customHeight="1" x14ac:dyDescent="0.4">
      <c r="A55" s="29" t="s">
        <v>366</v>
      </c>
      <c r="B55" s="29"/>
      <c r="C55" s="29"/>
      <c r="D55" s="29" t="s">
        <v>367</v>
      </c>
      <c r="E55" s="29" t="s">
        <v>368</v>
      </c>
      <c r="F55" s="29" t="s">
        <v>369</v>
      </c>
      <c r="G55" s="35"/>
      <c r="H55" s="35" t="s">
        <v>151</v>
      </c>
      <c r="I55" s="29" t="s">
        <v>366</v>
      </c>
      <c r="J55" s="37"/>
      <c r="K55" s="38"/>
      <c r="L55" s="38"/>
      <c r="M55" s="36" t="s">
        <v>60</v>
      </c>
      <c r="N55" s="15" t="s">
        <v>152</v>
      </c>
      <c r="O55" s="36" t="s">
        <v>162</v>
      </c>
      <c r="P55" s="36" t="str">
        <f t="shared" ref="P55:P118" si="2">IF(LEN(TRIM(F55))&gt;0,F55,E55)</f>
        <v>WMTS_UAV空拍影像_臺南市永康區(108年)</v>
      </c>
      <c r="Q55" s="29" t="s">
        <v>369</v>
      </c>
      <c r="R55" s="29" t="str">
        <f t="shared" ref="R55:R118" si="3">D55</f>
        <v>2dms_wmts_v1_UAV108D05</v>
      </c>
      <c r="S55" s="39" t="s">
        <v>155</v>
      </c>
      <c r="U55" s="27" t="str">
        <f>_xlfn.XLOOKUP(表格1[[#This Row],[服務類別(英)]],參考2_服務標準對照!$B:$B,參考2_服務標準對照!$C:$C,"")&amp;""</f>
        <v>OGC</v>
      </c>
      <c r="V55" s="29" t="s">
        <v>7</v>
      </c>
      <c r="W55" s="29" t="s">
        <v>163</v>
      </c>
      <c r="X55" s="29" t="s">
        <v>81</v>
      </c>
      <c r="Y55" s="36" t="s">
        <v>83</v>
      </c>
      <c r="Z55" s="36" t="s">
        <v>157</v>
      </c>
      <c r="AA55" s="36" t="s">
        <v>173</v>
      </c>
      <c r="AB55" s="36"/>
      <c r="AC55" s="36"/>
      <c r="AD55" s="29" t="s">
        <v>119</v>
      </c>
      <c r="AE55" s="36" t="str">
        <f>_xlfn.XLOOKUP(表格1[[#This Row],[唯一識別碼]],API清冊0707!B:B,API清冊0707!T:T,"")&amp;""</f>
        <v>無下拉選單</v>
      </c>
    </row>
    <row r="56" spans="1:31" ht="204.75" customHeight="1" x14ac:dyDescent="0.4">
      <c r="A56" s="29" t="s">
        <v>370</v>
      </c>
      <c r="B56" s="29"/>
      <c r="C56" s="29"/>
      <c r="D56" s="29" t="s">
        <v>371</v>
      </c>
      <c r="E56" s="29" t="s">
        <v>372</v>
      </c>
      <c r="F56" s="29" t="s">
        <v>373</v>
      </c>
      <c r="G56" s="35"/>
      <c r="H56" s="35" t="s">
        <v>151</v>
      </c>
      <c r="I56" s="29" t="s">
        <v>370</v>
      </c>
      <c r="J56" s="37"/>
      <c r="K56" s="38"/>
      <c r="L56" s="38"/>
      <c r="M56" s="36" t="s">
        <v>60</v>
      </c>
      <c r="N56" s="15" t="s">
        <v>152</v>
      </c>
      <c r="O56" s="36" t="s">
        <v>162</v>
      </c>
      <c r="P56" s="36" t="str">
        <f t="shared" si="2"/>
        <v>WMTS_UAV空拍影像_臺南市關廟區(108年)</v>
      </c>
      <c r="Q56" s="29" t="s">
        <v>373</v>
      </c>
      <c r="R56" s="29" t="str">
        <f t="shared" si="3"/>
        <v>2dms_wmts_v1_UAV108D04</v>
      </c>
      <c r="S56" s="39" t="s">
        <v>155</v>
      </c>
      <c r="U56" s="27" t="str">
        <f>_xlfn.XLOOKUP(表格1[[#This Row],[服務類別(英)]],參考2_服務標準對照!$B:$B,參考2_服務標準對照!$C:$C,"")&amp;""</f>
        <v>OGC</v>
      </c>
      <c r="V56" s="29" t="s">
        <v>7</v>
      </c>
      <c r="W56" s="29" t="s">
        <v>163</v>
      </c>
      <c r="X56" s="29" t="s">
        <v>81</v>
      </c>
      <c r="Y56" s="36" t="s">
        <v>83</v>
      </c>
      <c r="Z56" s="36" t="s">
        <v>157</v>
      </c>
      <c r="AA56" s="36" t="s">
        <v>173</v>
      </c>
      <c r="AB56" s="36"/>
      <c r="AC56" s="36"/>
      <c r="AD56" s="29" t="s">
        <v>119</v>
      </c>
      <c r="AE56" s="36" t="str">
        <f>_xlfn.XLOOKUP(表格1[[#This Row],[唯一識別碼]],API清冊0707!B:B,API清冊0707!T:T,"")&amp;""</f>
        <v>無下拉選單</v>
      </c>
    </row>
    <row r="57" spans="1:31" ht="204.75" customHeight="1" x14ac:dyDescent="0.4">
      <c r="A57" s="29" t="s">
        <v>374</v>
      </c>
      <c r="B57" s="29"/>
      <c r="C57" s="29"/>
      <c r="D57" s="29" t="s">
        <v>375</v>
      </c>
      <c r="E57" s="29" t="s">
        <v>376</v>
      </c>
      <c r="F57" s="29" t="s">
        <v>377</v>
      </c>
      <c r="G57" s="35"/>
      <c r="H57" s="35" t="s">
        <v>151</v>
      </c>
      <c r="I57" s="29" t="s">
        <v>374</v>
      </c>
      <c r="J57" s="37"/>
      <c r="K57" s="38"/>
      <c r="L57" s="38"/>
      <c r="M57" s="36" t="s">
        <v>60</v>
      </c>
      <c r="N57" s="15" t="s">
        <v>152</v>
      </c>
      <c r="O57" s="36" t="s">
        <v>162</v>
      </c>
      <c r="P57" s="36" t="str">
        <f t="shared" si="2"/>
        <v>WMTS_UAV空拍影像_臺南市七股區(108年)</v>
      </c>
      <c r="Q57" s="29" t="s">
        <v>377</v>
      </c>
      <c r="R57" s="29" t="str">
        <f t="shared" si="3"/>
        <v>2dms_wmts_v1_UAV108D03</v>
      </c>
      <c r="S57" s="39" t="s">
        <v>155</v>
      </c>
      <c r="U57" s="27" t="str">
        <f>_xlfn.XLOOKUP(表格1[[#This Row],[服務類別(英)]],參考2_服務標準對照!$B:$B,參考2_服務標準對照!$C:$C,"")&amp;""</f>
        <v>OGC</v>
      </c>
      <c r="V57" s="29" t="s">
        <v>7</v>
      </c>
      <c r="W57" s="29" t="s">
        <v>163</v>
      </c>
      <c r="X57" s="29" t="s">
        <v>81</v>
      </c>
      <c r="Y57" s="36" t="s">
        <v>83</v>
      </c>
      <c r="Z57" s="36" t="s">
        <v>157</v>
      </c>
      <c r="AA57" s="36" t="s">
        <v>173</v>
      </c>
      <c r="AB57" s="36"/>
      <c r="AC57" s="36"/>
      <c r="AD57" s="29" t="s">
        <v>119</v>
      </c>
      <c r="AE57" s="36" t="str">
        <f>_xlfn.XLOOKUP(表格1[[#This Row],[唯一識別碼]],API清冊0707!B:B,API清冊0707!T:T,"")&amp;""</f>
        <v>無下拉選單</v>
      </c>
    </row>
    <row r="58" spans="1:31" ht="204.75" customHeight="1" x14ac:dyDescent="0.4">
      <c r="A58" s="29" t="s">
        <v>378</v>
      </c>
      <c r="B58" s="29"/>
      <c r="C58" s="29"/>
      <c r="D58" s="29" t="s">
        <v>379</v>
      </c>
      <c r="E58" s="29" t="s">
        <v>380</v>
      </c>
      <c r="F58" s="29" t="s">
        <v>381</v>
      </c>
      <c r="G58" s="35"/>
      <c r="H58" s="35" t="s">
        <v>151</v>
      </c>
      <c r="I58" s="29" t="s">
        <v>378</v>
      </c>
      <c r="J58" s="37"/>
      <c r="K58" s="38"/>
      <c r="L58" s="38"/>
      <c r="M58" s="36" t="s">
        <v>60</v>
      </c>
      <c r="N58" s="15" t="s">
        <v>152</v>
      </c>
      <c r="O58" s="36" t="s">
        <v>162</v>
      </c>
      <c r="P58" s="36" t="str">
        <f t="shared" si="2"/>
        <v>WMTS_UAV空拍影像_臺南市下營區(108年)</v>
      </c>
      <c r="Q58" s="29" t="s">
        <v>381</v>
      </c>
      <c r="R58" s="29" t="str">
        <f t="shared" si="3"/>
        <v>2dms_wmts_v1_UAV108D02</v>
      </c>
      <c r="S58" s="39" t="s">
        <v>155</v>
      </c>
      <c r="U58" s="27" t="str">
        <f>_xlfn.XLOOKUP(表格1[[#This Row],[服務類別(英)]],參考2_服務標準對照!$B:$B,參考2_服務標準對照!$C:$C,"")&amp;""</f>
        <v>OGC</v>
      </c>
      <c r="V58" s="29" t="s">
        <v>7</v>
      </c>
      <c r="W58" s="29" t="s">
        <v>163</v>
      </c>
      <c r="X58" s="29" t="s">
        <v>81</v>
      </c>
      <c r="Y58" s="36" t="s">
        <v>83</v>
      </c>
      <c r="Z58" s="36" t="s">
        <v>157</v>
      </c>
      <c r="AA58" s="36" t="s">
        <v>173</v>
      </c>
      <c r="AB58" s="36"/>
      <c r="AC58" s="36"/>
      <c r="AD58" s="29" t="s">
        <v>119</v>
      </c>
      <c r="AE58" s="36" t="str">
        <f>_xlfn.XLOOKUP(表格1[[#This Row],[唯一識別碼]],API清冊0707!B:B,API清冊0707!T:T,"")&amp;""</f>
        <v>無下拉選單</v>
      </c>
    </row>
    <row r="59" spans="1:31" ht="204.75" customHeight="1" x14ac:dyDescent="0.4">
      <c r="A59" s="29" t="s">
        <v>382</v>
      </c>
      <c r="B59" s="29"/>
      <c r="C59" s="29"/>
      <c r="D59" s="29" t="s">
        <v>383</v>
      </c>
      <c r="E59" s="29" t="s">
        <v>384</v>
      </c>
      <c r="F59" s="29" t="s">
        <v>385</v>
      </c>
      <c r="G59" s="35"/>
      <c r="H59" s="35" t="s">
        <v>151</v>
      </c>
      <c r="I59" s="29" t="s">
        <v>382</v>
      </c>
      <c r="J59" s="37"/>
      <c r="K59" s="38"/>
      <c r="L59" s="38"/>
      <c r="M59" s="36" t="s">
        <v>60</v>
      </c>
      <c r="N59" s="15" t="s">
        <v>152</v>
      </c>
      <c r="O59" s="36" t="s">
        <v>162</v>
      </c>
      <c r="P59" s="36" t="str">
        <f t="shared" si="2"/>
        <v>WMTS_UAV空拍影像_臺南市安南區(108年)</v>
      </c>
      <c r="Q59" s="29" t="s">
        <v>385</v>
      </c>
      <c r="R59" s="29" t="str">
        <f t="shared" si="3"/>
        <v>2dms_wmts_v1_UAV108D01</v>
      </c>
      <c r="S59" s="39" t="s">
        <v>155</v>
      </c>
      <c r="U59" s="27" t="str">
        <f>_xlfn.XLOOKUP(表格1[[#This Row],[服務類別(英)]],參考2_服務標準對照!$B:$B,參考2_服務標準對照!$C:$C,"")&amp;""</f>
        <v>OGC</v>
      </c>
      <c r="V59" s="29" t="s">
        <v>7</v>
      </c>
      <c r="W59" s="29" t="s">
        <v>163</v>
      </c>
      <c r="X59" s="29" t="s">
        <v>81</v>
      </c>
      <c r="Y59" s="36" t="s">
        <v>83</v>
      </c>
      <c r="Z59" s="36" t="s">
        <v>157</v>
      </c>
      <c r="AA59" s="36" t="s">
        <v>173</v>
      </c>
      <c r="AB59" s="36"/>
      <c r="AC59" s="36"/>
      <c r="AD59" s="29" t="s">
        <v>119</v>
      </c>
      <c r="AE59" s="36" t="str">
        <f>_xlfn.XLOOKUP(表格1[[#This Row],[唯一識別碼]],API清冊0707!B:B,API清冊0707!T:T,"")&amp;""</f>
        <v>無下拉選單</v>
      </c>
    </row>
    <row r="60" spans="1:31" ht="204.75" customHeight="1" x14ac:dyDescent="0.4">
      <c r="A60" s="29" t="s">
        <v>386</v>
      </c>
      <c r="B60" s="29"/>
      <c r="C60" s="29"/>
      <c r="D60" s="29" t="s">
        <v>387</v>
      </c>
      <c r="E60" s="29" t="s">
        <v>388</v>
      </c>
      <c r="F60" s="29" t="s">
        <v>389</v>
      </c>
      <c r="G60" s="35"/>
      <c r="H60" s="35" t="s">
        <v>151</v>
      </c>
      <c r="I60" s="29" t="s">
        <v>386</v>
      </c>
      <c r="J60" s="37"/>
      <c r="K60" s="38"/>
      <c r="L60" s="38"/>
      <c r="M60" s="36" t="s">
        <v>60</v>
      </c>
      <c r="N60" s="15" t="s">
        <v>152</v>
      </c>
      <c r="O60" s="36" t="s">
        <v>162</v>
      </c>
      <c r="P60" s="36" t="str">
        <f t="shared" si="2"/>
        <v>WMTS_UAV空拍影像_臺中市后里區(108年)</v>
      </c>
      <c r="Q60" s="29" t="s">
        <v>389</v>
      </c>
      <c r="R60" s="29" t="str">
        <f t="shared" si="3"/>
        <v>2dms_wmts_v1_UAV108B01</v>
      </c>
      <c r="S60" s="39" t="s">
        <v>155</v>
      </c>
      <c r="U60" s="27" t="str">
        <f>_xlfn.XLOOKUP(表格1[[#This Row],[服務類別(英)]],參考2_服務標準對照!$B:$B,參考2_服務標準對照!$C:$C,"")&amp;""</f>
        <v>OGC</v>
      </c>
      <c r="V60" s="29" t="s">
        <v>7</v>
      </c>
      <c r="W60" s="29" t="s">
        <v>163</v>
      </c>
      <c r="X60" s="29" t="s">
        <v>81</v>
      </c>
      <c r="Y60" s="36" t="s">
        <v>83</v>
      </c>
      <c r="Z60" s="36" t="s">
        <v>157</v>
      </c>
      <c r="AA60" s="36" t="s">
        <v>173</v>
      </c>
      <c r="AB60" s="36"/>
      <c r="AC60" s="36"/>
      <c r="AD60" s="29" t="s">
        <v>119</v>
      </c>
      <c r="AE60" s="36" t="str">
        <f>_xlfn.XLOOKUP(表格1[[#This Row],[唯一識別碼]],API清冊0707!B:B,API清冊0707!T:T,"")&amp;""</f>
        <v>無下拉選單</v>
      </c>
    </row>
    <row r="61" spans="1:31" ht="204.75" customHeight="1" x14ac:dyDescent="0.4">
      <c r="A61" s="29" t="s">
        <v>390</v>
      </c>
      <c r="B61" s="29"/>
      <c r="C61" s="29"/>
      <c r="D61" s="29" t="s">
        <v>391</v>
      </c>
      <c r="E61" s="29" t="s">
        <v>392</v>
      </c>
      <c r="F61" s="29" t="s">
        <v>393</v>
      </c>
      <c r="G61" s="35"/>
      <c r="H61" s="35" t="s">
        <v>151</v>
      </c>
      <c r="I61" s="29" t="s">
        <v>390</v>
      </c>
      <c r="J61" s="37"/>
      <c r="K61" s="38"/>
      <c r="L61" s="38"/>
      <c r="M61" s="36" t="s">
        <v>60</v>
      </c>
      <c r="N61" s="15" t="s">
        <v>152</v>
      </c>
      <c r="O61" s="36" t="s">
        <v>162</v>
      </c>
      <c r="P61" s="36" t="str">
        <f t="shared" si="2"/>
        <v>WMTS_UAV空拍影像_臺北市士林區夢幻湖(108年)</v>
      </c>
      <c r="Q61" s="29" t="s">
        <v>393</v>
      </c>
      <c r="R61" s="29" t="str">
        <f t="shared" si="3"/>
        <v>2dms_wmts_v1_UAV108A03</v>
      </c>
      <c r="S61" s="39" t="s">
        <v>155</v>
      </c>
      <c r="U61" s="27" t="str">
        <f>_xlfn.XLOOKUP(表格1[[#This Row],[服務類別(英)]],參考2_服務標準對照!$B:$B,參考2_服務標準對照!$C:$C,"")&amp;""</f>
        <v>OGC</v>
      </c>
      <c r="V61" s="29" t="s">
        <v>7</v>
      </c>
      <c r="W61" s="29" t="s">
        <v>163</v>
      </c>
      <c r="X61" s="29" t="s">
        <v>81</v>
      </c>
      <c r="Y61" s="36" t="s">
        <v>83</v>
      </c>
      <c r="Z61" s="36" t="s">
        <v>157</v>
      </c>
      <c r="AA61" s="36" t="s">
        <v>173</v>
      </c>
      <c r="AB61" s="36"/>
      <c r="AC61" s="36"/>
      <c r="AD61" s="29" t="s">
        <v>119</v>
      </c>
      <c r="AE61" s="36" t="str">
        <f>_xlfn.XLOOKUP(表格1[[#This Row],[唯一識別碼]],API清冊0707!B:B,API清冊0707!T:T,"")&amp;""</f>
        <v>無下拉選單</v>
      </c>
    </row>
    <row r="62" spans="1:31" ht="204.75" customHeight="1" x14ac:dyDescent="0.4">
      <c r="A62" s="29" t="s">
        <v>394</v>
      </c>
      <c r="B62" s="29"/>
      <c r="C62" s="29"/>
      <c r="D62" s="29" t="s">
        <v>395</v>
      </c>
      <c r="E62" s="29" t="s">
        <v>396</v>
      </c>
      <c r="F62" s="29" t="s">
        <v>397</v>
      </c>
      <c r="G62" s="35"/>
      <c r="H62" s="35" t="s">
        <v>151</v>
      </c>
      <c r="I62" s="29" t="s">
        <v>394</v>
      </c>
      <c r="J62" s="37"/>
      <c r="K62" s="38"/>
      <c r="L62" s="38"/>
      <c r="M62" s="36" t="s">
        <v>60</v>
      </c>
      <c r="N62" s="15" t="s">
        <v>152</v>
      </c>
      <c r="O62" s="36" t="s">
        <v>162</v>
      </c>
      <c r="P62" s="36" t="str">
        <f t="shared" si="2"/>
        <v>WMTS_UAV空拍影像_臺北市士林區馬槽(108年)</v>
      </c>
      <c r="Q62" s="29" t="s">
        <v>397</v>
      </c>
      <c r="R62" s="29" t="str">
        <f t="shared" si="3"/>
        <v>2dms_wmts_v1_UAV108A02</v>
      </c>
      <c r="S62" s="39" t="s">
        <v>155</v>
      </c>
      <c r="U62" s="27" t="str">
        <f>_xlfn.XLOOKUP(表格1[[#This Row],[服務類別(英)]],參考2_服務標準對照!$B:$B,參考2_服務標準對照!$C:$C,"")&amp;""</f>
        <v>OGC</v>
      </c>
      <c r="V62" s="29" t="s">
        <v>7</v>
      </c>
      <c r="W62" s="29" t="s">
        <v>163</v>
      </c>
      <c r="X62" s="29" t="s">
        <v>81</v>
      </c>
      <c r="Y62" s="36" t="s">
        <v>83</v>
      </c>
      <c r="Z62" s="36" t="s">
        <v>157</v>
      </c>
      <c r="AA62" s="36" t="s">
        <v>173</v>
      </c>
      <c r="AB62" s="36"/>
      <c r="AC62" s="36"/>
      <c r="AD62" s="29" t="s">
        <v>119</v>
      </c>
      <c r="AE62" s="36" t="str">
        <f>_xlfn.XLOOKUP(表格1[[#This Row],[唯一識別碼]],API清冊0707!B:B,API清冊0707!T:T,"")&amp;""</f>
        <v>無下拉選單</v>
      </c>
    </row>
    <row r="63" spans="1:31" ht="204.75" customHeight="1" x14ac:dyDescent="0.4">
      <c r="A63" s="29" t="s">
        <v>398</v>
      </c>
      <c r="B63" s="29"/>
      <c r="C63" s="29"/>
      <c r="D63" s="29" t="s">
        <v>399</v>
      </c>
      <c r="E63" s="29" t="s">
        <v>400</v>
      </c>
      <c r="F63" s="29" t="s">
        <v>401</v>
      </c>
      <c r="G63" s="35"/>
      <c r="H63" s="35" t="s">
        <v>151</v>
      </c>
      <c r="I63" s="29" t="s">
        <v>398</v>
      </c>
      <c r="J63" s="37"/>
      <c r="K63" s="38"/>
      <c r="L63" s="38"/>
      <c r="M63" s="36" t="s">
        <v>60</v>
      </c>
      <c r="N63" s="15" t="s">
        <v>152</v>
      </c>
      <c r="O63" s="36" t="s">
        <v>162</v>
      </c>
      <c r="P63" s="36" t="str">
        <f t="shared" si="2"/>
        <v>WMTS_UAV空拍影像_臺北市士林區大油坑(108年)</v>
      </c>
      <c r="Q63" s="29" t="s">
        <v>401</v>
      </c>
      <c r="R63" s="29" t="str">
        <f t="shared" si="3"/>
        <v>2dms_wmts_v1_UAV108A01</v>
      </c>
      <c r="S63" s="39" t="s">
        <v>155</v>
      </c>
      <c r="U63" s="27" t="str">
        <f>_xlfn.XLOOKUP(表格1[[#This Row],[服務類別(英)]],參考2_服務標準對照!$B:$B,參考2_服務標準對照!$C:$C,"")&amp;""</f>
        <v>OGC</v>
      </c>
      <c r="V63" s="29" t="s">
        <v>7</v>
      </c>
      <c r="W63" s="29" t="s">
        <v>163</v>
      </c>
      <c r="X63" s="29" t="s">
        <v>81</v>
      </c>
      <c r="Y63" s="36" t="s">
        <v>83</v>
      </c>
      <c r="Z63" s="36" t="s">
        <v>157</v>
      </c>
      <c r="AA63" s="36" t="s">
        <v>173</v>
      </c>
      <c r="AB63" s="36"/>
      <c r="AC63" s="36"/>
      <c r="AD63" s="29" t="s">
        <v>119</v>
      </c>
      <c r="AE63" s="36" t="str">
        <f>_xlfn.XLOOKUP(表格1[[#This Row],[唯一識別碼]],API清冊0707!B:B,API清冊0707!T:T,"")&amp;""</f>
        <v>無下拉選單</v>
      </c>
    </row>
    <row r="64" spans="1:31" ht="204.75" customHeight="1" x14ac:dyDescent="0.4">
      <c r="A64" s="29" t="s">
        <v>402</v>
      </c>
      <c r="B64" s="29"/>
      <c r="C64" s="29"/>
      <c r="D64" s="29" t="s">
        <v>403</v>
      </c>
      <c r="E64" s="29" t="s">
        <v>404</v>
      </c>
      <c r="F64" s="29" t="s">
        <v>405</v>
      </c>
      <c r="G64" s="35"/>
      <c r="H64" s="35" t="s">
        <v>151</v>
      </c>
      <c r="I64" s="29" t="s">
        <v>402</v>
      </c>
      <c r="J64" s="37"/>
      <c r="K64" s="38"/>
      <c r="L64" s="38"/>
      <c r="M64" s="36" t="s">
        <v>60</v>
      </c>
      <c r="N64" s="15" t="s">
        <v>152</v>
      </c>
      <c r="O64" s="36" t="s">
        <v>162</v>
      </c>
      <c r="P64" s="36" t="str">
        <f t="shared" si="2"/>
        <v>WMTS_UAV空拍影像_屏東海豐外環道(107年)</v>
      </c>
      <c r="Q64" s="29" t="s">
        <v>405</v>
      </c>
      <c r="R64" s="29" t="str">
        <f t="shared" si="3"/>
        <v>2dms_wmts_v1_UAV107T02</v>
      </c>
      <c r="S64" s="39" t="s">
        <v>155</v>
      </c>
      <c r="U64" s="27" t="str">
        <f>_xlfn.XLOOKUP(表格1[[#This Row],[服務類別(英)]],參考2_服務標準對照!$B:$B,參考2_服務標準對照!$C:$C,"")&amp;""</f>
        <v>OGC</v>
      </c>
      <c r="V64" s="29" t="s">
        <v>7</v>
      </c>
      <c r="W64" s="29" t="s">
        <v>163</v>
      </c>
      <c r="X64" s="29" t="s">
        <v>81</v>
      </c>
      <c r="Y64" s="36" t="s">
        <v>83</v>
      </c>
      <c r="Z64" s="36" t="s">
        <v>157</v>
      </c>
      <c r="AA64" s="36" t="s">
        <v>173</v>
      </c>
      <c r="AB64" s="36"/>
      <c r="AC64" s="36"/>
      <c r="AD64" s="29" t="s">
        <v>119</v>
      </c>
      <c r="AE64" s="36" t="str">
        <f>_xlfn.XLOOKUP(表格1[[#This Row],[唯一識別碼]],API清冊0707!B:B,API清冊0707!T:T,"")&amp;""</f>
        <v>無下拉選單</v>
      </c>
    </row>
    <row r="65" spans="1:31" ht="204.75" customHeight="1" x14ac:dyDescent="0.4">
      <c r="A65" s="29" t="s">
        <v>406</v>
      </c>
      <c r="B65" s="29"/>
      <c r="C65" s="29"/>
      <c r="D65" s="29" t="s">
        <v>407</v>
      </c>
      <c r="E65" s="29" t="s">
        <v>408</v>
      </c>
      <c r="F65" s="29" t="s">
        <v>409</v>
      </c>
      <c r="G65" s="35"/>
      <c r="H65" s="35" t="s">
        <v>151</v>
      </c>
      <c r="I65" s="29" t="s">
        <v>406</v>
      </c>
      <c r="J65" s="37"/>
      <c r="K65" s="38"/>
      <c r="L65" s="38"/>
      <c r="M65" s="36" t="s">
        <v>60</v>
      </c>
      <c r="N65" s="15" t="s">
        <v>152</v>
      </c>
      <c r="O65" s="36" t="s">
        <v>162</v>
      </c>
      <c r="P65" s="36" t="str">
        <f t="shared" si="2"/>
        <v>WMTS_UAV空拍影像_屏東交流道(107年)</v>
      </c>
      <c r="Q65" s="29" t="s">
        <v>409</v>
      </c>
      <c r="R65" s="29" t="str">
        <f t="shared" si="3"/>
        <v>2dms_wmts_v1_UAV107T01</v>
      </c>
      <c r="S65" s="39" t="s">
        <v>155</v>
      </c>
      <c r="U65" s="27" t="str">
        <f>_xlfn.XLOOKUP(表格1[[#This Row],[服務類別(英)]],參考2_服務標準對照!$B:$B,參考2_服務標準對照!$C:$C,"")&amp;""</f>
        <v>OGC</v>
      </c>
      <c r="V65" s="29" t="s">
        <v>7</v>
      </c>
      <c r="W65" s="29" t="s">
        <v>163</v>
      </c>
      <c r="X65" s="29" t="s">
        <v>81</v>
      </c>
      <c r="Y65" s="36" t="s">
        <v>83</v>
      </c>
      <c r="Z65" s="36" t="s">
        <v>157</v>
      </c>
      <c r="AA65" s="36" t="s">
        <v>173</v>
      </c>
      <c r="AB65" s="36"/>
      <c r="AC65" s="36"/>
      <c r="AD65" s="29" t="s">
        <v>119</v>
      </c>
      <c r="AE65" s="36" t="str">
        <f>_xlfn.XLOOKUP(表格1[[#This Row],[唯一識別碼]],API清冊0707!B:B,API清冊0707!T:T,"")&amp;""</f>
        <v>無下拉選單</v>
      </c>
    </row>
    <row r="66" spans="1:31" ht="204.75" customHeight="1" x14ac:dyDescent="0.4">
      <c r="A66" s="29" t="s">
        <v>410</v>
      </c>
      <c r="B66" s="29"/>
      <c r="C66" s="29"/>
      <c r="D66" s="29" t="s">
        <v>411</v>
      </c>
      <c r="E66" s="29" t="s">
        <v>412</v>
      </c>
      <c r="F66" s="29" t="s">
        <v>413</v>
      </c>
      <c r="G66" s="35"/>
      <c r="H66" s="35" t="s">
        <v>151</v>
      </c>
      <c r="I66" s="29" t="s">
        <v>410</v>
      </c>
      <c r="J66" s="37"/>
      <c r="K66" s="38"/>
      <c r="L66" s="38"/>
      <c r="M66" s="36" t="s">
        <v>60</v>
      </c>
      <c r="N66" s="15" t="s">
        <v>152</v>
      </c>
      <c r="O66" s="36" t="s">
        <v>162</v>
      </c>
      <c r="P66" s="36" t="str">
        <f t="shared" si="2"/>
        <v>WMTS_UAV空拍影像_新竹市(107年)</v>
      </c>
      <c r="Q66" s="29" t="s">
        <v>413</v>
      </c>
      <c r="R66" s="29" t="str">
        <f t="shared" si="3"/>
        <v>2dms_wmts_v1_UAV107O01</v>
      </c>
      <c r="S66" s="39" t="s">
        <v>155</v>
      </c>
      <c r="U66" s="27" t="str">
        <f>_xlfn.XLOOKUP(表格1[[#This Row],[服務類別(英)]],參考2_服務標準對照!$B:$B,參考2_服務標準對照!$C:$C,"")&amp;""</f>
        <v>OGC</v>
      </c>
      <c r="V66" s="29" t="s">
        <v>7</v>
      </c>
      <c r="W66" s="29" t="s">
        <v>163</v>
      </c>
      <c r="X66" s="29" t="s">
        <v>81</v>
      </c>
      <c r="Y66" s="36" t="s">
        <v>83</v>
      </c>
      <c r="Z66" s="36" t="s">
        <v>157</v>
      </c>
      <c r="AA66" s="36" t="s">
        <v>173</v>
      </c>
      <c r="AB66" s="36"/>
      <c r="AC66" s="36"/>
      <c r="AD66" s="29" t="s">
        <v>119</v>
      </c>
      <c r="AE66" s="36" t="str">
        <f>_xlfn.XLOOKUP(表格1[[#This Row],[唯一識別碼]],API清冊0707!B:B,API清冊0707!T:T,"")&amp;""</f>
        <v>無下拉選單</v>
      </c>
    </row>
    <row r="67" spans="1:31" ht="204.75" customHeight="1" x14ac:dyDescent="0.4">
      <c r="A67" s="29" t="s">
        <v>414</v>
      </c>
      <c r="B67" s="29"/>
      <c r="C67" s="29"/>
      <c r="D67" s="29" t="s">
        <v>415</v>
      </c>
      <c r="E67" s="29" t="s">
        <v>416</v>
      </c>
      <c r="F67" s="29" t="s">
        <v>417</v>
      </c>
      <c r="G67" s="35"/>
      <c r="H67" s="35" t="s">
        <v>151</v>
      </c>
      <c r="I67" s="29" t="s">
        <v>414</v>
      </c>
      <c r="J67" s="37"/>
      <c r="K67" s="38"/>
      <c r="L67" s="38"/>
      <c r="M67" s="36" t="s">
        <v>60</v>
      </c>
      <c r="N67" s="15" t="s">
        <v>152</v>
      </c>
      <c r="O67" s="36" t="s">
        <v>162</v>
      </c>
      <c r="P67" s="36" t="str">
        <f t="shared" si="2"/>
        <v>WMTS_UAV空拍影像_苗栗縣通霄鎮(107年)</v>
      </c>
      <c r="Q67" s="29" t="s">
        <v>417</v>
      </c>
      <c r="R67" s="29" t="str">
        <f t="shared" si="3"/>
        <v>2dms_wmts_v1_UAV107K02</v>
      </c>
      <c r="S67" s="39" t="s">
        <v>155</v>
      </c>
      <c r="U67" s="27" t="str">
        <f>_xlfn.XLOOKUP(表格1[[#This Row],[服務類別(英)]],參考2_服務標準對照!$B:$B,參考2_服務標準對照!$C:$C,"")&amp;""</f>
        <v>OGC</v>
      </c>
      <c r="V67" s="29" t="s">
        <v>7</v>
      </c>
      <c r="W67" s="29" t="s">
        <v>163</v>
      </c>
      <c r="X67" s="29" t="s">
        <v>81</v>
      </c>
      <c r="Y67" s="36" t="s">
        <v>83</v>
      </c>
      <c r="Z67" s="36" t="s">
        <v>157</v>
      </c>
      <c r="AA67" s="36" t="s">
        <v>173</v>
      </c>
      <c r="AB67" s="36"/>
      <c r="AC67" s="36"/>
      <c r="AD67" s="29" t="s">
        <v>119</v>
      </c>
      <c r="AE67" s="36" t="str">
        <f>_xlfn.XLOOKUP(表格1[[#This Row],[唯一識別碼]],API清冊0707!B:B,API清冊0707!T:T,"")&amp;""</f>
        <v>無下拉選單</v>
      </c>
    </row>
    <row r="68" spans="1:31" ht="204.75" customHeight="1" x14ac:dyDescent="0.4">
      <c r="A68" s="29" t="s">
        <v>418</v>
      </c>
      <c r="B68" s="29"/>
      <c r="C68" s="29"/>
      <c r="D68" s="29" t="s">
        <v>419</v>
      </c>
      <c r="E68" s="29" t="s">
        <v>420</v>
      </c>
      <c r="F68" s="29" t="s">
        <v>421</v>
      </c>
      <c r="G68" s="35"/>
      <c r="H68" s="35" t="s">
        <v>151</v>
      </c>
      <c r="I68" s="29" t="s">
        <v>418</v>
      </c>
      <c r="J68" s="37"/>
      <c r="K68" s="38"/>
      <c r="L68" s="38"/>
      <c r="M68" s="36" t="s">
        <v>60</v>
      </c>
      <c r="N68" s="15" t="s">
        <v>152</v>
      </c>
      <c r="O68" s="36" t="s">
        <v>162</v>
      </c>
      <c r="P68" s="36" t="str">
        <f t="shared" si="2"/>
        <v>WMTS_UAV空拍影像_苗栗縣銅鑼鎮(107年)</v>
      </c>
      <c r="Q68" s="29" t="s">
        <v>421</v>
      </c>
      <c r="R68" s="29" t="str">
        <f t="shared" si="3"/>
        <v>2dms_wmts_v1_UAV107K01</v>
      </c>
      <c r="S68" s="39" t="s">
        <v>155</v>
      </c>
      <c r="U68" s="27" t="str">
        <f>_xlfn.XLOOKUP(表格1[[#This Row],[服務類別(英)]],參考2_服務標準對照!$B:$B,參考2_服務標準對照!$C:$C,"")&amp;""</f>
        <v>OGC</v>
      </c>
      <c r="V68" s="29" t="s">
        <v>7</v>
      </c>
      <c r="W68" s="29" t="s">
        <v>163</v>
      </c>
      <c r="X68" s="29" t="s">
        <v>81</v>
      </c>
      <c r="Y68" s="36" t="s">
        <v>83</v>
      </c>
      <c r="Z68" s="36" t="s">
        <v>157</v>
      </c>
      <c r="AA68" s="36" t="s">
        <v>173</v>
      </c>
      <c r="AB68" s="36"/>
      <c r="AC68" s="36"/>
      <c r="AD68" s="29" t="s">
        <v>119</v>
      </c>
      <c r="AE68" s="36" t="str">
        <f>_xlfn.XLOOKUP(表格1[[#This Row],[唯一識別碼]],API清冊0707!B:B,API清冊0707!T:T,"")&amp;""</f>
        <v>無下拉選單</v>
      </c>
    </row>
    <row r="69" spans="1:31" ht="204.75" customHeight="1" x14ac:dyDescent="0.4">
      <c r="A69" s="29" t="s">
        <v>422</v>
      </c>
      <c r="B69" s="29"/>
      <c r="C69" s="29"/>
      <c r="D69" s="29" t="s">
        <v>423</v>
      </c>
      <c r="E69" s="29" t="s">
        <v>424</v>
      </c>
      <c r="F69" s="29" t="s">
        <v>425</v>
      </c>
      <c r="G69" s="35"/>
      <c r="H69" s="35" t="s">
        <v>151</v>
      </c>
      <c r="I69" s="29" t="s">
        <v>422</v>
      </c>
      <c r="J69" s="37"/>
      <c r="K69" s="38"/>
      <c r="L69" s="38"/>
      <c r="M69" s="36" t="s">
        <v>60</v>
      </c>
      <c r="N69" s="15" t="s">
        <v>152</v>
      </c>
      <c r="O69" s="36" t="s">
        <v>162</v>
      </c>
      <c r="P69" s="36" t="str">
        <f t="shared" si="2"/>
        <v>WMTS_UAV空拍影像_新竹縣尖石鄉(107年)</v>
      </c>
      <c r="Q69" s="29" t="s">
        <v>425</v>
      </c>
      <c r="R69" s="29" t="str">
        <f t="shared" si="3"/>
        <v>2dms_wmts_v1_UAV107J02</v>
      </c>
      <c r="S69" s="39" t="s">
        <v>155</v>
      </c>
      <c r="U69" s="27" t="str">
        <f>_xlfn.XLOOKUP(表格1[[#This Row],[服務類別(英)]],參考2_服務標準對照!$B:$B,參考2_服務標準對照!$C:$C,"")&amp;""</f>
        <v>OGC</v>
      </c>
      <c r="V69" s="29" t="s">
        <v>7</v>
      </c>
      <c r="W69" s="29" t="s">
        <v>163</v>
      </c>
      <c r="X69" s="29" t="s">
        <v>81</v>
      </c>
      <c r="Y69" s="36" t="s">
        <v>83</v>
      </c>
      <c r="Z69" s="36" t="s">
        <v>157</v>
      </c>
      <c r="AA69" s="36" t="s">
        <v>173</v>
      </c>
      <c r="AB69" s="36"/>
      <c r="AC69" s="36"/>
      <c r="AD69" s="29" t="s">
        <v>119</v>
      </c>
      <c r="AE69" s="36" t="str">
        <f>_xlfn.XLOOKUP(表格1[[#This Row],[唯一識別碼]],API清冊0707!B:B,API清冊0707!T:T,"")&amp;""</f>
        <v>無下拉選單</v>
      </c>
    </row>
    <row r="70" spans="1:31" ht="204.75" customHeight="1" x14ac:dyDescent="0.4">
      <c r="A70" s="29" t="s">
        <v>426</v>
      </c>
      <c r="B70" s="29"/>
      <c r="C70" s="29"/>
      <c r="D70" s="29" t="s">
        <v>427</v>
      </c>
      <c r="E70" s="29" t="s">
        <v>428</v>
      </c>
      <c r="F70" s="29" t="s">
        <v>429</v>
      </c>
      <c r="G70" s="35"/>
      <c r="H70" s="35" t="s">
        <v>151</v>
      </c>
      <c r="I70" s="29" t="s">
        <v>426</v>
      </c>
      <c r="J70" s="37"/>
      <c r="K70" s="38"/>
      <c r="L70" s="38"/>
      <c r="M70" s="36" t="s">
        <v>60</v>
      </c>
      <c r="N70" s="15" t="s">
        <v>152</v>
      </c>
      <c r="O70" s="36" t="s">
        <v>162</v>
      </c>
      <c r="P70" s="36" t="str">
        <f t="shared" si="2"/>
        <v>WMTS_UAV空拍影像_新竹縣新豐鄉(107年)</v>
      </c>
      <c r="Q70" s="29" t="s">
        <v>429</v>
      </c>
      <c r="R70" s="29" t="str">
        <f t="shared" si="3"/>
        <v>2dms_wmts_v1_UAV107J01</v>
      </c>
      <c r="S70" s="39" t="s">
        <v>155</v>
      </c>
      <c r="U70" s="27" t="str">
        <f>_xlfn.XLOOKUP(表格1[[#This Row],[服務類別(英)]],參考2_服務標準對照!$B:$B,參考2_服務標準對照!$C:$C,"")&amp;""</f>
        <v>OGC</v>
      </c>
      <c r="V70" s="29" t="s">
        <v>7</v>
      </c>
      <c r="W70" s="29" t="s">
        <v>163</v>
      </c>
      <c r="X70" s="29" t="s">
        <v>81</v>
      </c>
      <c r="Y70" s="36" t="s">
        <v>83</v>
      </c>
      <c r="Z70" s="36" t="s">
        <v>157</v>
      </c>
      <c r="AA70" s="36" t="s">
        <v>173</v>
      </c>
      <c r="AB70" s="36"/>
      <c r="AC70" s="36"/>
      <c r="AD70" s="29" t="s">
        <v>119</v>
      </c>
      <c r="AE70" s="36" t="str">
        <f>_xlfn.XLOOKUP(表格1[[#This Row],[唯一識別碼]],API清冊0707!B:B,API清冊0707!T:T,"")&amp;""</f>
        <v>無下拉選單</v>
      </c>
    </row>
    <row r="71" spans="1:31" ht="204.75" customHeight="1" x14ac:dyDescent="0.4">
      <c r="A71" s="29" t="s">
        <v>430</v>
      </c>
      <c r="B71" s="29"/>
      <c r="C71" s="29"/>
      <c r="D71" s="29" t="s">
        <v>431</v>
      </c>
      <c r="E71" s="29" t="s">
        <v>432</v>
      </c>
      <c r="F71" s="29" t="s">
        <v>433</v>
      </c>
      <c r="G71" s="35"/>
      <c r="H71" s="35" t="s">
        <v>151</v>
      </c>
      <c r="I71" s="29" t="s">
        <v>430</v>
      </c>
      <c r="J71" s="37"/>
      <c r="K71" s="38"/>
      <c r="L71" s="38"/>
      <c r="M71" s="36" t="s">
        <v>60</v>
      </c>
      <c r="N71" s="15" t="s">
        <v>152</v>
      </c>
      <c r="O71" s="36" t="s">
        <v>162</v>
      </c>
      <c r="P71" s="36" t="str">
        <f t="shared" si="2"/>
        <v>WMTS_UAV空拍影像_宜蘭縣南澳鄉(107年)</v>
      </c>
      <c r="Q71" s="29" t="s">
        <v>433</v>
      </c>
      <c r="R71" s="29" t="str">
        <f t="shared" si="3"/>
        <v>2dms_wmts_v1_UAV107G01</v>
      </c>
      <c r="S71" s="39" t="s">
        <v>155</v>
      </c>
      <c r="U71" s="27" t="str">
        <f>_xlfn.XLOOKUP(表格1[[#This Row],[服務類別(英)]],參考2_服務標準對照!$B:$B,參考2_服務標準對照!$C:$C,"")&amp;""</f>
        <v>OGC</v>
      </c>
      <c r="V71" s="29" t="s">
        <v>7</v>
      </c>
      <c r="W71" s="29" t="s">
        <v>163</v>
      </c>
      <c r="X71" s="29" t="s">
        <v>81</v>
      </c>
      <c r="Y71" s="36" t="s">
        <v>83</v>
      </c>
      <c r="Z71" s="36" t="s">
        <v>157</v>
      </c>
      <c r="AA71" s="36" t="s">
        <v>173</v>
      </c>
      <c r="AB71" s="36"/>
      <c r="AC71" s="36"/>
      <c r="AD71" s="29" t="s">
        <v>119</v>
      </c>
      <c r="AE71" s="36" t="str">
        <f>_xlfn.XLOOKUP(表格1[[#This Row],[唯一識別碼]],API清冊0707!B:B,API清冊0707!T:T,"")&amp;""</f>
        <v>無下拉選單</v>
      </c>
    </row>
    <row r="72" spans="1:31" ht="204.75" customHeight="1" x14ac:dyDescent="0.4">
      <c r="A72" s="29" t="s">
        <v>434</v>
      </c>
      <c r="B72" s="29"/>
      <c r="C72" s="29"/>
      <c r="D72" s="29" t="s">
        <v>435</v>
      </c>
      <c r="E72" s="29" t="s">
        <v>436</v>
      </c>
      <c r="F72" s="29" t="s">
        <v>437</v>
      </c>
      <c r="G72" s="35"/>
      <c r="H72" s="35" t="s">
        <v>151</v>
      </c>
      <c r="I72" s="29" t="s">
        <v>434</v>
      </c>
      <c r="J72" s="37"/>
      <c r="K72" s="38"/>
      <c r="L72" s="38"/>
      <c r="M72" s="36" t="s">
        <v>60</v>
      </c>
      <c r="N72" s="15" t="s">
        <v>152</v>
      </c>
      <c r="O72" s="36" t="s">
        <v>162</v>
      </c>
      <c r="P72" s="36" t="str">
        <f t="shared" si="2"/>
        <v>WMTS_UAV空拍影像_新北市金山區(107年)</v>
      </c>
      <c r="Q72" s="29" t="s">
        <v>437</v>
      </c>
      <c r="R72" s="29" t="str">
        <f t="shared" si="3"/>
        <v>2dms_wmts_v1_UAV107F01</v>
      </c>
      <c r="S72" s="39" t="s">
        <v>155</v>
      </c>
      <c r="U72" s="27" t="str">
        <f>_xlfn.XLOOKUP(表格1[[#This Row],[服務類別(英)]],參考2_服務標準對照!$B:$B,參考2_服務標準對照!$C:$C,"")&amp;""</f>
        <v>OGC</v>
      </c>
      <c r="V72" s="29" t="s">
        <v>7</v>
      </c>
      <c r="W72" s="29" t="s">
        <v>163</v>
      </c>
      <c r="X72" s="29" t="s">
        <v>81</v>
      </c>
      <c r="Y72" s="36" t="s">
        <v>83</v>
      </c>
      <c r="Z72" s="36" t="s">
        <v>157</v>
      </c>
      <c r="AA72" s="36" t="s">
        <v>173</v>
      </c>
      <c r="AB72" s="36"/>
      <c r="AC72" s="36"/>
      <c r="AD72" s="29" t="s">
        <v>119</v>
      </c>
      <c r="AE72" s="36" t="str">
        <f>_xlfn.XLOOKUP(表格1[[#This Row],[唯一識別碼]],API清冊0707!B:B,API清冊0707!T:T,"")&amp;""</f>
        <v>無下拉選單</v>
      </c>
    </row>
    <row r="73" spans="1:31" ht="204.75" customHeight="1" x14ac:dyDescent="0.4">
      <c r="A73" s="29" t="s">
        <v>438</v>
      </c>
      <c r="B73" s="29"/>
      <c r="C73" s="29"/>
      <c r="D73" s="29" t="s">
        <v>439</v>
      </c>
      <c r="E73" s="29" t="s">
        <v>440</v>
      </c>
      <c r="F73" s="29" t="s">
        <v>441</v>
      </c>
      <c r="G73" s="35"/>
      <c r="H73" s="35" t="s">
        <v>151</v>
      </c>
      <c r="I73" s="29" t="s">
        <v>438</v>
      </c>
      <c r="J73" s="37"/>
      <c r="K73" s="38"/>
      <c r="L73" s="38"/>
      <c r="M73" s="36" t="s">
        <v>60</v>
      </c>
      <c r="N73" s="15" t="s">
        <v>152</v>
      </c>
      <c r="O73" s="36" t="s">
        <v>162</v>
      </c>
      <c r="P73" s="36" t="str">
        <f t="shared" si="2"/>
        <v>WMTS_UAV空拍影像_臺中市龍井區及彰化縣伸港鄉(107年)</v>
      </c>
      <c r="Q73" s="29" t="s">
        <v>441</v>
      </c>
      <c r="R73" s="29" t="str">
        <f t="shared" si="3"/>
        <v>2dms_wmts_v1_UAV107D01</v>
      </c>
      <c r="S73" s="39" t="s">
        <v>155</v>
      </c>
      <c r="U73" s="27" t="str">
        <f>_xlfn.XLOOKUP(表格1[[#This Row],[服務類別(英)]],參考2_服務標準對照!$B:$B,參考2_服務標準對照!$C:$C,"")&amp;""</f>
        <v>OGC</v>
      </c>
      <c r="V73" s="29" t="s">
        <v>7</v>
      </c>
      <c r="W73" s="29" t="s">
        <v>163</v>
      </c>
      <c r="X73" s="29" t="s">
        <v>81</v>
      </c>
      <c r="Y73" s="36" t="s">
        <v>83</v>
      </c>
      <c r="Z73" s="36" t="s">
        <v>157</v>
      </c>
      <c r="AA73" s="36" t="s">
        <v>173</v>
      </c>
      <c r="AB73" s="36"/>
      <c r="AC73" s="36"/>
      <c r="AD73" s="29" t="s">
        <v>119</v>
      </c>
      <c r="AE73" s="36" t="str">
        <f>_xlfn.XLOOKUP(表格1[[#This Row],[唯一識別碼]],API清冊0707!B:B,API清冊0707!T:T,"")&amp;""</f>
        <v>無下拉選單</v>
      </c>
    </row>
    <row r="74" spans="1:31" ht="204.75" customHeight="1" x14ac:dyDescent="0.4">
      <c r="A74" s="29" t="s">
        <v>442</v>
      </c>
      <c r="B74" s="29"/>
      <c r="C74" s="29"/>
      <c r="D74" s="29" t="s">
        <v>443</v>
      </c>
      <c r="E74" s="29" t="s">
        <v>444</v>
      </c>
      <c r="F74" s="29" t="s">
        <v>445</v>
      </c>
      <c r="G74" s="35"/>
      <c r="H74" s="35" t="s">
        <v>151</v>
      </c>
      <c r="I74" s="29" t="s">
        <v>442</v>
      </c>
      <c r="J74" s="37"/>
      <c r="K74" s="38"/>
      <c r="L74" s="38"/>
      <c r="M74" s="36" t="s">
        <v>60</v>
      </c>
      <c r="N74" s="15" t="s">
        <v>152</v>
      </c>
      <c r="O74" s="36" t="s">
        <v>162</v>
      </c>
      <c r="P74" s="36" t="str">
        <f t="shared" si="2"/>
        <v>WMTS_UAV空拍影像_臺中市和平區(107年)</v>
      </c>
      <c r="Q74" s="29" t="s">
        <v>445</v>
      </c>
      <c r="R74" s="29" t="str">
        <f t="shared" si="3"/>
        <v>2dms_wmts_v1_UAV107B02</v>
      </c>
      <c r="S74" s="39" t="s">
        <v>155</v>
      </c>
      <c r="U74" s="27" t="str">
        <f>_xlfn.XLOOKUP(表格1[[#This Row],[服務類別(英)]],參考2_服務標準對照!$B:$B,參考2_服務標準對照!$C:$C,"")&amp;""</f>
        <v>OGC</v>
      </c>
      <c r="V74" s="29" t="s">
        <v>7</v>
      </c>
      <c r="W74" s="29" t="s">
        <v>163</v>
      </c>
      <c r="X74" s="29" t="s">
        <v>81</v>
      </c>
      <c r="Y74" s="36" t="s">
        <v>83</v>
      </c>
      <c r="Z74" s="36" t="s">
        <v>157</v>
      </c>
      <c r="AA74" s="36" t="s">
        <v>173</v>
      </c>
      <c r="AB74" s="36"/>
      <c r="AC74" s="36"/>
      <c r="AD74" s="29" t="s">
        <v>119</v>
      </c>
      <c r="AE74" s="36" t="str">
        <f>_xlfn.XLOOKUP(表格1[[#This Row],[唯一識別碼]],API清冊0707!B:B,API清冊0707!T:T,"")&amp;""</f>
        <v>無下拉選單</v>
      </c>
    </row>
    <row r="75" spans="1:31" ht="204.75" customHeight="1" x14ac:dyDescent="0.4">
      <c r="A75" s="29" t="s">
        <v>446</v>
      </c>
      <c r="B75" s="29"/>
      <c r="C75" s="29"/>
      <c r="D75" s="29" t="s">
        <v>447</v>
      </c>
      <c r="E75" s="29" t="s">
        <v>448</v>
      </c>
      <c r="F75" s="29" t="s">
        <v>449</v>
      </c>
      <c r="G75" s="35"/>
      <c r="H75" s="35" t="s">
        <v>151</v>
      </c>
      <c r="I75" s="29" t="s">
        <v>446</v>
      </c>
      <c r="J75" s="37"/>
      <c r="K75" s="38"/>
      <c r="L75" s="38"/>
      <c r="M75" s="36" t="s">
        <v>60</v>
      </c>
      <c r="N75" s="15" t="s">
        <v>152</v>
      </c>
      <c r="O75" s="36" t="s">
        <v>162</v>
      </c>
      <c r="P75" s="36" t="str">
        <f t="shared" si="2"/>
        <v>WMTS_UAV空拍影像_臺中市大安區(107年)</v>
      </c>
      <c r="Q75" s="29" t="s">
        <v>449</v>
      </c>
      <c r="R75" s="29" t="str">
        <f t="shared" si="3"/>
        <v>2dms_wmts_v1_UAV107B01</v>
      </c>
      <c r="S75" s="39" t="s">
        <v>155</v>
      </c>
      <c r="U75" s="27" t="str">
        <f>_xlfn.XLOOKUP(表格1[[#This Row],[服務類別(英)]],參考2_服務標準對照!$B:$B,參考2_服務標準對照!$C:$C,"")&amp;""</f>
        <v>OGC</v>
      </c>
      <c r="V75" s="29" t="s">
        <v>7</v>
      </c>
      <c r="W75" s="29" t="s">
        <v>163</v>
      </c>
      <c r="X75" s="29" t="s">
        <v>81</v>
      </c>
      <c r="Y75" s="36" t="s">
        <v>83</v>
      </c>
      <c r="Z75" s="36" t="s">
        <v>157</v>
      </c>
      <c r="AA75" s="36" t="s">
        <v>173</v>
      </c>
      <c r="AB75" s="36"/>
      <c r="AC75" s="36"/>
      <c r="AD75" s="29" t="s">
        <v>119</v>
      </c>
      <c r="AE75" s="36" t="str">
        <f>_xlfn.XLOOKUP(表格1[[#This Row],[唯一識別碼]],API清冊0707!B:B,API清冊0707!T:T,"")&amp;""</f>
        <v>無下拉選單</v>
      </c>
    </row>
    <row r="76" spans="1:31" ht="204.75" customHeight="1" x14ac:dyDescent="0.4">
      <c r="A76" s="29" t="s">
        <v>450</v>
      </c>
      <c r="B76" s="29"/>
      <c r="C76" s="29"/>
      <c r="D76" s="29" t="s">
        <v>451</v>
      </c>
      <c r="E76" s="29" t="s">
        <v>452</v>
      </c>
      <c r="F76" s="29" t="s">
        <v>453</v>
      </c>
      <c r="G76" s="35"/>
      <c r="H76" s="35" t="s">
        <v>151</v>
      </c>
      <c r="I76" s="29" t="s">
        <v>450</v>
      </c>
      <c r="J76" s="37"/>
      <c r="K76" s="38"/>
      <c r="L76" s="38"/>
      <c r="M76" s="36" t="s">
        <v>60</v>
      </c>
      <c r="N76" s="15" t="s">
        <v>152</v>
      </c>
      <c r="O76" s="36" t="s">
        <v>162</v>
      </c>
      <c r="P76" s="36" t="str">
        <f t="shared" si="2"/>
        <v>WMTS_UAV空拍影像_臺北市士林區夢幻湖(107年)</v>
      </c>
      <c r="Q76" s="29" t="s">
        <v>453</v>
      </c>
      <c r="R76" s="29" t="str">
        <f t="shared" si="3"/>
        <v>2dms_wmts_v1_UAV107A03</v>
      </c>
      <c r="S76" s="39" t="s">
        <v>155</v>
      </c>
      <c r="U76" s="27" t="str">
        <f>_xlfn.XLOOKUP(表格1[[#This Row],[服務類別(英)]],參考2_服務標準對照!$B:$B,參考2_服務標準對照!$C:$C,"")&amp;""</f>
        <v>OGC</v>
      </c>
      <c r="V76" s="29" t="s">
        <v>7</v>
      </c>
      <c r="W76" s="29" t="s">
        <v>163</v>
      </c>
      <c r="X76" s="29" t="s">
        <v>81</v>
      </c>
      <c r="Y76" s="36" t="s">
        <v>83</v>
      </c>
      <c r="Z76" s="36" t="s">
        <v>157</v>
      </c>
      <c r="AA76" s="36" t="s">
        <v>173</v>
      </c>
      <c r="AB76" s="36"/>
      <c r="AC76" s="36"/>
      <c r="AD76" s="29" t="s">
        <v>119</v>
      </c>
      <c r="AE76" s="36" t="str">
        <f>_xlfn.XLOOKUP(表格1[[#This Row],[唯一識別碼]],API清冊0707!B:B,API清冊0707!T:T,"")&amp;""</f>
        <v>無下拉選單</v>
      </c>
    </row>
    <row r="77" spans="1:31" ht="204.75" customHeight="1" x14ac:dyDescent="0.4">
      <c r="A77" s="29" t="s">
        <v>454</v>
      </c>
      <c r="B77" s="29"/>
      <c r="C77" s="29"/>
      <c r="D77" s="29" t="s">
        <v>455</v>
      </c>
      <c r="E77" s="29" t="s">
        <v>456</v>
      </c>
      <c r="F77" s="29" t="s">
        <v>457</v>
      </c>
      <c r="G77" s="35"/>
      <c r="H77" s="35" t="s">
        <v>151</v>
      </c>
      <c r="I77" s="29" t="s">
        <v>454</v>
      </c>
      <c r="J77" s="37"/>
      <c r="K77" s="38"/>
      <c r="L77" s="38"/>
      <c r="M77" s="36" t="s">
        <v>60</v>
      </c>
      <c r="N77" s="15" t="s">
        <v>152</v>
      </c>
      <c r="O77" s="36" t="s">
        <v>162</v>
      </c>
      <c r="P77" s="36" t="str">
        <f t="shared" si="2"/>
        <v>WMTS_UAV空拍影像_臺北市士林區馬槽(107年)</v>
      </c>
      <c r="Q77" s="29" t="s">
        <v>457</v>
      </c>
      <c r="R77" s="29" t="str">
        <f t="shared" si="3"/>
        <v>2dms_wmts_v1_UAV107A02</v>
      </c>
      <c r="S77" s="39" t="s">
        <v>155</v>
      </c>
      <c r="U77" s="27" t="str">
        <f>_xlfn.XLOOKUP(表格1[[#This Row],[服務類別(英)]],參考2_服務標準對照!$B:$B,參考2_服務標準對照!$C:$C,"")&amp;""</f>
        <v>OGC</v>
      </c>
      <c r="V77" s="29" t="s">
        <v>7</v>
      </c>
      <c r="W77" s="29" t="s">
        <v>163</v>
      </c>
      <c r="X77" s="29" t="s">
        <v>81</v>
      </c>
      <c r="Y77" s="36" t="s">
        <v>83</v>
      </c>
      <c r="Z77" s="36" t="s">
        <v>157</v>
      </c>
      <c r="AA77" s="36" t="s">
        <v>173</v>
      </c>
      <c r="AB77" s="36"/>
      <c r="AC77" s="36"/>
      <c r="AD77" s="29" t="s">
        <v>119</v>
      </c>
      <c r="AE77" s="36" t="str">
        <f>_xlfn.XLOOKUP(表格1[[#This Row],[唯一識別碼]],API清冊0707!B:B,API清冊0707!T:T,"")&amp;""</f>
        <v>無下拉選單</v>
      </c>
    </row>
    <row r="78" spans="1:31" ht="204.75" customHeight="1" x14ac:dyDescent="0.4">
      <c r="A78" s="29" t="s">
        <v>458</v>
      </c>
      <c r="B78" s="29"/>
      <c r="C78" s="29"/>
      <c r="D78" s="29" t="s">
        <v>459</v>
      </c>
      <c r="E78" s="29" t="s">
        <v>460</v>
      </c>
      <c r="F78" s="29" t="s">
        <v>461</v>
      </c>
      <c r="G78" s="35"/>
      <c r="H78" s="35" t="s">
        <v>151</v>
      </c>
      <c r="I78" s="29" t="s">
        <v>458</v>
      </c>
      <c r="J78" s="37"/>
      <c r="K78" s="38"/>
      <c r="L78" s="38"/>
      <c r="M78" s="36" t="s">
        <v>60</v>
      </c>
      <c r="N78" s="15" t="s">
        <v>152</v>
      </c>
      <c r="O78" s="36" t="s">
        <v>162</v>
      </c>
      <c r="P78" s="36" t="str">
        <f t="shared" si="2"/>
        <v>WMTS_UAV空拍影像_臺北市士林區大油坑(107年)</v>
      </c>
      <c r="Q78" s="29" t="s">
        <v>461</v>
      </c>
      <c r="R78" s="29" t="str">
        <f t="shared" si="3"/>
        <v>2dms_wmts_v1_UAV107A01</v>
      </c>
      <c r="S78" s="39" t="s">
        <v>155</v>
      </c>
      <c r="U78" s="27" t="str">
        <f>_xlfn.XLOOKUP(表格1[[#This Row],[服務類別(英)]],參考2_服務標準對照!$B:$B,參考2_服務標準對照!$C:$C,"")&amp;""</f>
        <v>OGC</v>
      </c>
      <c r="V78" s="29" t="s">
        <v>7</v>
      </c>
      <c r="W78" s="29" t="s">
        <v>163</v>
      </c>
      <c r="X78" s="29" t="s">
        <v>81</v>
      </c>
      <c r="Y78" s="36" t="s">
        <v>83</v>
      </c>
      <c r="Z78" s="36" t="s">
        <v>157</v>
      </c>
      <c r="AA78" s="36" t="s">
        <v>173</v>
      </c>
      <c r="AB78" s="36"/>
      <c r="AC78" s="36"/>
      <c r="AD78" s="29" t="s">
        <v>119</v>
      </c>
      <c r="AE78" s="36" t="str">
        <f>_xlfn.XLOOKUP(表格1[[#This Row],[唯一識別碼]],API清冊0707!B:B,API清冊0707!T:T,"")&amp;""</f>
        <v>無下拉選單</v>
      </c>
    </row>
    <row r="79" spans="1:31" ht="204.75" customHeight="1" x14ac:dyDescent="0.4">
      <c r="A79" s="29" t="s">
        <v>462</v>
      </c>
      <c r="B79" s="29"/>
      <c r="C79" s="29"/>
      <c r="D79" s="29" t="s">
        <v>463</v>
      </c>
      <c r="E79" s="29" t="s">
        <v>464</v>
      </c>
      <c r="F79" s="29" t="s">
        <v>465</v>
      </c>
      <c r="G79" s="35"/>
      <c r="H79" s="35" t="s">
        <v>151</v>
      </c>
      <c r="I79" s="29" t="s">
        <v>462</v>
      </c>
      <c r="J79" s="37"/>
      <c r="K79" s="38"/>
      <c r="L79" s="38"/>
      <c r="M79" s="36" t="s">
        <v>60</v>
      </c>
      <c r="N79" s="15" t="s">
        <v>152</v>
      </c>
      <c r="O79" s="36" t="s">
        <v>162</v>
      </c>
      <c r="P79" s="36" t="str">
        <f t="shared" si="2"/>
        <v>WMTS_UAV空拍影像_花蓮縣卓溪鄉(106年)</v>
      </c>
      <c r="Q79" s="29" t="s">
        <v>465</v>
      </c>
      <c r="R79" s="29" t="str">
        <f t="shared" si="3"/>
        <v>2dms_wmts_v1_UAV106U01</v>
      </c>
      <c r="S79" s="39" t="s">
        <v>155</v>
      </c>
      <c r="U79" s="27" t="str">
        <f>_xlfn.XLOOKUP(表格1[[#This Row],[服務類別(英)]],參考2_服務標準對照!$B:$B,參考2_服務標準對照!$C:$C,"")&amp;""</f>
        <v>OGC</v>
      </c>
      <c r="V79" s="29" t="s">
        <v>7</v>
      </c>
      <c r="W79" s="29" t="s">
        <v>163</v>
      </c>
      <c r="X79" s="29" t="s">
        <v>81</v>
      </c>
      <c r="Y79" s="36" t="s">
        <v>83</v>
      </c>
      <c r="Z79" s="36" t="s">
        <v>157</v>
      </c>
      <c r="AA79" s="36" t="s">
        <v>173</v>
      </c>
      <c r="AB79" s="36"/>
      <c r="AC79" s="36"/>
      <c r="AD79" s="29" t="s">
        <v>119</v>
      </c>
      <c r="AE79" s="36" t="str">
        <f>_xlfn.XLOOKUP(表格1[[#This Row],[唯一識別碼]],API清冊0707!B:B,API清冊0707!T:T,"")&amp;""</f>
        <v>無下拉選單</v>
      </c>
    </row>
    <row r="80" spans="1:31" ht="204.75" customHeight="1" x14ac:dyDescent="0.4">
      <c r="A80" s="29" t="s">
        <v>466</v>
      </c>
      <c r="B80" s="29"/>
      <c r="C80" s="29"/>
      <c r="D80" s="29" t="s">
        <v>467</v>
      </c>
      <c r="E80" s="29" t="s">
        <v>468</v>
      </c>
      <c r="F80" s="29" t="s">
        <v>469</v>
      </c>
      <c r="G80" s="35"/>
      <c r="H80" s="35" t="s">
        <v>151</v>
      </c>
      <c r="I80" s="29" t="s">
        <v>466</v>
      </c>
      <c r="J80" s="37"/>
      <c r="K80" s="38"/>
      <c r="L80" s="38"/>
      <c r="M80" s="36" t="s">
        <v>60</v>
      </c>
      <c r="N80" s="15" t="s">
        <v>152</v>
      </c>
      <c r="O80" s="36" t="s">
        <v>162</v>
      </c>
      <c r="P80" s="36" t="str">
        <f t="shared" si="2"/>
        <v>WMTS_UAV空拍影像_雲林縣斗六市湖山水庫(106年)</v>
      </c>
      <c r="Q80" s="29" t="s">
        <v>469</v>
      </c>
      <c r="R80" s="29" t="str">
        <f t="shared" si="3"/>
        <v>2dms_wmts_v1_UAV106P01</v>
      </c>
      <c r="S80" s="39" t="s">
        <v>155</v>
      </c>
      <c r="U80" s="27" t="str">
        <f>_xlfn.XLOOKUP(表格1[[#This Row],[服務類別(英)]],參考2_服務標準對照!$B:$B,參考2_服務標準對照!$C:$C,"")&amp;""</f>
        <v>OGC</v>
      </c>
      <c r="V80" s="29" t="s">
        <v>7</v>
      </c>
      <c r="W80" s="29" t="s">
        <v>163</v>
      </c>
      <c r="X80" s="29" t="s">
        <v>81</v>
      </c>
      <c r="Y80" s="36" t="s">
        <v>83</v>
      </c>
      <c r="Z80" s="36" t="s">
        <v>157</v>
      </c>
      <c r="AA80" s="36" t="s">
        <v>173</v>
      </c>
      <c r="AB80" s="36"/>
      <c r="AC80" s="36"/>
      <c r="AD80" s="29" t="s">
        <v>119</v>
      </c>
      <c r="AE80" s="36" t="str">
        <f>_xlfn.XLOOKUP(表格1[[#This Row],[唯一識別碼]],API清冊0707!B:B,API清冊0707!T:T,"")&amp;""</f>
        <v>無下拉選單</v>
      </c>
    </row>
    <row r="81" spans="1:31" ht="204.75" customHeight="1" x14ac:dyDescent="0.4">
      <c r="A81" s="29" t="s">
        <v>470</v>
      </c>
      <c r="B81" s="29"/>
      <c r="C81" s="29"/>
      <c r="D81" s="29" t="s">
        <v>471</v>
      </c>
      <c r="E81" s="29" t="s">
        <v>472</v>
      </c>
      <c r="F81" s="29" t="s">
        <v>473</v>
      </c>
      <c r="G81" s="35"/>
      <c r="H81" s="35" t="s">
        <v>151</v>
      </c>
      <c r="I81" s="29" t="s">
        <v>470</v>
      </c>
      <c r="J81" s="37"/>
      <c r="K81" s="38"/>
      <c r="L81" s="38"/>
      <c r="M81" s="36" t="s">
        <v>60</v>
      </c>
      <c r="N81" s="15" t="s">
        <v>152</v>
      </c>
      <c r="O81" s="36" t="s">
        <v>162</v>
      </c>
      <c r="P81" s="36" t="str">
        <f t="shared" si="2"/>
        <v>WMTS_UAV空拍影像_新竹市北區台68線(106年)</v>
      </c>
      <c r="Q81" s="29" t="s">
        <v>473</v>
      </c>
      <c r="R81" s="29" t="str">
        <f t="shared" si="3"/>
        <v>2dms_wmts_v1_UAV106O01</v>
      </c>
      <c r="S81" s="39" t="s">
        <v>155</v>
      </c>
      <c r="U81" s="27" t="str">
        <f>_xlfn.XLOOKUP(表格1[[#This Row],[服務類別(英)]],參考2_服務標準對照!$B:$B,參考2_服務標準對照!$C:$C,"")&amp;""</f>
        <v>OGC</v>
      </c>
      <c r="V81" s="29" t="s">
        <v>7</v>
      </c>
      <c r="W81" s="29" t="s">
        <v>163</v>
      </c>
      <c r="X81" s="29" t="s">
        <v>81</v>
      </c>
      <c r="Y81" s="36" t="s">
        <v>83</v>
      </c>
      <c r="Z81" s="36" t="s">
        <v>157</v>
      </c>
      <c r="AA81" s="36" t="s">
        <v>173</v>
      </c>
      <c r="AB81" s="36"/>
      <c r="AC81" s="36"/>
      <c r="AD81" s="29" t="s">
        <v>119</v>
      </c>
      <c r="AE81" s="36" t="str">
        <f>_xlfn.XLOOKUP(表格1[[#This Row],[唯一識別碼]],API清冊0707!B:B,API清冊0707!T:T,"")&amp;""</f>
        <v>無下拉選單</v>
      </c>
    </row>
    <row r="82" spans="1:31" ht="204.75" customHeight="1" x14ac:dyDescent="0.4">
      <c r="A82" s="29" t="s">
        <v>474</v>
      </c>
      <c r="B82" s="29"/>
      <c r="C82" s="29"/>
      <c r="D82" s="29" t="s">
        <v>475</v>
      </c>
      <c r="E82" s="29" t="s">
        <v>476</v>
      </c>
      <c r="F82" s="29" t="s">
        <v>477</v>
      </c>
      <c r="G82" s="35"/>
      <c r="H82" s="35" t="s">
        <v>151</v>
      </c>
      <c r="I82" s="29" t="s">
        <v>474</v>
      </c>
      <c r="J82" s="37"/>
      <c r="K82" s="38"/>
      <c r="L82" s="38"/>
      <c r="M82" s="36" t="s">
        <v>60</v>
      </c>
      <c r="N82" s="15" t="s">
        <v>152</v>
      </c>
      <c r="O82" s="36" t="s">
        <v>162</v>
      </c>
      <c r="P82" s="36" t="str">
        <f t="shared" si="2"/>
        <v>WMTS_UAV空拍影像_彰化縣大城鄉152線(106年)</v>
      </c>
      <c r="Q82" s="29" t="s">
        <v>477</v>
      </c>
      <c r="R82" s="29" t="str">
        <f t="shared" si="3"/>
        <v>2dms_wmts_v1_UAV106N01</v>
      </c>
      <c r="S82" s="39" t="s">
        <v>155</v>
      </c>
      <c r="U82" s="27" t="str">
        <f>_xlfn.XLOOKUP(表格1[[#This Row],[服務類別(英)]],參考2_服務標準對照!$B:$B,參考2_服務標準對照!$C:$C,"")&amp;""</f>
        <v>OGC</v>
      </c>
      <c r="V82" s="29" t="s">
        <v>7</v>
      </c>
      <c r="W82" s="29" t="s">
        <v>163</v>
      </c>
      <c r="X82" s="29" t="s">
        <v>81</v>
      </c>
      <c r="Y82" s="36" t="s">
        <v>83</v>
      </c>
      <c r="Z82" s="36" t="s">
        <v>157</v>
      </c>
      <c r="AA82" s="36" t="s">
        <v>173</v>
      </c>
      <c r="AB82" s="36"/>
      <c r="AC82" s="36"/>
      <c r="AD82" s="29" t="s">
        <v>119</v>
      </c>
      <c r="AE82" s="36" t="str">
        <f>_xlfn.XLOOKUP(表格1[[#This Row],[唯一識別碼]],API清冊0707!B:B,API清冊0707!T:T,"")&amp;""</f>
        <v>無下拉選單</v>
      </c>
    </row>
    <row r="83" spans="1:31" ht="204.75" customHeight="1" x14ac:dyDescent="0.4">
      <c r="A83" s="29" t="s">
        <v>478</v>
      </c>
      <c r="B83" s="29"/>
      <c r="C83" s="29"/>
      <c r="D83" s="29" t="s">
        <v>479</v>
      </c>
      <c r="E83" s="29" t="s">
        <v>480</v>
      </c>
      <c r="F83" s="29" t="s">
        <v>481</v>
      </c>
      <c r="G83" s="35"/>
      <c r="H83" s="35" t="s">
        <v>151</v>
      </c>
      <c r="I83" s="29" t="s">
        <v>478</v>
      </c>
      <c r="J83" s="37"/>
      <c r="K83" s="38"/>
      <c r="L83" s="38"/>
      <c r="M83" s="36" t="s">
        <v>60</v>
      </c>
      <c r="N83" s="15" t="s">
        <v>152</v>
      </c>
      <c r="O83" s="36" t="s">
        <v>162</v>
      </c>
      <c r="P83" s="36" t="str">
        <f t="shared" si="2"/>
        <v>WMTS_UAV空拍影像_南投縣草屯鎮九九峰(106年)</v>
      </c>
      <c r="Q83" s="29" t="s">
        <v>481</v>
      </c>
      <c r="R83" s="29" t="str">
        <f t="shared" si="3"/>
        <v>2dms_wmts_v1_UAV106M01</v>
      </c>
      <c r="S83" s="39" t="s">
        <v>155</v>
      </c>
      <c r="U83" s="27" t="str">
        <f>_xlfn.XLOOKUP(表格1[[#This Row],[服務類別(英)]],參考2_服務標準對照!$B:$B,參考2_服務標準對照!$C:$C,"")&amp;""</f>
        <v>OGC</v>
      </c>
      <c r="V83" s="29" t="s">
        <v>7</v>
      </c>
      <c r="W83" s="29" t="s">
        <v>163</v>
      </c>
      <c r="X83" s="29" t="s">
        <v>81</v>
      </c>
      <c r="Y83" s="36" t="s">
        <v>83</v>
      </c>
      <c r="Z83" s="36" t="s">
        <v>157</v>
      </c>
      <c r="AA83" s="36" t="s">
        <v>173</v>
      </c>
      <c r="AB83" s="36"/>
      <c r="AC83" s="36"/>
      <c r="AD83" s="29" t="s">
        <v>119</v>
      </c>
      <c r="AE83" s="36" t="str">
        <f>_xlfn.XLOOKUP(表格1[[#This Row],[唯一識別碼]],API清冊0707!B:B,API清冊0707!T:T,"")&amp;""</f>
        <v>無下拉選單</v>
      </c>
    </row>
    <row r="84" spans="1:31" ht="204.75" customHeight="1" x14ac:dyDescent="0.4">
      <c r="A84" s="29" t="s">
        <v>482</v>
      </c>
      <c r="B84" s="29"/>
      <c r="C84" s="29"/>
      <c r="D84" s="29" t="s">
        <v>483</v>
      </c>
      <c r="E84" s="29" t="s">
        <v>484</v>
      </c>
      <c r="F84" s="29" t="s">
        <v>485</v>
      </c>
      <c r="G84" s="35"/>
      <c r="H84" s="35" t="s">
        <v>151</v>
      </c>
      <c r="I84" s="29" t="s">
        <v>482</v>
      </c>
      <c r="J84" s="37"/>
      <c r="K84" s="38"/>
      <c r="L84" s="38"/>
      <c r="M84" s="36" t="s">
        <v>60</v>
      </c>
      <c r="N84" s="15" t="s">
        <v>152</v>
      </c>
      <c r="O84" s="36" t="s">
        <v>162</v>
      </c>
      <c r="P84" s="36" t="str">
        <f t="shared" si="2"/>
        <v>WMTS_UAV空拍影像_苗栗縣苑裡鎮火炎山(106年)</v>
      </c>
      <c r="Q84" s="29" t="s">
        <v>485</v>
      </c>
      <c r="R84" s="29" t="str">
        <f t="shared" si="3"/>
        <v>2dms_wmts_v1_UAV106K01</v>
      </c>
      <c r="S84" s="39" t="s">
        <v>155</v>
      </c>
      <c r="U84" s="27" t="str">
        <f>_xlfn.XLOOKUP(表格1[[#This Row],[服務類別(英)]],參考2_服務標準對照!$B:$B,參考2_服務標準對照!$C:$C,"")&amp;""</f>
        <v>OGC</v>
      </c>
      <c r="V84" s="29" t="s">
        <v>7</v>
      </c>
      <c r="W84" s="29" t="s">
        <v>163</v>
      </c>
      <c r="X84" s="29" t="s">
        <v>81</v>
      </c>
      <c r="Y84" s="36" t="s">
        <v>83</v>
      </c>
      <c r="Z84" s="36" t="s">
        <v>157</v>
      </c>
      <c r="AA84" s="36" t="s">
        <v>173</v>
      </c>
      <c r="AB84" s="36"/>
      <c r="AC84" s="36"/>
      <c r="AD84" s="29" t="s">
        <v>119</v>
      </c>
      <c r="AE84" s="36" t="str">
        <f>_xlfn.XLOOKUP(表格1[[#This Row],[唯一識別碼]],API清冊0707!B:B,API清冊0707!T:T,"")&amp;""</f>
        <v>無下拉選單</v>
      </c>
    </row>
    <row r="85" spans="1:31" ht="204.75" customHeight="1" x14ac:dyDescent="0.4">
      <c r="A85" s="29" t="s">
        <v>486</v>
      </c>
      <c r="B85" s="29"/>
      <c r="C85" s="29"/>
      <c r="D85" s="29" t="s">
        <v>487</v>
      </c>
      <c r="E85" s="29" t="s">
        <v>488</v>
      </c>
      <c r="F85" s="29" t="s">
        <v>489</v>
      </c>
      <c r="G85" s="35"/>
      <c r="H85" s="35" t="s">
        <v>151</v>
      </c>
      <c r="I85" s="29" t="s">
        <v>486</v>
      </c>
      <c r="J85" s="37"/>
      <c r="K85" s="38"/>
      <c r="L85" s="38"/>
      <c r="M85" s="36" t="s">
        <v>60</v>
      </c>
      <c r="N85" s="15" t="s">
        <v>152</v>
      </c>
      <c r="O85" s="36" t="s">
        <v>162</v>
      </c>
      <c r="P85" s="36" t="str">
        <f t="shared" si="2"/>
        <v>WMTS_UAV空拍影像_嘉義市西區湖子內區段徵收(106年)</v>
      </c>
      <c r="Q85" s="29" t="s">
        <v>489</v>
      </c>
      <c r="R85" s="29" t="str">
        <f t="shared" si="3"/>
        <v>2dms_wmts_v1_UAV106I02</v>
      </c>
      <c r="S85" s="39" t="s">
        <v>155</v>
      </c>
      <c r="U85" s="27" t="str">
        <f>_xlfn.XLOOKUP(表格1[[#This Row],[服務類別(英)]],參考2_服務標準對照!$B:$B,參考2_服務標準對照!$C:$C,"")&amp;""</f>
        <v>OGC</v>
      </c>
      <c r="V85" s="29" t="s">
        <v>7</v>
      </c>
      <c r="W85" s="29" t="s">
        <v>163</v>
      </c>
      <c r="X85" s="29" t="s">
        <v>81</v>
      </c>
      <c r="Y85" s="36" t="s">
        <v>83</v>
      </c>
      <c r="Z85" s="36" t="s">
        <v>157</v>
      </c>
      <c r="AA85" s="36" t="s">
        <v>490</v>
      </c>
      <c r="AB85" s="36"/>
      <c r="AC85" s="36"/>
      <c r="AD85" s="29" t="s">
        <v>119</v>
      </c>
      <c r="AE85" s="36" t="str">
        <f>_xlfn.XLOOKUP(表格1[[#This Row],[唯一識別碼]],API清冊0707!B:B,API清冊0707!T:T,"")&amp;""</f>
        <v>無下拉選單</v>
      </c>
    </row>
    <row r="86" spans="1:31" ht="204.75" customHeight="1" x14ac:dyDescent="0.4">
      <c r="A86" s="29" t="s">
        <v>491</v>
      </c>
      <c r="B86" s="29"/>
      <c r="C86" s="29"/>
      <c r="D86" s="29" t="s">
        <v>492</v>
      </c>
      <c r="E86" s="29" t="s">
        <v>493</v>
      </c>
      <c r="F86" s="29" t="s">
        <v>494</v>
      </c>
      <c r="G86" s="35"/>
      <c r="H86" s="35" t="s">
        <v>151</v>
      </c>
      <c r="I86" s="29" t="s">
        <v>491</v>
      </c>
      <c r="J86" s="37"/>
      <c r="K86" s="38"/>
      <c r="L86" s="38"/>
      <c r="M86" s="36" t="s">
        <v>60</v>
      </c>
      <c r="N86" s="15" t="s">
        <v>152</v>
      </c>
      <c r="O86" s="36" t="s">
        <v>162</v>
      </c>
      <c r="P86" s="36" t="str">
        <f t="shared" si="2"/>
        <v>WMTS_UAV空拍影像_嘉義市東區彌陀路拓寬工程(106年)</v>
      </c>
      <c r="Q86" s="29" t="s">
        <v>494</v>
      </c>
      <c r="R86" s="29" t="str">
        <f t="shared" si="3"/>
        <v>2dms_wmts_v1_UAV106I01</v>
      </c>
      <c r="S86" s="39" t="s">
        <v>155</v>
      </c>
      <c r="U86" s="27" t="str">
        <f>_xlfn.XLOOKUP(表格1[[#This Row],[服務類別(英)]],參考2_服務標準對照!$B:$B,參考2_服務標準對照!$C:$C,"")&amp;""</f>
        <v>OGC</v>
      </c>
      <c r="V86" s="29" t="s">
        <v>7</v>
      </c>
      <c r="W86" s="29" t="s">
        <v>163</v>
      </c>
      <c r="X86" s="29" t="s">
        <v>81</v>
      </c>
      <c r="Y86" s="36" t="s">
        <v>83</v>
      </c>
      <c r="Z86" s="36" t="s">
        <v>157</v>
      </c>
      <c r="AA86" s="36" t="s">
        <v>173</v>
      </c>
      <c r="AB86" s="36"/>
      <c r="AC86" s="36"/>
      <c r="AD86" s="29" t="s">
        <v>119</v>
      </c>
      <c r="AE86" s="36" t="str">
        <f>_xlfn.XLOOKUP(表格1[[#This Row],[唯一識別碼]],API清冊0707!B:B,API清冊0707!T:T,"")&amp;""</f>
        <v>無下拉選單</v>
      </c>
    </row>
    <row r="87" spans="1:31" ht="204.75" customHeight="1" x14ac:dyDescent="0.4">
      <c r="A87" s="29" t="s">
        <v>495</v>
      </c>
      <c r="B87" s="29"/>
      <c r="C87" s="29"/>
      <c r="D87" s="29" t="s">
        <v>496</v>
      </c>
      <c r="E87" s="29" t="s">
        <v>497</v>
      </c>
      <c r="F87" s="29" t="s">
        <v>498</v>
      </c>
      <c r="G87" s="35"/>
      <c r="H87" s="35" t="s">
        <v>151</v>
      </c>
      <c r="I87" s="29" t="s">
        <v>495</v>
      </c>
      <c r="J87" s="37"/>
      <c r="K87" s="38"/>
      <c r="L87" s="38"/>
      <c r="M87" s="36" t="s">
        <v>60</v>
      </c>
      <c r="N87" s="15" t="s">
        <v>152</v>
      </c>
      <c r="O87" s="36" t="s">
        <v>162</v>
      </c>
      <c r="P87" s="36" t="str">
        <f t="shared" si="2"/>
        <v>WMTS_UAV空拍影像_桃園市觀音區(106年)</v>
      </c>
      <c r="Q87" s="29" t="s">
        <v>498</v>
      </c>
      <c r="R87" s="29" t="str">
        <f t="shared" si="3"/>
        <v>2dms_wmts_v1_UAV106H03</v>
      </c>
      <c r="S87" s="39" t="s">
        <v>155</v>
      </c>
      <c r="U87" s="27" t="str">
        <f>_xlfn.XLOOKUP(表格1[[#This Row],[服務類別(英)]],參考2_服務標準對照!$B:$B,參考2_服務標準對照!$C:$C,"")&amp;""</f>
        <v>OGC</v>
      </c>
      <c r="V87" s="29" t="s">
        <v>7</v>
      </c>
      <c r="W87" s="29" t="s">
        <v>163</v>
      </c>
      <c r="X87" s="29" t="s">
        <v>81</v>
      </c>
      <c r="Y87" s="36" t="s">
        <v>83</v>
      </c>
      <c r="Z87" s="36" t="s">
        <v>157</v>
      </c>
      <c r="AA87" s="36" t="s">
        <v>173</v>
      </c>
      <c r="AB87" s="36"/>
      <c r="AC87" s="36"/>
      <c r="AD87" s="29" t="s">
        <v>119</v>
      </c>
      <c r="AE87" s="36" t="str">
        <f>_xlfn.XLOOKUP(表格1[[#This Row],[唯一識別碼]],API清冊0707!B:B,API清冊0707!T:T,"")&amp;""</f>
        <v>無下拉選單</v>
      </c>
    </row>
    <row r="88" spans="1:31" ht="204.75" customHeight="1" x14ac:dyDescent="0.4">
      <c r="A88" s="29" t="s">
        <v>499</v>
      </c>
      <c r="B88" s="29"/>
      <c r="C88" s="29"/>
      <c r="D88" s="29" t="s">
        <v>500</v>
      </c>
      <c r="E88" s="29" t="s">
        <v>501</v>
      </c>
      <c r="F88" s="29" t="s">
        <v>502</v>
      </c>
      <c r="G88" s="35"/>
      <c r="H88" s="35" t="s">
        <v>151</v>
      </c>
      <c r="I88" s="29" t="s">
        <v>499</v>
      </c>
      <c r="J88" s="37"/>
      <c r="K88" s="38"/>
      <c r="L88" s="38"/>
      <c r="M88" s="36" t="s">
        <v>60</v>
      </c>
      <c r="N88" s="15" t="s">
        <v>152</v>
      </c>
      <c r="O88" s="36" t="s">
        <v>162</v>
      </c>
      <c r="P88" s="36" t="str">
        <f t="shared" si="2"/>
        <v>WMTS_UAV空拍影像_桃園市新屋區(106年)</v>
      </c>
      <c r="Q88" s="29" t="s">
        <v>502</v>
      </c>
      <c r="R88" s="29" t="str">
        <f t="shared" si="3"/>
        <v>2dms_wmts_v1_UAV106H02</v>
      </c>
      <c r="S88" s="39" t="s">
        <v>155</v>
      </c>
      <c r="U88" s="27" t="str">
        <f>_xlfn.XLOOKUP(表格1[[#This Row],[服務類別(英)]],參考2_服務標準對照!$B:$B,參考2_服務標準對照!$C:$C,"")&amp;""</f>
        <v>OGC</v>
      </c>
      <c r="V88" s="29" t="s">
        <v>7</v>
      </c>
      <c r="W88" s="29" t="s">
        <v>163</v>
      </c>
      <c r="X88" s="29" t="s">
        <v>81</v>
      </c>
      <c r="Y88" s="36" t="s">
        <v>83</v>
      </c>
      <c r="Z88" s="36" t="s">
        <v>157</v>
      </c>
      <c r="AA88" s="36" t="s">
        <v>173</v>
      </c>
      <c r="AB88" s="36"/>
      <c r="AC88" s="36"/>
      <c r="AD88" s="29" t="s">
        <v>119</v>
      </c>
      <c r="AE88" s="36" t="str">
        <f>_xlfn.XLOOKUP(表格1[[#This Row],[唯一識別碼]],API清冊0707!B:B,API清冊0707!T:T,"")&amp;""</f>
        <v>無下拉選單</v>
      </c>
    </row>
    <row r="89" spans="1:31" ht="204.75" customHeight="1" x14ac:dyDescent="0.4">
      <c r="A89" s="29" t="s">
        <v>503</v>
      </c>
      <c r="B89" s="29"/>
      <c r="C89" s="29"/>
      <c r="D89" s="29" t="s">
        <v>504</v>
      </c>
      <c r="E89" s="29" t="s">
        <v>505</v>
      </c>
      <c r="F89" s="29" t="s">
        <v>506</v>
      </c>
      <c r="G89" s="35"/>
      <c r="H89" s="35" t="s">
        <v>151</v>
      </c>
      <c r="I89" s="29" t="s">
        <v>503</v>
      </c>
      <c r="J89" s="37"/>
      <c r="K89" s="38"/>
      <c r="L89" s="38"/>
      <c r="M89" s="36" t="s">
        <v>60</v>
      </c>
      <c r="N89" s="15" t="s">
        <v>152</v>
      </c>
      <c r="O89" s="36" t="s">
        <v>162</v>
      </c>
      <c r="P89" s="36" t="str">
        <f t="shared" si="2"/>
        <v>WMTS_UAV空拍影像_桃園市平鎮區(106年)</v>
      </c>
      <c r="Q89" s="29" t="s">
        <v>506</v>
      </c>
      <c r="R89" s="29" t="str">
        <f t="shared" si="3"/>
        <v>2dms_wmts_v1_UAV106H01</v>
      </c>
      <c r="S89" s="39" t="s">
        <v>155</v>
      </c>
      <c r="U89" s="27" t="str">
        <f>_xlfn.XLOOKUP(表格1[[#This Row],[服務類別(英)]],參考2_服務標準對照!$B:$B,參考2_服務標準對照!$C:$C,"")&amp;""</f>
        <v>OGC</v>
      </c>
      <c r="V89" s="29" t="s">
        <v>7</v>
      </c>
      <c r="W89" s="29" t="s">
        <v>163</v>
      </c>
      <c r="X89" s="29" t="s">
        <v>81</v>
      </c>
      <c r="Y89" s="36" t="s">
        <v>83</v>
      </c>
      <c r="Z89" s="36" t="s">
        <v>157</v>
      </c>
      <c r="AA89" s="36" t="s">
        <v>173</v>
      </c>
      <c r="AB89" s="36"/>
      <c r="AC89" s="36"/>
      <c r="AD89" s="29" t="s">
        <v>119</v>
      </c>
      <c r="AE89" s="36" t="str">
        <f>_xlfn.XLOOKUP(表格1[[#This Row],[唯一識別碼]],API清冊0707!B:B,API清冊0707!T:T,"")&amp;""</f>
        <v>無下拉選單</v>
      </c>
    </row>
    <row r="90" spans="1:31" ht="204.75" customHeight="1" x14ac:dyDescent="0.4">
      <c r="A90" s="29" t="s">
        <v>507</v>
      </c>
      <c r="B90" s="29"/>
      <c r="C90" s="29"/>
      <c r="D90" s="29" t="s">
        <v>508</v>
      </c>
      <c r="E90" s="29" t="s">
        <v>509</v>
      </c>
      <c r="F90" s="29" t="s">
        <v>510</v>
      </c>
      <c r="G90" s="35"/>
      <c r="H90" s="35" t="s">
        <v>151</v>
      </c>
      <c r="I90" s="29" t="s">
        <v>507</v>
      </c>
      <c r="J90" s="37"/>
      <c r="K90" s="38"/>
      <c r="L90" s="38"/>
      <c r="M90" s="36" t="s">
        <v>60</v>
      </c>
      <c r="N90" s="15" t="s">
        <v>152</v>
      </c>
      <c r="O90" s="36" t="s">
        <v>162</v>
      </c>
      <c r="P90" s="36" t="str">
        <f t="shared" si="2"/>
        <v>WMTS_UAV空拍影像_新北市樹林區國3樹林交流道(106年)</v>
      </c>
      <c r="Q90" s="29" t="s">
        <v>510</v>
      </c>
      <c r="R90" s="29" t="str">
        <f t="shared" si="3"/>
        <v>2dms_wmts_v1_UAV106F02</v>
      </c>
      <c r="S90" s="39" t="s">
        <v>155</v>
      </c>
      <c r="U90" s="27" t="str">
        <f>_xlfn.XLOOKUP(表格1[[#This Row],[服務類別(英)]],參考2_服務標準對照!$B:$B,參考2_服務標準對照!$C:$C,"")&amp;""</f>
        <v>OGC</v>
      </c>
      <c r="V90" s="29" t="s">
        <v>7</v>
      </c>
      <c r="W90" s="29" t="s">
        <v>163</v>
      </c>
      <c r="X90" s="29" t="s">
        <v>81</v>
      </c>
      <c r="Y90" s="36" t="s">
        <v>83</v>
      </c>
      <c r="Z90" s="36" t="s">
        <v>157</v>
      </c>
      <c r="AA90" s="36" t="s">
        <v>173</v>
      </c>
      <c r="AB90" s="36"/>
      <c r="AC90" s="36"/>
      <c r="AD90" s="29" t="s">
        <v>119</v>
      </c>
      <c r="AE90" s="36" t="str">
        <f>_xlfn.XLOOKUP(表格1[[#This Row],[唯一識別碼]],API清冊0707!B:B,API清冊0707!T:T,"")&amp;""</f>
        <v>無下拉選單</v>
      </c>
    </row>
    <row r="91" spans="1:31" ht="204.75" customHeight="1" x14ac:dyDescent="0.4">
      <c r="A91" s="29" t="s">
        <v>511</v>
      </c>
      <c r="B91" s="29"/>
      <c r="C91" s="29"/>
      <c r="D91" s="29" t="s">
        <v>512</v>
      </c>
      <c r="E91" s="29" t="s">
        <v>513</v>
      </c>
      <c r="F91" s="29" t="s">
        <v>514</v>
      </c>
      <c r="G91" s="35"/>
      <c r="H91" s="35" t="s">
        <v>151</v>
      </c>
      <c r="I91" s="29" t="s">
        <v>511</v>
      </c>
      <c r="J91" s="37"/>
      <c r="K91" s="38"/>
      <c r="L91" s="38"/>
      <c r="M91" s="36" t="s">
        <v>60</v>
      </c>
      <c r="N91" s="15" t="s">
        <v>152</v>
      </c>
      <c r="O91" s="36" t="s">
        <v>162</v>
      </c>
      <c r="P91" s="36" t="str">
        <f t="shared" si="2"/>
        <v>WMTS_UAV空拍影像_新北市烏來區106年)</v>
      </c>
      <c r="Q91" s="29" t="s">
        <v>514</v>
      </c>
      <c r="R91" s="29" t="str">
        <f t="shared" si="3"/>
        <v>2dms_wmts_v1_UAV106F01</v>
      </c>
      <c r="S91" s="39" t="s">
        <v>155</v>
      </c>
      <c r="U91" s="27" t="str">
        <f>_xlfn.XLOOKUP(表格1[[#This Row],[服務類別(英)]],參考2_服務標準對照!$B:$B,參考2_服務標準對照!$C:$C,"")&amp;""</f>
        <v>OGC</v>
      </c>
      <c r="V91" s="29" t="s">
        <v>7</v>
      </c>
      <c r="W91" s="29" t="s">
        <v>163</v>
      </c>
      <c r="X91" s="29" t="s">
        <v>81</v>
      </c>
      <c r="Y91" s="36" t="s">
        <v>83</v>
      </c>
      <c r="Z91" s="36" t="s">
        <v>157</v>
      </c>
      <c r="AA91" s="36" t="s">
        <v>173</v>
      </c>
      <c r="AB91" s="36"/>
      <c r="AC91" s="36"/>
      <c r="AD91" s="29" t="s">
        <v>119</v>
      </c>
      <c r="AE91" s="36" t="str">
        <f>_xlfn.XLOOKUP(表格1[[#This Row],[唯一識別碼]],API清冊0707!B:B,API清冊0707!T:T,"")&amp;""</f>
        <v>無下拉選單</v>
      </c>
    </row>
    <row r="92" spans="1:31" ht="204.75" customHeight="1" x14ac:dyDescent="0.4">
      <c r="A92" s="29" t="s">
        <v>515</v>
      </c>
      <c r="B92" s="29"/>
      <c r="C92" s="29"/>
      <c r="D92" s="29" t="s">
        <v>516</v>
      </c>
      <c r="E92" s="29" t="s">
        <v>517</v>
      </c>
      <c r="F92" s="29" t="s">
        <v>518</v>
      </c>
      <c r="G92" s="35"/>
      <c r="H92" s="35" t="s">
        <v>151</v>
      </c>
      <c r="I92" s="29" t="s">
        <v>515</v>
      </c>
      <c r="J92" s="37"/>
      <c r="K92" s="38"/>
      <c r="L92" s="38"/>
      <c r="M92" s="36" t="s">
        <v>60</v>
      </c>
      <c r="N92" s="15" t="s">
        <v>152</v>
      </c>
      <c r="O92" s="36" t="s">
        <v>162</v>
      </c>
      <c r="P92" s="36" t="str">
        <f t="shared" si="2"/>
        <v>WMTS_UAV空拍影像_臺南市七股區西濱公路(106年)</v>
      </c>
      <c r="Q92" s="29" t="s">
        <v>518</v>
      </c>
      <c r="R92" s="29" t="str">
        <f t="shared" si="3"/>
        <v>2dms_wmts_v1_UAV106D03</v>
      </c>
      <c r="S92" s="39" t="s">
        <v>155</v>
      </c>
      <c r="U92" s="27" t="str">
        <f>_xlfn.XLOOKUP(表格1[[#This Row],[服務類別(英)]],參考2_服務標準對照!$B:$B,參考2_服務標準對照!$C:$C,"")&amp;""</f>
        <v>OGC</v>
      </c>
      <c r="V92" s="29" t="s">
        <v>7</v>
      </c>
      <c r="W92" s="29" t="s">
        <v>163</v>
      </c>
      <c r="X92" s="29" t="s">
        <v>81</v>
      </c>
      <c r="Y92" s="36" t="s">
        <v>83</v>
      </c>
      <c r="Z92" s="36" t="s">
        <v>157</v>
      </c>
      <c r="AA92" s="36" t="s">
        <v>173</v>
      </c>
      <c r="AB92" s="36"/>
      <c r="AC92" s="36"/>
      <c r="AD92" s="29" t="s">
        <v>119</v>
      </c>
      <c r="AE92" s="36" t="str">
        <f>_xlfn.XLOOKUP(表格1[[#This Row],[唯一識別碼]],API清冊0707!B:B,API清冊0707!T:T,"")&amp;""</f>
        <v>無下拉選單</v>
      </c>
    </row>
    <row r="93" spans="1:31" ht="204.75" customHeight="1" x14ac:dyDescent="0.4">
      <c r="A93" s="29" t="s">
        <v>519</v>
      </c>
      <c r="B93" s="29"/>
      <c r="C93" s="29"/>
      <c r="D93" s="29" t="s">
        <v>520</v>
      </c>
      <c r="E93" s="29" t="s">
        <v>521</v>
      </c>
      <c r="F93" s="29" t="s">
        <v>522</v>
      </c>
      <c r="G93" s="35"/>
      <c r="H93" s="35" t="s">
        <v>151</v>
      </c>
      <c r="I93" s="29" t="s">
        <v>519</v>
      </c>
      <c r="J93" s="37"/>
      <c r="K93" s="38"/>
      <c r="L93" s="38"/>
      <c r="M93" s="36" t="s">
        <v>60</v>
      </c>
      <c r="N93" s="15" t="s">
        <v>152</v>
      </c>
      <c r="O93" s="36" t="s">
        <v>162</v>
      </c>
      <c r="P93" s="36" t="str">
        <f t="shared" si="2"/>
        <v>WMTS_UAV空拍影像_臺南市東區平實市地重劃(106年)</v>
      </c>
      <c r="Q93" s="29" t="s">
        <v>522</v>
      </c>
      <c r="R93" s="29" t="str">
        <f t="shared" si="3"/>
        <v>2dms_wmts_v1_UAV106D02</v>
      </c>
      <c r="S93" s="39" t="s">
        <v>155</v>
      </c>
      <c r="U93" s="27" t="str">
        <f>_xlfn.XLOOKUP(表格1[[#This Row],[服務類別(英)]],參考2_服務標準對照!$B:$B,參考2_服務標準對照!$C:$C,"")&amp;""</f>
        <v>OGC</v>
      </c>
      <c r="V93" s="29" t="s">
        <v>7</v>
      </c>
      <c r="W93" s="29" t="s">
        <v>163</v>
      </c>
      <c r="X93" s="29" t="s">
        <v>81</v>
      </c>
      <c r="Y93" s="36" t="s">
        <v>83</v>
      </c>
      <c r="Z93" s="36" t="s">
        <v>157</v>
      </c>
      <c r="AA93" s="36" t="s">
        <v>173</v>
      </c>
      <c r="AB93" s="36"/>
      <c r="AC93" s="36"/>
      <c r="AD93" s="29" t="s">
        <v>119</v>
      </c>
      <c r="AE93" s="36" t="str">
        <f>_xlfn.XLOOKUP(表格1[[#This Row],[唯一識別碼]],API清冊0707!B:B,API清冊0707!T:T,"")&amp;""</f>
        <v>無下拉選單</v>
      </c>
    </row>
    <row r="94" spans="1:31" ht="204.75" customHeight="1" x14ac:dyDescent="0.4">
      <c r="A94" s="29" t="s">
        <v>523</v>
      </c>
      <c r="B94" s="29"/>
      <c r="C94" s="29"/>
      <c r="D94" s="29" t="s">
        <v>524</v>
      </c>
      <c r="E94" s="29" t="s">
        <v>525</v>
      </c>
      <c r="F94" s="29" t="s">
        <v>526</v>
      </c>
      <c r="G94" s="35"/>
      <c r="H94" s="35" t="s">
        <v>151</v>
      </c>
      <c r="I94" s="29" t="s">
        <v>523</v>
      </c>
      <c r="J94" s="37"/>
      <c r="K94" s="38"/>
      <c r="L94" s="38"/>
      <c r="M94" s="36" t="s">
        <v>60</v>
      </c>
      <c r="N94" s="15" t="s">
        <v>152</v>
      </c>
      <c r="O94" s="36" t="s">
        <v>162</v>
      </c>
      <c r="P94" s="36" t="str">
        <f t="shared" si="2"/>
        <v>WMTS_UAV空拍影像_臺南市安南區台江大道(106年)</v>
      </c>
      <c r="Q94" s="29" t="s">
        <v>526</v>
      </c>
      <c r="R94" s="29" t="str">
        <f t="shared" si="3"/>
        <v>2dms_wmts_v1_UAV106D01</v>
      </c>
      <c r="S94" s="39" t="s">
        <v>155</v>
      </c>
      <c r="U94" s="27" t="str">
        <f>_xlfn.XLOOKUP(表格1[[#This Row],[服務類別(英)]],參考2_服務標準對照!$B:$B,參考2_服務標準對照!$C:$C,"")&amp;""</f>
        <v>OGC</v>
      </c>
      <c r="V94" s="29" t="s">
        <v>7</v>
      </c>
      <c r="W94" s="29" t="s">
        <v>163</v>
      </c>
      <c r="X94" s="29" t="s">
        <v>81</v>
      </c>
      <c r="Y94" s="36" t="s">
        <v>83</v>
      </c>
      <c r="Z94" s="36" t="s">
        <v>157</v>
      </c>
      <c r="AA94" s="36" t="s">
        <v>173</v>
      </c>
      <c r="AB94" s="36"/>
      <c r="AC94" s="36"/>
      <c r="AD94" s="29" t="s">
        <v>119</v>
      </c>
      <c r="AE94" s="36" t="str">
        <f>_xlfn.XLOOKUP(表格1[[#This Row],[唯一識別碼]],API清冊0707!B:B,API清冊0707!T:T,"")&amp;""</f>
        <v>無下拉選單</v>
      </c>
    </row>
    <row r="95" spans="1:31" ht="204.75" customHeight="1" x14ac:dyDescent="0.4">
      <c r="A95" s="29" t="s">
        <v>527</v>
      </c>
      <c r="B95" s="29"/>
      <c r="C95" s="29"/>
      <c r="D95" s="29" t="s">
        <v>528</v>
      </c>
      <c r="E95" s="29" t="s">
        <v>529</v>
      </c>
      <c r="F95" s="29" t="s">
        <v>530</v>
      </c>
      <c r="G95" s="35"/>
      <c r="H95" s="35" t="s">
        <v>151</v>
      </c>
      <c r="I95" s="29" t="s">
        <v>527</v>
      </c>
      <c r="J95" s="37"/>
      <c r="K95" s="38"/>
      <c r="L95" s="38"/>
      <c r="M95" s="36" t="s">
        <v>60</v>
      </c>
      <c r="N95" s="15" t="s">
        <v>152</v>
      </c>
      <c r="O95" s="36" t="s">
        <v>162</v>
      </c>
      <c r="P95" s="36" t="str">
        <f t="shared" si="2"/>
        <v>WMTS_UAV空拍影像_臺北市士林區馬槽(106年)</v>
      </c>
      <c r="Q95" s="29" t="s">
        <v>530</v>
      </c>
      <c r="R95" s="29" t="str">
        <f t="shared" si="3"/>
        <v>2dms_wmts_v1_UAV106A03</v>
      </c>
      <c r="S95" s="39" t="s">
        <v>155</v>
      </c>
      <c r="U95" s="27" t="str">
        <f>_xlfn.XLOOKUP(表格1[[#This Row],[服務類別(英)]],參考2_服務標準對照!$B:$B,參考2_服務標準對照!$C:$C,"")&amp;""</f>
        <v>OGC</v>
      </c>
      <c r="V95" s="29" t="s">
        <v>7</v>
      </c>
      <c r="W95" s="29" t="s">
        <v>163</v>
      </c>
      <c r="X95" s="29" t="s">
        <v>81</v>
      </c>
      <c r="Y95" s="36" t="s">
        <v>83</v>
      </c>
      <c r="Z95" s="36" t="s">
        <v>157</v>
      </c>
      <c r="AA95" s="36" t="s">
        <v>173</v>
      </c>
      <c r="AB95" s="36"/>
      <c r="AC95" s="36"/>
      <c r="AD95" s="29" t="s">
        <v>119</v>
      </c>
      <c r="AE95" s="36" t="str">
        <f>_xlfn.XLOOKUP(表格1[[#This Row],[唯一識別碼]],API清冊0707!B:B,API清冊0707!T:T,"")&amp;""</f>
        <v>無下拉選單</v>
      </c>
    </row>
    <row r="96" spans="1:31" ht="204.75" customHeight="1" x14ac:dyDescent="0.4">
      <c r="A96" s="29" t="s">
        <v>531</v>
      </c>
      <c r="B96" s="29"/>
      <c r="C96" s="29"/>
      <c r="D96" s="29" t="s">
        <v>532</v>
      </c>
      <c r="E96" s="29" t="s">
        <v>533</v>
      </c>
      <c r="F96" s="29" t="s">
        <v>534</v>
      </c>
      <c r="G96" s="35"/>
      <c r="H96" s="35" t="s">
        <v>151</v>
      </c>
      <c r="I96" s="29" t="s">
        <v>531</v>
      </c>
      <c r="J96" s="37"/>
      <c r="K96" s="38"/>
      <c r="L96" s="38"/>
      <c r="M96" s="36" t="s">
        <v>60</v>
      </c>
      <c r="N96" s="15" t="s">
        <v>152</v>
      </c>
      <c r="O96" s="36" t="s">
        <v>162</v>
      </c>
      <c r="P96" s="36" t="str">
        <f t="shared" si="2"/>
        <v>WMTS_UAV空拍影像_臺北市北投夢幻湖(106年)</v>
      </c>
      <c r="Q96" s="29" t="s">
        <v>534</v>
      </c>
      <c r="R96" s="29" t="str">
        <f t="shared" si="3"/>
        <v>2dms_wmts_v1_UAV106A02</v>
      </c>
      <c r="S96" s="39" t="s">
        <v>155</v>
      </c>
      <c r="U96" s="27" t="str">
        <f>_xlfn.XLOOKUP(表格1[[#This Row],[服務類別(英)]],參考2_服務標準對照!$B:$B,參考2_服務標準對照!$C:$C,"")&amp;""</f>
        <v>OGC</v>
      </c>
      <c r="V96" s="29" t="s">
        <v>7</v>
      </c>
      <c r="W96" s="29" t="s">
        <v>163</v>
      </c>
      <c r="X96" s="29" t="s">
        <v>81</v>
      </c>
      <c r="Y96" s="36" t="s">
        <v>83</v>
      </c>
      <c r="Z96" s="36" t="s">
        <v>157</v>
      </c>
      <c r="AA96" s="36" t="s">
        <v>173</v>
      </c>
      <c r="AB96" s="36"/>
      <c r="AC96" s="36"/>
      <c r="AD96" s="29" t="s">
        <v>119</v>
      </c>
      <c r="AE96" s="36" t="str">
        <f>_xlfn.XLOOKUP(表格1[[#This Row],[唯一識別碼]],API清冊0707!B:B,API清冊0707!T:T,"")&amp;""</f>
        <v>無下拉選單</v>
      </c>
    </row>
    <row r="97" spans="1:31" ht="204.75" customHeight="1" x14ac:dyDescent="0.4">
      <c r="A97" s="29" t="s">
        <v>535</v>
      </c>
      <c r="B97" s="29"/>
      <c r="C97" s="29"/>
      <c r="D97" s="29" t="s">
        <v>536</v>
      </c>
      <c r="E97" s="29" t="s">
        <v>537</v>
      </c>
      <c r="F97" s="29" t="s">
        <v>538</v>
      </c>
      <c r="G97" s="35"/>
      <c r="H97" s="35" t="s">
        <v>151</v>
      </c>
      <c r="I97" s="29" t="s">
        <v>535</v>
      </c>
      <c r="J97" s="37"/>
      <c r="K97" s="38"/>
      <c r="L97" s="38"/>
      <c r="M97" s="36" t="s">
        <v>60</v>
      </c>
      <c r="N97" s="15" t="s">
        <v>152</v>
      </c>
      <c r="O97" s="36" t="s">
        <v>162</v>
      </c>
      <c r="P97" s="36" t="str">
        <f t="shared" si="2"/>
        <v>WMTS_UAV空拍影像_臺北市士林大油坑(106年)</v>
      </c>
      <c r="Q97" s="29" t="s">
        <v>538</v>
      </c>
      <c r="R97" s="29" t="str">
        <f t="shared" si="3"/>
        <v>2dms_wmts_v1_UAV106A01</v>
      </c>
      <c r="S97" s="39" t="s">
        <v>155</v>
      </c>
      <c r="U97" s="27" t="str">
        <f>_xlfn.XLOOKUP(表格1[[#This Row],[服務類別(英)]],參考2_服務標準對照!$B:$B,參考2_服務標準對照!$C:$C,"")&amp;""</f>
        <v>OGC</v>
      </c>
      <c r="V97" s="29" t="s">
        <v>7</v>
      </c>
      <c r="W97" s="29" t="s">
        <v>163</v>
      </c>
      <c r="X97" s="29" t="s">
        <v>81</v>
      </c>
      <c r="Y97" s="36" t="s">
        <v>83</v>
      </c>
      <c r="Z97" s="36" t="s">
        <v>157</v>
      </c>
      <c r="AA97" s="36" t="s">
        <v>173</v>
      </c>
      <c r="AB97" s="36"/>
      <c r="AC97" s="36"/>
      <c r="AD97" s="29" t="s">
        <v>119</v>
      </c>
      <c r="AE97" s="36" t="str">
        <f>_xlfn.XLOOKUP(表格1[[#This Row],[唯一識別碼]],API清冊0707!B:B,API清冊0707!T:T,"")&amp;""</f>
        <v>無下拉選單</v>
      </c>
    </row>
    <row r="98" spans="1:31" ht="204.75" customHeight="1" x14ac:dyDescent="0.4">
      <c r="A98" s="29" t="s">
        <v>539</v>
      </c>
      <c r="B98" s="29"/>
      <c r="C98" s="29"/>
      <c r="D98" s="29" t="s">
        <v>540</v>
      </c>
      <c r="E98" s="29" t="s">
        <v>541</v>
      </c>
      <c r="F98" s="29" t="s">
        <v>542</v>
      </c>
      <c r="G98" s="35"/>
      <c r="H98" s="35" t="s">
        <v>151</v>
      </c>
      <c r="I98" s="29" t="s">
        <v>539</v>
      </c>
      <c r="J98" s="37"/>
      <c r="K98" s="38"/>
      <c r="L98" s="38"/>
      <c r="M98" s="36" t="s">
        <v>60</v>
      </c>
      <c r="N98" s="15" t="s">
        <v>152</v>
      </c>
      <c r="O98" s="36" t="s">
        <v>162</v>
      </c>
      <c r="P98" s="36" t="str">
        <f t="shared" si="2"/>
        <v>WMTS_UAV空拍影像_花蓮縣花蓮市(105年)</v>
      </c>
      <c r="Q98" s="29" t="s">
        <v>542</v>
      </c>
      <c r="R98" s="29" t="str">
        <f t="shared" si="3"/>
        <v>2dms_wmts_v1_UAV105U01</v>
      </c>
      <c r="S98" s="39" t="s">
        <v>155</v>
      </c>
      <c r="U98" s="27" t="str">
        <f>_xlfn.XLOOKUP(表格1[[#This Row],[服務類別(英)]],參考2_服務標準對照!$B:$B,參考2_服務標準對照!$C:$C,"")&amp;""</f>
        <v>OGC</v>
      </c>
      <c r="V98" s="29" t="s">
        <v>7</v>
      </c>
      <c r="W98" s="29" t="s">
        <v>163</v>
      </c>
      <c r="X98" s="29" t="s">
        <v>81</v>
      </c>
      <c r="Y98" s="36" t="s">
        <v>83</v>
      </c>
      <c r="Z98" s="36" t="s">
        <v>157</v>
      </c>
      <c r="AA98" s="36" t="s">
        <v>173</v>
      </c>
      <c r="AB98" s="36"/>
      <c r="AC98" s="36"/>
      <c r="AD98" s="29" t="s">
        <v>119</v>
      </c>
      <c r="AE98" s="36" t="str">
        <f>_xlfn.XLOOKUP(表格1[[#This Row],[唯一識別碼]],API清冊0707!B:B,API清冊0707!T:T,"")&amp;""</f>
        <v>無下拉選單</v>
      </c>
    </row>
    <row r="99" spans="1:31" ht="204.75" customHeight="1" x14ac:dyDescent="0.4">
      <c r="A99" s="29" t="s">
        <v>543</v>
      </c>
      <c r="B99" s="29"/>
      <c r="C99" s="29"/>
      <c r="D99" s="29" t="s">
        <v>544</v>
      </c>
      <c r="E99" s="29" t="s">
        <v>545</v>
      </c>
      <c r="F99" s="29" t="s">
        <v>546</v>
      </c>
      <c r="G99" s="35"/>
      <c r="H99" s="35" t="s">
        <v>151</v>
      </c>
      <c r="I99" s="29" t="s">
        <v>543</v>
      </c>
      <c r="J99" s="37"/>
      <c r="K99" s="38"/>
      <c r="L99" s="38"/>
      <c r="M99" s="36" t="s">
        <v>60</v>
      </c>
      <c r="N99" s="15" t="s">
        <v>152</v>
      </c>
      <c r="O99" s="36" t="s">
        <v>162</v>
      </c>
      <c r="P99" s="36" t="str">
        <f t="shared" si="2"/>
        <v>WMTS_UAV空拍影像_雲林縣古坑鄉國3古坑交流道(105年)</v>
      </c>
      <c r="Q99" s="29" t="s">
        <v>546</v>
      </c>
      <c r="R99" s="29" t="str">
        <f t="shared" si="3"/>
        <v>2dms_wmts_v1_UAV105P03</v>
      </c>
      <c r="S99" s="39" t="s">
        <v>155</v>
      </c>
      <c r="U99" s="27" t="str">
        <f>_xlfn.XLOOKUP(表格1[[#This Row],[服務類別(英)]],參考2_服務標準對照!$B:$B,參考2_服務標準對照!$C:$C,"")&amp;""</f>
        <v>OGC</v>
      </c>
      <c r="V99" s="29" t="s">
        <v>7</v>
      </c>
      <c r="W99" s="29" t="s">
        <v>163</v>
      </c>
      <c r="X99" s="29" t="s">
        <v>81</v>
      </c>
      <c r="Y99" s="36" t="s">
        <v>83</v>
      </c>
      <c r="Z99" s="36" t="s">
        <v>157</v>
      </c>
      <c r="AA99" s="36" t="s">
        <v>173</v>
      </c>
      <c r="AB99" s="36"/>
      <c r="AC99" s="36"/>
      <c r="AD99" s="29" t="s">
        <v>119</v>
      </c>
      <c r="AE99" s="36" t="str">
        <f>_xlfn.XLOOKUP(表格1[[#This Row],[唯一識別碼]],API清冊0707!B:B,API清冊0707!T:T,"")&amp;""</f>
        <v>無下拉選單</v>
      </c>
    </row>
    <row r="100" spans="1:31" ht="204.75" customHeight="1" x14ac:dyDescent="0.4">
      <c r="A100" s="29" t="s">
        <v>547</v>
      </c>
      <c r="B100" s="29"/>
      <c r="C100" s="29"/>
      <c r="D100" s="29" t="s">
        <v>548</v>
      </c>
      <c r="E100" s="29" t="s">
        <v>549</v>
      </c>
      <c r="F100" s="29" t="s">
        <v>550</v>
      </c>
      <c r="G100" s="35"/>
      <c r="H100" s="35" t="s">
        <v>151</v>
      </c>
      <c r="I100" s="29" t="s">
        <v>547</v>
      </c>
      <c r="J100" s="37"/>
      <c r="K100" s="38"/>
      <c r="L100" s="38"/>
      <c r="M100" s="36" t="s">
        <v>60</v>
      </c>
      <c r="N100" s="15" t="s">
        <v>152</v>
      </c>
      <c r="O100" s="36" t="s">
        <v>162</v>
      </c>
      <c r="P100" s="36" t="str">
        <f t="shared" si="2"/>
        <v>WMTS_UAV空拍影像_雲林縣古坑鄉崁頭厝(105年)</v>
      </c>
      <c r="Q100" s="29" t="s">
        <v>550</v>
      </c>
      <c r="R100" s="29" t="str">
        <f t="shared" si="3"/>
        <v>2dms_wmts_v1_UAV105P02</v>
      </c>
      <c r="S100" s="39" t="s">
        <v>155</v>
      </c>
      <c r="U100" s="27" t="str">
        <f>_xlfn.XLOOKUP(表格1[[#This Row],[服務類別(英)]],參考2_服務標準對照!$B:$B,參考2_服務標準對照!$C:$C,"")&amp;""</f>
        <v>OGC</v>
      </c>
      <c r="V100" s="29" t="s">
        <v>7</v>
      </c>
      <c r="W100" s="29" t="s">
        <v>163</v>
      </c>
      <c r="X100" s="29" t="s">
        <v>81</v>
      </c>
      <c r="Y100" s="36" t="s">
        <v>83</v>
      </c>
      <c r="Z100" s="36" t="s">
        <v>157</v>
      </c>
      <c r="AA100" s="36" t="s">
        <v>173</v>
      </c>
      <c r="AB100" s="36"/>
      <c r="AC100" s="36"/>
      <c r="AD100" s="29" t="s">
        <v>119</v>
      </c>
      <c r="AE100" s="36" t="str">
        <f>_xlfn.XLOOKUP(表格1[[#This Row],[唯一識別碼]],API清冊0707!B:B,API清冊0707!T:T,"")&amp;""</f>
        <v>無下拉選單</v>
      </c>
    </row>
    <row r="101" spans="1:31" ht="204.75" customHeight="1" x14ac:dyDescent="0.4">
      <c r="A101" s="29" t="s">
        <v>551</v>
      </c>
      <c r="B101" s="29"/>
      <c r="C101" s="29"/>
      <c r="D101" s="29" t="s">
        <v>552</v>
      </c>
      <c r="E101" s="29" t="s">
        <v>553</v>
      </c>
      <c r="F101" s="29" t="s">
        <v>554</v>
      </c>
      <c r="G101" s="35"/>
      <c r="H101" s="35" t="s">
        <v>151</v>
      </c>
      <c r="I101" s="29" t="s">
        <v>551</v>
      </c>
      <c r="J101" s="37"/>
      <c r="K101" s="38"/>
      <c r="L101" s="38"/>
      <c r="M101" s="36" t="s">
        <v>60</v>
      </c>
      <c r="N101" s="15" t="s">
        <v>152</v>
      </c>
      <c r="O101" s="36" t="s">
        <v>162</v>
      </c>
      <c r="P101" s="36" t="str">
        <f t="shared" si="2"/>
        <v>WMTS_UAV空拍影像_雲林縣古坑鄉樟湖(105年)</v>
      </c>
      <c r="Q101" s="29" t="s">
        <v>554</v>
      </c>
      <c r="R101" s="29" t="str">
        <f t="shared" si="3"/>
        <v>2dms_wmts_v1_UAV105P01</v>
      </c>
      <c r="S101" s="39" t="s">
        <v>155</v>
      </c>
      <c r="U101" s="27" t="str">
        <f>_xlfn.XLOOKUP(表格1[[#This Row],[服務類別(英)]],參考2_服務標準對照!$B:$B,參考2_服務標準對照!$C:$C,"")&amp;""</f>
        <v>OGC</v>
      </c>
      <c r="V101" s="29" t="s">
        <v>7</v>
      </c>
      <c r="W101" s="29" t="s">
        <v>163</v>
      </c>
      <c r="X101" s="29" t="s">
        <v>81</v>
      </c>
      <c r="Y101" s="36" t="s">
        <v>83</v>
      </c>
      <c r="Z101" s="36" t="s">
        <v>157</v>
      </c>
      <c r="AA101" s="36" t="s">
        <v>173</v>
      </c>
      <c r="AB101" s="36"/>
      <c r="AC101" s="36"/>
      <c r="AD101" s="29" t="s">
        <v>119</v>
      </c>
      <c r="AE101" s="36" t="str">
        <f>_xlfn.XLOOKUP(表格1[[#This Row],[唯一識別碼]],API清冊0707!B:B,API清冊0707!T:T,"")&amp;""</f>
        <v>無下拉選單</v>
      </c>
    </row>
    <row r="102" spans="1:31" ht="204.75" customHeight="1" x14ac:dyDescent="0.4">
      <c r="A102" s="29" t="s">
        <v>555</v>
      </c>
      <c r="B102" s="29"/>
      <c r="C102" s="29"/>
      <c r="D102" s="29" t="s">
        <v>556</v>
      </c>
      <c r="E102" s="29" t="s">
        <v>557</v>
      </c>
      <c r="F102" s="29" t="s">
        <v>558</v>
      </c>
      <c r="G102" s="35"/>
      <c r="H102" s="35" t="s">
        <v>151</v>
      </c>
      <c r="I102" s="29" t="s">
        <v>555</v>
      </c>
      <c r="J102" s="37"/>
      <c r="K102" s="38"/>
      <c r="L102" s="38"/>
      <c r="M102" s="36" t="s">
        <v>60</v>
      </c>
      <c r="N102" s="15" t="s">
        <v>152</v>
      </c>
      <c r="O102" s="36" t="s">
        <v>162</v>
      </c>
      <c r="P102" s="36" t="str">
        <f t="shared" si="2"/>
        <v>WMTS_UAV空拍影像_新竹市香山區(105年)</v>
      </c>
      <c r="Q102" s="29" t="s">
        <v>558</v>
      </c>
      <c r="R102" s="29" t="str">
        <f t="shared" si="3"/>
        <v>2dms_wmts_v1_UAV105O01</v>
      </c>
      <c r="S102" s="39" t="s">
        <v>155</v>
      </c>
      <c r="U102" s="27" t="str">
        <f>_xlfn.XLOOKUP(表格1[[#This Row],[服務類別(英)]],參考2_服務標準對照!$B:$B,參考2_服務標準對照!$C:$C,"")&amp;""</f>
        <v>OGC</v>
      </c>
      <c r="V102" s="29" t="s">
        <v>7</v>
      </c>
      <c r="W102" s="29" t="s">
        <v>163</v>
      </c>
      <c r="X102" s="29" t="s">
        <v>81</v>
      </c>
      <c r="Y102" s="36" t="s">
        <v>83</v>
      </c>
      <c r="Z102" s="36" t="s">
        <v>157</v>
      </c>
      <c r="AA102" s="36" t="s">
        <v>173</v>
      </c>
      <c r="AB102" s="36"/>
      <c r="AC102" s="36"/>
      <c r="AD102" s="29" t="s">
        <v>119</v>
      </c>
      <c r="AE102" s="36" t="str">
        <f>_xlfn.XLOOKUP(表格1[[#This Row],[唯一識別碼]],API清冊0707!B:B,API清冊0707!T:T,"")&amp;""</f>
        <v>無下拉選單</v>
      </c>
    </row>
    <row r="103" spans="1:31" ht="204.75" customHeight="1" x14ac:dyDescent="0.4">
      <c r="A103" s="29" t="s">
        <v>559</v>
      </c>
      <c r="B103" s="29"/>
      <c r="C103" s="29"/>
      <c r="D103" s="29" t="s">
        <v>560</v>
      </c>
      <c r="E103" s="29" t="s">
        <v>561</v>
      </c>
      <c r="F103" s="29" t="s">
        <v>562</v>
      </c>
      <c r="G103" s="35"/>
      <c r="H103" s="35" t="s">
        <v>151</v>
      </c>
      <c r="I103" s="29" t="s">
        <v>559</v>
      </c>
      <c r="J103" s="37"/>
      <c r="K103" s="38"/>
      <c r="L103" s="38"/>
      <c r="M103" s="36" t="s">
        <v>60</v>
      </c>
      <c r="N103" s="15" t="s">
        <v>152</v>
      </c>
      <c r="O103" s="36" t="s">
        <v>162</v>
      </c>
      <c r="P103" s="36" t="str">
        <f t="shared" si="2"/>
        <v>WMTS_UAV空拍影像_彰化縣田中鎮(105年)</v>
      </c>
      <c r="Q103" s="29" t="s">
        <v>562</v>
      </c>
      <c r="R103" s="29" t="str">
        <f t="shared" si="3"/>
        <v>2dms_wmts_v1_UAV105N01</v>
      </c>
      <c r="S103" s="39" t="s">
        <v>155</v>
      </c>
      <c r="U103" s="27" t="str">
        <f>_xlfn.XLOOKUP(表格1[[#This Row],[服務類別(英)]],參考2_服務標準對照!$B:$B,參考2_服務標準對照!$C:$C,"")&amp;""</f>
        <v>OGC</v>
      </c>
      <c r="V103" s="29" t="s">
        <v>7</v>
      </c>
      <c r="W103" s="29" t="s">
        <v>163</v>
      </c>
      <c r="X103" s="29" t="s">
        <v>81</v>
      </c>
      <c r="Y103" s="36" t="s">
        <v>83</v>
      </c>
      <c r="Z103" s="36" t="s">
        <v>157</v>
      </c>
      <c r="AA103" s="36" t="s">
        <v>173</v>
      </c>
      <c r="AB103" s="36"/>
      <c r="AC103" s="36"/>
      <c r="AD103" s="29" t="s">
        <v>119</v>
      </c>
      <c r="AE103" s="36" t="str">
        <f>_xlfn.XLOOKUP(表格1[[#This Row],[唯一識別碼]],API清冊0707!B:B,API清冊0707!T:T,"")&amp;""</f>
        <v>無下拉選單</v>
      </c>
    </row>
    <row r="104" spans="1:31" ht="204.75" customHeight="1" x14ac:dyDescent="0.4">
      <c r="A104" s="29" t="s">
        <v>563</v>
      </c>
      <c r="B104" s="29"/>
      <c r="C104" s="29"/>
      <c r="D104" s="29" t="s">
        <v>564</v>
      </c>
      <c r="E104" s="29" t="s">
        <v>565</v>
      </c>
      <c r="F104" s="29" t="s">
        <v>566</v>
      </c>
      <c r="G104" s="35"/>
      <c r="H104" s="35" t="s">
        <v>151</v>
      </c>
      <c r="I104" s="29" t="s">
        <v>563</v>
      </c>
      <c r="J104" s="37"/>
      <c r="K104" s="38"/>
      <c r="L104" s="38"/>
      <c r="M104" s="36" t="s">
        <v>60</v>
      </c>
      <c r="N104" s="15" t="s">
        <v>152</v>
      </c>
      <c r="O104" s="36" t="s">
        <v>162</v>
      </c>
      <c r="P104" s="36" t="str">
        <f t="shared" si="2"/>
        <v>WMTS_UAV空拍影像_南投縣草屯鎮(105年)</v>
      </c>
      <c r="Q104" s="29" t="s">
        <v>566</v>
      </c>
      <c r="R104" s="29" t="str">
        <f t="shared" si="3"/>
        <v>2dms_wmts_v1_UAV105M02</v>
      </c>
      <c r="S104" s="39" t="s">
        <v>155</v>
      </c>
      <c r="U104" s="27" t="str">
        <f>_xlfn.XLOOKUP(表格1[[#This Row],[服務類別(英)]],參考2_服務標準對照!$B:$B,參考2_服務標準對照!$C:$C,"")&amp;""</f>
        <v>OGC</v>
      </c>
      <c r="V104" s="29" t="s">
        <v>7</v>
      </c>
      <c r="W104" s="29" t="s">
        <v>163</v>
      </c>
      <c r="X104" s="29" t="s">
        <v>81</v>
      </c>
      <c r="Y104" s="36" t="s">
        <v>83</v>
      </c>
      <c r="Z104" s="36" t="s">
        <v>157</v>
      </c>
      <c r="AA104" s="36" t="s">
        <v>173</v>
      </c>
      <c r="AB104" s="36"/>
      <c r="AC104" s="36"/>
      <c r="AD104" s="29" t="s">
        <v>119</v>
      </c>
      <c r="AE104" s="36" t="str">
        <f>_xlfn.XLOOKUP(表格1[[#This Row],[唯一識別碼]],API清冊0707!B:B,API清冊0707!T:T,"")&amp;""</f>
        <v>無下拉選單</v>
      </c>
    </row>
    <row r="105" spans="1:31" ht="204.75" customHeight="1" x14ac:dyDescent="0.4">
      <c r="A105" s="29" t="s">
        <v>567</v>
      </c>
      <c r="B105" s="29"/>
      <c r="C105" s="29"/>
      <c r="D105" s="29" t="s">
        <v>568</v>
      </c>
      <c r="E105" s="29" t="s">
        <v>569</v>
      </c>
      <c r="F105" s="29" t="s">
        <v>570</v>
      </c>
      <c r="G105" s="35"/>
      <c r="H105" s="35" t="s">
        <v>151</v>
      </c>
      <c r="I105" s="29" t="s">
        <v>567</v>
      </c>
      <c r="J105" s="37"/>
      <c r="K105" s="38"/>
      <c r="L105" s="38"/>
      <c r="M105" s="36" t="s">
        <v>60</v>
      </c>
      <c r="N105" s="15" t="s">
        <v>152</v>
      </c>
      <c r="O105" s="36" t="s">
        <v>162</v>
      </c>
      <c r="P105" s="36" t="str">
        <f t="shared" si="2"/>
        <v>WMTS_UAV空拍影像_南投縣竹山鎮(105年)</v>
      </c>
      <c r="Q105" s="29" t="s">
        <v>570</v>
      </c>
      <c r="R105" s="29" t="str">
        <f t="shared" si="3"/>
        <v>2dms_wmts_v1_UAV105M01</v>
      </c>
      <c r="S105" s="39" t="s">
        <v>155</v>
      </c>
      <c r="U105" s="27" t="str">
        <f>_xlfn.XLOOKUP(表格1[[#This Row],[服務類別(英)]],參考2_服務標準對照!$B:$B,參考2_服務標準對照!$C:$C,"")&amp;""</f>
        <v>OGC</v>
      </c>
      <c r="V105" s="29" t="s">
        <v>7</v>
      </c>
      <c r="W105" s="29" t="s">
        <v>163</v>
      </c>
      <c r="X105" s="29" t="s">
        <v>81</v>
      </c>
      <c r="Y105" s="36" t="s">
        <v>83</v>
      </c>
      <c r="Z105" s="36" t="s">
        <v>157</v>
      </c>
      <c r="AA105" s="36" t="s">
        <v>173</v>
      </c>
      <c r="AB105" s="36"/>
      <c r="AC105" s="36"/>
      <c r="AD105" s="29" t="s">
        <v>119</v>
      </c>
      <c r="AE105" s="36" t="str">
        <f>_xlfn.XLOOKUP(表格1[[#This Row],[唯一識別碼]],API清冊0707!B:B,API清冊0707!T:T,"")&amp;""</f>
        <v>無下拉選單</v>
      </c>
    </row>
    <row r="106" spans="1:31" ht="204.75" customHeight="1" x14ac:dyDescent="0.4">
      <c r="A106" s="29" t="s">
        <v>571</v>
      </c>
      <c r="B106" s="29"/>
      <c r="C106" s="29"/>
      <c r="D106" s="29" t="s">
        <v>572</v>
      </c>
      <c r="E106" s="29" t="s">
        <v>573</v>
      </c>
      <c r="F106" s="29" t="s">
        <v>574</v>
      </c>
      <c r="G106" s="35"/>
      <c r="H106" s="35" t="s">
        <v>151</v>
      </c>
      <c r="I106" s="29" t="s">
        <v>571</v>
      </c>
      <c r="J106" s="37"/>
      <c r="K106" s="38"/>
      <c r="L106" s="38"/>
      <c r="M106" s="36" t="s">
        <v>60</v>
      </c>
      <c r="N106" s="15" t="s">
        <v>152</v>
      </c>
      <c r="O106" s="36" t="s">
        <v>162</v>
      </c>
      <c r="P106" s="36" t="str">
        <f t="shared" si="2"/>
        <v>WMTS_UAV空拍影像_桃園市觀音區(105年)</v>
      </c>
      <c r="Q106" s="29" t="s">
        <v>574</v>
      </c>
      <c r="R106" s="29" t="str">
        <f t="shared" si="3"/>
        <v>2dms_wmts_v1_UAV105H04</v>
      </c>
      <c r="S106" s="39" t="s">
        <v>155</v>
      </c>
      <c r="U106" s="27" t="str">
        <f>_xlfn.XLOOKUP(表格1[[#This Row],[服務類別(英)]],參考2_服務標準對照!$B:$B,參考2_服務標準對照!$C:$C,"")&amp;""</f>
        <v>OGC</v>
      </c>
      <c r="V106" s="29" t="s">
        <v>7</v>
      </c>
      <c r="W106" s="29" t="s">
        <v>163</v>
      </c>
      <c r="X106" s="29" t="s">
        <v>81</v>
      </c>
      <c r="Y106" s="36" t="s">
        <v>83</v>
      </c>
      <c r="Z106" s="36" t="s">
        <v>157</v>
      </c>
      <c r="AA106" s="36" t="s">
        <v>173</v>
      </c>
      <c r="AB106" s="36"/>
      <c r="AC106" s="36"/>
      <c r="AD106" s="29" t="s">
        <v>119</v>
      </c>
      <c r="AE106" s="36" t="str">
        <f>_xlfn.XLOOKUP(表格1[[#This Row],[唯一識別碼]],API清冊0707!B:B,API清冊0707!T:T,"")&amp;""</f>
        <v>無下拉選單</v>
      </c>
    </row>
    <row r="107" spans="1:31" ht="204.75" customHeight="1" x14ac:dyDescent="0.4">
      <c r="A107" s="29" t="s">
        <v>575</v>
      </c>
      <c r="B107" s="29"/>
      <c r="C107" s="29"/>
      <c r="D107" s="29" t="s">
        <v>576</v>
      </c>
      <c r="E107" s="29" t="s">
        <v>577</v>
      </c>
      <c r="F107" s="29" t="s">
        <v>578</v>
      </c>
      <c r="G107" s="35"/>
      <c r="H107" s="35" t="s">
        <v>151</v>
      </c>
      <c r="I107" s="29" t="s">
        <v>575</v>
      </c>
      <c r="J107" s="37"/>
      <c r="K107" s="38"/>
      <c r="L107" s="38"/>
      <c r="M107" s="36" t="s">
        <v>60</v>
      </c>
      <c r="N107" s="15" t="s">
        <v>152</v>
      </c>
      <c r="O107" s="36" t="s">
        <v>162</v>
      </c>
      <c r="P107" s="36" t="str">
        <f t="shared" si="2"/>
        <v>WMTS_UAV空拍影像_桃園市蘆竹區(105年)</v>
      </c>
      <c r="Q107" s="29" t="s">
        <v>578</v>
      </c>
      <c r="R107" s="29" t="str">
        <f t="shared" si="3"/>
        <v>2dms_wmts_v1_UAV105H03</v>
      </c>
      <c r="S107" s="39" t="s">
        <v>155</v>
      </c>
      <c r="U107" s="27" t="str">
        <f>_xlfn.XLOOKUP(表格1[[#This Row],[服務類別(英)]],參考2_服務標準對照!$B:$B,參考2_服務標準對照!$C:$C,"")&amp;""</f>
        <v>OGC</v>
      </c>
      <c r="V107" s="29" t="s">
        <v>7</v>
      </c>
      <c r="W107" s="29" t="s">
        <v>163</v>
      </c>
      <c r="X107" s="29" t="s">
        <v>81</v>
      </c>
      <c r="Y107" s="36" t="s">
        <v>83</v>
      </c>
      <c r="Z107" s="36" t="s">
        <v>157</v>
      </c>
      <c r="AA107" s="36" t="s">
        <v>173</v>
      </c>
      <c r="AB107" s="36"/>
      <c r="AC107" s="36"/>
      <c r="AD107" s="29" t="s">
        <v>119</v>
      </c>
      <c r="AE107" s="36" t="str">
        <f>_xlfn.XLOOKUP(表格1[[#This Row],[唯一識別碼]],API清冊0707!B:B,API清冊0707!T:T,"")&amp;""</f>
        <v>無下拉選單</v>
      </c>
    </row>
    <row r="108" spans="1:31" ht="204.75" customHeight="1" x14ac:dyDescent="0.4">
      <c r="A108" s="29" t="s">
        <v>579</v>
      </c>
      <c r="B108" s="29"/>
      <c r="C108" s="29"/>
      <c r="D108" s="29" t="s">
        <v>580</v>
      </c>
      <c r="E108" s="29" t="s">
        <v>581</v>
      </c>
      <c r="F108" s="29" t="s">
        <v>582</v>
      </c>
      <c r="G108" s="35"/>
      <c r="H108" s="35" t="s">
        <v>151</v>
      </c>
      <c r="I108" s="29" t="s">
        <v>579</v>
      </c>
      <c r="J108" s="37"/>
      <c r="K108" s="38"/>
      <c r="L108" s="38"/>
      <c r="M108" s="36" t="s">
        <v>60</v>
      </c>
      <c r="N108" s="15" t="s">
        <v>152</v>
      </c>
      <c r="O108" s="36" t="s">
        <v>162</v>
      </c>
      <c r="P108" s="36" t="str">
        <f t="shared" si="2"/>
        <v>WMTS_UAV空拍影像_桃園市新屋區(105年)</v>
      </c>
      <c r="Q108" s="29" t="s">
        <v>582</v>
      </c>
      <c r="R108" s="29" t="str">
        <f t="shared" si="3"/>
        <v>2dms_wmts_v1_UAV105H02</v>
      </c>
      <c r="S108" s="39" t="s">
        <v>155</v>
      </c>
      <c r="U108" s="27" t="str">
        <f>_xlfn.XLOOKUP(表格1[[#This Row],[服務類別(英)]],參考2_服務標準對照!$B:$B,參考2_服務標準對照!$C:$C,"")&amp;""</f>
        <v>OGC</v>
      </c>
      <c r="V108" s="29" t="s">
        <v>7</v>
      </c>
      <c r="W108" s="29" t="s">
        <v>163</v>
      </c>
      <c r="X108" s="29" t="s">
        <v>81</v>
      </c>
      <c r="Y108" s="36" t="s">
        <v>83</v>
      </c>
      <c r="Z108" s="36" t="s">
        <v>157</v>
      </c>
      <c r="AA108" s="36" t="s">
        <v>173</v>
      </c>
      <c r="AB108" s="36"/>
      <c r="AC108" s="36"/>
      <c r="AD108" s="29" t="s">
        <v>119</v>
      </c>
      <c r="AE108" s="36" t="str">
        <f>_xlfn.XLOOKUP(表格1[[#This Row],[唯一識別碼]],API清冊0707!B:B,API清冊0707!T:T,"")&amp;""</f>
        <v>無下拉選單</v>
      </c>
    </row>
    <row r="109" spans="1:31" ht="204.75" customHeight="1" x14ac:dyDescent="0.4">
      <c r="A109" s="29" t="s">
        <v>583</v>
      </c>
      <c r="B109" s="29"/>
      <c r="C109" s="29"/>
      <c r="D109" s="29" t="s">
        <v>584</v>
      </c>
      <c r="E109" s="29" t="s">
        <v>585</v>
      </c>
      <c r="F109" s="29" t="s">
        <v>586</v>
      </c>
      <c r="G109" s="35"/>
      <c r="H109" s="35" t="s">
        <v>151</v>
      </c>
      <c r="I109" s="29" t="s">
        <v>583</v>
      </c>
      <c r="J109" s="37"/>
      <c r="K109" s="38"/>
      <c r="L109" s="38"/>
      <c r="M109" s="36" t="s">
        <v>60</v>
      </c>
      <c r="N109" s="15" t="s">
        <v>152</v>
      </c>
      <c r="O109" s="36" t="s">
        <v>162</v>
      </c>
      <c r="P109" s="36" t="str">
        <f t="shared" si="2"/>
        <v>WMTS_UAV空拍影像_桃園市平鎮區(105年)</v>
      </c>
      <c r="Q109" s="29" t="s">
        <v>586</v>
      </c>
      <c r="R109" s="29" t="str">
        <f t="shared" si="3"/>
        <v>2dms_wmts_v1_UAV105H01</v>
      </c>
      <c r="S109" s="39" t="s">
        <v>155</v>
      </c>
      <c r="U109" s="27" t="str">
        <f>_xlfn.XLOOKUP(表格1[[#This Row],[服務類別(英)]],參考2_服務標準對照!$B:$B,參考2_服務標準對照!$C:$C,"")&amp;""</f>
        <v>OGC</v>
      </c>
      <c r="V109" s="29" t="s">
        <v>7</v>
      </c>
      <c r="W109" s="29" t="s">
        <v>163</v>
      </c>
      <c r="X109" s="29" t="s">
        <v>81</v>
      </c>
      <c r="Y109" s="36" t="s">
        <v>83</v>
      </c>
      <c r="Z109" s="36" t="s">
        <v>157</v>
      </c>
      <c r="AA109" s="36" t="s">
        <v>173</v>
      </c>
      <c r="AB109" s="36"/>
      <c r="AC109" s="36"/>
      <c r="AD109" s="29" t="s">
        <v>119</v>
      </c>
      <c r="AE109" s="36" t="str">
        <f>_xlfn.XLOOKUP(表格1[[#This Row],[唯一識別碼]],API清冊0707!B:B,API清冊0707!T:T,"")&amp;""</f>
        <v>無下拉選單</v>
      </c>
    </row>
    <row r="110" spans="1:31" ht="204.75" customHeight="1" x14ac:dyDescent="0.4">
      <c r="A110" s="29" t="s">
        <v>587</v>
      </c>
      <c r="B110" s="29"/>
      <c r="C110" s="29"/>
      <c r="D110" s="29" t="s">
        <v>588</v>
      </c>
      <c r="E110" s="29" t="s">
        <v>589</v>
      </c>
      <c r="F110" s="29" t="s">
        <v>590</v>
      </c>
      <c r="G110" s="35"/>
      <c r="H110" s="35" t="s">
        <v>151</v>
      </c>
      <c r="I110" s="29" t="s">
        <v>587</v>
      </c>
      <c r="J110" s="37"/>
      <c r="K110" s="38"/>
      <c r="L110" s="38"/>
      <c r="M110" s="36" t="s">
        <v>60</v>
      </c>
      <c r="N110" s="15" t="s">
        <v>152</v>
      </c>
      <c r="O110" s="36" t="s">
        <v>162</v>
      </c>
      <c r="P110" s="36" t="str">
        <f t="shared" si="2"/>
        <v>WMTS_UAV空拍影像_臺中市第14期(105年)</v>
      </c>
      <c r="Q110" s="29" t="s">
        <v>590</v>
      </c>
      <c r="R110" s="29" t="str">
        <f t="shared" si="3"/>
        <v>2dms_wmts_v1_UAV105B15</v>
      </c>
      <c r="S110" s="39" t="s">
        <v>155</v>
      </c>
      <c r="U110" s="27" t="str">
        <f>_xlfn.XLOOKUP(表格1[[#This Row],[服務類別(英)]],參考2_服務標準對照!$B:$B,參考2_服務標準對照!$C:$C,"")&amp;""</f>
        <v>OGC</v>
      </c>
      <c r="V110" s="29" t="s">
        <v>7</v>
      </c>
      <c r="W110" s="29" t="s">
        <v>163</v>
      </c>
      <c r="X110" s="29" t="s">
        <v>81</v>
      </c>
      <c r="Y110" s="36" t="s">
        <v>83</v>
      </c>
      <c r="Z110" s="36" t="s">
        <v>157</v>
      </c>
      <c r="AA110" s="36" t="s">
        <v>173</v>
      </c>
      <c r="AB110" s="36"/>
      <c r="AC110" s="36"/>
      <c r="AD110" s="29" t="s">
        <v>119</v>
      </c>
      <c r="AE110" s="36" t="str">
        <f>_xlfn.XLOOKUP(表格1[[#This Row],[唯一識別碼]],API清冊0707!B:B,API清冊0707!T:T,"")&amp;""</f>
        <v>無下拉選單</v>
      </c>
    </row>
    <row r="111" spans="1:31" ht="204.75" customHeight="1" x14ac:dyDescent="0.4">
      <c r="A111" s="29" t="s">
        <v>591</v>
      </c>
      <c r="B111" s="29"/>
      <c r="C111" s="29"/>
      <c r="D111" s="29" t="s">
        <v>592</v>
      </c>
      <c r="E111" s="29" t="s">
        <v>593</v>
      </c>
      <c r="F111" s="29" t="s">
        <v>594</v>
      </c>
      <c r="G111" s="35"/>
      <c r="H111" s="35" t="s">
        <v>151</v>
      </c>
      <c r="I111" s="29" t="s">
        <v>591</v>
      </c>
      <c r="J111" s="37"/>
      <c r="K111" s="38"/>
      <c r="L111" s="38"/>
      <c r="M111" s="36" t="s">
        <v>60</v>
      </c>
      <c r="N111" s="15" t="s">
        <v>152</v>
      </c>
      <c r="O111" s="36" t="s">
        <v>162</v>
      </c>
      <c r="P111" s="36" t="str">
        <f t="shared" si="2"/>
        <v>WMTS_UAV空拍影像_臺中市水湳機場(105年)</v>
      </c>
      <c r="Q111" s="29" t="s">
        <v>594</v>
      </c>
      <c r="R111" s="29" t="str">
        <f t="shared" si="3"/>
        <v>2dms_wmts_v1_UAV105B14</v>
      </c>
      <c r="S111" s="39" t="s">
        <v>155</v>
      </c>
      <c r="U111" s="27" t="str">
        <f>_xlfn.XLOOKUP(表格1[[#This Row],[服務類別(英)]],參考2_服務標準對照!$B:$B,參考2_服務標準對照!$C:$C,"")&amp;""</f>
        <v>OGC</v>
      </c>
      <c r="V111" s="29" t="s">
        <v>7</v>
      </c>
      <c r="W111" s="29" t="s">
        <v>163</v>
      </c>
      <c r="X111" s="29" t="s">
        <v>81</v>
      </c>
      <c r="Y111" s="36" t="s">
        <v>83</v>
      </c>
      <c r="Z111" s="36" t="s">
        <v>157</v>
      </c>
      <c r="AA111" s="36" t="s">
        <v>173</v>
      </c>
      <c r="AB111" s="36"/>
      <c r="AC111" s="36"/>
      <c r="AD111" s="29" t="s">
        <v>119</v>
      </c>
      <c r="AE111" s="36" t="str">
        <f>_xlfn.XLOOKUP(表格1[[#This Row],[唯一識別碼]],API清冊0707!B:B,API清冊0707!T:T,"")&amp;""</f>
        <v>無下拉選單</v>
      </c>
    </row>
    <row r="112" spans="1:31" ht="204.75" customHeight="1" x14ac:dyDescent="0.4">
      <c r="A112" s="29" t="s">
        <v>595</v>
      </c>
      <c r="B112" s="29"/>
      <c r="C112" s="29"/>
      <c r="D112" s="29" t="s">
        <v>596</v>
      </c>
      <c r="E112" s="29" t="s">
        <v>597</v>
      </c>
      <c r="F112" s="29" t="s">
        <v>598</v>
      </c>
      <c r="G112" s="35"/>
      <c r="H112" s="35" t="s">
        <v>151</v>
      </c>
      <c r="I112" s="29" t="s">
        <v>595</v>
      </c>
      <c r="J112" s="37"/>
      <c r="K112" s="38"/>
      <c r="L112" s="38"/>
      <c r="M112" s="36" t="s">
        <v>60</v>
      </c>
      <c r="N112" s="15" t="s">
        <v>152</v>
      </c>
      <c r="O112" s="36" t="s">
        <v>162</v>
      </c>
      <c r="P112" s="36" t="str">
        <f t="shared" si="2"/>
        <v>WMTS_UAV空拍影像_臺中市太平新光地區(105年)</v>
      </c>
      <c r="Q112" s="29" t="s">
        <v>598</v>
      </c>
      <c r="R112" s="29" t="str">
        <f t="shared" si="3"/>
        <v>2dms_wmts_v1_UAV105B13</v>
      </c>
      <c r="S112" s="39" t="s">
        <v>155</v>
      </c>
      <c r="U112" s="27" t="str">
        <f>_xlfn.XLOOKUP(表格1[[#This Row],[服務類別(英)]],參考2_服務標準對照!$B:$B,參考2_服務標準對照!$C:$C,"")&amp;""</f>
        <v>OGC</v>
      </c>
      <c r="V112" s="29" t="s">
        <v>7</v>
      </c>
      <c r="W112" s="29" t="s">
        <v>163</v>
      </c>
      <c r="X112" s="29" t="s">
        <v>81</v>
      </c>
      <c r="Y112" s="36" t="s">
        <v>83</v>
      </c>
      <c r="Z112" s="36" t="s">
        <v>157</v>
      </c>
      <c r="AA112" s="36" t="s">
        <v>173</v>
      </c>
      <c r="AB112" s="36"/>
      <c r="AC112" s="36"/>
      <c r="AD112" s="29" t="s">
        <v>119</v>
      </c>
      <c r="AE112" s="36" t="str">
        <f>_xlfn.XLOOKUP(表格1[[#This Row],[唯一識別碼]],API清冊0707!B:B,API清冊0707!T:T,"")&amp;""</f>
        <v>無下拉選單</v>
      </c>
    </row>
    <row r="113" spans="1:31" ht="204.75" customHeight="1" x14ac:dyDescent="0.4">
      <c r="A113" s="29" t="s">
        <v>599</v>
      </c>
      <c r="B113" s="29"/>
      <c r="C113" s="29"/>
      <c r="D113" s="29" t="s">
        <v>600</v>
      </c>
      <c r="E113" s="29" t="s">
        <v>601</v>
      </c>
      <c r="F113" s="29" t="s">
        <v>602</v>
      </c>
      <c r="G113" s="35"/>
      <c r="H113" s="35" t="s">
        <v>151</v>
      </c>
      <c r="I113" s="29" t="s">
        <v>599</v>
      </c>
      <c r="J113" s="37"/>
      <c r="K113" s="38"/>
      <c r="L113" s="38"/>
      <c r="M113" s="36" t="s">
        <v>60</v>
      </c>
      <c r="N113" s="15" t="s">
        <v>152</v>
      </c>
      <c r="O113" s="36" t="s">
        <v>162</v>
      </c>
      <c r="P113" s="36" t="str">
        <f t="shared" si="2"/>
        <v>WMTS_UAV空拍影像_臺中市廍子地區(105年)</v>
      </c>
      <c r="Q113" s="29" t="s">
        <v>602</v>
      </c>
      <c r="R113" s="29" t="str">
        <f t="shared" si="3"/>
        <v>2dms_wmts_v1_UAV105B12</v>
      </c>
      <c r="S113" s="39" t="s">
        <v>155</v>
      </c>
      <c r="U113" s="27" t="str">
        <f>_xlfn.XLOOKUP(表格1[[#This Row],[服務類別(英)]],參考2_服務標準對照!$B:$B,參考2_服務標準對照!$C:$C,"")&amp;""</f>
        <v>OGC</v>
      </c>
      <c r="V113" s="29" t="s">
        <v>7</v>
      </c>
      <c r="W113" s="29" t="s">
        <v>163</v>
      </c>
      <c r="X113" s="29" t="s">
        <v>81</v>
      </c>
      <c r="Y113" s="36" t="s">
        <v>83</v>
      </c>
      <c r="Z113" s="36" t="s">
        <v>157</v>
      </c>
      <c r="AA113" s="36" t="s">
        <v>173</v>
      </c>
      <c r="AB113" s="36"/>
      <c r="AC113" s="36"/>
      <c r="AD113" s="29" t="s">
        <v>119</v>
      </c>
      <c r="AE113" s="36" t="str">
        <f>_xlfn.XLOOKUP(表格1[[#This Row],[唯一識別碼]],API清冊0707!B:B,API清冊0707!T:T,"")&amp;""</f>
        <v>無下拉選單</v>
      </c>
    </row>
    <row r="114" spans="1:31" ht="204.75" customHeight="1" x14ac:dyDescent="0.4">
      <c r="A114" s="29" t="s">
        <v>603</v>
      </c>
      <c r="B114" s="29"/>
      <c r="C114" s="29"/>
      <c r="D114" s="29" t="s">
        <v>604</v>
      </c>
      <c r="E114" s="29" t="s">
        <v>605</v>
      </c>
      <c r="F114" s="29" t="s">
        <v>606</v>
      </c>
      <c r="G114" s="35"/>
      <c r="H114" s="35" t="s">
        <v>151</v>
      </c>
      <c r="I114" s="29" t="s">
        <v>603</v>
      </c>
      <c r="J114" s="37"/>
      <c r="K114" s="38"/>
      <c r="L114" s="38"/>
      <c r="M114" s="36" t="s">
        <v>60</v>
      </c>
      <c r="N114" s="15" t="s">
        <v>152</v>
      </c>
      <c r="O114" s="36" t="s">
        <v>162</v>
      </c>
      <c r="P114" s="36" t="str">
        <f t="shared" si="2"/>
        <v>WMTS_UAV空拍影像_臺中市太平區坪林森林公園(105年)</v>
      </c>
      <c r="Q114" s="29" t="s">
        <v>606</v>
      </c>
      <c r="R114" s="29" t="str">
        <f t="shared" si="3"/>
        <v>2dms_wmts_v1_UAV105B11</v>
      </c>
      <c r="S114" s="39" t="s">
        <v>155</v>
      </c>
      <c r="U114" s="27" t="str">
        <f>_xlfn.XLOOKUP(表格1[[#This Row],[服務類別(英)]],參考2_服務標準對照!$B:$B,參考2_服務標準對照!$C:$C,"")&amp;""</f>
        <v>OGC</v>
      </c>
      <c r="V114" s="29" t="s">
        <v>7</v>
      </c>
      <c r="W114" s="29" t="s">
        <v>163</v>
      </c>
      <c r="X114" s="29" t="s">
        <v>81</v>
      </c>
      <c r="Y114" s="36" t="s">
        <v>83</v>
      </c>
      <c r="Z114" s="36" t="s">
        <v>157</v>
      </c>
      <c r="AA114" s="36" t="s">
        <v>173</v>
      </c>
      <c r="AB114" s="36"/>
      <c r="AC114" s="36"/>
      <c r="AD114" s="29" t="s">
        <v>119</v>
      </c>
      <c r="AE114" s="36" t="str">
        <f>_xlfn.XLOOKUP(表格1[[#This Row],[唯一識別碼]],API清冊0707!B:B,API清冊0707!T:T,"")&amp;""</f>
        <v>無下拉選單</v>
      </c>
    </row>
    <row r="115" spans="1:31" ht="204.75" customHeight="1" x14ac:dyDescent="0.4">
      <c r="A115" s="29" t="s">
        <v>607</v>
      </c>
      <c r="B115" s="29"/>
      <c r="C115" s="29"/>
      <c r="D115" s="29" t="s">
        <v>608</v>
      </c>
      <c r="E115" s="29" t="s">
        <v>609</v>
      </c>
      <c r="F115" s="29" t="s">
        <v>610</v>
      </c>
      <c r="G115" s="35"/>
      <c r="H115" s="35" t="s">
        <v>151</v>
      </c>
      <c r="I115" s="29" t="s">
        <v>607</v>
      </c>
      <c r="J115" s="37"/>
      <c r="K115" s="38"/>
      <c r="L115" s="38"/>
      <c r="M115" s="36" t="s">
        <v>60</v>
      </c>
      <c r="N115" s="15" t="s">
        <v>152</v>
      </c>
      <c r="O115" s="36" t="s">
        <v>162</v>
      </c>
      <c r="P115" s="36" t="str">
        <f t="shared" si="2"/>
        <v>WMTS_UAV空拍影像_臺中市捷運北屯機廠(105年)</v>
      </c>
      <c r="Q115" s="29" t="s">
        <v>610</v>
      </c>
      <c r="R115" s="29" t="str">
        <f t="shared" si="3"/>
        <v>2dms_wmts_v1_UAV105B10</v>
      </c>
      <c r="S115" s="39" t="s">
        <v>155</v>
      </c>
      <c r="U115" s="27" t="str">
        <f>_xlfn.XLOOKUP(表格1[[#This Row],[服務類別(英)]],參考2_服務標準對照!$B:$B,參考2_服務標準對照!$C:$C,"")&amp;""</f>
        <v>OGC</v>
      </c>
      <c r="V115" s="29" t="s">
        <v>7</v>
      </c>
      <c r="W115" s="29" t="s">
        <v>163</v>
      </c>
      <c r="X115" s="29" t="s">
        <v>81</v>
      </c>
      <c r="Y115" s="36" t="s">
        <v>83</v>
      </c>
      <c r="Z115" s="36" t="s">
        <v>157</v>
      </c>
      <c r="AA115" s="36" t="s">
        <v>173</v>
      </c>
      <c r="AB115" s="36"/>
      <c r="AC115" s="36"/>
      <c r="AD115" s="29" t="s">
        <v>119</v>
      </c>
      <c r="AE115" s="36" t="str">
        <f>_xlfn.XLOOKUP(表格1[[#This Row],[唯一識別碼]],API清冊0707!B:B,API清冊0707!T:T,"")&amp;""</f>
        <v>無下拉選單</v>
      </c>
    </row>
    <row r="116" spans="1:31" ht="204.75" customHeight="1" x14ac:dyDescent="0.4">
      <c r="A116" s="29" t="s">
        <v>611</v>
      </c>
      <c r="B116" s="29"/>
      <c r="C116" s="29"/>
      <c r="D116" s="29" t="s">
        <v>612</v>
      </c>
      <c r="E116" s="29" t="s">
        <v>613</v>
      </c>
      <c r="F116" s="29" t="s">
        <v>614</v>
      </c>
      <c r="G116" s="35"/>
      <c r="H116" s="35" t="s">
        <v>151</v>
      </c>
      <c r="I116" s="29" t="s">
        <v>611</v>
      </c>
      <c r="J116" s="37"/>
      <c r="K116" s="38"/>
      <c r="L116" s="38"/>
      <c r="M116" s="36" t="s">
        <v>60</v>
      </c>
      <c r="N116" s="15" t="s">
        <v>152</v>
      </c>
      <c r="O116" s="36" t="s">
        <v>162</v>
      </c>
      <c r="P116" s="36" t="str">
        <f t="shared" si="2"/>
        <v>WMTS_UAV空拍影像_臺中市振興路以南(105年)</v>
      </c>
      <c r="Q116" s="29" t="s">
        <v>614</v>
      </c>
      <c r="R116" s="29" t="str">
        <f t="shared" si="3"/>
        <v>2dms_wmts_v1_UAV105B09</v>
      </c>
      <c r="S116" s="39" t="s">
        <v>155</v>
      </c>
      <c r="U116" s="27" t="str">
        <f>_xlfn.XLOOKUP(表格1[[#This Row],[服務類別(英)]],參考2_服務標準對照!$B:$B,參考2_服務標準對照!$C:$C,"")&amp;""</f>
        <v>OGC</v>
      </c>
      <c r="V116" s="29" t="s">
        <v>7</v>
      </c>
      <c r="W116" s="29" t="s">
        <v>163</v>
      </c>
      <c r="X116" s="29" t="s">
        <v>81</v>
      </c>
      <c r="Y116" s="36" t="s">
        <v>83</v>
      </c>
      <c r="Z116" s="36" t="s">
        <v>157</v>
      </c>
      <c r="AA116" s="36" t="s">
        <v>173</v>
      </c>
      <c r="AB116" s="36"/>
      <c r="AC116" s="36"/>
      <c r="AD116" s="29" t="s">
        <v>119</v>
      </c>
      <c r="AE116" s="36" t="str">
        <f>_xlfn.XLOOKUP(表格1[[#This Row],[唯一識別碼]],API清冊0707!B:B,API清冊0707!T:T,"")&amp;""</f>
        <v>無下拉選單</v>
      </c>
    </row>
    <row r="117" spans="1:31" ht="204.75" customHeight="1" x14ac:dyDescent="0.4">
      <c r="A117" s="29" t="s">
        <v>615</v>
      </c>
      <c r="B117" s="29"/>
      <c r="C117" s="29"/>
      <c r="D117" s="29" t="s">
        <v>616</v>
      </c>
      <c r="E117" s="29" t="s">
        <v>617</v>
      </c>
      <c r="F117" s="29" t="s">
        <v>618</v>
      </c>
      <c r="G117" s="35"/>
      <c r="H117" s="35" t="s">
        <v>151</v>
      </c>
      <c r="I117" s="29" t="s">
        <v>615</v>
      </c>
      <c r="J117" s="37"/>
      <c r="K117" s="38"/>
      <c r="L117" s="38"/>
      <c r="M117" s="36" t="s">
        <v>60</v>
      </c>
      <c r="N117" s="15" t="s">
        <v>152</v>
      </c>
      <c r="O117" s="36" t="s">
        <v>162</v>
      </c>
      <c r="P117" s="36" t="str">
        <f t="shared" si="2"/>
        <v>WMTS_UAV空拍影像_臺中市潭子區(105年)</v>
      </c>
      <c r="Q117" s="29" t="s">
        <v>618</v>
      </c>
      <c r="R117" s="29" t="str">
        <f t="shared" si="3"/>
        <v>2dms_wmts_v1_UAV105B08</v>
      </c>
      <c r="S117" s="39" t="s">
        <v>155</v>
      </c>
      <c r="U117" s="27" t="str">
        <f>_xlfn.XLOOKUP(表格1[[#This Row],[服務類別(英)]],參考2_服務標準對照!$B:$B,參考2_服務標準對照!$C:$C,"")&amp;""</f>
        <v>OGC</v>
      </c>
      <c r="V117" s="29" t="s">
        <v>7</v>
      </c>
      <c r="W117" s="29" t="s">
        <v>163</v>
      </c>
      <c r="X117" s="29" t="s">
        <v>81</v>
      </c>
      <c r="Y117" s="36" t="s">
        <v>83</v>
      </c>
      <c r="Z117" s="36" t="s">
        <v>157</v>
      </c>
      <c r="AA117" s="36" t="s">
        <v>173</v>
      </c>
      <c r="AB117" s="36"/>
      <c r="AC117" s="36"/>
      <c r="AD117" s="29" t="s">
        <v>119</v>
      </c>
      <c r="AE117" s="36" t="str">
        <f>_xlfn.XLOOKUP(表格1[[#This Row],[唯一識別碼]],API清冊0707!B:B,API清冊0707!T:T,"")&amp;""</f>
        <v>無下拉選單</v>
      </c>
    </row>
    <row r="118" spans="1:31" ht="204.75" customHeight="1" x14ac:dyDescent="0.4">
      <c r="A118" s="29" t="s">
        <v>619</v>
      </c>
      <c r="B118" s="29"/>
      <c r="C118" s="29"/>
      <c r="D118" s="29" t="s">
        <v>620</v>
      </c>
      <c r="E118" s="29" t="s">
        <v>621</v>
      </c>
      <c r="F118" s="29" t="s">
        <v>622</v>
      </c>
      <c r="G118" s="35"/>
      <c r="H118" s="35" t="s">
        <v>151</v>
      </c>
      <c r="I118" s="29" t="s">
        <v>619</v>
      </c>
      <c r="J118" s="37"/>
      <c r="K118" s="38"/>
      <c r="L118" s="38"/>
      <c r="M118" s="36" t="s">
        <v>60</v>
      </c>
      <c r="N118" s="15" t="s">
        <v>152</v>
      </c>
      <c r="O118" s="36" t="s">
        <v>162</v>
      </c>
      <c r="P118" s="36" t="str">
        <f t="shared" si="2"/>
        <v>WMTS_UAV空拍影像_臺中市霧峰區(105年)</v>
      </c>
      <c r="Q118" s="29" t="s">
        <v>622</v>
      </c>
      <c r="R118" s="29" t="str">
        <f t="shared" si="3"/>
        <v>2dms_wmts_v1_UAV105B07</v>
      </c>
      <c r="S118" s="39" t="s">
        <v>155</v>
      </c>
      <c r="U118" s="27" t="str">
        <f>_xlfn.XLOOKUP(表格1[[#This Row],[服務類別(英)]],參考2_服務標準對照!$B:$B,參考2_服務標準對照!$C:$C,"")&amp;""</f>
        <v>OGC</v>
      </c>
      <c r="V118" s="29" t="s">
        <v>7</v>
      </c>
      <c r="W118" s="29" t="s">
        <v>163</v>
      </c>
      <c r="X118" s="29" t="s">
        <v>81</v>
      </c>
      <c r="Y118" s="36" t="s">
        <v>83</v>
      </c>
      <c r="Z118" s="36" t="s">
        <v>157</v>
      </c>
      <c r="AA118" s="36" t="s">
        <v>173</v>
      </c>
      <c r="AB118" s="36"/>
      <c r="AC118" s="36"/>
      <c r="AD118" s="29" t="s">
        <v>119</v>
      </c>
      <c r="AE118" s="36" t="str">
        <f>_xlfn.XLOOKUP(表格1[[#This Row],[唯一識別碼]],API清冊0707!B:B,API清冊0707!T:T,"")&amp;""</f>
        <v>無下拉選單</v>
      </c>
    </row>
    <row r="119" spans="1:31" ht="204.75" customHeight="1" x14ac:dyDescent="0.4">
      <c r="A119" s="29" t="s">
        <v>623</v>
      </c>
      <c r="B119" s="29"/>
      <c r="C119" s="29"/>
      <c r="D119" s="29" t="s">
        <v>624</v>
      </c>
      <c r="E119" s="29" t="s">
        <v>625</v>
      </c>
      <c r="F119" s="29" t="s">
        <v>626</v>
      </c>
      <c r="G119" s="35"/>
      <c r="H119" s="35" t="s">
        <v>151</v>
      </c>
      <c r="I119" s="29" t="s">
        <v>623</v>
      </c>
      <c r="J119" s="37"/>
      <c r="K119" s="38"/>
      <c r="L119" s="38"/>
      <c r="M119" s="36" t="s">
        <v>60</v>
      </c>
      <c r="N119" s="15" t="s">
        <v>152</v>
      </c>
      <c r="O119" s="36" t="s">
        <v>162</v>
      </c>
      <c r="P119" s="36" t="str">
        <f t="shared" ref="P119:P182" si="4">IF(LEN(TRIM(F119))&gt;0,F119,E119)</f>
        <v>WMTS_UAV空拍影像_臺中市第13期(105年)</v>
      </c>
      <c r="Q119" s="29" t="s">
        <v>626</v>
      </c>
      <c r="R119" s="29" t="str">
        <f t="shared" ref="R119:R182" si="5">D119</f>
        <v>2dms_wmts_v1_UAV105B06</v>
      </c>
      <c r="S119" s="39" t="s">
        <v>155</v>
      </c>
      <c r="U119" s="27" t="str">
        <f>_xlfn.XLOOKUP(表格1[[#This Row],[服務類別(英)]],參考2_服務標準對照!$B:$B,參考2_服務標準對照!$C:$C,"")&amp;""</f>
        <v>OGC</v>
      </c>
      <c r="V119" s="29" t="s">
        <v>7</v>
      </c>
      <c r="W119" s="29" t="s">
        <v>163</v>
      </c>
      <c r="X119" s="29" t="s">
        <v>81</v>
      </c>
      <c r="Y119" s="36" t="s">
        <v>83</v>
      </c>
      <c r="Z119" s="36" t="s">
        <v>157</v>
      </c>
      <c r="AA119" s="36" t="s">
        <v>173</v>
      </c>
      <c r="AB119" s="36"/>
      <c r="AC119" s="36"/>
      <c r="AD119" s="29" t="s">
        <v>119</v>
      </c>
      <c r="AE119" s="36" t="str">
        <f>_xlfn.XLOOKUP(表格1[[#This Row],[唯一識別碼]],API清冊0707!B:B,API清冊0707!T:T,"")&amp;""</f>
        <v>無下拉選單</v>
      </c>
    </row>
    <row r="120" spans="1:31" ht="204.75" customHeight="1" x14ac:dyDescent="0.4">
      <c r="A120" s="29" t="s">
        <v>627</v>
      </c>
      <c r="B120" s="29"/>
      <c r="C120" s="29"/>
      <c r="D120" s="29" t="s">
        <v>628</v>
      </c>
      <c r="E120" s="29" t="s">
        <v>629</v>
      </c>
      <c r="F120" s="29" t="s">
        <v>630</v>
      </c>
      <c r="G120" s="35"/>
      <c r="H120" s="35" t="s">
        <v>151</v>
      </c>
      <c r="I120" s="29" t="s">
        <v>627</v>
      </c>
      <c r="J120" s="37"/>
      <c r="K120" s="38"/>
      <c r="L120" s="38"/>
      <c r="M120" s="36" t="s">
        <v>60</v>
      </c>
      <c r="N120" s="15" t="s">
        <v>152</v>
      </c>
      <c r="O120" s="36" t="s">
        <v>162</v>
      </c>
      <c r="P120" s="36" t="str">
        <f t="shared" si="4"/>
        <v>WMTS_UAV空拍影像_臺中市臺中車站(105年)</v>
      </c>
      <c r="Q120" s="29" t="s">
        <v>630</v>
      </c>
      <c r="R120" s="29" t="str">
        <f t="shared" si="5"/>
        <v>2dms_wmts_v1_UAV105B05</v>
      </c>
      <c r="S120" s="39" t="s">
        <v>155</v>
      </c>
      <c r="U120" s="27" t="str">
        <f>_xlfn.XLOOKUP(表格1[[#This Row],[服務類別(英)]],參考2_服務標準對照!$B:$B,參考2_服務標準對照!$C:$C,"")&amp;""</f>
        <v>OGC</v>
      </c>
      <c r="V120" s="29" t="s">
        <v>7</v>
      </c>
      <c r="W120" s="29" t="s">
        <v>163</v>
      </c>
      <c r="X120" s="29" t="s">
        <v>81</v>
      </c>
      <c r="Y120" s="36" t="s">
        <v>83</v>
      </c>
      <c r="Z120" s="36" t="s">
        <v>157</v>
      </c>
      <c r="AA120" s="36" t="s">
        <v>173</v>
      </c>
      <c r="AB120" s="36"/>
      <c r="AC120" s="36"/>
      <c r="AD120" s="29" t="s">
        <v>119</v>
      </c>
      <c r="AE120" s="36" t="str">
        <f>_xlfn.XLOOKUP(表格1[[#This Row],[唯一識別碼]],API清冊0707!B:B,API清冊0707!T:T,"")&amp;""</f>
        <v>無下拉選單</v>
      </c>
    </row>
    <row r="121" spans="1:31" ht="204.75" customHeight="1" x14ac:dyDescent="0.4">
      <c r="A121" s="29" t="s">
        <v>631</v>
      </c>
      <c r="B121" s="29"/>
      <c r="C121" s="29"/>
      <c r="D121" s="29" t="s">
        <v>632</v>
      </c>
      <c r="E121" s="29" t="s">
        <v>633</v>
      </c>
      <c r="F121" s="29" t="s">
        <v>634</v>
      </c>
      <c r="G121" s="35"/>
      <c r="H121" s="35" t="s">
        <v>151</v>
      </c>
      <c r="I121" s="29" t="s">
        <v>631</v>
      </c>
      <c r="J121" s="37"/>
      <c r="K121" s="38"/>
      <c r="L121" s="38"/>
      <c r="M121" s="36" t="s">
        <v>60</v>
      </c>
      <c r="N121" s="15" t="s">
        <v>152</v>
      </c>
      <c r="O121" s="36" t="s">
        <v>162</v>
      </c>
      <c r="P121" s="36" t="str">
        <f t="shared" si="4"/>
        <v>WMTS_UAV空拍影像_臺中市豐原車站(105年)</v>
      </c>
      <c r="Q121" s="29" t="s">
        <v>634</v>
      </c>
      <c r="R121" s="29" t="str">
        <f t="shared" si="5"/>
        <v>2dms_wmts_v1_UAV105B04</v>
      </c>
      <c r="S121" s="39" t="s">
        <v>155</v>
      </c>
      <c r="U121" s="27" t="str">
        <f>_xlfn.XLOOKUP(表格1[[#This Row],[服務類別(英)]],參考2_服務標準對照!$B:$B,參考2_服務標準對照!$C:$C,"")&amp;""</f>
        <v>OGC</v>
      </c>
      <c r="V121" s="29" t="s">
        <v>7</v>
      </c>
      <c r="W121" s="29" t="s">
        <v>163</v>
      </c>
      <c r="X121" s="29" t="s">
        <v>81</v>
      </c>
      <c r="Y121" s="36" t="s">
        <v>83</v>
      </c>
      <c r="Z121" s="36" t="s">
        <v>157</v>
      </c>
      <c r="AA121" s="36" t="s">
        <v>173</v>
      </c>
      <c r="AB121" s="36"/>
      <c r="AC121" s="36"/>
      <c r="AD121" s="29" t="s">
        <v>119</v>
      </c>
      <c r="AE121" s="36" t="str">
        <f>_xlfn.XLOOKUP(表格1[[#This Row],[唯一識別碼]],API清冊0707!B:B,API清冊0707!T:T,"")&amp;""</f>
        <v>無下拉選單</v>
      </c>
    </row>
    <row r="122" spans="1:31" ht="204.75" customHeight="1" x14ac:dyDescent="0.4">
      <c r="A122" s="29" t="s">
        <v>635</v>
      </c>
      <c r="B122" s="29"/>
      <c r="C122" s="29"/>
      <c r="D122" s="29" t="s">
        <v>636</v>
      </c>
      <c r="E122" s="29" t="s">
        <v>637</v>
      </c>
      <c r="F122" s="29" t="s">
        <v>638</v>
      </c>
      <c r="G122" s="35"/>
      <c r="H122" s="35" t="s">
        <v>151</v>
      </c>
      <c r="I122" s="29" t="s">
        <v>635</v>
      </c>
      <c r="J122" s="37"/>
      <c r="K122" s="38"/>
      <c r="L122" s="38"/>
      <c r="M122" s="36" t="s">
        <v>60</v>
      </c>
      <c r="N122" s="15" t="s">
        <v>152</v>
      </c>
      <c r="O122" s="36" t="s">
        <v>162</v>
      </c>
      <c r="P122" s="36" t="str">
        <f t="shared" si="4"/>
        <v>WMTS_UAV空拍影像_臺中市潭子車站(105年)</v>
      </c>
      <c r="Q122" s="29" t="s">
        <v>638</v>
      </c>
      <c r="R122" s="29" t="str">
        <f t="shared" si="5"/>
        <v>2dms_wmts_v1_UAV105B03</v>
      </c>
      <c r="S122" s="39" t="s">
        <v>155</v>
      </c>
      <c r="U122" s="27" t="str">
        <f>_xlfn.XLOOKUP(表格1[[#This Row],[服務類別(英)]],參考2_服務標準對照!$B:$B,參考2_服務標準對照!$C:$C,"")&amp;""</f>
        <v>OGC</v>
      </c>
      <c r="V122" s="29" t="s">
        <v>7</v>
      </c>
      <c r="W122" s="29" t="s">
        <v>163</v>
      </c>
      <c r="X122" s="29" t="s">
        <v>81</v>
      </c>
      <c r="Y122" s="36" t="s">
        <v>83</v>
      </c>
      <c r="Z122" s="36" t="s">
        <v>157</v>
      </c>
      <c r="AA122" s="36" t="s">
        <v>173</v>
      </c>
      <c r="AB122" s="36"/>
      <c r="AC122" s="36"/>
      <c r="AD122" s="29" t="s">
        <v>119</v>
      </c>
      <c r="AE122" s="36" t="str">
        <f>_xlfn.XLOOKUP(表格1[[#This Row],[唯一識別碼]],API清冊0707!B:B,API清冊0707!T:T,"")&amp;""</f>
        <v>無下拉選單</v>
      </c>
    </row>
    <row r="123" spans="1:31" ht="204.75" customHeight="1" x14ac:dyDescent="0.4">
      <c r="A123" s="29" t="s">
        <v>639</v>
      </c>
      <c r="B123" s="29"/>
      <c r="C123" s="29"/>
      <c r="D123" s="29" t="s">
        <v>640</v>
      </c>
      <c r="E123" s="29" t="s">
        <v>641</v>
      </c>
      <c r="F123" s="29" t="s">
        <v>642</v>
      </c>
      <c r="G123" s="35"/>
      <c r="H123" s="35" t="s">
        <v>151</v>
      </c>
      <c r="I123" s="29" t="s">
        <v>639</v>
      </c>
      <c r="J123" s="37"/>
      <c r="K123" s="38"/>
      <c r="L123" s="38"/>
      <c r="M123" s="36" t="s">
        <v>60</v>
      </c>
      <c r="N123" s="15" t="s">
        <v>152</v>
      </c>
      <c r="O123" s="36" t="s">
        <v>162</v>
      </c>
      <c r="P123" s="36" t="str">
        <f t="shared" si="4"/>
        <v>WMTS_UAV空拍影像_臺中市太原車站(105年)</v>
      </c>
      <c r="Q123" s="29" t="s">
        <v>642</v>
      </c>
      <c r="R123" s="29" t="str">
        <f t="shared" si="5"/>
        <v>2dms_wmts_v1_UAV105B02</v>
      </c>
      <c r="S123" s="39" t="s">
        <v>155</v>
      </c>
      <c r="U123" s="27" t="str">
        <f>_xlfn.XLOOKUP(表格1[[#This Row],[服務類別(英)]],參考2_服務標準對照!$B:$B,參考2_服務標準對照!$C:$C,"")&amp;""</f>
        <v>OGC</v>
      </c>
      <c r="V123" s="29" t="s">
        <v>7</v>
      </c>
      <c r="W123" s="29" t="s">
        <v>163</v>
      </c>
      <c r="X123" s="29" t="s">
        <v>81</v>
      </c>
      <c r="Y123" s="36" t="s">
        <v>83</v>
      </c>
      <c r="Z123" s="36" t="s">
        <v>157</v>
      </c>
      <c r="AA123" s="36" t="s">
        <v>173</v>
      </c>
      <c r="AB123" s="36"/>
      <c r="AC123" s="36"/>
      <c r="AD123" s="29" t="s">
        <v>119</v>
      </c>
      <c r="AE123" s="36" t="str">
        <f>_xlfn.XLOOKUP(表格1[[#This Row],[唯一識別碼]],API清冊0707!B:B,API清冊0707!T:T,"")&amp;""</f>
        <v>無下拉選單</v>
      </c>
    </row>
    <row r="124" spans="1:31" ht="204.75" customHeight="1" x14ac:dyDescent="0.4">
      <c r="A124" s="29" t="s">
        <v>643</v>
      </c>
      <c r="B124" s="29"/>
      <c r="C124" s="29"/>
      <c r="D124" s="29" t="s">
        <v>644</v>
      </c>
      <c r="E124" s="29" t="s">
        <v>645</v>
      </c>
      <c r="F124" s="29" t="s">
        <v>646</v>
      </c>
      <c r="G124" s="35"/>
      <c r="H124" s="35" t="s">
        <v>151</v>
      </c>
      <c r="I124" s="29" t="s">
        <v>643</v>
      </c>
      <c r="J124" s="37"/>
      <c r="K124" s="38"/>
      <c r="L124" s="38"/>
      <c r="M124" s="36" t="s">
        <v>60</v>
      </c>
      <c r="N124" s="15" t="s">
        <v>152</v>
      </c>
      <c r="O124" s="36" t="s">
        <v>162</v>
      </c>
      <c r="P124" s="36" t="str">
        <f t="shared" si="4"/>
        <v>WMTS_UAV空拍影像_臺中市大慶車站(105年)</v>
      </c>
      <c r="Q124" s="29" t="s">
        <v>646</v>
      </c>
      <c r="R124" s="29" t="str">
        <f t="shared" si="5"/>
        <v>2dms_wmts_v1_UAV105B01</v>
      </c>
      <c r="S124" s="39" t="s">
        <v>155</v>
      </c>
      <c r="U124" s="27" t="str">
        <f>_xlfn.XLOOKUP(表格1[[#This Row],[服務類別(英)]],參考2_服務標準對照!$B:$B,參考2_服務標準對照!$C:$C,"")&amp;""</f>
        <v>OGC</v>
      </c>
      <c r="V124" s="29" t="s">
        <v>7</v>
      </c>
      <c r="W124" s="29" t="s">
        <v>163</v>
      </c>
      <c r="X124" s="29" t="s">
        <v>81</v>
      </c>
      <c r="Y124" s="36" t="s">
        <v>83</v>
      </c>
      <c r="Z124" s="36" t="s">
        <v>157</v>
      </c>
      <c r="AA124" s="36" t="s">
        <v>173</v>
      </c>
      <c r="AB124" s="36"/>
      <c r="AC124" s="36"/>
      <c r="AD124" s="29" t="s">
        <v>119</v>
      </c>
      <c r="AE124" s="36" t="str">
        <f>_xlfn.XLOOKUP(表格1[[#This Row],[唯一識別碼]],API清冊0707!B:B,API清冊0707!T:T,"")&amp;""</f>
        <v>無下拉選單</v>
      </c>
    </row>
    <row r="125" spans="1:31" ht="204.75" customHeight="1" x14ac:dyDescent="0.4">
      <c r="A125" s="29" t="s">
        <v>647</v>
      </c>
      <c r="B125" s="29"/>
      <c r="C125" s="29"/>
      <c r="D125" s="29" t="s">
        <v>648</v>
      </c>
      <c r="E125" s="29" t="s">
        <v>649</v>
      </c>
      <c r="F125" s="29" t="s">
        <v>650</v>
      </c>
      <c r="G125" s="35"/>
      <c r="H125" s="35" t="s">
        <v>151</v>
      </c>
      <c r="I125" s="29" t="s">
        <v>647</v>
      </c>
      <c r="J125" s="37"/>
      <c r="K125" s="38"/>
      <c r="L125" s="38"/>
      <c r="M125" s="36" t="s">
        <v>60</v>
      </c>
      <c r="N125" s="15" t="s">
        <v>152</v>
      </c>
      <c r="O125" s="36" t="s">
        <v>162</v>
      </c>
      <c r="P125" s="36" t="str">
        <f t="shared" si="4"/>
        <v>WMTS_UAV空拍影像_臺北市北投夢幻湖(105年)</v>
      </c>
      <c r="Q125" s="29" t="s">
        <v>650</v>
      </c>
      <c r="R125" s="29" t="str">
        <f t="shared" si="5"/>
        <v>2dms_wmts_v1_UAV105A03</v>
      </c>
      <c r="S125" s="39" t="s">
        <v>155</v>
      </c>
      <c r="U125" s="27" t="str">
        <f>_xlfn.XLOOKUP(表格1[[#This Row],[服務類別(英)]],參考2_服務標準對照!$B:$B,參考2_服務標準對照!$C:$C,"")&amp;""</f>
        <v>OGC</v>
      </c>
      <c r="V125" s="29" t="s">
        <v>7</v>
      </c>
      <c r="W125" s="29" t="s">
        <v>163</v>
      </c>
      <c r="X125" s="29" t="s">
        <v>81</v>
      </c>
      <c r="Y125" s="36" t="s">
        <v>83</v>
      </c>
      <c r="Z125" s="36" t="s">
        <v>157</v>
      </c>
      <c r="AA125" s="36" t="s">
        <v>173</v>
      </c>
      <c r="AB125" s="36"/>
      <c r="AC125" s="36"/>
      <c r="AD125" s="29" t="s">
        <v>119</v>
      </c>
      <c r="AE125" s="36" t="str">
        <f>_xlfn.XLOOKUP(表格1[[#This Row],[唯一識別碼]],API清冊0707!B:B,API清冊0707!T:T,"")&amp;""</f>
        <v>無下拉選單</v>
      </c>
    </row>
    <row r="126" spans="1:31" ht="204.75" customHeight="1" x14ac:dyDescent="0.4">
      <c r="A126" s="29" t="s">
        <v>651</v>
      </c>
      <c r="B126" s="29"/>
      <c r="C126" s="29"/>
      <c r="D126" s="29" t="s">
        <v>652</v>
      </c>
      <c r="E126" s="29" t="s">
        <v>653</v>
      </c>
      <c r="F126" s="29" t="s">
        <v>654</v>
      </c>
      <c r="G126" s="35"/>
      <c r="H126" s="35" t="s">
        <v>151</v>
      </c>
      <c r="I126" s="29" t="s">
        <v>651</v>
      </c>
      <c r="J126" s="37"/>
      <c r="K126" s="38"/>
      <c r="L126" s="38"/>
      <c r="M126" s="36" t="s">
        <v>60</v>
      </c>
      <c r="N126" s="15" t="s">
        <v>152</v>
      </c>
      <c r="O126" s="36" t="s">
        <v>162</v>
      </c>
      <c r="P126" s="36" t="str">
        <f t="shared" si="4"/>
        <v>WMTS_UAV空拍影像_臺北市士林馬槽(105年)</v>
      </c>
      <c r="Q126" s="29" t="s">
        <v>654</v>
      </c>
      <c r="R126" s="29" t="str">
        <f t="shared" si="5"/>
        <v>2dms_wmts_v1_UAV105A02</v>
      </c>
      <c r="S126" s="39" t="s">
        <v>155</v>
      </c>
      <c r="U126" s="27" t="str">
        <f>_xlfn.XLOOKUP(表格1[[#This Row],[服務類別(英)]],參考2_服務標準對照!$B:$B,參考2_服務標準對照!$C:$C,"")&amp;""</f>
        <v>OGC</v>
      </c>
      <c r="V126" s="29" t="s">
        <v>7</v>
      </c>
      <c r="W126" s="29" t="s">
        <v>163</v>
      </c>
      <c r="X126" s="29" t="s">
        <v>81</v>
      </c>
      <c r="Y126" s="36" t="s">
        <v>83</v>
      </c>
      <c r="Z126" s="36" t="s">
        <v>157</v>
      </c>
      <c r="AA126" s="36" t="s">
        <v>173</v>
      </c>
      <c r="AB126" s="36"/>
      <c r="AC126" s="36"/>
      <c r="AD126" s="29" t="s">
        <v>119</v>
      </c>
      <c r="AE126" s="36" t="str">
        <f>_xlfn.XLOOKUP(表格1[[#This Row],[唯一識別碼]],API清冊0707!B:B,API清冊0707!T:T,"")&amp;""</f>
        <v>無下拉選單</v>
      </c>
    </row>
    <row r="127" spans="1:31" ht="204.75" customHeight="1" x14ac:dyDescent="0.4">
      <c r="A127" s="29" t="s">
        <v>655</v>
      </c>
      <c r="B127" s="29"/>
      <c r="C127" s="29"/>
      <c r="D127" s="29" t="s">
        <v>656</v>
      </c>
      <c r="E127" s="29" t="s">
        <v>657</v>
      </c>
      <c r="F127" s="29" t="s">
        <v>658</v>
      </c>
      <c r="G127" s="35"/>
      <c r="H127" s="35" t="s">
        <v>151</v>
      </c>
      <c r="I127" s="29" t="s">
        <v>655</v>
      </c>
      <c r="J127" s="37"/>
      <c r="K127" s="38"/>
      <c r="L127" s="38"/>
      <c r="M127" s="36" t="s">
        <v>60</v>
      </c>
      <c r="N127" s="15" t="s">
        <v>152</v>
      </c>
      <c r="O127" s="36" t="s">
        <v>162</v>
      </c>
      <c r="P127" s="36" t="str">
        <f t="shared" si="4"/>
        <v>WMTS_UAV空拍影像_臺北市士林大油坑(105年)</v>
      </c>
      <c r="Q127" s="29" t="s">
        <v>658</v>
      </c>
      <c r="R127" s="29" t="str">
        <f t="shared" si="5"/>
        <v>2dms_wmts_v1_UAV105A01</v>
      </c>
      <c r="S127" s="39" t="s">
        <v>155</v>
      </c>
      <c r="U127" s="27" t="str">
        <f>_xlfn.XLOOKUP(表格1[[#This Row],[服務類別(英)]],參考2_服務標準對照!$B:$B,參考2_服務標準對照!$C:$C,"")&amp;""</f>
        <v>OGC</v>
      </c>
      <c r="V127" s="29" t="s">
        <v>7</v>
      </c>
      <c r="W127" s="29" t="s">
        <v>163</v>
      </c>
      <c r="X127" s="29" t="s">
        <v>81</v>
      </c>
      <c r="Y127" s="36" t="s">
        <v>83</v>
      </c>
      <c r="Z127" s="36" t="s">
        <v>157</v>
      </c>
      <c r="AA127" s="36" t="s">
        <v>173</v>
      </c>
      <c r="AB127" s="36"/>
      <c r="AC127" s="36"/>
      <c r="AD127" s="29" t="s">
        <v>119</v>
      </c>
      <c r="AE127" s="36" t="str">
        <f>_xlfn.XLOOKUP(表格1[[#This Row],[唯一識別碼]],API清冊0707!B:B,API清冊0707!T:T,"")&amp;""</f>
        <v>無下拉選單</v>
      </c>
    </row>
    <row r="128" spans="1:31" ht="204.75" customHeight="1" x14ac:dyDescent="0.4">
      <c r="A128" s="29" t="s">
        <v>659</v>
      </c>
      <c r="B128" s="29"/>
      <c r="C128" s="29"/>
      <c r="D128" s="29" t="s">
        <v>660</v>
      </c>
      <c r="E128" s="29" t="s">
        <v>661</v>
      </c>
      <c r="F128" s="29" t="s">
        <v>662</v>
      </c>
      <c r="G128" s="35"/>
      <c r="H128" s="35" t="s">
        <v>151</v>
      </c>
      <c r="I128" s="29" t="s">
        <v>659</v>
      </c>
      <c r="J128" s="37"/>
      <c r="K128" s="38"/>
      <c r="L128" s="38"/>
      <c r="M128" s="36" t="s">
        <v>60</v>
      </c>
      <c r="N128" s="15" t="s">
        <v>152</v>
      </c>
      <c r="O128" s="36" t="s">
        <v>162</v>
      </c>
      <c r="P128" s="36" t="str">
        <f t="shared" si="4"/>
        <v>WMTS_UAV空拍影像_屏東縣里港鄉國10里港交流道(104年)</v>
      </c>
      <c r="Q128" s="29" t="s">
        <v>662</v>
      </c>
      <c r="R128" s="29" t="str">
        <f t="shared" si="5"/>
        <v>2dms_wmts_v1_UAV104T01</v>
      </c>
      <c r="S128" s="39" t="s">
        <v>155</v>
      </c>
      <c r="U128" s="27" t="str">
        <f>_xlfn.XLOOKUP(表格1[[#This Row],[服務類別(英)]],參考2_服務標準對照!$B:$B,參考2_服務標準對照!$C:$C,"")&amp;""</f>
        <v>OGC</v>
      </c>
      <c r="V128" s="29" t="s">
        <v>7</v>
      </c>
      <c r="W128" s="29" t="s">
        <v>163</v>
      </c>
      <c r="X128" s="29" t="s">
        <v>81</v>
      </c>
      <c r="Y128" s="36" t="s">
        <v>83</v>
      </c>
      <c r="Z128" s="36" t="s">
        <v>157</v>
      </c>
      <c r="AA128" s="36" t="s">
        <v>173</v>
      </c>
      <c r="AB128" s="36"/>
      <c r="AC128" s="36"/>
      <c r="AD128" s="29" t="s">
        <v>119</v>
      </c>
      <c r="AE128" s="36" t="str">
        <f>_xlfn.XLOOKUP(表格1[[#This Row],[唯一識別碼]],API清冊0707!B:B,API清冊0707!T:T,"")&amp;""</f>
        <v>無下拉選單</v>
      </c>
    </row>
    <row r="129" spans="1:31" ht="204.75" customHeight="1" x14ac:dyDescent="0.4">
      <c r="A129" s="29" t="s">
        <v>663</v>
      </c>
      <c r="B129" s="29"/>
      <c r="C129" s="29"/>
      <c r="D129" s="29" t="s">
        <v>664</v>
      </c>
      <c r="E129" s="29" t="s">
        <v>665</v>
      </c>
      <c r="F129" s="29" t="s">
        <v>666</v>
      </c>
      <c r="G129" s="35"/>
      <c r="H129" s="35" t="s">
        <v>151</v>
      </c>
      <c r="I129" s="29" t="s">
        <v>663</v>
      </c>
      <c r="J129" s="37"/>
      <c r="K129" s="38"/>
      <c r="L129" s="38"/>
      <c r="M129" s="36" t="s">
        <v>60</v>
      </c>
      <c r="N129" s="15" t="s">
        <v>152</v>
      </c>
      <c r="O129" s="36" t="s">
        <v>162</v>
      </c>
      <c r="P129" s="36" t="str">
        <f t="shared" si="4"/>
        <v>WMTS_UAV空拍影像_雲林縣虎尾鎮雲林高鐵站(104年)</v>
      </c>
      <c r="Q129" s="29" t="s">
        <v>666</v>
      </c>
      <c r="R129" s="29" t="str">
        <f t="shared" si="5"/>
        <v>2dms_wmts_v1_UAV104P01</v>
      </c>
      <c r="S129" s="39" t="s">
        <v>155</v>
      </c>
      <c r="U129" s="27" t="str">
        <f>_xlfn.XLOOKUP(表格1[[#This Row],[服務類別(英)]],參考2_服務標準對照!$B:$B,參考2_服務標準對照!$C:$C,"")&amp;""</f>
        <v>OGC</v>
      </c>
      <c r="V129" s="29" t="s">
        <v>7</v>
      </c>
      <c r="W129" s="29" t="s">
        <v>163</v>
      </c>
      <c r="X129" s="29" t="s">
        <v>81</v>
      </c>
      <c r="Y129" s="36" t="s">
        <v>83</v>
      </c>
      <c r="Z129" s="36" t="s">
        <v>157</v>
      </c>
      <c r="AA129" s="36" t="s">
        <v>173</v>
      </c>
      <c r="AB129" s="36"/>
      <c r="AC129" s="36"/>
      <c r="AD129" s="29" t="s">
        <v>119</v>
      </c>
      <c r="AE129" s="36" t="str">
        <f>_xlfn.XLOOKUP(表格1[[#This Row],[唯一識別碼]],API清冊0707!B:B,API清冊0707!T:T,"")&amp;""</f>
        <v>無下拉選單</v>
      </c>
    </row>
    <row r="130" spans="1:31" ht="204.75" customHeight="1" x14ac:dyDescent="0.4">
      <c r="A130" s="29" t="s">
        <v>667</v>
      </c>
      <c r="B130" s="29"/>
      <c r="C130" s="29"/>
      <c r="D130" s="29" t="s">
        <v>668</v>
      </c>
      <c r="E130" s="29" t="s">
        <v>669</v>
      </c>
      <c r="F130" s="29" t="s">
        <v>670</v>
      </c>
      <c r="G130" s="35"/>
      <c r="H130" s="35" t="s">
        <v>151</v>
      </c>
      <c r="I130" s="29" t="s">
        <v>667</v>
      </c>
      <c r="J130" s="37"/>
      <c r="K130" s="38"/>
      <c r="L130" s="38"/>
      <c r="M130" s="36" t="s">
        <v>60</v>
      </c>
      <c r="N130" s="15" t="s">
        <v>152</v>
      </c>
      <c r="O130" s="36" t="s">
        <v>162</v>
      </c>
      <c r="P130" s="36" t="str">
        <f t="shared" si="4"/>
        <v>WMTS_UAV空拍影像_彰化縣芳苑鄉台61線(104年)</v>
      </c>
      <c r="Q130" s="29" t="s">
        <v>670</v>
      </c>
      <c r="R130" s="29" t="str">
        <f t="shared" si="5"/>
        <v>2dms_wmts_v1_UAV104N01</v>
      </c>
      <c r="S130" s="39" t="s">
        <v>155</v>
      </c>
      <c r="U130" s="27" t="str">
        <f>_xlfn.XLOOKUP(表格1[[#This Row],[服務類別(英)]],參考2_服務標準對照!$B:$B,參考2_服務標準對照!$C:$C,"")&amp;""</f>
        <v>OGC</v>
      </c>
      <c r="V130" s="29" t="s">
        <v>7</v>
      </c>
      <c r="W130" s="29" t="s">
        <v>163</v>
      </c>
      <c r="X130" s="29" t="s">
        <v>81</v>
      </c>
      <c r="Y130" s="36" t="s">
        <v>83</v>
      </c>
      <c r="Z130" s="36" t="s">
        <v>157</v>
      </c>
      <c r="AA130" s="36" t="s">
        <v>173</v>
      </c>
      <c r="AB130" s="36"/>
      <c r="AC130" s="36"/>
      <c r="AD130" s="29" t="s">
        <v>119</v>
      </c>
      <c r="AE130" s="36" t="str">
        <f>_xlfn.XLOOKUP(表格1[[#This Row],[唯一識別碼]],API清冊0707!B:B,API清冊0707!T:T,"")&amp;""</f>
        <v>無下拉選單</v>
      </c>
    </row>
    <row r="131" spans="1:31" ht="204.75" customHeight="1" x14ac:dyDescent="0.4">
      <c r="A131" s="29" t="s">
        <v>671</v>
      </c>
      <c r="B131" s="29"/>
      <c r="C131" s="29"/>
      <c r="D131" s="29" t="s">
        <v>672</v>
      </c>
      <c r="E131" s="29" t="s">
        <v>673</v>
      </c>
      <c r="F131" s="29" t="s">
        <v>674</v>
      </c>
      <c r="G131" s="35"/>
      <c r="H131" s="35" t="s">
        <v>151</v>
      </c>
      <c r="I131" s="29" t="s">
        <v>671</v>
      </c>
      <c r="J131" s="37"/>
      <c r="K131" s="38"/>
      <c r="L131" s="38"/>
      <c r="M131" s="36" t="s">
        <v>60</v>
      </c>
      <c r="N131" s="15" t="s">
        <v>152</v>
      </c>
      <c r="O131" s="36" t="s">
        <v>162</v>
      </c>
      <c r="P131" s="36" t="str">
        <f t="shared" si="4"/>
        <v>WMTS_UAV空拍影像_苗栗縣造橋鄉台13甲線(104年)</v>
      </c>
      <c r="Q131" s="29" t="s">
        <v>674</v>
      </c>
      <c r="R131" s="29" t="str">
        <f t="shared" si="5"/>
        <v>2dms_wmts_v1_UAV104K02</v>
      </c>
      <c r="S131" s="39" t="s">
        <v>155</v>
      </c>
      <c r="U131" s="27" t="str">
        <f>_xlfn.XLOOKUP(表格1[[#This Row],[服務類別(英)]],參考2_服務標準對照!$B:$B,參考2_服務標準對照!$C:$C,"")&amp;""</f>
        <v>OGC</v>
      </c>
      <c r="V131" s="29" t="s">
        <v>7</v>
      </c>
      <c r="W131" s="29" t="s">
        <v>163</v>
      </c>
      <c r="X131" s="29" t="s">
        <v>81</v>
      </c>
      <c r="Y131" s="36" t="s">
        <v>83</v>
      </c>
      <c r="Z131" s="36" t="s">
        <v>157</v>
      </c>
      <c r="AA131" s="36" t="s">
        <v>173</v>
      </c>
      <c r="AB131" s="36"/>
      <c r="AC131" s="36"/>
      <c r="AD131" s="29" t="s">
        <v>119</v>
      </c>
      <c r="AE131" s="36" t="str">
        <f>_xlfn.XLOOKUP(表格1[[#This Row],[唯一識別碼]],API清冊0707!B:B,API清冊0707!T:T,"")&amp;""</f>
        <v>無下拉選單</v>
      </c>
    </row>
    <row r="132" spans="1:31" ht="204.75" customHeight="1" x14ac:dyDescent="0.4">
      <c r="A132" s="29" t="s">
        <v>675</v>
      </c>
      <c r="B132" s="29"/>
      <c r="C132" s="29"/>
      <c r="D132" s="29" t="s">
        <v>676</v>
      </c>
      <c r="E132" s="29" t="s">
        <v>677</v>
      </c>
      <c r="F132" s="29" t="s">
        <v>678</v>
      </c>
      <c r="G132" s="35"/>
      <c r="H132" s="35" t="s">
        <v>151</v>
      </c>
      <c r="I132" s="29" t="s">
        <v>675</v>
      </c>
      <c r="J132" s="37"/>
      <c r="K132" s="38"/>
      <c r="L132" s="38"/>
      <c r="M132" s="36" t="s">
        <v>60</v>
      </c>
      <c r="N132" s="15" t="s">
        <v>152</v>
      </c>
      <c r="O132" s="36" t="s">
        <v>162</v>
      </c>
      <c r="P132" s="36" t="str">
        <f t="shared" si="4"/>
        <v>WMTS_UAV空拍影像_苗栗縣獅潭鄉汶水橋(104年)</v>
      </c>
      <c r="Q132" s="29" t="s">
        <v>678</v>
      </c>
      <c r="R132" s="29" t="str">
        <f t="shared" si="5"/>
        <v>2dms_wmts_v1_UAV104K01</v>
      </c>
      <c r="S132" s="39" t="s">
        <v>155</v>
      </c>
      <c r="U132" s="27" t="str">
        <f>_xlfn.XLOOKUP(表格1[[#This Row],[服務類別(英)]],參考2_服務標準對照!$B:$B,參考2_服務標準對照!$C:$C,"")&amp;""</f>
        <v>OGC</v>
      </c>
      <c r="V132" s="29" t="s">
        <v>7</v>
      </c>
      <c r="W132" s="29" t="s">
        <v>163</v>
      </c>
      <c r="X132" s="29" t="s">
        <v>81</v>
      </c>
      <c r="Y132" s="36" t="s">
        <v>83</v>
      </c>
      <c r="Z132" s="36" t="s">
        <v>157</v>
      </c>
      <c r="AA132" s="36" t="s">
        <v>173</v>
      </c>
      <c r="AB132" s="36"/>
      <c r="AC132" s="36"/>
      <c r="AD132" s="29" t="s">
        <v>119</v>
      </c>
      <c r="AE132" s="36" t="str">
        <f>_xlfn.XLOOKUP(表格1[[#This Row],[唯一識別碼]],API清冊0707!B:B,API清冊0707!T:T,"")&amp;""</f>
        <v>無下拉選單</v>
      </c>
    </row>
    <row r="133" spans="1:31" ht="204.75" customHeight="1" x14ac:dyDescent="0.4">
      <c r="A133" s="29" t="s">
        <v>679</v>
      </c>
      <c r="B133" s="29"/>
      <c r="C133" s="29"/>
      <c r="D133" s="29" t="s">
        <v>680</v>
      </c>
      <c r="E133" s="29" t="s">
        <v>681</v>
      </c>
      <c r="F133" s="29" t="s">
        <v>682</v>
      </c>
      <c r="G133" s="35"/>
      <c r="H133" s="35" t="s">
        <v>151</v>
      </c>
      <c r="I133" s="29" t="s">
        <v>679</v>
      </c>
      <c r="J133" s="37"/>
      <c r="K133" s="38"/>
      <c r="L133" s="38"/>
      <c r="M133" s="36" t="s">
        <v>60</v>
      </c>
      <c r="N133" s="15" t="s">
        <v>152</v>
      </c>
      <c r="O133" s="36" t="s">
        <v>162</v>
      </c>
      <c r="P133" s="36" t="str">
        <f t="shared" si="4"/>
        <v>WMTS_UAV空拍影像_高雄市前鎮區經貿園區65期(104年)</v>
      </c>
      <c r="Q133" s="29" t="s">
        <v>682</v>
      </c>
      <c r="R133" s="29" t="str">
        <f t="shared" si="5"/>
        <v>2dms_wmts_v1_UAV104E03</v>
      </c>
      <c r="S133" s="39" t="s">
        <v>155</v>
      </c>
      <c r="U133" s="27" t="str">
        <f>_xlfn.XLOOKUP(表格1[[#This Row],[服務類別(英)]],參考2_服務標準對照!$B:$B,參考2_服務標準對照!$C:$C,"")&amp;""</f>
        <v>OGC</v>
      </c>
      <c r="V133" s="29" t="s">
        <v>7</v>
      </c>
      <c r="W133" s="29" t="s">
        <v>163</v>
      </c>
      <c r="X133" s="29" t="s">
        <v>81</v>
      </c>
      <c r="Y133" s="36" t="s">
        <v>83</v>
      </c>
      <c r="Z133" s="36" t="s">
        <v>157</v>
      </c>
      <c r="AA133" s="36" t="s">
        <v>173</v>
      </c>
      <c r="AB133" s="36"/>
      <c r="AC133" s="36"/>
      <c r="AD133" s="29" t="s">
        <v>119</v>
      </c>
      <c r="AE133" s="36" t="str">
        <f>_xlfn.XLOOKUP(表格1[[#This Row],[唯一識別碼]],API清冊0707!B:B,API清冊0707!T:T,"")&amp;""</f>
        <v>無下拉選單</v>
      </c>
    </row>
    <row r="134" spans="1:31" ht="204.75" customHeight="1" x14ac:dyDescent="0.4">
      <c r="A134" s="29" t="s">
        <v>683</v>
      </c>
      <c r="B134" s="29"/>
      <c r="C134" s="29"/>
      <c r="D134" s="29" t="s">
        <v>684</v>
      </c>
      <c r="E134" s="29" t="s">
        <v>685</v>
      </c>
      <c r="F134" s="29" t="s">
        <v>686</v>
      </c>
      <c r="G134" s="35"/>
      <c r="H134" s="35" t="s">
        <v>151</v>
      </c>
      <c r="I134" s="29" t="s">
        <v>683</v>
      </c>
      <c r="J134" s="37"/>
      <c r="K134" s="38"/>
      <c r="L134" s="38"/>
      <c r="M134" s="36" t="s">
        <v>60</v>
      </c>
      <c r="N134" s="15" t="s">
        <v>152</v>
      </c>
      <c r="O134" s="36" t="s">
        <v>162</v>
      </c>
      <c r="P134" s="36" t="str">
        <f t="shared" si="4"/>
        <v>WMTS_UAV空拍影像_高雄市前鎮區氣爆災點(104年)</v>
      </c>
      <c r="Q134" s="29" t="s">
        <v>686</v>
      </c>
      <c r="R134" s="29" t="str">
        <f t="shared" si="5"/>
        <v>2dms_wmts_v1_UAV104E02</v>
      </c>
      <c r="S134" s="39" t="s">
        <v>155</v>
      </c>
      <c r="U134" s="27" t="str">
        <f>_xlfn.XLOOKUP(表格1[[#This Row],[服務類別(英)]],參考2_服務標準對照!$B:$B,參考2_服務標準對照!$C:$C,"")&amp;""</f>
        <v>OGC</v>
      </c>
      <c r="V134" s="29" t="s">
        <v>7</v>
      </c>
      <c r="W134" s="29" t="s">
        <v>163</v>
      </c>
      <c r="X134" s="29" t="s">
        <v>81</v>
      </c>
      <c r="Y134" s="36" t="s">
        <v>83</v>
      </c>
      <c r="Z134" s="36" t="s">
        <v>157</v>
      </c>
      <c r="AA134" s="36" t="s">
        <v>173</v>
      </c>
      <c r="AB134" s="36"/>
      <c r="AC134" s="36"/>
      <c r="AD134" s="29" t="s">
        <v>119</v>
      </c>
      <c r="AE134" s="36" t="str">
        <f>_xlfn.XLOOKUP(表格1[[#This Row],[唯一識別碼]],API清冊0707!B:B,API清冊0707!T:T,"")&amp;""</f>
        <v>無下拉選單</v>
      </c>
    </row>
    <row r="135" spans="1:31" ht="204.75" customHeight="1" x14ac:dyDescent="0.4">
      <c r="A135" s="29" t="s">
        <v>687</v>
      </c>
      <c r="B135" s="29"/>
      <c r="C135" s="29"/>
      <c r="D135" s="29" t="s">
        <v>688</v>
      </c>
      <c r="E135" s="29" t="s">
        <v>689</v>
      </c>
      <c r="F135" s="29" t="s">
        <v>690</v>
      </c>
      <c r="G135" s="35"/>
      <c r="H135" s="35" t="s">
        <v>151</v>
      </c>
      <c r="I135" s="29" t="s">
        <v>687</v>
      </c>
      <c r="J135" s="37"/>
      <c r="K135" s="38"/>
      <c r="L135" s="38"/>
      <c r="M135" s="36" t="s">
        <v>60</v>
      </c>
      <c r="N135" s="15" t="s">
        <v>152</v>
      </c>
      <c r="O135" s="36" t="s">
        <v>162</v>
      </c>
      <c r="P135" s="36" t="str">
        <f t="shared" si="4"/>
        <v>WMTS_UAV空拍影像_高雄市仁武區國1鼎金交流道(104年)</v>
      </c>
      <c r="Q135" s="29" t="s">
        <v>690</v>
      </c>
      <c r="R135" s="29" t="str">
        <f t="shared" si="5"/>
        <v>2dms_wmts_v1_UAV104E01</v>
      </c>
      <c r="S135" s="39" t="s">
        <v>155</v>
      </c>
      <c r="U135" s="27" t="str">
        <f>_xlfn.XLOOKUP(表格1[[#This Row],[服務類別(英)]],參考2_服務標準對照!$B:$B,參考2_服務標準對照!$C:$C,"")&amp;""</f>
        <v>OGC</v>
      </c>
      <c r="V135" s="29" t="s">
        <v>7</v>
      </c>
      <c r="W135" s="29" t="s">
        <v>163</v>
      </c>
      <c r="X135" s="29" t="s">
        <v>81</v>
      </c>
      <c r="Y135" s="36" t="s">
        <v>83</v>
      </c>
      <c r="Z135" s="36" t="s">
        <v>157</v>
      </c>
      <c r="AA135" s="36" t="s">
        <v>173</v>
      </c>
      <c r="AB135" s="36"/>
      <c r="AC135" s="36"/>
      <c r="AD135" s="29" t="s">
        <v>119</v>
      </c>
      <c r="AE135" s="36" t="str">
        <f>_xlfn.XLOOKUP(表格1[[#This Row],[唯一識別碼]],API清冊0707!B:B,API清冊0707!T:T,"")&amp;""</f>
        <v>無下拉選單</v>
      </c>
    </row>
    <row r="136" spans="1:31" ht="204.75" customHeight="1" x14ac:dyDescent="0.4">
      <c r="A136" s="29" t="s">
        <v>691</v>
      </c>
      <c r="B136" s="29"/>
      <c r="C136" s="29"/>
      <c r="D136" s="29" t="s">
        <v>692</v>
      </c>
      <c r="E136" s="29" t="s">
        <v>693</v>
      </c>
      <c r="F136" s="29" t="s">
        <v>694</v>
      </c>
      <c r="G136" s="35"/>
      <c r="H136" s="35" t="s">
        <v>151</v>
      </c>
      <c r="I136" s="29" t="s">
        <v>691</v>
      </c>
      <c r="J136" s="37"/>
      <c r="K136" s="38"/>
      <c r="L136" s="38"/>
      <c r="M136" s="36" t="s">
        <v>60</v>
      </c>
      <c r="N136" s="15" t="s">
        <v>152</v>
      </c>
      <c r="O136" s="36" t="s">
        <v>162</v>
      </c>
      <c r="P136" s="36" t="str">
        <f t="shared" si="4"/>
        <v>WMTS_UAV空拍影像_臺南市安平區(104年)</v>
      </c>
      <c r="Q136" s="29" t="s">
        <v>694</v>
      </c>
      <c r="R136" s="29" t="str">
        <f t="shared" si="5"/>
        <v>2dms_wmts_v1_UAV104D04</v>
      </c>
      <c r="S136" s="39" t="s">
        <v>155</v>
      </c>
      <c r="U136" s="27" t="str">
        <f>_xlfn.XLOOKUP(表格1[[#This Row],[服務類別(英)]],參考2_服務標準對照!$B:$B,參考2_服務標準對照!$C:$C,"")&amp;""</f>
        <v>OGC</v>
      </c>
      <c r="V136" s="29" t="s">
        <v>7</v>
      </c>
      <c r="W136" s="29" t="s">
        <v>163</v>
      </c>
      <c r="X136" s="29" t="s">
        <v>81</v>
      </c>
      <c r="Y136" s="36" t="s">
        <v>83</v>
      </c>
      <c r="Z136" s="36" t="s">
        <v>157</v>
      </c>
      <c r="AA136" s="36" t="s">
        <v>173</v>
      </c>
      <c r="AB136" s="36"/>
      <c r="AC136" s="36"/>
      <c r="AD136" s="29" t="s">
        <v>119</v>
      </c>
      <c r="AE136" s="36" t="str">
        <f>_xlfn.XLOOKUP(表格1[[#This Row],[唯一識別碼]],API清冊0707!B:B,API清冊0707!T:T,"")&amp;""</f>
        <v>無下拉選單</v>
      </c>
    </row>
    <row r="137" spans="1:31" ht="204.75" customHeight="1" x14ac:dyDescent="0.4">
      <c r="A137" s="29" t="s">
        <v>695</v>
      </c>
      <c r="B137" s="29"/>
      <c r="C137" s="29"/>
      <c r="D137" s="29" t="s">
        <v>696</v>
      </c>
      <c r="E137" s="29" t="s">
        <v>697</v>
      </c>
      <c r="F137" s="29" t="s">
        <v>698</v>
      </c>
      <c r="G137" s="35"/>
      <c r="H137" s="35" t="s">
        <v>151</v>
      </c>
      <c r="I137" s="29" t="s">
        <v>695</v>
      </c>
      <c r="J137" s="37"/>
      <c r="K137" s="38"/>
      <c r="L137" s="38"/>
      <c r="M137" s="36" t="s">
        <v>60</v>
      </c>
      <c r="N137" s="15" t="s">
        <v>152</v>
      </c>
      <c r="O137" s="36" t="s">
        <v>162</v>
      </c>
      <c r="P137" s="36" t="str">
        <f t="shared" si="4"/>
        <v>WMTS_UAV空拍影像_臺南市安南區九份子重劃區(104年)</v>
      </c>
      <c r="Q137" s="29" t="s">
        <v>698</v>
      </c>
      <c r="R137" s="29" t="str">
        <f t="shared" si="5"/>
        <v>2dms_wmts_v1_UAV104D03</v>
      </c>
      <c r="S137" s="39" t="s">
        <v>155</v>
      </c>
      <c r="U137" s="27" t="str">
        <f>_xlfn.XLOOKUP(表格1[[#This Row],[服務類別(英)]],參考2_服務標準對照!$B:$B,參考2_服務標準對照!$C:$C,"")&amp;""</f>
        <v>OGC</v>
      </c>
      <c r="V137" s="29" t="s">
        <v>7</v>
      </c>
      <c r="W137" s="29" t="s">
        <v>163</v>
      </c>
      <c r="X137" s="29" t="s">
        <v>81</v>
      </c>
      <c r="Y137" s="36" t="s">
        <v>83</v>
      </c>
      <c r="Z137" s="36" t="s">
        <v>157</v>
      </c>
      <c r="AA137" s="36" t="s">
        <v>173</v>
      </c>
      <c r="AB137" s="36"/>
      <c r="AC137" s="36"/>
      <c r="AD137" s="29" t="s">
        <v>119</v>
      </c>
      <c r="AE137" s="36" t="str">
        <f>_xlfn.XLOOKUP(表格1[[#This Row],[唯一識別碼]],API清冊0707!B:B,API清冊0707!T:T,"")&amp;""</f>
        <v>無下拉選單</v>
      </c>
    </row>
    <row r="138" spans="1:31" ht="204.75" customHeight="1" x14ac:dyDescent="0.4">
      <c r="A138" s="29" t="s">
        <v>699</v>
      </c>
      <c r="B138" s="29"/>
      <c r="C138" s="29"/>
      <c r="D138" s="29" t="s">
        <v>700</v>
      </c>
      <c r="E138" s="29" t="s">
        <v>701</v>
      </c>
      <c r="F138" s="29" t="s">
        <v>702</v>
      </c>
      <c r="G138" s="35"/>
      <c r="H138" s="35" t="s">
        <v>151</v>
      </c>
      <c r="I138" s="29" t="s">
        <v>699</v>
      </c>
      <c r="J138" s="37"/>
      <c r="K138" s="38"/>
      <c r="L138" s="38"/>
      <c r="M138" s="36" t="s">
        <v>60</v>
      </c>
      <c r="N138" s="15" t="s">
        <v>152</v>
      </c>
      <c r="O138" s="36" t="s">
        <v>162</v>
      </c>
      <c r="P138" s="36" t="str">
        <f t="shared" si="4"/>
        <v>WMTS_UAV空拍影像_臺南市新市區新和重劃區(104年)</v>
      </c>
      <c r="Q138" s="29" t="s">
        <v>702</v>
      </c>
      <c r="R138" s="29" t="str">
        <f t="shared" si="5"/>
        <v>2dms_wmts_v1_UAV104D02</v>
      </c>
      <c r="S138" s="39" t="s">
        <v>155</v>
      </c>
      <c r="U138" s="27" t="str">
        <f>_xlfn.XLOOKUP(表格1[[#This Row],[服務類別(英)]],參考2_服務標準對照!$B:$B,參考2_服務標準對照!$C:$C,"")&amp;""</f>
        <v>OGC</v>
      </c>
      <c r="V138" s="29" t="s">
        <v>7</v>
      </c>
      <c r="W138" s="29" t="s">
        <v>163</v>
      </c>
      <c r="X138" s="29" t="s">
        <v>81</v>
      </c>
      <c r="Y138" s="36" t="s">
        <v>83</v>
      </c>
      <c r="Z138" s="36" t="s">
        <v>157</v>
      </c>
      <c r="AA138" s="36" t="s">
        <v>173</v>
      </c>
      <c r="AB138" s="36"/>
      <c r="AC138" s="36"/>
      <c r="AD138" s="29" t="s">
        <v>119</v>
      </c>
      <c r="AE138" s="36" t="str">
        <f>_xlfn.XLOOKUP(表格1[[#This Row],[唯一識別碼]],API清冊0707!B:B,API清冊0707!T:T,"")&amp;""</f>
        <v>無下拉選單</v>
      </c>
    </row>
    <row r="139" spans="1:31" ht="204.75" customHeight="1" x14ac:dyDescent="0.4">
      <c r="A139" s="29" t="s">
        <v>703</v>
      </c>
      <c r="B139" s="29"/>
      <c r="C139" s="29"/>
      <c r="D139" s="29" t="s">
        <v>704</v>
      </c>
      <c r="E139" s="29" t="s">
        <v>705</v>
      </c>
      <c r="F139" s="29" t="s">
        <v>706</v>
      </c>
      <c r="G139" s="35"/>
      <c r="H139" s="35" t="s">
        <v>151</v>
      </c>
      <c r="I139" s="29" t="s">
        <v>703</v>
      </c>
      <c r="J139" s="37"/>
      <c r="K139" s="38"/>
      <c r="L139" s="38"/>
      <c r="M139" s="36" t="s">
        <v>60</v>
      </c>
      <c r="N139" s="15" t="s">
        <v>152</v>
      </c>
      <c r="O139" s="36" t="s">
        <v>162</v>
      </c>
      <c r="P139" s="36" t="str">
        <f t="shared" si="4"/>
        <v>WMTS_UAV空拍影像_屏東縣霧台鄉台24谷川大橋(103年)</v>
      </c>
      <c r="Q139" s="29" t="s">
        <v>706</v>
      </c>
      <c r="R139" s="29" t="str">
        <f t="shared" si="5"/>
        <v>2dms_wmts_v1_UAV103T01</v>
      </c>
      <c r="S139" s="39" t="s">
        <v>155</v>
      </c>
      <c r="U139" s="27" t="str">
        <f>_xlfn.XLOOKUP(表格1[[#This Row],[服務類別(英)]],參考2_服務標準對照!$B:$B,參考2_服務標準對照!$C:$C,"")&amp;""</f>
        <v>OGC</v>
      </c>
      <c r="V139" s="29" t="s">
        <v>7</v>
      </c>
      <c r="W139" s="29" t="s">
        <v>163</v>
      </c>
      <c r="X139" s="29" t="s">
        <v>81</v>
      </c>
      <c r="Y139" s="36" t="s">
        <v>83</v>
      </c>
      <c r="Z139" s="36" t="s">
        <v>157</v>
      </c>
      <c r="AA139" s="36" t="s">
        <v>173</v>
      </c>
      <c r="AB139" s="36"/>
      <c r="AC139" s="36"/>
      <c r="AD139" s="29" t="s">
        <v>119</v>
      </c>
      <c r="AE139" s="36" t="str">
        <f>_xlfn.XLOOKUP(表格1[[#This Row],[唯一識別碼]],API清冊0707!B:B,API清冊0707!T:T,"")&amp;""</f>
        <v>無下拉選單</v>
      </c>
    </row>
    <row r="140" spans="1:31" ht="204.75" customHeight="1" x14ac:dyDescent="0.4">
      <c r="A140" s="29" t="s">
        <v>707</v>
      </c>
      <c r="B140" s="29"/>
      <c r="C140" s="29"/>
      <c r="D140" s="29" t="s">
        <v>708</v>
      </c>
      <c r="E140" s="29" t="s">
        <v>709</v>
      </c>
      <c r="F140" s="29" t="s">
        <v>710</v>
      </c>
      <c r="G140" s="35"/>
      <c r="H140" s="35" t="s">
        <v>151</v>
      </c>
      <c r="I140" s="29" t="s">
        <v>707</v>
      </c>
      <c r="J140" s="37"/>
      <c r="K140" s="38"/>
      <c r="L140" s="38"/>
      <c r="M140" s="36" t="s">
        <v>60</v>
      </c>
      <c r="N140" s="15" t="s">
        <v>152</v>
      </c>
      <c r="O140" s="36" t="s">
        <v>162</v>
      </c>
      <c r="P140" s="36" t="str">
        <f t="shared" si="4"/>
        <v>WMTS_UAV空拍影像_嘉義縣大林鎮大埔美重劃區(103年)</v>
      </c>
      <c r="Q140" s="29" t="s">
        <v>710</v>
      </c>
      <c r="R140" s="29" t="str">
        <f t="shared" si="5"/>
        <v>2dms_wmts_v1_UAV103Q01</v>
      </c>
      <c r="S140" s="39" t="s">
        <v>155</v>
      </c>
      <c r="U140" s="27" t="str">
        <f>_xlfn.XLOOKUP(表格1[[#This Row],[服務類別(英)]],參考2_服務標準對照!$B:$B,參考2_服務標準對照!$C:$C,"")&amp;""</f>
        <v>OGC</v>
      </c>
      <c r="V140" s="29" t="s">
        <v>7</v>
      </c>
      <c r="W140" s="29" t="s">
        <v>163</v>
      </c>
      <c r="X140" s="29" t="s">
        <v>81</v>
      </c>
      <c r="Y140" s="36" t="s">
        <v>83</v>
      </c>
      <c r="Z140" s="36" t="s">
        <v>157</v>
      </c>
      <c r="AA140" s="36" t="s">
        <v>173</v>
      </c>
      <c r="AB140" s="36"/>
      <c r="AC140" s="36"/>
      <c r="AD140" s="29" t="s">
        <v>119</v>
      </c>
      <c r="AE140" s="36" t="str">
        <f>_xlfn.XLOOKUP(表格1[[#This Row],[唯一識別碼]],API清冊0707!B:B,API清冊0707!T:T,"")&amp;""</f>
        <v>無下拉選單</v>
      </c>
    </row>
    <row r="141" spans="1:31" ht="204.75" customHeight="1" x14ac:dyDescent="0.4">
      <c r="A141" s="29" t="s">
        <v>711</v>
      </c>
      <c r="B141" s="29"/>
      <c r="C141" s="29"/>
      <c r="D141" s="29" t="s">
        <v>712</v>
      </c>
      <c r="E141" s="29" t="s">
        <v>713</v>
      </c>
      <c r="F141" s="29" t="s">
        <v>714</v>
      </c>
      <c r="G141" s="35"/>
      <c r="H141" s="35" t="s">
        <v>151</v>
      </c>
      <c r="I141" s="29" t="s">
        <v>711</v>
      </c>
      <c r="J141" s="37"/>
      <c r="K141" s="38"/>
      <c r="L141" s="38"/>
      <c r="M141" s="36" t="s">
        <v>60</v>
      </c>
      <c r="N141" s="15" t="s">
        <v>152</v>
      </c>
      <c r="O141" s="36" t="s">
        <v>162</v>
      </c>
      <c r="P141" s="36" t="str">
        <f t="shared" si="4"/>
        <v>WMTS_UAV空拍影像_雲林縣麥寮鄉台61線(103年)</v>
      </c>
      <c r="Q141" s="29" t="s">
        <v>714</v>
      </c>
      <c r="R141" s="29" t="str">
        <f t="shared" si="5"/>
        <v>2dms_wmts_v1_UAV103P01</v>
      </c>
      <c r="S141" s="39" t="s">
        <v>155</v>
      </c>
      <c r="U141" s="27" t="str">
        <f>_xlfn.XLOOKUP(表格1[[#This Row],[服務類別(英)]],參考2_服務標準對照!$B:$B,參考2_服務標準對照!$C:$C,"")&amp;""</f>
        <v>OGC</v>
      </c>
      <c r="V141" s="29" t="s">
        <v>7</v>
      </c>
      <c r="W141" s="29" t="s">
        <v>163</v>
      </c>
      <c r="X141" s="29" t="s">
        <v>81</v>
      </c>
      <c r="Y141" s="36" t="s">
        <v>83</v>
      </c>
      <c r="Z141" s="36" t="s">
        <v>157</v>
      </c>
      <c r="AA141" s="36" t="s">
        <v>173</v>
      </c>
      <c r="AB141" s="36"/>
      <c r="AC141" s="36"/>
      <c r="AD141" s="29" t="s">
        <v>119</v>
      </c>
      <c r="AE141" s="36" t="str">
        <f>_xlfn.XLOOKUP(表格1[[#This Row],[唯一識別碼]],API清冊0707!B:B,API清冊0707!T:T,"")&amp;""</f>
        <v>無下拉選單</v>
      </c>
    </row>
    <row r="142" spans="1:31" ht="204.75" customHeight="1" x14ac:dyDescent="0.4">
      <c r="A142" s="29" t="s">
        <v>715</v>
      </c>
      <c r="B142" s="29"/>
      <c r="C142" s="29"/>
      <c r="D142" s="29" t="s">
        <v>716</v>
      </c>
      <c r="E142" s="29" t="s">
        <v>717</v>
      </c>
      <c r="F142" s="29" t="s">
        <v>718</v>
      </c>
      <c r="G142" s="35"/>
      <c r="H142" s="35" t="s">
        <v>151</v>
      </c>
      <c r="I142" s="29" t="s">
        <v>715</v>
      </c>
      <c r="J142" s="37"/>
      <c r="K142" s="38"/>
      <c r="L142" s="38"/>
      <c r="M142" s="36" t="s">
        <v>60</v>
      </c>
      <c r="N142" s="15" t="s">
        <v>152</v>
      </c>
      <c r="O142" s="36" t="s">
        <v>162</v>
      </c>
      <c r="P142" s="36" t="str">
        <f t="shared" si="4"/>
        <v>WMTS_UAV空拍影像_彰化縣福興鄉台61線(103年)</v>
      </c>
      <c r="Q142" s="29" t="s">
        <v>718</v>
      </c>
      <c r="R142" s="29" t="str">
        <f t="shared" si="5"/>
        <v>2dms_wmts_v1_UAV103N01</v>
      </c>
      <c r="S142" s="39" t="s">
        <v>155</v>
      </c>
      <c r="U142" s="27" t="str">
        <f>_xlfn.XLOOKUP(表格1[[#This Row],[服務類別(英)]],參考2_服務標準對照!$B:$B,參考2_服務標準對照!$C:$C,"")&amp;""</f>
        <v>OGC</v>
      </c>
      <c r="V142" s="29" t="s">
        <v>7</v>
      </c>
      <c r="W142" s="29" t="s">
        <v>163</v>
      </c>
      <c r="X142" s="29" t="s">
        <v>81</v>
      </c>
      <c r="Y142" s="36" t="s">
        <v>83</v>
      </c>
      <c r="Z142" s="36" t="s">
        <v>157</v>
      </c>
      <c r="AA142" s="36" t="s">
        <v>173</v>
      </c>
      <c r="AB142" s="36"/>
      <c r="AC142" s="36"/>
      <c r="AD142" s="29" t="s">
        <v>119</v>
      </c>
      <c r="AE142" s="36" t="str">
        <f>_xlfn.XLOOKUP(表格1[[#This Row],[唯一識別碼]],API清冊0707!B:B,API清冊0707!T:T,"")&amp;""</f>
        <v>無下拉選單</v>
      </c>
    </row>
    <row r="143" spans="1:31" ht="204.75" customHeight="1" x14ac:dyDescent="0.4">
      <c r="A143" s="29" t="s">
        <v>719</v>
      </c>
      <c r="B143" s="29"/>
      <c r="C143" s="29"/>
      <c r="D143" s="29" t="s">
        <v>720</v>
      </c>
      <c r="E143" s="29" t="s">
        <v>721</v>
      </c>
      <c r="F143" s="29" t="s">
        <v>722</v>
      </c>
      <c r="G143" s="35"/>
      <c r="H143" s="35" t="s">
        <v>151</v>
      </c>
      <c r="I143" s="29" t="s">
        <v>719</v>
      </c>
      <c r="J143" s="37"/>
      <c r="K143" s="38"/>
      <c r="L143" s="38"/>
      <c r="M143" s="36" t="s">
        <v>60</v>
      </c>
      <c r="N143" s="15" t="s">
        <v>152</v>
      </c>
      <c r="O143" s="36" t="s">
        <v>162</v>
      </c>
      <c r="P143" s="36" t="str">
        <f t="shared" si="4"/>
        <v>WMTS_UAV空拍影像_南投縣仁愛鄉清境農場(103年)</v>
      </c>
      <c r="Q143" s="29" t="s">
        <v>722</v>
      </c>
      <c r="R143" s="29" t="str">
        <f t="shared" si="5"/>
        <v>2dms_wmts_v1_UAV103M04</v>
      </c>
      <c r="S143" s="39" t="s">
        <v>155</v>
      </c>
      <c r="U143" s="27" t="str">
        <f>_xlfn.XLOOKUP(表格1[[#This Row],[服務類別(英)]],參考2_服務標準對照!$B:$B,參考2_服務標準對照!$C:$C,"")&amp;""</f>
        <v>OGC</v>
      </c>
      <c r="V143" s="29" t="s">
        <v>7</v>
      </c>
      <c r="W143" s="29" t="s">
        <v>163</v>
      </c>
      <c r="X143" s="29" t="s">
        <v>81</v>
      </c>
      <c r="Y143" s="36" t="s">
        <v>83</v>
      </c>
      <c r="Z143" s="36" t="s">
        <v>157</v>
      </c>
      <c r="AA143" s="36" t="s">
        <v>173</v>
      </c>
      <c r="AB143" s="36"/>
      <c r="AC143" s="36"/>
      <c r="AD143" s="29" t="s">
        <v>119</v>
      </c>
      <c r="AE143" s="36" t="str">
        <f>_xlfn.XLOOKUP(表格1[[#This Row],[唯一識別碼]],API清冊0707!B:B,API清冊0707!T:T,"")&amp;""</f>
        <v>無下拉選單</v>
      </c>
    </row>
    <row r="144" spans="1:31" ht="204.75" customHeight="1" x14ac:dyDescent="0.4">
      <c r="A144" s="29" t="s">
        <v>723</v>
      </c>
      <c r="B144" s="29"/>
      <c r="C144" s="29"/>
      <c r="D144" s="29" t="s">
        <v>724</v>
      </c>
      <c r="E144" s="29" t="s">
        <v>725</v>
      </c>
      <c r="F144" s="29" t="s">
        <v>726</v>
      </c>
      <c r="G144" s="35"/>
      <c r="H144" s="35" t="s">
        <v>151</v>
      </c>
      <c r="I144" s="29" t="s">
        <v>723</v>
      </c>
      <c r="J144" s="37"/>
      <c r="K144" s="38"/>
      <c r="L144" s="38"/>
      <c r="M144" s="36" t="s">
        <v>60</v>
      </c>
      <c r="N144" s="15" t="s">
        <v>152</v>
      </c>
      <c r="O144" s="36" t="s">
        <v>162</v>
      </c>
      <c r="P144" s="36" t="str">
        <f t="shared" si="4"/>
        <v>WMTS_UAV空拍影像_南投縣南投市國3南投交流道(103年)</v>
      </c>
      <c r="Q144" s="29" t="s">
        <v>726</v>
      </c>
      <c r="R144" s="29" t="str">
        <f t="shared" si="5"/>
        <v>2dms_wmts_v1_UAV103M03</v>
      </c>
      <c r="S144" s="39" t="s">
        <v>155</v>
      </c>
      <c r="U144" s="27" t="str">
        <f>_xlfn.XLOOKUP(表格1[[#This Row],[服務類別(英)]],參考2_服務標準對照!$B:$B,參考2_服務標準對照!$C:$C,"")&amp;""</f>
        <v>OGC</v>
      </c>
      <c r="V144" s="29" t="s">
        <v>7</v>
      </c>
      <c r="W144" s="29" t="s">
        <v>163</v>
      </c>
      <c r="X144" s="29" t="s">
        <v>81</v>
      </c>
      <c r="Y144" s="36" t="s">
        <v>83</v>
      </c>
      <c r="Z144" s="36" t="s">
        <v>157</v>
      </c>
      <c r="AA144" s="36" t="s">
        <v>173</v>
      </c>
      <c r="AB144" s="36"/>
      <c r="AC144" s="36"/>
      <c r="AD144" s="29" t="s">
        <v>119</v>
      </c>
      <c r="AE144" s="36" t="str">
        <f>_xlfn.XLOOKUP(表格1[[#This Row],[唯一識別碼]],API清冊0707!B:B,API清冊0707!T:T,"")&amp;""</f>
        <v>無下拉選單</v>
      </c>
    </row>
    <row r="145" spans="1:31" ht="204.75" customHeight="1" x14ac:dyDescent="0.4">
      <c r="A145" s="29" t="s">
        <v>727</v>
      </c>
      <c r="B145" s="29"/>
      <c r="C145" s="29"/>
      <c r="D145" s="29" t="s">
        <v>728</v>
      </c>
      <c r="E145" s="29" t="s">
        <v>729</v>
      </c>
      <c r="F145" s="29" t="s">
        <v>730</v>
      </c>
      <c r="G145" s="35"/>
      <c r="H145" s="35" t="s">
        <v>151</v>
      </c>
      <c r="I145" s="29" t="s">
        <v>727</v>
      </c>
      <c r="J145" s="37"/>
      <c r="K145" s="38"/>
      <c r="L145" s="38"/>
      <c r="M145" s="36" t="s">
        <v>60</v>
      </c>
      <c r="N145" s="15" t="s">
        <v>152</v>
      </c>
      <c r="O145" s="36" t="s">
        <v>162</v>
      </c>
      <c r="P145" s="36" t="str">
        <f t="shared" si="4"/>
        <v>WMTS_UAV空拍影像_南投縣國姓鄉國6北山交流道(103年)</v>
      </c>
      <c r="Q145" s="29" t="s">
        <v>730</v>
      </c>
      <c r="R145" s="29" t="str">
        <f t="shared" si="5"/>
        <v>2dms_wmts_v1_UAV103M02</v>
      </c>
      <c r="S145" s="39" t="s">
        <v>155</v>
      </c>
      <c r="U145" s="27" t="str">
        <f>_xlfn.XLOOKUP(表格1[[#This Row],[服務類別(英)]],參考2_服務標準對照!$B:$B,參考2_服務標準對照!$C:$C,"")&amp;""</f>
        <v>OGC</v>
      </c>
      <c r="V145" s="29" t="s">
        <v>7</v>
      </c>
      <c r="W145" s="29" t="s">
        <v>163</v>
      </c>
      <c r="X145" s="29" t="s">
        <v>81</v>
      </c>
      <c r="Y145" s="36" t="s">
        <v>83</v>
      </c>
      <c r="Z145" s="36" t="s">
        <v>157</v>
      </c>
      <c r="AA145" s="36" t="s">
        <v>173</v>
      </c>
      <c r="AB145" s="36"/>
      <c r="AC145" s="36"/>
      <c r="AD145" s="29" t="s">
        <v>119</v>
      </c>
      <c r="AE145" s="36" t="str">
        <f>_xlfn.XLOOKUP(表格1[[#This Row],[唯一識別碼]],API清冊0707!B:B,API清冊0707!T:T,"")&amp;""</f>
        <v>無下拉選單</v>
      </c>
    </row>
    <row r="146" spans="1:31" ht="204.75" customHeight="1" x14ac:dyDescent="0.4">
      <c r="A146" s="29" t="s">
        <v>731</v>
      </c>
      <c r="B146" s="29"/>
      <c r="C146" s="29"/>
      <c r="D146" s="29" t="s">
        <v>732</v>
      </c>
      <c r="E146" s="29" t="s">
        <v>733</v>
      </c>
      <c r="F146" s="29" t="s">
        <v>734</v>
      </c>
      <c r="G146" s="35"/>
      <c r="H146" s="35" t="s">
        <v>151</v>
      </c>
      <c r="I146" s="29" t="s">
        <v>731</v>
      </c>
      <c r="J146" s="37"/>
      <c r="K146" s="38"/>
      <c r="L146" s="38"/>
      <c r="M146" s="36" t="s">
        <v>60</v>
      </c>
      <c r="N146" s="15" t="s">
        <v>152</v>
      </c>
      <c r="O146" s="36" t="s">
        <v>162</v>
      </c>
      <c r="P146" s="36" t="str">
        <f t="shared" si="4"/>
        <v>WMTS_UAV空拍影像_南投縣南投市航遙測校正場(103年)</v>
      </c>
      <c r="Q146" s="29" t="s">
        <v>734</v>
      </c>
      <c r="R146" s="29" t="str">
        <f t="shared" si="5"/>
        <v>2dms_wmts_v1_UAV103M01</v>
      </c>
      <c r="S146" s="39" t="s">
        <v>155</v>
      </c>
      <c r="U146" s="27" t="str">
        <f>_xlfn.XLOOKUP(表格1[[#This Row],[服務類別(英)]],參考2_服務標準對照!$B:$B,參考2_服務標準對照!$C:$C,"")&amp;""</f>
        <v>OGC</v>
      </c>
      <c r="V146" s="29" t="s">
        <v>7</v>
      </c>
      <c r="W146" s="29" t="s">
        <v>163</v>
      </c>
      <c r="X146" s="29" t="s">
        <v>81</v>
      </c>
      <c r="Y146" s="36" t="s">
        <v>83</v>
      </c>
      <c r="Z146" s="36" t="s">
        <v>157</v>
      </c>
      <c r="AA146" s="36" t="s">
        <v>173</v>
      </c>
      <c r="AB146" s="36"/>
      <c r="AC146" s="36"/>
      <c r="AD146" s="29" t="s">
        <v>119</v>
      </c>
      <c r="AE146" s="36" t="str">
        <f>_xlfn.XLOOKUP(表格1[[#This Row],[唯一識別碼]],API清冊0707!B:B,API清冊0707!T:T,"")&amp;""</f>
        <v>無下拉選單</v>
      </c>
    </row>
    <row r="147" spans="1:31" ht="204.75" customHeight="1" x14ac:dyDescent="0.4">
      <c r="A147" s="29" t="s">
        <v>735</v>
      </c>
      <c r="B147" s="29"/>
      <c r="C147" s="29"/>
      <c r="D147" s="29" t="s">
        <v>736</v>
      </c>
      <c r="E147" s="29" t="s">
        <v>737</v>
      </c>
      <c r="F147" s="29" t="s">
        <v>738</v>
      </c>
      <c r="G147" s="35"/>
      <c r="H147" s="35" t="s">
        <v>151</v>
      </c>
      <c r="I147" s="29" t="s">
        <v>735</v>
      </c>
      <c r="J147" s="37"/>
      <c r="K147" s="38"/>
      <c r="L147" s="38"/>
      <c r="M147" s="36" t="s">
        <v>60</v>
      </c>
      <c r="N147" s="15" t="s">
        <v>152</v>
      </c>
      <c r="O147" s="36" t="s">
        <v>162</v>
      </c>
      <c r="P147" s="36" t="str">
        <f t="shared" si="4"/>
        <v>WMTS_UAV空拍影像_苗栗縣銅鑼鄉(銅鑼科學園區(103年)</v>
      </c>
      <c r="Q147" s="29" t="s">
        <v>738</v>
      </c>
      <c r="R147" s="29" t="str">
        <f t="shared" si="5"/>
        <v>2dms_wmts_v1_UAV103K01</v>
      </c>
      <c r="S147" s="39" t="s">
        <v>155</v>
      </c>
      <c r="U147" s="27" t="str">
        <f>_xlfn.XLOOKUP(表格1[[#This Row],[服務類別(英)]],參考2_服務標準對照!$B:$B,參考2_服務標準對照!$C:$C,"")&amp;""</f>
        <v>OGC</v>
      </c>
      <c r="V147" s="29" t="s">
        <v>7</v>
      </c>
      <c r="W147" s="29" t="s">
        <v>163</v>
      </c>
      <c r="X147" s="29" t="s">
        <v>81</v>
      </c>
      <c r="Y147" s="36" t="s">
        <v>83</v>
      </c>
      <c r="Z147" s="36" t="s">
        <v>157</v>
      </c>
      <c r="AA147" s="36" t="s">
        <v>173</v>
      </c>
      <c r="AB147" s="36"/>
      <c r="AC147" s="36"/>
      <c r="AD147" s="29" t="s">
        <v>119</v>
      </c>
      <c r="AE147" s="36" t="str">
        <f>_xlfn.XLOOKUP(表格1[[#This Row],[唯一識別碼]],API清冊0707!B:B,API清冊0707!T:T,"")&amp;""</f>
        <v>無下拉選單</v>
      </c>
    </row>
    <row r="148" spans="1:31" ht="204.75" customHeight="1" x14ac:dyDescent="0.4">
      <c r="A148" s="29" t="s">
        <v>739</v>
      </c>
      <c r="B148" s="29"/>
      <c r="C148" s="29"/>
      <c r="D148" s="29" t="s">
        <v>740</v>
      </c>
      <c r="E148" s="29" t="s">
        <v>741</v>
      </c>
      <c r="F148" s="29" t="s">
        <v>742</v>
      </c>
      <c r="G148" s="35"/>
      <c r="H148" s="35" t="s">
        <v>151</v>
      </c>
      <c r="I148" s="29" t="s">
        <v>739</v>
      </c>
      <c r="J148" s="37"/>
      <c r="K148" s="38"/>
      <c r="L148" s="38"/>
      <c r="M148" s="36" t="s">
        <v>60</v>
      </c>
      <c r="N148" s="15" t="s">
        <v>152</v>
      </c>
      <c r="O148" s="36" t="s">
        <v>162</v>
      </c>
      <c r="P148" s="36" t="str">
        <f t="shared" si="4"/>
        <v>WMTS_UAV空拍影像_桃園市中路計畫區段徵收(103年)</v>
      </c>
      <c r="Q148" s="29" t="s">
        <v>742</v>
      </c>
      <c r="R148" s="29" t="str">
        <f t="shared" si="5"/>
        <v>2dms_wmts_v1_UAV103H01</v>
      </c>
      <c r="S148" s="39" t="s">
        <v>155</v>
      </c>
      <c r="U148" s="27" t="str">
        <f>_xlfn.XLOOKUP(表格1[[#This Row],[服務類別(英)]],參考2_服務標準對照!$B:$B,參考2_服務標準對照!$C:$C,"")&amp;""</f>
        <v>OGC</v>
      </c>
      <c r="V148" s="29" t="s">
        <v>7</v>
      </c>
      <c r="W148" s="29" t="s">
        <v>163</v>
      </c>
      <c r="X148" s="29" t="s">
        <v>81</v>
      </c>
      <c r="Y148" s="36" t="s">
        <v>83</v>
      </c>
      <c r="Z148" s="36" t="s">
        <v>157</v>
      </c>
      <c r="AA148" s="36" t="s">
        <v>490</v>
      </c>
      <c r="AB148" s="36"/>
      <c r="AC148" s="36"/>
      <c r="AD148" s="29" t="s">
        <v>119</v>
      </c>
      <c r="AE148" s="36" t="str">
        <f>_xlfn.XLOOKUP(表格1[[#This Row],[唯一識別碼]],API清冊0707!B:B,API清冊0707!T:T,"")&amp;""</f>
        <v>無下拉選單</v>
      </c>
    </row>
    <row r="149" spans="1:31" ht="204.75" customHeight="1" x14ac:dyDescent="0.4">
      <c r="A149" s="29" t="s">
        <v>743</v>
      </c>
      <c r="B149" s="29"/>
      <c r="C149" s="29"/>
      <c r="D149" s="29" t="s">
        <v>744</v>
      </c>
      <c r="E149" s="29" t="s">
        <v>745</v>
      </c>
      <c r="F149" s="29" t="s">
        <v>746</v>
      </c>
      <c r="G149" s="35"/>
      <c r="H149" s="35" t="s">
        <v>151</v>
      </c>
      <c r="I149" s="29" t="s">
        <v>743</v>
      </c>
      <c r="J149" s="37"/>
      <c r="K149" s="38"/>
      <c r="L149" s="38"/>
      <c r="M149" s="36" t="s">
        <v>60</v>
      </c>
      <c r="N149" s="15" t="s">
        <v>152</v>
      </c>
      <c r="O149" s="36" t="s">
        <v>162</v>
      </c>
      <c r="P149" s="36" t="str">
        <f t="shared" si="4"/>
        <v>WMTS_UAV空拍影像_臺南市學甲區(台84線)(103年)</v>
      </c>
      <c r="Q149" s="29" t="s">
        <v>746</v>
      </c>
      <c r="R149" s="29" t="str">
        <f t="shared" si="5"/>
        <v>2dms_wmts_v1_UAV103D04</v>
      </c>
      <c r="S149" s="39" t="s">
        <v>155</v>
      </c>
      <c r="U149" s="27" t="str">
        <f>_xlfn.XLOOKUP(表格1[[#This Row],[服務類別(英)]],參考2_服務標準對照!$B:$B,參考2_服務標準對照!$C:$C,"")&amp;""</f>
        <v>OGC</v>
      </c>
      <c r="V149" s="29" t="s">
        <v>7</v>
      </c>
      <c r="W149" s="29" t="s">
        <v>163</v>
      </c>
      <c r="X149" s="29" t="s">
        <v>81</v>
      </c>
      <c r="Y149" s="36" t="s">
        <v>83</v>
      </c>
      <c r="Z149" s="36" t="s">
        <v>157</v>
      </c>
      <c r="AA149" s="36" t="s">
        <v>173</v>
      </c>
      <c r="AB149" s="36"/>
      <c r="AC149" s="36"/>
      <c r="AD149" s="29" t="s">
        <v>119</v>
      </c>
      <c r="AE149" s="36" t="str">
        <f>_xlfn.XLOOKUP(表格1[[#This Row],[唯一識別碼]],API清冊0707!B:B,API清冊0707!T:T,"")&amp;""</f>
        <v>無下拉選單</v>
      </c>
    </row>
    <row r="150" spans="1:31" ht="204.75" customHeight="1" x14ac:dyDescent="0.4">
      <c r="A150" s="29" t="s">
        <v>747</v>
      </c>
      <c r="B150" s="29"/>
      <c r="C150" s="29"/>
      <c r="D150" s="29" t="s">
        <v>748</v>
      </c>
      <c r="E150" s="29" t="s">
        <v>749</v>
      </c>
      <c r="F150" s="29" t="s">
        <v>750</v>
      </c>
      <c r="G150" s="35"/>
      <c r="H150" s="35" t="s">
        <v>151</v>
      </c>
      <c r="I150" s="29" t="s">
        <v>747</v>
      </c>
      <c r="J150" s="37"/>
      <c r="K150" s="38"/>
      <c r="L150" s="38"/>
      <c r="M150" s="36" t="s">
        <v>60</v>
      </c>
      <c r="N150" s="15" t="s">
        <v>152</v>
      </c>
      <c r="O150" s="36" t="s">
        <v>162</v>
      </c>
      <c r="P150" s="36" t="str">
        <f t="shared" si="4"/>
        <v>WMTS_UAV空拍影像_臺南市麻豆區(103年)</v>
      </c>
      <c r="Q150" s="29" t="s">
        <v>750</v>
      </c>
      <c r="R150" s="29" t="str">
        <f t="shared" si="5"/>
        <v>2dms_wmts_v1_UAV103D03</v>
      </c>
      <c r="S150" s="39" t="s">
        <v>155</v>
      </c>
      <c r="U150" s="27" t="str">
        <f>_xlfn.XLOOKUP(表格1[[#This Row],[服務類別(英)]],參考2_服務標準對照!$B:$B,參考2_服務標準對照!$C:$C,"")&amp;""</f>
        <v>OGC</v>
      </c>
      <c r="V150" s="29" t="s">
        <v>7</v>
      </c>
      <c r="W150" s="29" t="s">
        <v>163</v>
      </c>
      <c r="X150" s="29" t="s">
        <v>81</v>
      </c>
      <c r="Y150" s="36" t="s">
        <v>83</v>
      </c>
      <c r="Z150" s="36" t="s">
        <v>157</v>
      </c>
      <c r="AA150" s="36" t="s">
        <v>173</v>
      </c>
      <c r="AB150" s="36"/>
      <c r="AC150" s="36"/>
      <c r="AD150" s="29" t="s">
        <v>119</v>
      </c>
      <c r="AE150" s="36" t="str">
        <f>_xlfn.XLOOKUP(表格1[[#This Row],[唯一識別碼]],API清冊0707!B:B,API清冊0707!T:T,"")&amp;""</f>
        <v>無下拉選單</v>
      </c>
    </row>
    <row r="151" spans="1:31" ht="204.75" customHeight="1" x14ac:dyDescent="0.4">
      <c r="A151" s="29" t="s">
        <v>751</v>
      </c>
      <c r="B151" s="29"/>
      <c r="C151" s="29"/>
      <c r="D151" s="29" t="s">
        <v>752</v>
      </c>
      <c r="E151" s="29" t="s">
        <v>753</v>
      </c>
      <c r="F151" s="29" t="s">
        <v>754</v>
      </c>
      <c r="G151" s="35"/>
      <c r="H151" s="35" t="s">
        <v>151</v>
      </c>
      <c r="I151" s="29" t="s">
        <v>751</v>
      </c>
      <c r="J151" s="37"/>
      <c r="K151" s="38"/>
      <c r="L151" s="38"/>
      <c r="M151" s="36" t="s">
        <v>60</v>
      </c>
      <c r="N151" s="15" t="s">
        <v>152</v>
      </c>
      <c r="O151" s="36" t="s">
        <v>162</v>
      </c>
      <c r="P151" s="36" t="str">
        <f t="shared" si="4"/>
        <v>WMTS_UAV空拍影像_臺南市南區(台86線)(103年)</v>
      </c>
      <c r="Q151" s="29" t="s">
        <v>754</v>
      </c>
      <c r="R151" s="29" t="str">
        <f t="shared" si="5"/>
        <v>2dms_wmts_v1_UAV103D01</v>
      </c>
      <c r="S151" s="39" t="s">
        <v>155</v>
      </c>
      <c r="U151" s="27" t="str">
        <f>_xlfn.XLOOKUP(表格1[[#This Row],[服務類別(英)]],參考2_服務標準對照!$B:$B,參考2_服務標準對照!$C:$C,"")&amp;""</f>
        <v>OGC</v>
      </c>
      <c r="V151" s="29" t="s">
        <v>7</v>
      </c>
      <c r="W151" s="29" t="s">
        <v>163</v>
      </c>
      <c r="X151" s="29" t="s">
        <v>81</v>
      </c>
      <c r="Y151" s="36" t="s">
        <v>83</v>
      </c>
      <c r="Z151" s="36" t="s">
        <v>157</v>
      </c>
      <c r="AA151" s="36" t="s">
        <v>173</v>
      </c>
      <c r="AB151" s="36"/>
      <c r="AC151" s="36"/>
      <c r="AD151" s="29" t="s">
        <v>119</v>
      </c>
      <c r="AE151" s="36" t="str">
        <f>_xlfn.XLOOKUP(表格1[[#This Row],[唯一識別碼]],API清冊0707!B:B,API清冊0707!T:T,"")&amp;""</f>
        <v>無下拉選單</v>
      </c>
    </row>
    <row r="152" spans="1:31" ht="204.75" customHeight="1" x14ac:dyDescent="0.4">
      <c r="A152" s="29" t="s">
        <v>755</v>
      </c>
      <c r="B152" s="29"/>
      <c r="C152" s="29"/>
      <c r="D152" s="29" t="s">
        <v>756</v>
      </c>
      <c r="E152" s="29" t="s">
        <v>757</v>
      </c>
      <c r="F152" s="29" t="s">
        <v>758</v>
      </c>
      <c r="G152" s="35"/>
      <c r="H152" s="35" t="s">
        <v>151</v>
      </c>
      <c r="I152" s="29" t="s">
        <v>755</v>
      </c>
      <c r="J152" s="37"/>
      <c r="K152" s="38"/>
      <c r="L152" s="38"/>
      <c r="M152" s="36" t="s">
        <v>60</v>
      </c>
      <c r="N152" s="15" t="s">
        <v>152</v>
      </c>
      <c r="O152" s="36" t="s">
        <v>162</v>
      </c>
      <c r="P152" s="36" t="str">
        <f t="shared" si="4"/>
        <v>WMTS_UAV空拍影像_臺東縣大武鄉(102年)</v>
      </c>
      <c r="Q152" s="29" t="s">
        <v>758</v>
      </c>
      <c r="R152" s="29" t="str">
        <f t="shared" si="5"/>
        <v>2dms_wmts_v1_UAV102V01</v>
      </c>
      <c r="S152" s="39" t="s">
        <v>155</v>
      </c>
      <c r="U152" s="27" t="str">
        <f>_xlfn.XLOOKUP(表格1[[#This Row],[服務類別(英)]],參考2_服務標準對照!$B:$B,參考2_服務標準對照!$C:$C,"")&amp;""</f>
        <v>OGC</v>
      </c>
      <c r="V152" s="29" t="s">
        <v>7</v>
      </c>
      <c r="W152" s="29" t="s">
        <v>163</v>
      </c>
      <c r="X152" s="29" t="s">
        <v>81</v>
      </c>
      <c r="Y152" s="36" t="s">
        <v>83</v>
      </c>
      <c r="Z152" s="36" t="s">
        <v>157</v>
      </c>
      <c r="AA152" s="36" t="s">
        <v>173</v>
      </c>
      <c r="AB152" s="36"/>
      <c r="AC152" s="36"/>
      <c r="AD152" s="29" t="s">
        <v>119</v>
      </c>
      <c r="AE152" s="36" t="str">
        <f>_xlfn.XLOOKUP(表格1[[#This Row],[唯一識別碼]],API清冊0707!B:B,API清冊0707!T:T,"")&amp;""</f>
        <v>無下拉選單</v>
      </c>
    </row>
    <row r="153" spans="1:31" ht="204.75" customHeight="1" x14ac:dyDescent="0.4">
      <c r="A153" s="29" t="s">
        <v>759</v>
      </c>
      <c r="B153" s="29"/>
      <c r="C153" s="29"/>
      <c r="D153" s="29" t="s">
        <v>760</v>
      </c>
      <c r="E153" s="29" t="s">
        <v>761</v>
      </c>
      <c r="F153" s="29" t="s">
        <v>762</v>
      </c>
      <c r="G153" s="35"/>
      <c r="H153" s="35" t="s">
        <v>151</v>
      </c>
      <c r="I153" s="29" t="s">
        <v>759</v>
      </c>
      <c r="J153" s="37"/>
      <c r="K153" s="38"/>
      <c r="L153" s="38"/>
      <c r="M153" s="36" t="s">
        <v>60</v>
      </c>
      <c r="N153" s="15" t="s">
        <v>152</v>
      </c>
      <c r="O153" s="36" t="s">
        <v>162</v>
      </c>
      <c r="P153" s="36" t="str">
        <f t="shared" si="4"/>
        <v>WMTS_UAV空拍影像_屏東縣滿州鄉(102年)</v>
      </c>
      <c r="Q153" s="29" t="s">
        <v>762</v>
      </c>
      <c r="R153" s="29" t="str">
        <f t="shared" si="5"/>
        <v>2dms_wmts_v1_UAV102T02</v>
      </c>
      <c r="S153" s="39" t="s">
        <v>155</v>
      </c>
      <c r="U153" s="27" t="str">
        <f>_xlfn.XLOOKUP(表格1[[#This Row],[服務類別(英)]],參考2_服務標準對照!$B:$B,參考2_服務標準對照!$C:$C,"")&amp;""</f>
        <v>OGC</v>
      </c>
      <c r="V153" s="29" t="s">
        <v>7</v>
      </c>
      <c r="W153" s="29" t="s">
        <v>163</v>
      </c>
      <c r="X153" s="29" t="s">
        <v>81</v>
      </c>
      <c r="Y153" s="36" t="s">
        <v>83</v>
      </c>
      <c r="Z153" s="36" t="s">
        <v>157</v>
      </c>
      <c r="AA153" s="36" t="s">
        <v>173</v>
      </c>
      <c r="AB153" s="36"/>
      <c r="AC153" s="36"/>
      <c r="AD153" s="29" t="s">
        <v>119</v>
      </c>
      <c r="AE153" s="36" t="str">
        <f>_xlfn.XLOOKUP(表格1[[#This Row],[唯一識別碼]],API清冊0707!B:B,API清冊0707!T:T,"")&amp;""</f>
        <v>無下拉選單</v>
      </c>
    </row>
    <row r="154" spans="1:31" ht="204.75" customHeight="1" x14ac:dyDescent="0.4">
      <c r="A154" s="29" t="s">
        <v>763</v>
      </c>
      <c r="B154" s="29"/>
      <c r="C154" s="29"/>
      <c r="D154" s="29" t="s">
        <v>764</v>
      </c>
      <c r="E154" s="29" t="s">
        <v>765</v>
      </c>
      <c r="F154" s="29" t="s">
        <v>766</v>
      </c>
      <c r="G154" s="35"/>
      <c r="H154" s="35" t="s">
        <v>151</v>
      </c>
      <c r="I154" s="29" t="s">
        <v>763</v>
      </c>
      <c r="J154" s="37"/>
      <c r="K154" s="38"/>
      <c r="L154" s="38"/>
      <c r="M154" s="36" t="s">
        <v>60</v>
      </c>
      <c r="N154" s="15" t="s">
        <v>152</v>
      </c>
      <c r="O154" s="36" t="s">
        <v>162</v>
      </c>
      <c r="P154" s="36" t="str">
        <f t="shared" si="4"/>
        <v>WMTS_UAV空拍影像_屏東縣里港鄉(102年)</v>
      </c>
      <c r="Q154" s="29" t="s">
        <v>766</v>
      </c>
      <c r="R154" s="29" t="str">
        <f t="shared" si="5"/>
        <v>2dms_wmts_v1_UAV102T01</v>
      </c>
      <c r="S154" s="39" t="s">
        <v>155</v>
      </c>
      <c r="U154" s="27" t="str">
        <f>_xlfn.XLOOKUP(表格1[[#This Row],[服務類別(英)]],參考2_服務標準對照!$B:$B,參考2_服務標準對照!$C:$C,"")&amp;""</f>
        <v>OGC</v>
      </c>
      <c r="V154" s="29" t="s">
        <v>7</v>
      </c>
      <c r="W154" s="29" t="s">
        <v>163</v>
      </c>
      <c r="X154" s="29" t="s">
        <v>81</v>
      </c>
      <c r="Y154" s="36" t="s">
        <v>83</v>
      </c>
      <c r="Z154" s="36" t="s">
        <v>157</v>
      </c>
      <c r="AA154" s="36" t="s">
        <v>173</v>
      </c>
      <c r="AB154" s="36"/>
      <c r="AC154" s="36"/>
      <c r="AD154" s="29" t="s">
        <v>119</v>
      </c>
      <c r="AE154" s="36" t="str">
        <f>_xlfn.XLOOKUP(表格1[[#This Row],[唯一識別碼]],API清冊0707!B:B,API清冊0707!T:T,"")&amp;""</f>
        <v>無下拉選單</v>
      </c>
    </row>
    <row r="155" spans="1:31" ht="204.75" customHeight="1" x14ac:dyDescent="0.4">
      <c r="A155" s="29" t="s">
        <v>767</v>
      </c>
      <c r="B155" s="29"/>
      <c r="C155" s="29"/>
      <c r="D155" s="29" t="s">
        <v>768</v>
      </c>
      <c r="E155" s="29" t="s">
        <v>769</v>
      </c>
      <c r="F155" s="29" t="s">
        <v>770</v>
      </c>
      <c r="G155" s="35"/>
      <c r="H155" s="35" t="s">
        <v>151</v>
      </c>
      <c r="I155" s="29" t="s">
        <v>767</v>
      </c>
      <c r="J155" s="37"/>
      <c r="K155" s="38"/>
      <c r="L155" s="38"/>
      <c r="M155" s="36" t="s">
        <v>60</v>
      </c>
      <c r="N155" s="15" t="s">
        <v>152</v>
      </c>
      <c r="O155" s="36" t="s">
        <v>162</v>
      </c>
      <c r="P155" s="36" t="str">
        <f t="shared" si="4"/>
        <v>WMTS_UAV空拍影像_嘉義縣番路鄉(102年)</v>
      </c>
      <c r="Q155" s="29" t="s">
        <v>770</v>
      </c>
      <c r="R155" s="29" t="str">
        <f t="shared" si="5"/>
        <v>2dms_wmts_v1_UAV102Q02</v>
      </c>
      <c r="S155" s="39" t="s">
        <v>155</v>
      </c>
      <c r="U155" s="27" t="str">
        <f>_xlfn.XLOOKUP(表格1[[#This Row],[服務類別(英)]],參考2_服務標準對照!$B:$B,參考2_服務標準對照!$C:$C,"")&amp;""</f>
        <v>OGC</v>
      </c>
      <c r="V155" s="29" t="s">
        <v>7</v>
      </c>
      <c r="W155" s="29" t="s">
        <v>163</v>
      </c>
      <c r="X155" s="29" t="s">
        <v>81</v>
      </c>
      <c r="Y155" s="36" t="s">
        <v>83</v>
      </c>
      <c r="Z155" s="36" t="s">
        <v>157</v>
      </c>
      <c r="AA155" s="36" t="s">
        <v>173</v>
      </c>
      <c r="AB155" s="36"/>
      <c r="AC155" s="36"/>
      <c r="AD155" s="29" t="s">
        <v>119</v>
      </c>
      <c r="AE155" s="36" t="str">
        <f>_xlfn.XLOOKUP(表格1[[#This Row],[唯一識別碼]],API清冊0707!B:B,API清冊0707!T:T,"")&amp;""</f>
        <v>無下拉選單</v>
      </c>
    </row>
    <row r="156" spans="1:31" ht="204.75" customHeight="1" x14ac:dyDescent="0.4">
      <c r="A156" s="29" t="s">
        <v>771</v>
      </c>
      <c r="B156" s="29"/>
      <c r="C156" s="29"/>
      <c r="D156" s="29" t="s">
        <v>772</v>
      </c>
      <c r="E156" s="29" t="s">
        <v>773</v>
      </c>
      <c r="F156" s="29" t="s">
        <v>774</v>
      </c>
      <c r="G156" s="35"/>
      <c r="H156" s="35" t="s">
        <v>151</v>
      </c>
      <c r="I156" s="29" t="s">
        <v>771</v>
      </c>
      <c r="J156" s="37"/>
      <c r="K156" s="38"/>
      <c r="L156" s="38"/>
      <c r="M156" s="36" t="s">
        <v>60</v>
      </c>
      <c r="N156" s="15" t="s">
        <v>152</v>
      </c>
      <c r="O156" s="36" t="s">
        <v>162</v>
      </c>
      <c r="P156" s="36" t="str">
        <f t="shared" si="4"/>
        <v>WMTS_UAV空拍影像_嘉義縣阿里山鄉(102年)</v>
      </c>
      <c r="Q156" s="29" t="s">
        <v>774</v>
      </c>
      <c r="R156" s="29" t="str">
        <f t="shared" si="5"/>
        <v>2dms_wmts_v1_UAV102Q01</v>
      </c>
      <c r="S156" s="39" t="s">
        <v>155</v>
      </c>
      <c r="U156" s="27" t="str">
        <f>_xlfn.XLOOKUP(表格1[[#This Row],[服務類別(英)]],參考2_服務標準對照!$B:$B,參考2_服務標準對照!$C:$C,"")&amp;""</f>
        <v>OGC</v>
      </c>
      <c r="V156" s="29" t="s">
        <v>7</v>
      </c>
      <c r="W156" s="29" t="s">
        <v>163</v>
      </c>
      <c r="X156" s="29" t="s">
        <v>81</v>
      </c>
      <c r="Y156" s="36" t="s">
        <v>83</v>
      </c>
      <c r="Z156" s="36" t="s">
        <v>157</v>
      </c>
      <c r="AA156" s="36" t="s">
        <v>173</v>
      </c>
      <c r="AB156" s="36"/>
      <c r="AC156" s="36"/>
      <c r="AD156" s="29" t="s">
        <v>119</v>
      </c>
      <c r="AE156" s="36" t="str">
        <f>_xlfn.XLOOKUP(表格1[[#This Row],[唯一識別碼]],API清冊0707!B:B,API清冊0707!T:T,"")&amp;""</f>
        <v>無下拉選單</v>
      </c>
    </row>
    <row r="157" spans="1:31" ht="204.75" customHeight="1" x14ac:dyDescent="0.4">
      <c r="A157" s="29" t="s">
        <v>775</v>
      </c>
      <c r="B157" s="29"/>
      <c r="C157" s="29"/>
      <c r="D157" s="29" t="s">
        <v>776</v>
      </c>
      <c r="E157" s="29" t="s">
        <v>777</v>
      </c>
      <c r="F157" s="29" t="s">
        <v>778</v>
      </c>
      <c r="G157" s="35"/>
      <c r="H157" s="35" t="s">
        <v>151</v>
      </c>
      <c r="I157" s="29" t="s">
        <v>775</v>
      </c>
      <c r="J157" s="37"/>
      <c r="K157" s="38"/>
      <c r="L157" s="38"/>
      <c r="M157" s="36" t="s">
        <v>60</v>
      </c>
      <c r="N157" s="15" t="s">
        <v>152</v>
      </c>
      <c r="O157" s="36" t="s">
        <v>162</v>
      </c>
      <c r="P157" s="36" t="str">
        <f t="shared" si="4"/>
        <v>WMTS_UAV空拍影像_彰化縣伸港鄉(102年)</v>
      </c>
      <c r="Q157" s="29" t="s">
        <v>778</v>
      </c>
      <c r="R157" s="29" t="str">
        <f t="shared" si="5"/>
        <v>2dms_wmts_v1_UAV102N01</v>
      </c>
      <c r="S157" s="39" t="s">
        <v>155</v>
      </c>
      <c r="U157" s="27" t="str">
        <f>_xlfn.XLOOKUP(表格1[[#This Row],[服務類別(英)]],參考2_服務標準對照!$B:$B,參考2_服務標準對照!$C:$C,"")&amp;""</f>
        <v>OGC</v>
      </c>
      <c r="V157" s="29" t="s">
        <v>7</v>
      </c>
      <c r="W157" s="29" t="s">
        <v>163</v>
      </c>
      <c r="X157" s="29" t="s">
        <v>81</v>
      </c>
      <c r="Y157" s="36" t="s">
        <v>83</v>
      </c>
      <c r="Z157" s="36" t="s">
        <v>157</v>
      </c>
      <c r="AA157" s="36" t="s">
        <v>173</v>
      </c>
      <c r="AB157" s="36"/>
      <c r="AC157" s="36"/>
      <c r="AD157" s="29" t="s">
        <v>119</v>
      </c>
      <c r="AE157" s="36" t="str">
        <f>_xlfn.XLOOKUP(表格1[[#This Row],[唯一識別碼]],API清冊0707!B:B,API清冊0707!T:T,"")&amp;""</f>
        <v>無下拉選單</v>
      </c>
    </row>
    <row r="158" spans="1:31" ht="204.75" customHeight="1" x14ac:dyDescent="0.4">
      <c r="A158" s="29" t="s">
        <v>779</v>
      </c>
      <c r="B158" s="29"/>
      <c r="C158" s="29"/>
      <c r="D158" s="29" t="s">
        <v>780</v>
      </c>
      <c r="E158" s="29" t="s">
        <v>781</v>
      </c>
      <c r="F158" s="29" t="s">
        <v>782</v>
      </c>
      <c r="G158" s="35"/>
      <c r="H158" s="35" t="s">
        <v>151</v>
      </c>
      <c r="I158" s="29" t="s">
        <v>779</v>
      </c>
      <c r="J158" s="37"/>
      <c r="K158" s="38"/>
      <c r="L158" s="38"/>
      <c r="M158" s="36" t="s">
        <v>60</v>
      </c>
      <c r="N158" s="15" t="s">
        <v>152</v>
      </c>
      <c r="O158" s="36" t="s">
        <v>162</v>
      </c>
      <c r="P158" s="36" t="str">
        <f t="shared" si="4"/>
        <v>WMTS_UAV空拍影像_南投縣南投市(航遙測校正場(102年)</v>
      </c>
      <c r="Q158" s="29" t="s">
        <v>782</v>
      </c>
      <c r="R158" s="29" t="str">
        <f t="shared" si="5"/>
        <v>2dms_wmts_v1_UAV102M01</v>
      </c>
      <c r="S158" s="39" t="s">
        <v>155</v>
      </c>
      <c r="U158" s="27" t="str">
        <f>_xlfn.XLOOKUP(表格1[[#This Row],[服務類別(英)]],參考2_服務標準對照!$B:$B,參考2_服務標準對照!$C:$C,"")&amp;""</f>
        <v>OGC</v>
      </c>
      <c r="V158" s="29" t="s">
        <v>7</v>
      </c>
      <c r="W158" s="29" t="s">
        <v>163</v>
      </c>
      <c r="X158" s="29" t="s">
        <v>81</v>
      </c>
      <c r="Y158" s="36" t="s">
        <v>83</v>
      </c>
      <c r="Z158" s="36" t="s">
        <v>157</v>
      </c>
      <c r="AA158" s="36" t="s">
        <v>173</v>
      </c>
      <c r="AB158" s="36"/>
      <c r="AC158" s="36"/>
      <c r="AD158" s="29" t="s">
        <v>119</v>
      </c>
      <c r="AE158" s="36" t="str">
        <f>_xlfn.XLOOKUP(表格1[[#This Row],[唯一識別碼]],API清冊0707!B:B,API清冊0707!T:T,"")&amp;""</f>
        <v>無下拉選單</v>
      </c>
    </row>
    <row r="159" spans="1:31" ht="204.75" customHeight="1" x14ac:dyDescent="0.4">
      <c r="A159" s="29" t="s">
        <v>783</v>
      </c>
      <c r="B159" s="29"/>
      <c r="C159" s="29"/>
      <c r="D159" s="29" t="s">
        <v>784</v>
      </c>
      <c r="E159" s="29" t="s">
        <v>785</v>
      </c>
      <c r="F159" s="29" t="s">
        <v>786</v>
      </c>
      <c r="G159" s="35"/>
      <c r="H159" s="35" t="s">
        <v>151</v>
      </c>
      <c r="I159" s="29" t="s">
        <v>783</v>
      </c>
      <c r="J159" s="37"/>
      <c r="K159" s="38"/>
      <c r="L159" s="38"/>
      <c r="M159" s="36" t="s">
        <v>60</v>
      </c>
      <c r="N159" s="15" t="s">
        <v>152</v>
      </c>
      <c r="O159" s="36" t="s">
        <v>162</v>
      </c>
      <c r="P159" s="36" t="str">
        <f t="shared" si="4"/>
        <v>WMTS_UAV空拍影像_桃園市龜山區(102年)</v>
      </c>
      <c r="Q159" s="29" t="s">
        <v>786</v>
      </c>
      <c r="R159" s="29" t="str">
        <f t="shared" si="5"/>
        <v>2dms_wmts_v1_UAV102H01</v>
      </c>
      <c r="S159" s="39" t="s">
        <v>155</v>
      </c>
      <c r="U159" s="27" t="str">
        <f>_xlfn.XLOOKUP(表格1[[#This Row],[服務類別(英)]],參考2_服務標準對照!$B:$B,參考2_服務標準對照!$C:$C,"")&amp;""</f>
        <v>OGC</v>
      </c>
      <c r="V159" s="29" t="s">
        <v>7</v>
      </c>
      <c r="W159" s="29" t="s">
        <v>163</v>
      </c>
      <c r="X159" s="29" t="s">
        <v>81</v>
      </c>
      <c r="Y159" s="36" t="s">
        <v>83</v>
      </c>
      <c r="Z159" s="36" t="s">
        <v>157</v>
      </c>
      <c r="AA159" s="36" t="s">
        <v>173</v>
      </c>
      <c r="AB159" s="36"/>
      <c r="AC159" s="36"/>
      <c r="AD159" s="29" t="s">
        <v>119</v>
      </c>
      <c r="AE159" s="36" t="str">
        <f>_xlfn.XLOOKUP(表格1[[#This Row],[唯一識別碼]],API清冊0707!B:B,API清冊0707!T:T,"")&amp;""</f>
        <v>無下拉選單</v>
      </c>
    </row>
    <row r="160" spans="1:31" ht="204.75" customHeight="1" x14ac:dyDescent="0.4">
      <c r="A160" s="29" t="s">
        <v>787</v>
      </c>
      <c r="B160" s="29"/>
      <c r="C160" s="29"/>
      <c r="D160" s="29" t="s">
        <v>788</v>
      </c>
      <c r="E160" s="29" t="s">
        <v>789</v>
      </c>
      <c r="F160" s="29" t="s">
        <v>790</v>
      </c>
      <c r="G160" s="35"/>
      <c r="H160" s="35" t="s">
        <v>151</v>
      </c>
      <c r="I160" s="29" t="s">
        <v>787</v>
      </c>
      <c r="J160" s="37"/>
      <c r="K160" s="38"/>
      <c r="L160" s="38"/>
      <c r="M160" s="36" t="s">
        <v>60</v>
      </c>
      <c r="N160" s="15" t="s">
        <v>152</v>
      </c>
      <c r="O160" s="36" t="s">
        <v>162</v>
      </c>
      <c r="P160" s="36" t="str">
        <f t="shared" si="4"/>
        <v>WMTS_UAV空拍影像_臺南市安南區(102年)</v>
      </c>
      <c r="Q160" s="29" t="s">
        <v>790</v>
      </c>
      <c r="R160" s="29" t="str">
        <f t="shared" si="5"/>
        <v>2dms_wmts_v1_UAV102D03</v>
      </c>
      <c r="S160" s="39" t="s">
        <v>155</v>
      </c>
      <c r="U160" s="27" t="str">
        <f>_xlfn.XLOOKUP(表格1[[#This Row],[服務類別(英)]],參考2_服務標準對照!$B:$B,參考2_服務標準對照!$C:$C,"")&amp;""</f>
        <v>OGC</v>
      </c>
      <c r="V160" s="29" t="s">
        <v>7</v>
      </c>
      <c r="W160" s="29" t="s">
        <v>163</v>
      </c>
      <c r="X160" s="29" t="s">
        <v>81</v>
      </c>
      <c r="Y160" s="36" t="s">
        <v>83</v>
      </c>
      <c r="Z160" s="36" t="s">
        <v>157</v>
      </c>
      <c r="AA160" s="36" t="s">
        <v>173</v>
      </c>
      <c r="AB160" s="36"/>
      <c r="AC160" s="36"/>
      <c r="AD160" s="29" t="s">
        <v>119</v>
      </c>
      <c r="AE160" s="36" t="str">
        <f>_xlfn.XLOOKUP(表格1[[#This Row],[唯一識別碼]],API清冊0707!B:B,API清冊0707!T:T,"")&amp;""</f>
        <v>無下拉選單</v>
      </c>
    </row>
    <row r="161" spans="1:31" ht="204.75" customHeight="1" x14ac:dyDescent="0.4">
      <c r="A161" s="29" t="s">
        <v>791</v>
      </c>
      <c r="B161" s="29"/>
      <c r="C161" s="29"/>
      <c r="D161" s="29" t="s">
        <v>792</v>
      </c>
      <c r="E161" s="29" t="s">
        <v>793</v>
      </c>
      <c r="F161" s="29" t="s">
        <v>794</v>
      </c>
      <c r="G161" s="35"/>
      <c r="H161" s="35" t="s">
        <v>151</v>
      </c>
      <c r="I161" s="29" t="s">
        <v>791</v>
      </c>
      <c r="J161" s="37"/>
      <c r="K161" s="38"/>
      <c r="L161" s="38"/>
      <c r="M161" s="36" t="s">
        <v>60</v>
      </c>
      <c r="N161" s="15" t="s">
        <v>152</v>
      </c>
      <c r="O161" s="36" t="s">
        <v>162</v>
      </c>
      <c r="P161" s="36" t="str">
        <f t="shared" si="4"/>
        <v>WMTS_UAV空拍影像_臺南市七股區(台江國家公園(102年)</v>
      </c>
      <c r="Q161" s="29" t="s">
        <v>794</v>
      </c>
      <c r="R161" s="29" t="str">
        <f t="shared" si="5"/>
        <v>2dms_wmts_v1_UAV102D02</v>
      </c>
      <c r="S161" s="39" t="s">
        <v>155</v>
      </c>
      <c r="U161" s="27" t="str">
        <f>_xlfn.XLOOKUP(表格1[[#This Row],[服務類別(英)]],參考2_服務標準對照!$B:$B,參考2_服務標準對照!$C:$C,"")&amp;""</f>
        <v>OGC</v>
      </c>
      <c r="V161" s="29" t="s">
        <v>7</v>
      </c>
      <c r="W161" s="29" t="s">
        <v>163</v>
      </c>
      <c r="X161" s="29" t="s">
        <v>81</v>
      </c>
      <c r="Y161" s="36" t="s">
        <v>83</v>
      </c>
      <c r="Z161" s="36" t="s">
        <v>157</v>
      </c>
      <c r="AA161" s="36" t="s">
        <v>173</v>
      </c>
      <c r="AB161" s="36"/>
      <c r="AC161" s="36"/>
      <c r="AD161" s="29" t="s">
        <v>119</v>
      </c>
      <c r="AE161" s="36" t="str">
        <f>_xlfn.XLOOKUP(表格1[[#This Row],[唯一識別碼]],API清冊0707!B:B,API清冊0707!T:T,"")&amp;""</f>
        <v>無下拉選單</v>
      </c>
    </row>
    <row r="162" spans="1:31" ht="204.75" customHeight="1" x14ac:dyDescent="0.4">
      <c r="A162" s="29" t="s">
        <v>795</v>
      </c>
      <c r="B162" s="29"/>
      <c r="C162" s="29"/>
      <c r="D162" s="29" t="s">
        <v>796</v>
      </c>
      <c r="E162" s="29" t="s">
        <v>797</v>
      </c>
      <c r="F162" s="29" t="s">
        <v>798</v>
      </c>
      <c r="G162" s="35"/>
      <c r="H162" s="35" t="s">
        <v>151</v>
      </c>
      <c r="I162" s="29" t="s">
        <v>795</v>
      </c>
      <c r="J162" s="37"/>
      <c r="K162" s="38"/>
      <c r="L162" s="38"/>
      <c r="M162" s="36" t="s">
        <v>60</v>
      </c>
      <c r="N162" s="15" t="s">
        <v>152</v>
      </c>
      <c r="O162" s="36" t="s">
        <v>162</v>
      </c>
      <c r="P162" s="36" t="str">
        <f t="shared" si="4"/>
        <v>WMTS_UAV空拍影像_臺南市七股區(台61線(102年)</v>
      </c>
      <c r="Q162" s="29" t="s">
        <v>798</v>
      </c>
      <c r="R162" s="29" t="str">
        <f t="shared" si="5"/>
        <v>2dms_wmts_v1_UAV102D01</v>
      </c>
      <c r="S162" s="39" t="s">
        <v>155</v>
      </c>
      <c r="U162" s="27" t="str">
        <f>_xlfn.XLOOKUP(表格1[[#This Row],[服務類別(英)]],參考2_服務標準對照!$B:$B,參考2_服務標準對照!$C:$C,"")&amp;""</f>
        <v>OGC</v>
      </c>
      <c r="V162" s="29" t="s">
        <v>7</v>
      </c>
      <c r="W162" s="29" t="s">
        <v>163</v>
      </c>
      <c r="X162" s="29" t="s">
        <v>81</v>
      </c>
      <c r="Y162" s="36" t="s">
        <v>83</v>
      </c>
      <c r="Z162" s="36" t="s">
        <v>157</v>
      </c>
      <c r="AA162" s="36" t="s">
        <v>173</v>
      </c>
      <c r="AB162" s="36"/>
      <c r="AC162" s="36"/>
      <c r="AD162" s="29" t="s">
        <v>119</v>
      </c>
      <c r="AE162" s="36" t="str">
        <f>_xlfn.XLOOKUP(表格1[[#This Row],[唯一識別碼]],API清冊0707!B:B,API清冊0707!T:T,"")&amp;""</f>
        <v>無下拉選單</v>
      </c>
    </row>
    <row r="163" spans="1:31" ht="204.75" customHeight="1" x14ac:dyDescent="0.4">
      <c r="A163" s="29" t="s">
        <v>799</v>
      </c>
      <c r="B163" s="29"/>
      <c r="C163" s="29"/>
      <c r="D163" s="29" t="s">
        <v>800</v>
      </c>
      <c r="E163" s="29" t="s">
        <v>801</v>
      </c>
      <c r="F163" s="29" t="s">
        <v>802</v>
      </c>
      <c r="G163" s="35"/>
      <c r="H163" s="35" t="s">
        <v>151</v>
      </c>
      <c r="I163" s="29" t="s">
        <v>799</v>
      </c>
      <c r="J163" s="37"/>
      <c r="K163" s="38"/>
      <c r="L163" s="38"/>
      <c r="M163" s="36" t="s">
        <v>60</v>
      </c>
      <c r="N163" s="15" t="s">
        <v>152</v>
      </c>
      <c r="O163" s="36" t="s">
        <v>162</v>
      </c>
      <c r="P163" s="36" t="str">
        <f t="shared" si="4"/>
        <v>WMTS_UAV空拍影像_臺東縣太麻里鄉(101年)</v>
      </c>
      <c r="Q163" s="29" t="s">
        <v>802</v>
      </c>
      <c r="R163" s="29" t="str">
        <f t="shared" si="5"/>
        <v>2dms_wmts_v1_UAV101V01</v>
      </c>
      <c r="S163" s="39" t="s">
        <v>155</v>
      </c>
      <c r="U163" s="27" t="str">
        <f>_xlfn.XLOOKUP(表格1[[#This Row],[服務類別(英)]],參考2_服務標準對照!$B:$B,參考2_服務標準對照!$C:$C,"")&amp;""</f>
        <v>OGC</v>
      </c>
      <c r="V163" s="29" t="s">
        <v>7</v>
      </c>
      <c r="W163" s="29" t="s">
        <v>163</v>
      </c>
      <c r="X163" s="29" t="s">
        <v>81</v>
      </c>
      <c r="Y163" s="36" t="s">
        <v>83</v>
      </c>
      <c r="Z163" s="36" t="s">
        <v>157</v>
      </c>
      <c r="AA163" s="36" t="s">
        <v>173</v>
      </c>
      <c r="AB163" s="36"/>
      <c r="AC163" s="36"/>
      <c r="AD163" s="29" t="s">
        <v>119</v>
      </c>
      <c r="AE163" s="36" t="str">
        <f>_xlfn.XLOOKUP(表格1[[#This Row],[唯一識別碼]],API清冊0707!B:B,API清冊0707!T:T,"")&amp;""</f>
        <v>無下拉選單</v>
      </c>
    </row>
    <row r="164" spans="1:31" ht="204.75" customHeight="1" x14ac:dyDescent="0.4">
      <c r="A164" s="29" t="s">
        <v>803</v>
      </c>
      <c r="B164" s="29"/>
      <c r="C164" s="29"/>
      <c r="D164" s="29" t="s">
        <v>804</v>
      </c>
      <c r="E164" s="29" t="s">
        <v>805</v>
      </c>
      <c r="F164" s="29" t="s">
        <v>806</v>
      </c>
      <c r="G164" s="35"/>
      <c r="H164" s="35" t="s">
        <v>151</v>
      </c>
      <c r="I164" s="29" t="s">
        <v>803</v>
      </c>
      <c r="J164" s="37"/>
      <c r="K164" s="38"/>
      <c r="L164" s="38"/>
      <c r="M164" s="36" t="s">
        <v>60</v>
      </c>
      <c r="N164" s="15" t="s">
        <v>152</v>
      </c>
      <c r="O164" s="36" t="s">
        <v>162</v>
      </c>
      <c r="P164" s="36" t="str">
        <f t="shared" si="4"/>
        <v>WMTS_UAV空拍影像_花蓮縣壽豐鄉(101年)</v>
      </c>
      <c r="Q164" s="29" t="s">
        <v>806</v>
      </c>
      <c r="R164" s="29" t="str">
        <f t="shared" si="5"/>
        <v>2dms_wmts_v1_UAV101U02</v>
      </c>
      <c r="S164" s="39" t="s">
        <v>155</v>
      </c>
      <c r="U164" s="27" t="str">
        <f>_xlfn.XLOOKUP(表格1[[#This Row],[服務類別(英)]],參考2_服務標準對照!$B:$B,參考2_服務標準對照!$C:$C,"")&amp;""</f>
        <v>OGC</v>
      </c>
      <c r="V164" s="29" t="s">
        <v>7</v>
      </c>
      <c r="W164" s="29" t="s">
        <v>163</v>
      </c>
      <c r="X164" s="29" t="s">
        <v>81</v>
      </c>
      <c r="Y164" s="36" t="s">
        <v>83</v>
      </c>
      <c r="Z164" s="36" t="s">
        <v>157</v>
      </c>
      <c r="AA164" s="36" t="s">
        <v>173</v>
      </c>
      <c r="AB164" s="36"/>
      <c r="AC164" s="36"/>
      <c r="AD164" s="29" t="s">
        <v>119</v>
      </c>
      <c r="AE164" s="36" t="str">
        <f>_xlfn.XLOOKUP(表格1[[#This Row],[唯一識別碼]],API清冊0707!B:B,API清冊0707!T:T,"")&amp;""</f>
        <v>無下拉選單</v>
      </c>
    </row>
    <row r="165" spans="1:31" ht="204.75" customHeight="1" x14ac:dyDescent="0.4">
      <c r="A165" s="29" t="s">
        <v>807</v>
      </c>
      <c r="B165" s="29"/>
      <c r="C165" s="29"/>
      <c r="D165" s="29" t="s">
        <v>808</v>
      </c>
      <c r="E165" s="29" t="s">
        <v>809</v>
      </c>
      <c r="F165" s="29" t="s">
        <v>810</v>
      </c>
      <c r="G165" s="35"/>
      <c r="H165" s="35" t="s">
        <v>151</v>
      </c>
      <c r="I165" s="29" t="s">
        <v>807</v>
      </c>
      <c r="J165" s="37"/>
      <c r="K165" s="38"/>
      <c r="L165" s="38"/>
      <c r="M165" s="36" t="s">
        <v>60</v>
      </c>
      <c r="N165" s="15" t="s">
        <v>152</v>
      </c>
      <c r="O165" s="36" t="s">
        <v>162</v>
      </c>
      <c r="P165" s="36" t="str">
        <f t="shared" si="4"/>
        <v>WMTS_UAV空拍影像_花蓮縣壽豐鄉豐平大橋(101年)</v>
      </c>
      <c r="Q165" s="29" t="s">
        <v>810</v>
      </c>
      <c r="R165" s="29" t="str">
        <f t="shared" si="5"/>
        <v>2dms_wmts_v1_UAV101U01</v>
      </c>
      <c r="S165" s="39" t="s">
        <v>155</v>
      </c>
      <c r="U165" s="27" t="str">
        <f>_xlfn.XLOOKUP(表格1[[#This Row],[服務類別(英)]],參考2_服務標準對照!$B:$B,參考2_服務標準對照!$C:$C,"")&amp;""</f>
        <v>OGC</v>
      </c>
      <c r="V165" s="29" t="s">
        <v>7</v>
      </c>
      <c r="W165" s="29" t="s">
        <v>163</v>
      </c>
      <c r="X165" s="29" t="s">
        <v>81</v>
      </c>
      <c r="Y165" s="36" t="s">
        <v>83</v>
      </c>
      <c r="Z165" s="36" t="s">
        <v>157</v>
      </c>
      <c r="AA165" s="36" t="s">
        <v>173</v>
      </c>
      <c r="AB165" s="36"/>
      <c r="AC165" s="36"/>
      <c r="AD165" s="29" t="s">
        <v>119</v>
      </c>
      <c r="AE165" s="36" t="str">
        <f>_xlfn.XLOOKUP(表格1[[#This Row],[唯一識別碼]],API清冊0707!B:B,API清冊0707!T:T,"")&amp;""</f>
        <v>無下拉選單</v>
      </c>
    </row>
    <row r="166" spans="1:31" ht="204.75" customHeight="1" x14ac:dyDescent="0.4">
      <c r="A166" s="29" t="s">
        <v>811</v>
      </c>
      <c r="B166" s="29"/>
      <c r="C166" s="29"/>
      <c r="D166" s="29" t="s">
        <v>812</v>
      </c>
      <c r="E166" s="29" t="s">
        <v>813</v>
      </c>
      <c r="F166" s="29" t="s">
        <v>814</v>
      </c>
      <c r="G166" s="35"/>
      <c r="H166" s="35" t="s">
        <v>151</v>
      </c>
      <c r="I166" s="29" t="s">
        <v>811</v>
      </c>
      <c r="J166" s="37"/>
      <c r="K166" s="38"/>
      <c r="L166" s="38"/>
      <c r="M166" s="36" t="s">
        <v>60</v>
      </c>
      <c r="N166" s="15" t="s">
        <v>152</v>
      </c>
      <c r="O166" s="36" t="s">
        <v>162</v>
      </c>
      <c r="P166" s="36" t="str">
        <f t="shared" si="4"/>
        <v>WMTS_UAV空拍影像_屏東縣滿州鄉(101年)</v>
      </c>
      <c r="Q166" s="29" t="s">
        <v>814</v>
      </c>
      <c r="R166" s="29" t="str">
        <f t="shared" si="5"/>
        <v>2dms_wmts_v1_UAV101T01</v>
      </c>
      <c r="S166" s="39" t="s">
        <v>155</v>
      </c>
      <c r="U166" s="27" t="str">
        <f>_xlfn.XLOOKUP(表格1[[#This Row],[服務類別(英)]],參考2_服務標準對照!$B:$B,參考2_服務標準對照!$C:$C,"")&amp;""</f>
        <v>OGC</v>
      </c>
      <c r="V166" s="29" t="s">
        <v>7</v>
      </c>
      <c r="W166" s="29" t="s">
        <v>163</v>
      </c>
      <c r="X166" s="29" t="s">
        <v>81</v>
      </c>
      <c r="Y166" s="36" t="s">
        <v>83</v>
      </c>
      <c r="Z166" s="36" t="s">
        <v>157</v>
      </c>
      <c r="AA166" s="36" t="s">
        <v>173</v>
      </c>
      <c r="AB166" s="36"/>
      <c r="AC166" s="36"/>
      <c r="AD166" s="29" t="s">
        <v>119</v>
      </c>
      <c r="AE166" s="36" t="str">
        <f>_xlfn.XLOOKUP(表格1[[#This Row],[唯一識別碼]],API清冊0707!B:B,API清冊0707!T:T,"")&amp;""</f>
        <v>無下拉選單</v>
      </c>
    </row>
    <row r="167" spans="1:31" ht="204.75" customHeight="1" x14ac:dyDescent="0.4">
      <c r="A167" s="29" t="s">
        <v>815</v>
      </c>
      <c r="B167" s="29"/>
      <c r="C167" s="29"/>
      <c r="D167" s="29" t="s">
        <v>816</v>
      </c>
      <c r="E167" s="29" t="s">
        <v>817</v>
      </c>
      <c r="F167" s="29" t="s">
        <v>818</v>
      </c>
      <c r="G167" s="35"/>
      <c r="H167" s="35" t="s">
        <v>151</v>
      </c>
      <c r="I167" s="29" t="s">
        <v>815</v>
      </c>
      <c r="J167" s="37"/>
      <c r="K167" s="38"/>
      <c r="L167" s="38"/>
      <c r="M167" s="36" t="s">
        <v>60</v>
      </c>
      <c r="N167" s="15" t="s">
        <v>152</v>
      </c>
      <c r="O167" s="36" t="s">
        <v>162</v>
      </c>
      <c r="P167" s="36" t="str">
        <f t="shared" si="4"/>
        <v>WMTS_UAV空拍影像_嘉義縣東石鄉(101年)</v>
      </c>
      <c r="Q167" s="29" t="s">
        <v>818</v>
      </c>
      <c r="R167" s="29" t="str">
        <f t="shared" si="5"/>
        <v>2dms_wmts_v1_UAV101Q01</v>
      </c>
      <c r="S167" s="39" t="s">
        <v>155</v>
      </c>
      <c r="U167" s="27" t="str">
        <f>_xlfn.XLOOKUP(表格1[[#This Row],[服務類別(英)]],參考2_服務標準對照!$B:$B,參考2_服務標準對照!$C:$C,"")&amp;""</f>
        <v>OGC</v>
      </c>
      <c r="V167" s="29" t="s">
        <v>7</v>
      </c>
      <c r="W167" s="29" t="s">
        <v>163</v>
      </c>
      <c r="X167" s="29" t="s">
        <v>81</v>
      </c>
      <c r="Y167" s="36" t="s">
        <v>83</v>
      </c>
      <c r="Z167" s="36" t="s">
        <v>157</v>
      </c>
      <c r="AA167" s="36" t="s">
        <v>173</v>
      </c>
      <c r="AB167" s="36"/>
      <c r="AC167" s="36"/>
      <c r="AD167" s="29" t="s">
        <v>119</v>
      </c>
      <c r="AE167" s="36" t="str">
        <f>_xlfn.XLOOKUP(表格1[[#This Row],[唯一識別碼]],API清冊0707!B:B,API清冊0707!T:T,"")&amp;""</f>
        <v>無下拉選單</v>
      </c>
    </row>
    <row r="168" spans="1:31" ht="204.75" customHeight="1" x14ac:dyDescent="0.4">
      <c r="A168" s="29" t="s">
        <v>819</v>
      </c>
      <c r="B168" s="29"/>
      <c r="C168" s="29"/>
      <c r="D168" s="29" t="s">
        <v>820</v>
      </c>
      <c r="E168" s="29" t="s">
        <v>821</v>
      </c>
      <c r="F168" s="29" t="s">
        <v>822</v>
      </c>
      <c r="G168" s="35"/>
      <c r="H168" s="35" t="s">
        <v>151</v>
      </c>
      <c r="I168" s="29" t="s">
        <v>819</v>
      </c>
      <c r="J168" s="37"/>
      <c r="K168" s="38"/>
      <c r="L168" s="38"/>
      <c r="M168" s="36" t="s">
        <v>60</v>
      </c>
      <c r="N168" s="15" t="s">
        <v>152</v>
      </c>
      <c r="O168" s="36" t="s">
        <v>162</v>
      </c>
      <c r="P168" s="36" t="str">
        <f t="shared" si="4"/>
        <v>WMTS_UAV空拍影像_苗栗縣後龍鎮(101年)</v>
      </c>
      <c r="Q168" s="29" t="s">
        <v>822</v>
      </c>
      <c r="R168" s="29" t="str">
        <f t="shared" si="5"/>
        <v>2dms_wmts_v1_UAV101K02</v>
      </c>
      <c r="S168" s="39" t="s">
        <v>155</v>
      </c>
      <c r="U168" s="27" t="str">
        <f>_xlfn.XLOOKUP(表格1[[#This Row],[服務類別(英)]],參考2_服務標準對照!$B:$B,參考2_服務標準對照!$C:$C,"")&amp;""</f>
        <v>OGC</v>
      </c>
      <c r="V168" s="29" t="s">
        <v>7</v>
      </c>
      <c r="W168" s="29" t="s">
        <v>163</v>
      </c>
      <c r="X168" s="29" t="s">
        <v>81</v>
      </c>
      <c r="Y168" s="36" t="s">
        <v>83</v>
      </c>
      <c r="Z168" s="36" t="s">
        <v>157</v>
      </c>
      <c r="AA168" s="36" t="s">
        <v>186</v>
      </c>
      <c r="AB168" s="36"/>
      <c r="AC168" s="36"/>
      <c r="AD168" s="29" t="s">
        <v>119</v>
      </c>
      <c r="AE168" s="36" t="str">
        <f>_xlfn.XLOOKUP(表格1[[#This Row],[唯一識別碼]],API清冊0707!B:B,API清冊0707!T:T,"")&amp;""</f>
        <v>無下拉選單</v>
      </c>
    </row>
    <row r="169" spans="1:31" ht="204.75" customHeight="1" x14ac:dyDescent="0.4">
      <c r="A169" s="29" t="s">
        <v>823</v>
      </c>
      <c r="B169" s="29"/>
      <c r="C169" s="29"/>
      <c r="D169" s="29" t="s">
        <v>824</v>
      </c>
      <c r="E169" s="29" t="s">
        <v>825</v>
      </c>
      <c r="F169" s="29" t="s">
        <v>826</v>
      </c>
      <c r="G169" s="35"/>
      <c r="H169" s="35" t="s">
        <v>151</v>
      </c>
      <c r="I169" s="29" t="s">
        <v>823</v>
      </c>
      <c r="J169" s="37"/>
      <c r="K169" s="38"/>
      <c r="L169" s="38"/>
      <c r="M169" s="36" t="s">
        <v>60</v>
      </c>
      <c r="N169" s="15" t="s">
        <v>152</v>
      </c>
      <c r="O169" s="36" t="s">
        <v>162</v>
      </c>
      <c r="P169" s="36" t="str">
        <f t="shared" si="4"/>
        <v>WMTS_UAV空拍影像_苗栗縣卓蘭鎮(101年)</v>
      </c>
      <c r="Q169" s="29" t="s">
        <v>826</v>
      </c>
      <c r="R169" s="29" t="str">
        <f t="shared" si="5"/>
        <v>2dms_wmts_v1_UAV101K01</v>
      </c>
      <c r="S169" s="39" t="s">
        <v>155</v>
      </c>
      <c r="U169" s="27" t="str">
        <f>_xlfn.XLOOKUP(表格1[[#This Row],[服務類別(英)]],參考2_服務標準對照!$B:$B,參考2_服務標準對照!$C:$C,"")&amp;""</f>
        <v>OGC</v>
      </c>
      <c r="V169" s="29" t="s">
        <v>7</v>
      </c>
      <c r="W169" s="29" t="s">
        <v>163</v>
      </c>
      <c r="X169" s="29" t="s">
        <v>81</v>
      </c>
      <c r="Y169" s="36" t="s">
        <v>83</v>
      </c>
      <c r="Z169" s="36" t="s">
        <v>157</v>
      </c>
      <c r="AA169" s="36" t="s">
        <v>186</v>
      </c>
      <c r="AB169" s="36"/>
      <c r="AC169" s="36"/>
      <c r="AD169" s="29" t="s">
        <v>119</v>
      </c>
      <c r="AE169" s="36" t="str">
        <f>_xlfn.XLOOKUP(表格1[[#This Row],[唯一識別碼]],API清冊0707!B:B,API清冊0707!T:T,"")&amp;""</f>
        <v>無下拉選單</v>
      </c>
    </row>
    <row r="170" spans="1:31" ht="204.75" customHeight="1" x14ac:dyDescent="0.4">
      <c r="A170" s="29" t="s">
        <v>827</v>
      </c>
      <c r="B170" s="29"/>
      <c r="C170" s="29"/>
      <c r="D170" s="29" t="s">
        <v>828</v>
      </c>
      <c r="E170" s="29" t="s">
        <v>829</v>
      </c>
      <c r="F170" s="29" t="s">
        <v>830</v>
      </c>
      <c r="G170" s="35"/>
      <c r="H170" s="35" t="s">
        <v>151</v>
      </c>
      <c r="I170" s="29" t="s">
        <v>827</v>
      </c>
      <c r="J170" s="37"/>
      <c r="K170" s="38"/>
      <c r="L170" s="38"/>
      <c r="M170" s="36" t="s">
        <v>60</v>
      </c>
      <c r="N170" s="15" t="s">
        <v>152</v>
      </c>
      <c r="O170" s="36" t="s">
        <v>162</v>
      </c>
      <c r="P170" s="36" t="str">
        <f t="shared" si="4"/>
        <v>WMTS_UAV空拍影像_臺南市關廟區(101年)</v>
      </c>
      <c r="Q170" s="29" t="s">
        <v>830</v>
      </c>
      <c r="R170" s="29" t="str">
        <f t="shared" si="5"/>
        <v>2dms_wmts_v1_UAV101D02</v>
      </c>
      <c r="S170" s="39" t="s">
        <v>155</v>
      </c>
      <c r="U170" s="27" t="str">
        <f>_xlfn.XLOOKUP(表格1[[#This Row],[服務類別(英)]],參考2_服務標準對照!$B:$B,參考2_服務標準對照!$C:$C,"")&amp;""</f>
        <v>OGC</v>
      </c>
      <c r="V170" s="29" t="s">
        <v>7</v>
      </c>
      <c r="W170" s="29" t="s">
        <v>163</v>
      </c>
      <c r="X170" s="29" t="s">
        <v>81</v>
      </c>
      <c r="Y170" s="36" t="s">
        <v>83</v>
      </c>
      <c r="Z170" s="36" t="s">
        <v>157</v>
      </c>
      <c r="AA170" s="36" t="s">
        <v>173</v>
      </c>
      <c r="AB170" s="36"/>
      <c r="AC170" s="36"/>
      <c r="AD170" s="29" t="s">
        <v>119</v>
      </c>
      <c r="AE170" s="36" t="str">
        <f>_xlfn.XLOOKUP(表格1[[#This Row],[唯一識別碼]],API清冊0707!B:B,API清冊0707!T:T,"")&amp;""</f>
        <v>無下拉選單</v>
      </c>
    </row>
    <row r="171" spans="1:31" ht="204.75" customHeight="1" x14ac:dyDescent="0.4">
      <c r="A171" s="29" t="s">
        <v>831</v>
      </c>
      <c r="B171" s="29"/>
      <c r="C171" s="29"/>
      <c r="D171" s="29" t="s">
        <v>832</v>
      </c>
      <c r="E171" s="29" t="s">
        <v>833</v>
      </c>
      <c r="F171" s="29" t="s">
        <v>834</v>
      </c>
      <c r="G171" s="35"/>
      <c r="H171" s="35" t="s">
        <v>151</v>
      </c>
      <c r="I171" s="29" t="s">
        <v>831</v>
      </c>
      <c r="J171" s="37"/>
      <c r="K171" s="38"/>
      <c r="L171" s="38"/>
      <c r="M171" s="36" t="s">
        <v>60</v>
      </c>
      <c r="N171" s="15" t="s">
        <v>152</v>
      </c>
      <c r="O171" s="36" t="s">
        <v>162</v>
      </c>
      <c r="P171" s="36" t="str">
        <f t="shared" si="4"/>
        <v>WMTS_UAV空拍影像_臺南市安南區(101年)</v>
      </c>
      <c r="Q171" s="29" t="s">
        <v>834</v>
      </c>
      <c r="R171" s="29" t="str">
        <f t="shared" si="5"/>
        <v>2dms_wmts_v1_UAV101D01</v>
      </c>
      <c r="S171" s="39" t="s">
        <v>155</v>
      </c>
      <c r="U171" s="27" t="str">
        <f>_xlfn.XLOOKUP(表格1[[#This Row],[服務類別(英)]],參考2_服務標準對照!$B:$B,參考2_服務標準對照!$C:$C,"")&amp;""</f>
        <v>OGC</v>
      </c>
      <c r="V171" s="29" t="s">
        <v>7</v>
      </c>
      <c r="W171" s="29" t="s">
        <v>163</v>
      </c>
      <c r="X171" s="29" t="s">
        <v>81</v>
      </c>
      <c r="Y171" s="36" t="s">
        <v>83</v>
      </c>
      <c r="Z171" s="36" t="s">
        <v>157</v>
      </c>
      <c r="AA171" s="36" t="s">
        <v>173</v>
      </c>
      <c r="AB171" s="36"/>
      <c r="AC171" s="36"/>
      <c r="AD171" s="29" t="s">
        <v>119</v>
      </c>
      <c r="AE171" s="36" t="str">
        <f>_xlfn.XLOOKUP(表格1[[#This Row],[唯一識別碼]],API清冊0707!B:B,API清冊0707!T:T,"")&amp;""</f>
        <v>無下拉選單</v>
      </c>
    </row>
    <row r="172" spans="1:31" ht="189" customHeight="1" x14ac:dyDescent="0.4">
      <c r="A172" s="29" t="s">
        <v>835</v>
      </c>
      <c r="B172" s="29"/>
      <c r="C172" s="29"/>
      <c r="D172" s="29" t="s">
        <v>836</v>
      </c>
      <c r="E172" s="29" t="s">
        <v>837</v>
      </c>
      <c r="F172" s="29" t="s">
        <v>838</v>
      </c>
      <c r="G172" s="35"/>
      <c r="H172" s="35" t="s">
        <v>151</v>
      </c>
      <c r="I172" s="29" t="s">
        <v>835</v>
      </c>
      <c r="J172" s="37"/>
      <c r="K172" s="38"/>
      <c r="L172" s="38"/>
      <c r="M172" s="36" t="s">
        <v>60</v>
      </c>
      <c r="N172" s="15" t="s">
        <v>152</v>
      </c>
      <c r="O172" s="36" t="s">
        <v>162</v>
      </c>
      <c r="P172" s="36" t="str">
        <f t="shared" si="4"/>
        <v>WMTS_鄉鎮市區界線</v>
      </c>
      <c r="Q172" s="29" t="s">
        <v>838</v>
      </c>
      <c r="R172" s="29" t="str">
        <f t="shared" si="5"/>
        <v>2dms_wmts_v1_TOWN</v>
      </c>
      <c r="S172" s="39" t="s">
        <v>155</v>
      </c>
      <c r="U172" s="27" t="str">
        <f>_xlfn.XLOOKUP(表格1[[#This Row],[服務類別(英)]],參考2_服務標準對照!$B:$B,參考2_服務標準對照!$C:$C,"")&amp;""</f>
        <v>OGC</v>
      </c>
      <c r="V172" s="29" t="s">
        <v>7</v>
      </c>
      <c r="W172" s="29" t="s">
        <v>163</v>
      </c>
      <c r="X172" s="29" t="s">
        <v>81</v>
      </c>
      <c r="Y172" s="36" t="s">
        <v>83</v>
      </c>
      <c r="Z172" s="36" t="s">
        <v>157</v>
      </c>
      <c r="AA172" s="36" t="s">
        <v>164</v>
      </c>
      <c r="AB172" s="36"/>
      <c r="AC172" s="36"/>
      <c r="AD172" s="29" t="s">
        <v>119</v>
      </c>
      <c r="AE172" s="36" t="str">
        <f>_xlfn.XLOOKUP(表格1[[#This Row],[唯一識別碼]],API清冊0707!B:B,API清冊0707!T:T,"")&amp;""</f>
        <v>無下拉選單</v>
      </c>
    </row>
    <row r="173" spans="1:31" ht="220.5" customHeight="1" x14ac:dyDescent="0.4">
      <c r="A173" s="29" t="s">
        <v>839</v>
      </c>
      <c r="B173" s="29"/>
      <c r="C173" s="29"/>
      <c r="D173" s="29" t="s">
        <v>840</v>
      </c>
      <c r="E173" s="29" t="s">
        <v>841</v>
      </c>
      <c r="F173" s="29" t="s">
        <v>842</v>
      </c>
      <c r="G173" s="35"/>
      <c r="H173" s="35" t="s">
        <v>151</v>
      </c>
      <c r="I173" s="29" t="s">
        <v>839</v>
      </c>
      <c r="J173" s="37"/>
      <c r="K173" s="38"/>
      <c r="L173" s="38"/>
      <c r="M173" s="36" t="s">
        <v>60</v>
      </c>
      <c r="N173" s="15" t="s">
        <v>152</v>
      </c>
      <c r="O173" s="36" t="s">
        <v>162</v>
      </c>
      <c r="P173" s="36" t="str">
        <f t="shared" si="4"/>
        <v>WMTS_1/1000地形圖_正射影像_澎湖縣湖西鄉都市計畫(113年)</v>
      </c>
      <c r="Q173" s="29" t="s">
        <v>842</v>
      </c>
      <c r="R173" s="29" t="str">
        <f t="shared" si="5"/>
        <v>2dms_wmts_v1_TOPON1KPHOTO_X08</v>
      </c>
      <c r="S173" s="39" t="s">
        <v>155</v>
      </c>
      <c r="U173" s="27" t="str">
        <f>_xlfn.XLOOKUP(表格1[[#This Row],[服務類別(英)]],參考2_服務標準對照!$B:$B,參考2_服務標準對照!$C:$C,"")&amp;""</f>
        <v>OGC</v>
      </c>
      <c r="V173" s="29" t="s">
        <v>7</v>
      </c>
      <c r="W173" s="29" t="s">
        <v>163</v>
      </c>
      <c r="X173" s="29" t="s">
        <v>81</v>
      </c>
      <c r="Y173" s="36" t="s">
        <v>83</v>
      </c>
      <c r="Z173" s="36" t="s">
        <v>157</v>
      </c>
      <c r="AA173" s="36" t="s">
        <v>186</v>
      </c>
      <c r="AB173" s="36"/>
      <c r="AC173" s="36"/>
      <c r="AD173" s="29" t="s">
        <v>119</v>
      </c>
      <c r="AE173" s="36" t="str">
        <f>_xlfn.XLOOKUP(表格1[[#This Row],[唯一識別碼]],API清冊0707!B:B,API清冊0707!T:T,"")&amp;""</f>
        <v>無下拉選單</v>
      </c>
    </row>
    <row r="174" spans="1:31" ht="220.5" customHeight="1" x14ac:dyDescent="0.4">
      <c r="A174" s="29" t="s">
        <v>843</v>
      </c>
      <c r="B174" s="29"/>
      <c r="C174" s="29"/>
      <c r="D174" s="29" t="s">
        <v>844</v>
      </c>
      <c r="E174" s="29" t="s">
        <v>845</v>
      </c>
      <c r="F174" s="29" t="s">
        <v>846</v>
      </c>
      <c r="G174" s="35"/>
      <c r="H174" s="35" t="s">
        <v>151</v>
      </c>
      <c r="I174" s="29" t="s">
        <v>843</v>
      </c>
      <c r="J174" s="37"/>
      <c r="K174" s="38"/>
      <c r="L174" s="38"/>
      <c r="M174" s="36" t="s">
        <v>60</v>
      </c>
      <c r="N174" s="15" t="s">
        <v>152</v>
      </c>
      <c r="O174" s="36" t="s">
        <v>162</v>
      </c>
      <c r="P174" s="36" t="str">
        <f t="shared" si="4"/>
        <v>WMTS_1/1000地形圖_正射影像_澎湖縣馬公市都市計畫(113年)</v>
      </c>
      <c r="Q174" s="29" t="s">
        <v>846</v>
      </c>
      <c r="R174" s="29" t="str">
        <f t="shared" si="5"/>
        <v>2dms_wmts_v1_TOPON1KPHOTO_X07</v>
      </c>
      <c r="S174" s="39" t="s">
        <v>155</v>
      </c>
      <c r="U174" s="27" t="str">
        <f>_xlfn.XLOOKUP(表格1[[#This Row],[服務類別(英)]],參考2_服務標準對照!$B:$B,參考2_服務標準對照!$C:$C,"")&amp;""</f>
        <v>OGC</v>
      </c>
      <c r="V174" s="29" t="s">
        <v>7</v>
      </c>
      <c r="W174" s="29" t="s">
        <v>163</v>
      </c>
      <c r="X174" s="29" t="s">
        <v>81</v>
      </c>
      <c r="Y174" s="36" t="s">
        <v>83</v>
      </c>
      <c r="Z174" s="36" t="s">
        <v>157</v>
      </c>
      <c r="AA174" s="36" t="s">
        <v>186</v>
      </c>
      <c r="AB174" s="36"/>
      <c r="AC174" s="36"/>
      <c r="AD174" s="29" t="s">
        <v>119</v>
      </c>
      <c r="AE174" s="36" t="str">
        <f>_xlfn.XLOOKUP(表格1[[#This Row],[唯一識別碼]],API清冊0707!B:B,API清冊0707!T:T,"")&amp;""</f>
        <v>無下拉選單</v>
      </c>
    </row>
    <row r="175" spans="1:31" ht="220.5" customHeight="1" x14ac:dyDescent="0.4">
      <c r="A175" s="29" t="s">
        <v>847</v>
      </c>
      <c r="B175" s="29"/>
      <c r="C175" s="29"/>
      <c r="D175" s="29" t="s">
        <v>848</v>
      </c>
      <c r="E175" s="29" t="s">
        <v>849</v>
      </c>
      <c r="F175" s="29" t="s">
        <v>850</v>
      </c>
      <c r="G175" s="35"/>
      <c r="H175" s="35" t="s">
        <v>151</v>
      </c>
      <c r="I175" s="29" t="s">
        <v>847</v>
      </c>
      <c r="J175" s="37"/>
      <c r="K175" s="38"/>
      <c r="L175" s="38"/>
      <c r="M175" s="36" t="s">
        <v>60</v>
      </c>
      <c r="N175" s="15" t="s">
        <v>152</v>
      </c>
      <c r="O175" s="36" t="s">
        <v>162</v>
      </c>
      <c r="P175" s="36" t="str">
        <f t="shared" si="4"/>
        <v>WMTS_1/1000地形圖_正射影像_澎湖縣二崁傳統聚落特定區計畫(112年)</v>
      </c>
      <c r="Q175" s="29" t="s">
        <v>850</v>
      </c>
      <c r="R175" s="29" t="str">
        <f t="shared" si="5"/>
        <v>2dms_wmts_v1_TOPON1KPHOTO_X06</v>
      </c>
      <c r="S175" s="39" t="s">
        <v>155</v>
      </c>
      <c r="U175" s="27" t="str">
        <f>_xlfn.XLOOKUP(表格1[[#This Row],[服務類別(英)]],參考2_服務標準對照!$B:$B,參考2_服務標準對照!$C:$C,"")&amp;""</f>
        <v>OGC</v>
      </c>
      <c r="V175" s="29" t="s">
        <v>7</v>
      </c>
      <c r="W175" s="29" t="s">
        <v>163</v>
      </c>
      <c r="X175" s="29" t="s">
        <v>81</v>
      </c>
      <c r="Y175" s="36" t="s">
        <v>83</v>
      </c>
      <c r="Z175" s="36" t="s">
        <v>157</v>
      </c>
      <c r="AA175" s="36" t="s">
        <v>186</v>
      </c>
      <c r="AB175" s="36"/>
      <c r="AC175" s="36"/>
      <c r="AD175" s="29" t="s">
        <v>119</v>
      </c>
      <c r="AE175" s="36" t="str">
        <f>_xlfn.XLOOKUP(表格1[[#This Row],[唯一識別碼]],API清冊0707!B:B,API清冊0707!T:T,"")&amp;""</f>
        <v>無下拉選單</v>
      </c>
    </row>
    <row r="176" spans="1:31" ht="220.5" customHeight="1" x14ac:dyDescent="0.4">
      <c r="A176" s="29" t="s">
        <v>851</v>
      </c>
      <c r="B176" s="29"/>
      <c r="C176" s="29"/>
      <c r="D176" s="29" t="s">
        <v>852</v>
      </c>
      <c r="E176" s="29" t="s">
        <v>853</v>
      </c>
      <c r="F176" s="29" t="s">
        <v>854</v>
      </c>
      <c r="G176" s="35"/>
      <c r="H176" s="35" t="s">
        <v>151</v>
      </c>
      <c r="I176" s="29" t="s">
        <v>851</v>
      </c>
      <c r="J176" s="37"/>
      <c r="K176" s="38"/>
      <c r="L176" s="38"/>
      <c r="M176" s="36" t="s">
        <v>60</v>
      </c>
      <c r="N176" s="15" t="s">
        <v>152</v>
      </c>
      <c r="O176" s="36" t="s">
        <v>162</v>
      </c>
      <c r="P176" s="36" t="str">
        <f t="shared" si="4"/>
        <v>WMTS_1/1000地形圖_正射影像_澎湖縣林投風景特定區計畫(112年)</v>
      </c>
      <c r="Q176" s="29" t="s">
        <v>854</v>
      </c>
      <c r="R176" s="29" t="str">
        <f t="shared" si="5"/>
        <v>2dms_wmts_v1_TOPON1KPHOTO_X05</v>
      </c>
      <c r="S176" s="39" t="s">
        <v>155</v>
      </c>
      <c r="U176" s="27" t="str">
        <f>_xlfn.XLOOKUP(表格1[[#This Row],[服務類別(英)]],參考2_服務標準對照!$B:$B,參考2_服務標準對照!$C:$C,"")&amp;""</f>
        <v>OGC</v>
      </c>
      <c r="V176" s="29" t="s">
        <v>7</v>
      </c>
      <c r="W176" s="29" t="s">
        <v>163</v>
      </c>
      <c r="X176" s="29" t="s">
        <v>81</v>
      </c>
      <c r="Y176" s="36" t="s">
        <v>83</v>
      </c>
      <c r="Z176" s="36" t="s">
        <v>157</v>
      </c>
      <c r="AA176" s="36" t="s">
        <v>186</v>
      </c>
      <c r="AB176" s="36"/>
      <c r="AC176" s="36"/>
      <c r="AD176" s="29" t="s">
        <v>119</v>
      </c>
      <c r="AE176" s="36" t="str">
        <f>_xlfn.XLOOKUP(表格1[[#This Row],[唯一識別碼]],API清冊0707!B:B,API清冊0707!T:T,"")&amp;""</f>
        <v>無下拉選單</v>
      </c>
    </row>
    <row r="177" spans="1:31" ht="220.5" customHeight="1" x14ac:dyDescent="0.4">
      <c r="A177" s="29" t="s">
        <v>855</v>
      </c>
      <c r="B177" s="29"/>
      <c r="C177" s="29"/>
      <c r="D177" s="29" t="s">
        <v>856</v>
      </c>
      <c r="E177" s="29" t="s">
        <v>857</v>
      </c>
      <c r="F177" s="29" t="s">
        <v>858</v>
      </c>
      <c r="G177" s="35"/>
      <c r="H177" s="35" t="s">
        <v>151</v>
      </c>
      <c r="I177" s="29" t="s">
        <v>855</v>
      </c>
      <c r="J177" s="37"/>
      <c r="K177" s="38"/>
      <c r="L177" s="38"/>
      <c r="M177" s="36" t="s">
        <v>60</v>
      </c>
      <c r="N177" s="15" t="s">
        <v>152</v>
      </c>
      <c r="O177" s="36" t="s">
        <v>162</v>
      </c>
      <c r="P177" s="36" t="str">
        <f t="shared" si="4"/>
        <v>WMTS_1/1000地形圖_正射影像_澎湖縣西嶼西台古蹟特定區計畫(112年)</v>
      </c>
      <c r="Q177" s="29" t="s">
        <v>858</v>
      </c>
      <c r="R177" s="29" t="str">
        <f t="shared" si="5"/>
        <v>2dms_wmts_v1_TOPON1KPHOTO_X04</v>
      </c>
      <c r="S177" s="39" t="s">
        <v>155</v>
      </c>
      <c r="U177" s="27" t="str">
        <f>_xlfn.XLOOKUP(表格1[[#This Row],[服務類別(英)]],參考2_服務標準對照!$B:$B,參考2_服務標準對照!$C:$C,"")&amp;""</f>
        <v>OGC</v>
      </c>
      <c r="V177" s="29" t="s">
        <v>7</v>
      </c>
      <c r="W177" s="29" t="s">
        <v>163</v>
      </c>
      <c r="X177" s="29" t="s">
        <v>81</v>
      </c>
      <c r="Y177" s="36" t="s">
        <v>83</v>
      </c>
      <c r="Z177" s="36" t="s">
        <v>157</v>
      </c>
      <c r="AA177" s="36" t="s">
        <v>186</v>
      </c>
      <c r="AB177" s="36"/>
      <c r="AC177" s="36"/>
      <c r="AD177" s="29" t="s">
        <v>119</v>
      </c>
      <c r="AE177" s="36" t="str">
        <f>_xlfn.XLOOKUP(表格1[[#This Row],[唯一識別碼]],API清冊0707!B:B,API清冊0707!T:T,"")&amp;""</f>
        <v>無下拉選單</v>
      </c>
    </row>
    <row r="178" spans="1:31" ht="220.5" customHeight="1" x14ac:dyDescent="0.4">
      <c r="A178" s="29" t="s">
        <v>859</v>
      </c>
      <c r="B178" s="29"/>
      <c r="C178" s="29"/>
      <c r="D178" s="29" t="s">
        <v>860</v>
      </c>
      <c r="E178" s="29" t="s">
        <v>861</v>
      </c>
      <c r="F178" s="29" t="s">
        <v>862</v>
      </c>
      <c r="G178" s="35"/>
      <c r="H178" s="35" t="s">
        <v>151</v>
      </c>
      <c r="I178" s="29" t="s">
        <v>859</v>
      </c>
      <c r="J178" s="37"/>
      <c r="K178" s="38"/>
      <c r="L178" s="38"/>
      <c r="M178" s="36" t="s">
        <v>60</v>
      </c>
      <c r="N178" s="15" t="s">
        <v>152</v>
      </c>
      <c r="O178" s="36" t="s">
        <v>162</v>
      </c>
      <c r="P178" s="36" t="str">
        <f t="shared" si="4"/>
        <v>WMTS_1/1000地形圖_正射影像_澎湖縣鎖港地區都市計畫(112年)</v>
      </c>
      <c r="Q178" s="29" t="s">
        <v>862</v>
      </c>
      <c r="R178" s="29" t="str">
        <f t="shared" si="5"/>
        <v>2dms_wmts_v1_TOPON1KPHOTO_X03</v>
      </c>
      <c r="S178" s="39" t="s">
        <v>155</v>
      </c>
      <c r="U178" s="27" t="str">
        <f>_xlfn.XLOOKUP(表格1[[#This Row],[服務類別(英)]],參考2_服務標準對照!$B:$B,參考2_服務標準對照!$C:$C,"")&amp;""</f>
        <v>OGC</v>
      </c>
      <c r="V178" s="29" t="s">
        <v>7</v>
      </c>
      <c r="W178" s="29" t="s">
        <v>163</v>
      </c>
      <c r="X178" s="29" t="s">
        <v>81</v>
      </c>
      <c r="Y178" s="36" t="s">
        <v>83</v>
      </c>
      <c r="Z178" s="36" t="s">
        <v>157</v>
      </c>
      <c r="AA178" s="36" t="s">
        <v>186</v>
      </c>
      <c r="AB178" s="36"/>
      <c r="AC178" s="36"/>
      <c r="AD178" s="29" t="s">
        <v>119</v>
      </c>
      <c r="AE178" s="36" t="str">
        <f>_xlfn.XLOOKUP(表格1[[#This Row],[唯一識別碼]],API清冊0707!B:B,API清冊0707!T:T,"")&amp;""</f>
        <v>無下拉選單</v>
      </c>
    </row>
    <row r="179" spans="1:31" ht="220.5" customHeight="1" x14ac:dyDescent="0.4">
      <c r="A179" s="29" t="s">
        <v>863</v>
      </c>
      <c r="B179" s="29"/>
      <c r="C179" s="29"/>
      <c r="D179" s="29" t="s">
        <v>864</v>
      </c>
      <c r="E179" s="29" t="s">
        <v>865</v>
      </c>
      <c r="F179" s="29" t="s">
        <v>866</v>
      </c>
      <c r="G179" s="35"/>
      <c r="H179" s="35" t="s">
        <v>151</v>
      </c>
      <c r="I179" s="29" t="s">
        <v>863</v>
      </c>
      <c r="J179" s="37"/>
      <c r="K179" s="38"/>
      <c r="L179" s="38"/>
      <c r="M179" s="36" t="s">
        <v>60</v>
      </c>
      <c r="N179" s="15" t="s">
        <v>152</v>
      </c>
      <c r="O179" s="36" t="s">
        <v>162</v>
      </c>
      <c r="P179" s="36" t="str">
        <f t="shared" si="4"/>
        <v>WMTS_1/1000地形圖_正射影像_澎湖縣白沙通梁地區都市計畫(112年)</v>
      </c>
      <c r="Q179" s="29" t="s">
        <v>866</v>
      </c>
      <c r="R179" s="29" t="str">
        <f t="shared" si="5"/>
        <v>2dms_wmts_v1_TOPON1KPHOTO_X02</v>
      </c>
      <c r="S179" s="39" t="s">
        <v>155</v>
      </c>
      <c r="U179" s="27" t="str">
        <f>_xlfn.XLOOKUP(表格1[[#This Row],[服務類別(英)]],參考2_服務標準對照!$B:$B,參考2_服務標準對照!$C:$C,"")&amp;""</f>
        <v>OGC</v>
      </c>
      <c r="V179" s="29" t="s">
        <v>7</v>
      </c>
      <c r="W179" s="29" t="s">
        <v>163</v>
      </c>
      <c r="X179" s="29" t="s">
        <v>81</v>
      </c>
      <c r="Y179" s="36" t="s">
        <v>83</v>
      </c>
      <c r="Z179" s="36" t="s">
        <v>157</v>
      </c>
      <c r="AA179" s="36" t="s">
        <v>186</v>
      </c>
      <c r="AB179" s="36"/>
      <c r="AC179" s="36"/>
      <c r="AD179" s="29" t="s">
        <v>119</v>
      </c>
      <c r="AE179" s="36" t="str">
        <f>_xlfn.XLOOKUP(表格1[[#This Row],[唯一識別碼]],API清冊0707!B:B,API清冊0707!T:T,"")&amp;""</f>
        <v>無下拉選單</v>
      </c>
    </row>
    <row r="180" spans="1:31" ht="220.5" customHeight="1" x14ac:dyDescent="0.4">
      <c r="A180" s="29" t="s">
        <v>867</v>
      </c>
      <c r="B180" s="29"/>
      <c r="C180" s="29"/>
      <c r="D180" s="29" t="s">
        <v>868</v>
      </c>
      <c r="E180" s="29" t="s">
        <v>869</v>
      </c>
      <c r="F180" s="29" t="s">
        <v>870</v>
      </c>
      <c r="G180" s="35"/>
      <c r="H180" s="35" t="s">
        <v>151</v>
      </c>
      <c r="I180" s="29" t="s">
        <v>867</v>
      </c>
      <c r="J180" s="37"/>
      <c r="K180" s="38"/>
      <c r="L180" s="38"/>
      <c r="M180" s="36" t="s">
        <v>60</v>
      </c>
      <c r="N180" s="15" t="s">
        <v>152</v>
      </c>
      <c r="O180" s="36" t="s">
        <v>162</v>
      </c>
      <c r="P180" s="36" t="str">
        <f t="shared" si="4"/>
        <v>WMTS_1/1000地形圖_正射影像_澎湖縣馬公都市計畫(112年)</v>
      </c>
      <c r="Q180" s="29" t="s">
        <v>870</v>
      </c>
      <c r="R180" s="29" t="str">
        <f t="shared" si="5"/>
        <v>2dms_wmts_v1_TOPON1KPHOTO_X01</v>
      </c>
      <c r="S180" s="39" t="s">
        <v>155</v>
      </c>
      <c r="U180" s="27" t="str">
        <f>_xlfn.XLOOKUP(表格1[[#This Row],[服務類別(英)]],參考2_服務標準對照!$B:$B,參考2_服務標準對照!$C:$C,"")&amp;""</f>
        <v>OGC</v>
      </c>
      <c r="V180" s="29" t="s">
        <v>7</v>
      </c>
      <c r="W180" s="29" t="s">
        <v>163</v>
      </c>
      <c r="X180" s="29" t="s">
        <v>81</v>
      </c>
      <c r="Y180" s="36" t="s">
        <v>83</v>
      </c>
      <c r="Z180" s="36" t="s">
        <v>157</v>
      </c>
      <c r="AA180" s="36" t="s">
        <v>186</v>
      </c>
      <c r="AB180" s="36"/>
      <c r="AC180" s="36"/>
      <c r="AD180" s="29" t="s">
        <v>119</v>
      </c>
      <c r="AE180" s="36" t="str">
        <f>_xlfn.XLOOKUP(表格1[[#This Row],[唯一識別碼]],API清冊0707!B:B,API清冊0707!T:T,"")&amp;""</f>
        <v>無下拉選單</v>
      </c>
    </row>
    <row r="181" spans="1:31" ht="220.5" customHeight="1" x14ac:dyDescent="0.4">
      <c r="A181" s="29" t="s">
        <v>871</v>
      </c>
      <c r="B181" s="29"/>
      <c r="C181" s="29"/>
      <c r="D181" s="29" t="s">
        <v>872</v>
      </c>
      <c r="E181" s="29" t="s">
        <v>873</v>
      </c>
      <c r="F181" s="29" t="s">
        <v>874</v>
      </c>
      <c r="G181" s="35"/>
      <c r="H181" s="35" t="s">
        <v>151</v>
      </c>
      <c r="I181" s="29" t="s">
        <v>871</v>
      </c>
      <c r="J181" s="37"/>
      <c r="K181" s="38"/>
      <c r="L181" s="38"/>
      <c r="M181" s="36" t="s">
        <v>60</v>
      </c>
      <c r="N181" s="15" t="s">
        <v>152</v>
      </c>
      <c r="O181" s="36" t="s">
        <v>162</v>
      </c>
      <c r="P181" s="36" t="str">
        <f t="shared" si="4"/>
        <v>WMTS_1/1000地形圖_正射影像_臺東縣臺東鐵路新站附近地區都市計畫(113年)</v>
      </c>
      <c r="Q181" s="29" t="s">
        <v>874</v>
      </c>
      <c r="R181" s="29" t="str">
        <f t="shared" si="5"/>
        <v>2dms_wmts_v1_TOPON1KPHOTO_V02</v>
      </c>
      <c r="S181" s="39" t="s">
        <v>155</v>
      </c>
      <c r="U181" s="27" t="str">
        <f>_xlfn.XLOOKUP(表格1[[#This Row],[服務類別(英)]],參考2_服務標準對照!$B:$B,參考2_服務標準對照!$C:$C,"")&amp;""</f>
        <v>OGC</v>
      </c>
      <c r="V181" s="29" t="s">
        <v>7</v>
      </c>
      <c r="W181" s="29" t="s">
        <v>163</v>
      </c>
      <c r="X181" s="29" t="s">
        <v>81</v>
      </c>
      <c r="Y181" s="36" t="s">
        <v>83</v>
      </c>
      <c r="Z181" s="36" t="s">
        <v>157</v>
      </c>
      <c r="AA181" s="36" t="s">
        <v>186</v>
      </c>
      <c r="AB181" s="36"/>
      <c r="AC181" s="36"/>
      <c r="AD181" s="29" t="s">
        <v>119</v>
      </c>
      <c r="AE181" s="36" t="str">
        <f>_xlfn.XLOOKUP(表格1[[#This Row],[唯一識別碼]],API清冊0707!B:B,API清冊0707!T:T,"")&amp;""</f>
        <v>無下拉選單</v>
      </c>
    </row>
    <row r="182" spans="1:31" ht="220.5" customHeight="1" x14ac:dyDescent="0.4">
      <c r="A182" s="29" t="s">
        <v>875</v>
      </c>
      <c r="B182" s="29"/>
      <c r="C182" s="29"/>
      <c r="D182" s="29" t="s">
        <v>876</v>
      </c>
      <c r="E182" s="29" t="s">
        <v>877</v>
      </c>
      <c r="F182" s="29" t="s">
        <v>878</v>
      </c>
      <c r="G182" s="35"/>
      <c r="H182" s="35" t="s">
        <v>151</v>
      </c>
      <c r="I182" s="29" t="s">
        <v>875</v>
      </c>
      <c r="J182" s="37"/>
      <c r="K182" s="38"/>
      <c r="L182" s="38"/>
      <c r="M182" s="36" t="s">
        <v>60</v>
      </c>
      <c r="N182" s="15" t="s">
        <v>152</v>
      </c>
      <c r="O182" s="36" t="s">
        <v>162</v>
      </c>
      <c r="P182" s="36" t="str">
        <f t="shared" si="4"/>
        <v>WMTS_1/1000地形圖_正射影像_臺東縣臺東市都市計畫(112年)</v>
      </c>
      <c r="Q182" s="29" t="s">
        <v>878</v>
      </c>
      <c r="R182" s="29" t="str">
        <f t="shared" si="5"/>
        <v>2dms_wmts_v1_TOPON1KPHOTO_V01</v>
      </c>
      <c r="S182" s="39" t="s">
        <v>155</v>
      </c>
      <c r="U182" s="27" t="str">
        <f>_xlfn.XLOOKUP(表格1[[#This Row],[服務類別(英)]],參考2_服務標準對照!$B:$B,參考2_服務標準對照!$C:$C,"")&amp;""</f>
        <v>OGC</v>
      </c>
      <c r="V182" s="29" t="s">
        <v>7</v>
      </c>
      <c r="W182" s="29" t="s">
        <v>163</v>
      </c>
      <c r="X182" s="29" t="s">
        <v>81</v>
      </c>
      <c r="Y182" s="36" t="s">
        <v>83</v>
      </c>
      <c r="Z182" s="36" t="s">
        <v>157</v>
      </c>
      <c r="AA182" s="36" t="s">
        <v>186</v>
      </c>
      <c r="AB182" s="36"/>
      <c r="AC182" s="36"/>
      <c r="AD182" s="29" t="s">
        <v>119</v>
      </c>
      <c r="AE182" s="36" t="str">
        <f>_xlfn.XLOOKUP(表格1[[#This Row],[唯一識別碼]],API清冊0707!B:B,API清冊0707!T:T,"")&amp;""</f>
        <v>無下拉選單</v>
      </c>
    </row>
    <row r="183" spans="1:31" ht="220.5" customHeight="1" x14ac:dyDescent="0.4">
      <c r="A183" s="29" t="s">
        <v>879</v>
      </c>
      <c r="B183" s="29"/>
      <c r="C183" s="29"/>
      <c r="D183" s="29" t="s">
        <v>880</v>
      </c>
      <c r="E183" s="29" t="s">
        <v>881</v>
      </c>
      <c r="F183" s="29" t="s">
        <v>882</v>
      </c>
      <c r="G183" s="35"/>
      <c r="H183" s="35" t="s">
        <v>151</v>
      </c>
      <c r="I183" s="29" t="s">
        <v>879</v>
      </c>
      <c r="J183" s="37"/>
      <c r="K183" s="38"/>
      <c r="L183" s="38"/>
      <c r="M183" s="36" t="s">
        <v>60</v>
      </c>
      <c r="N183" s="15" t="s">
        <v>152</v>
      </c>
      <c r="O183" s="36" t="s">
        <v>162</v>
      </c>
      <c r="P183" s="36" t="str">
        <f t="shared" ref="P183:P246" si="6">IF(LEN(TRIM(F183))&gt;0,F183,E183)</f>
        <v>WMTS_1/1000地形圖_正射影像_花蓮縣光復鄉都市計畫(113年)</v>
      </c>
      <c r="Q183" s="29" t="s">
        <v>882</v>
      </c>
      <c r="R183" s="29" t="str">
        <f t="shared" ref="R183:R246" si="7">D183</f>
        <v>2dms_wmts_v1_TOPON1KPHOTO_U20</v>
      </c>
      <c r="S183" s="39" t="s">
        <v>155</v>
      </c>
      <c r="U183" s="27" t="str">
        <f>_xlfn.XLOOKUP(表格1[[#This Row],[服務類別(英)]],參考2_服務標準對照!$B:$B,參考2_服務標準對照!$C:$C,"")&amp;""</f>
        <v>OGC</v>
      </c>
      <c r="V183" s="29" t="s">
        <v>7</v>
      </c>
      <c r="W183" s="29" t="s">
        <v>163</v>
      </c>
      <c r="X183" s="29" t="s">
        <v>81</v>
      </c>
      <c r="Y183" s="36" t="s">
        <v>83</v>
      </c>
      <c r="Z183" s="36" t="s">
        <v>157</v>
      </c>
      <c r="AA183" s="36" t="s">
        <v>186</v>
      </c>
      <c r="AB183" s="36"/>
      <c r="AC183" s="36"/>
      <c r="AD183" s="29" t="s">
        <v>119</v>
      </c>
      <c r="AE183" s="36" t="str">
        <f>_xlfn.XLOOKUP(表格1[[#This Row],[唯一識別碼]],API清冊0707!B:B,API清冊0707!T:T,"")&amp;""</f>
        <v>無下拉選單</v>
      </c>
    </row>
    <row r="184" spans="1:31" ht="220.5" customHeight="1" x14ac:dyDescent="0.4">
      <c r="A184" s="29" t="s">
        <v>883</v>
      </c>
      <c r="B184" s="29"/>
      <c r="C184" s="29"/>
      <c r="D184" s="29" t="s">
        <v>884</v>
      </c>
      <c r="E184" s="29" t="s">
        <v>885</v>
      </c>
      <c r="F184" s="29" t="s">
        <v>886</v>
      </c>
      <c r="G184" s="35"/>
      <c r="H184" s="35" t="s">
        <v>151</v>
      </c>
      <c r="I184" s="29" t="s">
        <v>883</v>
      </c>
      <c r="J184" s="37"/>
      <c r="K184" s="38"/>
      <c r="L184" s="38"/>
      <c r="M184" s="36" t="s">
        <v>60</v>
      </c>
      <c r="N184" s="15" t="s">
        <v>152</v>
      </c>
      <c r="O184" s="36" t="s">
        <v>162</v>
      </c>
      <c r="P184" s="36" t="str">
        <f t="shared" si="6"/>
        <v>WMTS_1/1000地形圖_正射影像_屏東縣鹽埔漁港特定區計畫(113年)</v>
      </c>
      <c r="Q184" s="29" t="s">
        <v>886</v>
      </c>
      <c r="R184" s="29" t="str">
        <f t="shared" si="7"/>
        <v>2dms_wmts_v1_TOPON1KPHOTO_T30</v>
      </c>
      <c r="S184" s="39" t="s">
        <v>155</v>
      </c>
      <c r="U184" s="27" t="str">
        <f>_xlfn.XLOOKUP(表格1[[#This Row],[服務類別(英)]],參考2_服務標準對照!$B:$B,參考2_服務標準對照!$C:$C,"")&amp;""</f>
        <v>OGC</v>
      </c>
      <c r="V184" s="29" t="s">
        <v>7</v>
      </c>
      <c r="W184" s="29" t="s">
        <v>163</v>
      </c>
      <c r="X184" s="29" t="s">
        <v>81</v>
      </c>
      <c r="Y184" s="36" t="s">
        <v>83</v>
      </c>
      <c r="Z184" s="36" t="s">
        <v>157</v>
      </c>
      <c r="AA184" s="36" t="s">
        <v>186</v>
      </c>
      <c r="AB184" s="36"/>
      <c r="AC184" s="36"/>
      <c r="AD184" s="29" t="s">
        <v>119</v>
      </c>
      <c r="AE184" s="36" t="str">
        <f>_xlfn.XLOOKUP(表格1[[#This Row],[唯一識別碼]],API清冊0707!B:B,API清冊0707!T:T,"")&amp;""</f>
        <v>無下拉選單</v>
      </c>
    </row>
    <row r="185" spans="1:31" ht="220.5" customHeight="1" x14ac:dyDescent="0.4">
      <c r="A185" s="29" t="s">
        <v>887</v>
      </c>
      <c r="B185" s="29"/>
      <c r="C185" s="29"/>
      <c r="D185" s="29" t="s">
        <v>888</v>
      </c>
      <c r="E185" s="29" t="s">
        <v>889</v>
      </c>
      <c r="F185" s="29" t="s">
        <v>890</v>
      </c>
      <c r="G185" s="35"/>
      <c r="H185" s="35" t="s">
        <v>151</v>
      </c>
      <c r="I185" s="29" t="s">
        <v>887</v>
      </c>
      <c r="J185" s="37"/>
      <c r="K185" s="38"/>
      <c r="L185" s="38"/>
      <c r="M185" s="36" t="s">
        <v>60</v>
      </c>
      <c r="N185" s="15" t="s">
        <v>152</v>
      </c>
      <c r="O185" s="36" t="s">
        <v>162</v>
      </c>
      <c r="P185" s="36" t="str">
        <f t="shared" si="6"/>
        <v>WMTS_1/1000地形圖_正射影像_屏東縣新園(烏龍地區)都市計畫(113年)</v>
      </c>
      <c r="Q185" s="29" t="s">
        <v>890</v>
      </c>
      <c r="R185" s="29" t="str">
        <f t="shared" si="7"/>
        <v>2dms_wmts_v1_TOPON1KPHOTO_T20</v>
      </c>
      <c r="S185" s="39" t="s">
        <v>155</v>
      </c>
      <c r="U185" s="27" t="str">
        <f>_xlfn.XLOOKUP(表格1[[#This Row],[服務類別(英)]],參考2_服務標準對照!$B:$B,參考2_服務標準對照!$C:$C,"")&amp;""</f>
        <v>OGC</v>
      </c>
      <c r="V185" s="29" t="s">
        <v>7</v>
      </c>
      <c r="W185" s="29" t="s">
        <v>163</v>
      </c>
      <c r="X185" s="29" t="s">
        <v>81</v>
      </c>
      <c r="Y185" s="36" t="s">
        <v>83</v>
      </c>
      <c r="Z185" s="36" t="s">
        <v>157</v>
      </c>
      <c r="AA185" s="36" t="s">
        <v>186</v>
      </c>
      <c r="AB185" s="36"/>
      <c r="AC185" s="36"/>
      <c r="AD185" s="29" t="s">
        <v>119</v>
      </c>
      <c r="AE185" s="36" t="str">
        <f>_xlfn.XLOOKUP(表格1[[#This Row],[唯一識別碼]],API清冊0707!B:B,API清冊0707!T:T,"")&amp;""</f>
        <v>無下拉選單</v>
      </c>
    </row>
    <row r="186" spans="1:31" ht="220.5" customHeight="1" x14ac:dyDescent="0.4">
      <c r="A186" s="29" t="s">
        <v>891</v>
      </c>
      <c r="B186" s="29"/>
      <c r="C186" s="29"/>
      <c r="D186" s="29" t="s">
        <v>892</v>
      </c>
      <c r="E186" s="29" t="s">
        <v>893</v>
      </c>
      <c r="F186" s="29" t="s">
        <v>894</v>
      </c>
      <c r="G186" s="35"/>
      <c r="H186" s="35" t="s">
        <v>151</v>
      </c>
      <c r="I186" s="29" t="s">
        <v>891</v>
      </c>
      <c r="J186" s="37"/>
      <c r="K186" s="38"/>
      <c r="L186" s="38"/>
      <c r="M186" s="36" t="s">
        <v>60</v>
      </c>
      <c r="N186" s="15" t="s">
        <v>152</v>
      </c>
      <c r="O186" s="36" t="s">
        <v>162</v>
      </c>
      <c r="P186" s="36" t="str">
        <f t="shared" si="6"/>
        <v>WMTS_1/1000地形圖_正射影像_屏東縣里港都市計畫(113年)</v>
      </c>
      <c r="Q186" s="29" t="s">
        <v>894</v>
      </c>
      <c r="R186" s="29" t="str">
        <f t="shared" si="7"/>
        <v>2dms_wmts_v1_TOPON1KPHOTO_T08</v>
      </c>
      <c r="S186" s="39" t="s">
        <v>155</v>
      </c>
      <c r="U186" s="27" t="str">
        <f>_xlfn.XLOOKUP(表格1[[#This Row],[服務類別(英)]],參考2_服務標準對照!$B:$B,參考2_服務標準對照!$C:$C,"")&amp;""</f>
        <v>OGC</v>
      </c>
      <c r="V186" s="29" t="s">
        <v>7</v>
      </c>
      <c r="W186" s="29" t="s">
        <v>163</v>
      </c>
      <c r="X186" s="29" t="s">
        <v>81</v>
      </c>
      <c r="Y186" s="36" t="s">
        <v>83</v>
      </c>
      <c r="Z186" s="36" t="s">
        <v>157</v>
      </c>
      <c r="AA186" s="36" t="s">
        <v>186</v>
      </c>
      <c r="AB186" s="36"/>
      <c r="AC186" s="36"/>
      <c r="AD186" s="29" t="s">
        <v>119</v>
      </c>
      <c r="AE186" s="36" t="str">
        <f>_xlfn.XLOOKUP(表格1[[#This Row],[唯一識別碼]],API清冊0707!B:B,API清冊0707!T:T,"")&amp;""</f>
        <v>無下拉選單</v>
      </c>
    </row>
    <row r="187" spans="1:31" ht="220.5" customHeight="1" x14ac:dyDescent="0.4">
      <c r="A187" s="29" t="s">
        <v>895</v>
      </c>
      <c r="B187" s="29"/>
      <c r="C187" s="29"/>
      <c r="D187" s="29" t="s">
        <v>896</v>
      </c>
      <c r="E187" s="29" t="s">
        <v>897</v>
      </c>
      <c r="F187" s="29" t="s">
        <v>898</v>
      </c>
      <c r="G187" s="35"/>
      <c r="H187" s="35" t="s">
        <v>151</v>
      </c>
      <c r="I187" s="29" t="s">
        <v>895</v>
      </c>
      <c r="J187" s="37"/>
      <c r="K187" s="38"/>
      <c r="L187" s="38"/>
      <c r="M187" s="36" t="s">
        <v>60</v>
      </c>
      <c r="N187" s="15" t="s">
        <v>152</v>
      </c>
      <c r="O187" s="36" t="s">
        <v>162</v>
      </c>
      <c r="P187" s="36" t="str">
        <f t="shared" si="6"/>
        <v>WMTS_1/1000地形圖_正射影像_屏東縣東港都市計畫(113年)</v>
      </c>
      <c r="Q187" s="29" t="s">
        <v>898</v>
      </c>
      <c r="R187" s="29" t="str">
        <f t="shared" si="7"/>
        <v>2dms_wmts_v1_TOPON1KPHOTO_T03</v>
      </c>
      <c r="S187" s="39" t="s">
        <v>155</v>
      </c>
      <c r="U187" s="27" t="str">
        <f>_xlfn.XLOOKUP(表格1[[#This Row],[服務類別(英)]],參考2_服務標準對照!$B:$B,參考2_服務標準對照!$C:$C,"")&amp;""</f>
        <v>OGC</v>
      </c>
      <c r="V187" s="29" t="s">
        <v>7</v>
      </c>
      <c r="W187" s="29" t="s">
        <v>163</v>
      </c>
      <c r="X187" s="29" t="s">
        <v>81</v>
      </c>
      <c r="Y187" s="36" t="s">
        <v>83</v>
      </c>
      <c r="Z187" s="36" t="s">
        <v>157</v>
      </c>
      <c r="AA187" s="36" t="s">
        <v>186</v>
      </c>
      <c r="AB187" s="36"/>
      <c r="AC187" s="36"/>
      <c r="AD187" s="29" t="s">
        <v>119</v>
      </c>
      <c r="AE187" s="36" t="str">
        <f>_xlfn.XLOOKUP(表格1[[#This Row],[唯一識別碼]],API清冊0707!B:B,API清冊0707!T:T,"")&amp;""</f>
        <v>無下拉選單</v>
      </c>
    </row>
    <row r="188" spans="1:31" ht="220.5" customHeight="1" x14ac:dyDescent="0.4">
      <c r="A188" s="29" t="s">
        <v>899</v>
      </c>
      <c r="B188" s="29"/>
      <c r="C188" s="29"/>
      <c r="D188" s="29" t="s">
        <v>900</v>
      </c>
      <c r="E188" s="29" t="s">
        <v>901</v>
      </c>
      <c r="F188" s="29" t="s">
        <v>902</v>
      </c>
      <c r="G188" s="35"/>
      <c r="H188" s="35" t="s">
        <v>151</v>
      </c>
      <c r="I188" s="29" t="s">
        <v>899</v>
      </c>
      <c r="J188" s="37"/>
      <c r="K188" s="38"/>
      <c r="L188" s="38"/>
      <c r="M188" s="36" t="s">
        <v>60</v>
      </c>
      <c r="N188" s="15" t="s">
        <v>152</v>
      </c>
      <c r="O188" s="36" t="s">
        <v>162</v>
      </c>
      <c r="P188" s="36" t="str">
        <f t="shared" si="6"/>
        <v>WMTS_1/1000地形圖_正射影像_屏東縣屏東都市計畫(112年)</v>
      </c>
      <c r="Q188" s="29" t="s">
        <v>902</v>
      </c>
      <c r="R188" s="29" t="str">
        <f t="shared" si="7"/>
        <v>2dms_wmts_v1_TOPON1KPHOTO_T01</v>
      </c>
      <c r="S188" s="39" t="s">
        <v>155</v>
      </c>
      <c r="U188" s="27" t="str">
        <f>_xlfn.XLOOKUP(表格1[[#This Row],[服務類別(英)]],參考2_服務標準對照!$B:$B,參考2_服務標準對照!$C:$C,"")&amp;""</f>
        <v>OGC</v>
      </c>
      <c r="V188" s="29" t="s">
        <v>7</v>
      </c>
      <c r="W188" s="29" t="s">
        <v>163</v>
      </c>
      <c r="X188" s="29" t="s">
        <v>81</v>
      </c>
      <c r="Y188" s="36" t="s">
        <v>83</v>
      </c>
      <c r="Z188" s="36" t="s">
        <v>157</v>
      </c>
      <c r="AA188" s="36" t="s">
        <v>186</v>
      </c>
      <c r="AB188" s="36"/>
      <c r="AC188" s="36"/>
      <c r="AD188" s="29" t="s">
        <v>119</v>
      </c>
      <c r="AE188" s="36" t="str">
        <f>_xlfn.XLOOKUP(表格1[[#This Row],[唯一識別碼]],API清冊0707!B:B,API清冊0707!T:T,"")&amp;""</f>
        <v>無下拉選單</v>
      </c>
    </row>
    <row r="189" spans="1:31" ht="220.5" customHeight="1" x14ac:dyDescent="0.4">
      <c r="A189" s="29" t="s">
        <v>903</v>
      </c>
      <c r="B189" s="29"/>
      <c r="C189" s="29"/>
      <c r="D189" s="29" t="s">
        <v>904</v>
      </c>
      <c r="E189" s="29" t="s">
        <v>905</v>
      </c>
      <c r="F189" s="29" t="s">
        <v>906</v>
      </c>
      <c r="G189" s="35"/>
      <c r="H189" s="35" t="s">
        <v>151</v>
      </c>
      <c r="I189" s="29" t="s">
        <v>903</v>
      </c>
      <c r="J189" s="37"/>
      <c r="K189" s="38"/>
      <c r="L189" s="38"/>
      <c r="M189" s="36" t="s">
        <v>60</v>
      </c>
      <c r="N189" s="15" t="s">
        <v>152</v>
      </c>
      <c r="O189" s="36" t="s">
        <v>162</v>
      </c>
      <c r="P189" s="36" t="str">
        <f t="shared" si="6"/>
        <v>WMTS_1/1000地形圖_正射影像_嘉義縣阿里山鄉都市計畫(113年)</v>
      </c>
      <c r="Q189" s="29" t="s">
        <v>906</v>
      </c>
      <c r="R189" s="29" t="str">
        <f t="shared" si="7"/>
        <v>2dms_wmts_v1_TOPON1KPHOTO_Q31</v>
      </c>
      <c r="S189" s="39" t="s">
        <v>155</v>
      </c>
      <c r="U189" s="27" t="str">
        <f>_xlfn.XLOOKUP(表格1[[#This Row],[服務類別(英)]],參考2_服務標準對照!$B:$B,參考2_服務標準對照!$C:$C,"")&amp;""</f>
        <v>OGC</v>
      </c>
      <c r="V189" s="29" t="s">
        <v>7</v>
      </c>
      <c r="W189" s="29" t="s">
        <v>163</v>
      </c>
      <c r="X189" s="29" t="s">
        <v>81</v>
      </c>
      <c r="Y189" s="36" t="s">
        <v>83</v>
      </c>
      <c r="Z189" s="36" t="s">
        <v>157</v>
      </c>
      <c r="AA189" s="36" t="s">
        <v>186</v>
      </c>
      <c r="AB189" s="36"/>
      <c r="AC189" s="36"/>
      <c r="AD189" s="29" t="s">
        <v>119</v>
      </c>
      <c r="AE189" s="36" t="str">
        <f>_xlfn.XLOOKUP(表格1[[#This Row],[唯一識別碼]],API清冊0707!B:B,API清冊0707!T:T,"")&amp;""</f>
        <v>無下拉選單</v>
      </c>
    </row>
    <row r="190" spans="1:31" ht="220.5" customHeight="1" x14ac:dyDescent="0.4">
      <c r="A190" s="29" t="s">
        <v>907</v>
      </c>
      <c r="B190" s="29"/>
      <c r="C190" s="29"/>
      <c r="D190" s="29" t="s">
        <v>908</v>
      </c>
      <c r="E190" s="29" t="s">
        <v>909</v>
      </c>
      <c r="F190" s="29" t="s">
        <v>910</v>
      </c>
      <c r="G190" s="35"/>
      <c r="H190" s="35" t="s">
        <v>151</v>
      </c>
      <c r="I190" s="29" t="s">
        <v>907</v>
      </c>
      <c r="J190" s="37"/>
      <c r="K190" s="38"/>
      <c r="L190" s="38"/>
      <c r="M190" s="36" t="s">
        <v>60</v>
      </c>
      <c r="N190" s="15" t="s">
        <v>152</v>
      </c>
      <c r="O190" s="36" t="s">
        <v>162</v>
      </c>
      <c r="P190" s="36" t="str">
        <f t="shared" si="6"/>
        <v>WMTS_1/1000地形圖_正射影像_嘉義縣番路鄉都市計畫(113年)</v>
      </c>
      <c r="Q190" s="29" t="s">
        <v>910</v>
      </c>
      <c r="R190" s="29" t="str">
        <f t="shared" si="7"/>
        <v>2dms_wmts_v1_TOPON1KPHOTO_Q30</v>
      </c>
      <c r="S190" s="39" t="s">
        <v>155</v>
      </c>
      <c r="U190" s="27" t="str">
        <f>_xlfn.XLOOKUP(表格1[[#This Row],[服務類別(英)]],參考2_服務標準對照!$B:$B,參考2_服務標準對照!$C:$C,"")&amp;""</f>
        <v>OGC</v>
      </c>
      <c r="V190" s="29" t="s">
        <v>7</v>
      </c>
      <c r="W190" s="29" t="s">
        <v>163</v>
      </c>
      <c r="X190" s="29" t="s">
        <v>81</v>
      </c>
      <c r="Y190" s="36" t="s">
        <v>83</v>
      </c>
      <c r="Z190" s="36" t="s">
        <v>157</v>
      </c>
      <c r="AA190" s="36" t="s">
        <v>186</v>
      </c>
      <c r="AB190" s="36"/>
      <c r="AC190" s="36"/>
      <c r="AD190" s="29" t="s">
        <v>119</v>
      </c>
      <c r="AE190" s="36" t="str">
        <f>_xlfn.XLOOKUP(表格1[[#This Row],[唯一識別碼]],API清冊0707!B:B,API清冊0707!T:T,"")&amp;""</f>
        <v>無下拉選單</v>
      </c>
    </row>
    <row r="191" spans="1:31" ht="220.5" customHeight="1" x14ac:dyDescent="0.4">
      <c r="A191" s="29" t="s">
        <v>911</v>
      </c>
      <c r="B191" s="29"/>
      <c r="C191" s="29"/>
      <c r="D191" s="29" t="s">
        <v>912</v>
      </c>
      <c r="E191" s="29" t="s">
        <v>913</v>
      </c>
      <c r="F191" s="29" t="s">
        <v>914</v>
      </c>
      <c r="G191" s="35"/>
      <c r="H191" s="35" t="s">
        <v>151</v>
      </c>
      <c r="I191" s="29" t="s">
        <v>911</v>
      </c>
      <c r="J191" s="37"/>
      <c r="K191" s="38"/>
      <c r="L191" s="38"/>
      <c r="M191" s="36" t="s">
        <v>60</v>
      </c>
      <c r="N191" s="15" t="s">
        <v>152</v>
      </c>
      <c r="O191" s="36" t="s">
        <v>162</v>
      </c>
      <c r="P191" s="36" t="str">
        <f t="shared" si="6"/>
        <v>WMTS_1/1000地形圖_正射影像_嘉義縣竹崎鄉都市計畫(113年)</v>
      </c>
      <c r="Q191" s="29" t="s">
        <v>914</v>
      </c>
      <c r="R191" s="29" t="str">
        <f t="shared" si="7"/>
        <v>2dms_wmts_v1_TOPON1KPHOTO_Q29</v>
      </c>
      <c r="S191" s="39" t="s">
        <v>155</v>
      </c>
      <c r="U191" s="27" t="str">
        <f>_xlfn.XLOOKUP(表格1[[#This Row],[服務類別(英)]],參考2_服務標準對照!$B:$B,參考2_服務標準對照!$C:$C,"")&amp;""</f>
        <v>OGC</v>
      </c>
      <c r="V191" s="29" t="s">
        <v>7</v>
      </c>
      <c r="W191" s="29" t="s">
        <v>163</v>
      </c>
      <c r="X191" s="29" t="s">
        <v>81</v>
      </c>
      <c r="Y191" s="36" t="s">
        <v>83</v>
      </c>
      <c r="Z191" s="36" t="s">
        <v>157</v>
      </c>
      <c r="AA191" s="36" t="s">
        <v>186</v>
      </c>
      <c r="AB191" s="36"/>
      <c r="AC191" s="36"/>
      <c r="AD191" s="29" t="s">
        <v>119</v>
      </c>
      <c r="AE191" s="36" t="str">
        <f>_xlfn.XLOOKUP(表格1[[#This Row],[唯一識別碼]],API清冊0707!B:B,API清冊0707!T:T,"")&amp;""</f>
        <v>無下拉選單</v>
      </c>
    </row>
    <row r="192" spans="1:31" ht="220.5" customHeight="1" x14ac:dyDescent="0.4">
      <c r="A192" s="29" t="s">
        <v>915</v>
      </c>
      <c r="B192" s="29"/>
      <c r="C192" s="29"/>
      <c r="D192" s="29" t="s">
        <v>916</v>
      </c>
      <c r="E192" s="29" t="s">
        <v>917</v>
      </c>
      <c r="F192" s="29" t="s">
        <v>918</v>
      </c>
      <c r="G192" s="35"/>
      <c r="H192" s="35" t="s">
        <v>151</v>
      </c>
      <c r="I192" s="29" t="s">
        <v>915</v>
      </c>
      <c r="J192" s="37"/>
      <c r="K192" s="38"/>
      <c r="L192" s="38"/>
      <c r="M192" s="36" t="s">
        <v>60</v>
      </c>
      <c r="N192" s="15" t="s">
        <v>152</v>
      </c>
      <c r="O192" s="36" t="s">
        <v>162</v>
      </c>
      <c r="P192" s="36" t="str">
        <f t="shared" si="6"/>
        <v>WMTS_1/1000地形圖_正射影像_嘉義縣大林都市計畫(112年)</v>
      </c>
      <c r="Q192" s="29" t="s">
        <v>918</v>
      </c>
      <c r="R192" s="29" t="str">
        <f t="shared" si="7"/>
        <v>2dms_wmts_v1_TOPON1KPHOTO_Q28</v>
      </c>
      <c r="S192" s="39" t="s">
        <v>155</v>
      </c>
      <c r="U192" s="27" t="str">
        <f>_xlfn.XLOOKUP(表格1[[#This Row],[服務類別(英)]],參考2_服務標準對照!$B:$B,參考2_服務標準對照!$C:$C,"")&amp;""</f>
        <v>OGC</v>
      </c>
      <c r="V192" s="29" t="s">
        <v>7</v>
      </c>
      <c r="W192" s="29" t="s">
        <v>163</v>
      </c>
      <c r="X192" s="29" t="s">
        <v>81</v>
      </c>
      <c r="Y192" s="36" t="s">
        <v>83</v>
      </c>
      <c r="Z192" s="36" t="s">
        <v>157</v>
      </c>
      <c r="AA192" s="36" t="s">
        <v>186</v>
      </c>
      <c r="AB192" s="36"/>
      <c r="AC192" s="36"/>
      <c r="AD192" s="29" t="s">
        <v>119</v>
      </c>
      <c r="AE192" s="36" t="str">
        <f>_xlfn.XLOOKUP(表格1[[#This Row],[唯一識別碼]],API清冊0707!B:B,API清冊0707!T:T,"")&amp;""</f>
        <v>無下拉選單</v>
      </c>
    </row>
    <row r="193" spans="1:31" ht="220.5" customHeight="1" x14ac:dyDescent="0.4">
      <c r="A193" s="29" t="s">
        <v>919</v>
      </c>
      <c r="B193" s="29"/>
      <c r="C193" s="29"/>
      <c r="D193" s="29" t="s">
        <v>920</v>
      </c>
      <c r="E193" s="29" t="s">
        <v>921</v>
      </c>
      <c r="F193" s="29" t="s">
        <v>922</v>
      </c>
      <c r="G193" s="35"/>
      <c r="H193" s="35" t="s">
        <v>151</v>
      </c>
      <c r="I193" s="29" t="s">
        <v>919</v>
      </c>
      <c r="J193" s="37"/>
      <c r="K193" s="38"/>
      <c r="L193" s="38"/>
      <c r="M193" s="36" t="s">
        <v>60</v>
      </c>
      <c r="N193" s="15" t="s">
        <v>152</v>
      </c>
      <c r="O193" s="36" t="s">
        <v>162</v>
      </c>
      <c r="P193" s="36" t="str">
        <f t="shared" si="6"/>
        <v>WMTS_1/1000地形圖_正射影像_嘉義縣高速鐵路嘉義車站特定區計畫(112年)</v>
      </c>
      <c r="Q193" s="29" t="s">
        <v>922</v>
      </c>
      <c r="R193" s="29" t="str">
        <f t="shared" si="7"/>
        <v>2dms_wmts_v1_TOPON1KPHOTO_Q27</v>
      </c>
      <c r="S193" s="39" t="s">
        <v>155</v>
      </c>
      <c r="U193" s="27" t="str">
        <f>_xlfn.XLOOKUP(表格1[[#This Row],[服務類別(英)]],參考2_服務標準對照!$B:$B,參考2_服務標準對照!$C:$C,"")&amp;""</f>
        <v>OGC</v>
      </c>
      <c r="V193" s="29" t="s">
        <v>7</v>
      </c>
      <c r="W193" s="29" t="s">
        <v>163</v>
      </c>
      <c r="X193" s="29" t="s">
        <v>81</v>
      </c>
      <c r="Y193" s="36" t="s">
        <v>83</v>
      </c>
      <c r="Z193" s="36" t="s">
        <v>157</v>
      </c>
      <c r="AA193" s="36" t="s">
        <v>186</v>
      </c>
      <c r="AB193" s="36"/>
      <c r="AC193" s="36"/>
      <c r="AD193" s="29" t="s">
        <v>119</v>
      </c>
      <c r="AE193" s="36" t="str">
        <f>_xlfn.XLOOKUP(表格1[[#This Row],[唯一識別碼]],API清冊0707!B:B,API清冊0707!T:T,"")&amp;""</f>
        <v>無下拉選單</v>
      </c>
    </row>
    <row r="194" spans="1:31" ht="220.5" customHeight="1" x14ac:dyDescent="0.4">
      <c r="A194" s="29" t="s">
        <v>923</v>
      </c>
      <c r="B194" s="29"/>
      <c r="C194" s="29"/>
      <c r="D194" s="29" t="s">
        <v>924</v>
      </c>
      <c r="E194" s="29" t="s">
        <v>925</v>
      </c>
      <c r="F194" s="29" t="s">
        <v>926</v>
      </c>
      <c r="G194" s="35"/>
      <c r="H194" s="35" t="s">
        <v>151</v>
      </c>
      <c r="I194" s="29" t="s">
        <v>923</v>
      </c>
      <c r="J194" s="37"/>
      <c r="K194" s="38"/>
      <c r="L194" s="38"/>
      <c r="M194" s="36" t="s">
        <v>60</v>
      </c>
      <c r="N194" s="15" t="s">
        <v>152</v>
      </c>
      <c r="O194" s="36" t="s">
        <v>162</v>
      </c>
      <c r="P194" s="36" t="str">
        <f t="shared" si="6"/>
        <v>WMTS_1/1000地形圖_正射影像_嘉義縣國立中正大學特定區計畫(112年)</v>
      </c>
      <c r="Q194" s="29" t="s">
        <v>926</v>
      </c>
      <c r="R194" s="29" t="str">
        <f t="shared" si="7"/>
        <v>2dms_wmts_v1_TOPON1KPHOTO_Q26</v>
      </c>
      <c r="S194" s="39" t="s">
        <v>155</v>
      </c>
      <c r="U194" s="27" t="str">
        <f>_xlfn.XLOOKUP(表格1[[#This Row],[服務類別(英)]],參考2_服務標準對照!$B:$B,參考2_服務標準對照!$C:$C,"")&amp;""</f>
        <v>OGC</v>
      </c>
      <c r="V194" s="29" t="s">
        <v>7</v>
      </c>
      <c r="W194" s="29" t="s">
        <v>163</v>
      </c>
      <c r="X194" s="29" t="s">
        <v>81</v>
      </c>
      <c r="Y194" s="36" t="s">
        <v>83</v>
      </c>
      <c r="Z194" s="36" t="s">
        <v>157</v>
      </c>
      <c r="AA194" s="36" t="s">
        <v>186</v>
      </c>
      <c r="AB194" s="36"/>
      <c r="AC194" s="36"/>
      <c r="AD194" s="29" t="s">
        <v>119</v>
      </c>
      <c r="AE194" s="36" t="str">
        <f>_xlfn.XLOOKUP(表格1[[#This Row],[唯一識別碼]],API清冊0707!B:B,API清冊0707!T:T,"")&amp;""</f>
        <v>無下拉選單</v>
      </c>
    </row>
    <row r="195" spans="1:31" ht="220.5" customHeight="1" x14ac:dyDescent="0.4">
      <c r="A195" s="29" t="s">
        <v>927</v>
      </c>
      <c r="B195" s="29"/>
      <c r="C195" s="29"/>
      <c r="D195" s="29" t="s">
        <v>928</v>
      </c>
      <c r="E195" s="29" t="s">
        <v>929</v>
      </c>
      <c r="F195" s="29" t="s">
        <v>930</v>
      </c>
      <c r="G195" s="35"/>
      <c r="H195" s="35" t="s">
        <v>151</v>
      </c>
      <c r="I195" s="29" t="s">
        <v>927</v>
      </c>
      <c r="J195" s="37"/>
      <c r="K195" s="38"/>
      <c r="L195" s="38"/>
      <c r="M195" s="36" t="s">
        <v>60</v>
      </c>
      <c r="N195" s="15" t="s">
        <v>152</v>
      </c>
      <c r="O195" s="36" t="s">
        <v>162</v>
      </c>
      <c r="P195" s="36" t="str">
        <f t="shared" si="6"/>
        <v>WMTS_1/1000地形圖_正射影像_嘉義縣太保都市計畫(112年)</v>
      </c>
      <c r="Q195" s="29" t="s">
        <v>930</v>
      </c>
      <c r="R195" s="29" t="str">
        <f t="shared" si="7"/>
        <v>2dms_wmts_v1_TOPON1KPHOTO_Q22</v>
      </c>
      <c r="S195" s="39" t="s">
        <v>155</v>
      </c>
      <c r="U195" s="27" t="str">
        <f>_xlfn.XLOOKUP(表格1[[#This Row],[服務類別(英)]],參考2_服務標準對照!$B:$B,參考2_服務標準對照!$C:$C,"")&amp;""</f>
        <v>OGC</v>
      </c>
      <c r="V195" s="29" t="s">
        <v>7</v>
      </c>
      <c r="W195" s="29" t="s">
        <v>163</v>
      </c>
      <c r="X195" s="29" t="s">
        <v>81</v>
      </c>
      <c r="Y195" s="36" t="s">
        <v>83</v>
      </c>
      <c r="Z195" s="36" t="s">
        <v>157</v>
      </c>
      <c r="AA195" s="36" t="s">
        <v>186</v>
      </c>
      <c r="AB195" s="36"/>
      <c r="AC195" s="36"/>
      <c r="AD195" s="29" t="s">
        <v>119</v>
      </c>
      <c r="AE195" s="36" t="str">
        <f>_xlfn.XLOOKUP(表格1[[#This Row],[唯一識別碼]],API清冊0707!B:B,API清冊0707!T:T,"")&amp;""</f>
        <v>無下拉選單</v>
      </c>
    </row>
    <row r="196" spans="1:31" ht="220.5" customHeight="1" x14ac:dyDescent="0.4">
      <c r="A196" s="29" t="s">
        <v>931</v>
      </c>
      <c r="B196" s="29"/>
      <c r="C196" s="29"/>
      <c r="D196" s="29" t="s">
        <v>932</v>
      </c>
      <c r="E196" s="29" t="s">
        <v>933</v>
      </c>
      <c r="F196" s="29" t="s">
        <v>934</v>
      </c>
      <c r="G196" s="35"/>
      <c r="H196" s="35" t="s">
        <v>151</v>
      </c>
      <c r="I196" s="29" t="s">
        <v>931</v>
      </c>
      <c r="J196" s="37"/>
      <c r="K196" s="38"/>
      <c r="L196" s="38"/>
      <c r="M196" s="36" t="s">
        <v>60</v>
      </c>
      <c r="N196" s="15" t="s">
        <v>152</v>
      </c>
      <c r="O196" s="36" t="s">
        <v>162</v>
      </c>
      <c r="P196" s="36" t="str">
        <f t="shared" si="6"/>
        <v>WMTS_1/1000地形圖_正射影像_嘉義縣仁義潭風景特定區計畫(嘉義縣部分)(112年)</v>
      </c>
      <c r="Q196" s="29" t="s">
        <v>934</v>
      </c>
      <c r="R196" s="29" t="str">
        <f t="shared" si="7"/>
        <v>2dms_wmts_v1_TOPON1KPHOTO_Q21</v>
      </c>
      <c r="S196" s="39" t="s">
        <v>155</v>
      </c>
      <c r="U196" s="27" t="str">
        <f>_xlfn.XLOOKUP(表格1[[#This Row],[服務類別(英)]],參考2_服務標準對照!$B:$B,參考2_服務標準對照!$C:$C,"")&amp;""</f>
        <v>OGC</v>
      </c>
      <c r="V196" s="29" t="s">
        <v>7</v>
      </c>
      <c r="W196" s="29" t="s">
        <v>163</v>
      </c>
      <c r="X196" s="29" t="s">
        <v>81</v>
      </c>
      <c r="Y196" s="36" t="s">
        <v>83</v>
      </c>
      <c r="Z196" s="36" t="s">
        <v>157</v>
      </c>
      <c r="AA196" s="36" t="s">
        <v>186</v>
      </c>
      <c r="AB196" s="36"/>
      <c r="AC196" s="36"/>
      <c r="AD196" s="29" t="s">
        <v>119</v>
      </c>
      <c r="AE196" s="36" t="str">
        <f>_xlfn.XLOOKUP(表格1[[#This Row],[唯一識別碼]],API清冊0707!B:B,API清冊0707!T:T,"")&amp;""</f>
        <v>無下拉選單</v>
      </c>
    </row>
    <row r="197" spans="1:31" ht="220.5" customHeight="1" x14ac:dyDescent="0.4">
      <c r="A197" s="29" t="s">
        <v>935</v>
      </c>
      <c r="B197" s="29"/>
      <c r="C197" s="29"/>
      <c r="D197" s="29" t="s">
        <v>936</v>
      </c>
      <c r="E197" s="29" t="s">
        <v>937</v>
      </c>
      <c r="F197" s="29" t="s">
        <v>938</v>
      </c>
      <c r="G197" s="35"/>
      <c r="H197" s="35" t="s">
        <v>151</v>
      </c>
      <c r="I197" s="29" t="s">
        <v>935</v>
      </c>
      <c r="J197" s="37"/>
      <c r="K197" s="38"/>
      <c r="L197" s="38"/>
      <c r="M197" s="36" t="s">
        <v>60</v>
      </c>
      <c r="N197" s="15" t="s">
        <v>152</v>
      </c>
      <c r="O197" s="36" t="s">
        <v>162</v>
      </c>
      <c r="P197" s="36" t="str">
        <f t="shared" si="6"/>
        <v>WMTS_1/1000地形圖_正射影像_嘉義縣吳鳳廟特定區計畫(112年)</v>
      </c>
      <c r="Q197" s="29" t="s">
        <v>938</v>
      </c>
      <c r="R197" s="29" t="str">
        <f t="shared" si="7"/>
        <v>2dms_wmts_v1_TOPON1KPHOTO_Q19</v>
      </c>
      <c r="S197" s="39" t="s">
        <v>155</v>
      </c>
      <c r="U197" s="27" t="str">
        <f>_xlfn.XLOOKUP(表格1[[#This Row],[服務類別(英)]],參考2_服務標準對照!$B:$B,參考2_服務標準對照!$C:$C,"")&amp;""</f>
        <v>OGC</v>
      </c>
      <c r="V197" s="29" t="s">
        <v>7</v>
      </c>
      <c r="W197" s="29" t="s">
        <v>163</v>
      </c>
      <c r="X197" s="29" t="s">
        <v>81</v>
      </c>
      <c r="Y197" s="36" t="s">
        <v>83</v>
      </c>
      <c r="Z197" s="36" t="s">
        <v>157</v>
      </c>
      <c r="AA197" s="36" t="s">
        <v>186</v>
      </c>
      <c r="AB197" s="36"/>
      <c r="AC197" s="36"/>
      <c r="AD197" s="29" t="s">
        <v>119</v>
      </c>
      <c r="AE197" s="36" t="str">
        <f>_xlfn.XLOOKUP(表格1[[#This Row],[唯一識別碼]],API清冊0707!B:B,API清冊0707!T:T,"")&amp;""</f>
        <v>無下拉選單</v>
      </c>
    </row>
    <row r="198" spans="1:31" ht="220.5" customHeight="1" x14ac:dyDescent="0.4">
      <c r="A198" s="29" t="s">
        <v>939</v>
      </c>
      <c r="B198" s="29"/>
      <c r="C198" s="29"/>
      <c r="D198" s="29" t="s">
        <v>940</v>
      </c>
      <c r="E198" s="29" t="s">
        <v>941</v>
      </c>
      <c r="F198" s="29" t="s">
        <v>942</v>
      </c>
      <c r="G198" s="35"/>
      <c r="H198" s="35" t="s">
        <v>151</v>
      </c>
      <c r="I198" s="29" t="s">
        <v>939</v>
      </c>
      <c r="J198" s="37"/>
      <c r="K198" s="38"/>
      <c r="L198" s="38"/>
      <c r="M198" s="36" t="s">
        <v>60</v>
      </c>
      <c r="N198" s="15" t="s">
        <v>152</v>
      </c>
      <c r="O198" s="36" t="s">
        <v>162</v>
      </c>
      <c r="P198" s="36" t="str">
        <f t="shared" si="6"/>
        <v>WMTS_1/1000地形圖_正射影像_嘉義縣民雄(頭橋地區)都市計畫(113年)</v>
      </c>
      <c r="Q198" s="29" t="s">
        <v>942</v>
      </c>
      <c r="R198" s="29" t="str">
        <f t="shared" si="7"/>
        <v>2dms_wmts_v1_TOPON1KPHOTO_Q07</v>
      </c>
      <c r="S198" s="39" t="s">
        <v>155</v>
      </c>
      <c r="U198" s="27" t="str">
        <f>_xlfn.XLOOKUP(表格1[[#This Row],[服務類別(英)]],參考2_服務標準對照!$B:$B,參考2_服務標準對照!$C:$C,"")&amp;""</f>
        <v>OGC</v>
      </c>
      <c r="V198" s="29" t="s">
        <v>7</v>
      </c>
      <c r="W198" s="29" t="s">
        <v>163</v>
      </c>
      <c r="X198" s="29" t="s">
        <v>81</v>
      </c>
      <c r="Y198" s="36" t="s">
        <v>83</v>
      </c>
      <c r="Z198" s="36" t="s">
        <v>157</v>
      </c>
      <c r="AA198" s="36" t="s">
        <v>186</v>
      </c>
      <c r="AB198" s="36"/>
      <c r="AC198" s="36"/>
      <c r="AD198" s="29" t="s">
        <v>119</v>
      </c>
      <c r="AE198" s="36" t="str">
        <f>_xlfn.XLOOKUP(表格1[[#This Row],[唯一識別碼]],API清冊0707!B:B,API清冊0707!T:T,"")&amp;""</f>
        <v>無下拉選單</v>
      </c>
    </row>
    <row r="199" spans="1:31" ht="220.5" customHeight="1" x14ac:dyDescent="0.4">
      <c r="A199" s="29" t="s">
        <v>943</v>
      </c>
      <c r="B199" s="29"/>
      <c r="C199" s="29"/>
      <c r="D199" s="29" t="s">
        <v>944</v>
      </c>
      <c r="E199" s="29" t="s">
        <v>945</v>
      </c>
      <c r="F199" s="29" t="s">
        <v>946</v>
      </c>
      <c r="G199" s="35"/>
      <c r="H199" s="35" t="s">
        <v>151</v>
      </c>
      <c r="I199" s="29" t="s">
        <v>943</v>
      </c>
      <c r="J199" s="37"/>
      <c r="K199" s="38"/>
      <c r="L199" s="38"/>
      <c r="M199" s="36" t="s">
        <v>60</v>
      </c>
      <c r="N199" s="15" t="s">
        <v>152</v>
      </c>
      <c r="O199" s="36" t="s">
        <v>162</v>
      </c>
      <c r="P199" s="36" t="str">
        <f t="shared" si="6"/>
        <v>WMTS_1/1000地形圖_正射影像_嘉義縣民雄都市計畫(113年)</v>
      </c>
      <c r="Q199" s="29" t="s">
        <v>946</v>
      </c>
      <c r="R199" s="29" t="str">
        <f t="shared" si="7"/>
        <v>2dms_wmts_v1_TOPON1KPHOTO_Q06</v>
      </c>
      <c r="S199" s="39" t="s">
        <v>155</v>
      </c>
      <c r="U199" s="27" t="str">
        <f>_xlfn.XLOOKUP(表格1[[#This Row],[服務類別(英)]],參考2_服務標準對照!$B:$B,參考2_服務標準對照!$C:$C,"")&amp;""</f>
        <v>OGC</v>
      </c>
      <c r="V199" s="29" t="s">
        <v>7</v>
      </c>
      <c r="W199" s="29" t="s">
        <v>163</v>
      </c>
      <c r="X199" s="29" t="s">
        <v>81</v>
      </c>
      <c r="Y199" s="36" t="s">
        <v>83</v>
      </c>
      <c r="Z199" s="36" t="s">
        <v>157</v>
      </c>
      <c r="AA199" s="36" t="s">
        <v>186</v>
      </c>
      <c r="AB199" s="36"/>
      <c r="AC199" s="36"/>
      <c r="AD199" s="29" t="s">
        <v>119</v>
      </c>
      <c r="AE199" s="36" t="str">
        <f>_xlfn.XLOOKUP(表格1[[#This Row],[唯一識別碼]],API清冊0707!B:B,API清冊0707!T:T,"")&amp;""</f>
        <v>無下拉選單</v>
      </c>
    </row>
    <row r="200" spans="1:31" ht="220.5" customHeight="1" x14ac:dyDescent="0.4">
      <c r="A200" s="29" t="s">
        <v>947</v>
      </c>
      <c r="B200" s="29"/>
      <c r="C200" s="29"/>
      <c r="D200" s="29" t="s">
        <v>948</v>
      </c>
      <c r="E200" s="29" t="s">
        <v>949</v>
      </c>
      <c r="F200" s="29" t="s">
        <v>950</v>
      </c>
      <c r="G200" s="35"/>
      <c r="H200" s="35" t="s">
        <v>151</v>
      </c>
      <c r="I200" s="29" t="s">
        <v>947</v>
      </c>
      <c r="J200" s="37"/>
      <c r="K200" s="38"/>
      <c r="L200" s="38"/>
      <c r="M200" s="36" t="s">
        <v>60</v>
      </c>
      <c r="N200" s="15" t="s">
        <v>152</v>
      </c>
      <c r="O200" s="36" t="s">
        <v>162</v>
      </c>
      <c r="P200" s="36" t="str">
        <f t="shared" si="6"/>
        <v>WMTS_1/1000地形圖_正射影像_嘉義縣治都市計畫(112年)</v>
      </c>
      <c r="Q200" s="29" t="s">
        <v>950</v>
      </c>
      <c r="R200" s="29" t="str">
        <f t="shared" si="7"/>
        <v>2dms_wmts_v1_TOPON1KPHOTO_Q02</v>
      </c>
      <c r="S200" s="39" t="s">
        <v>155</v>
      </c>
      <c r="U200" s="27" t="str">
        <f>_xlfn.XLOOKUP(表格1[[#This Row],[服務類別(英)]],參考2_服務標準對照!$B:$B,參考2_服務標準對照!$C:$C,"")&amp;""</f>
        <v>OGC</v>
      </c>
      <c r="V200" s="29" t="s">
        <v>7</v>
      </c>
      <c r="W200" s="29" t="s">
        <v>163</v>
      </c>
      <c r="X200" s="29" t="s">
        <v>81</v>
      </c>
      <c r="Y200" s="36" t="s">
        <v>83</v>
      </c>
      <c r="Z200" s="36" t="s">
        <v>157</v>
      </c>
      <c r="AA200" s="36" t="s">
        <v>186</v>
      </c>
      <c r="AB200" s="36"/>
      <c r="AC200" s="36"/>
      <c r="AD200" s="29" t="s">
        <v>119</v>
      </c>
      <c r="AE200" s="36" t="str">
        <f>_xlfn.XLOOKUP(表格1[[#This Row],[唯一識別碼]],API清冊0707!B:B,API清冊0707!T:T,"")&amp;""</f>
        <v>無下拉選單</v>
      </c>
    </row>
    <row r="201" spans="1:31" ht="220.5" customHeight="1" x14ac:dyDescent="0.4">
      <c r="A201" s="29" t="s">
        <v>951</v>
      </c>
      <c r="B201" s="29"/>
      <c r="C201" s="29"/>
      <c r="D201" s="29" t="s">
        <v>952</v>
      </c>
      <c r="E201" s="29" t="s">
        <v>953</v>
      </c>
      <c r="F201" s="29" t="s">
        <v>954</v>
      </c>
      <c r="G201" s="35"/>
      <c r="H201" s="35" t="s">
        <v>151</v>
      </c>
      <c r="I201" s="29" t="s">
        <v>951</v>
      </c>
      <c r="J201" s="37"/>
      <c r="K201" s="38"/>
      <c r="L201" s="38"/>
      <c r="M201" s="36" t="s">
        <v>60</v>
      </c>
      <c r="N201" s="15" t="s">
        <v>152</v>
      </c>
      <c r="O201" s="36" t="s">
        <v>162</v>
      </c>
      <c r="P201" s="36" t="str">
        <f t="shared" si="6"/>
        <v>WMTS_1/1000地形圖_正射影像_雲林縣高速鐵路雲林車站特定區計畫(113年)</v>
      </c>
      <c r="Q201" s="29" t="s">
        <v>954</v>
      </c>
      <c r="R201" s="29" t="str">
        <f t="shared" si="7"/>
        <v>2dms_wmts_v1_TOPON1KPHOTO_P25</v>
      </c>
      <c r="S201" s="39" t="s">
        <v>155</v>
      </c>
      <c r="U201" s="27" t="str">
        <f>_xlfn.XLOOKUP(表格1[[#This Row],[服務類別(英)]],參考2_服務標準對照!$B:$B,參考2_服務標準對照!$C:$C,"")&amp;""</f>
        <v>OGC</v>
      </c>
      <c r="V201" s="29" t="s">
        <v>7</v>
      </c>
      <c r="W201" s="29" t="s">
        <v>163</v>
      </c>
      <c r="X201" s="29" t="s">
        <v>81</v>
      </c>
      <c r="Y201" s="36" t="s">
        <v>83</v>
      </c>
      <c r="Z201" s="36" t="s">
        <v>157</v>
      </c>
      <c r="AA201" s="36" t="s">
        <v>186</v>
      </c>
      <c r="AB201" s="36"/>
      <c r="AC201" s="36"/>
      <c r="AD201" s="29" t="s">
        <v>119</v>
      </c>
      <c r="AE201" s="36" t="str">
        <f>_xlfn.XLOOKUP(表格1[[#This Row],[唯一識別碼]],API清冊0707!B:B,API清冊0707!T:T,"")&amp;""</f>
        <v>無下拉選單</v>
      </c>
    </row>
    <row r="202" spans="1:31" ht="220.5" customHeight="1" x14ac:dyDescent="0.4">
      <c r="A202" s="29" t="s">
        <v>955</v>
      </c>
      <c r="B202" s="29"/>
      <c r="C202" s="29"/>
      <c r="D202" s="29" t="s">
        <v>956</v>
      </c>
      <c r="E202" s="29" t="s">
        <v>957</v>
      </c>
      <c r="F202" s="29" t="s">
        <v>958</v>
      </c>
      <c r="G202" s="35"/>
      <c r="H202" s="35" t="s">
        <v>151</v>
      </c>
      <c r="I202" s="29" t="s">
        <v>955</v>
      </c>
      <c r="J202" s="37"/>
      <c r="K202" s="38"/>
      <c r="L202" s="38"/>
      <c r="M202" s="36" t="s">
        <v>60</v>
      </c>
      <c r="N202" s="15" t="s">
        <v>152</v>
      </c>
      <c r="O202" s="36" t="s">
        <v>162</v>
      </c>
      <c r="P202" s="36" t="str">
        <f t="shared" si="6"/>
        <v>WMTS_1/1000地形圖_正射影像_雲林縣斗六嘉東地區特定區計畫(112年)</v>
      </c>
      <c r="Q202" s="29" t="s">
        <v>958</v>
      </c>
      <c r="R202" s="29" t="str">
        <f t="shared" si="7"/>
        <v>2dms_wmts_v1_TOPON1KPHOTO_P24</v>
      </c>
      <c r="S202" s="39" t="s">
        <v>155</v>
      </c>
      <c r="U202" s="27" t="str">
        <f>_xlfn.XLOOKUP(表格1[[#This Row],[服務類別(英)]],參考2_服務標準對照!$B:$B,參考2_服務標準對照!$C:$C,"")&amp;""</f>
        <v>OGC</v>
      </c>
      <c r="V202" s="29" t="s">
        <v>7</v>
      </c>
      <c r="W202" s="29" t="s">
        <v>163</v>
      </c>
      <c r="X202" s="29" t="s">
        <v>81</v>
      </c>
      <c r="Y202" s="36" t="s">
        <v>83</v>
      </c>
      <c r="Z202" s="36" t="s">
        <v>157</v>
      </c>
      <c r="AA202" s="36" t="s">
        <v>186</v>
      </c>
      <c r="AB202" s="36"/>
      <c r="AC202" s="36"/>
      <c r="AD202" s="29" t="s">
        <v>119</v>
      </c>
      <c r="AE202" s="36" t="str">
        <f>_xlfn.XLOOKUP(表格1[[#This Row],[唯一識別碼]],API清冊0707!B:B,API清冊0707!T:T,"")&amp;""</f>
        <v>無下拉選單</v>
      </c>
    </row>
    <row r="203" spans="1:31" ht="220.5" customHeight="1" x14ac:dyDescent="0.4">
      <c r="A203" s="29" t="s">
        <v>959</v>
      </c>
      <c r="B203" s="29"/>
      <c r="C203" s="29"/>
      <c r="D203" s="29" t="s">
        <v>960</v>
      </c>
      <c r="E203" s="29" t="s">
        <v>961</v>
      </c>
      <c r="F203" s="29" t="s">
        <v>962</v>
      </c>
      <c r="G203" s="35"/>
      <c r="H203" s="35" t="s">
        <v>151</v>
      </c>
      <c r="I203" s="29" t="s">
        <v>959</v>
      </c>
      <c r="J203" s="37"/>
      <c r="K203" s="38"/>
      <c r="L203" s="38"/>
      <c r="M203" s="36" t="s">
        <v>60</v>
      </c>
      <c r="N203" s="15" t="s">
        <v>152</v>
      </c>
      <c r="O203" s="36" t="s">
        <v>162</v>
      </c>
      <c r="P203" s="36" t="str">
        <f t="shared" si="6"/>
        <v>WMTS_1/1000地形圖_正射影像_雲林縣箔子寮漁港特定區計畫(112年)</v>
      </c>
      <c r="Q203" s="29" t="s">
        <v>962</v>
      </c>
      <c r="R203" s="29" t="str">
        <f t="shared" si="7"/>
        <v>2dms_wmts_v1_TOPON1KPHOTO_P22</v>
      </c>
      <c r="S203" s="39" t="s">
        <v>155</v>
      </c>
      <c r="U203" s="27" t="str">
        <f>_xlfn.XLOOKUP(表格1[[#This Row],[服務類別(英)]],參考2_服務標準對照!$B:$B,參考2_服務標準對照!$C:$C,"")&amp;""</f>
        <v>OGC</v>
      </c>
      <c r="V203" s="29" t="s">
        <v>7</v>
      </c>
      <c r="W203" s="29" t="s">
        <v>163</v>
      </c>
      <c r="X203" s="29" t="s">
        <v>81</v>
      </c>
      <c r="Y203" s="36" t="s">
        <v>83</v>
      </c>
      <c r="Z203" s="36" t="s">
        <v>157</v>
      </c>
      <c r="AA203" s="36" t="s">
        <v>186</v>
      </c>
      <c r="AB203" s="36"/>
      <c r="AC203" s="36"/>
      <c r="AD203" s="29" t="s">
        <v>119</v>
      </c>
      <c r="AE203" s="36" t="str">
        <f>_xlfn.XLOOKUP(表格1[[#This Row],[唯一識別碼]],API清冊0707!B:B,API清冊0707!T:T,"")&amp;""</f>
        <v>無下拉選單</v>
      </c>
    </row>
    <row r="204" spans="1:31" ht="220.5" customHeight="1" x14ac:dyDescent="0.4">
      <c r="A204" s="29" t="s">
        <v>963</v>
      </c>
      <c r="B204" s="29"/>
      <c r="C204" s="29"/>
      <c r="D204" s="29" t="s">
        <v>964</v>
      </c>
      <c r="E204" s="29" t="s">
        <v>965</v>
      </c>
      <c r="F204" s="29" t="s">
        <v>966</v>
      </c>
      <c r="G204" s="35"/>
      <c r="H204" s="35" t="s">
        <v>151</v>
      </c>
      <c r="I204" s="29" t="s">
        <v>963</v>
      </c>
      <c r="J204" s="37"/>
      <c r="K204" s="38"/>
      <c r="L204" s="38"/>
      <c r="M204" s="36" t="s">
        <v>60</v>
      </c>
      <c r="N204" s="15" t="s">
        <v>152</v>
      </c>
      <c r="O204" s="36" t="s">
        <v>162</v>
      </c>
      <c r="P204" s="36" t="str">
        <f t="shared" si="6"/>
        <v>WMTS_1/1000地形圖_正射影像_雲林縣崙背都市計畫(112年)</v>
      </c>
      <c r="Q204" s="29" t="s">
        <v>966</v>
      </c>
      <c r="R204" s="29" t="str">
        <f t="shared" si="7"/>
        <v>2dms_wmts_v1_TOPON1KPHOTO_P13</v>
      </c>
      <c r="S204" s="39" t="s">
        <v>155</v>
      </c>
      <c r="U204" s="27" t="str">
        <f>_xlfn.XLOOKUP(表格1[[#This Row],[服務類別(英)]],參考2_服務標準對照!$B:$B,參考2_服務標準對照!$C:$C,"")&amp;""</f>
        <v>OGC</v>
      </c>
      <c r="V204" s="29" t="s">
        <v>7</v>
      </c>
      <c r="W204" s="29" t="s">
        <v>163</v>
      </c>
      <c r="X204" s="29" t="s">
        <v>81</v>
      </c>
      <c r="Y204" s="36" t="s">
        <v>83</v>
      </c>
      <c r="Z204" s="36" t="s">
        <v>157</v>
      </c>
      <c r="AA204" s="36" t="s">
        <v>186</v>
      </c>
      <c r="AB204" s="36"/>
      <c r="AC204" s="36"/>
      <c r="AD204" s="29" t="s">
        <v>119</v>
      </c>
      <c r="AE204" s="36" t="str">
        <f>_xlfn.XLOOKUP(表格1[[#This Row],[唯一識別碼]],API清冊0707!B:B,API清冊0707!T:T,"")&amp;""</f>
        <v>無下拉選單</v>
      </c>
    </row>
    <row r="205" spans="1:31" ht="220.5" customHeight="1" x14ac:dyDescent="0.4">
      <c r="A205" s="29" t="s">
        <v>967</v>
      </c>
      <c r="B205" s="29"/>
      <c r="C205" s="29"/>
      <c r="D205" s="29" t="s">
        <v>968</v>
      </c>
      <c r="E205" s="29" t="s">
        <v>969</v>
      </c>
      <c r="F205" s="29" t="s">
        <v>970</v>
      </c>
      <c r="G205" s="35"/>
      <c r="H205" s="35" t="s">
        <v>151</v>
      </c>
      <c r="I205" s="29" t="s">
        <v>967</v>
      </c>
      <c r="J205" s="37"/>
      <c r="K205" s="38"/>
      <c r="L205" s="38"/>
      <c r="M205" s="36" t="s">
        <v>60</v>
      </c>
      <c r="N205" s="15" t="s">
        <v>152</v>
      </c>
      <c r="O205" s="36" t="s">
        <v>162</v>
      </c>
      <c r="P205" s="36" t="str">
        <f t="shared" si="6"/>
        <v>WMTS_1/1000地形圖_正射影像_雲林縣二崙都市計畫(112年)</v>
      </c>
      <c r="Q205" s="29" t="s">
        <v>970</v>
      </c>
      <c r="R205" s="29" t="str">
        <f t="shared" si="7"/>
        <v>2dms_wmts_v1_TOPON1KPHOTO_P12</v>
      </c>
      <c r="S205" s="39" t="s">
        <v>155</v>
      </c>
      <c r="U205" s="27" t="str">
        <f>_xlfn.XLOOKUP(表格1[[#This Row],[服務類別(英)]],參考2_服務標準對照!$B:$B,參考2_服務標準對照!$C:$C,"")&amp;""</f>
        <v>OGC</v>
      </c>
      <c r="V205" s="29" t="s">
        <v>7</v>
      </c>
      <c r="W205" s="29" t="s">
        <v>163</v>
      </c>
      <c r="X205" s="29" t="s">
        <v>81</v>
      </c>
      <c r="Y205" s="36" t="s">
        <v>83</v>
      </c>
      <c r="Z205" s="36" t="s">
        <v>157</v>
      </c>
      <c r="AA205" s="36" t="s">
        <v>186</v>
      </c>
      <c r="AB205" s="36"/>
      <c r="AC205" s="36"/>
      <c r="AD205" s="29" t="s">
        <v>119</v>
      </c>
      <c r="AE205" s="36" t="str">
        <f>_xlfn.XLOOKUP(表格1[[#This Row],[唯一識別碼]],API清冊0707!B:B,API清冊0707!T:T,"")&amp;""</f>
        <v>無下拉選單</v>
      </c>
    </row>
    <row r="206" spans="1:31" ht="220.5" customHeight="1" x14ac:dyDescent="0.4">
      <c r="A206" s="29" t="s">
        <v>971</v>
      </c>
      <c r="B206" s="29"/>
      <c r="C206" s="29"/>
      <c r="D206" s="29" t="s">
        <v>972</v>
      </c>
      <c r="E206" s="29" t="s">
        <v>973</v>
      </c>
      <c r="F206" s="29" t="s">
        <v>974</v>
      </c>
      <c r="G206" s="35"/>
      <c r="H206" s="35" t="s">
        <v>151</v>
      </c>
      <c r="I206" s="29" t="s">
        <v>971</v>
      </c>
      <c r="J206" s="37"/>
      <c r="K206" s="38"/>
      <c r="L206" s="38"/>
      <c r="M206" s="36" t="s">
        <v>60</v>
      </c>
      <c r="N206" s="15" t="s">
        <v>152</v>
      </c>
      <c r="O206" s="36" t="s">
        <v>162</v>
      </c>
      <c r="P206" s="36" t="str">
        <f t="shared" si="6"/>
        <v>WMTS_1/1000地形圖_正射影像_雲林縣莿桐都市計畫(113年)</v>
      </c>
      <c r="Q206" s="29" t="s">
        <v>974</v>
      </c>
      <c r="R206" s="29" t="str">
        <f t="shared" si="7"/>
        <v>2dms_wmts_v1_TOPON1KPHOTO_P10</v>
      </c>
      <c r="S206" s="39" t="s">
        <v>155</v>
      </c>
      <c r="U206" s="27" t="str">
        <f>_xlfn.XLOOKUP(表格1[[#This Row],[服務類別(英)]],參考2_服務標準對照!$B:$B,參考2_服務標準對照!$C:$C,"")&amp;""</f>
        <v>OGC</v>
      </c>
      <c r="V206" s="29" t="s">
        <v>7</v>
      </c>
      <c r="W206" s="29" t="s">
        <v>163</v>
      </c>
      <c r="X206" s="29" t="s">
        <v>81</v>
      </c>
      <c r="Y206" s="36" t="s">
        <v>83</v>
      </c>
      <c r="Z206" s="36" t="s">
        <v>157</v>
      </c>
      <c r="AA206" s="36" t="s">
        <v>186</v>
      </c>
      <c r="AB206" s="36"/>
      <c r="AC206" s="36"/>
      <c r="AD206" s="29" t="s">
        <v>119</v>
      </c>
      <c r="AE206" s="36" t="str">
        <f>_xlfn.XLOOKUP(表格1[[#This Row],[唯一識別碼]],API清冊0707!B:B,API清冊0707!T:T,"")&amp;""</f>
        <v>無下拉選單</v>
      </c>
    </row>
    <row r="207" spans="1:31" ht="220.5" customHeight="1" x14ac:dyDescent="0.4">
      <c r="A207" s="29" t="s">
        <v>975</v>
      </c>
      <c r="B207" s="29"/>
      <c r="C207" s="29"/>
      <c r="D207" s="29" t="s">
        <v>976</v>
      </c>
      <c r="E207" s="29" t="s">
        <v>977</v>
      </c>
      <c r="F207" s="29" t="s">
        <v>978</v>
      </c>
      <c r="G207" s="35"/>
      <c r="H207" s="35" t="s">
        <v>151</v>
      </c>
      <c r="I207" s="29" t="s">
        <v>975</v>
      </c>
      <c r="J207" s="37"/>
      <c r="K207" s="38"/>
      <c r="L207" s="38"/>
      <c r="M207" s="36" t="s">
        <v>60</v>
      </c>
      <c r="N207" s="15" t="s">
        <v>152</v>
      </c>
      <c r="O207" s="36" t="s">
        <v>162</v>
      </c>
      <c r="P207" s="36" t="str">
        <f t="shared" si="6"/>
        <v>WMTS_1/1000地形圖_正射影像_雲林縣斗六(含大潭地區)都市計畫(113年)</v>
      </c>
      <c r="Q207" s="29" t="s">
        <v>978</v>
      </c>
      <c r="R207" s="29" t="str">
        <f t="shared" si="7"/>
        <v>2dms_wmts_v1_TOPON1KPHOTO_P01</v>
      </c>
      <c r="S207" s="39" t="s">
        <v>155</v>
      </c>
      <c r="U207" s="27" t="str">
        <f>_xlfn.XLOOKUP(表格1[[#This Row],[服務類別(英)]],參考2_服務標準對照!$B:$B,參考2_服務標準對照!$C:$C,"")&amp;""</f>
        <v>OGC</v>
      </c>
      <c r="V207" s="29" t="s">
        <v>7</v>
      </c>
      <c r="W207" s="29" t="s">
        <v>163</v>
      </c>
      <c r="X207" s="29" t="s">
        <v>81</v>
      </c>
      <c r="Y207" s="36" t="s">
        <v>83</v>
      </c>
      <c r="Z207" s="36" t="s">
        <v>157</v>
      </c>
      <c r="AA207" s="36" t="s">
        <v>186</v>
      </c>
      <c r="AB207" s="36"/>
      <c r="AC207" s="36"/>
      <c r="AD207" s="29" t="s">
        <v>119</v>
      </c>
      <c r="AE207" s="36" t="str">
        <f>_xlfn.XLOOKUP(表格1[[#This Row],[唯一識別碼]],API清冊0707!B:B,API清冊0707!T:T,"")&amp;""</f>
        <v>無下拉選單</v>
      </c>
    </row>
    <row r="208" spans="1:31" ht="220.5" customHeight="1" x14ac:dyDescent="0.4">
      <c r="A208" s="29" t="s">
        <v>979</v>
      </c>
      <c r="B208" s="29"/>
      <c r="C208" s="29"/>
      <c r="D208" s="29" t="s">
        <v>980</v>
      </c>
      <c r="E208" s="29" t="s">
        <v>981</v>
      </c>
      <c r="F208" s="29" t="s">
        <v>982</v>
      </c>
      <c r="G208" s="35"/>
      <c r="H208" s="35" t="s">
        <v>151</v>
      </c>
      <c r="I208" s="29" t="s">
        <v>979</v>
      </c>
      <c r="J208" s="37"/>
      <c r="K208" s="38"/>
      <c r="L208" s="38"/>
      <c r="M208" s="36" t="s">
        <v>60</v>
      </c>
      <c r="N208" s="15" t="s">
        <v>152</v>
      </c>
      <c r="O208" s="36" t="s">
        <v>162</v>
      </c>
      <c r="P208" s="36" t="str">
        <f t="shared" si="6"/>
        <v>WMTS_1/1000地形圖_正射影像_彰化縣高速公路彰化交流道附近特定區計畫(112年)</v>
      </c>
      <c r="Q208" s="29" t="s">
        <v>982</v>
      </c>
      <c r="R208" s="29" t="str">
        <f t="shared" si="7"/>
        <v>2dms_wmts_v1_TOPON1KPHOTO_N02</v>
      </c>
      <c r="S208" s="39" t="s">
        <v>155</v>
      </c>
      <c r="U208" s="27" t="str">
        <f>_xlfn.XLOOKUP(表格1[[#This Row],[服務類別(英)]],參考2_服務標準對照!$B:$B,參考2_服務標準對照!$C:$C,"")&amp;""</f>
        <v>OGC</v>
      </c>
      <c r="V208" s="29" t="s">
        <v>7</v>
      </c>
      <c r="W208" s="29" t="s">
        <v>163</v>
      </c>
      <c r="X208" s="29" t="s">
        <v>81</v>
      </c>
      <c r="Y208" s="36" t="s">
        <v>83</v>
      </c>
      <c r="Z208" s="36" t="s">
        <v>157</v>
      </c>
      <c r="AA208" s="36" t="s">
        <v>186</v>
      </c>
      <c r="AB208" s="36"/>
      <c r="AC208" s="36"/>
      <c r="AD208" s="29" t="s">
        <v>119</v>
      </c>
      <c r="AE208" s="36" t="str">
        <f>_xlfn.XLOOKUP(表格1[[#This Row],[唯一識別碼]],API清冊0707!B:B,API清冊0707!T:T,"")&amp;""</f>
        <v>無下拉選單</v>
      </c>
    </row>
    <row r="209" spans="1:31" ht="220.5" customHeight="1" x14ac:dyDescent="0.4">
      <c r="A209" s="29" t="s">
        <v>983</v>
      </c>
      <c r="B209" s="29"/>
      <c r="C209" s="29"/>
      <c r="D209" s="29" t="s">
        <v>984</v>
      </c>
      <c r="E209" s="29" t="s">
        <v>985</v>
      </c>
      <c r="F209" s="29" t="s">
        <v>986</v>
      </c>
      <c r="G209" s="35"/>
      <c r="H209" s="35" t="s">
        <v>151</v>
      </c>
      <c r="I209" s="29" t="s">
        <v>983</v>
      </c>
      <c r="J209" s="37"/>
      <c r="K209" s="38"/>
      <c r="L209" s="38"/>
      <c r="M209" s="36" t="s">
        <v>60</v>
      </c>
      <c r="N209" s="15" t="s">
        <v>152</v>
      </c>
      <c r="O209" s="36" t="s">
        <v>162</v>
      </c>
      <c r="P209" s="36" t="str">
        <f t="shared" si="6"/>
        <v>WMTS_1/1000地形圖_正射影像_彰化縣彰化都市計畫(112年)</v>
      </c>
      <c r="Q209" s="29" t="s">
        <v>986</v>
      </c>
      <c r="R209" s="29" t="str">
        <f t="shared" si="7"/>
        <v>2dms_wmts_v1_TOPON1KPHOTO_N01</v>
      </c>
      <c r="S209" s="39" t="s">
        <v>155</v>
      </c>
      <c r="U209" s="27" t="str">
        <f>_xlfn.XLOOKUP(表格1[[#This Row],[服務類別(英)]],參考2_服務標準對照!$B:$B,參考2_服務標準對照!$C:$C,"")&amp;""</f>
        <v>OGC</v>
      </c>
      <c r="V209" s="29" t="s">
        <v>7</v>
      </c>
      <c r="W209" s="29" t="s">
        <v>163</v>
      </c>
      <c r="X209" s="29" t="s">
        <v>81</v>
      </c>
      <c r="Y209" s="36" t="s">
        <v>83</v>
      </c>
      <c r="Z209" s="36" t="s">
        <v>157</v>
      </c>
      <c r="AA209" s="36" t="s">
        <v>186</v>
      </c>
      <c r="AB209" s="36"/>
      <c r="AC209" s="36"/>
      <c r="AD209" s="29" t="s">
        <v>119</v>
      </c>
      <c r="AE209" s="36" t="str">
        <f>_xlfn.XLOOKUP(表格1[[#This Row],[唯一識別碼]],API清冊0707!B:B,API清冊0707!T:T,"")&amp;""</f>
        <v>無下拉選單</v>
      </c>
    </row>
    <row r="210" spans="1:31" ht="220.5" customHeight="1" x14ac:dyDescent="0.4">
      <c r="A210" s="29" t="s">
        <v>987</v>
      </c>
      <c r="B210" s="29"/>
      <c r="C210" s="29"/>
      <c r="D210" s="29" t="s">
        <v>988</v>
      </c>
      <c r="E210" s="29" t="s">
        <v>989</v>
      </c>
      <c r="F210" s="29" t="s">
        <v>990</v>
      </c>
      <c r="G210" s="35"/>
      <c r="H210" s="35" t="s">
        <v>151</v>
      </c>
      <c r="I210" s="29" t="s">
        <v>987</v>
      </c>
      <c r="J210" s="37"/>
      <c r="K210" s="38"/>
      <c r="L210" s="38"/>
      <c r="M210" s="36" t="s">
        <v>60</v>
      </c>
      <c r="N210" s="15" t="s">
        <v>152</v>
      </c>
      <c r="O210" s="36" t="s">
        <v>162</v>
      </c>
      <c r="P210" s="36" t="str">
        <f t="shared" si="6"/>
        <v>WMTS_1/1000地形圖_正射影像_南投縣草屯都市計畫(112年)</v>
      </c>
      <c r="Q210" s="29" t="s">
        <v>990</v>
      </c>
      <c r="R210" s="29" t="str">
        <f t="shared" si="7"/>
        <v>2dms_wmts_v1_TOPON1KPHOTO_M04</v>
      </c>
      <c r="S210" s="39" t="s">
        <v>155</v>
      </c>
      <c r="U210" s="27" t="str">
        <f>_xlfn.XLOOKUP(表格1[[#This Row],[服務類別(英)]],參考2_服務標準對照!$B:$B,參考2_服務標準對照!$C:$C,"")&amp;""</f>
        <v>OGC</v>
      </c>
      <c r="V210" s="29" t="s">
        <v>7</v>
      </c>
      <c r="W210" s="29" t="s">
        <v>163</v>
      </c>
      <c r="X210" s="29" t="s">
        <v>81</v>
      </c>
      <c r="Y210" s="36" t="s">
        <v>83</v>
      </c>
      <c r="Z210" s="36" t="s">
        <v>157</v>
      </c>
      <c r="AA210" s="36" t="s">
        <v>186</v>
      </c>
      <c r="AB210" s="36"/>
      <c r="AC210" s="36"/>
      <c r="AD210" s="29" t="s">
        <v>119</v>
      </c>
      <c r="AE210" s="36" t="str">
        <f>_xlfn.XLOOKUP(表格1[[#This Row],[唯一識別碼]],API清冊0707!B:B,API清冊0707!T:T,"")&amp;""</f>
        <v>無下拉選單</v>
      </c>
    </row>
    <row r="211" spans="1:31" ht="220.5" customHeight="1" x14ac:dyDescent="0.4">
      <c r="A211" s="29" t="s">
        <v>991</v>
      </c>
      <c r="B211" s="29"/>
      <c r="C211" s="29"/>
      <c r="D211" s="29" t="s">
        <v>992</v>
      </c>
      <c r="E211" s="29" t="s">
        <v>993</v>
      </c>
      <c r="F211" s="29" t="s">
        <v>994</v>
      </c>
      <c r="G211" s="35"/>
      <c r="H211" s="35" t="s">
        <v>151</v>
      </c>
      <c r="I211" s="29" t="s">
        <v>991</v>
      </c>
      <c r="J211" s="37"/>
      <c r="K211" s="38"/>
      <c r="L211" s="38"/>
      <c r="M211" s="36" t="s">
        <v>60</v>
      </c>
      <c r="N211" s="15" t="s">
        <v>152</v>
      </c>
      <c r="O211" s="36" t="s">
        <v>162</v>
      </c>
      <c r="P211" s="36" t="str">
        <f t="shared" si="6"/>
        <v>WMTS_1/1000地形圖_正射影像_南投縣中興新村(含南內轆地區)都市計畫(112年)</v>
      </c>
      <c r="Q211" s="29" t="s">
        <v>994</v>
      </c>
      <c r="R211" s="29" t="str">
        <f t="shared" si="7"/>
        <v>2dms_wmts_v1_TOPON1KPHOTO_M02</v>
      </c>
      <c r="S211" s="39" t="s">
        <v>155</v>
      </c>
      <c r="U211" s="27" t="str">
        <f>_xlfn.XLOOKUP(表格1[[#This Row],[服務類別(英)]],參考2_服務標準對照!$B:$B,參考2_服務標準對照!$C:$C,"")&amp;""</f>
        <v>OGC</v>
      </c>
      <c r="V211" s="29" t="s">
        <v>7</v>
      </c>
      <c r="W211" s="29" t="s">
        <v>163</v>
      </c>
      <c r="X211" s="29" t="s">
        <v>81</v>
      </c>
      <c r="Y211" s="36" t="s">
        <v>83</v>
      </c>
      <c r="Z211" s="36" t="s">
        <v>157</v>
      </c>
      <c r="AA211" s="36" t="s">
        <v>186</v>
      </c>
      <c r="AB211" s="36"/>
      <c r="AC211" s="36"/>
      <c r="AD211" s="29" t="s">
        <v>119</v>
      </c>
      <c r="AE211" s="36" t="str">
        <f>_xlfn.XLOOKUP(表格1[[#This Row],[唯一識別碼]],API清冊0707!B:B,API清冊0707!T:T,"")&amp;""</f>
        <v>無下拉選單</v>
      </c>
    </row>
    <row r="212" spans="1:31" ht="220.5" customHeight="1" x14ac:dyDescent="0.4">
      <c r="A212" s="29" t="s">
        <v>995</v>
      </c>
      <c r="B212" s="29"/>
      <c r="C212" s="29"/>
      <c r="D212" s="29" t="s">
        <v>996</v>
      </c>
      <c r="E212" s="29" t="s">
        <v>997</v>
      </c>
      <c r="F212" s="29" t="s">
        <v>998</v>
      </c>
      <c r="G212" s="35"/>
      <c r="H212" s="35" t="s">
        <v>151</v>
      </c>
      <c r="I212" s="29" t="s">
        <v>995</v>
      </c>
      <c r="J212" s="37"/>
      <c r="K212" s="38"/>
      <c r="L212" s="38"/>
      <c r="M212" s="36" t="s">
        <v>60</v>
      </c>
      <c r="N212" s="15" t="s">
        <v>152</v>
      </c>
      <c r="O212" s="36" t="s">
        <v>162</v>
      </c>
      <c r="P212" s="36" t="str">
        <f t="shared" si="6"/>
        <v>WMTS_1/1000地形圖_正射影像_南投縣南投(含南崗地區)都市計畫(112年)</v>
      </c>
      <c r="Q212" s="29" t="s">
        <v>998</v>
      </c>
      <c r="R212" s="29" t="str">
        <f t="shared" si="7"/>
        <v>2dms_wmts_v1_TOPON1KPHOTO_M01</v>
      </c>
      <c r="S212" s="39" t="s">
        <v>155</v>
      </c>
      <c r="U212" s="27" t="str">
        <f>_xlfn.XLOOKUP(表格1[[#This Row],[服務類別(英)]],參考2_服務標準對照!$B:$B,參考2_服務標準對照!$C:$C,"")&amp;""</f>
        <v>OGC</v>
      </c>
      <c r="V212" s="29" t="s">
        <v>7</v>
      </c>
      <c r="W212" s="29" t="s">
        <v>163</v>
      </c>
      <c r="X212" s="29" t="s">
        <v>81</v>
      </c>
      <c r="Y212" s="36" t="s">
        <v>83</v>
      </c>
      <c r="Z212" s="36" t="s">
        <v>157</v>
      </c>
      <c r="AA212" s="36" t="s">
        <v>186</v>
      </c>
      <c r="AB212" s="36"/>
      <c r="AC212" s="36"/>
      <c r="AD212" s="29" t="s">
        <v>119</v>
      </c>
      <c r="AE212" s="36" t="str">
        <f>_xlfn.XLOOKUP(表格1[[#This Row],[唯一識別碼]],API清冊0707!B:B,API清冊0707!T:T,"")&amp;""</f>
        <v>無下拉選單</v>
      </c>
    </row>
    <row r="213" spans="1:31" ht="220.5" customHeight="1" x14ac:dyDescent="0.4">
      <c r="A213" s="29" t="s">
        <v>999</v>
      </c>
      <c r="B213" s="29"/>
      <c r="C213" s="29"/>
      <c r="D213" s="29" t="s">
        <v>1000</v>
      </c>
      <c r="E213" s="29" t="s">
        <v>1001</v>
      </c>
      <c r="F213" s="29" t="s">
        <v>1002</v>
      </c>
      <c r="G213" s="35"/>
      <c r="H213" s="35" t="s">
        <v>151</v>
      </c>
      <c r="I213" s="29" t="s">
        <v>999</v>
      </c>
      <c r="J213" s="37"/>
      <c r="K213" s="38"/>
      <c r="L213" s="38"/>
      <c r="M213" s="36" t="s">
        <v>60</v>
      </c>
      <c r="N213" s="15" t="s">
        <v>152</v>
      </c>
      <c r="O213" s="36" t="s">
        <v>162</v>
      </c>
      <c r="P213" s="36" t="str">
        <f t="shared" si="6"/>
        <v>WMTS_1/1000地形圖_正射影像_苗栗縣頭屋都市計畫(112年)</v>
      </c>
      <c r="Q213" s="29" t="s">
        <v>1002</v>
      </c>
      <c r="R213" s="29" t="str">
        <f t="shared" si="7"/>
        <v>2dms_wmts_v1_TOPON1KPHOTO_K14</v>
      </c>
      <c r="S213" s="39" t="s">
        <v>155</v>
      </c>
      <c r="U213" s="27" t="str">
        <f>_xlfn.XLOOKUP(表格1[[#This Row],[服務類別(英)]],參考2_服務標準對照!$B:$B,參考2_服務標準對照!$C:$C,"")&amp;""</f>
        <v>OGC</v>
      </c>
      <c r="V213" s="29" t="s">
        <v>7</v>
      </c>
      <c r="W213" s="29" t="s">
        <v>163</v>
      </c>
      <c r="X213" s="29" t="s">
        <v>81</v>
      </c>
      <c r="Y213" s="36" t="s">
        <v>83</v>
      </c>
      <c r="Z213" s="36" t="s">
        <v>157</v>
      </c>
      <c r="AA213" s="36" t="s">
        <v>186</v>
      </c>
      <c r="AB213" s="36"/>
      <c r="AC213" s="36"/>
      <c r="AD213" s="29" t="s">
        <v>119</v>
      </c>
      <c r="AE213" s="36" t="str">
        <f>_xlfn.XLOOKUP(表格1[[#This Row],[唯一識別碼]],API清冊0707!B:B,API清冊0707!T:T,"")&amp;""</f>
        <v>無下拉選單</v>
      </c>
    </row>
    <row r="214" spans="1:31" ht="220.5" customHeight="1" x14ac:dyDescent="0.4">
      <c r="A214" s="29" t="s">
        <v>1003</v>
      </c>
      <c r="B214" s="29"/>
      <c r="C214" s="29"/>
      <c r="D214" s="29" t="s">
        <v>1004</v>
      </c>
      <c r="E214" s="29" t="s">
        <v>1005</v>
      </c>
      <c r="F214" s="29" t="s">
        <v>1006</v>
      </c>
      <c r="G214" s="35"/>
      <c r="H214" s="35" t="s">
        <v>151</v>
      </c>
      <c r="I214" s="29" t="s">
        <v>1003</v>
      </c>
      <c r="J214" s="37"/>
      <c r="K214" s="38"/>
      <c r="L214" s="38"/>
      <c r="M214" s="36" t="s">
        <v>60</v>
      </c>
      <c r="N214" s="15" t="s">
        <v>152</v>
      </c>
      <c r="O214" s="36" t="s">
        <v>162</v>
      </c>
      <c r="P214" s="36" t="str">
        <f t="shared" si="6"/>
        <v>WMTS_1/1000地形圖_正射影像_苗栗縣高速公路苗栗交流道附近特定區計畫(112年)</v>
      </c>
      <c r="Q214" s="29" t="s">
        <v>1006</v>
      </c>
      <c r="R214" s="29" t="str">
        <f t="shared" si="7"/>
        <v>2dms_wmts_v1_TOPON1KPHOTO_K02</v>
      </c>
      <c r="S214" s="39" t="s">
        <v>155</v>
      </c>
      <c r="U214" s="27" t="str">
        <f>_xlfn.XLOOKUP(表格1[[#This Row],[服務類別(英)]],參考2_服務標準對照!$B:$B,參考2_服務標準對照!$C:$C,"")&amp;""</f>
        <v>OGC</v>
      </c>
      <c r="V214" s="29" t="s">
        <v>7</v>
      </c>
      <c r="W214" s="29" t="s">
        <v>163</v>
      </c>
      <c r="X214" s="29" t="s">
        <v>81</v>
      </c>
      <c r="Y214" s="36" t="s">
        <v>83</v>
      </c>
      <c r="Z214" s="36" t="s">
        <v>157</v>
      </c>
      <c r="AA214" s="36" t="s">
        <v>186</v>
      </c>
      <c r="AB214" s="36"/>
      <c r="AC214" s="36"/>
      <c r="AD214" s="29" t="s">
        <v>119</v>
      </c>
      <c r="AE214" s="36" t="str">
        <f>_xlfn.XLOOKUP(表格1[[#This Row],[唯一識別碼]],API清冊0707!B:B,API清冊0707!T:T,"")&amp;""</f>
        <v>無下拉選單</v>
      </c>
    </row>
    <row r="215" spans="1:31" ht="220.5" customHeight="1" x14ac:dyDescent="0.4">
      <c r="A215" s="29" t="s">
        <v>1007</v>
      </c>
      <c r="B215" s="29"/>
      <c r="C215" s="29"/>
      <c r="D215" s="29" t="s">
        <v>1008</v>
      </c>
      <c r="E215" s="29" t="s">
        <v>1009</v>
      </c>
      <c r="F215" s="29" t="s">
        <v>1010</v>
      </c>
      <c r="G215" s="35"/>
      <c r="H215" s="35" t="s">
        <v>151</v>
      </c>
      <c r="I215" s="29" t="s">
        <v>1007</v>
      </c>
      <c r="J215" s="37"/>
      <c r="K215" s="38"/>
      <c r="L215" s="38"/>
      <c r="M215" s="36" t="s">
        <v>60</v>
      </c>
      <c r="N215" s="15" t="s">
        <v>152</v>
      </c>
      <c r="O215" s="36" t="s">
        <v>162</v>
      </c>
      <c r="P215" s="36" t="str">
        <f t="shared" si="6"/>
        <v>WMTS_1/1000地形圖_正射影像_苗栗縣苗栗都市計畫(112年)</v>
      </c>
      <c r="Q215" s="29" t="s">
        <v>1010</v>
      </c>
      <c r="R215" s="29" t="str">
        <f t="shared" si="7"/>
        <v>2dms_wmts_v1_TOPON1KPHOTO_K01</v>
      </c>
      <c r="S215" s="39" t="s">
        <v>155</v>
      </c>
      <c r="U215" s="27" t="str">
        <f>_xlfn.XLOOKUP(表格1[[#This Row],[服務類別(英)]],參考2_服務標準對照!$B:$B,參考2_服務標準對照!$C:$C,"")&amp;""</f>
        <v>OGC</v>
      </c>
      <c r="V215" s="29" t="s">
        <v>7</v>
      </c>
      <c r="W215" s="29" t="s">
        <v>163</v>
      </c>
      <c r="X215" s="29" t="s">
        <v>81</v>
      </c>
      <c r="Y215" s="36" t="s">
        <v>83</v>
      </c>
      <c r="Z215" s="36" t="s">
        <v>157</v>
      </c>
      <c r="AA215" s="36" t="s">
        <v>186</v>
      </c>
      <c r="AB215" s="36"/>
      <c r="AC215" s="36"/>
      <c r="AD215" s="29" t="s">
        <v>119</v>
      </c>
      <c r="AE215" s="36" t="str">
        <f>_xlfn.XLOOKUP(表格1[[#This Row],[唯一識別碼]],API清冊0707!B:B,API清冊0707!T:T,"")&amp;""</f>
        <v>無下拉選單</v>
      </c>
    </row>
    <row r="216" spans="1:31" ht="220.5" customHeight="1" x14ac:dyDescent="0.4">
      <c r="A216" s="29" t="s">
        <v>1011</v>
      </c>
      <c r="B216" s="29"/>
      <c r="C216" s="29"/>
      <c r="D216" s="29" t="s">
        <v>1012</v>
      </c>
      <c r="E216" s="29" t="s">
        <v>1013</v>
      </c>
      <c r="F216" s="29" t="s">
        <v>1014</v>
      </c>
      <c r="G216" s="35"/>
      <c r="H216" s="35" t="s">
        <v>151</v>
      </c>
      <c r="I216" s="29" t="s">
        <v>1011</v>
      </c>
      <c r="J216" s="37"/>
      <c r="K216" s="38"/>
      <c r="L216" s="38"/>
      <c r="M216" s="36" t="s">
        <v>60</v>
      </c>
      <c r="N216" s="15" t="s">
        <v>152</v>
      </c>
      <c r="O216" s="36" t="s">
        <v>162</v>
      </c>
      <c r="P216" s="36" t="str">
        <f t="shared" si="6"/>
        <v>WMTS_1/1000地形圖_正射影像_新竹科學工業園區特定區計畫(寶山部分)(112年)</v>
      </c>
      <c r="Q216" s="29" t="s">
        <v>1014</v>
      </c>
      <c r="R216" s="29" t="str">
        <f t="shared" si="7"/>
        <v>2dms_wmts_v1_TOPON1KPHOTO_J17</v>
      </c>
      <c r="S216" s="39" t="s">
        <v>155</v>
      </c>
      <c r="U216" s="27" t="str">
        <f>_xlfn.XLOOKUP(表格1[[#This Row],[服務類別(英)]],參考2_服務標準對照!$B:$B,參考2_服務標準對照!$C:$C,"")&amp;""</f>
        <v>OGC</v>
      </c>
      <c r="V216" s="29" t="s">
        <v>7</v>
      </c>
      <c r="W216" s="29" t="s">
        <v>163</v>
      </c>
      <c r="X216" s="29" t="s">
        <v>81</v>
      </c>
      <c r="Y216" s="36" t="s">
        <v>83</v>
      </c>
      <c r="Z216" s="36" t="s">
        <v>157</v>
      </c>
      <c r="AA216" s="36" t="s">
        <v>186</v>
      </c>
      <c r="AB216" s="36"/>
      <c r="AC216" s="36"/>
      <c r="AD216" s="29" t="s">
        <v>119</v>
      </c>
      <c r="AE216" s="36" t="str">
        <f>_xlfn.XLOOKUP(表格1[[#This Row],[唯一識別碼]],API清冊0707!B:B,API清冊0707!T:T,"")&amp;""</f>
        <v>無下拉選單</v>
      </c>
    </row>
    <row r="217" spans="1:31" ht="220.5" customHeight="1" x14ac:dyDescent="0.4">
      <c r="A217" s="29" t="s">
        <v>1015</v>
      </c>
      <c r="B217" s="29"/>
      <c r="C217" s="29"/>
      <c r="D217" s="29" t="s">
        <v>1016</v>
      </c>
      <c r="E217" s="29" t="s">
        <v>1017</v>
      </c>
      <c r="F217" s="29" t="s">
        <v>1018</v>
      </c>
      <c r="G217" s="35"/>
      <c r="H217" s="35" t="s">
        <v>151</v>
      </c>
      <c r="I217" s="29" t="s">
        <v>1015</v>
      </c>
      <c r="J217" s="37"/>
      <c r="K217" s="38"/>
      <c r="L217" s="38"/>
      <c r="M217" s="36" t="s">
        <v>60</v>
      </c>
      <c r="N217" s="15" t="s">
        <v>152</v>
      </c>
      <c r="O217" s="36" t="s">
        <v>162</v>
      </c>
      <c r="P217" s="36" t="str">
        <f t="shared" si="6"/>
        <v>WMTS_1/1000地形圖_正射影像_新竹縣高速鐵路新竹車站特定區計畫(113年)</v>
      </c>
      <c r="Q217" s="29" t="s">
        <v>1018</v>
      </c>
      <c r="R217" s="29" t="str">
        <f t="shared" si="7"/>
        <v>2dms_wmts_v1_TOPON1KPHOTO_J16</v>
      </c>
      <c r="S217" s="39" t="s">
        <v>155</v>
      </c>
      <c r="U217" s="27" t="str">
        <f>_xlfn.XLOOKUP(表格1[[#This Row],[服務類別(英)]],參考2_服務標準對照!$B:$B,參考2_服務標準對照!$C:$C,"")&amp;""</f>
        <v>OGC</v>
      </c>
      <c r="V217" s="29" t="s">
        <v>7</v>
      </c>
      <c r="W217" s="29" t="s">
        <v>163</v>
      </c>
      <c r="X217" s="29" t="s">
        <v>81</v>
      </c>
      <c r="Y217" s="36" t="s">
        <v>83</v>
      </c>
      <c r="Z217" s="36" t="s">
        <v>157</v>
      </c>
      <c r="AA217" s="36" t="s">
        <v>186</v>
      </c>
      <c r="AB217" s="36"/>
      <c r="AC217" s="36"/>
      <c r="AD217" s="29" t="s">
        <v>119</v>
      </c>
      <c r="AE217" s="36" t="str">
        <f>_xlfn.XLOOKUP(表格1[[#This Row],[唯一識別碼]],API清冊0707!B:B,API清冊0707!T:T,"")&amp;""</f>
        <v>無下拉選單</v>
      </c>
    </row>
    <row r="218" spans="1:31" ht="220.5" customHeight="1" x14ac:dyDescent="0.4">
      <c r="A218" s="29" t="s">
        <v>1019</v>
      </c>
      <c r="B218" s="29"/>
      <c r="C218" s="29"/>
      <c r="D218" s="29" t="s">
        <v>1020</v>
      </c>
      <c r="E218" s="29" t="s">
        <v>1021</v>
      </c>
      <c r="F218" s="29" t="s">
        <v>1022</v>
      </c>
      <c r="G218" s="35"/>
      <c r="H218" s="35" t="s">
        <v>151</v>
      </c>
      <c r="I218" s="29" t="s">
        <v>1019</v>
      </c>
      <c r="J218" s="37"/>
      <c r="K218" s="38"/>
      <c r="L218" s="38"/>
      <c r="M218" s="36" t="s">
        <v>60</v>
      </c>
      <c r="N218" s="15" t="s">
        <v>152</v>
      </c>
      <c r="O218" s="36" t="s">
        <v>162</v>
      </c>
      <c r="P218" s="36" t="str">
        <f t="shared" si="6"/>
        <v>WMTS_1/1000地形圖_正射影像_新竹縣寶山都市計畫(112年)</v>
      </c>
      <c r="Q218" s="29" t="s">
        <v>1022</v>
      </c>
      <c r="R218" s="29" t="str">
        <f t="shared" si="7"/>
        <v>2dms_wmts_v1_TOPON1KPHOTO_J13</v>
      </c>
      <c r="S218" s="39" t="s">
        <v>155</v>
      </c>
      <c r="U218" s="27" t="str">
        <f>_xlfn.XLOOKUP(表格1[[#This Row],[服務類別(英)]],參考2_服務標準對照!$B:$B,參考2_服務標準對照!$C:$C,"")&amp;""</f>
        <v>OGC</v>
      </c>
      <c r="V218" s="29" t="s">
        <v>7</v>
      </c>
      <c r="W218" s="29" t="s">
        <v>163</v>
      </c>
      <c r="X218" s="29" t="s">
        <v>81</v>
      </c>
      <c r="Y218" s="36" t="s">
        <v>83</v>
      </c>
      <c r="Z218" s="36" t="s">
        <v>157</v>
      </c>
      <c r="AA218" s="36" t="s">
        <v>186</v>
      </c>
      <c r="AB218" s="36"/>
      <c r="AC218" s="36"/>
      <c r="AD218" s="29" t="s">
        <v>119</v>
      </c>
      <c r="AE218" s="36" t="str">
        <f>_xlfn.XLOOKUP(表格1[[#This Row],[唯一識別碼]],API清冊0707!B:B,API清冊0707!T:T,"")&amp;""</f>
        <v>無下拉選單</v>
      </c>
    </row>
    <row r="219" spans="1:31" ht="220.5" customHeight="1" x14ac:dyDescent="0.4">
      <c r="A219" s="29" t="s">
        <v>1023</v>
      </c>
      <c r="B219" s="29"/>
      <c r="C219" s="29"/>
      <c r="D219" s="29" t="s">
        <v>1024</v>
      </c>
      <c r="E219" s="29" t="s">
        <v>1025</v>
      </c>
      <c r="F219" s="29" t="s">
        <v>1026</v>
      </c>
      <c r="G219" s="35"/>
      <c r="H219" s="35" t="s">
        <v>151</v>
      </c>
      <c r="I219" s="29" t="s">
        <v>1023</v>
      </c>
      <c r="J219" s="37"/>
      <c r="K219" s="38"/>
      <c r="L219" s="38"/>
      <c r="M219" s="36" t="s">
        <v>60</v>
      </c>
      <c r="N219" s="15" t="s">
        <v>152</v>
      </c>
      <c r="O219" s="36" t="s">
        <v>162</v>
      </c>
      <c r="P219" s="36" t="str">
        <f t="shared" si="6"/>
        <v>WMTS_1/1000地形圖_正射影像_新竹縣竹北(含斗崙地區)都市計畫(113年)</v>
      </c>
      <c r="Q219" s="29" t="s">
        <v>1026</v>
      </c>
      <c r="R219" s="29" t="str">
        <f t="shared" si="7"/>
        <v>2dms_wmts_v1_TOPON1KPHOTO_J06</v>
      </c>
      <c r="S219" s="39" t="s">
        <v>155</v>
      </c>
      <c r="U219" s="27" t="str">
        <f>_xlfn.XLOOKUP(表格1[[#This Row],[服務類別(英)]],參考2_服務標準對照!$B:$B,參考2_服務標準對照!$C:$C,"")&amp;""</f>
        <v>OGC</v>
      </c>
      <c r="V219" s="29" t="s">
        <v>7</v>
      </c>
      <c r="W219" s="29" t="s">
        <v>163</v>
      </c>
      <c r="X219" s="29" t="s">
        <v>81</v>
      </c>
      <c r="Y219" s="36" t="s">
        <v>83</v>
      </c>
      <c r="Z219" s="36" t="s">
        <v>157</v>
      </c>
      <c r="AA219" s="36" t="s">
        <v>186</v>
      </c>
      <c r="AB219" s="36"/>
      <c r="AC219" s="36"/>
      <c r="AD219" s="29" t="s">
        <v>119</v>
      </c>
      <c r="AE219" s="36" t="str">
        <f>_xlfn.XLOOKUP(表格1[[#This Row],[唯一識別碼]],API清冊0707!B:B,API清冊0707!T:T,"")&amp;""</f>
        <v>無下拉選單</v>
      </c>
    </row>
    <row r="220" spans="1:31" ht="220.5" customHeight="1" x14ac:dyDescent="0.4">
      <c r="A220" s="29" t="s">
        <v>1027</v>
      </c>
      <c r="B220" s="29"/>
      <c r="C220" s="29"/>
      <c r="D220" s="29" t="s">
        <v>1028</v>
      </c>
      <c r="E220" s="29" t="s">
        <v>1029</v>
      </c>
      <c r="F220" s="29" t="s">
        <v>1030</v>
      </c>
      <c r="G220" s="35"/>
      <c r="H220" s="35" t="s">
        <v>151</v>
      </c>
      <c r="I220" s="29" t="s">
        <v>1027</v>
      </c>
      <c r="J220" s="37"/>
      <c r="K220" s="38"/>
      <c r="L220" s="38"/>
      <c r="M220" s="36" t="s">
        <v>60</v>
      </c>
      <c r="N220" s="15" t="s">
        <v>152</v>
      </c>
      <c r="O220" s="36" t="s">
        <v>162</v>
      </c>
      <c r="P220" s="36" t="str">
        <f t="shared" si="6"/>
        <v>WMTS_1/1000地形圖_正射影像_新竹科學工業園區特定區計畫(竹東部分)(112年)</v>
      </c>
      <c r="Q220" s="29" t="s">
        <v>1030</v>
      </c>
      <c r="R220" s="29" t="str">
        <f t="shared" si="7"/>
        <v>2dms_wmts_v1_TOPON1KPHOTO_J01</v>
      </c>
      <c r="S220" s="39" t="s">
        <v>155</v>
      </c>
      <c r="U220" s="27" t="str">
        <f>_xlfn.XLOOKUP(表格1[[#This Row],[服務類別(英)]],參考2_服務標準對照!$B:$B,參考2_服務標準對照!$C:$C,"")&amp;""</f>
        <v>OGC</v>
      </c>
      <c r="V220" s="29" t="s">
        <v>7</v>
      </c>
      <c r="W220" s="29" t="s">
        <v>163</v>
      </c>
      <c r="X220" s="29" t="s">
        <v>81</v>
      </c>
      <c r="Y220" s="36" t="s">
        <v>83</v>
      </c>
      <c r="Z220" s="36" t="s">
        <v>157</v>
      </c>
      <c r="AA220" s="36" t="s">
        <v>186</v>
      </c>
      <c r="AB220" s="36"/>
      <c r="AC220" s="36"/>
      <c r="AD220" s="29" t="s">
        <v>119</v>
      </c>
      <c r="AE220" s="36" t="str">
        <f>_xlfn.XLOOKUP(表格1[[#This Row],[唯一識別碼]],API清冊0707!B:B,API清冊0707!T:T,"")&amp;""</f>
        <v>無下拉選單</v>
      </c>
    </row>
    <row r="221" spans="1:31" ht="220.5" customHeight="1" x14ac:dyDescent="0.4">
      <c r="A221" s="29" t="s">
        <v>1031</v>
      </c>
      <c r="B221" s="29"/>
      <c r="C221" s="29"/>
      <c r="D221" s="29" t="s">
        <v>1032</v>
      </c>
      <c r="E221" s="29" t="s">
        <v>1033</v>
      </c>
      <c r="F221" s="29" t="s">
        <v>1034</v>
      </c>
      <c r="G221" s="35"/>
      <c r="H221" s="35" t="s">
        <v>151</v>
      </c>
      <c r="I221" s="29" t="s">
        <v>1031</v>
      </c>
      <c r="J221" s="37"/>
      <c r="K221" s="38"/>
      <c r="L221" s="38"/>
      <c r="M221" s="36" t="s">
        <v>60</v>
      </c>
      <c r="N221" s="15" t="s">
        <v>152</v>
      </c>
      <c r="O221" s="36" t="s">
        <v>162</v>
      </c>
      <c r="P221" s="36" t="str">
        <f t="shared" si="6"/>
        <v>WMTS_1/1000地形圖_正射影像_桃園市平鎮(山子頂地區)都市計畫(112年)</v>
      </c>
      <c r="Q221" s="29" t="s">
        <v>1034</v>
      </c>
      <c r="R221" s="29" t="str">
        <f t="shared" si="7"/>
        <v>2dms_wmts_v1_TOPON1KPHOTO_H31</v>
      </c>
      <c r="S221" s="39" t="s">
        <v>155</v>
      </c>
      <c r="U221" s="27" t="str">
        <f>_xlfn.XLOOKUP(表格1[[#This Row],[服務類別(英)]],參考2_服務標準對照!$B:$B,參考2_服務標準對照!$C:$C,"")&amp;""</f>
        <v>OGC</v>
      </c>
      <c r="V221" s="29" t="s">
        <v>7</v>
      </c>
      <c r="W221" s="29" t="s">
        <v>163</v>
      </c>
      <c r="X221" s="29" t="s">
        <v>81</v>
      </c>
      <c r="Y221" s="36" t="s">
        <v>83</v>
      </c>
      <c r="Z221" s="36" t="s">
        <v>157</v>
      </c>
      <c r="AA221" s="36" t="s">
        <v>186</v>
      </c>
      <c r="AB221" s="36"/>
      <c r="AC221" s="36"/>
      <c r="AD221" s="29" t="s">
        <v>119</v>
      </c>
      <c r="AE221" s="36" t="str">
        <f>_xlfn.XLOOKUP(表格1[[#This Row],[唯一識別碼]],API清冊0707!B:B,API清冊0707!T:T,"")&amp;""</f>
        <v>無下拉選單</v>
      </c>
    </row>
    <row r="222" spans="1:31" ht="220.5" customHeight="1" x14ac:dyDescent="0.4">
      <c r="A222" s="29" t="s">
        <v>1035</v>
      </c>
      <c r="B222" s="29"/>
      <c r="C222" s="29"/>
      <c r="D222" s="29" t="s">
        <v>1036</v>
      </c>
      <c r="E222" s="29" t="s">
        <v>1037</v>
      </c>
      <c r="F222" s="29" t="s">
        <v>1038</v>
      </c>
      <c r="G222" s="35"/>
      <c r="H222" s="35" t="s">
        <v>151</v>
      </c>
      <c r="I222" s="29" t="s">
        <v>1035</v>
      </c>
      <c r="J222" s="37"/>
      <c r="K222" s="38"/>
      <c r="L222" s="38"/>
      <c r="M222" s="36" t="s">
        <v>60</v>
      </c>
      <c r="N222" s="15" t="s">
        <v>152</v>
      </c>
      <c r="O222" s="36" t="s">
        <v>162</v>
      </c>
      <c r="P222" s="36" t="str">
        <f t="shared" si="6"/>
        <v>WMTS_1/1000地形圖_正射影像_桃園市觀音(新坡地區)都市計畫(113年)</v>
      </c>
      <c r="Q222" s="29" t="s">
        <v>1038</v>
      </c>
      <c r="R222" s="29" t="str">
        <f t="shared" si="7"/>
        <v>2dms_wmts_v1_TOPON1KPHOTO_H21</v>
      </c>
      <c r="S222" s="39" t="s">
        <v>155</v>
      </c>
      <c r="U222" s="27" t="str">
        <f>_xlfn.XLOOKUP(表格1[[#This Row],[服務類別(英)]],參考2_服務標準對照!$B:$B,參考2_服務標準對照!$C:$C,"")&amp;""</f>
        <v>OGC</v>
      </c>
      <c r="V222" s="29" t="s">
        <v>7</v>
      </c>
      <c r="W222" s="29" t="s">
        <v>163</v>
      </c>
      <c r="X222" s="29" t="s">
        <v>81</v>
      </c>
      <c r="Y222" s="36" t="s">
        <v>83</v>
      </c>
      <c r="Z222" s="36" t="s">
        <v>157</v>
      </c>
      <c r="AA222" s="36" t="s">
        <v>186</v>
      </c>
      <c r="AB222" s="36"/>
      <c r="AC222" s="36"/>
      <c r="AD222" s="29" t="s">
        <v>119</v>
      </c>
      <c r="AE222" s="36" t="str">
        <f>_xlfn.XLOOKUP(表格1[[#This Row],[唯一識別碼]],API清冊0707!B:B,API清冊0707!T:T,"")&amp;""</f>
        <v>無下拉選單</v>
      </c>
    </row>
    <row r="223" spans="1:31" ht="220.5" customHeight="1" x14ac:dyDescent="0.4">
      <c r="A223" s="29" t="s">
        <v>1039</v>
      </c>
      <c r="B223" s="29"/>
      <c r="C223" s="29"/>
      <c r="D223" s="29" t="s">
        <v>1040</v>
      </c>
      <c r="E223" s="29" t="s">
        <v>1041</v>
      </c>
      <c r="F223" s="29" t="s">
        <v>1042</v>
      </c>
      <c r="G223" s="35"/>
      <c r="H223" s="35" t="s">
        <v>151</v>
      </c>
      <c r="I223" s="29" t="s">
        <v>1039</v>
      </c>
      <c r="J223" s="37"/>
      <c r="K223" s="38"/>
      <c r="L223" s="38"/>
      <c r="M223" s="36" t="s">
        <v>60</v>
      </c>
      <c r="N223" s="15" t="s">
        <v>152</v>
      </c>
      <c r="O223" s="36" t="s">
        <v>162</v>
      </c>
      <c r="P223" s="36" t="str">
        <f t="shared" si="6"/>
        <v>WMTS_1/1000地形圖_正射影像_桃園市觀音都市計畫(113年)</v>
      </c>
      <c r="Q223" s="29" t="s">
        <v>1042</v>
      </c>
      <c r="R223" s="29" t="str">
        <f t="shared" si="7"/>
        <v>2dms_wmts_v1_TOPON1KPHOTO_H20</v>
      </c>
      <c r="S223" s="39" t="s">
        <v>155</v>
      </c>
      <c r="U223" s="27" t="str">
        <f>_xlfn.XLOOKUP(表格1[[#This Row],[服務類別(英)]],參考2_服務標準對照!$B:$B,參考2_服務標準對照!$C:$C,"")&amp;""</f>
        <v>OGC</v>
      </c>
      <c r="V223" s="29" t="s">
        <v>7</v>
      </c>
      <c r="W223" s="29" t="s">
        <v>163</v>
      </c>
      <c r="X223" s="29" t="s">
        <v>81</v>
      </c>
      <c r="Y223" s="36" t="s">
        <v>83</v>
      </c>
      <c r="Z223" s="36" t="s">
        <v>157</v>
      </c>
      <c r="AA223" s="36" t="s">
        <v>186</v>
      </c>
      <c r="AB223" s="36"/>
      <c r="AC223" s="36"/>
      <c r="AD223" s="29" t="s">
        <v>119</v>
      </c>
      <c r="AE223" s="36" t="str">
        <f>_xlfn.XLOOKUP(表格1[[#This Row],[唯一識別碼]],API清冊0707!B:B,API清冊0707!T:T,"")&amp;""</f>
        <v>無下拉選單</v>
      </c>
    </row>
    <row r="224" spans="1:31" ht="220.5" customHeight="1" x14ac:dyDescent="0.4">
      <c r="A224" s="29" t="s">
        <v>1043</v>
      </c>
      <c r="B224" s="29"/>
      <c r="C224" s="29"/>
      <c r="D224" s="29" t="s">
        <v>1044</v>
      </c>
      <c r="E224" s="29" t="s">
        <v>1045</v>
      </c>
      <c r="F224" s="29" t="s">
        <v>1046</v>
      </c>
      <c r="G224" s="35"/>
      <c r="H224" s="35" t="s">
        <v>151</v>
      </c>
      <c r="I224" s="29" t="s">
        <v>1043</v>
      </c>
      <c r="J224" s="37"/>
      <c r="K224" s="38"/>
      <c r="L224" s="38"/>
      <c r="M224" s="36" t="s">
        <v>60</v>
      </c>
      <c r="N224" s="15" t="s">
        <v>152</v>
      </c>
      <c r="O224" s="36" t="s">
        <v>162</v>
      </c>
      <c r="P224" s="36" t="str">
        <f t="shared" si="6"/>
        <v>WMTS_1/1000地形圖_正射影像_桃園市新屋都市計畫(113年)</v>
      </c>
      <c r="Q224" s="29" t="s">
        <v>1046</v>
      </c>
      <c r="R224" s="29" t="str">
        <f t="shared" si="7"/>
        <v>2dms_wmts_v1_TOPON1KPHOTO_H19</v>
      </c>
      <c r="S224" s="39" t="s">
        <v>155</v>
      </c>
      <c r="U224" s="27" t="str">
        <f>_xlfn.XLOOKUP(表格1[[#This Row],[服務類別(英)]],參考2_服務標準對照!$B:$B,參考2_服務標準對照!$C:$C,"")&amp;""</f>
        <v>OGC</v>
      </c>
      <c r="V224" s="29" t="s">
        <v>7</v>
      </c>
      <c r="W224" s="29" t="s">
        <v>163</v>
      </c>
      <c r="X224" s="29" t="s">
        <v>81</v>
      </c>
      <c r="Y224" s="36" t="s">
        <v>83</v>
      </c>
      <c r="Z224" s="36" t="s">
        <v>157</v>
      </c>
      <c r="AA224" s="36" t="s">
        <v>186</v>
      </c>
      <c r="AB224" s="36"/>
      <c r="AC224" s="36"/>
      <c r="AD224" s="29" t="s">
        <v>119</v>
      </c>
      <c r="AE224" s="36" t="str">
        <f>_xlfn.XLOOKUP(表格1[[#This Row],[唯一識別碼]],API清冊0707!B:B,API清冊0707!T:T,"")&amp;""</f>
        <v>無下拉選單</v>
      </c>
    </row>
    <row r="225" spans="1:31" ht="220.5" customHeight="1" x14ac:dyDescent="0.4">
      <c r="A225" s="29" t="s">
        <v>1047</v>
      </c>
      <c r="B225" s="29"/>
      <c r="C225" s="29"/>
      <c r="D225" s="29" t="s">
        <v>1048</v>
      </c>
      <c r="E225" s="29" t="s">
        <v>1049</v>
      </c>
      <c r="F225" s="29" t="s">
        <v>1050</v>
      </c>
      <c r="G225" s="35"/>
      <c r="H225" s="35" t="s">
        <v>151</v>
      </c>
      <c r="I225" s="29" t="s">
        <v>1047</v>
      </c>
      <c r="J225" s="37"/>
      <c r="K225" s="38"/>
      <c r="L225" s="38"/>
      <c r="M225" s="36" t="s">
        <v>60</v>
      </c>
      <c r="N225" s="15" t="s">
        <v>152</v>
      </c>
      <c r="O225" s="36" t="s">
        <v>162</v>
      </c>
      <c r="P225" s="36" t="str">
        <f t="shared" si="6"/>
        <v>WMTS_1/1000地形圖_正射影像_桃園市龍潭都市計畫(113年)</v>
      </c>
      <c r="Q225" s="29" t="s">
        <v>1050</v>
      </c>
      <c r="R225" s="29" t="str">
        <f t="shared" si="7"/>
        <v>2dms_wmts_v1_TOPON1KPHOTO_H18</v>
      </c>
      <c r="S225" s="39" t="s">
        <v>155</v>
      </c>
      <c r="U225" s="27" t="str">
        <f>_xlfn.XLOOKUP(表格1[[#This Row],[服務類別(英)]],參考2_服務標準對照!$B:$B,參考2_服務標準對照!$C:$C,"")&amp;""</f>
        <v>OGC</v>
      </c>
      <c r="V225" s="29" t="s">
        <v>7</v>
      </c>
      <c r="W225" s="29" t="s">
        <v>163</v>
      </c>
      <c r="X225" s="29" t="s">
        <v>81</v>
      </c>
      <c r="Y225" s="36" t="s">
        <v>83</v>
      </c>
      <c r="Z225" s="36" t="s">
        <v>157</v>
      </c>
      <c r="AA225" s="36" t="s">
        <v>186</v>
      </c>
      <c r="AB225" s="36"/>
      <c r="AC225" s="36"/>
      <c r="AD225" s="29" t="s">
        <v>119</v>
      </c>
      <c r="AE225" s="36" t="str">
        <f>_xlfn.XLOOKUP(表格1[[#This Row],[唯一識別碼]],API清冊0707!B:B,API清冊0707!T:T,"")&amp;""</f>
        <v>無下拉選單</v>
      </c>
    </row>
    <row r="226" spans="1:31" ht="220.5" customHeight="1" x14ac:dyDescent="0.4">
      <c r="A226" s="29" t="s">
        <v>1051</v>
      </c>
      <c r="B226" s="29"/>
      <c r="C226" s="29"/>
      <c r="D226" s="29" t="s">
        <v>1052</v>
      </c>
      <c r="E226" s="29" t="s">
        <v>1053</v>
      </c>
      <c r="F226" s="29" t="s">
        <v>1054</v>
      </c>
      <c r="G226" s="35"/>
      <c r="H226" s="35" t="s">
        <v>151</v>
      </c>
      <c r="I226" s="29" t="s">
        <v>1051</v>
      </c>
      <c r="J226" s="37"/>
      <c r="K226" s="38"/>
      <c r="L226" s="38"/>
      <c r="M226" s="36" t="s">
        <v>60</v>
      </c>
      <c r="N226" s="15" t="s">
        <v>152</v>
      </c>
      <c r="O226" s="36" t="s">
        <v>162</v>
      </c>
      <c r="P226" s="36" t="str">
        <f t="shared" si="6"/>
        <v>WMTS_1/1000地形圖_正射影像_宜蘭縣政中心地區都市計畫(112年)</v>
      </c>
      <c r="Q226" s="29" t="s">
        <v>1054</v>
      </c>
      <c r="R226" s="29" t="str">
        <f t="shared" si="7"/>
        <v>2dms_wmts_v1_TOPON1KPHOTO_G20</v>
      </c>
      <c r="S226" s="39" t="s">
        <v>155</v>
      </c>
      <c r="U226" s="27" t="str">
        <f>_xlfn.XLOOKUP(表格1[[#This Row],[服務類別(英)]],參考2_服務標準對照!$B:$B,參考2_服務標準對照!$C:$C,"")&amp;""</f>
        <v>OGC</v>
      </c>
      <c r="V226" s="29" t="s">
        <v>7</v>
      </c>
      <c r="W226" s="29" t="s">
        <v>163</v>
      </c>
      <c r="X226" s="29" t="s">
        <v>81</v>
      </c>
      <c r="Y226" s="36" t="s">
        <v>83</v>
      </c>
      <c r="Z226" s="36" t="s">
        <v>157</v>
      </c>
      <c r="AA226" s="36" t="s">
        <v>186</v>
      </c>
      <c r="AB226" s="36"/>
      <c r="AC226" s="36"/>
      <c r="AD226" s="29" t="s">
        <v>119</v>
      </c>
      <c r="AE226" s="36" t="str">
        <f>_xlfn.XLOOKUP(表格1[[#This Row],[唯一識別碼]],API清冊0707!B:B,API清冊0707!T:T,"")&amp;""</f>
        <v>無下拉選單</v>
      </c>
    </row>
    <row r="227" spans="1:31" ht="220.5" customHeight="1" x14ac:dyDescent="0.4">
      <c r="A227" s="29" t="s">
        <v>1055</v>
      </c>
      <c r="B227" s="29"/>
      <c r="C227" s="29"/>
      <c r="D227" s="29" t="s">
        <v>1056</v>
      </c>
      <c r="E227" s="29" t="s">
        <v>1057</v>
      </c>
      <c r="F227" s="29" t="s">
        <v>1058</v>
      </c>
      <c r="G227" s="35"/>
      <c r="H227" s="35" t="s">
        <v>151</v>
      </c>
      <c r="I227" s="29" t="s">
        <v>1055</v>
      </c>
      <c r="J227" s="37"/>
      <c r="K227" s="38"/>
      <c r="L227" s="38"/>
      <c r="M227" s="36" t="s">
        <v>60</v>
      </c>
      <c r="N227" s="15" t="s">
        <v>152</v>
      </c>
      <c r="O227" s="36" t="s">
        <v>162</v>
      </c>
      <c r="P227" s="36" t="str">
        <f t="shared" si="6"/>
        <v>WMTS_1/1000地形圖_正射影像_宜蘭縣五峰旗風景特定區計畫(112年)</v>
      </c>
      <c r="Q227" s="29" t="s">
        <v>1058</v>
      </c>
      <c r="R227" s="29" t="str">
        <f t="shared" si="7"/>
        <v>2dms_wmts_v1_TOPON1KPHOTO_G19</v>
      </c>
      <c r="S227" s="39" t="s">
        <v>155</v>
      </c>
      <c r="U227" s="27" t="str">
        <f>_xlfn.XLOOKUP(表格1[[#This Row],[服務類別(英)]],參考2_服務標準對照!$B:$B,參考2_服務標準對照!$C:$C,"")&amp;""</f>
        <v>OGC</v>
      </c>
      <c r="V227" s="29" t="s">
        <v>7</v>
      </c>
      <c r="W227" s="29" t="s">
        <v>163</v>
      </c>
      <c r="X227" s="29" t="s">
        <v>81</v>
      </c>
      <c r="Y227" s="36" t="s">
        <v>83</v>
      </c>
      <c r="Z227" s="36" t="s">
        <v>157</v>
      </c>
      <c r="AA227" s="36" t="s">
        <v>186</v>
      </c>
      <c r="AB227" s="36"/>
      <c r="AC227" s="36"/>
      <c r="AD227" s="29" t="s">
        <v>119</v>
      </c>
      <c r="AE227" s="36" t="str">
        <f>_xlfn.XLOOKUP(表格1[[#This Row],[唯一識別碼]],API清冊0707!B:B,API清冊0707!T:T,"")&amp;""</f>
        <v>無下拉選單</v>
      </c>
    </row>
    <row r="228" spans="1:31" ht="220.5" customHeight="1" x14ac:dyDescent="0.4">
      <c r="A228" s="29" t="s">
        <v>1059</v>
      </c>
      <c r="B228" s="29"/>
      <c r="C228" s="29"/>
      <c r="D228" s="29" t="s">
        <v>1060</v>
      </c>
      <c r="E228" s="29" t="s">
        <v>1061</v>
      </c>
      <c r="F228" s="29" t="s">
        <v>1062</v>
      </c>
      <c r="G228" s="35"/>
      <c r="H228" s="35" t="s">
        <v>151</v>
      </c>
      <c r="I228" s="29" t="s">
        <v>1059</v>
      </c>
      <c r="J228" s="37"/>
      <c r="K228" s="38"/>
      <c r="L228" s="38"/>
      <c r="M228" s="36" t="s">
        <v>60</v>
      </c>
      <c r="N228" s="15" t="s">
        <v>152</v>
      </c>
      <c r="O228" s="36" t="s">
        <v>162</v>
      </c>
      <c r="P228" s="36" t="str">
        <f t="shared" si="6"/>
        <v>WMTS_1/1000地形圖_正射影像_宜蘭縣龍潭湖風景特定區計畫(112年)</v>
      </c>
      <c r="Q228" s="29" t="s">
        <v>1062</v>
      </c>
      <c r="R228" s="29" t="str">
        <f t="shared" si="7"/>
        <v>2dms_wmts_v1_TOPON1KPHOTO_G18</v>
      </c>
      <c r="S228" s="39" t="s">
        <v>155</v>
      </c>
      <c r="U228" s="27" t="str">
        <f>_xlfn.XLOOKUP(表格1[[#This Row],[服務類別(英)]],參考2_服務標準對照!$B:$B,參考2_服務標準對照!$C:$C,"")&amp;""</f>
        <v>OGC</v>
      </c>
      <c r="V228" s="29" t="s">
        <v>7</v>
      </c>
      <c r="W228" s="29" t="s">
        <v>163</v>
      </c>
      <c r="X228" s="29" t="s">
        <v>81</v>
      </c>
      <c r="Y228" s="36" t="s">
        <v>83</v>
      </c>
      <c r="Z228" s="36" t="s">
        <v>157</v>
      </c>
      <c r="AA228" s="36" t="s">
        <v>186</v>
      </c>
      <c r="AB228" s="36"/>
      <c r="AC228" s="36"/>
      <c r="AD228" s="29" t="s">
        <v>119</v>
      </c>
      <c r="AE228" s="36" t="str">
        <f>_xlfn.XLOOKUP(表格1[[#This Row],[唯一識別碼]],API清冊0707!B:B,API清冊0707!T:T,"")&amp;""</f>
        <v>無下拉選單</v>
      </c>
    </row>
    <row r="229" spans="1:31" ht="220.5" customHeight="1" x14ac:dyDescent="0.4">
      <c r="A229" s="29" t="s">
        <v>1063</v>
      </c>
      <c r="B229" s="29"/>
      <c r="C229" s="29"/>
      <c r="D229" s="29" t="s">
        <v>1064</v>
      </c>
      <c r="E229" s="29" t="s">
        <v>1065</v>
      </c>
      <c r="F229" s="29" t="s">
        <v>1066</v>
      </c>
      <c r="G229" s="35"/>
      <c r="H229" s="35" t="s">
        <v>151</v>
      </c>
      <c r="I229" s="29" t="s">
        <v>1063</v>
      </c>
      <c r="J229" s="37"/>
      <c r="K229" s="38"/>
      <c r="L229" s="38"/>
      <c r="M229" s="36" t="s">
        <v>60</v>
      </c>
      <c r="N229" s="15" t="s">
        <v>152</v>
      </c>
      <c r="O229" s="36" t="s">
        <v>162</v>
      </c>
      <c r="P229" s="36" t="str">
        <f t="shared" si="6"/>
        <v>WMTS_1/1000地形圖_正射影像_宜蘭縣梅花湖風景特定區計畫(112年)</v>
      </c>
      <c r="Q229" s="29" t="s">
        <v>1066</v>
      </c>
      <c r="R229" s="29" t="str">
        <f t="shared" si="7"/>
        <v>2dms_wmts_v1_TOPON1KPHOTO_G17</v>
      </c>
      <c r="S229" s="39" t="s">
        <v>155</v>
      </c>
      <c r="U229" s="27" t="str">
        <f>_xlfn.XLOOKUP(表格1[[#This Row],[服務類別(英)]],參考2_服務標準對照!$B:$B,參考2_服務標準對照!$C:$C,"")&amp;""</f>
        <v>OGC</v>
      </c>
      <c r="V229" s="29" t="s">
        <v>7</v>
      </c>
      <c r="W229" s="29" t="s">
        <v>163</v>
      </c>
      <c r="X229" s="29" t="s">
        <v>81</v>
      </c>
      <c r="Y229" s="36" t="s">
        <v>83</v>
      </c>
      <c r="Z229" s="36" t="s">
        <v>157</v>
      </c>
      <c r="AA229" s="36" t="s">
        <v>186</v>
      </c>
      <c r="AB229" s="36"/>
      <c r="AC229" s="36"/>
      <c r="AD229" s="29" t="s">
        <v>119</v>
      </c>
      <c r="AE229" s="36" t="str">
        <f>_xlfn.XLOOKUP(表格1[[#This Row],[唯一識別碼]],API清冊0707!B:B,API清冊0707!T:T,"")&amp;""</f>
        <v>無下拉選單</v>
      </c>
    </row>
    <row r="230" spans="1:31" ht="220.5" customHeight="1" x14ac:dyDescent="0.4">
      <c r="A230" s="29" t="s">
        <v>1067</v>
      </c>
      <c r="B230" s="29"/>
      <c r="C230" s="29"/>
      <c r="D230" s="29" t="s">
        <v>1068</v>
      </c>
      <c r="E230" s="29" t="s">
        <v>1069</v>
      </c>
      <c r="F230" s="29" t="s">
        <v>1070</v>
      </c>
      <c r="G230" s="35"/>
      <c r="H230" s="35" t="s">
        <v>151</v>
      </c>
      <c r="I230" s="29" t="s">
        <v>1067</v>
      </c>
      <c r="J230" s="37"/>
      <c r="K230" s="38"/>
      <c r="L230" s="38"/>
      <c r="M230" s="36" t="s">
        <v>60</v>
      </c>
      <c r="N230" s="15" t="s">
        <v>152</v>
      </c>
      <c r="O230" s="36" t="s">
        <v>162</v>
      </c>
      <c r="P230" s="36" t="str">
        <f t="shared" si="6"/>
        <v>WMTS_1/1000地形圖_正射影像_宜蘭縣大湖風景特定區計畫(112年)</v>
      </c>
      <c r="Q230" s="29" t="s">
        <v>1070</v>
      </c>
      <c r="R230" s="29" t="str">
        <f t="shared" si="7"/>
        <v>2dms_wmts_v1_TOPON1KPHOTO_G16</v>
      </c>
      <c r="S230" s="39" t="s">
        <v>155</v>
      </c>
      <c r="U230" s="27" t="str">
        <f>_xlfn.XLOOKUP(表格1[[#This Row],[服務類別(英)]],參考2_服務標準對照!$B:$B,參考2_服務標準對照!$C:$C,"")&amp;""</f>
        <v>OGC</v>
      </c>
      <c r="V230" s="29" t="s">
        <v>7</v>
      </c>
      <c r="W230" s="29" t="s">
        <v>163</v>
      </c>
      <c r="X230" s="29" t="s">
        <v>81</v>
      </c>
      <c r="Y230" s="36" t="s">
        <v>83</v>
      </c>
      <c r="Z230" s="36" t="s">
        <v>157</v>
      </c>
      <c r="AA230" s="36" t="s">
        <v>186</v>
      </c>
      <c r="AB230" s="36"/>
      <c r="AC230" s="36"/>
      <c r="AD230" s="29" t="s">
        <v>119</v>
      </c>
      <c r="AE230" s="36" t="str">
        <f>_xlfn.XLOOKUP(表格1[[#This Row],[唯一識別碼]],API清冊0707!B:B,API清冊0707!T:T,"")&amp;""</f>
        <v>無下拉選單</v>
      </c>
    </row>
    <row r="231" spans="1:31" ht="220.5" customHeight="1" x14ac:dyDescent="0.4">
      <c r="A231" s="29" t="s">
        <v>1071</v>
      </c>
      <c r="B231" s="29"/>
      <c r="C231" s="29"/>
      <c r="D231" s="29" t="s">
        <v>1072</v>
      </c>
      <c r="E231" s="29" t="s">
        <v>1073</v>
      </c>
      <c r="F231" s="29" t="s">
        <v>1074</v>
      </c>
      <c r="G231" s="35"/>
      <c r="H231" s="35" t="s">
        <v>151</v>
      </c>
      <c r="I231" s="29" t="s">
        <v>1071</v>
      </c>
      <c r="J231" s="37"/>
      <c r="K231" s="38"/>
      <c r="L231" s="38"/>
      <c r="M231" s="36" t="s">
        <v>60</v>
      </c>
      <c r="N231" s="15" t="s">
        <v>152</v>
      </c>
      <c r="O231" s="36" t="s">
        <v>162</v>
      </c>
      <c r="P231" s="36" t="str">
        <f t="shared" si="6"/>
        <v>WMTS_1/1000地形圖_正射影像_宜蘭縣南澳南強都市計畫(112年)</v>
      </c>
      <c r="Q231" s="29" t="s">
        <v>1074</v>
      </c>
      <c r="R231" s="29" t="str">
        <f t="shared" si="7"/>
        <v>2dms_wmts_v1_TOPON1KPHOTO_G15</v>
      </c>
      <c r="S231" s="39" t="s">
        <v>155</v>
      </c>
      <c r="U231" s="27" t="str">
        <f>_xlfn.XLOOKUP(表格1[[#This Row],[服務類別(英)]],參考2_服務標準對照!$B:$B,參考2_服務標準對照!$C:$C,"")&amp;""</f>
        <v>OGC</v>
      </c>
      <c r="V231" s="29" t="s">
        <v>7</v>
      </c>
      <c r="W231" s="29" t="s">
        <v>163</v>
      </c>
      <c r="X231" s="29" t="s">
        <v>81</v>
      </c>
      <c r="Y231" s="36" t="s">
        <v>83</v>
      </c>
      <c r="Z231" s="36" t="s">
        <v>157</v>
      </c>
      <c r="AA231" s="36" t="s">
        <v>186</v>
      </c>
      <c r="AB231" s="36"/>
      <c r="AC231" s="36"/>
      <c r="AD231" s="29" t="s">
        <v>119</v>
      </c>
      <c r="AE231" s="36" t="str">
        <f>_xlfn.XLOOKUP(表格1[[#This Row],[唯一識別碼]],API清冊0707!B:B,API清冊0707!T:T,"")&amp;""</f>
        <v>無下拉選單</v>
      </c>
    </row>
    <row r="232" spans="1:31" ht="220.5" customHeight="1" x14ac:dyDescent="0.4">
      <c r="A232" s="29" t="s">
        <v>1075</v>
      </c>
      <c r="B232" s="29"/>
      <c r="C232" s="29"/>
      <c r="D232" s="29" t="s">
        <v>1076</v>
      </c>
      <c r="E232" s="29" t="s">
        <v>1077</v>
      </c>
      <c r="F232" s="29" t="s">
        <v>1078</v>
      </c>
      <c r="G232" s="35"/>
      <c r="H232" s="35" t="s">
        <v>151</v>
      </c>
      <c r="I232" s="29" t="s">
        <v>1075</v>
      </c>
      <c r="J232" s="37"/>
      <c r="K232" s="38"/>
      <c r="L232" s="38"/>
      <c r="M232" s="36" t="s">
        <v>60</v>
      </c>
      <c r="N232" s="15" t="s">
        <v>152</v>
      </c>
      <c r="O232" s="36" t="s">
        <v>162</v>
      </c>
      <c r="P232" s="36" t="str">
        <f t="shared" si="6"/>
        <v>WMTS_1/1000地形圖_正射影像_宜蘭縣冬山(順安地區)都市計畫(112年)</v>
      </c>
      <c r="Q232" s="29" t="s">
        <v>1078</v>
      </c>
      <c r="R232" s="29" t="str">
        <f t="shared" si="7"/>
        <v>2dms_wmts_v1_TOPON1KPHOTO_G11</v>
      </c>
      <c r="S232" s="39" t="s">
        <v>155</v>
      </c>
      <c r="U232" s="27" t="str">
        <f>_xlfn.XLOOKUP(表格1[[#This Row],[服務類別(英)]],參考2_服務標準對照!$B:$B,參考2_服務標準對照!$C:$C,"")&amp;""</f>
        <v>OGC</v>
      </c>
      <c r="V232" s="29" t="s">
        <v>7</v>
      </c>
      <c r="W232" s="29" t="s">
        <v>163</v>
      </c>
      <c r="X232" s="29" t="s">
        <v>81</v>
      </c>
      <c r="Y232" s="36" t="s">
        <v>83</v>
      </c>
      <c r="Z232" s="36" t="s">
        <v>157</v>
      </c>
      <c r="AA232" s="36" t="s">
        <v>186</v>
      </c>
      <c r="AB232" s="36"/>
      <c r="AC232" s="36"/>
      <c r="AD232" s="29" t="s">
        <v>119</v>
      </c>
      <c r="AE232" s="36" t="str">
        <f>_xlfn.XLOOKUP(表格1[[#This Row],[唯一識別碼]],API清冊0707!B:B,API清冊0707!T:T,"")&amp;""</f>
        <v>無下拉選單</v>
      </c>
    </row>
    <row r="233" spans="1:31" ht="220.5" customHeight="1" x14ac:dyDescent="0.4">
      <c r="A233" s="29" t="s">
        <v>1079</v>
      </c>
      <c r="B233" s="29"/>
      <c r="C233" s="29"/>
      <c r="D233" s="29" t="s">
        <v>1080</v>
      </c>
      <c r="E233" s="29" t="s">
        <v>1081</v>
      </c>
      <c r="F233" s="29" t="s">
        <v>1082</v>
      </c>
      <c r="G233" s="35"/>
      <c r="H233" s="35" t="s">
        <v>151</v>
      </c>
      <c r="I233" s="29" t="s">
        <v>1079</v>
      </c>
      <c r="J233" s="37"/>
      <c r="K233" s="38"/>
      <c r="L233" s="38"/>
      <c r="M233" s="36" t="s">
        <v>60</v>
      </c>
      <c r="N233" s="15" t="s">
        <v>152</v>
      </c>
      <c r="O233" s="36" t="s">
        <v>162</v>
      </c>
      <c r="P233" s="36" t="str">
        <f t="shared" si="6"/>
        <v>WMTS_1/1000地形圖_正射影像_宜蘭縣員山都市計畫(112年)</v>
      </c>
      <c r="Q233" s="29" t="s">
        <v>1082</v>
      </c>
      <c r="R233" s="29" t="str">
        <f t="shared" si="7"/>
        <v>2dms_wmts_v1_TOPON1KPHOTO_G09</v>
      </c>
      <c r="S233" s="39" t="s">
        <v>155</v>
      </c>
      <c r="U233" s="27" t="str">
        <f>_xlfn.XLOOKUP(表格1[[#This Row],[服務類別(英)]],參考2_服務標準對照!$B:$B,參考2_服務標準對照!$C:$C,"")&amp;""</f>
        <v>OGC</v>
      </c>
      <c r="V233" s="29" t="s">
        <v>7</v>
      </c>
      <c r="W233" s="29" t="s">
        <v>163</v>
      </c>
      <c r="X233" s="29" t="s">
        <v>81</v>
      </c>
      <c r="Y233" s="36" t="s">
        <v>83</v>
      </c>
      <c r="Z233" s="36" t="s">
        <v>157</v>
      </c>
      <c r="AA233" s="36" t="s">
        <v>186</v>
      </c>
      <c r="AB233" s="36"/>
      <c r="AC233" s="36"/>
      <c r="AD233" s="29" t="s">
        <v>119</v>
      </c>
      <c r="AE233" s="36" t="str">
        <f>_xlfn.XLOOKUP(表格1[[#This Row],[唯一識別碼]],API清冊0707!B:B,API清冊0707!T:T,"")&amp;""</f>
        <v>無下拉選單</v>
      </c>
    </row>
    <row r="234" spans="1:31" ht="220.5" customHeight="1" x14ac:dyDescent="0.4">
      <c r="A234" s="29" t="s">
        <v>1083</v>
      </c>
      <c r="B234" s="29"/>
      <c r="C234" s="29"/>
      <c r="D234" s="29" t="s">
        <v>1084</v>
      </c>
      <c r="E234" s="29" t="s">
        <v>1085</v>
      </c>
      <c r="F234" s="29" t="s">
        <v>1086</v>
      </c>
      <c r="G234" s="35"/>
      <c r="H234" s="35" t="s">
        <v>151</v>
      </c>
      <c r="I234" s="29" t="s">
        <v>1083</v>
      </c>
      <c r="J234" s="37"/>
      <c r="K234" s="38"/>
      <c r="L234" s="38"/>
      <c r="M234" s="36" t="s">
        <v>60</v>
      </c>
      <c r="N234" s="15" t="s">
        <v>152</v>
      </c>
      <c r="O234" s="36" t="s">
        <v>162</v>
      </c>
      <c r="P234" s="36" t="str">
        <f t="shared" si="6"/>
        <v>WMTS_1/1000地形圖_正射影像_宜蘭縣礁溪都市計畫(112年)</v>
      </c>
      <c r="Q234" s="29" t="s">
        <v>1086</v>
      </c>
      <c r="R234" s="29" t="str">
        <f t="shared" si="7"/>
        <v>2dms_wmts_v1_TOPON1KPHOTO_G06</v>
      </c>
      <c r="S234" s="39" t="s">
        <v>155</v>
      </c>
      <c r="U234" s="27" t="str">
        <f>_xlfn.XLOOKUP(表格1[[#This Row],[服務類別(英)]],參考2_服務標準對照!$B:$B,參考2_服務標準對照!$C:$C,"")&amp;""</f>
        <v>OGC</v>
      </c>
      <c r="V234" s="29" t="s">
        <v>7</v>
      </c>
      <c r="W234" s="29" t="s">
        <v>163</v>
      </c>
      <c r="X234" s="29" t="s">
        <v>81</v>
      </c>
      <c r="Y234" s="36" t="s">
        <v>83</v>
      </c>
      <c r="Z234" s="36" t="s">
        <v>157</v>
      </c>
      <c r="AA234" s="36" t="s">
        <v>186</v>
      </c>
      <c r="AB234" s="36"/>
      <c r="AC234" s="36"/>
      <c r="AD234" s="29" t="s">
        <v>119</v>
      </c>
      <c r="AE234" s="36" t="str">
        <f>_xlfn.XLOOKUP(表格1[[#This Row],[唯一識別碼]],API清冊0707!B:B,API清冊0707!T:T,"")&amp;""</f>
        <v>無下拉選單</v>
      </c>
    </row>
    <row r="235" spans="1:31" ht="220.5" customHeight="1" x14ac:dyDescent="0.4">
      <c r="A235" s="29" t="s">
        <v>1087</v>
      </c>
      <c r="B235" s="29"/>
      <c r="C235" s="29"/>
      <c r="D235" s="29" t="s">
        <v>1088</v>
      </c>
      <c r="E235" s="29" t="s">
        <v>1089</v>
      </c>
      <c r="F235" s="29" t="s">
        <v>1090</v>
      </c>
      <c r="G235" s="35"/>
      <c r="H235" s="35" t="s">
        <v>151</v>
      </c>
      <c r="I235" s="29" t="s">
        <v>1087</v>
      </c>
      <c r="J235" s="37"/>
      <c r="K235" s="38"/>
      <c r="L235" s="38"/>
      <c r="M235" s="36" t="s">
        <v>60</v>
      </c>
      <c r="N235" s="15" t="s">
        <v>152</v>
      </c>
      <c r="O235" s="36" t="s">
        <v>162</v>
      </c>
      <c r="P235" s="36" t="str">
        <f t="shared" si="6"/>
        <v>WMTS_1/1000地形圖_正射影像_宜蘭縣蘇澳(新馬地區)都市計畫(112年)</v>
      </c>
      <c r="Q235" s="29" t="s">
        <v>1090</v>
      </c>
      <c r="R235" s="29" t="str">
        <f t="shared" si="7"/>
        <v>2dms_wmts_v1_TOPON1KPHOTO_G04</v>
      </c>
      <c r="S235" s="39" t="s">
        <v>155</v>
      </c>
      <c r="U235" s="27" t="str">
        <f>_xlfn.XLOOKUP(表格1[[#This Row],[服務類別(英)]],參考2_服務標準對照!$B:$B,參考2_服務標準對照!$C:$C,"")&amp;""</f>
        <v>OGC</v>
      </c>
      <c r="V235" s="29" t="s">
        <v>7</v>
      </c>
      <c r="W235" s="29" t="s">
        <v>163</v>
      </c>
      <c r="X235" s="29" t="s">
        <v>81</v>
      </c>
      <c r="Y235" s="36" t="s">
        <v>83</v>
      </c>
      <c r="Z235" s="36" t="s">
        <v>157</v>
      </c>
      <c r="AA235" s="36" t="s">
        <v>186</v>
      </c>
      <c r="AB235" s="36"/>
      <c r="AC235" s="36"/>
      <c r="AD235" s="29" t="s">
        <v>119</v>
      </c>
      <c r="AE235" s="36" t="str">
        <f>_xlfn.XLOOKUP(表格1[[#This Row],[唯一識別碼]],API清冊0707!B:B,API清冊0707!T:T,"")&amp;""</f>
        <v>無下拉選單</v>
      </c>
    </row>
    <row r="236" spans="1:31" ht="220.5" customHeight="1" x14ac:dyDescent="0.4">
      <c r="A236" s="29" t="s">
        <v>1091</v>
      </c>
      <c r="B236" s="29"/>
      <c r="C236" s="29"/>
      <c r="D236" s="29" t="s">
        <v>1092</v>
      </c>
      <c r="E236" s="29" t="s">
        <v>1093</v>
      </c>
      <c r="F236" s="29" t="s">
        <v>1094</v>
      </c>
      <c r="G236" s="35"/>
      <c r="H236" s="35" t="s">
        <v>151</v>
      </c>
      <c r="I236" s="29" t="s">
        <v>1091</v>
      </c>
      <c r="J236" s="37"/>
      <c r="K236" s="38"/>
      <c r="L236" s="38"/>
      <c r="M236" s="36" t="s">
        <v>60</v>
      </c>
      <c r="N236" s="15" t="s">
        <v>152</v>
      </c>
      <c r="O236" s="36" t="s">
        <v>162</v>
      </c>
      <c r="P236" s="36" t="str">
        <f t="shared" si="6"/>
        <v>WMTS_1/1000地形圖_正射影像_宜蘭縣宜蘭市都市計畫(113年)</v>
      </c>
      <c r="Q236" s="29" t="s">
        <v>1094</v>
      </c>
      <c r="R236" s="29" t="str">
        <f t="shared" si="7"/>
        <v>2dms_wmts_v1_TOPON1KPHOTO_G01</v>
      </c>
      <c r="S236" s="39" t="s">
        <v>155</v>
      </c>
      <c r="U236" s="27" t="str">
        <f>_xlfn.XLOOKUP(表格1[[#This Row],[服務類別(英)]],參考2_服務標準對照!$B:$B,參考2_服務標準對照!$C:$C,"")&amp;""</f>
        <v>OGC</v>
      </c>
      <c r="V236" s="29" t="s">
        <v>7</v>
      </c>
      <c r="W236" s="29" t="s">
        <v>163</v>
      </c>
      <c r="X236" s="29" t="s">
        <v>81</v>
      </c>
      <c r="Y236" s="36" t="s">
        <v>83</v>
      </c>
      <c r="Z236" s="36" t="s">
        <v>157</v>
      </c>
      <c r="AA236" s="36" t="s">
        <v>186</v>
      </c>
      <c r="AB236" s="36"/>
      <c r="AC236" s="36"/>
      <c r="AD236" s="29" t="s">
        <v>119</v>
      </c>
      <c r="AE236" s="36" t="str">
        <f>_xlfn.XLOOKUP(表格1[[#This Row],[唯一識別碼]],API清冊0707!B:B,API清冊0707!T:T,"")&amp;""</f>
        <v>無下拉選單</v>
      </c>
    </row>
    <row r="237" spans="1:31" ht="220.5" customHeight="1" x14ac:dyDescent="0.4">
      <c r="A237" s="29" t="s">
        <v>1095</v>
      </c>
      <c r="B237" s="29"/>
      <c r="C237" s="29"/>
      <c r="D237" s="29" t="s">
        <v>1096</v>
      </c>
      <c r="E237" s="29" t="s">
        <v>1097</v>
      </c>
      <c r="F237" s="29" t="s">
        <v>1098</v>
      </c>
      <c r="G237" s="35"/>
      <c r="H237" s="35" t="s">
        <v>151</v>
      </c>
      <c r="I237" s="29" t="s">
        <v>1095</v>
      </c>
      <c r="J237" s="37"/>
      <c r="K237" s="38"/>
      <c r="L237" s="38"/>
      <c r="M237" s="36" t="s">
        <v>60</v>
      </c>
      <c r="N237" s="15" t="s">
        <v>152</v>
      </c>
      <c r="O237" s="36" t="s">
        <v>162</v>
      </c>
      <c r="P237" s="36" t="str">
        <f t="shared" si="6"/>
        <v>WMTS_1/1000地形圖_正射影像_高雄市(三民.苓雅.前金.新興.前鎮.鹽埕)都市計畫(113年)</v>
      </c>
      <c r="Q237" s="29" t="s">
        <v>1098</v>
      </c>
      <c r="R237" s="29" t="str">
        <f t="shared" si="7"/>
        <v>2dms_wmts_v1_TOPON1KPHOTO_E32</v>
      </c>
      <c r="S237" s="39" t="s">
        <v>155</v>
      </c>
      <c r="U237" s="27" t="str">
        <f>_xlfn.XLOOKUP(表格1[[#This Row],[服務類別(英)]],參考2_服務標準對照!$B:$B,參考2_服務標準對照!$C:$C,"")&amp;""</f>
        <v>OGC</v>
      </c>
      <c r="V237" s="29" t="s">
        <v>7</v>
      </c>
      <c r="W237" s="29" t="s">
        <v>163</v>
      </c>
      <c r="X237" s="29" t="s">
        <v>81</v>
      </c>
      <c r="Y237" s="36" t="s">
        <v>83</v>
      </c>
      <c r="Z237" s="36" t="s">
        <v>157</v>
      </c>
      <c r="AA237" s="36" t="s">
        <v>186</v>
      </c>
      <c r="AB237" s="36"/>
      <c r="AC237" s="36"/>
      <c r="AD237" s="29" t="s">
        <v>119</v>
      </c>
      <c r="AE237" s="36" t="str">
        <f>_xlfn.XLOOKUP(表格1[[#This Row],[唯一識別碼]],API清冊0707!B:B,API清冊0707!T:T,"")&amp;""</f>
        <v>無下拉選單</v>
      </c>
    </row>
    <row r="238" spans="1:31" ht="220.5" customHeight="1" x14ac:dyDescent="0.4">
      <c r="A238" s="29" t="s">
        <v>1099</v>
      </c>
      <c r="B238" s="29"/>
      <c r="C238" s="29"/>
      <c r="D238" s="29" t="s">
        <v>1100</v>
      </c>
      <c r="E238" s="29" t="s">
        <v>1101</v>
      </c>
      <c r="F238" s="29" t="s">
        <v>1102</v>
      </c>
      <c r="G238" s="35"/>
      <c r="H238" s="35" t="s">
        <v>151</v>
      </c>
      <c r="I238" s="29" t="s">
        <v>1099</v>
      </c>
      <c r="J238" s="37"/>
      <c r="K238" s="38"/>
      <c r="L238" s="38"/>
      <c r="M238" s="36" t="s">
        <v>60</v>
      </c>
      <c r="N238" s="15" t="s">
        <v>152</v>
      </c>
      <c r="O238" s="36" t="s">
        <v>162</v>
      </c>
      <c r="P238" s="36" t="str">
        <f t="shared" si="6"/>
        <v>WMTS_1/1000地形圖_正射影像_高雄市岡山都市計畫(112年)</v>
      </c>
      <c r="Q238" s="29" t="s">
        <v>1102</v>
      </c>
      <c r="R238" s="29" t="str">
        <f t="shared" si="7"/>
        <v>2dms_wmts_v1_TOPON1KPHOTO_E03</v>
      </c>
      <c r="S238" s="39" t="s">
        <v>155</v>
      </c>
      <c r="U238" s="27" t="str">
        <f>_xlfn.XLOOKUP(表格1[[#This Row],[服務類別(英)]],參考2_服務標準對照!$B:$B,參考2_服務標準對照!$C:$C,"")&amp;""</f>
        <v>OGC</v>
      </c>
      <c r="V238" s="29" t="s">
        <v>7</v>
      </c>
      <c r="W238" s="29" t="s">
        <v>163</v>
      </c>
      <c r="X238" s="29" t="s">
        <v>81</v>
      </c>
      <c r="Y238" s="36" t="s">
        <v>83</v>
      </c>
      <c r="Z238" s="36" t="s">
        <v>157</v>
      </c>
      <c r="AA238" s="36" t="s">
        <v>186</v>
      </c>
      <c r="AB238" s="36"/>
      <c r="AC238" s="36"/>
      <c r="AD238" s="29" t="s">
        <v>119</v>
      </c>
      <c r="AE238" s="36" t="str">
        <f>_xlfn.XLOOKUP(表格1[[#This Row],[唯一識別碼]],API清冊0707!B:B,API清冊0707!T:T,"")&amp;""</f>
        <v>無下拉選單</v>
      </c>
    </row>
    <row r="239" spans="1:31" ht="220.5" customHeight="1" x14ac:dyDescent="0.4">
      <c r="A239" s="29" t="s">
        <v>1103</v>
      </c>
      <c r="B239" s="29"/>
      <c r="C239" s="29"/>
      <c r="D239" s="29" t="s">
        <v>1104</v>
      </c>
      <c r="E239" s="29" t="s">
        <v>1105</v>
      </c>
      <c r="F239" s="29" t="s">
        <v>1106</v>
      </c>
      <c r="G239" s="35"/>
      <c r="H239" s="35" t="s">
        <v>151</v>
      </c>
      <c r="I239" s="29" t="s">
        <v>1103</v>
      </c>
      <c r="J239" s="37"/>
      <c r="K239" s="38"/>
      <c r="L239" s="38"/>
      <c r="M239" s="36" t="s">
        <v>60</v>
      </c>
      <c r="N239" s="15" t="s">
        <v>152</v>
      </c>
      <c r="O239" s="36" t="s">
        <v>162</v>
      </c>
      <c r="P239" s="36" t="str">
        <f t="shared" si="6"/>
        <v>WMTS_1/1000地形圖_正射影像_高雄市鳳山都市計畫(113年)</v>
      </c>
      <c r="Q239" s="29" t="s">
        <v>1106</v>
      </c>
      <c r="R239" s="29" t="str">
        <f t="shared" si="7"/>
        <v>2dms_wmts_v1_TOPON1KPHOTO_E02</v>
      </c>
      <c r="S239" s="39" t="s">
        <v>155</v>
      </c>
      <c r="U239" s="27" t="str">
        <f>_xlfn.XLOOKUP(表格1[[#This Row],[服務類別(英)]],參考2_服務標準對照!$B:$B,參考2_服務標準對照!$C:$C,"")&amp;""</f>
        <v>OGC</v>
      </c>
      <c r="V239" s="29" t="s">
        <v>7</v>
      </c>
      <c r="W239" s="29" t="s">
        <v>163</v>
      </c>
      <c r="X239" s="29" t="s">
        <v>81</v>
      </c>
      <c r="Y239" s="36" t="s">
        <v>83</v>
      </c>
      <c r="Z239" s="36" t="s">
        <v>157</v>
      </c>
      <c r="AA239" s="36" t="s">
        <v>186</v>
      </c>
      <c r="AB239" s="36"/>
      <c r="AC239" s="36"/>
      <c r="AD239" s="29" t="s">
        <v>119</v>
      </c>
      <c r="AE239" s="36" t="str">
        <f>_xlfn.XLOOKUP(表格1[[#This Row],[唯一識別碼]],API清冊0707!B:B,API清冊0707!T:T,"")&amp;""</f>
        <v>無下拉選單</v>
      </c>
    </row>
    <row r="240" spans="1:31" ht="220.5" customHeight="1" x14ac:dyDescent="0.4">
      <c r="A240" s="29" t="s">
        <v>1107</v>
      </c>
      <c r="B240" s="29"/>
      <c r="C240" s="29"/>
      <c r="D240" s="29" t="s">
        <v>1108</v>
      </c>
      <c r="E240" s="29" t="s">
        <v>1109</v>
      </c>
      <c r="F240" s="29" t="s">
        <v>1110</v>
      </c>
      <c r="G240" s="35"/>
      <c r="H240" s="35" t="s">
        <v>151</v>
      </c>
      <c r="I240" s="29" t="s">
        <v>1107</v>
      </c>
      <c r="J240" s="37"/>
      <c r="K240" s="38"/>
      <c r="L240" s="38"/>
      <c r="M240" s="36" t="s">
        <v>60</v>
      </c>
      <c r="N240" s="15" t="s">
        <v>152</v>
      </c>
      <c r="O240" s="36" t="s">
        <v>162</v>
      </c>
      <c r="P240" s="36" t="str">
        <f t="shared" si="6"/>
        <v>WMTS_1/1000地形圖_正射影像_臺南市柳營都市計畫(112年)</v>
      </c>
      <c r="Q240" s="29" t="s">
        <v>1110</v>
      </c>
      <c r="R240" s="29" t="str">
        <f t="shared" si="7"/>
        <v>2dms_wmts_v1_TOPON1KPHOTO_D12</v>
      </c>
      <c r="S240" s="39" t="s">
        <v>155</v>
      </c>
      <c r="U240" s="27" t="str">
        <f>_xlfn.XLOOKUP(表格1[[#This Row],[服務類別(英)]],參考2_服務標準對照!$B:$B,參考2_服務標準對照!$C:$C,"")&amp;""</f>
        <v>OGC</v>
      </c>
      <c r="V240" s="29" t="s">
        <v>7</v>
      </c>
      <c r="W240" s="29" t="s">
        <v>163</v>
      </c>
      <c r="X240" s="29" t="s">
        <v>81</v>
      </c>
      <c r="Y240" s="36" t="s">
        <v>83</v>
      </c>
      <c r="Z240" s="36" t="s">
        <v>157</v>
      </c>
      <c r="AA240" s="36" t="s">
        <v>186</v>
      </c>
      <c r="AB240" s="36"/>
      <c r="AC240" s="36"/>
      <c r="AD240" s="29" t="s">
        <v>119</v>
      </c>
      <c r="AE240" s="36" t="str">
        <f>_xlfn.XLOOKUP(表格1[[#This Row],[唯一識別碼]],API清冊0707!B:B,API清冊0707!T:T,"")&amp;""</f>
        <v>無下拉選單</v>
      </c>
    </row>
    <row r="241" spans="1:31" ht="220.5" customHeight="1" x14ac:dyDescent="0.4">
      <c r="A241" s="29" t="s">
        <v>1111</v>
      </c>
      <c r="B241" s="29"/>
      <c r="C241" s="29"/>
      <c r="D241" s="29" t="s">
        <v>1112</v>
      </c>
      <c r="E241" s="29" t="s">
        <v>1113</v>
      </c>
      <c r="F241" s="29" t="s">
        <v>1114</v>
      </c>
      <c r="G241" s="35"/>
      <c r="H241" s="35" t="s">
        <v>151</v>
      </c>
      <c r="I241" s="29" t="s">
        <v>1111</v>
      </c>
      <c r="J241" s="37"/>
      <c r="K241" s="38"/>
      <c r="L241" s="38"/>
      <c r="M241" s="36" t="s">
        <v>60</v>
      </c>
      <c r="N241" s="15" t="s">
        <v>152</v>
      </c>
      <c r="O241" s="36" t="s">
        <v>162</v>
      </c>
      <c r="P241" s="36" t="str">
        <f t="shared" si="6"/>
        <v>WMTS_1/1000地形圖_正射影像_臺南市佳里都市計畫(113年)</v>
      </c>
      <c r="Q241" s="29" t="s">
        <v>1114</v>
      </c>
      <c r="R241" s="29" t="str">
        <f t="shared" si="7"/>
        <v>2dms_wmts_v1_TOPON1KPHOTO_D08</v>
      </c>
      <c r="S241" s="39" t="s">
        <v>155</v>
      </c>
      <c r="U241" s="27" t="str">
        <f>_xlfn.XLOOKUP(表格1[[#This Row],[服務類別(英)]],參考2_服務標準對照!$B:$B,參考2_服務標準對照!$C:$C,"")&amp;""</f>
        <v>OGC</v>
      </c>
      <c r="V241" s="29" t="s">
        <v>7</v>
      </c>
      <c r="W241" s="29" t="s">
        <v>163</v>
      </c>
      <c r="X241" s="29" t="s">
        <v>81</v>
      </c>
      <c r="Y241" s="36" t="s">
        <v>83</v>
      </c>
      <c r="Z241" s="36" t="s">
        <v>157</v>
      </c>
      <c r="AA241" s="36" t="s">
        <v>186</v>
      </c>
      <c r="AB241" s="36"/>
      <c r="AC241" s="36"/>
      <c r="AD241" s="29" t="s">
        <v>119</v>
      </c>
      <c r="AE241" s="36" t="str">
        <f>_xlfn.XLOOKUP(表格1[[#This Row],[唯一識別碼]],API清冊0707!B:B,API清冊0707!T:T,"")&amp;""</f>
        <v>無下拉選單</v>
      </c>
    </row>
    <row r="242" spans="1:31" ht="220.5" customHeight="1" x14ac:dyDescent="0.4">
      <c r="A242" s="29" t="s">
        <v>1115</v>
      </c>
      <c r="B242" s="29"/>
      <c r="C242" s="29"/>
      <c r="D242" s="29" t="s">
        <v>1116</v>
      </c>
      <c r="E242" s="29" t="s">
        <v>1117</v>
      </c>
      <c r="F242" s="29" t="s">
        <v>1118</v>
      </c>
      <c r="G242" s="35"/>
      <c r="H242" s="35" t="s">
        <v>151</v>
      </c>
      <c r="I242" s="29" t="s">
        <v>1115</v>
      </c>
      <c r="J242" s="37"/>
      <c r="K242" s="38"/>
      <c r="L242" s="38"/>
      <c r="M242" s="36" t="s">
        <v>60</v>
      </c>
      <c r="N242" s="15" t="s">
        <v>152</v>
      </c>
      <c r="O242" s="36" t="s">
        <v>162</v>
      </c>
      <c r="P242" s="36" t="str">
        <f t="shared" si="6"/>
        <v>WMTS_1/1000地形圖_正射影像_臺南市鹽水都市計畫(112年)</v>
      </c>
      <c r="Q242" s="29" t="s">
        <v>1118</v>
      </c>
      <c r="R242" s="29" t="str">
        <f t="shared" si="7"/>
        <v>2dms_wmts_v1_TOPON1KPHOTO_D05</v>
      </c>
      <c r="S242" s="39" t="s">
        <v>155</v>
      </c>
      <c r="U242" s="27" t="str">
        <f>_xlfn.XLOOKUP(表格1[[#This Row],[服務類別(英)]],參考2_服務標準對照!$B:$B,參考2_服務標準對照!$C:$C,"")&amp;""</f>
        <v>OGC</v>
      </c>
      <c r="V242" s="29" t="s">
        <v>7</v>
      </c>
      <c r="W242" s="29" t="s">
        <v>163</v>
      </c>
      <c r="X242" s="29" t="s">
        <v>81</v>
      </c>
      <c r="Y242" s="36" t="s">
        <v>83</v>
      </c>
      <c r="Z242" s="36" t="s">
        <v>157</v>
      </c>
      <c r="AA242" s="36" t="s">
        <v>186</v>
      </c>
      <c r="AB242" s="36"/>
      <c r="AC242" s="36"/>
      <c r="AD242" s="29" t="s">
        <v>119</v>
      </c>
      <c r="AE242" s="36" t="str">
        <f>_xlfn.XLOOKUP(表格1[[#This Row],[唯一識別碼]],API清冊0707!B:B,API清冊0707!T:T,"")&amp;""</f>
        <v>無下拉選單</v>
      </c>
    </row>
    <row r="243" spans="1:31" ht="220.5" customHeight="1" x14ac:dyDescent="0.4">
      <c r="A243" s="29" t="s">
        <v>1119</v>
      </c>
      <c r="B243" s="29"/>
      <c r="C243" s="29"/>
      <c r="D243" s="29" t="s">
        <v>1120</v>
      </c>
      <c r="E243" s="29" t="s">
        <v>1121</v>
      </c>
      <c r="F243" s="29" t="s">
        <v>1122</v>
      </c>
      <c r="G243" s="35"/>
      <c r="H243" s="35" t="s">
        <v>151</v>
      </c>
      <c r="I243" s="29" t="s">
        <v>1119</v>
      </c>
      <c r="J243" s="37"/>
      <c r="K243" s="38"/>
      <c r="L243" s="38"/>
      <c r="M243" s="36" t="s">
        <v>60</v>
      </c>
      <c r="N243" s="15" t="s">
        <v>152</v>
      </c>
      <c r="O243" s="36" t="s">
        <v>162</v>
      </c>
      <c r="P243" s="36" t="str">
        <f t="shared" si="6"/>
        <v>WMTS_1/1000地形圖_正射影像_臺南市高速公路新營交流道附近特定區計畫(112年)</v>
      </c>
      <c r="Q243" s="29" t="s">
        <v>1122</v>
      </c>
      <c r="R243" s="29" t="str">
        <f t="shared" si="7"/>
        <v>2dms_wmts_v1_TOPON1KPHOTO_D04</v>
      </c>
      <c r="S243" s="39" t="s">
        <v>155</v>
      </c>
      <c r="U243" s="27" t="str">
        <f>_xlfn.XLOOKUP(表格1[[#This Row],[服務類別(英)]],參考2_服務標準對照!$B:$B,參考2_服務標準對照!$C:$C,"")&amp;""</f>
        <v>OGC</v>
      </c>
      <c r="V243" s="29" t="s">
        <v>7</v>
      </c>
      <c r="W243" s="29" t="s">
        <v>163</v>
      </c>
      <c r="X243" s="29" t="s">
        <v>81</v>
      </c>
      <c r="Y243" s="36" t="s">
        <v>83</v>
      </c>
      <c r="Z243" s="36" t="s">
        <v>157</v>
      </c>
      <c r="AA243" s="36" t="s">
        <v>186</v>
      </c>
      <c r="AB243" s="36"/>
      <c r="AC243" s="36"/>
      <c r="AD243" s="29" t="s">
        <v>119</v>
      </c>
      <c r="AE243" s="36" t="str">
        <f>_xlfn.XLOOKUP(表格1[[#This Row],[唯一識別碼]],API清冊0707!B:B,API清冊0707!T:T,"")&amp;""</f>
        <v>無下拉選單</v>
      </c>
    </row>
    <row r="244" spans="1:31" ht="220.5" customHeight="1" x14ac:dyDescent="0.4">
      <c r="A244" s="29" t="s">
        <v>1123</v>
      </c>
      <c r="B244" s="29"/>
      <c r="C244" s="29"/>
      <c r="D244" s="29" t="s">
        <v>1124</v>
      </c>
      <c r="E244" s="29" t="s">
        <v>1125</v>
      </c>
      <c r="F244" s="29" t="s">
        <v>1126</v>
      </c>
      <c r="G244" s="35"/>
      <c r="H244" s="35" t="s">
        <v>151</v>
      </c>
      <c r="I244" s="29" t="s">
        <v>1123</v>
      </c>
      <c r="J244" s="37"/>
      <c r="K244" s="38"/>
      <c r="L244" s="38"/>
      <c r="M244" s="36" t="s">
        <v>60</v>
      </c>
      <c r="N244" s="15" t="s">
        <v>152</v>
      </c>
      <c r="O244" s="36" t="s">
        <v>162</v>
      </c>
      <c r="P244" s="36" t="str">
        <f t="shared" si="6"/>
        <v>WMTS_1/1000地形圖_正射影像_臺南市新營都市計畫(112年)</v>
      </c>
      <c r="Q244" s="29" t="s">
        <v>1126</v>
      </c>
      <c r="R244" s="29" t="str">
        <f t="shared" si="7"/>
        <v>2dms_wmts_v1_TOPON1KPHOTO_D03</v>
      </c>
      <c r="S244" s="39" t="s">
        <v>155</v>
      </c>
      <c r="U244" s="27" t="str">
        <f>_xlfn.XLOOKUP(表格1[[#This Row],[服務類別(英)]],參考2_服務標準對照!$B:$B,參考2_服務標準對照!$C:$C,"")&amp;""</f>
        <v>OGC</v>
      </c>
      <c r="V244" s="29" t="s">
        <v>7</v>
      </c>
      <c r="W244" s="29" t="s">
        <v>163</v>
      </c>
      <c r="X244" s="29" t="s">
        <v>81</v>
      </c>
      <c r="Y244" s="36" t="s">
        <v>83</v>
      </c>
      <c r="Z244" s="36" t="s">
        <v>157</v>
      </c>
      <c r="AA244" s="36" t="s">
        <v>186</v>
      </c>
      <c r="AB244" s="36"/>
      <c r="AC244" s="36"/>
      <c r="AD244" s="29" t="s">
        <v>119</v>
      </c>
      <c r="AE244" s="36" t="str">
        <f>_xlfn.XLOOKUP(表格1[[#This Row],[唯一識別碼]],API清冊0707!B:B,API清冊0707!T:T,"")&amp;""</f>
        <v>無下拉選單</v>
      </c>
    </row>
    <row r="245" spans="1:31" ht="220.5" customHeight="1" x14ac:dyDescent="0.4">
      <c r="A245" s="29" t="s">
        <v>1127</v>
      </c>
      <c r="B245" s="29"/>
      <c r="C245" s="29"/>
      <c r="D245" s="29" t="s">
        <v>1128</v>
      </c>
      <c r="E245" s="29" t="s">
        <v>1129</v>
      </c>
      <c r="F245" s="29" t="s">
        <v>1130</v>
      </c>
      <c r="G245" s="35"/>
      <c r="H245" s="35" t="s">
        <v>151</v>
      </c>
      <c r="I245" s="29" t="s">
        <v>1127</v>
      </c>
      <c r="J245" s="37"/>
      <c r="K245" s="38"/>
      <c r="L245" s="38"/>
      <c r="M245" s="36" t="s">
        <v>60</v>
      </c>
      <c r="N245" s="15" t="s">
        <v>152</v>
      </c>
      <c r="O245" s="36" t="s">
        <v>162</v>
      </c>
      <c r="P245" s="36" t="str">
        <f t="shared" si="6"/>
        <v>WMTS_1/1000地形圖_正射影像_臺中市豐潭雅神都市計畫(113年)</v>
      </c>
      <c r="Q245" s="29" t="s">
        <v>1130</v>
      </c>
      <c r="R245" s="29" t="str">
        <f t="shared" si="7"/>
        <v>2dms_wmts_v1_TOPON1KPHOTO_B25</v>
      </c>
      <c r="S245" s="39" t="s">
        <v>155</v>
      </c>
      <c r="U245" s="27" t="str">
        <f>_xlfn.XLOOKUP(表格1[[#This Row],[服務類別(英)]],參考2_服務標準對照!$B:$B,參考2_服務標準對照!$C:$C,"")&amp;""</f>
        <v>OGC</v>
      </c>
      <c r="V245" s="29" t="s">
        <v>7</v>
      </c>
      <c r="W245" s="29" t="s">
        <v>163</v>
      </c>
      <c r="X245" s="29" t="s">
        <v>81</v>
      </c>
      <c r="Y245" s="36" t="s">
        <v>83</v>
      </c>
      <c r="Z245" s="36" t="s">
        <v>157</v>
      </c>
      <c r="AA245" s="36" t="s">
        <v>186</v>
      </c>
      <c r="AB245" s="36"/>
      <c r="AC245" s="36"/>
      <c r="AD245" s="29" t="s">
        <v>119</v>
      </c>
      <c r="AE245" s="36" t="str">
        <f>_xlfn.XLOOKUP(表格1[[#This Row],[唯一識別碼]],API清冊0707!B:B,API清冊0707!T:T,"")&amp;""</f>
        <v>無下拉選單</v>
      </c>
    </row>
    <row r="246" spans="1:31" ht="220.5" customHeight="1" x14ac:dyDescent="0.4">
      <c r="A246" s="29" t="s">
        <v>1131</v>
      </c>
      <c r="B246" s="29"/>
      <c r="C246" s="29"/>
      <c r="D246" s="29" t="s">
        <v>1132</v>
      </c>
      <c r="E246" s="29" t="s">
        <v>1133</v>
      </c>
      <c r="F246" s="29" t="s">
        <v>1134</v>
      </c>
      <c r="G246" s="35"/>
      <c r="H246" s="35" t="s">
        <v>151</v>
      </c>
      <c r="I246" s="29" t="s">
        <v>1131</v>
      </c>
      <c r="J246" s="37"/>
      <c r="K246" s="38"/>
      <c r="L246" s="38"/>
      <c r="M246" s="36" t="s">
        <v>60</v>
      </c>
      <c r="N246" s="15" t="s">
        <v>152</v>
      </c>
      <c r="O246" s="36" t="s">
        <v>162</v>
      </c>
      <c r="P246" s="36" t="str">
        <f t="shared" si="6"/>
        <v>WMTS_1/1000地形圖_正射影像_臺中市高速公路王田交流道附近特定區計畫(112年)</v>
      </c>
      <c r="Q246" s="29" t="s">
        <v>1134</v>
      </c>
      <c r="R246" s="29" t="str">
        <f t="shared" si="7"/>
        <v>2dms_wmts_v1_TOPON1KPHOTO_B22</v>
      </c>
      <c r="S246" s="39" t="s">
        <v>155</v>
      </c>
      <c r="U246" s="27" t="str">
        <f>_xlfn.XLOOKUP(表格1[[#This Row],[服務類別(英)]],參考2_服務標準對照!$B:$B,參考2_服務標準對照!$C:$C,"")&amp;""</f>
        <v>OGC</v>
      </c>
      <c r="V246" s="29" t="s">
        <v>7</v>
      </c>
      <c r="W246" s="29" t="s">
        <v>163</v>
      </c>
      <c r="X246" s="29" t="s">
        <v>81</v>
      </c>
      <c r="Y246" s="36" t="s">
        <v>83</v>
      </c>
      <c r="Z246" s="36" t="s">
        <v>157</v>
      </c>
      <c r="AA246" s="36" t="s">
        <v>186</v>
      </c>
      <c r="AB246" s="36"/>
      <c r="AC246" s="36"/>
      <c r="AD246" s="29" t="s">
        <v>119</v>
      </c>
      <c r="AE246" s="36" t="str">
        <f>_xlfn.XLOOKUP(表格1[[#This Row],[唯一識別碼]],API清冊0707!B:B,API清冊0707!T:T,"")&amp;""</f>
        <v>無下拉選單</v>
      </c>
    </row>
    <row r="247" spans="1:31" ht="220.5" customHeight="1" x14ac:dyDescent="0.4">
      <c r="A247" s="29" t="s">
        <v>1135</v>
      </c>
      <c r="B247" s="29"/>
      <c r="C247" s="29"/>
      <c r="D247" s="29" t="s">
        <v>1136</v>
      </c>
      <c r="E247" s="29" t="s">
        <v>1137</v>
      </c>
      <c r="F247" s="29" t="s">
        <v>1138</v>
      </c>
      <c r="G247" s="35"/>
      <c r="H247" s="35" t="s">
        <v>151</v>
      </c>
      <c r="I247" s="29" t="s">
        <v>1135</v>
      </c>
      <c r="J247" s="37"/>
      <c r="K247" s="38"/>
      <c r="L247" s="38"/>
      <c r="M247" s="36" t="s">
        <v>60</v>
      </c>
      <c r="N247" s="15" t="s">
        <v>152</v>
      </c>
      <c r="O247" s="36" t="s">
        <v>162</v>
      </c>
      <c r="P247" s="36" t="str">
        <f t="shared" ref="P247:P310" si="8">IF(LEN(TRIM(F247))&gt;0,F247,E247)</f>
        <v>WMTS_1/1000地形圖_正射影像_臺中市中部科學工業園區台中基地附近特定區計畫(113年)</v>
      </c>
      <c r="Q247" s="29" t="s">
        <v>1138</v>
      </c>
      <c r="R247" s="29" t="str">
        <f t="shared" ref="R247:R310" si="9">D247</f>
        <v>2dms_wmts_v1_TOPON1KPHOTO_B20</v>
      </c>
      <c r="S247" s="39" t="s">
        <v>155</v>
      </c>
      <c r="U247" s="27" t="str">
        <f>_xlfn.XLOOKUP(表格1[[#This Row],[服務類別(英)]],參考2_服務標準對照!$B:$B,參考2_服務標準對照!$C:$C,"")&amp;""</f>
        <v>OGC</v>
      </c>
      <c r="V247" s="29" t="s">
        <v>7</v>
      </c>
      <c r="W247" s="29" t="s">
        <v>163</v>
      </c>
      <c r="X247" s="29" t="s">
        <v>81</v>
      </c>
      <c r="Y247" s="36" t="s">
        <v>83</v>
      </c>
      <c r="Z247" s="36" t="s">
        <v>157</v>
      </c>
      <c r="AA247" s="36" t="s">
        <v>186</v>
      </c>
      <c r="AB247" s="36"/>
      <c r="AC247" s="36"/>
      <c r="AD247" s="29" t="s">
        <v>119</v>
      </c>
      <c r="AE247" s="36" t="str">
        <f>_xlfn.XLOOKUP(表格1[[#This Row],[唯一識別碼]],API清冊0707!B:B,API清冊0707!T:T,"")&amp;""</f>
        <v>無下拉選單</v>
      </c>
    </row>
    <row r="248" spans="1:31" ht="220.5" customHeight="1" x14ac:dyDescent="0.4">
      <c r="A248" s="29" t="s">
        <v>1139</v>
      </c>
      <c r="B248" s="29"/>
      <c r="C248" s="29"/>
      <c r="D248" s="29" t="s">
        <v>1140</v>
      </c>
      <c r="E248" s="29" t="s">
        <v>1141</v>
      </c>
      <c r="F248" s="29" t="s">
        <v>1142</v>
      </c>
      <c r="G248" s="35"/>
      <c r="H248" s="35" t="s">
        <v>151</v>
      </c>
      <c r="I248" s="29" t="s">
        <v>1139</v>
      </c>
      <c r="J248" s="37"/>
      <c r="K248" s="38"/>
      <c r="L248" s="38"/>
      <c r="M248" s="36" t="s">
        <v>60</v>
      </c>
      <c r="N248" s="15" t="s">
        <v>152</v>
      </c>
      <c r="O248" s="36" t="s">
        <v>162</v>
      </c>
      <c r="P248" s="36" t="str">
        <f t="shared" si="8"/>
        <v>WMTS_1/1000地形圖_正射影像_臺中市大肚都市計畫(112年)</v>
      </c>
      <c r="Q248" s="29" t="s">
        <v>1142</v>
      </c>
      <c r="R248" s="29" t="str">
        <f t="shared" si="9"/>
        <v>2dms_wmts_v1_TOPON1KPHOTO_B15</v>
      </c>
      <c r="S248" s="39" t="s">
        <v>155</v>
      </c>
      <c r="U248" s="27" t="str">
        <f>_xlfn.XLOOKUP(表格1[[#This Row],[服務類別(英)]],參考2_服務標準對照!$B:$B,參考2_服務標準對照!$C:$C,"")&amp;""</f>
        <v>OGC</v>
      </c>
      <c r="V248" s="29" t="s">
        <v>7</v>
      </c>
      <c r="W248" s="29" t="s">
        <v>163</v>
      </c>
      <c r="X248" s="29" t="s">
        <v>81</v>
      </c>
      <c r="Y248" s="36" t="s">
        <v>83</v>
      </c>
      <c r="Z248" s="36" t="s">
        <v>157</v>
      </c>
      <c r="AA248" s="36" t="s">
        <v>186</v>
      </c>
      <c r="AB248" s="36"/>
      <c r="AC248" s="36"/>
      <c r="AD248" s="29" t="s">
        <v>119</v>
      </c>
      <c r="AE248" s="36" t="str">
        <f>_xlfn.XLOOKUP(表格1[[#This Row],[唯一識別碼]],API清冊0707!B:B,API清冊0707!T:T,"")&amp;""</f>
        <v>無下拉選單</v>
      </c>
    </row>
    <row r="249" spans="1:31" ht="220.5" customHeight="1" x14ac:dyDescent="0.4">
      <c r="A249" s="29" t="s">
        <v>1143</v>
      </c>
      <c r="B249" s="29"/>
      <c r="C249" s="29"/>
      <c r="D249" s="29" t="s">
        <v>1144</v>
      </c>
      <c r="E249" s="29" t="s">
        <v>1145</v>
      </c>
      <c r="F249" s="29" t="s">
        <v>1146</v>
      </c>
      <c r="G249" s="35"/>
      <c r="H249" s="35" t="s">
        <v>151</v>
      </c>
      <c r="I249" s="29" t="s">
        <v>1143</v>
      </c>
      <c r="J249" s="37"/>
      <c r="K249" s="38"/>
      <c r="L249" s="38"/>
      <c r="M249" s="36" t="s">
        <v>60</v>
      </c>
      <c r="N249" s="15" t="s">
        <v>152</v>
      </c>
      <c r="O249" s="36" t="s">
        <v>162</v>
      </c>
      <c r="P249" s="36" t="str">
        <f t="shared" si="8"/>
        <v>WMTS_1/1000地形圖_正射影像_臺中市烏日都市計畫(112年)</v>
      </c>
      <c r="Q249" s="29" t="s">
        <v>1146</v>
      </c>
      <c r="R249" s="29" t="str">
        <f t="shared" si="9"/>
        <v>2dms_wmts_v1_TOPON1KPHOTO_B14</v>
      </c>
      <c r="S249" s="39" t="s">
        <v>155</v>
      </c>
      <c r="U249" s="27" t="str">
        <f>_xlfn.XLOOKUP(表格1[[#This Row],[服務類別(英)]],參考2_服務標準對照!$B:$B,參考2_服務標準對照!$C:$C,"")&amp;""</f>
        <v>OGC</v>
      </c>
      <c r="V249" s="29" t="s">
        <v>7</v>
      </c>
      <c r="W249" s="29" t="s">
        <v>163</v>
      </c>
      <c r="X249" s="29" t="s">
        <v>81</v>
      </c>
      <c r="Y249" s="36" t="s">
        <v>83</v>
      </c>
      <c r="Z249" s="36" t="s">
        <v>157</v>
      </c>
      <c r="AA249" s="36" t="s">
        <v>186</v>
      </c>
      <c r="AB249" s="36"/>
      <c r="AC249" s="36"/>
      <c r="AD249" s="29" t="s">
        <v>119</v>
      </c>
      <c r="AE249" s="36" t="str">
        <f>_xlfn.XLOOKUP(表格1[[#This Row],[唯一識別碼]],API清冊0707!B:B,API清冊0707!T:T,"")&amp;""</f>
        <v>無下拉選單</v>
      </c>
    </row>
    <row r="250" spans="1:31" ht="220.5" customHeight="1" x14ac:dyDescent="0.4">
      <c r="A250" s="29" t="s">
        <v>1147</v>
      </c>
      <c r="B250" s="29"/>
      <c r="C250" s="29"/>
      <c r="D250" s="29" t="s">
        <v>1148</v>
      </c>
      <c r="E250" s="29" t="s">
        <v>1149</v>
      </c>
      <c r="F250" s="29" t="s">
        <v>1150</v>
      </c>
      <c r="G250" s="35"/>
      <c r="H250" s="35" t="s">
        <v>151</v>
      </c>
      <c r="I250" s="29" t="s">
        <v>1147</v>
      </c>
      <c r="J250" s="37"/>
      <c r="K250" s="38"/>
      <c r="L250" s="38"/>
      <c r="M250" s="36" t="s">
        <v>60</v>
      </c>
      <c r="N250" s="15" t="s">
        <v>152</v>
      </c>
      <c r="O250" s="36" t="s">
        <v>162</v>
      </c>
      <c r="P250" s="36" t="str">
        <f t="shared" si="8"/>
        <v>WMTS_1/1000地形圖_正射影像_臺中市新社都市計畫(112年)</v>
      </c>
      <c r="Q250" s="29" t="s">
        <v>1150</v>
      </c>
      <c r="R250" s="29" t="str">
        <f t="shared" si="9"/>
        <v>2dms_wmts_v1_TOPON1KPHOTO_B11</v>
      </c>
      <c r="S250" s="39" t="s">
        <v>155</v>
      </c>
      <c r="U250" s="27" t="str">
        <f>_xlfn.XLOOKUP(表格1[[#This Row],[服務類別(英)]],參考2_服務標準對照!$B:$B,參考2_服務標準對照!$C:$C,"")&amp;""</f>
        <v>OGC</v>
      </c>
      <c r="V250" s="29" t="s">
        <v>7</v>
      </c>
      <c r="W250" s="29" t="s">
        <v>163</v>
      </c>
      <c r="X250" s="29" t="s">
        <v>81</v>
      </c>
      <c r="Y250" s="36" t="s">
        <v>83</v>
      </c>
      <c r="Z250" s="36" t="s">
        <v>157</v>
      </c>
      <c r="AA250" s="36" t="s">
        <v>186</v>
      </c>
      <c r="AB250" s="36"/>
      <c r="AC250" s="36"/>
      <c r="AD250" s="29" t="s">
        <v>119</v>
      </c>
      <c r="AE250" s="36" t="str">
        <f>_xlfn.XLOOKUP(表格1[[#This Row],[唯一識別碼]],API清冊0707!B:B,API清冊0707!T:T,"")&amp;""</f>
        <v>無下拉選單</v>
      </c>
    </row>
    <row r="251" spans="1:31" ht="220.5" customHeight="1" x14ac:dyDescent="0.4">
      <c r="A251" s="29" t="s">
        <v>1151</v>
      </c>
      <c r="B251" s="29"/>
      <c r="C251" s="29"/>
      <c r="D251" s="29" t="s">
        <v>1152</v>
      </c>
      <c r="E251" s="29" t="s">
        <v>1153</v>
      </c>
      <c r="F251" s="29" t="s">
        <v>1154</v>
      </c>
      <c r="G251" s="35"/>
      <c r="H251" s="35" t="s">
        <v>151</v>
      </c>
      <c r="I251" s="29" t="s">
        <v>1151</v>
      </c>
      <c r="J251" s="37"/>
      <c r="K251" s="38"/>
      <c r="L251" s="38"/>
      <c r="M251" s="36" t="s">
        <v>60</v>
      </c>
      <c r="N251" s="15" t="s">
        <v>152</v>
      </c>
      <c r="O251" s="36" t="s">
        <v>162</v>
      </c>
      <c r="P251" s="36" t="str">
        <f t="shared" si="8"/>
        <v>WMTS_1/1000地形圖_正射影像_臺中市東勢都市計畫(112年)</v>
      </c>
      <c r="Q251" s="29" t="s">
        <v>1154</v>
      </c>
      <c r="R251" s="29" t="str">
        <f t="shared" si="9"/>
        <v>2dms_wmts_v1_TOPON1KPHOTO_B04</v>
      </c>
      <c r="S251" s="39" t="s">
        <v>155</v>
      </c>
      <c r="U251" s="27" t="str">
        <f>_xlfn.XLOOKUP(表格1[[#This Row],[服務類別(英)]],參考2_服務標準對照!$B:$B,參考2_服務標準對照!$C:$C,"")&amp;""</f>
        <v>OGC</v>
      </c>
      <c r="V251" s="29" t="s">
        <v>7</v>
      </c>
      <c r="W251" s="29" t="s">
        <v>163</v>
      </c>
      <c r="X251" s="29" t="s">
        <v>81</v>
      </c>
      <c r="Y251" s="36" t="s">
        <v>83</v>
      </c>
      <c r="Z251" s="36" t="s">
        <v>157</v>
      </c>
      <c r="AA251" s="36" t="s">
        <v>186</v>
      </c>
      <c r="AB251" s="36"/>
      <c r="AC251" s="36"/>
      <c r="AD251" s="29" t="s">
        <v>119</v>
      </c>
      <c r="AE251" s="36" t="str">
        <f>_xlfn.XLOOKUP(表格1[[#This Row],[唯一識別碼]],API清冊0707!B:B,API清冊0707!T:T,"")&amp;""</f>
        <v>無下拉選單</v>
      </c>
    </row>
    <row r="252" spans="1:31" ht="204.75" customHeight="1" x14ac:dyDescent="0.4">
      <c r="A252" s="29" t="s">
        <v>1155</v>
      </c>
      <c r="B252" s="29"/>
      <c r="C252" s="29"/>
      <c r="D252" s="29" t="s">
        <v>1156</v>
      </c>
      <c r="E252" s="29" t="s">
        <v>1157</v>
      </c>
      <c r="F252" s="29" t="s">
        <v>1158</v>
      </c>
      <c r="G252" s="35"/>
      <c r="H252" s="35" t="s">
        <v>151</v>
      </c>
      <c r="I252" s="29" t="s">
        <v>1155</v>
      </c>
      <c r="J252" s="37"/>
      <c r="K252" s="38"/>
      <c r="L252" s="38"/>
      <c r="M252" s="36" t="s">
        <v>60</v>
      </c>
      <c r="N252" s="15" t="s">
        <v>152</v>
      </c>
      <c r="O252" s="36" t="s">
        <v>162</v>
      </c>
      <c r="P252" s="36" t="str">
        <f t="shared" si="8"/>
        <v>WMTS_1/1000地形圖_澎湖縣湖西鄉都市計畫(113年)</v>
      </c>
      <c r="Q252" s="29" t="s">
        <v>1158</v>
      </c>
      <c r="R252" s="29" t="str">
        <f t="shared" si="9"/>
        <v>2dms_wmts_v1_TOPON1K_X08</v>
      </c>
      <c r="S252" s="39" t="s">
        <v>155</v>
      </c>
      <c r="U252" s="27" t="str">
        <f>_xlfn.XLOOKUP(表格1[[#This Row],[服務類別(英)]],參考2_服務標準對照!$B:$B,參考2_服務標準對照!$C:$C,"")&amp;""</f>
        <v>OGC</v>
      </c>
      <c r="V252" s="29" t="s">
        <v>7</v>
      </c>
      <c r="W252" s="29" t="s">
        <v>163</v>
      </c>
      <c r="X252" s="29" t="s">
        <v>81</v>
      </c>
      <c r="Y252" s="36" t="s">
        <v>83</v>
      </c>
      <c r="Z252" s="36" t="s">
        <v>157</v>
      </c>
      <c r="AA252" s="36" t="s">
        <v>1159</v>
      </c>
      <c r="AB252" s="36"/>
      <c r="AC252" s="36"/>
      <c r="AD252" s="29" t="s">
        <v>119</v>
      </c>
      <c r="AE252" s="36" t="str">
        <f>_xlfn.XLOOKUP(表格1[[#This Row],[唯一識別碼]],API清冊0707!B:B,API清冊0707!T:T,"")&amp;""</f>
        <v>無下拉選單</v>
      </c>
    </row>
    <row r="253" spans="1:31" ht="204.75" customHeight="1" x14ac:dyDescent="0.4">
      <c r="A253" s="29" t="s">
        <v>1160</v>
      </c>
      <c r="B253" s="29"/>
      <c r="C253" s="29"/>
      <c r="D253" s="29" t="s">
        <v>1161</v>
      </c>
      <c r="E253" s="29" t="s">
        <v>1162</v>
      </c>
      <c r="F253" s="29" t="s">
        <v>1163</v>
      </c>
      <c r="G253" s="35"/>
      <c r="H253" s="35" t="s">
        <v>151</v>
      </c>
      <c r="I253" s="29" t="s">
        <v>1160</v>
      </c>
      <c r="J253" s="37"/>
      <c r="K253" s="38"/>
      <c r="L253" s="38"/>
      <c r="M253" s="36" t="s">
        <v>60</v>
      </c>
      <c r="N253" s="15" t="s">
        <v>152</v>
      </c>
      <c r="O253" s="36" t="s">
        <v>162</v>
      </c>
      <c r="P253" s="36" t="str">
        <f t="shared" si="8"/>
        <v>WMTS_1/1000地形圖_澎湖縣馬公市都市計畫(113年)</v>
      </c>
      <c r="Q253" s="29" t="s">
        <v>1163</v>
      </c>
      <c r="R253" s="29" t="str">
        <f t="shared" si="9"/>
        <v>2dms_wmts_v1_TOPON1K_X07</v>
      </c>
      <c r="S253" s="39" t="s">
        <v>155</v>
      </c>
      <c r="U253" s="27" t="str">
        <f>_xlfn.XLOOKUP(表格1[[#This Row],[服務類別(英)]],參考2_服務標準對照!$B:$B,參考2_服務標準對照!$C:$C,"")&amp;""</f>
        <v>OGC</v>
      </c>
      <c r="V253" s="29" t="s">
        <v>7</v>
      </c>
      <c r="W253" s="29" t="s">
        <v>163</v>
      </c>
      <c r="X253" s="29" t="s">
        <v>81</v>
      </c>
      <c r="Y253" s="36" t="s">
        <v>83</v>
      </c>
      <c r="Z253" s="36" t="s">
        <v>157</v>
      </c>
      <c r="AA253" s="36" t="s">
        <v>1159</v>
      </c>
      <c r="AB253" s="36"/>
      <c r="AC253" s="36"/>
      <c r="AD253" s="29" t="s">
        <v>119</v>
      </c>
      <c r="AE253" s="36" t="str">
        <f>_xlfn.XLOOKUP(表格1[[#This Row],[唯一識別碼]],API清冊0707!B:B,API清冊0707!T:T,"")&amp;""</f>
        <v>無下拉選單</v>
      </c>
    </row>
    <row r="254" spans="1:31" ht="204.75" customHeight="1" x14ac:dyDescent="0.4">
      <c r="A254" s="29" t="s">
        <v>1164</v>
      </c>
      <c r="B254" s="29"/>
      <c r="C254" s="29"/>
      <c r="D254" s="29" t="s">
        <v>1165</v>
      </c>
      <c r="E254" s="29" t="s">
        <v>1166</v>
      </c>
      <c r="F254" s="29" t="s">
        <v>1167</v>
      </c>
      <c r="G254" s="35"/>
      <c r="H254" s="35" t="s">
        <v>151</v>
      </c>
      <c r="I254" s="29" t="s">
        <v>1164</v>
      </c>
      <c r="J254" s="37"/>
      <c r="K254" s="38"/>
      <c r="L254" s="38"/>
      <c r="M254" s="36" t="s">
        <v>60</v>
      </c>
      <c r="N254" s="15" t="s">
        <v>152</v>
      </c>
      <c r="O254" s="36" t="s">
        <v>162</v>
      </c>
      <c r="P254" s="36" t="str">
        <f t="shared" si="8"/>
        <v>WMTS_1/1000地形圖_澎湖縣二崁傳統聚落特定區計畫(112年)</v>
      </c>
      <c r="Q254" s="29" t="s">
        <v>1167</v>
      </c>
      <c r="R254" s="29" t="str">
        <f t="shared" si="9"/>
        <v>2dms_wmts_v1_TOPON1K_X06</v>
      </c>
      <c r="S254" s="39" t="s">
        <v>155</v>
      </c>
      <c r="U254" s="27" t="str">
        <f>_xlfn.XLOOKUP(表格1[[#This Row],[服務類別(英)]],參考2_服務標準對照!$B:$B,參考2_服務標準對照!$C:$C,"")&amp;""</f>
        <v>OGC</v>
      </c>
      <c r="V254" s="29" t="s">
        <v>7</v>
      </c>
      <c r="W254" s="29" t="s">
        <v>163</v>
      </c>
      <c r="X254" s="29" t="s">
        <v>81</v>
      </c>
      <c r="Y254" s="36" t="s">
        <v>83</v>
      </c>
      <c r="Z254" s="36" t="s">
        <v>157</v>
      </c>
      <c r="AA254" s="36" t="s">
        <v>1159</v>
      </c>
      <c r="AB254" s="36"/>
      <c r="AC254" s="36"/>
      <c r="AD254" s="29" t="s">
        <v>119</v>
      </c>
      <c r="AE254" s="36" t="str">
        <f>_xlfn.XLOOKUP(表格1[[#This Row],[唯一識別碼]],API清冊0707!B:B,API清冊0707!T:T,"")&amp;""</f>
        <v>無下拉選單</v>
      </c>
    </row>
    <row r="255" spans="1:31" ht="204.75" customHeight="1" x14ac:dyDescent="0.4">
      <c r="A255" s="29" t="s">
        <v>1168</v>
      </c>
      <c r="B255" s="29"/>
      <c r="C255" s="29"/>
      <c r="D255" s="29" t="s">
        <v>1169</v>
      </c>
      <c r="E255" s="29" t="s">
        <v>1170</v>
      </c>
      <c r="F255" s="29" t="s">
        <v>1171</v>
      </c>
      <c r="G255" s="35"/>
      <c r="H255" s="35" t="s">
        <v>151</v>
      </c>
      <c r="I255" s="29" t="s">
        <v>1168</v>
      </c>
      <c r="J255" s="37"/>
      <c r="K255" s="38"/>
      <c r="L255" s="38"/>
      <c r="M255" s="36" t="s">
        <v>60</v>
      </c>
      <c r="N255" s="15" t="s">
        <v>152</v>
      </c>
      <c r="O255" s="36" t="s">
        <v>162</v>
      </c>
      <c r="P255" s="36" t="str">
        <f t="shared" si="8"/>
        <v>WMTS_1/1000地形圖_澎湖縣林投風景特定區計畫(112年)</v>
      </c>
      <c r="Q255" s="29" t="s">
        <v>1171</v>
      </c>
      <c r="R255" s="29" t="str">
        <f t="shared" si="9"/>
        <v>2dms_wmts_v1_TOPON1K_X05</v>
      </c>
      <c r="S255" s="39" t="s">
        <v>155</v>
      </c>
      <c r="U255" s="27" t="str">
        <f>_xlfn.XLOOKUP(表格1[[#This Row],[服務類別(英)]],參考2_服務標準對照!$B:$B,參考2_服務標準對照!$C:$C,"")&amp;""</f>
        <v>OGC</v>
      </c>
      <c r="V255" s="29" t="s">
        <v>7</v>
      </c>
      <c r="W255" s="29" t="s">
        <v>163</v>
      </c>
      <c r="X255" s="29" t="s">
        <v>81</v>
      </c>
      <c r="Y255" s="36" t="s">
        <v>83</v>
      </c>
      <c r="Z255" s="36" t="s">
        <v>157</v>
      </c>
      <c r="AA255" s="36" t="s">
        <v>1159</v>
      </c>
      <c r="AB255" s="36"/>
      <c r="AC255" s="36"/>
      <c r="AD255" s="29" t="s">
        <v>119</v>
      </c>
      <c r="AE255" s="36" t="str">
        <f>_xlfn.XLOOKUP(表格1[[#This Row],[唯一識別碼]],API清冊0707!B:B,API清冊0707!T:T,"")&amp;""</f>
        <v>無下拉選單</v>
      </c>
    </row>
    <row r="256" spans="1:31" ht="204.75" customHeight="1" x14ac:dyDescent="0.4">
      <c r="A256" s="29" t="s">
        <v>1172</v>
      </c>
      <c r="B256" s="29"/>
      <c r="C256" s="29"/>
      <c r="D256" s="29" t="s">
        <v>1173</v>
      </c>
      <c r="E256" s="29" t="s">
        <v>1174</v>
      </c>
      <c r="F256" s="29" t="s">
        <v>1175</v>
      </c>
      <c r="G256" s="35"/>
      <c r="H256" s="35" t="s">
        <v>151</v>
      </c>
      <c r="I256" s="29" t="s">
        <v>1172</v>
      </c>
      <c r="J256" s="37"/>
      <c r="K256" s="38"/>
      <c r="L256" s="38"/>
      <c r="M256" s="36" t="s">
        <v>60</v>
      </c>
      <c r="N256" s="15" t="s">
        <v>152</v>
      </c>
      <c r="O256" s="36" t="s">
        <v>162</v>
      </c>
      <c r="P256" s="36" t="str">
        <f t="shared" si="8"/>
        <v>WMTS_1/1000地形圖_澎湖縣西嶼西台古蹟特定區計畫(112年)</v>
      </c>
      <c r="Q256" s="29" t="s">
        <v>1175</v>
      </c>
      <c r="R256" s="29" t="str">
        <f t="shared" si="9"/>
        <v>2dms_wmts_v1_TOPON1K_X04</v>
      </c>
      <c r="S256" s="39" t="s">
        <v>155</v>
      </c>
      <c r="U256" s="27" t="str">
        <f>_xlfn.XLOOKUP(表格1[[#This Row],[服務類別(英)]],參考2_服務標準對照!$B:$B,參考2_服務標準對照!$C:$C,"")&amp;""</f>
        <v>OGC</v>
      </c>
      <c r="V256" s="29" t="s">
        <v>7</v>
      </c>
      <c r="W256" s="29" t="s">
        <v>163</v>
      </c>
      <c r="X256" s="29" t="s">
        <v>81</v>
      </c>
      <c r="Y256" s="36" t="s">
        <v>83</v>
      </c>
      <c r="Z256" s="36" t="s">
        <v>157</v>
      </c>
      <c r="AA256" s="36" t="s">
        <v>1159</v>
      </c>
      <c r="AB256" s="36"/>
      <c r="AC256" s="36"/>
      <c r="AD256" s="29" t="s">
        <v>119</v>
      </c>
      <c r="AE256" s="36" t="str">
        <f>_xlfn.XLOOKUP(表格1[[#This Row],[唯一識別碼]],API清冊0707!B:B,API清冊0707!T:T,"")&amp;""</f>
        <v>無下拉選單</v>
      </c>
    </row>
    <row r="257" spans="1:31" ht="204.75" customHeight="1" x14ac:dyDescent="0.4">
      <c r="A257" s="29" t="s">
        <v>1176</v>
      </c>
      <c r="B257" s="29"/>
      <c r="C257" s="29"/>
      <c r="D257" s="29" t="s">
        <v>1177</v>
      </c>
      <c r="E257" s="29" t="s">
        <v>1178</v>
      </c>
      <c r="F257" s="29" t="s">
        <v>1179</v>
      </c>
      <c r="G257" s="35"/>
      <c r="H257" s="35" t="s">
        <v>151</v>
      </c>
      <c r="I257" s="29" t="s">
        <v>1176</v>
      </c>
      <c r="J257" s="37"/>
      <c r="K257" s="38"/>
      <c r="L257" s="38"/>
      <c r="M257" s="36" t="s">
        <v>60</v>
      </c>
      <c r="N257" s="15" t="s">
        <v>152</v>
      </c>
      <c r="O257" s="36" t="s">
        <v>162</v>
      </c>
      <c r="P257" s="36" t="str">
        <f t="shared" si="8"/>
        <v>WMTS_1/1000地形圖_澎湖縣鎖港地區都市計畫(112年)</v>
      </c>
      <c r="Q257" s="29" t="s">
        <v>1179</v>
      </c>
      <c r="R257" s="29" t="str">
        <f t="shared" si="9"/>
        <v>2dms_wmts_v1_TOPON1K_X03</v>
      </c>
      <c r="S257" s="39" t="s">
        <v>155</v>
      </c>
      <c r="U257" s="27" t="str">
        <f>_xlfn.XLOOKUP(表格1[[#This Row],[服務類別(英)]],參考2_服務標準對照!$B:$B,參考2_服務標準對照!$C:$C,"")&amp;""</f>
        <v>OGC</v>
      </c>
      <c r="V257" s="29" t="s">
        <v>7</v>
      </c>
      <c r="W257" s="29" t="s">
        <v>163</v>
      </c>
      <c r="X257" s="29" t="s">
        <v>81</v>
      </c>
      <c r="Y257" s="36" t="s">
        <v>83</v>
      </c>
      <c r="Z257" s="36" t="s">
        <v>157</v>
      </c>
      <c r="AA257" s="36" t="s">
        <v>1159</v>
      </c>
      <c r="AB257" s="36"/>
      <c r="AC257" s="36"/>
      <c r="AD257" s="29" t="s">
        <v>119</v>
      </c>
      <c r="AE257" s="36" t="str">
        <f>_xlfn.XLOOKUP(表格1[[#This Row],[唯一識別碼]],API清冊0707!B:B,API清冊0707!T:T,"")&amp;""</f>
        <v>無下拉選單</v>
      </c>
    </row>
    <row r="258" spans="1:31" ht="204.75" customHeight="1" x14ac:dyDescent="0.4">
      <c r="A258" s="29" t="s">
        <v>1180</v>
      </c>
      <c r="B258" s="29"/>
      <c r="C258" s="29"/>
      <c r="D258" s="29" t="s">
        <v>1181</v>
      </c>
      <c r="E258" s="29" t="s">
        <v>1182</v>
      </c>
      <c r="F258" s="29" t="s">
        <v>1183</v>
      </c>
      <c r="G258" s="35"/>
      <c r="H258" s="35" t="s">
        <v>151</v>
      </c>
      <c r="I258" s="29" t="s">
        <v>1180</v>
      </c>
      <c r="J258" s="37"/>
      <c r="K258" s="38"/>
      <c r="L258" s="38"/>
      <c r="M258" s="36" t="s">
        <v>60</v>
      </c>
      <c r="N258" s="15" t="s">
        <v>152</v>
      </c>
      <c r="O258" s="36" t="s">
        <v>162</v>
      </c>
      <c r="P258" s="36" t="str">
        <f t="shared" si="8"/>
        <v>WMTS_1/1000地形圖_澎湖縣白沙通梁地區都市計畫(112年)</v>
      </c>
      <c r="Q258" s="29" t="s">
        <v>1183</v>
      </c>
      <c r="R258" s="29" t="str">
        <f t="shared" si="9"/>
        <v>2dms_wmts_v1_TOPON1K_X02</v>
      </c>
      <c r="S258" s="39" t="s">
        <v>155</v>
      </c>
      <c r="U258" s="27" t="str">
        <f>_xlfn.XLOOKUP(表格1[[#This Row],[服務類別(英)]],參考2_服務標準對照!$B:$B,參考2_服務標準對照!$C:$C,"")&amp;""</f>
        <v>OGC</v>
      </c>
      <c r="V258" s="29" t="s">
        <v>7</v>
      </c>
      <c r="W258" s="29" t="s">
        <v>163</v>
      </c>
      <c r="X258" s="29" t="s">
        <v>81</v>
      </c>
      <c r="Y258" s="36" t="s">
        <v>83</v>
      </c>
      <c r="Z258" s="36" t="s">
        <v>157</v>
      </c>
      <c r="AA258" s="36" t="s">
        <v>1159</v>
      </c>
      <c r="AB258" s="36"/>
      <c r="AC258" s="36"/>
      <c r="AD258" s="29" t="s">
        <v>119</v>
      </c>
      <c r="AE258" s="36" t="str">
        <f>_xlfn.XLOOKUP(表格1[[#This Row],[唯一識別碼]],API清冊0707!B:B,API清冊0707!T:T,"")&amp;""</f>
        <v>無下拉選單</v>
      </c>
    </row>
    <row r="259" spans="1:31" ht="204.75" customHeight="1" x14ac:dyDescent="0.4">
      <c r="A259" s="29" t="s">
        <v>1184</v>
      </c>
      <c r="B259" s="29"/>
      <c r="C259" s="29"/>
      <c r="D259" s="29" t="s">
        <v>1185</v>
      </c>
      <c r="E259" s="29" t="s">
        <v>1186</v>
      </c>
      <c r="F259" s="29" t="s">
        <v>1187</v>
      </c>
      <c r="G259" s="35"/>
      <c r="H259" s="35" t="s">
        <v>151</v>
      </c>
      <c r="I259" s="29" t="s">
        <v>1184</v>
      </c>
      <c r="J259" s="37"/>
      <c r="K259" s="38"/>
      <c r="L259" s="38"/>
      <c r="M259" s="36" t="s">
        <v>60</v>
      </c>
      <c r="N259" s="15" t="s">
        <v>152</v>
      </c>
      <c r="O259" s="36" t="s">
        <v>162</v>
      </c>
      <c r="P259" s="36" t="str">
        <f t="shared" si="8"/>
        <v>WMTS_1/1000地形圖_澎湖縣馬公都市計畫(112年)</v>
      </c>
      <c r="Q259" s="29" t="s">
        <v>1187</v>
      </c>
      <c r="R259" s="29" t="str">
        <f t="shared" si="9"/>
        <v>2dms_wmts_v1_TOPON1K_X01</v>
      </c>
      <c r="S259" s="39" t="s">
        <v>155</v>
      </c>
      <c r="U259" s="27" t="str">
        <f>_xlfn.XLOOKUP(表格1[[#This Row],[服務類別(英)]],參考2_服務標準對照!$B:$B,參考2_服務標準對照!$C:$C,"")&amp;""</f>
        <v>OGC</v>
      </c>
      <c r="V259" s="29" t="s">
        <v>7</v>
      </c>
      <c r="W259" s="29" t="s">
        <v>163</v>
      </c>
      <c r="X259" s="29" t="s">
        <v>81</v>
      </c>
      <c r="Y259" s="36" t="s">
        <v>83</v>
      </c>
      <c r="Z259" s="36" t="s">
        <v>157</v>
      </c>
      <c r="AA259" s="36" t="s">
        <v>1159</v>
      </c>
      <c r="AB259" s="36"/>
      <c r="AC259" s="36"/>
      <c r="AD259" s="29" t="s">
        <v>119</v>
      </c>
      <c r="AE259" s="36" t="str">
        <f>_xlfn.XLOOKUP(表格1[[#This Row],[唯一識別碼]],API清冊0707!B:B,API清冊0707!T:T,"")&amp;""</f>
        <v>無下拉選單</v>
      </c>
    </row>
    <row r="260" spans="1:31" ht="204.75" customHeight="1" x14ac:dyDescent="0.4">
      <c r="A260" s="29" t="s">
        <v>1188</v>
      </c>
      <c r="B260" s="29"/>
      <c r="C260" s="29"/>
      <c r="D260" s="29" t="s">
        <v>1189</v>
      </c>
      <c r="E260" s="29" t="s">
        <v>1190</v>
      </c>
      <c r="F260" s="29" t="s">
        <v>1191</v>
      </c>
      <c r="G260" s="35"/>
      <c r="H260" s="35" t="s">
        <v>151</v>
      </c>
      <c r="I260" s="29" t="s">
        <v>1188</v>
      </c>
      <c r="J260" s="37"/>
      <c r="K260" s="38"/>
      <c r="L260" s="38"/>
      <c r="M260" s="36" t="s">
        <v>60</v>
      </c>
      <c r="N260" s="15" t="s">
        <v>152</v>
      </c>
      <c r="O260" s="36" t="s">
        <v>162</v>
      </c>
      <c r="P260" s="36" t="str">
        <f t="shared" si="8"/>
        <v>WMTS_1/1000地形圖_臺東縣臺東鐵路新站附近地區都市計畫(113年)</v>
      </c>
      <c r="Q260" s="29" t="s">
        <v>1191</v>
      </c>
      <c r="R260" s="29" t="str">
        <f t="shared" si="9"/>
        <v>2dms_wmts_v1_TOPON1K_V02</v>
      </c>
      <c r="S260" s="39" t="s">
        <v>155</v>
      </c>
      <c r="U260" s="27" t="str">
        <f>_xlfn.XLOOKUP(表格1[[#This Row],[服務類別(英)]],參考2_服務標準對照!$B:$B,參考2_服務標準對照!$C:$C,"")&amp;""</f>
        <v>OGC</v>
      </c>
      <c r="V260" s="29" t="s">
        <v>7</v>
      </c>
      <c r="W260" s="29" t="s">
        <v>163</v>
      </c>
      <c r="X260" s="29" t="s">
        <v>81</v>
      </c>
      <c r="Y260" s="36" t="s">
        <v>83</v>
      </c>
      <c r="Z260" s="36" t="s">
        <v>157</v>
      </c>
      <c r="AA260" s="36" t="s">
        <v>1159</v>
      </c>
      <c r="AB260" s="36"/>
      <c r="AC260" s="36"/>
      <c r="AD260" s="29" t="s">
        <v>119</v>
      </c>
      <c r="AE260" s="36" t="str">
        <f>_xlfn.XLOOKUP(表格1[[#This Row],[唯一識別碼]],API清冊0707!B:B,API清冊0707!T:T,"")&amp;""</f>
        <v>無下拉選單</v>
      </c>
    </row>
    <row r="261" spans="1:31" ht="204.75" customHeight="1" x14ac:dyDescent="0.4">
      <c r="A261" s="29" t="s">
        <v>1192</v>
      </c>
      <c r="B261" s="29"/>
      <c r="C261" s="29"/>
      <c r="D261" s="29" t="s">
        <v>1193</v>
      </c>
      <c r="E261" s="29" t="s">
        <v>1194</v>
      </c>
      <c r="F261" s="29" t="s">
        <v>1195</v>
      </c>
      <c r="G261" s="35"/>
      <c r="H261" s="35" t="s">
        <v>151</v>
      </c>
      <c r="I261" s="29" t="s">
        <v>1192</v>
      </c>
      <c r="J261" s="37"/>
      <c r="K261" s="38"/>
      <c r="L261" s="38"/>
      <c r="M261" s="36" t="s">
        <v>60</v>
      </c>
      <c r="N261" s="15" t="s">
        <v>152</v>
      </c>
      <c r="O261" s="36" t="s">
        <v>162</v>
      </c>
      <c r="P261" s="36" t="str">
        <f t="shared" si="8"/>
        <v>WMTS_1/1000地形圖_臺東縣臺東市都市計畫(112年)</v>
      </c>
      <c r="Q261" s="29" t="s">
        <v>1195</v>
      </c>
      <c r="R261" s="29" t="str">
        <f t="shared" si="9"/>
        <v>2dms_wmts_v1_TOPON1K_V01</v>
      </c>
      <c r="S261" s="39" t="s">
        <v>155</v>
      </c>
      <c r="U261" s="27" t="str">
        <f>_xlfn.XLOOKUP(表格1[[#This Row],[服務類別(英)]],參考2_服務標準對照!$B:$B,參考2_服務標準對照!$C:$C,"")&amp;""</f>
        <v>OGC</v>
      </c>
      <c r="V261" s="29" t="s">
        <v>7</v>
      </c>
      <c r="W261" s="29" t="s">
        <v>163</v>
      </c>
      <c r="X261" s="29" t="s">
        <v>81</v>
      </c>
      <c r="Y261" s="36" t="s">
        <v>83</v>
      </c>
      <c r="Z261" s="36" t="s">
        <v>157</v>
      </c>
      <c r="AA261" s="36" t="s">
        <v>1159</v>
      </c>
      <c r="AB261" s="36"/>
      <c r="AC261" s="36"/>
      <c r="AD261" s="29" t="s">
        <v>119</v>
      </c>
      <c r="AE261" s="36" t="str">
        <f>_xlfn.XLOOKUP(表格1[[#This Row],[唯一識別碼]],API清冊0707!B:B,API清冊0707!T:T,"")&amp;""</f>
        <v>無下拉選單</v>
      </c>
    </row>
    <row r="262" spans="1:31" ht="204.75" customHeight="1" x14ac:dyDescent="0.4">
      <c r="A262" s="29" t="s">
        <v>1196</v>
      </c>
      <c r="B262" s="29"/>
      <c r="C262" s="29"/>
      <c r="D262" s="29" t="s">
        <v>1197</v>
      </c>
      <c r="E262" s="29" t="s">
        <v>1198</v>
      </c>
      <c r="F262" s="29" t="s">
        <v>1199</v>
      </c>
      <c r="G262" s="35"/>
      <c r="H262" s="35" t="s">
        <v>151</v>
      </c>
      <c r="I262" s="29" t="s">
        <v>1196</v>
      </c>
      <c r="J262" s="37"/>
      <c r="K262" s="38"/>
      <c r="L262" s="38"/>
      <c r="M262" s="36" t="s">
        <v>60</v>
      </c>
      <c r="N262" s="15" t="s">
        <v>152</v>
      </c>
      <c r="O262" s="36" t="s">
        <v>162</v>
      </c>
      <c r="P262" s="36" t="str">
        <f t="shared" si="8"/>
        <v>WMTS_1/1000地形圖_花蓮縣光復鄉都市計畫(113年)</v>
      </c>
      <c r="Q262" s="29" t="s">
        <v>1199</v>
      </c>
      <c r="R262" s="29" t="str">
        <f t="shared" si="9"/>
        <v>2dms_wmts_v1_TOPON1K_U20</v>
      </c>
      <c r="S262" s="39" t="s">
        <v>155</v>
      </c>
      <c r="U262" s="27" t="str">
        <f>_xlfn.XLOOKUP(表格1[[#This Row],[服務類別(英)]],參考2_服務標準對照!$B:$B,參考2_服務標準對照!$C:$C,"")&amp;""</f>
        <v>OGC</v>
      </c>
      <c r="V262" s="29" t="s">
        <v>7</v>
      </c>
      <c r="W262" s="29" t="s">
        <v>163</v>
      </c>
      <c r="X262" s="29" t="s">
        <v>81</v>
      </c>
      <c r="Y262" s="36" t="s">
        <v>83</v>
      </c>
      <c r="Z262" s="36" t="s">
        <v>157</v>
      </c>
      <c r="AA262" s="36" t="s">
        <v>1159</v>
      </c>
      <c r="AB262" s="36"/>
      <c r="AC262" s="36"/>
      <c r="AD262" s="29" t="s">
        <v>119</v>
      </c>
      <c r="AE262" s="36" t="str">
        <f>_xlfn.XLOOKUP(表格1[[#This Row],[唯一識別碼]],API清冊0707!B:B,API清冊0707!T:T,"")&amp;""</f>
        <v>無下拉選單</v>
      </c>
    </row>
    <row r="263" spans="1:31" ht="204.75" customHeight="1" x14ac:dyDescent="0.4">
      <c r="A263" s="29" t="s">
        <v>1200</v>
      </c>
      <c r="B263" s="29"/>
      <c r="C263" s="29"/>
      <c r="D263" s="29" t="s">
        <v>1201</v>
      </c>
      <c r="E263" s="29" t="s">
        <v>1202</v>
      </c>
      <c r="F263" s="29" t="s">
        <v>1203</v>
      </c>
      <c r="G263" s="35"/>
      <c r="H263" s="35" t="s">
        <v>151</v>
      </c>
      <c r="I263" s="29" t="s">
        <v>1200</v>
      </c>
      <c r="J263" s="37"/>
      <c r="K263" s="38"/>
      <c r="L263" s="38"/>
      <c r="M263" s="36" t="s">
        <v>60</v>
      </c>
      <c r="N263" s="15" t="s">
        <v>152</v>
      </c>
      <c r="O263" s="36" t="s">
        <v>162</v>
      </c>
      <c r="P263" s="36" t="str">
        <f t="shared" si="8"/>
        <v>WMTS_1/1000地形圖_屏東縣鹽埔漁港特定區計畫(113年)</v>
      </c>
      <c r="Q263" s="29" t="s">
        <v>1203</v>
      </c>
      <c r="R263" s="29" t="str">
        <f t="shared" si="9"/>
        <v>2dms_wmts_v1_TOPON1K_T30</v>
      </c>
      <c r="S263" s="39" t="s">
        <v>155</v>
      </c>
      <c r="U263" s="27" t="str">
        <f>_xlfn.XLOOKUP(表格1[[#This Row],[服務類別(英)]],參考2_服務標準對照!$B:$B,參考2_服務標準對照!$C:$C,"")&amp;""</f>
        <v>OGC</v>
      </c>
      <c r="V263" s="29" t="s">
        <v>7</v>
      </c>
      <c r="W263" s="29" t="s">
        <v>163</v>
      </c>
      <c r="X263" s="29" t="s">
        <v>81</v>
      </c>
      <c r="Y263" s="36" t="s">
        <v>83</v>
      </c>
      <c r="Z263" s="36" t="s">
        <v>157</v>
      </c>
      <c r="AA263" s="36" t="s">
        <v>1159</v>
      </c>
      <c r="AB263" s="36"/>
      <c r="AC263" s="36"/>
      <c r="AD263" s="29" t="s">
        <v>119</v>
      </c>
      <c r="AE263" s="36" t="str">
        <f>_xlfn.XLOOKUP(表格1[[#This Row],[唯一識別碼]],API清冊0707!B:B,API清冊0707!T:T,"")&amp;""</f>
        <v>無下拉選單</v>
      </c>
    </row>
    <row r="264" spans="1:31" ht="204.75" customHeight="1" x14ac:dyDescent="0.4">
      <c r="A264" s="29" t="s">
        <v>1204</v>
      </c>
      <c r="B264" s="29"/>
      <c r="C264" s="29"/>
      <c r="D264" s="29" t="s">
        <v>1205</v>
      </c>
      <c r="E264" s="29" t="s">
        <v>1206</v>
      </c>
      <c r="F264" s="29" t="s">
        <v>1207</v>
      </c>
      <c r="G264" s="35"/>
      <c r="H264" s="35" t="s">
        <v>151</v>
      </c>
      <c r="I264" s="29" t="s">
        <v>1204</v>
      </c>
      <c r="J264" s="37"/>
      <c r="K264" s="38"/>
      <c r="L264" s="38"/>
      <c r="M264" s="36" t="s">
        <v>60</v>
      </c>
      <c r="N264" s="15" t="s">
        <v>152</v>
      </c>
      <c r="O264" s="36" t="s">
        <v>162</v>
      </c>
      <c r="P264" s="36" t="str">
        <f t="shared" si="8"/>
        <v>WMTS_1/1000地形圖_屏東縣新園(烏龍地區)都市計畫(113年)</v>
      </c>
      <c r="Q264" s="29" t="s">
        <v>1207</v>
      </c>
      <c r="R264" s="29" t="str">
        <f t="shared" si="9"/>
        <v>2dms_wmts_v1_TOPON1K_T20</v>
      </c>
      <c r="S264" s="39" t="s">
        <v>155</v>
      </c>
      <c r="U264" s="27" t="str">
        <f>_xlfn.XLOOKUP(表格1[[#This Row],[服務類別(英)]],參考2_服務標準對照!$B:$B,參考2_服務標準對照!$C:$C,"")&amp;""</f>
        <v>OGC</v>
      </c>
      <c r="V264" s="29" t="s">
        <v>7</v>
      </c>
      <c r="W264" s="29" t="s">
        <v>163</v>
      </c>
      <c r="X264" s="29" t="s">
        <v>81</v>
      </c>
      <c r="Y264" s="36" t="s">
        <v>83</v>
      </c>
      <c r="Z264" s="36" t="s">
        <v>157</v>
      </c>
      <c r="AA264" s="36" t="s">
        <v>1159</v>
      </c>
      <c r="AB264" s="36"/>
      <c r="AC264" s="36"/>
      <c r="AD264" s="29" t="s">
        <v>119</v>
      </c>
      <c r="AE264" s="36" t="str">
        <f>_xlfn.XLOOKUP(表格1[[#This Row],[唯一識別碼]],API清冊0707!B:B,API清冊0707!T:T,"")&amp;""</f>
        <v>無下拉選單</v>
      </c>
    </row>
    <row r="265" spans="1:31" ht="204.75" customHeight="1" x14ac:dyDescent="0.4">
      <c r="A265" s="29" t="s">
        <v>1208</v>
      </c>
      <c r="B265" s="29"/>
      <c r="C265" s="29"/>
      <c r="D265" s="29" t="s">
        <v>1209</v>
      </c>
      <c r="E265" s="29" t="s">
        <v>1210</v>
      </c>
      <c r="F265" s="29" t="s">
        <v>1211</v>
      </c>
      <c r="G265" s="35"/>
      <c r="H265" s="35" t="s">
        <v>151</v>
      </c>
      <c r="I265" s="29" t="s">
        <v>1208</v>
      </c>
      <c r="J265" s="37"/>
      <c r="K265" s="38"/>
      <c r="L265" s="38"/>
      <c r="M265" s="36" t="s">
        <v>60</v>
      </c>
      <c r="N265" s="15" t="s">
        <v>152</v>
      </c>
      <c r="O265" s="36" t="s">
        <v>162</v>
      </c>
      <c r="P265" s="36" t="str">
        <f t="shared" si="8"/>
        <v>WMTS_1/1000地形圖_屏東縣里港都市計畫(113年)</v>
      </c>
      <c r="Q265" s="29" t="s">
        <v>1211</v>
      </c>
      <c r="R265" s="29" t="str">
        <f t="shared" si="9"/>
        <v>2dms_wmts_v1_TOPON1K_T08</v>
      </c>
      <c r="S265" s="39" t="s">
        <v>155</v>
      </c>
      <c r="U265" s="27" t="str">
        <f>_xlfn.XLOOKUP(表格1[[#This Row],[服務類別(英)]],參考2_服務標準對照!$B:$B,參考2_服務標準對照!$C:$C,"")&amp;""</f>
        <v>OGC</v>
      </c>
      <c r="V265" s="29" t="s">
        <v>7</v>
      </c>
      <c r="W265" s="29" t="s">
        <v>163</v>
      </c>
      <c r="X265" s="29" t="s">
        <v>81</v>
      </c>
      <c r="Y265" s="36" t="s">
        <v>83</v>
      </c>
      <c r="Z265" s="36" t="s">
        <v>157</v>
      </c>
      <c r="AA265" s="36" t="s">
        <v>1159</v>
      </c>
      <c r="AB265" s="36"/>
      <c r="AC265" s="36"/>
      <c r="AD265" s="29" t="s">
        <v>119</v>
      </c>
      <c r="AE265" s="36" t="str">
        <f>_xlfn.XLOOKUP(表格1[[#This Row],[唯一識別碼]],API清冊0707!B:B,API清冊0707!T:T,"")&amp;""</f>
        <v>無下拉選單</v>
      </c>
    </row>
    <row r="266" spans="1:31" ht="204.75" customHeight="1" x14ac:dyDescent="0.4">
      <c r="A266" s="29" t="s">
        <v>1212</v>
      </c>
      <c r="B266" s="29"/>
      <c r="C266" s="29"/>
      <c r="D266" s="29" t="s">
        <v>1213</v>
      </c>
      <c r="E266" s="29" t="s">
        <v>1214</v>
      </c>
      <c r="F266" s="29" t="s">
        <v>1215</v>
      </c>
      <c r="G266" s="35"/>
      <c r="H266" s="35" t="s">
        <v>151</v>
      </c>
      <c r="I266" s="29" t="s">
        <v>1212</v>
      </c>
      <c r="J266" s="37"/>
      <c r="K266" s="38"/>
      <c r="L266" s="38"/>
      <c r="M266" s="36" t="s">
        <v>60</v>
      </c>
      <c r="N266" s="15" t="s">
        <v>152</v>
      </c>
      <c r="O266" s="36" t="s">
        <v>162</v>
      </c>
      <c r="P266" s="36" t="str">
        <f t="shared" si="8"/>
        <v>WMTS_1/1000地形圖_屏東縣東港都市計畫(113年)</v>
      </c>
      <c r="Q266" s="29" t="s">
        <v>1215</v>
      </c>
      <c r="R266" s="29" t="str">
        <f t="shared" si="9"/>
        <v>2dms_wmts_v1_TOPON1K_T03</v>
      </c>
      <c r="S266" s="39" t="s">
        <v>155</v>
      </c>
      <c r="U266" s="27" t="str">
        <f>_xlfn.XLOOKUP(表格1[[#This Row],[服務類別(英)]],參考2_服務標準對照!$B:$B,參考2_服務標準對照!$C:$C,"")&amp;""</f>
        <v>OGC</v>
      </c>
      <c r="V266" s="29" t="s">
        <v>7</v>
      </c>
      <c r="W266" s="29" t="s">
        <v>163</v>
      </c>
      <c r="X266" s="29" t="s">
        <v>81</v>
      </c>
      <c r="Y266" s="36" t="s">
        <v>83</v>
      </c>
      <c r="Z266" s="36" t="s">
        <v>157</v>
      </c>
      <c r="AA266" s="36" t="s">
        <v>1159</v>
      </c>
      <c r="AB266" s="36"/>
      <c r="AC266" s="36"/>
      <c r="AD266" s="29" t="s">
        <v>119</v>
      </c>
      <c r="AE266" s="36" t="str">
        <f>_xlfn.XLOOKUP(表格1[[#This Row],[唯一識別碼]],API清冊0707!B:B,API清冊0707!T:T,"")&amp;""</f>
        <v>無下拉選單</v>
      </c>
    </row>
    <row r="267" spans="1:31" ht="204.75" customHeight="1" x14ac:dyDescent="0.4">
      <c r="A267" s="29" t="s">
        <v>1216</v>
      </c>
      <c r="B267" s="29"/>
      <c r="C267" s="29"/>
      <c r="D267" s="29" t="s">
        <v>1217</v>
      </c>
      <c r="E267" s="29" t="s">
        <v>1218</v>
      </c>
      <c r="F267" s="29" t="s">
        <v>1219</v>
      </c>
      <c r="G267" s="35"/>
      <c r="H267" s="35" t="s">
        <v>151</v>
      </c>
      <c r="I267" s="29" t="s">
        <v>1216</v>
      </c>
      <c r="J267" s="37"/>
      <c r="K267" s="38"/>
      <c r="L267" s="38"/>
      <c r="M267" s="36" t="s">
        <v>60</v>
      </c>
      <c r="N267" s="15" t="s">
        <v>152</v>
      </c>
      <c r="O267" s="36" t="s">
        <v>162</v>
      </c>
      <c r="P267" s="36" t="str">
        <f t="shared" si="8"/>
        <v>WMTS_1/1000地形圖_屏東縣屏東都市計畫(112年)</v>
      </c>
      <c r="Q267" s="29" t="s">
        <v>1219</v>
      </c>
      <c r="R267" s="29" t="str">
        <f t="shared" si="9"/>
        <v>2dms_wmts_v1_TOPON1K_T01</v>
      </c>
      <c r="S267" s="39" t="s">
        <v>155</v>
      </c>
      <c r="U267" s="27" t="str">
        <f>_xlfn.XLOOKUP(表格1[[#This Row],[服務類別(英)]],參考2_服務標準對照!$B:$B,參考2_服務標準對照!$C:$C,"")&amp;""</f>
        <v>OGC</v>
      </c>
      <c r="V267" s="29" t="s">
        <v>7</v>
      </c>
      <c r="W267" s="29" t="s">
        <v>163</v>
      </c>
      <c r="X267" s="29" t="s">
        <v>81</v>
      </c>
      <c r="Y267" s="36" t="s">
        <v>83</v>
      </c>
      <c r="Z267" s="36" t="s">
        <v>157</v>
      </c>
      <c r="AA267" s="36" t="s">
        <v>1159</v>
      </c>
      <c r="AB267" s="36"/>
      <c r="AC267" s="36"/>
      <c r="AD267" s="29" t="s">
        <v>119</v>
      </c>
      <c r="AE267" s="36" t="str">
        <f>_xlfn.XLOOKUP(表格1[[#This Row],[唯一識別碼]],API清冊0707!B:B,API清冊0707!T:T,"")&amp;""</f>
        <v>無下拉選單</v>
      </c>
    </row>
    <row r="268" spans="1:31" ht="204.75" customHeight="1" x14ac:dyDescent="0.4">
      <c r="A268" s="29" t="s">
        <v>1220</v>
      </c>
      <c r="B268" s="29"/>
      <c r="C268" s="29"/>
      <c r="D268" s="29" t="s">
        <v>1221</v>
      </c>
      <c r="E268" s="29" t="s">
        <v>1222</v>
      </c>
      <c r="F268" s="29" t="s">
        <v>1223</v>
      </c>
      <c r="G268" s="35"/>
      <c r="H268" s="35" t="s">
        <v>151</v>
      </c>
      <c r="I268" s="29" t="s">
        <v>1220</v>
      </c>
      <c r="J268" s="37"/>
      <c r="K268" s="38"/>
      <c r="L268" s="38"/>
      <c r="M268" s="36" t="s">
        <v>60</v>
      </c>
      <c r="N268" s="15" t="s">
        <v>152</v>
      </c>
      <c r="O268" s="36" t="s">
        <v>162</v>
      </c>
      <c r="P268" s="36" t="str">
        <f t="shared" si="8"/>
        <v>WMTS_1/1000地形圖_嘉義縣阿里山鄉都市計畫(113年)</v>
      </c>
      <c r="Q268" s="29" t="s">
        <v>1223</v>
      </c>
      <c r="R268" s="29" t="str">
        <f t="shared" si="9"/>
        <v>2dms_wmts_v1_TOPON1K_Q31</v>
      </c>
      <c r="S268" s="39" t="s">
        <v>155</v>
      </c>
      <c r="U268" s="27" t="str">
        <f>_xlfn.XLOOKUP(表格1[[#This Row],[服務類別(英)]],參考2_服務標準對照!$B:$B,參考2_服務標準對照!$C:$C,"")&amp;""</f>
        <v>OGC</v>
      </c>
      <c r="V268" s="29" t="s">
        <v>7</v>
      </c>
      <c r="W268" s="29" t="s">
        <v>163</v>
      </c>
      <c r="X268" s="29" t="s">
        <v>81</v>
      </c>
      <c r="Y268" s="36" t="s">
        <v>83</v>
      </c>
      <c r="Z268" s="36" t="s">
        <v>157</v>
      </c>
      <c r="AA268" s="36" t="s">
        <v>1159</v>
      </c>
      <c r="AB268" s="36"/>
      <c r="AC268" s="36"/>
      <c r="AD268" s="29" t="s">
        <v>119</v>
      </c>
      <c r="AE268" s="36" t="str">
        <f>_xlfn.XLOOKUP(表格1[[#This Row],[唯一識別碼]],API清冊0707!B:B,API清冊0707!T:T,"")&amp;""</f>
        <v>無下拉選單</v>
      </c>
    </row>
    <row r="269" spans="1:31" ht="204.75" customHeight="1" x14ac:dyDescent="0.4">
      <c r="A269" s="29" t="s">
        <v>1224</v>
      </c>
      <c r="B269" s="29"/>
      <c r="C269" s="29"/>
      <c r="D269" s="29" t="s">
        <v>1225</v>
      </c>
      <c r="E269" s="29" t="s">
        <v>1226</v>
      </c>
      <c r="F269" s="29" t="s">
        <v>1227</v>
      </c>
      <c r="G269" s="35"/>
      <c r="H269" s="35" t="s">
        <v>151</v>
      </c>
      <c r="I269" s="29" t="s">
        <v>1224</v>
      </c>
      <c r="J269" s="37"/>
      <c r="K269" s="38"/>
      <c r="L269" s="38"/>
      <c r="M269" s="36" t="s">
        <v>60</v>
      </c>
      <c r="N269" s="15" t="s">
        <v>152</v>
      </c>
      <c r="O269" s="36" t="s">
        <v>162</v>
      </c>
      <c r="P269" s="36" t="str">
        <f t="shared" si="8"/>
        <v>WMTS_1/1000地形圖_嘉義縣番路鄉都市計畫(113年)</v>
      </c>
      <c r="Q269" s="29" t="s">
        <v>1227</v>
      </c>
      <c r="R269" s="29" t="str">
        <f t="shared" si="9"/>
        <v>2dms_wmts_v1_TOPON1K_Q30</v>
      </c>
      <c r="S269" s="39" t="s">
        <v>155</v>
      </c>
      <c r="U269" s="27" t="str">
        <f>_xlfn.XLOOKUP(表格1[[#This Row],[服務類別(英)]],參考2_服務標準對照!$B:$B,參考2_服務標準對照!$C:$C,"")&amp;""</f>
        <v>OGC</v>
      </c>
      <c r="V269" s="29" t="s">
        <v>7</v>
      </c>
      <c r="W269" s="29" t="s">
        <v>163</v>
      </c>
      <c r="X269" s="29" t="s">
        <v>81</v>
      </c>
      <c r="Y269" s="36" t="s">
        <v>83</v>
      </c>
      <c r="Z269" s="36" t="s">
        <v>157</v>
      </c>
      <c r="AA269" s="36" t="s">
        <v>1159</v>
      </c>
      <c r="AB269" s="36"/>
      <c r="AC269" s="36"/>
      <c r="AD269" s="29" t="s">
        <v>119</v>
      </c>
      <c r="AE269" s="36" t="str">
        <f>_xlfn.XLOOKUP(表格1[[#This Row],[唯一識別碼]],API清冊0707!B:B,API清冊0707!T:T,"")&amp;""</f>
        <v>無下拉選單</v>
      </c>
    </row>
    <row r="270" spans="1:31" ht="204.75" customHeight="1" x14ac:dyDescent="0.4">
      <c r="A270" s="29" t="s">
        <v>1228</v>
      </c>
      <c r="B270" s="29"/>
      <c r="C270" s="29"/>
      <c r="D270" s="29" t="s">
        <v>1229</v>
      </c>
      <c r="E270" s="29" t="s">
        <v>1230</v>
      </c>
      <c r="F270" s="29" t="s">
        <v>1231</v>
      </c>
      <c r="G270" s="35"/>
      <c r="H270" s="35" t="s">
        <v>151</v>
      </c>
      <c r="I270" s="29" t="s">
        <v>1228</v>
      </c>
      <c r="J270" s="37"/>
      <c r="K270" s="38"/>
      <c r="L270" s="38"/>
      <c r="M270" s="36" t="s">
        <v>60</v>
      </c>
      <c r="N270" s="15" t="s">
        <v>152</v>
      </c>
      <c r="O270" s="36" t="s">
        <v>162</v>
      </c>
      <c r="P270" s="36" t="str">
        <f t="shared" si="8"/>
        <v>WMTS_1/1000地形圖_嘉義縣竹崎鄉都市計畫(113年)</v>
      </c>
      <c r="Q270" s="29" t="s">
        <v>1231</v>
      </c>
      <c r="R270" s="29" t="str">
        <f t="shared" si="9"/>
        <v>2dms_wmts_v1_TOPON1K_Q29</v>
      </c>
      <c r="S270" s="39" t="s">
        <v>155</v>
      </c>
      <c r="U270" s="27" t="str">
        <f>_xlfn.XLOOKUP(表格1[[#This Row],[服務類別(英)]],參考2_服務標準對照!$B:$B,參考2_服務標準對照!$C:$C,"")&amp;""</f>
        <v>OGC</v>
      </c>
      <c r="V270" s="29" t="s">
        <v>7</v>
      </c>
      <c r="W270" s="29" t="s">
        <v>163</v>
      </c>
      <c r="X270" s="29" t="s">
        <v>81</v>
      </c>
      <c r="Y270" s="36" t="s">
        <v>83</v>
      </c>
      <c r="Z270" s="36" t="s">
        <v>157</v>
      </c>
      <c r="AA270" s="36" t="s">
        <v>1159</v>
      </c>
      <c r="AB270" s="36"/>
      <c r="AC270" s="36"/>
      <c r="AD270" s="29" t="s">
        <v>119</v>
      </c>
      <c r="AE270" s="36" t="str">
        <f>_xlfn.XLOOKUP(表格1[[#This Row],[唯一識別碼]],API清冊0707!B:B,API清冊0707!T:T,"")&amp;""</f>
        <v>無下拉選單</v>
      </c>
    </row>
    <row r="271" spans="1:31" ht="204.75" customHeight="1" x14ac:dyDescent="0.4">
      <c r="A271" s="29" t="s">
        <v>1232</v>
      </c>
      <c r="B271" s="29"/>
      <c r="C271" s="29"/>
      <c r="D271" s="29" t="s">
        <v>1233</v>
      </c>
      <c r="E271" s="29" t="s">
        <v>1234</v>
      </c>
      <c r="F271" s="29" t="s">
        <v>1235</v>
      </c>
      <c r="G271" s="35"/>
      <c r="H271" s="35" t="s">
        <v>151</v>
      </c>
      <c r="I271" s="29" t="s">
        <v>1232</v>
      </c>
      <c r="J271" s="37"/>
      <c r="K271" s="38"/>
      <c r="L271" s="38"/>
      <c r="M271" s="36" t="s">
        <v>60</v>
      </c>
      <c r="N271" s="15" t="s">
        <v>152</v>
      </c>
      <c r="O271" s="36" t="s">
        <v>162</v>
      </c>
      <c r="P271" s="36" t="str">
        <f t="shared" si="8"/>
        <v>WMTS_1/1000地形圖_嘉義縣大林都市計畫(112年)</v>
      </c>
      <c r="Q271" s="29" t="s">
        <v>1235</v>
      </c>
      <c r="R271" s="29" t="str">
        <f t="shared" si="9"/>
        <v>2dms_wmts_v1_TOPON1K_Q28</v>
      </c>
      <c r="S271" s="39" t="s">
        <v>155</v>
      </c>
      <c r="U271" s="27" t="str">
        <f>_xlfn.XLOOKUP(表格1[[#This Row],[服務類別(英)]],參考2_服務標準對照!$B:$B,參考2_服務標準對照!$C:$C,"")&amp;""</f>
        <v>OGC</v>
      </c>
      <c r="V271" s="29" t="s">
        <v>7</v>
      </c>
      <c r="W271" s="29" t="s">
        <v>163</v>
      </c>
      <c r="X271" s="29" t="s">
        <v>81</v>
      </c>
      <c r="Y271" s="36" t="s">
        <v>83</v>
      </c>
      <c r="Z271" s="36" t="s">
        <v>157</v>
      </c>
      <c r="AA271" s="36" t="s">
        <v>1159</v>
      </c>
      <c r="AB271" s="36"/>
      <c r="AC271" s="36"/>
      <c r="AD271" s="29" t="s">
        <v>119</v>
      </c>
      <c r="AE271" s="36" t="str">
        <f>_xlfn.XLOOKUP(表格1[[#This Row],[唯一識別碼]],API清冊0707!B:B,API清冊0707!T:T,"")&amp;""</f>
        <v>無下拉選單</v>
      </c>
    </row>
    <row r="272" spans="1:31" ht="204.75" customHeight="1" x14ac:dyDescent="0.4">
      <c r="A272" s="29" t="s">
        <v>1236</v>
      </c>
      <c r="B272" s="29"/>
      <c r="C272" s="29"/>
      <c r="D272" s="29" t="s">
        <v>1237</v>
      </c>
      <c r="E272" s="29" t="s">
        <v>1238</v>
      </c>
      <c r="F272" s="29" t="s">
        <v>1239</v>
      </c>
      <c r="G272" s="35"/>
      <c r="H272" s="35" t="s">
        <v>151</v>
      </c>
      <c r="I272" s="29" t="s">
        <v>1236</v>
      </c>
      <c r="J272" s="37"/>
      <c r="K272" s="38"/>
      <c r="L272" s="38"/>
      <c r="M272" s="36" t="s">
        <v>60</v>
      </c>
      <c r="N272" s="15" t="s">
        <v>152</v>
      </c>
      <c r="O272" s="36" t="s">
        <v>162</v>
      </c>
      <c r="P272" s="36" t="str">
        <f t="shared" si="8"/>
        <v>WMTS_1/1000地形圖_嘉義縣高速鐵路嘉義車站特定區計畫(112年)</v>
      </c>
      <c r="Q272" s="29" t="s">
        <v>1239</v>
      </c>
      <c r="R272" s="29" t="str">
        <f t="shared" si="9"/>
        <v>2dms_wmts_v1_TOPON1K_Q27</v>
      </c>
      <c r="S272" s="39" t="s">
        <v>155</v>
      </c>
      <c r="U272" s="27" t="str">
        <f>_xlfn.XLOOKUP(表格1[[#This Row],[服務類別(英)]],參考2_服務標準對照!$B:$B,參考2_服務標準對照!$C:$C,"")&amp;""</f>
        <v>OGC</v>
      </c>
      <c r="V272" s="29" t="s">
        <v>7</v>
      </c>
      <c r="W272" s="29" t="s">
        <v>163</v>
      </c>
      <c r="X272" s="29" t="s">
        <v>81</v>
      </c>
      <c r="Y272" s="36" t="s">
        <v>83</v>
      </c>
      <c r="Z272" s="36" t="s">
        <v>157</v>
      </c>
      <c r="AA272" s="36" t="s">
        <v>1159</v>
      </c>
      <c r="AB272" s="36"/>
      <c r="AC272" s="36"/>
      <c r="AD272" s="29" t="s">
        <v>119</v>
      </c>
      <c r="AE272" s="36" t="str">
        <f>_xlfn.XLOOKUP(表格1[[#This Row],[唯一識別碼]],API清冊0707!B:B,API清冊0707!T:T,"")&amp;""</f>
        <v>無下拉選單</v>
      </c>
    </row>
    <row r="273" spans="1:31" ht="204.75" customHeight="1" x14ac:dyDescent="0.4">
      <c r="A273" s="29" t="s">
        <v>1240</v>
      </c>
      <c r="B273" s="29"/>
      <c r="C273" s="29"/>
      <c r="D273" s="29" t="s">
        <v>1241</v>
      </c>
      <c r="E273" s="29" t="s">
        <v>1242</v>
      </c>
      <c r="F273" s="29" t="s">
        <v>1243</v>
      </c>
      <c r="G273" s="35"/>
      <c r="H273" s="35" t="s">
        <v>151</v>
      </c>
      <c r="I273" s="29" t="s">
        <v>1240</v>
      </c>
      <c r="J273" s="37"/>
      <c r="K273" s="38"/>
      <c r="L273" s="38"/>
      <c r="M273" s="36" t="s">
        <v>60</v>
      </c>
      <c r="N273" s="15" t="s">
        <v>152</v>
      </c>
      <c r="O273" s="36" t="s">
        <v>162</v>
      </c>
      <c r="P273" s="36" t="str">
        <f t="shared" si="8"/>
        <v>WMTS_1/1000地形圖_嘉義縣國立中正大學特定區計畫(112年)</v>
      </c>
      <c r="Q273" s="29" t="s">
        <v>1243</v>
      </c>
      <c r="R273" s="29" t="str">
        <f t="shared" si="9"/>
        <v>2dms_wmts_v1_TOPON1K_Q26</v>
      </c>
      <c r="S273" s="39" t="s">
        <v>155</v>
      </c>
      <c r="U273" s="27" t="str">
        <f>_xlfn.XLOOKUP(表格1[[#This Row],[服務類別(英)]],參考2_服務標準對照!$B:$B,參考2_服務標準對照!$C:$C,"")&amp;""</f>
        <v>OGC</v>
      </c>
      <c r="V273" s="29" t="s">
        <v>7</v>
      </c>
      <c r="W273" s="29" t="s">
        <v>163</v>
      </c>
      <c r="X273" s="29" t="s">
        <v>81</v>
      </c>
      <c r="Y273" s="36" t="s">
        <v>83</v>
      </c>
      <c r="Z273" s="36" t="s">
        <v>157</v>
      </c>
      <c r="AA273" s="36" t="s">
        <v>1159</v>
      </c>
      <c r="AB273" s="36"/>
      <c r="AC273" s="36"/>
      <c r="AD273" s="29" t="s">
        <v>119</v>
      </c>
      <c r="AE273" s="36" t="str">
        <f>_xlfn.XLOOKUP(表格1[[#This Row],[唯一識別碼]],API清冊0707!B:B,API清冊0707!T:T,"")&amp;""</f>
        <v>無下拉選單</v>
      </c>
    </row>
    <row r="274" spans="1:31" ht="204.75" customHeight="1" x14ac:dyDescent="0.4">
      <c r="A274" s="29" t="s">
        <v>1244</v>
      </c>
      <c r="B274" s="29"/>
      <c r="C274" s="29"/>
      <c r="D274" s="29" t="s">
        <v>1245</v>
      </c>
      <c r="E274" s="29" t="s">
        <v>1246</v>
      </c>
      <c r="F274" s="29" t="s">
        <v>1247</v>
      </c>
      <c r="G274" s="35"/>
      <c r="H274" s="35" t="s">
        <v>151</v>
      </c>
      <c r="I274" s="29" t="s">
        <v>1244</v>
      </c>
      <c r="J274" s="37"/>
      <c r="K274" s="38"/>
      <c r="L274" s="38"/>
      <c r="M274" s="36" t="s">
        <v>60</v>
      </c>
      <c r="N274" s="15" t="s">
        <v>152</v>
      </c>
      <c r="O274" s="36" t="s">
        <v>162</v>
      </c>
      <c r="P274" s="36" t="str">
        <f t="shared" si="8"/>
        <v>WMTS_1/1000地形圖_嘉義縣太保都市計畫(112年)</v>
      </c>
      <c r="Q274" s="29" t="s">
        <v>1247</v>
      </c>
      <c r="R274" s="29" t="str">
        <f t="shared" si="9"/>
        <v>2dms_wmts_v1_TOPON1K_Q22</v>
      </c>
      <c r="S274" s="39" t="s">
        <v>155</v>
      </c>
      <c r="U274" s="27" t="str">
        <f>_xlfn.XLOOKUP(表格1[[#This Row],[服務類別(英)]],參考2_服務標準對照!$B:$B,參考2_服務標準對照!$C:$C,"")&amp;""</f>
        <v>OGC</v>
      </c>
      <c r="V274" s="29" t="s">
        <v>7</v>
      </c>
      <c r="W274" s="29" t="s">
        <v>163</v>
      </c>
      <c r="X274" s="29" t="s">
        <v>81</v>
      </c>
      <c r="Y274" s="36" t="s">
        <v>83</v>
      </c>
      <c r="Z274" s="36" t="s">
        <v>157</v>
      </c>
      <c r="AA274" s="36" t="s">
        <v>1159</v>
      </c>
      <c r="AB274" s="36"/>
      <c r="AC274" s="36"/>
      <c r="AD274" s="29" t="s">
        <v>119</v>
      </c>
      <c r="AE274" s="36" t="str">
        <f>_xlfn.XLOOKUP(表格1[[#This Row],[唯一識別碼]],API清冊0707!B:B,API清冊0707!T:T,"")&amp;""</f>
        <v>無下拉選單</v>
      </c>
    </row>
    <row r="275" spans="1:31" ht="204.75" customHeight="1" x14ac:dyDescent="0.4">
      <c r="A275" s="29" t="s">
        <v>1248</v>
      </c>
      <c r="B275" s="29"/>
      <c r="C275" s="29"/>
      <c r="D275" s="29" t="s">
        <v>1249</v>
      </c>
      <c r="E275" s="29" t="s">
        <v>1250</v>
      </c>
      <c r="F275" s="29" t="s">
        <v>1251</v>
      </c>
      <c r="G275" s="35"/>
      <c r="H275" s="35" t="s">
        <v>151</v>
      </c>
      <c r="I275" s="29" t="s">
        <v>1248</v>
      </c>
      <c r="J275" s="37"/>
      <c r="K275" s="38"/>
      <c r="L275" s="38"/>
      <c r="M275" s="36" t="s">
        <v>60</v>
      </c>
      <c r="N275" s="15" t="s">
        <v>152</v>
      </c>
      <c r="O275" s="36" t="s">
        <v>162</v>
      </c>
      <c r="P275" s="36" t="str">
        <f t="shared" si="8"/>
        <v>WMTS_1/1000地形圖_嘉義縣仁義潭風景特定區計畫(嘉義縣部分)(112年)</v>
      </c>
      <c r="Q275" s="29" t="s">
        <v>1251</v>
      </c>
      <c r="R275" s="29" t="str">
        <f t="shared" si="9"/>
        <v>2dms_wmts_v1_TOPON1K_Q21</v>
      </c>
      <c r="S275" s="39" t="s">
        <v>155</v>
      </c>
      <c r="U275" s="27" t="str">
        <f>_xlfn.XLOOKUP(表格1[[#This Row],[服務類別(英)]],參考2_服務標準對照!$B:$B,參考2_服務標準對照!$C:$C,"")&amp;""</f>
        <v>OGC</v>
      </c>
      <c r="V275" s="29" t="s">
        <v>7</v>
      </c>
      <c r="W275" s="29" t="s">
        <v>163</v>
      </c>
      <c r="X275" s="29" t="s">
        <v>81</v>
      </c>
      <c r="Y275" s="36" t="s">
        <v>83</v>
      </c>
      <c r="Z275" s="36" t="s">
        <v>157</v>
      </c>
      <c r="AA275" s="36" t="s">
        <v>1159</v>
      </c>
      <c r="AB275" s="36"/>
      <c r="AC275" s="36"/>
      <c r="AD275" s="29" t="s">
        <v>119</v>
      </c>
      <c r="AE275" s="36" t="str">
        <f>_xlfn.XLOOKUP(表格1[[#This Row],[唯一識別碼]],API清冊0707!B:B,API清冊0707!T:T,"")&amp;""</f>
        <v>無下拉選單</v>
      </c>
    </row>
    <row r="276" spans="1:31" ht="204.75" customHeight="1" x14ac:dyDescent="0.4">
      <c r="A276" s="29" t="s">
        <v>1252</v>
      </c>
      <c r="B276" s="29"/>
      <c r="C276" s="29"/>
      <c r="D276" s="29" t="s">
        <v>1253</v>
      </c>
      <c r="E276" s="29" t="s">
        <v>1254</v>
      </c>
      <c r="F276" s="29" t="s">
        <v>1255</v>
      </c>
      <c r="G276" s="35"/>
      <c r="H276" s="35" t="s">
        <v>151</v>
      </c>
      <c r="I276" s="29" t="s">
        <v>1252</v>
      </c>
      <c r="J276" s="37"/>
      <c r="K276" s="38"/>
      <c r="L276" s="38"/>
      <c r="M276" s="36" t="s">
        <v>60</v>
      </c>
      <c r="N276" s="15" t="s">
        <v>152</v>
      </c>
      <c r="O276" s="36" t="s">
        <v>162</v>
      </c>
      <c r="P276" s="36" t="str">
        <f t="shared" si="8"/>
        <v>WMTS_1/1000地形圖_嘉義縣吳鳳廟特定區計畫(112年)</v>
      </c>
      <c r="Q276" s="29" t="s">
        <v>1255</v>
      </c>
      <c r="R276" s="29" t="str">
        <f t="shared" si="9"/>
        <v>2dms_wmts_v1_TOPON1K_Q19</v>
      </c>
      <c r="S276" s="39" t="s">
        <v>155</v>
      </c>
      <c r="U276" s="27" t="str">
        <f>_xlfn.XLOOKUP(表格1[[#This Row],[服務類別(英)]],參考2_服務標準對照!$B:$B,參考2_服務標準對照!$C:$C,"")&amp;""</f>
        <v>OGC</v>
      </c>
      <c r="V276" s="29" t="s">
        <v>7</v>
      </c>
      <c r="W276" s="29" t="s">
        <v>163</v>
      </c>
      <c r="X276" s="29" t="s">
        <v>81</v>
      </c>
      <c r="Y276" s="36" t="s">
        <v>83</v>
      </c>
      <c r="Z276" s="36" t="s">
        <v>157</v>
      </c>
      <c r="AA276" s="36" t="s">
        <v>1159</v>
      </c>
      <c r="AB276" s="36"/>
      <c r="AC276" s="36"/>
      <c r="AD276" s="29" t="s">
        <v>119</v>
      </c>
      <c r="AE276" s="36" t="str">
        <f>_xlfn.XLOOKUP(表格1[[#This Row],[唯一識別碼]],API清冊0707!B:B,API清冊0707!T:T,"")&amp;""</f>
        <v>無下拉選單</v>
      </c>
    </row>
    <row r="277" spans="1:31" ht="204.75" customHeight="1" x14ac:dyDescent="0.4">
      <c r="A277" s="29" t="s">
        <v>1256</v>
      </c>
      <c r="B277" s="29"/>
      <c r="C277" s="29"/>
      <c r="D277" s="29" t="s">
        <v>1257</v>
      </c>
      <c r="E277" s="29" t="s">
        <v>1258</v>
      </c>
      <c r="F277" s="29" t="s">
        <v>1259</v>
      </c>
      <c r="G277" s="35"/>
      <c r="H277" s="35" t="s">
        <v>151</v>
      </c>
      <c r="I277" s="29" t="s">
        <v>1256</v>
      </c>
      <c r="J277" s="37"/>
      <c r="K277" s="38"/>
      <c r="L277" s="38"/>
      <c r="M277" s="36" t="s">
        <v>60</v>
      </c>
      <c r="N277" s="15" t="s">
        <v>152</v>
      </c>
      <c r="O277" s="36" t="s">
        <v>162</v>
      </c>
      <c r="P277" s="36" t="str">
        <f t="shared" si="8"/>
        <v>WMTS_1/1000地形圖_嘉義縣民雄(頭橋地區)都市計畫(113年)</v>
      </c>
      <c r="Q277" s="29" t="s">
        <v>1259</v>
      </c>
      <c r="R277" s="29" t="str">
        <f t="shared" si="9"/>
        <v>2dms_wmts_v1_TOPON1K_Q07</v>
      </c>
      <c r="S277" s="39" t="s">
        <v>155</v>
      </c>
      <c r="U277" s="27" t="str">
        <f>_xlfn.XLOOKUP(表格1[[#This Row],[服務類別(英)]],參考2_服務標準對照!$B:$B,參考2_服務標準對照!$C:$C,"")&amp;""</f>
        <v>OGC</v>
      </c>
      <c r="V277" s="29" t="s">
        <v>7</v>
      </c>
      <c r="W277" s="29" t="s">
        <v>163</v>
      </c>
      <c r="X277" s="29" t="s">
        <v>81</v>
      </c>
      <c r="Y277" s="36" t="s">
        <v>83</v>
      </c>
      <c r="Z277" s="36" t="s">
        <v>157</v>
      </c>
      <c r="AA277" s="36" t="s">
        <v>1159</v>
      </c>
      <c r="AB277" s="36"/>
      <c r="AC277" s="36"/>
      <c r="AD277" s="29" t="s">
        <v>119</v>
      </c>
      <c r="AE277" s="36" t="str">
        <f>_xlfn.XLOOKUP(表格1[[#This Row],[唯一識別碼]],API清冊0707!B:B,API清冊0707!T:T,"")&amp;""</f>
        <v>無下拉選單</v>
      </c>
    </row>
    <row r="278" spans="1:31" ht="204.75" customHeight="1" x14ac:dyDescent="0.4">
      <c r="A278" s="29" t="s">
        <v>1260</v>
      </c>
      <c r="B278" s="29"/>
      <c r="C278" s="29"/>
      <c r="D278" s="29" t="s">
        <v>1261</v>
      </c>
      <c r="E278" s="29" t="s">
        <v>1262</v>
      </c>
      <c r="F278" s="29" t="s">
        <v>1263</v>
      </c>
      <c r="G278" s="35"/>
      <c r="H278" s="35" t="s">
        <v>151</v>
      </c>
      <c r="I278" s="29" t="s">
        <v>1260</v>
      </c>
      <c r="J278" s="37"/>
      <c r="K278" s="38"/>
      <c r="L278" s="38"/>
      <c r="M278" s="36" t="s">
        <v>60</v>
      </c>
      <c r="N278" s="15" t="s">
        <v>152</v>
      </c>
      <c r="O278" s="36" t="s">
        <v>162</v>
      </c>
      <c r="P278" s="36" t="str">
        <f t="shared" si="8"/>
        <v>WMTS_1/1000地形圖_嘉義縣民雄都市計畫(113年)</v>
      </c>
      <c r="Q278" s="29" t="s">
        <v>1263</v>
      </c>
      <c r="R278" s="29" t="str">
        <f t="shared" si="9"/>
        <v>2dms_wmts_v1_TOPON1K_Q06</v>
      </c>
      <c r="S278" s="39" t="s">
        <v>155</v>
      </c>
      <c r="U278" s="27" t="str">
        <f>_xlfn.XLOOKUP(表格1[[#This Row],[服務類別(英)]],參考2_服務標準對照!$B:$B,參考2_服務標準對照!$C:$C,"")&amp;""</f>
        <v>OGC</v>
      </c>
      <c r="V278" s="29" t="s">
        <v>7</v>
      </c>
      <c r="W278" s="29" t="s">
        <v>163</v>
      </c>
      <c r="X278" s="29" t="s">
        <v>81</v>
      </c>
      <c r="Y278" s="36" t="s">
        <v>83</v>
      </c>
      <c r="Z278" s="36" t="s">
        <v>157</v>
      </c>
      <c r="AA278" s="36" t="s">
        <v>1159</v>
      </c>
      <c r="AB278" s="36"/>
      <c r="AC278" s="36"/>
      <c r="AD278" s="29" t="s">
        <v>119</v>
      </c>
      <c r="AE278" s="36" t="str">
        <f>_xlfn.XLOOKUP(表格1[[#This Row],[唯一識別碼]],API清冊0707!B:B,API清冊0707!T:T,"")&amp;""</f>
        <v>無下拉選單</v>
      </c>
    </row>
    <row r="279" spans="1:31" ht="204.75" customHeight="1" x14ac:dyDescent="0.4">
      <c r="A279" s="29" t="s">
        <v>1264</v>
      </c>
      <c r="B279" s="29"/>
      <c r="C279" s="29"/>
      <c r="D279" s="29" t="s">
        <v>1265</v>
      </c>
      <c r="E279" s="29" t="s">
        <v>1266</v>
      </c>
      <c r="F279" s="29" t="s">
        <v>1267</v>
      </c>
      <c r="G279" s="35"/>
      <c r="H279" s="35" t="s">
        <v>151</v>
      </c>
      <c r="I279" s="29" t="s">
        <v>1264</v>
      </c>
      <c r="J279" s="37"/>
      <c r="K279" s="38"/>
      <c r="L279" s="38"/>
      <c r="M279" s="36" t="s">
        <v>60</v>
      </c>
      <c r="N279" s="15" t="s">
        <v>152</v>
      </c>
      <c r="O279" s="36" t="s">
        <v>162</v>
      </c>
      <c r="P279" s="36" t="str">
        <f t="shared" si="8"/>
        <v>WMTS_1/1000地形圖_嘉義縣治都市計畫(112年)</v>
      </c>
      <c r="Q279" s="29" t="s">
        <v>1267</v>
      </c>
      <c r="R279" s="29" t="str">
        <f t="shared" si="9"/>
        <v>2dms_wmts_v1_TOPON1K_Q02</v>
      </c>
      <c r="S279" s="39" t="s">
        <v>155</v>
      </c>
      <c r="U279" s="27" t="str">
        <f>_xlfn.XLOOKUP(表格1[[#This Row],[服務類別(英)]],參考2_服務標準對照!$B:$B,參考2_服務標準對照!$C:$C,"")&amp;""</f>
        <v>OGC</v>
      </c>
      <c r="V279" s="29" t="s">
        <v>7</v>
      </c>
      <c r="W279" s="29" t="s">
        <v>163</v>
      </c>
      <c r="X279" s="29" t="s">
        <v>81</v>
      </c>
      <c r="Y279" s="36" t="s">
        <v>83</v>
      </c>
      <c r="Z279" s="36" t="s">
        <v>157</v>
      </c>
      <c r="AA279" s="36" t="s">
        <v>1159</v>
      </c>
      <c r="AB279" s="36"/>
      <c r="AC279" s="36"/>
      <c r="AD279" s="29" t="s">
        <v>119</v>
      </c>
      <c r="AE279" s="36" t="str">
        <f>_xlfn.XLOOKUP(表格1[[#This Row],[唯一識別碼]],API清冊0707!B:B,API清冊0707!T:T,"")&amp;""</f>
        <v>無下拉選單</v>
      </c>
    </row>
    <row r="280" spans="1:31" ht="204.75" customHeight="1" x14ac:dyDescent="0.4">
      <c r="A280" s="29" t="s">
        <v>1268</v>
      </c>
      <c r="B280" s="29"/>
      <c r="C280" s="29"/>
      <c r="D280" s="29" t="s">
        <v>1269</v>
      </c>
      <c r="E280" s="29" t="s">
        <v>1270</v>
      </c>
      <c r="F280" s="29" t="s">
        <v>1271</v>
      </c>
      <c r="G280" s="35"/>
      <c r="H280" s="35" t="s">
        <v>151</v>
      </c>
      <c r="I280" s="29" t="s">
        <v>1268</v>
      </c>
      <c r="J280" s="37"/>
      <c r="K280" s="38"/>
      <c r="L280" s="38"/>
      <c r="M280" s="36" t="s">
        <v>60</v>
      </c>
      <c r="N280" s="15" t="s">
        <v>152</v>
      </c>
      <c r="O280" s="36" t="s">
        <v>162</v>
      </c>
      <c r="P280" s="36" t="str">
        <f t="shared" si="8"/>
        <v>WMTS_1/1000地形圖_雲林縣高速鐵路雲林車站特定區計畫(113年)</v>
      </c>
      <c r="Q280" s="29" t="s">
        <v>1271</v>
      </c>
      <c r="R280" s="29" t="str">
        <f t="shared" si="9"/>
        <v>2dms_wmts_v1_TOPON1K_P25</v>
      </c>
      <c r="S280" s="39" t="s">
        <v>155</v>
      </c>
      <c r="U280" s="27" t="str">
        <f>_xlfn.XLOOKUP(表格1[[#This Row],[服務類別(英)]],參考2_服務標準對照!$B:$B,參考2_服務標準對照!$C:$C,"")&amp;""</f>
        <v>OGC</v>
      </c>
      <c r="V280" s="29" t="s">
        <v>7</v>
      </c>
      <c r="W280" s="29" t="s">
        <v>163</v>
      </c>
      <c r="X280" s="29" t="s">
        <v>81</v>
      </c>
      <c r="Y280" s="36" t="s">
        <v>83</v>
      </c>
      <c r="Z280" s="36" t="s">
        <v>157</v>
      </c>
      <c r="AA280" s="36" t="s">
        <v>1159</v>
      </c>
      <c r="AB280" s="36"/>
      <c r="AC280" s="36"/>
      <c r="AD280" s="29" t="s">
        <v>119</v>
      </c>
      <c r="AE280" s="36" t="str">
        <f>_xlfn.XLOOKUP(表格1[[#This Row],[唯一識別碼]],API清冊0707!B:B,API清冊0707!T:T,"")&amp;""</f>
        <v>無下拉選單</v>
      </c>
    </row>
    <row r="281" spans="1:31" ht="204.75" customHeight="1" x14ac:dyDescent="0.4">
      <c r="A281" s="29" t="s">
        <v>1272</v>
      </c>
      <c r="B281" s="29"/>
      <c r="C281" s="29"/>
      <c r="D281" s="29" t="s">
        <v>1273</v>
      </c>
      <c r="E281" s="29" t="s">
        <v>1274</v>
      </c>
      <c r="F281" s="29" t="s">
        <v>1275</v>
      </c>
      <c r="G281" s="35"/>
      <c r="H281" s="35" t="s">
        <v>151</v>
      </c>
      <c r="I281" s="29" t="s">
        <v>1272</v>
      </c>
      <c r="J281" s="37"/>
      <c r="K281" s="38"/>
      <c r="L281" s="38"/>
      <c r="M281" s="36" t="s">
        <v>60</v>
      </c>
      <c r="N281" s="15" t="s">
        <v>152</v>
      </c>
      <c r="O281" s="36" t="s">
        <v>162</v>
      </c>
      <c r="P281" s="36" t="str">
        <f t="shared" si="8"/>
        <v>WMTS_1/1000地形圖_雲林縣斗六嘉東地區特定區計畫(112年)</v>
      </c>
      <c r="Q281" s="29" t="s">
        <v>1275</v>
      </c>
      <c r="R281" s="29" t="str">
        <f t="shared" si="9"/>
        <v>2dms_wmts_v1_TOPON1K_P24</v>
      </c>
      <c r="S281" s="39" t="s">
        <v>155</v>
      </c>
      <c r="U281" s="27" t="str">
        <f>_xlfn.XLOOKUP(表格1[[#This Row],[服務類別(英)]],參考2_服務標準對照!$B:$B,參考2_服務標準對照!$C:$C,"")&amp;""</f>
        <v>OGC</v>
      </c>
      <c r="V281" s="29" t="s">
        <v>7</v>
      </c>
      <c r="W281" s="29" t="s">
        <v>163</v>
      </c>
      <c r="X281" s="29" t="s">
        <v>81</v>
      </c>
      <c r="Y281" s="36" t="s">
        <v>83</v>
      </c>
      <c r="Z281" s="36" t="s">
        <v>157</v>
      </c>
      <c r="AA281" s="36" t="s">
        <v>1159</v>
      </c>
      <c r="AB281" s="36"/>
      <c r="AC281" s="36"/>
      <c r="AD281" s="29" t="s">
        <v>119</v>
      </c>
      <c r="AE281" s="36" t="str">
        <f>_xlfn.XLOOKUP(表格1[[#This Row],[唯一識別碼]],API清冊0707!B:B,API清冊0707!T:T,"")&amp;""</f>
        <v>無下拉選單</v>
      </c>
    </row>
    <row r="282" spans="1:31" ht="204.75" customHeight="1" x14ac:dyDescent="0.4">
      <c r="A282" s="29" t="s">
        <v>1276</v>
      </c>
      <c r="B282" s="29"/>
      <c r="C282" s="29"/>
      <c r="D282" s="29" t="s">
        <v>1277</v>
      </c>
      <c r="E282" s="29" t="s">
        <v>1278</v>
      </c>
      <c r="F282" s="29" t="s">
        <v>1279</v>
      </c>
      <c r="G282" s="35"/>
      <c r="H282" s="35" t="s">
        <v>151</v>
      </c>
      <c r="I282" s="29" t="s">
        <v>1276</v>
      </c>
      <c r="J282" s="37"/>
      <c r="K282" s="38"/>
      <c r="L282" s="38"/>
      <c r="M282" s="36" t="s">
        <v>60</v>
      </c>
      <c r="N282" s="15" t="s">
        <v>152</v>
      </c>
      <c r="O282" s="36" t="s">
        <v>162</v>
      </c>
      <c r="P282" s="36" t="str">
        <f t="shared" si="8"/>
        <v>WMTS_1/1000地形圖_雲林縣箔子寮漁港特定區計畫(112年)</v>
      </c>
      <c r="Q282" s="29" t="s">
        <v>1279</v>
      </c>
      <c r="R282" s="29" t="str">
        <f t="shared" si="9"/>
        <v>2dms_wmts_v1_TOPON1K_P22</v>
      </c>
      <c r="S282" s="39" t="s">
        <v>155</v>
      </c>
      <c r="U282" s="27" t="str">
        <f>_xlfn.XLOOKUP(表格1[[#This Row],[服務類別(英)]],參考2_服務標準對照!$B:$B,參考2_服務標準對照!$C:$C,"")&amp;""</f>
        <v>OGC</v>
      </c>
      <c r="V282" s="29" t="s">
        <v>7</v>
      </c>
      <c r="W282" s="29" t="s">
        <v>163</v>
      </c>
      <c r="X282" s="29" t="s">
        <v>81</v>
      </c>
      <c r="Y282" s="36" t="s">
        <v>83</v>
      </c>
      <c r="Z282" s="36" t="s">
        <v>157</v>
      </c>
      <c r="AA282" s="36" t="s">
        <v>1159</v>
      </c>
      <c r="AB282" s="36"/>
      <c r="AC282" s="36"/>
      <c r="AD282" s="29" t="s">
        <v>119</v>
      </c>
      <c r="AE282" s="36" t="str">
        <f>_xlfn.XLOOKUP(表格1[[#This Row],[唯一識別碼]],API清冊0707!B:B,API清冊0707!T:T,"")&amp;""</f>
        <v>無下拉選單</v>
      </c>
    </row>
    <row r="283" spans="1:31" ht="204.75" customHeight="1" x14ac:dyDescent="0.4">
      <c r="A283" s="29" t="s">
        <v>1280</v>
      </c>
      <c r="B283" s="29"/>
      <c r="C283" s="29"/>
      <c r="D283" s="29" t="s">
        <v>1281</v>
      </c>
      <c r="E283" s="29" t="s">
        <v>1282</v>
      </c>
      <c r="F283" s="29" t="s">
        <v>1283</v>
      </c>
      <c r="G283" s="35"/>
      <c r="H283" s="35" t="s">
        <v>151</v>
      </c>
      <c r="I283" s="29" t="s">
        <v>1280</v>
      </c>
      <c r="J283" s="37"/>
      <c r="K283" s="38"/>
      <c r="L283" s="38"/>
      <c r="M283" s="36" t="s">
        <v>60</v>
      </c>
      <c r="N283" s="15" t="s">
        <v>152</v>
      </c>
      <c r="O283" s="36" t="s">
        <v>162</v>
      </c>
      <c r="P283" s="36" t="str">
        <f t="shared" si="8"/>
        <v>WMTS_1/1000地形圖_雲林縣崙背都市計畫(112年)</v>
      </c>
      <c r="Q283" s="29" t="s">
        <v>1283</v>
      </c>
      <c r="R283" s="29" t="str">
        <f t="shared" si="9"/>
        <v>2dms_wmts_v1_TOPON1K_P13</v>
      </c>
      <c r="S283" s="39" t="s">
        <v>155</v>
      </c>
      <c r="U283" s="27" t="str">
        <f>_xlfn.XLOOKUP(表格1[[#This Row],[服務類別(英)]],參考2_服務標準對照!$B:$B,參考2_服務標準對照!$C:$C,"")&amp;""</f>
        <v>OGC</v>
      </c>
      <c r="V283" s="29" t="s">
        <v>7</v>
      </c>
      <c r="W283" s="29" t="s">
        <v>163</v>
      </c>
      <c r="X283" s="29" t="s">
        <v>81</v>
      </c>
      <c r="Y283" s="36" t="s">
        <v>83</v>
      </c>
      <c r="Z283" s="36" t="s">
        <v>157</v>
      </c>
      <c r="AA283" s="36" t="s">
        <v>1159</v>
      </c>
      <c r="AB283" s="36"/>
      <c r="AC283" s="36"/>
      <c r="AD283" s="29" t="s">
        <v>119</v>
      </c>
      <c r="AE283" s="36" t="str">
        <f>_xlfn.XLOOKUP(表格1[[#This Row],[唯一識別碼]],API清冊0707!B:B,API清冊0707!T:T,"")&amp;""</f>
        <v>無下拉選單</v>
      </c>
    </row>
    <row r="284" spans="1:31" ht="204.75" customHeight="1" x14ac:dyDescent="0.4">
      <c r="A284" s="29" t="s">
        <v>1284</v>
      </c>
      <c r="B284" s="29"/>
      <c r="C284" s="29"/>
      <c r="D284" s="29" t="s">
        <v>1285</v>
      </c>
      <c r="E284" s="29" t="s">
        <v>1286</v>
      </c>
      <c r="F284" s="29" t="s">
        <v>1287</v>
      </c>
      <c r="G284" s="35"/>
      <c r="H284" s="35" t="s">
        <v>151</v>
      </c>
      <c r="I284" s="29" t="s">
        <v>1284</v>
      </c>
      <c r="J284" s="37"/>
      <c r="K284" s="38"/>
      <c r="L284" s="38"/>
      <c r="M284" s="36" t="s">
        <v>60</v>
      </c>
      <c r="N284" s="15" t="s">
        <v>152</v>
      </c>
      <c r="O284" s="36" t="s">
        <v>162</v>
      </c>
      <c r="P284" s="36" t="str">
        <f t="shared" si="8"/>
        <v>WMTS_1/1000地形圖_雲林縣二崙都市計畫(112年)</v>
      </c>
      <c r="Q284" s="29" t="s">
        <v>1287</v>
      </c>
      <c r="R284" s="29" t="str">
        <f t="shared" si="9"/>
        <v>2dms_wmts_v1_TOPON1K_P12</v>
      </c>
      <c r="S284" s="39" t="s">
        <v>155</v>
      </c>
      <c r="U284" s="27" t="str">
        <f>_xlfn.XLOOKUP(表格1[[#This Row],[服務類別(英)]],參考2_服務標準對照!$B:$B,參考2_服務標準對照!$C:$C,"")&amp;""</f>
        <v>OGC</v>
      </c>
      <c r="V284" s="29" t="s">
        <v>7</v>
      </c>
      <c r="W284" s="29" t="s">
        <v>163</v>
      </c>
      <c r="X284" s="29" t="s">
        <v>81</v>
      </c>
      <c r="Y284" s="36" t="s">
        <v>83</v>
      </c>
      <c r="Z284" s="36" t="s">
        <v>157</v>
      </c>
      <c r="AA284" s="36" t="s">
        <v>1159</v>
      </c>
      <c r="AB284" s="36"/>
      <c r="AC284" s="36"/>
      <c r="AD284" s="29" t="s">
        <v>119</v>
      </c>
      <c r="AE284" s="36" t="str">
        <f>_xlfn.XLOOKUP(表格1[[#This Row],[唯一識別碼]],API清冊0707!B:B,API清冊0707!T:T,"")&amp;""</f>
        <v>無下拉選單</v>
      </c>
    </row>
    <row r="285" spans="1:31" ht="204.75" customHeight="1" x14ac:dyDescent="0.4">
      <c r="A285" s="29" t="s">
        <v>1288</v>
      </c>
      <c r="B285" s="29"/>
      <c r="C285" s="29"/>
      <c r="D285" s="29" t="s">
        <v>1289</v>
      </c>
      <c r="E285" s="29" t="s">
        <v>1290</v>
      </c>
      <c r="F285" s="29" t="s">
        <v>1291</v>
      </c>
      <c r="G285" s="35"/>
      <c r="H285" s="35" t="s">
        <v>151</v>
      </c>
      <c r="I285" s="29" t="s">
        <v>1288</v>
      </c>
      <c r="J285" s="37"/>
      <c r="K285" s="38"/>
      <c r="L285" s="38"/>
      <c r="M285" s="36" t="s">
        <v>60</v>
      </c>
      <c r="N285" s="15" t="s">
        <v>152</v>
      </c>
      <c r="O285" s="36" t="s">
        <v>162</v>
      </c>
      <c r="P285" s="36" t="str">
        <f t="shared" si="8"/>
        <v>WMTS_1/1000地形圖_雲林縣莿桐都市計畫(113年)</v>
      </c>
      <c r="Q285" s="29" t="s">
        <v>1291</v>
      </c>
      <c r="R285" s="29" t="str">
        <f t="shared" si="9"/>
        <v>2dms_wmts_v1_TOPON1K_P10</v>
      </c>
      <c r="S285" s="39" t="s">
        <v>155</v>
      </c>
      <c r="U285" s="27" t="str">
        <f>_xlfn.XLOOKUP(表格1[[#This Row],[服務類別(英)]],參考2_服務標準對照!$B:$B,參考2_服務標準對照!$C:$C,"")&amp;""</f>
        <v>OGC</v>
      </c>
      <c r="V285" s="29" t="s">
        <v>7</v>
      </c>
      <c r="W285" s="29" t="s">
        <v>163</v>
      </c>
      <c r="X285" s="29" t="s">
        <v>81</v>
      </c>
      <c r="Y285" s="36" t="s">
        <v>83</v>
      </c>
      <c r="Z285" s="36" t="s">
        <v>157</v>
      </c>
      <c r="AA285" s="36" t="s">
        <v>1159</v>
      </c>
      <c r="AB285" s="36"/>
      <c r="AC285" s="36"/>
      <c r="AD285" s="29" t="s">
        <v>119</v>
      </c>
      <c r="AE285" s="36" t="str">
        <f>_xlfn.XLOOKUP(表格1[[#This Row],[唯一識別碼]],API清冊0707!B:B,API清冊0707!T:T,"")&amp;""</f>
        <v>無下拉選單</v>
      </c>
    </row>
    <row r="286" spans="1:31" ht="204.75" customHeight="1" x14ac:dyDescent="0.4">
      <c r="A286" s="29" t="s">
        <v>1292</v>
      </c>
      <c r="B286" s="29"/>
      <c r="C286" s="29"/>
      <c r="D286" s="29" t="s">
        <v>1293</v>
      </c>
      <c r="E286" s="29" t="s">
        <v>1294</v>
      </c>
      <c r="F286" s="29" t="s">
        <v>1295</v>
      </c>
      <c r="G286" s="35"/>
      <c r="H286" s="35" t="s">
        <v>151</v>
      </c>
      <c r="I286" s="29" t="s">
        <v>1292</v>
      </c>
      <c r="J286" s="37"/>
      <c r="K286" s="38"/>
      <c r="L286" s="38"/>
      <c r="M286" s="36" t="s">
        <v>60</v>
      </c>
      <c r="N286" s="15" t="s">
        <v>152</v>
      </c>
      <c r="O286" s="36" t="s">
        <v>162</v>
      </c>
      <c r="P286" s="36" t="str">
        <f t="shared" si="8"/>
        <v>WMTS_1/1000地形圖_雲林縣斗六(含大潭地區)都市計畫(113年)</v>
      </c>
      <c r="Q286" s="29" t="s">
        <v>1295</v>
      </c>
      <c r="R286" s="29" t="str">
        <f t="shared" si="9"/>
        <v>2dms_wmts_v1_TOPON1K_P01</v>
      </c>
      <c r="S286" s="39" t="s">
        <v>155</v>
      </c>
      <c r="U286" s="27" t="str">
        <f>_xlfn.XLOOKUP(表格1[[#This Row],[服務類別(英)]],參考2_服務標準對照!$B:$B,參考2_服務標準對照!$C:$C,"")&amp;""</f>
        <v>OGC</v>
      </c>
      <c r="V286" s="29" t="s">
        <v>7</v>
      </c>
      <c r="W286" s="29" t="s">
        <v>163</v>
      </c>
      <c r="X286" s="29" t="s">
        <v>81</v>
      </c>
      <c r="Y286" s="36" t="s">
        <v>83</v>
      </c>
      <c r="Z286" s="36" t="s">
        <v>157</v>
      </c>
      <c r="AA286" s="36" t="s">
        <v>1159</v>
      </c>
      <c r="AB286" s="36"/>
      <c r="AC286" s="36"/>
      <c r="AD286" s="29" t="s">
        <v>119</v>
      </c>
      <c r="AE286" s="36" t="str">
        <f>_xlfn.XLOOKUP(表格1[[#This Row],[唯一識別碼]],API清冊0707!B:B,API清冊0707!T:T,"")&amp;""</f>
        <v>無下拉選單</v>
      </c>
    </row>
    <row r="287" spans="1:31" ht="204.75" customHeight="1" x14ac:dyDescent="0.4">
      <c r="A287" s="29" t="s">
        <v>1296</v>
      </c>
      <c r="B287" s="29"/>
      <c r="C287" s="29"/>
      <c r="D287" s="29" t="s">
        <v>1297</v>
      </c>
      <c r="E287" s="29" t="s">
        <v>1298</v>
      </c>
      <c r="F287" s="29" t="s">
        <v>1299</v>
      </c>
      <c r="G287" s="35"/>
      <c r="H287" s="35" t="s">
        <v>151</v>
      </c>
      <c r="I287" s="29" t="s">
        <v>1296</v>
      </c>
      <c r="J287" s="37"/>
      <c r="K287" s="38"/>
      <c r="L287" s="38"/>
      <c r="M287" s="36" t="s">
        <v>60</v>
      </c>
      <c r="N287" s="15" t="s">
        <v>152</v>
      </c>
      <c r="O287" s="36" t="s">
        <v>162</v>
      </c>
      <c r="P287" s="36" t="str">
        <f t="shared" si="8"/>
        <v>WMTS_1/1000地形圖_彰化縣高速公路彰化交流道附近特定區計畫(112年)</v>
      </c>
      <c r="Q287" s="29" t="s">
        <v>1299</v>
      </c>
      <c r="R287" s="29" t="str">
        <f t="shared" si="9"/>
        <v>2dms_wmts_v1_TOPON1K_N02</v>
      </c>
      <c r="S287" s="39" t="s">
        <v>155</v>
      </c>
      <c r="U287" s="27" t="str">
        <f>_xlfn.XLOOKUP(表格1[[#This Row],[服務類別(英)]],參考2_服務標準對照!$B:$B,參考2_服務標準對照!$C:$C,"")&amp;""</f>
        <v>OGC</v>
      </c>
      <c r="V287" s="29" t="s">
        <v>7</v>
      </c>
      <c r="W287" s="29" t="s">
        <v>163</v>
      </c>
      <c r="X287" s="29" t="s">
        <v>81</v>
      </c>
      <c r="Y287" s="36" t="s">
        <v>83</v>
      </c>
      <c r="Z287" s="36" t="s">
        <v>157</v>
      </c>
      <c r="AA287" s="36" t="s">
        <v>1159</v>
      </c>
      <c r="AB287" s="36"/>
      <c r="AC287" s="36"/>
      <c r="AD287" s="29" t="s">
        <v>119</v>
      </c>
      <c r="AE287" s="36" t="str">
        <f>_xlfn.XLOOKUP(表格1[[#This Row],[唯一識別碼]],API清冊0707!B:B,API清冊0707!T:T,"")&amp;""</f>
        <v>無下拉選單</v>
      </c>
    </row>
    <row r="288" spans="1:31" ht="204.75" customHeight="1" x14ac:dyDescent="0.4">
      <c r="A288" s="29" t="s">
        <v>1300</v>
      </c>
      <c r="B288" s="29"/>
      <c r="C288" s="29"/>
      <c r="D288" s="29" t="s">
        <v>1301</v>
      </c>
      <c r="E288" s="29" t="s">
        <v>1302</v>
      </c>
      <c r="F288" s="29" t="s">
        <v>1303</v>
      </c>
      <c r="G288" s="35"/>
      <c r="H288" s="35" t="s">
        <v>151</v>
      </c>
      <c r="I288" s="29" t="s">
        <v>1300</v>
      </c>
      <c r="J288" s="37"/>
      <c r="K288" s="38"/>
      <c r="L288" s="38"/>
      <c r="M288" s="36" t="s">
        <v>60</v>
      </c>
      <c r="N288" s="15" t="s">
        <v>152</v>
      </c>
      <c r="O288" s="36" t="s">
        <v>162</v>
      </c>
      <c r="P288" s="36" t="str">
        <f t="shared" si="8"/>
        <v>WMTS_1/1000地形圖_彰化縣彰化都市計畫(112年)</v>
      </c>
      <c r="Q288" s="29" t="s">
        <v>1303</v>
      </c>
      <c r="R288" s="29" t="str">
        <f t="shared" si="9"/>
        <v>2dms_wmts_v1_TOPON1K_N01</v>
      </c>
      <c r="S288" s="39" t="s">
        <v>155</v>
      </c>
      <c r="U288" s="27" t="str">
        <f>_xlfn.XLOOKUP(表格1[[#This Row],[服務類別(英)]],參考2_服務標準對照!$B:$B,參考2_服務標準對照!$C:$C,"")&amp;""</f>
        <v>OGC</v>
      </c>
      <c r="V288" s="29" t="s">
        <v>7</v>
      </c>
      <c r="W288" s="29" t="s">
        <v>163</v>
      </c>
      <c r="X288" s="29" t="s">
        <v>81</v>
      </c>
      <c r="Y288" s="36" t="s">
        <v>83</v>
      </c>
      <c r="Z288" s="36" t="s">
        <v>157</v>
      </c>
      <c r="AA288" s="36" t="s">
        <v>1159</v>
      </c>
      <c r="AB288" s="36"/>
      <c r="AC288" s="36"/>
      <c r="AD288" s="29" t="s">
        <v>119</v>
      </c>
      <c r="AE288" s="36" t="str">
        <f>_xlfn.XLOOKUP(表格1[[#This Row],[唯一識別碼]],API清冊0707!B:B,API清冊0707!T:T,"")&amp;""</f>
        <v>無下拉選單</v>
      </c>
    </row>
    <row r="289" spans="1:31" ht="204.75" customHeight="1" x14ac:dyDescent="0.4">
      <c r="A289" s="29" t="s">
        <v>1304</v>
      </c>
      <c r="B289" s="29"/>
      <c r="C289" s="29"/>
      <c r="D289" s="29" t="s">
        <v>1305</v>
      </c>
      <c r="E289" s="29" t="s">
        <v>1306</v>
      </c>
      <c r="F289" s="29" t="s">
        <v>1307</v>
      </c>
      <c r="G289" s="35"/>
      <c r="H289" s="35" t="s">
        <v>151</v>
      </c>
      <c r="I289" s="29" t="s">
        <v>1304</v>
      </c>
      <c r="J289" s="37"/>
      <c r="K289" s="38"/>
      <c r="L289" s="38"/>
      <c r="M289" s="36" t="s">
        <v>60</v>
      </c>
      <c r="N289" s="15" t="s">
        <v>152</v>
      </c>
      <c r="O289" s="36" t="s">
        <v>162</v>
      </c>
      <c r="P289" s="36" t="str">
        <f t="shared" si="8"/>
        <v>WMTS_1/1000地形圖_南投縣草屯都市計畫(112年)</v>
      </c>
      <c r="Q289" s="29" t="s">
        <v>1307</v>
      </c>
      <c r="R289" s="29" t="str">
        <f t="shared" si="9"/>
        <v>2dms_wmts_v1_TOPON1K_M04</v>
      </c>
      <c r="S289" s="39" t="s">
        <v>155</v>
      </c>
      <c r="U289" s="27" t="str">
        <f>_xlfn.XLOOKUP(表格1[[#This Row],[服務類別(英)]],參考2_服務標準對照!$B:$B,參考2_服務標準對照!$C:$C,"")&amp;""</f>
        <v>OGC</v>
      </c>
      <c r="V289" s="29" t="s">
        <v>7</v>
      </c>
      <c r="W289" s="29" t="s">
        <v>163</v>
      </c>
      <c r="X289" s="29" t="s">
        <v>81</v>
      </c>
      <c r="Y289" s="36" t="s">
        <v>83</v>
      </c>
      <c r="Z289" s="36" t="s">
        <v>157</v>
      </c>
      <c r="AA289" s="36" t="s">
        <v>1159</v>
      </c>
      <c r="AB289" s="36"/>
      <c r="AC289" s="36"/>
      <c r="AD289" s="29" t="s">
        <v>119</v>
      </c>
      <c r="AE289" s="36" t="str">
        <f>_xlfn.XLOOKUP(表格1[[#This Row],[唯一識別碼]],API清冊0707!B:B,API清冊0707!T:T,"")&amp;""</f>
        <v>無下拉選單</v>
      </c>
    </row>
    <row r="290" spans="1:31" ht="204.75" customHeight="1" x14ac:dyDescent="0.4">
      <c r="A290" s="29" t="s">
        <v>1308</v>
      </c>
      <c r="B290" s="29"/>
      <c r="C290" s="29"/>
      <c r="D290" s="29" t="s">
        <v>1309</v>
      </c>
      <c r="E290" s="29" t="s">
        <v>1310</v>
      </c>
      <c r="F290" s="29" t="s">
        <v>1311</v>
      </c>
      <c r="G290" s="35"/>
      <c r="H290" s="35" t="s">
        <v>151</v>
      </c>
      <c r="I290" s="29" t="s">
        <v>1308</v>
      </c>
      <c r="J290" s="37"/>
      <c r="K290" s="38"/>
      <c r="L290" s="38"/>
      <c r="M290" s="36" t="s">
        <v>60</v>
      </c>
      <c r="N290" s="15" t="s">
        <v>152</v>
      </c>
      <c r="O290" s="36" t="s">
        <v>162</v>
      </c>
      <c r="P290" s="36" t="str">
        <f t="shared" si="8"/>
        <v>WMTS_1/1000地形圖_南投縣中興新村(含南內轆地區)都市計畫(112年)</v>
      </c>
      <c r="Q290" s="29" t="s">
        <v>1311</v>
      </c>
      <c r="R290" s="29" t="str">
        <f t="shared" si="9"/>
        <v>2dms_wmts_v1_TOPON1K_M02</v>
      </c>
      <c r="S290" s="39" t="s">
        <v>155</v>
      </c>
      <c r="U290" s="27" t="str">
        <f>_xlfn.XLOOKUP(表格1[[#This Row],[服務類別(英)]],參考2_服務標準對照!$B:$B,參考2_服務標準對照!$C:$C,"")&amp;""</f>
        <v>OGC</v>
      </c>
      <c r="V290" s="29" t="s">
        <v>7</v>
      </c>
      <c r="W290" s="29" t="s">
        <v>163</v>
      </c>
      <c r="X290" s="29" t="s">
        <v>81</v>
      </c>
      <c r="Y290" s="36" t="s">
        <v>83</v>
      </c>
      <c r="Z290" s="36" t="s">
        <v>157</v>
      </c>
      <c r="AA290" s="36" t="s">
        <v>1159</v>
      </c>
      <c r="AB290" s="36"/>
      <c r="AC290" s="36"/>
      <c r="AD290" s="29" t="s">
        <v>119</v>
      </c>
      <c r="AE290" s="36" t="str">
        <f>_xlfn.XLOOKUP(表格1[[#This Row],[唯一識別碼]],API清冊0707!B:B,API清冊0707!T:T,"")&amp;""</f>
        <v>無下拉選單</v>
      </c>
    </row>
    <row r="291" spans="1:31" ht="204.75" customHeight="1" x14ac:dyDescent="0.4">
      <c r="A291" s="29" t="s">
        <v>1312</v>
      </c>
      <c r="B291" s="29"/>
      <c r="C291" s="29"/>
      <c r="D291" s="29" t="s">
        <v>1313</v>
      </c>
      <c r="E291" s="29" t="s">
        <v>1314</v>
      </c>
      <c r="F291" s="29" t="s">
        <v>1315</v>
      </c>
      <c r="G291" s="35"/>
      <c r="H291" s="35" t="s">
        <v>151</v>
      </c>
      <c r="I291" s="29" t="s">
        <v>1312</v>
      </c>
      <c r="J291" s="37"/>
      <c r="K291" s="38"/>
      <c r="L291" s="38"/>
      <c r="M291" s="36" t="s">
        <v>60</v>
      </c>
      <c r="N291" s="15" t="s">
        <v>152</v>
      </c>
      <c r="O291" s="36" t="s">
        <v>162</v>
      </c>
      <c r="P291" s="36" t="str">
        <f t="shared" si="8"/>
        <v>WMTS_1/1000地形圖_南投縣南投(含南崗地區)都市計畫(112年)</v>
      </c>
      <c r="Q291" s="29" t="s">
        <v>1315</v>
      </c>
      <c r="R291" s="29" t="str">
        <f t="shared" si="9"/>
        <v>2dms_wmts_v1_TOPON1K_M01</v>
      </c>
      <c r="S291" s="39" t="s">
        <v>155</v>
      </c>
      <c r="U291" s="27" t="str">
        <f>_xlfn.XLOOKUP(表格1[[#This Row],[服務類別(英)]],參考2_服務標準對照!$B:$B,參考2_服務標準對照!$C:$C,"")&amp;""</f>
        <v>OGC</v>
      </c>
      <c r="V291" s="29" t="s">
        <v>7</v>
      </c>
      <c r="W291" s="29" t="s">
        <v>163</v>
      </c>
      <c r="X291" s="29" t="s">
        <v>81</v>
      </c>
      <c r="Y291" s="36" t="s">
        <v>83</v>
      </c>
      <c r="Z291" s="36" t="s">
        <v>157</v>
      </c>
      <c r="AA291" s="36" t="s">
        <v>1159</v>
      </c>
      <c r="AB291" s="36"/>
      <c r="AC291" s="36"/>
      <c r="AD291" s="29" t="s">
        <v>119</v>
      </c>
      <c r="AE291" s="36" t="str">
        <f>_xlfn.XLOOKUP(表格1[[#This Row],[唯一識別碼]],API清冊0707!B:B,API清冊0707!T:T,"")&amp;""</f>
        <v>無下拉選單</v>
      </c>
    </row>
    <row r="292" spans="1:31" ht="204.75" customHeight="1" x14ac:dyDescent="0.4">
      <c r="A292" s="29" t="s">
        <v>1316</v>
      </c>
      <c r="B292" s="29"/>
      <c r="C292" s="29"/>
      <c r="D292" s="29" t="s">
        <v>1317</v>
      </c>
      <c r="E292" s="29" t="s">
        <v>1318</v>
      </c>
      <c r="F292" s="29" t="s">
        <v>1319</v>
      </c>
      <c r="G292" s="35"/>
      <c r="H292" s="35" t="s">
        <v>151</v>
      </c>
      <c r="I292" s="29" t="s">
        <v>1316</v>
      </c>
      <c r="J292" s="37"/>
      <c r="K292" s="38"/>
      <c r="L292" s="38"/>
      <c r="M292" s="36" t="s">
        <v>60</v>
      </c>
      <c r="N292" s="15" t="s">
        <v>152</v>
      </c>
      <c r="O292" s="36" t="s">
        <v>162</v>
      </c>
      <c r="P292" s="36" t="str">
        <f t="shared" si="8"/>
        <v>WMTS_1/1000地形圖_苗栗縣頭屋都市計畫(112年)</v>
      </c>
      <c r="Q292" s="29" t="s">
        <v>1319</v>
      </c>
      <c r="R292" s="29" t="str">
        <f t="shared" si="9"/>
        <v>2dms_wmts_v1_TOPON1K_K14</v>
      </c>
      <c r="S292" s="39" t="s">
        <v>155</v>
      </c>
      <c r="U292" s="27" t="str">
        <f>_xlfn.XLOOKUP(表格1[[#This Row],[服務類別(英)]],參考2_服務標準對照!$B:$B,參考2_服務標準對照!$C:$C,"")&amp;""</f>
        <v>OGC</v>
      </c>
      <c r="V292" s="29" t="s">
        <v>7</v>
      </c>
      <c r="W292" s="29" t="s">
        <v>163</v>
      </c>
      <c r="X292" s="29" t="s">
        <v>81</v>
      </c>
      <c r="Y292" s="36" t="s">
        <v>83</v>
      </c>
      <c r="Z292" s="36" t="s">
        <v>157</v>
      </c>
      <c r="AA292" s="36" t="s">
        <v>1159</v>
      </c>
      <c r="AB292" s="36"/>
      <c r="AC292" s="36"/>
      <c r="AD292" s="29" t="s">
        <v>119</v>
      </c>
      <c r="AE292" s="36" t="str">
        <f>_xlfn.XLOOKUP(表格1[[#This Row],[唯一識別碼]],API清冊0707!B:B,API清冊0707!T:T,"")&amp;""</f>
        <v>無下拉選單</v>
      </c>
    </row>
    <row r="293" spans="1:31" ht="204.75" customHeight="1" x14ac:dyDescent="0.4">
      <c r="A293" s="29" t="s">
        <v>1320</v>
      </c>
      <c r="B293" s="29"/>
      <c r="C293" s="29"/>
      <c r="D293" s="29" t="s">
        <v>1321</v>
      </c>
      <c r="E293" s="29" t="s">
        <v>1322</v>
      </c>
      <c r="F293" s="29" t="s">
        <v>1323</v>
      </c>
      <c r="G293" s="35"/>
      <c r="H293" s="35" t="s">
        <v>151</v>
      </c>
      <c r="I293" s="29" t="s">
        <v>1320</v>
      </c>
      <c r="J293" s="37"/>
      <c r="K293" s="38"/>
      <c r="L293" s="38"/>
      <c r="M293" s="36" t="s">
        <v>60</v>
      </c>
      <c r="N293" s="15" t="s">
        <v>152</v>
      </c>
      <c r="O293" s="36" t="s">
        <v>162</v>
      </c>
      <c r="P293" s="36" t="str">
        <f t="shared" si="8"/>
        <v>WMTS_1/1000地形圖_苗栗縣高速公路苗栗交流道附近特定區計畫(112年)</v>
      </c>
      <c r="Q293" s="29" t="s">
        <v>1323</v>
      </c>
      <c r="R293" s="29" t="str">
        <f t="shared" si="9"/>
        <v>2dms_wmts_v1_TOPON1K_K02</v>
      </c>
      <c r="S293" s="39" t="s">
        <v>155</v>
      </c>
      <c r="U293" s="27" t="str">
        <f>_xlfn.XLOOKUP(表格1[[#This Row],[服務類別(英)]],參考2_服務標準對照!$B:$B,參考2_服務標準對照!$C:$C,"")&amp;""</f>
        <v>OGC</v>
      </c>
      <c r="V293" s="29" t="s">
        <v>7</v>
      </c>
      <c r="W293" s="29" t="s">
        <v>163</v>
      </c>
      <c r="X293" s="29" t="s">
        <v>81</v>
      </c>
      <c r="Y293" s="36" t="s">
        <v>83</v>
      </c>
      <c r="Z293" s="36" t="s">
        <v>157</v>
      </c>
      <c r="AA293" s="36" t="s">
        <v>1159</v>
      </c>
      <c r="AB293" s="36"/>
      <c r="AC293" s="36"/>
      <c r="AD293" s="29" t="s">
        <v>119</v>
      </c>
      <c r="AE293" s="36" t="str">
        <f>_xlfn.XLOOKUP(表格1[[#This Row],[唯一識別碼]],API清冊0707!B:B,API清冊0707!T:T,"")&amp;""</f>
        <v>無下拉選單</v>
      </c>
    </row>
    <row r="294" spans="1:31" ht="204.75" customHeight="1" x14ac:dyDescent="0.4">
      <c r="A294" s="29" t="s">
        <v>1324</v>
      </c>
      <c r="B294" s="29"/>
      <c r="C294" s="29"/>
      <c r="D294" s="29" t="s">
        <v>1325</v>
      </c>
      <c r="E294" s="29" t="s">
        <v>1326</v>
      </c>
      <c r="F294" s="29" t="s">
        <v>1327</v>
      </c>
      <c r="G294" s="35"/>
      <c r="H294" s="35" t="s">
        <v>151</v>
      </c>
      <c r="I294" s="29" t="s">
        <v>1324</v>
      </c>
      <c r="J294" s="37"/>
      <c r="K294" s="38"/>
      <c r="L294" s="38"/>
      <c r="M294" s="36" t="s">
        <v>60</v>
      </c>
      <c r="N294" s="15" t="s">
        <v>152</v>
      </c>
      <c r="O294" s="36" t="s">
        <v>162</v>
      </c>
      <c r="P294" s="36" t="str">
        <f t="shared" si="8"/>
        <v>WMTS_1/1000地形圖_苗栗縣苗栗都市計畫(112年)</v>
      </c>
      <c r="Q294" s="29" t="s">
        <v>1327</v>
      </c>
      <c r="R294" s="29" t="str">
        <f t="shared" si="9"/>
        <v>2dms_wmts_v1_TOPON1K_K01</v>
      </c>
      <c r="S294" s="39" t="s">
        <v>155</v>
      </c>
      <c r="U294" s="27" t="str">
        <f>_xlfn.XLOOKUP(表格1[[#This Row],[服務類別(英)]],參考2_服務標準對照!$B:$B,參考2_服務標準對照!$C:$C,"")&amp;""</f>
        <v>OGC</v>
      </c>
      <c r="V294" s="29" t="s">
        <v>7</v>
      </c>
      <c r="W294" s="29" t="s">
        <v>163</v>
      </c>
      <c r="X294" s="29" t="s">
        <v>81</v>
      </c>
      <c r="Y294" s="36" t="s">
        <v>83</v>
      </c>
      <c r="Z294" s="36" t="s">
        <v>157</v>
      </c>
      <c r="AA294" s="36" t="s">
        <v>1159</v>
      </c>
      <c r="AB294" s="36"/>
      <c r="AC294" s="36"/>
      <c r="AD294" s="29" t="s">
        <v>119</v>
      </c>
      <c r="AE294" s="36" t="str">
        <f>_xlfn.XLOOKUP(表格1[[#This Row],[唯一識別碼]],API清冊0707!B:B,API清冊0707!T:T,"")&amp;""</f>
        <v>無下拉選單</v>
      </c>
    </row>
    <row r="295" spans="1:31" ht="204.75" customHeight="1" x14ac:dyDescent="0.4">
      <c r="A295" s="29" t="s">
        <v>1328</v>
      </c>
      <c r="B295" s="29"/>
      <c r="C295" s="29"/>
      <c r="D295" s="29" t="s">
        <v>1329</v>
      </c>
      <c r="E295" s="29" t="s">
        <v>1330</v>
      </c>
      <c r="F295" s="29" t="s">
        <v>1331</v>
      </c>
      <c r="G295" s="35"/>
      <c r="H295" s="35" t="s">
        <v>151</v>
      </c>
      <c r="I295" s="29" t="s">
        <v>1328</v>
      </c>
      <c r="J295" s="37"/>
      <c r="K295" s="38"/>
      <c r="L295" s="38"/>
      <c r="M295" s="36" t="s">
        <v>60</v>
      </c>
      <c r="N295" s="15" t="s">
        <v>152</v>
      </c>
      <c r="O295" s="36" t="s">
        <v>162</v>
      </c>
      <c r="P295" s="36" t="str">
        <f t="shared" si="8"/>
        <v>WMTS_1/1000地形圖_新竹科學工業園區特定區計畫(寶山部分)(112年)</v>
      </c>
      <c r="Q295" s="29" t="s">
        <v>1331</v>
      </c>
      <c r="R295" s="29" t="str">
        <f t="shared" si="9"/>
        <v>2dms_wmts_v1_TOPON1K_J17</v>
      </c>
      <c r="S295" s="39" t="s">
        <v>155</v>
      </c>
      <c r="U295" s="27" t="str">
        <f>_xlfn.XLOOKUP(表格1[[#This Row],[服務類別(英)]],參考2_服務標準對照!$B:$B,參考2_服務標準對照!$C:$C,"")&amp;""</f>
        <v>OGC</v>
      </c>
      <c r="V295" s="29" t="s">
        <v>7</v>
      </c>
      <c r="W295" s="29" t="s">
        <v>163</v>
      </c>
      <c r="X295" s="29" t="s">
        <v>81</v>
      </c>
      <c r="Y295" s="36" t="s">
        <v>83</v>
      </c>
      <c r="Z295" s="36" t="s">
        <v>157</v>
      </c>
      <c r="AA295" s="36" t="s">
        <v>1159</v>
      </c>
      <c r="AB295" s="36"/>
      <c r="AC295" s="36"/>
      <c r="AD295" s="29" t="s">
        <v>119</v>
      </c>
      <c r="AE295" s="36" t="str">
        <f>_xlfn.XLOOKUP(表格1[[#This Row],[唯一識別碼]],API清冊0707!B:B,API清冊0707!T:T,"")&amp;""</f>
        <v>無下拉選單</v>
      </c>
    </row>
    <row r="296" spans="1:31" ht="204.75" customHeight="1" x14ac:dyDescent="0.4">
      <c r="A296" s="29" t="s">
        <v>1332</v>
      </c>
      <c r="B296" s="29"/>
      <c r="C296" s="29"/>
      <c r="D296" s="29" t="s">
        <v>1333</v>
      </c>
      <c r="E296" s="29" t="s">
        <v>1334</v>
      </c>
      <c r="F296" s="29" t="s">
        <v>1335</v>
      </c>
      <c r="G296" s="35"/>
      <c r="H296" s="35" t="s">
        <v>151</v>
      </c>
      <c r="I296" s="29" t="s">
        <v>1332</v>
      </c>
      <c r="J296" s="37"/>
      <c r="K296" s="38"/>
      <c r="L296" s="38"/>
      <c r="M296" s="36" t="s">
        <v>60</v>
      </c>
      <c r="N296" s="15" t="s">
        <v>152</v>
      </c>
      <c r="O296" s="36" t="s">
        <v>162</v>
      </c>
      <c r="P296" s="36" t="str">
        <f t="shared" si="8"/>
        <v>WMTS_1/1000地形圖_新竹縣高速鐵路新竹車站特定區計畫(113年)</v>
      </c>
      <c r="Q296" s="29" t="s">
        <v>1335</v>
      </c>
      <c r="R296" s="29" t="str">
        <f t="shared" si="9"/>
        <v>2dms_wmts_v1_TOPON1K_J16</v>
      </c>
      <c r="S296" s="39" t="s">
        <v>155</v>
      </c>
      <c r="U296" s="27" t="str">
        <f>_xlfn.XLOOKUP(表格1[[#This Row],[服務類別(英)]],參考2_服務標準對照!$B:$B,參考2_服務標準對照!$C:$C,"")&amp;""</f>
        <v>OGC</v>
      </c>
      <c r="V296" s="29" t="s">
        <v>7</v>
      </c>
      <c r="W296" s="29" t="s">
        <v>163</v>
      </c>
      <c r="X296" s="29" t="s">
        <v>81</v>
      </c>
      <c r="Y296" s="36" t="s">
        <v>83</v>
      </c>
      <c r="Z296" s="36" t="s">
        <v>157</v>
      </c>
      <c r="AA296" s="36" t="s">
        <v>1159</v>
      </c>
      <c r="AB296" s="36"/>
      <c r="AC296" s="36"/>
      <c r="AD296" s="29" t="s">
        <v>119</v>
      </c>
      <c r="AE296" s="36" t="str">
        <f>_xlfn.XLOOKUP(表格1[[#This Row],[唯一識別碼]],API清冊0707!B:B,API清冊0707!T:T,"")&amp;""</f>
        <v>無下拉選單</v>
      </c>
    </row>
    <row r="297" spans="1:31" ht="204.75" customHeight="1" x14ac:dyDescent="0.4">
      <c r="A297" s="29" t="s">
        <v>1336</v>
      </c>
      <c r="B297" s="29"/>
      <c r="C297" s="29"/>
      <c r="D297" s="29" t="s">
        <v>1337</v>
      </c>
      <c r="E297" s="29" t="s">
        <v>1338</v>
      </c>
      <c r="F297" s="29" t="s">
        <v>1339</v>
      </c>
      <c r="G297" s="35"/>
      <c r="H297" s="35" t="s">
        <v>151</v>
      </c>
      <c r="I297" s="29" t="s">
        <v>1336</v>
      </c>
      <c r="J297" s="37"/>
      <c r="K297" s="38"/>
      <c r="L297" s="38"/>
      <c r="M297" s="36" t="s">
        <v>60</v>
      </c>
      <c r="N297" s="15" t="s">
        <v>152</v>
      </c>
      <c r="O297" s="36" t="s">
        <v>162</v>
      </c>
      <c r="P297" s="36" t="str">
        <f t="shared" si="8"/>
        <v>WMTS_1/1000地形圖_新竹縣寶山都市計畫(112年)</v>
      </c>
      <c r="Q297" s="29" t="s">
        <v>1339</v>
      </c>
      <c r="R297" s="29" t="str">
        <f t="shared" si="9"/>
        <v>2dms_wmts_v1_TOPON1K_J13</v>
      </c>
      <c r="S297" s="39" t="s">
        <v>155</v>
      </c>
      <c r="U297" s="27" t="str">
        <f>_xlfn.XLOOKUP(表格1[[#This Row],[服務類別(英)]],參考2_服務標準對照!$B:$B,參考2_服務標準對照!$C:$C,"")&amp;""</f>
        <v>OGC</v>
      </c>
      <c r="V297" s="29" t="s">
        <v>7</v>
      </c>
      <c r="W297" s="29" t="s">
        <v>163</v>
      </c>
      <c r="X297" s="29" t="s">
        <v>81</v>
      </c>
      <c r="Y297" s="36" t="s">
        <v>83</v>
      </c>
      <c r="Z297" s="36" t="s">
        <v>157</v>
      </c>
      <c r="AA297" s="36" t="s">
        <v>1159</v>
      </c>
      <c r="AB297" s="36"/>
      <c r="AC297" s="36"/>
      <c r="AD297" s="29" t="s">
        <v>119</v>
      </c>
      <c r="AE297" s="36" t="str">
        <f>_xlfn.XLOOKUP(表格1[[#This Row],[唯一識別碼]],API清冊0707!B:B,API清冊0707!T:T,"")&amp;""</f>
        <v>無下拉選單</v>
      </c>
    </row>
    <row r="298" spans="1:31" ht="204.75" customHeight="1" x14ac:dyDescent="0.4">
      <c r="A298" s="29" t="s">
        <v>1340</v>
      </c>
      <c r="B298" s="29"/>
      <c r="C298" s="29"/>
      <c r="D298" s="29" t="s">
        <v>1341</v>
      </c>
      <c r="E298" s="29" t="s">
        <v>1342</v>
      </c>
      <c r="F298" s="29" t="s">
        <v>1343</v>
      </c>
      <c r="G298" s="35"/>
      <c r="H298" s="35" t="s">
        <v>151</v>
      </c>
      <c r="I298" s="29" t="s">
        <v>1340</v>
      </c>
      <c r="J298" s="37"/>
      <c r="K298" s="38"/>
      <c r="L298" s="38"/>
      <c r="M298" s="36" t="s">
        <v>60</v>
      </c>
      <c r="N298" s="15" t="s">
        <v>152</v>
      </c>
      <c r="O298" s="36" t="s">
        <v>162</v>
      </c>
      <c r="P298" s="36" t="str">
        <f t="shared" si="8"/>
        <v>WMTS_1/1000地形圖_新竹縣竹北(含斗崙地區)都市計畫(113年)</v>
      </c>
      <c r="Q298" s="29" t="s">
        <v>1343</v>
      </c>
      <c r="R298" s="29" t="str">
        <f t="shared" si="9"/>
        <v>2dms_wmts_v1_TOPON1K_J06</v>
      </c>
      <c r="S298" s="39" t="s">
        <v>155</v>
      </c>
      <c r="U298" s="27" t="str">
        <f>_xlfn.XLOOKUP(表格1[[#This Row],[服務類別(英)]],參考2_服務標準對照!$B:$B,參考2_服務標準對照!$C:$C,"")&amp;""</f>
        <v>OGC</v>
      </c>
      <c r="V298" s="29" t="s">
        <v>7</v>
      </c>
      <c r="W298" s="29" t="s">
        <v>163</v>
      </c>
      <c r="X298" s="29" t="s">
        <v>81</v>
      </c>
      <c r="Y298" s="36" t="s">
        <v>83</v>
      </c>
      <c r="Z298" s="36" t="s">
        <v>157</v>
      </c>
      <c r="AA298" s="36" t="s">
        <v>1159</v>
      </c>
      <c r="AB298" s="36"/>
      <c r="AC298" s="36"/>
      <c r="AD298" s="29" t="s">
        <v>119</v>
      </c>
      <c r="AE298" s="36" t="str">
        <f>_xlfn.XLOOKUP(表格1[[#This Row],[唯一識別碼]],API清冊0707!B:B,API清冊0707!T:T,"")&amp;""</f>
        <v>無下拉選單</v>
      </c>
    </row>
    <row r="299" spans="1:31" ht="204.75" customHeight="1" x14ac:dyDescent="0.4">
      <c r="A299" s="29" t="s">
        <v>1344</v>
      </c>
      <c r="B299" s="29"/>
      <c r="C299" s="29"/>
      <c r="D299" s="29" t="s">
        <v>1345</v>
      </c>
      <c r="E299" s="29" t="s">
        <v>1346</v>
      </c>
      <c r="F299" s="29" t="s">
        <v>1347</v>
      </c>
      <c r="G299" s="35"/>
      <c r="H299" s="35" t="s">
        <v>151</v>
      </c>
      <c r="I299" s="29" t="s">
        <v>1344</v>
      </c>
      <c r="J299" s="37"/>
      <c r="K299" s="38"/>
      <c r="L299" s="38"/>
      <c r="M299" s="36" t="s">
        <v>60</v>
      </c>
      <c r="N299" s="15" t="s">
        <v>152</v>
      </c>
      <c r="O299" s="36" t="s">
        <v>162</v>
      </c>
      <c r="P299" s="36" t="str">
        <f t="shared" si="8"/>
        <v>WMTS_1/1000地形圖_新竹科學工業園區特定區計畫(竹東部分)(112年)</v>
      </c>
      <c r="Q299" s="29" t="s">
        <v>1347</v>
      </c>
      <c r="R299" s="29" t="str">
        <f t="shared" si="9"/>
        <v>2dms_wmts_v1_TOPON1K_J01</v>
      </c>
      <c r="S299" s="39" t="s">
        <v>155</v>
      </c>
      <c r="U299" s="27" t="str">
        <f>_xlfn.XLOOKUP(表格1[[#This Row],[服務類別(英)]],參考2_服務標準對照!$B:$B,參考2_服務標準對照!$C:$C,"")&amp;""</f>
        <v>OGC</v>
      </c>
      <c r="V299" s="29" t="s">
        <v>7</v>
      </c>
      <c r="W299" s="29" t="s">
        <v>163</v>
      </c>
      <c r="X299" s="29" t="s">
        <v>81</v>
      </c>
      <c r="Y299" s="36" t="s">
        <v>83</v>
      </c>
      <c r="Z299" s="36" t="s">
        <v>157</v>
      </c>
      <c r="AA299" s="36" t="s">
        <v>1159</v>
      </c>
      <c r="AB299" s="36"/>
      <c r="AC299" s="36"/>
      <c r="AD299" s="29" t="s">
        <v>119</v>
      </c>
      <c r="AE299" s="36" t="str">
        <f>_xlfn.XLOOKUP(表格1[[#This Row],[唯一識別碼]],API清冊0707!B:B,API清冊0707!T:T,"")&amp;""</f>
        <v>無下拉選單</v>
      </c>
    </row>
    <row r="300" spans="1:31" ht="204.75" customHeight="1" x14ac:dyDescent="0.4">
      <c r="A300" s="29" t="s">
        <v>1348</v>
      </c>
      <c r="B300" s="29"/>
      <c r="C300" s="29"/>
      <c r="D300" s="29" t="s">
        <v>1349</v>
      </c>
      <c r="E300" s="29" t="s">
        <v>1350</v>
      </c>
      <c r="F300" s="29" t="s">
        <v>1351</v>
      </c>
      <c r="G300" s="35"/>
      <c r="H300" s="35" t="s">
        <v>151</v>
      </c>
      <c r="I300" s="29" t="s">
        <v>1348</v>
      </c>
      <c r="J300" s="37"/>
      <c r="K300" s="38"/>
      <c r="L300" s="38"/>
      <c r="M300" s="36" t="s">
        <v>60</v>
      </c>
      <c r="N300" s="15" t="s">
        <v>152</v>
      </c>
      <c r="O300" s="36" t="s">
        <v>162</v>
      </c>
      <c r="P300" s="36" t="str">
        <f t="shared" si="8"/>
        <v>WMTS_1/1000地形圖_桃園市平鎮(山子頂地區)都市計畫(112年)</v>
      </c>
      <c r="Q300" s="29" t="s">
        <v>1351</v>
      </c>
      <c r="R300" s="29" t="str">
        <f t="shared" si="9"/>
        <v>2dms_wmts_v1_TOPON1K_H31</v>
      </c>
      <c r="S300" s="39" t="s">
        <v>155</v>
      </c>
      <c r="U300" s="27" t="str">
        <f>_xlfn.XLOOKUP(表格1[[#This Row],[服務類別(英)]],參考2_服務標準對照!$B:$B,參考2_服務標準對照!$C:$C,"")&amp;""</f>
        <v>OGC</v>
      </c>
      <c r="V300" s="29" t="s">
        <v>7</v>
      </c>
      <c r="W300" s="29" t="s">
        <v>163</v>
      </c>
      <c r="X300" s="29" t="s">
        <v>81</v>
      </c>
      <c r="Y300" s="36" t="s">
        <v>83</v>
      </c>
      <c r="Z300" s="36" t="s">
        <v>157</v>
      </c>
      <c r="AA300" s="36" t="s">
        <v>1159</v>
      </c>
      <c r="AB300" s="36"/>
      <c r="AC300" s="36"/>
      <c r="AD300" s="29" t="s">
        <v>119</v>
      </c>
      <c r="AE300" s="36" t="str">
        <f>_xlfn.XLOOKUP(表格1[[#This Row],[唯一識別碼]],API清冊0707!B:B,API清冊0707!T:T,"")&amp;""</f>
        <v>無下拉選單</v>
      </c>
    </row>
    <row r="301" spans="1:31" ht="204.75" customHeight="1" x14ac:dyDescent="0.4">
      <c r="A301" s="29" t="s">
        <v>1352</v>
      </c>
      <c r="B301" s="29"/>
      <c r="C301" s="29"/>
      <c r="D301" s="29" t="s">
        <v>1353</v>
      </c>
      <c r="E301" s="29" t="s">
        <v>1354</v>
      </c>
      <c r="F301" s="29" t="s">
        <v>1355</v>
      </c>
      <c r="G301" s="35"/>
      <c r="H301" s="35" t="s">
        <v>151</v>
      </c>
      <c r="I301" s="29" t="s">
        <v>1352</v>
      </c>
      <c r="J301" s="37"/>
      <c r="K301" s="38"/>
      <c r="L301" s="38"/>
      <c r="M301" s="36" t="s">
        <v>60</v>
      </c>
      <c r="N301" s="15" t="s">
        <v>152</v>
      </c>
      <c r="O301" s="36" t="s">
        <v>162</v>
      </c>
      <c r="P301" s="36" t="str">
        <f t="shared" si="8"/>
        <v>WMTS_1/1000地形圖_桃園市觀音(新坡地區)都市計畫(113年)</v>
      </c>
      <c r="Q301" s="29" t="s">
        <v>1355</v>
      </c>
      <c r="R301" s="29" t="str">
        <f t="shared" si="9"/>
        <v>2dms_wmts_v1_TOPON1K_H21</v>
      </c>
      <c r="S301" s="39" t="s">
        <v>155</v>
      </c>
      <c r="U301" s="27" t="str">
        <f>_xlfn.XLOOKUP(表格1[[#This Row],[服務類別(英)]],參考2_服務標準對照!$B:$B,參考2_服務標準對照!$C:$C,"")&amp;""</f>
        <v>OGC</v>
      </c>
      <c r="V301" s="29" t="s">
        <v>7</v>
      </c>
      <c r="W301" s="29" t="s">
        <v>163</v>
      </c>
      <c r="X301" s="29" t="s">
        <v>81</v>
      </c>
      <c r="Y301" s="36" t="s">
        <v>83</v>
      </c>
      <c r="Z301" s="36" t="s">
        <v>157</v>
      </c>
      <c r="AA301" s="36" t="s">
        <v>1159</v>
      </c>
      <c r="AB301" s="36"/>
      <c r="AC301" s="36"/>
      <c r="AD301" s="29" t="s">
        <v>119</v>
      </c>
      <c r="AE301" s="36" t="str">
        <f>_xlfn.XLOOKUP(表格1[[#This Row],[唯一識別碼]],API清冊0707!B:B,API清冊0707!T:T,"")&amp;""</f>
        <v>無下拉選單</v>
      </c>
    </row>
    <row r="302" spans="1:31" ht="204.75" customHeight="1" x14ac:dyDescent="0.4">
      <c r="A302" s="29" t="s">
        <v>1356</v>
      </c>
      <c r="B302" s="29"/>
      <c r="C302" s="29"/>
      <c r="D302" s="29" t="s">
        <v>1357</v>
      </c>
      <c r="E302" s="29" t="s">
        <v>1358</v>
      </c>
      <c r="F302" s="29" t="s">
        <v>1359</v>
      </c>
      <c r="G302" s="35"/>
      <c r="H302" s="35" t="s">
        <v>151</v>
      </c>
      <c r="I302" s="29" t="s">
        <v>1356</v>
      </c>
      <c r="J302" s="37"/>
      <c r="K302" s="38"/>
      <c r="L302" s="38"/>
      <c r="M302" s="36" t="s">
        <v>60</v>
      </c>
      <c r="N302" s="15" t="s">
        <v>152</v>
      </c>
      <c r="O302" s="36" t="s">
        <v>162</v>
      </c>
      <c r="P302" s="36" t="str">
        <f t="shared" si="8"/>
        <v>WMTS_1/1000地形圖_桃園市觀音都市計畫(113年)</v>
      </c>
      <c r="Q302" s="29" t="s">
        <v>1359</v>
      </c>
      <c r="R302" s="29" t="str">
        <f t="shared" si="9"/>
        <v>2dms_wmts_v1_TOPON1K_H20</v>
      </c>
      <c r="S302" s="39" t="s">
        <v>155</v>
      </c>
      <c r="U302" s="27" t="str">
        <f>_xlfn.XLOOKUP(表格1[[#This Row],[服務類別(英)]],參考2_服務標準對照!$B:$B,參考2_服務標準對照!$C:$C,"")&amp;""</f>
        <v>OGC</v>
      </c>
      <c r="V302" s="29" t="s">
        <v>7</v>
      </c>
      <c r="W302" s="29" t="s">
        <v>163</v>
      </c>
      <c r="X302" s="29" t="s">
        <v>81</v>
      </c>
      <c r="Y302" s="36" t="s">
        <v>83</v>
      </c>
      <c r="Z302" s="36" t="s">
        <v>157</v>
      </c>
      <c r="AA302" s="36" t="s">
        <v>1159</v>
      </c>
      <c r="AB302" s="36"/>
      <c r="AC302" s="36"/>
      <c r="AD302" s="29" t="s">
        <v>119</v>
      </c>
      <c r="AE302" s="36" t="str">
        <f>_xlfn.XLOOKUP(表格1[[#This Row],[唯一識別碼]],API清冊0707!B:B,API清冊0707!T:T,"")&amp;""</f>
        <v>無下拉選單</v>
      </c>
    </row>
    <row r="303" spans="1:31" ht="204.75" customHeight="1" x14ac:dyDescent="0.4">
      <c r="A303" s="29" t="s">
        <v>1360</v>
      </c>
      <c r="B303" s="29"/>
      <c r="C303" s="29"/>
      <c r="D303" s="29" t="s">
        <v>1361</v>
      </c>
      <c r="E303" s="29" t="s">
        <v>1362</v>
      </c>
      <c r="F303" s="29" t="s">
        <v>1363</v>
      </c>
      <c r="G303" s="35"/>
      <c r="H303" s="35" t="s">
        <v>151</v>
      </c>
      <c r="I303" s="29" t="s">
        <v>1360</v>
      </c>
      <c r="J303" s="37"/>
      <c r="K303" s="38"/>
      <c r="L303" s="38"/>
      <c r="M303" s="36" t="s">
        <v>60</v>
      </c>
      <c r="N303" s="15" t="s">
        <v>152</v>
      </c>
      <c r="O303" s="36" t="s">
        <v>162</v>
      </c>
      <c r="P303" s="36" t="str">
        <f t="shared" si="8"/>
        <v>WMTS_1/1000地形圖_桃園市新屋都市計畫(113年)</v>
      </c>
      <c r="Q303" s="29" t="s">
        <v>1363</v>
      </c>
      <c r="R303" s="29" t="str">
        <f t="shared" si="9"/>
        <v>2dms_wmts_v1_TOPON1K_H19</v>
      </c>
      <c r="S303" s="39" t="s">
        <v>155</v>
      </c>
      <c r="U303" s="27" t="str">
        <f>_xlfn.XLOOKUP(表格1[[#This Row],[服務類別(英)]],參考2_服務標準對照!$B:$B,參考2_服務標準對照!$C:$C,"")&amp;""</f>
        <v>OGC</v>
      </c>
      <c r="V303" s="29" t="s">
        <v>7</v>
      </c>
      <c r="W303" s="29" t="s">
        <v>163</v>
      </c>
      <c r="X303" s="29" t="s">
        <v>81</v>
      </c>
      <c r="Y303" s="36" t="s">
        <v>83</v>
      </c>
      <c r="Z303" s="36" t="s">
        <v>157</v>
      </c>
      <c r="AA303" s="36" t="s">
        <v>1159</v>
      </c>
      <c r="AB303" s="36"/>
      <c r="AC303" s="36"/>
      <c r="AD303" s="29" t="s">
        <v>119</v>
      </c>
      <c r="AE303" s="36" t="str">
        <f>_xlfn.XLOOKUP(表格1[[#This Row],[唯一識別碼]],API清冊0707!B:B,API清冊0707!T:T,"")&amp;""</f>
        <v>無下拉選單</v>
      </c>
    </row>
    <row r="304" spans="1:31" ht="204.75" customHeight="1" x14ac:dyDescent="0.4">
      <c r="A304" s="29" t="s">
        <v>1364</v>
      </c>
      <c r="B304" s="29"/>
      <c r="C304" s="29"/>
      <c r="D304" s="29" t="s">
        <v>1365</v>
      </c>
      <c r="E304" s="29" t="s">
        <v>1366</v>
      </c>
      <c r="F304" s="29" t="s">
        <v>1367</v>
      </c>
      <c r="G304" s="35"/>
      <c r="H304" s="35" t="s">
        <v>151</v>
      </c>
      <c r="I304" s="29" t="s">
        <v>1364</v>
      </c>
      <c r="J304" s="37"/>
      <c r="K304" s="38"/>
      <c r="L304" s="38"/>
      <c r="M304" s="36" t="s">
        <v>60</v>
      </c>
      <c r="N304" s="15" t="s">
        <v>152</v>
      </c>
      <c r="O304" s="36" t="s">
        <v>162</v>
      </c>
      <c r="P304" s="36" t="str">
        <f t="shared" si="8"/>
        <v>WMTS_1/1000地形圖_桃園市龍潭都市計畫(113年)</v>
      </c>
      <c r="Q304" s="29" t="s">
        <v>1367</v>
      </c>
      <c r="R304" s="29" t="str">
        <f t="shared" si="9"/>
        <v>2dms_wmts_v1_TOPON1K_H18</v>
      </c>
      <c r="S304" s="39" t="s">
        <v>155</v>
      </c>
      <c r="U304" s="27" t="str">
        <f>_xlfn.XLOOKUP(表格1[[#This Row],[服務類別(英)]],參考2_服務標準對照!$B:$B,參考2_服務標準對照!$C:$C,"")&amp;""</f>
        <v>OGC</v>
      </c>
      <c r="V304" s="29" t="s">
        <v>7</v>
      </c>
      <c r="W304" s="29" t="s">
        <v>163</v>
      </c>
      <c r="X304" s="29" t="s">
        <v>81</v>
      </c>
      <c r="Y304" s="36" t="s">
        <v>83</v>
      </c>
      <c r="Z304" s="36" t="s">
        <v>157</v>
      </c>
      <c r="AA304" s="36" t="s">
        <v>1159</v>
      </c>
      <c r="AB304" s="36"/>
      <c r="AC304" s="36"/>
      <c r="AD304" s="29" t="s">
        <v>119</v>
      </c>
      <c r="AE304" s="36" t="str">
        <f>_xlfn.XLOOKUP(表格1[[#This Row],[唯一識別碼]],API清冊0707!B:B,API清冊0707!T:T,"")&amp;""</f>
        <v>無下拉選單</v>
      </c>
    </row>
    <row r="305" spans="1:31" ht="204.75" customHeight="1" x14ac:dyDescent="0.4">
      <c r="A305" s="29" t="s">
        <v>1368</v>
      </c>
      <c r="B305" s="29"/>
      <c r="C305" s="29"/>
      <c r="D305" s="29" t="s">
        <v>1369</v>
      </c>
      <c r="E305" s="29" t="s">
        <v>1370</v>
      </c>
      <c r="F305" s="29" t="s">
        <v>1371</v>
      </c>
      <c r="G305" s="35"/>
      <c r="H305" s="35" t="s">
        <v>151</v>
      </c>
      <c r="I305" s="29" t="s">
        <v>1368</v>
      </c>
      <c r="J305" s="37"/>
      <c r="K305" s="38"/>
      <c r="L305" s="38"/>
      <c r="M305" s="36" t="s">
        <v>60</v>
      </c>
      <c r="N305" s="15" t="s">
        <v>152</v>
      </c>
      <c r="O305" s="36" t="s">
        <v>162</v>
      </c>
      <c r="P305" s="36" t="str">
        <f t="shared" si="8"/>
        <v>WMTS_1/1000地形圖_宜蘭縣政中心地區都市計畫(112年)</v>
      </c>
      <c r="Q305" s="29" t="s">
        <v>1371</v>
      </c>
      <c r="R305" s="29" t="str">
        <f t="shared" si="9"/>
        <v>2dms_wmts_v1_TOPON1K_G20</v>
      </c>
      <c r="S305" s="39" t="s">
        <v>155</v>
      </c>
      <c r="U305" s="27" t="str">
        <f>_xlfn.XLOOKUP(表格1[[#This Row],[服務類別(英)]],參考2_服務標準對照!$B:$B,參考2_服務標準對照!$C:$C,"")&amp;""</f>
        <v>OGC</v>
      </c>
      <c r="V305" s="29" t="s">
        <v>7</v>
      </c>
      <c r="W305" s="29" t="s">
        <v>163</v>
      </c>
      <c r="X305" s="29" t="s">
        <v>81</v>
      </c>
      <c r="Y305" s="36" t="s">
        <v>83</v>
      </c>
      <c r="Z305" s="36" t="s">
        <v>157</v>
      </c>
      <c r="AA305" s="36" t="s">
        <v>1159</v>
      </c>
      <c r="AB305" s="36"/>
      <c r="AC305" s="36"/>
      <c r="AD305" s="29" t="s">
        <v>119</v>
      </c>
      <c r="AE305" s="36" t="str">
        <f>_xlfn.XLOOKUP(表格1[[#This Row],[唯一識別碼]],API清冊0707!B:B,API清冊0707!T:T,"")&amp;""</f>
        <v>無下拉選單</v>
      </c>
    </row>
    <row r="306" spans="1:31" ht="204.75" customHeight="1" x14ac:dyDescent="0.4">
      <c r="A306" s="29" t="s">
        <v>1372</v>
      </c>
      <c r="B306" s="29"/>
      <c r="C306" s="29"/>
      <c r="D306" s="29" t="s">
        <v>1373</v>
      </c>
      <c r="E306" s="29" t="s">
        <v>1374</v>
      </c>
      <c r="F306" s="29" t="s">
        <v>1375</v>
      </c>
      <c r="G306" s="35"/>
      <c r="H306" s="35" t="s">
        <v>151</v>
      </c>
      <c r="I306" s="29" t="s">
        <v>1372</v>
      </c>
      <c r="J306" s="37"/>
      <c r="K306" s="38"/>
      <c r="L306" s="38"/>
      <c r="M306" s="36" t="s">
        <v>60</v>
      </c>
      <c r="N306" s="15" t="s">
        <v>152</v>
      </c>
      <c r="O306" s="36" t="s">
        <v>162</v>
      </c>
      <c r="P306" s="36" t="str">
        <f t="shared" si="8"/>
        <v>WMTS_1/1000地形圖_宜蘭縣五峰旗風景特定區計畫(112年)</v>
      </c>
      <c r="Q306" s="29" t="s">
        <v>1375</v>
      </c>
      <c r="R306" s="29" t="str">
        <f t="shared" si="9"/>
        <v>2dms_wmts_v1_TOPON1K_G19</v>
      </c>
      <c r="S306" s="39" t="s">
        <v>155</v>
      </c>
      <c r="U306" s="27" t="str">
        <f>_xlfn.XLOOKUP(表格1[[#This Row],[服務類別(英)]],參考2_服務標準對照!$B:$B,參考2_服務標準對照!$C:$C,"")&amp;""</f>
        <v>OGC</v>
      </c>
      <c r="V306" s="29" t="s">
        <v>7</v>
      </c>
      <c r="W306" s="29" t="s">
        <v>163</v>
      </c>
      <c r="X306" s="29" t="s">
        <v>81</v>
      </c>
      <c r="Y306" s="36" t="s">
        <v>83</v>
      </c>
      <c r="Z306" s="36" t="s">
        <v>157</v>
      </c>
      <c r="AA306" s="36" t="s">
        <v>1159</v>
      </c>
      <c r="AB306" s="36"/>
      <c r="AC306" s="36"/>
      <c r="AD306" s="29" t="s">
        <v>119</v>
      </c>
      <c r="AE306" s="36" t="str">
        <f>_xlfn.XLOOKUP(表格1[[#This Row],[唯一識別碼]],API清冊0707!B:B,API清冊0707!T:T,"")&amp;""</f>
        <v>無下拉選單</v>
      </c>
    </row>
    <row r="307" spans="1:31" ht="204.75" customHeight="1" x14ac:dyDescent="0.4">
      <c r="A307" s="29" t="s">
        <v>1376</v>
      </c>
      <c r="B307" s="29"/>
      <c r="C307" s="29"/>
      <c r="D307" s="29" t="s">
        <v>1377</v>
      </c>
      <c r="E307" s="29" t="s">
        <v>1378</v>
      </c>
      <c r="F307" s="29" t="s">
        <v>1379</v>
      </c>
      <c r="G307" s="35"/>
      <c r="H307" s="35" t="s">
        <v>151</v>
      </c>
      <c r="I307" s="29" t="s">
        <v>1376</v>
      </c>
      <c r="J307" s="37"/>
      <c r="K307" s="38"/>
      <c r="L307" s="38"/>
      <c r="M307" s="36" t="s">
        <v>60</v>
      </c>
      <c r="N307" s="15" t="s">
        <v>152</v>
      </c>
      <c r="O307" s="36" t="s">
        <v>162</v>
      </c>
      <c r="P307" s="36" t="str">
        <f t="shared" si="8"/>
        <v>WMTS_1/1000地形圖_宜蘭縣龍潭湖風景特定區計畫(112年)</v>
      </c>
      <c r="Q307" s="29" t="s">
        <v>1379</v>
      </c>
      <c r="R307" s="29" t="str">
        <f t="shared" si="9"/>
        <v>2dms_wmts_v1_TOPON1K_G18</v>
      </c>
      <c r="S307" s="39" t="s">
        <v>155</v>
      </c>
      <c r="U307" s="27" t="str">
        <f>_xlfn.XLOOKUP(表格1[[#This Row],[服務類別(英)]],參考2_服務標準對照!$B:$B,參考2_服務標準對照!$C:$C,"")&amp;""</f>
        <v>OGC</v>
      </c>
      <c r="V307" s="29" t="s">
        <v>7</v>
      </c>
      <c r="W307" s="29" t="s">
        <v>163</v>
      </c>
      <c r="X307" s="29" t="s">
        <v>81</v>
      </c>
      <c r="Y307" s="36" t="s">
        <v>83</v>
      </c>
      <c r="Z307" s="36" t="s">
        <v>157</v>
      </c>
      <c r="AA307" s="36" t="s">
        <v>1159</v>
      </c>
      <c r="AB307" s="36"/>
      <c r="AC307" s="36"/>
      <c r="AD307" s="29" t="s">
        <v>119</v>
      </c>
      <c r="AE307" s="36" t="str">
        <f>_xlfn.XLOOKUP(表格1[[#This Row],[唯一識別碼]],API清冊0707!B:B,API清冊0707!T:T,"")&amp;""</f>
        <v>無下拉選單</v>
      </c>
    </row>
    <row r="308" spans="1:31" ht="204.75" customHeight="1" x14ac:dyDescent="0.4">
      <c r="A308" s="29" t="s">
        <v>1380</v>
      </c>
      <c r="B308" s="29"/>
      <c r="C308" s="29"/>
      <c r="D308" s="29" t="s">
        <v>1381</v>
      </c>
      <c r="E308" s="29" t="s">
        <v>1382</v>
      </c>
      <c r="F308" s="29" t="s">
        <v>1383</v>
      </c>
      <c r="G308" s="35"/>
      <c r="H308" s="35" t="s">
        <v>151</v>
      </c>
      <c r="I308" s="29" t="s">
        <v>1380</v>
      </c>
      <c r="J308" s="37"/>
      <c r="K308" s="38"/>
      <c r="L308" s="38"/>
      <c r="M308" s="36" t="s">
        <v>60</v>
      </c>
      <c r="N308" s="15" t="s">
        <v>152</v>
      </c>
      <c r="O308" s="36" t="s">
        <v>162</v>
      </c>
      <c r="P308" s="36" t="str">
        <f t="shared" si="8"/>
        <v>WMTS_1/1000地形圖_宜蘭縣梅花湖風景特定區計畫(112年)</v>
      </c>
      <c r="Q308" s="29" t="s">
        <v>1383</v>
      </c>
      <c r="R308" s="29" t="str">
        <f t="shared" si="9"/>
        <v>2dms_wmts_v1_TOPON1K_G17</v>
      </c>
      <c r="S308" s="39" t="s">
        <v>155</v>
      </c>
      <c r="U308" s="27" t="str">
        <f>_xlfn.XLOOKUP(表格1[[#This Row],[服務類別(英)]],參考2_服務標準對照!$B:$B,參考2_服務標準對照!$C:$C,"")&amp;""</f>
        <v>OGC</v>
      </c>
      <c r="V308" s="29" t="s">
        <v>7</v>
      </c>
      <c r="W308" s="29" t="s">
        <v>163</v>
      </c>
      <c r="X308" s="29" t="s">
        <v>81</v>
      </c>
      <c r="Y308" s="36" t="s">
        <v>83</v>
      </c>
      <c r="Z308" s="36" t="s">
        <v>157</v>
      </c>
      <c r="AA308" s="36" t="s">
        <v>1159</v>
      </c>
      <c r="AB308" s="36"/>
      <c r="AC308" s="36"/>
      <c r="AD308" s="29" t="s">
        <v>119</v>
      </c>
      <c r="AE308" s="36" t="str">
        <f>_xlfn.XLOOKUP(表格1[[#This Row],[唯一識別碼]],API清冊0707!B:B,API清冊0707!T:T,"")&amp;""</f>
        <v>無下拉選單</v>
      </c>
    </row>
    <row r="309" spans="1:31" ht="204.75" customHeight="1" x14ac:dyDescent="0.4">
      <c r="A309" s="29" t="s">
        <v>1384</v>
      </c>
      <c r="B309" s="29"/>
      <c r="C309" s="29"/>
      <c r="D309" s="29" t="s">
        <v>1385</v>
      </c>
      <c r="E309" s="29" t="s">
        <v>1386</v>
      </c>
      <c r="F309" s="29" t="s">
        <v>1387</v>
      </c>
      <c r="G309" s="35"/>
      <c r="H309" s="35" t="s">
        <v>151</v>
      </c>
      <c r="I309" s="29" t="s">
        <v>1384</v>
      </c>
      <c r="J309" s="37"/>
      <c r="K309" s="38"/>
      <c r="L309" s="38"/>
      <c r="M309" s="36" t="s">
        <v>60</v>
      </c>
      <c r="N309" s="15" t="s">
        <v>152</v>
      </c>
      <c r="O309" s="36" t="s">
        <v>162</v>
      </c>
      <c r="P309" s="36" t="str">
        <f t="shared" si="8"/>
        <v>WMTS_1/1000地形圖_宜蘭縣大湖風景特定區計畫(112年)</v>
      </c>
      <c r="Q309" s="29" t="s">
        <v>1387</v>
      </c>
      <c r="R309" s="29" t="str">
        <f t="shared" si="9"/>
        <v>2dms_wmts_v1_TOPON1K_G16</v>
      </c>
      <c r="S309" s="39" t="s">
        <v>155</v>
      </c>
      <c r="U309" s="27" t="str">
        <f>_xlfn.XLOOKUP(表格1[[#This Row],[服務類別(英)]],參考2_服務標準對照!$B:$B,參考2_服務標準對照!$C:$C,"")&amp;""</f>
        <v>OGC</v>
      </c>
      <c r="V309" s="29" t="s">
        <v>7</v>
      </c>
      <c r="W309" s="29" t="s">
        <v>163</v>
      </c>
      <c r="X309" s="29" t="s">
        <v>81</v>
      </c>
      <c r="Y309" s="36" t="s">
        <v>83</v>
      </c>
      <c r="Z309" s="36" t="s">
        <v>157</v>
      </c>
      <c r="AA309" s="36" t="s">
        <v>1159</v>
      </c>
      <c r="AB309" s="36"/>
      <c r="AC309" s="36"/>
      <c r="AD309" s="29" t="s">
        <v>119</v>
      </c>
      <c r="AE309" s="36" t="str">
        <f>_xlfn.XLOOKUP(表格1[[#This Row],[唯一識別碼]],API清冊0707!B:B,API清冊0707!T:T,"")&amp;""</f>
        <v>無下拉選單</v>
      </c>
    </row>
    <row r="310" spans="1:31" ht="204.75" customHeight="1" x14ac:dyDescent="0.4">
      <c r="A310" s="29" t="s">
        <v>1388</v>
      </c>
      <c r="B310" s="29"/>
      <c r="C310" s="29"/>
      <c r="D310" s="29" t="s">
        <v>1389</v>
      </c>
      <c r="E310" s="29" t="s">
        <v>1390</v>
      </c>
      <c r="F310" s="29" t="s">
        <v>1391</v>
      </c>
      <c r="G310" s="35"/>
      <c r="H310" s="35" t="s">
        <v>151</v>
      </c>
      <c r="I310" s="29" t="s">
        <v>1388</v>
      </c>
      <c r="J310" s="37"/>
      <c r="K310" s="38"/>
      <c r="L310" s="38"/>
      <c r="M310" s="36" t="s">
        <v>60</v>
      </c>
      <c r="N310" s="15" t="s">
        <v>152</v>
      </c>
      <c r="O310" s="36" t="s">
        <v>162</v>
      </c>
      <c r="P310" s="36" t="str">
        <f t="shared" si="8"/>
        <v>WMTS_1/1000地形圖_宜蘭縣南澳南強都市計畫(112年)</v>
      </c>
      <c r="Q310" s="29" t="s">
        <v>1391</v>
      </c>
      <c r="R310" s="29" t="str">
        <f t="shared" si="9"/>
        <v>2dms_wmts_v1_TOPON1K_G15</v>
      </c>
      <c r="S310" s="39" t="s">
        <v>155</v>
      </c>
      <c r="U310" s="27" t="str">
        <f>_xlfn.XLOOKUP(表格1[[#This Row],[服務類別(英)]],參考2_服務標準對照!$B:$B,參考2_服務標準對照!$C:$C,"")&amp;""</f>
        <v>OGC</v>
      </c>
      <c r="V310" s="29" t="s">
        <v>7</v>
      </c>
      <c r="W310" s="29" t="s">
        <v>163</v>
      </c>
      <c r="X310" s="29" t="s">
        <v>81</v>
      </c>
      <c r="Y310" s="36" t="s">
        <v>83</v>
      </c>
      <c r="Z310" s="36" t="s">
        <v>157</v>
      </c>
      <c r="AA310" s="36" t="s">
        <v>1159</v>
      </c>
      <c r="AB310" s="36"/>
      <c r="AC310" s="36"/>
      <c r="AD310" s="29" t="s">
        <v>119</v>
      </c>
      <c r="AE310" s="36" t="str">
        <f>_xlfn.XLOOKUP(表格1[[#This Row],[唯一識別碼]],API清冊0707!B:B,API清冊0707!T:T,"")&amp;""</f>
        <v>無下拉選單</v>
      </c>
    </row>
    <row r="311" spans="1:31" ht="204.75" customHeight="1" x14ac:dyDescent="0.4">
      <c r="A311" s="29" t="s">
        <v>1392</v>
      </c>
      <c r="B311" s="29"/>
      <c r="C311" s="29"/>
      <c r="D311" s="29" t="s">
        <v>1393</v>
      </c>
      <c r="E311" s="29" t="s">
        <v>1394</v>
      </c>
      <c r="F311" s="29" t="s">
        <v>1395</v>
      </c>
      <c r="G311" s="35"/>
      <c r="H311" s="35" t="s">
        <v>151</v>
      </c>
      <c r="I311" s="29" t="s">
        <v>1392</v>
      </c>
      <c r="J311" s="37"/>
      <c r="K311" s="38"/>
      <c r="L311" s="38"/>
      <c r="M311" s="36" t="s">
        <v>60</v>
      </c>
      <c r="N311" s="15" t="s">
        <v>152</v>
      </c>
      <c r="O311" s="36" t="s">
        <v>162</v>
      </c>
      <c r="P311" s="36" t="str">
        <f t="shared" ref="P311:P374" si="10">IF(LEN(TRIM(F311))&gt;0,F311,E311)</f>
        <v>WMTS_1/1000地形圖_宜蘭縣冬山(順安地區)都市計畫(112年)</v>
      </c>
      <c r="Q311" s="29" t="s">
        <v>1395</v>
      </c>
      <c r="R311" s="29" t="str">
        <f t="shared" ref="R311:R374" si="11">D311</f>
        <v>2dms_wmts_v1_TOPON1K_G11</v>
      </c>
      <c r="S311" s="39" t="s">
        <v>155</v>
      </c>
      <c r="U311" s="27" t="str">
        <f>_xlfn.XLOOKUP(表格1[[#This Row],[服務類別(英)]],參考2_服務標準對照!$B:$B,參考2_服務標準對照!$C:$C,"")&amp;""</f>
        <v>OGC</v>
      </c>
      <c r="V311" s="29" t="s">
        <v>7</v>
      </c>
      <c r="W311" s="29" t="s">
        <v>163</v>
      </c>
      <c r="X311" s="29" t="s">
        <v>81</v>
      </c>
      <c r="Y311" s="36" t="s">
        <v>83</v>
      </c>
      <c r="Z311" s="36" t="s">
        <v>157</v>
      </c>
      <c r="AA311" s="36" t="s">
        <v>1159</v>
      </c>
      <c r="AB311" s="36"/>
      <c r="AC311" s="36"/>
      <c r="AD311" s="29" t="s">
        <v>119</v>
      </c>
      <c r="AE311" s="36" t="str">
        <f>_xlfn.XLOOKUP(表格1[[#This Row],[唯一識別碼]],API清冊0707!B:B,API清冊0707!T:T,"")&amp;""</f>
        <v>無下拉選單</v>
      </c>
    </row>
    <row r="312" spans="1:31" ht="204.75" customHeight="1" x14ac:dyDescent="0.4">
      <c r="A312" s="29" t="s">
        <v>1396</v>
      </c>
      <c r="B312" s="29"/>
      <c r="C312" s="29"/>
      <c r="D312" s="29" t="s">
        <v>1397</v>
      </c>
      <c r="E312" s="29" t="s">
        <v>1398</v>
      </c>
      <c r="F312" s="29" t="s">
        <v>1399</v>
      </c>
      <c r="G312" s="35"/>
      <c r="H312" s="35" t="s">
        <v>151</v>
      </c>
      <c r="I312" s="29" t="s">
        <v>1396</v>
      </c>
      <c r="J312" s="37"/>
      <c r="K312" s="38"/>
      <c r="L312" s="38"/>
      <c r="M312" s="36" t="s">
        <v>60</v>
      </c>
      <c r="N312" s="15" t="s">
        <v>152</v>
      </c>
      <c r="O312" s="36" t="s">
        <v>162</v>
      </c>
      <c r="P312" s="36" t="str">
        <f t="shared" si="10"/>
        <v>WMTS_1/1000地形圖_宜蘭縣員山都市計畫(112年)</v>
      </c>
      <c r="Q312" s="29" t="s">
        <v>1399</v>
      </c>
      <c r="R312" s="29" t="str">
        <f t="shared" si="11"/>
        <v>2dms_wmts_v1_TOPON1K_G09</v>
      </c>
      <c r="S312" s="39" t="s">
        <v>155</v>
      </c>
      <c r="U312" s="27" t="str">
        <f>_xlfn.XLOOKUP(表格1[[#This Row],[服務類別(英)]],參考2_服務標準對照!$B:$B,參考2_服務標準對照!$C:$C,"")&amp;""</f>
        <v>OGC</v>
      </c>
      <c r="V312" s="29" t="s">
        <v>7</v>
      </c>
      <c r="W312" s="29" t="s">
        <v>163</v>
      </c>
      <c r="X312" s="29" t="s">
        <v>81</v>
      </c>
      <c r="Y312" s="36" t="s">
        <v>83</v>
      </c>
      <c r="Z312" s="36" t="s">
        <v>157</v>
      </c>
      <c r="AA312" s="36" t="s">
        <v>1159</v>
      </c>
      <c r="AB312" s="36"/>
      <c r="AC312" s="36"/>
      <c r="AD312" s="29" t="s">
        <v>119</v>
      </c>
      <c r="AE312" s="36" t="str">
        <f>_xlfn.XLOOKUP(表格1[[#This Row],[唯一識別碼]],API清冊0707!B:B,API清冊0707!T:T,"")&amp;""</f>
        <v>無下拉選單</v>
      </c>
    </row>
    <row r="313" spans="1:31" ht="204.75" customHeight="1" x14ac:dyDescent="0.4">
      <c r="A313" s="29" t="s">
        <v>1400</v>
      </c>
      <c r="B313" s="29"/>
      <c r="C313" s="29"/>
      <c r="D313" s="29" t="s">
        <v>1401</v>
      </c>
      <c r="E313" s="29" t="s">
        <v>1402</v>
      </c>
      <c r="F313" s="29" t="s">
        <v>1403</v>
      </c>
      <c r="G313" s="35"/>
      <c r="H313" s="35" t="s">
        <v>151</v>
      </c>
      <c r="I313" s="29" t="s">
        <v>1400</v>
      </c>
      <c r="J313" s="37"/>
      <c r="K313" s="38"/>
      <c r="L313" s="38"/>
      <c r="M313" s="36" t="s">
        <v>60</v>
      </c>
      <c r="N313" s="15" t="s">
        <v>152</v>
      </c>
      <c r="O313" s="36" t="s">
        <v>162</v>
      </c>
      <c r="P313" s="36" t="str">
        <f t="shared" si="10"/>
        <v>WMTS_1/1000地形圖_宜蘭縣礁溪都市計畫(112年)</v>
      </c>
      <c r="Q313" s="29" t="s">
        <v>1403</v>
      </c>
      <c r="R313" s="29" t="str">
        <f t="shared" si="11"/>
        <v>2dms_wmts_v1_TOPON1K_G06</v>
      </c>
      <c r="S313" s="39" t="s">
        <v>155</v>
      </c>
      <c r="U313" s="27" t="str">
        <f>_xlfn.XLOOKUP(表格1[[#This Row],[服務類別(英)]],參考2_服務標準對照!$B:$B,參考2_服務標準對照!$C:$C,"")&amp;""</f>
        <v>OGC</v>
      </c>
      <c r="V313" s="29" t="s">
        <v>7</v>
      </c>
      <c r="W313" s="29" t="s">
        <v>163</v>
      </c>
      <c r="X313" s="29" t="s">
        <v>81</v>
      </c>
      <c r="Y313" s="36" t="s">
        <v>83</v>
      </c>
      <c r="Z313" s="36" t="s">
        <v>157</v>
      </c>
      <c r="AA313" s="36" t="s">
        <v>1159</v>
      </c>
      <c r="AB313" s="36"/>
      <c r="AC313" s="36"/>
      <c r="AD313" s="29" t="s">
        <v>119</v>
      </c>
      <c r="AE313" s="36" t="str">
        <f>_xlfn.XLOOKUP(表格1[[#This Row],[唯一識別碼]],API清冊0707!B:B,API清冊0707!T:T,"")&amp;""</f>
        <v>無下拉選單</v>
      </c>
    </row>
    <row r="314" spans="1:31" ht="204.75" customHeight="1" x14ac:dyDescent="0.4">
      <c r="A314" s="29" t="s">
        <v>1404</v>
      </c>
      <c r="B314" s="29"/>
      <c r="C314" s="29"/>
      <c r="D314" s="29" t="s">
        <v>1405</v>
      </c>
      <c r="E314" s="29" t="s">
        <v>1406</v>
      </c>
      <c r="F314" s="29" t="s">
        <v>1407</v>
      </c>
      <c r="G314" s="35"/>
      <c r="H314" s="35" t="s">
        <v>151</v>
      </c>
      <c r="I314" s="29" t="s">
        <v>1404</v>
      </c>
      <c r="J314" s="37"/>
      <c r="K314" s="38"/>
      <c r="L314" s="38"/>
      <c r="M314" s="36" t="s">
        <v>60</v>
      </c>
      <c r="N314" s="15" t="s">
        <v>152</v>
      </c>
      <c r="O314" s="36" t="s">
        <v>162</v>
      </c>
      <c r="P314" s="36" t="str">
        <f t="shared" si="10"/>
        <v>WMTS_1/1000地形圖_宜蘭縣蘇澳(新馬地區)都市計畫(112年)</v>
      </c>
      <c r="Q314" s="29" t="s">
        <v>1407</v>
      </c>
      <c r="R314" s="29" t="str">
        <f t="shared" si="11"/>
        <v>2dms_wmts_v1_TOPON1K_G04</v>
      </c>
      <c r="S314" s="39" t="s">
        <v>155</v>
      </c>
      <c r="U314" s="27" t="str">
        <f>_xlfn.XLOOKUP(表格1[[#This Row],[服務類別(英)]],參考2_服務標準對照!$B:$B,參考2_服務標準對照!$C:$C,"")&amp;""</f>
        <v>OGC</v>
      </c>
      <c r="V314" s="29" t="s">
        <v>7</v>
      </c>
      <c r="W314" s="29" t="s">
        <v>163</v>
      </c>
      <c r="X314" s="29" t="s">
        <v>81</v>
      </c>
      <c r="Y314" s="36" t="s">
        <v>83</v>
      </c>
      <c r="Z314" s="36" t="s">
        <v>157</v>
      </c>
      <c r="AA314" s="36" t="s">
        <v>1159</v>
      </c>
      <c r="AB314" s="36"/>
      <c r="AC314" s="36"/>
      <c r="AD314" s="29" t="s">
        <v>119</v>
      </c>
      <c r="AE314" s="36" t="str">
        <f>_xlfn.XLOOKUP(表格1[[#This Row],[唯一識別碼]],API清冊0707!B:B,API清冊0707!T:T,"")&amp;""</f>
        <v>無下拉選單</v>
      </c>
    </row>
    <row r="315" spans="1:31" ht="204.75" customHeight="1" x14ac:dyDescent="0.4">
      <c r="A315" s="29" t="s">
        <v>1408</v>
      </c>
      <c r="B315" s="29"/>
      <c r="C315" s="29"/>
      <c r="D315" s="29" t="s">
        <v>1409</v>
      </c>
      <c r="E315" s="29" t="s">
        <v>1410</v>
      </c>
      <c r="F315" s="29" t="s">
        <v>1411</v>
      </c>
      <c r="G315" s="35"/>
      <c r="H315" s="35" t="s">
        <v>151</v>
      </c>
      <c r="I315" s="29" t="s">
        <v>1408</v>
      </c>
      <c r="J315" s="37"/>
      <c r="K315" s="38"/>
      <c r="L315" s="38"/>
      <c r="M315" s="36" t="s">
        <v>60</v>
      </c>
      <c r="N315" s="15" t="s">
        <v>152</v>
      </c>
      <c r="O315" s="36" t="s">
        <v>162</v>
      </c>
      <c r="P315" s="36" t="str">
        <f t="shared" si="10"/>
        <v>WMTS_1/1000地形圖_宜蘭縣宜蘭市都市計畫(113年)</v>
      </c>
      <c r="Q315" s="29" t="s">
        <v>1411</v>
      </c>
      <c r="R315" s="29" t="str">
        <f t="shared" si="11"/>
        <v>2dms_wmts_v1_TOPON1K_G01</v>
      </c>
      <c r="S315" s="39" t="s">
        <v>155</v>
      </c>
      <c r="U315" s="27" t="str">
        <f>_xlfn.XLOOKUP(表格1[[#This Row],[服務類別(英)]],參考2_服務標準對照!$B:$B,參考2_服務標準對照!$C:$C,"")&amp;""</f>
        <v>OGC</v>
      </c>
      <c r="V315" s="29" t="s">
        <v>7</v>
      </c>
      <c r="W315" s="29" t="s">
        <v>163</v>
      </c>
      <c r="X315" s="29" t="s">
        <v>81</v>
      </c>
      <c r="Y315" s="36" t="s">
        <v>83</v>
      </c>
      <c r="Z315" s="36" t="s">
        <v>157</v>
      </c>
      <c r="AA315" s="36" t="s">
        <v>1159</v>
      </c>
      <c r="AB315" s="36"/>
      <c r="AC315" s="36"/>
      <c r="AD315" s="29" t="s">
        <v>119</v>
      </c>
      <c r="AE315" s="36" t="str">
        <f>_xlfn.XLOOKUP(表格1[[#This Row],[唯一識別碼]],API清冊0707!B:B,API清冊0707!T:T,"")&amp;""</f>
        <v>無下拉選單</v>
      </c>
    </row>
    <row r="316" spans="1:31" ht="204.75" customHeight="1" x14ac:dyDescent="0.4">
      <c r="A316" s="29" t="s">
        <v>1412</v>
      </c>
      <c r="B316" s="29"/>
      <c r="C316" s="29"/>
      <c r="D316" s="29" t="s">
        <v>1413</v>
      </c>
      <c r="E316" s="29" t="s">
        <v>1414</v>
      </c>
      <c r="F316" s="29" t="s">
        <v>1415</v>
      </c>
      <c r="G316" s="35"/>
      <c r="H316" s="35" t="s">
        <v>151</v>
      </c>
      <c r="I316" s="29" t="s">
        <v>1412</v>
      </c>
      <c r="J316" s="37"/>
      <c r="K316" s="38"/>
      <c r="L316" s="38"/>
      <c r="M316" s="36" t="s">
        <v>60</v>
      </c>
      <c r="N316" s="15" t="s">
        <v>152</v>
      </c>
      <c r="O316" s="36" t="s">
        <v>162</v>
      </c>
      <c r="P316" s="36" t="str">
        <f t="shared" si="10"/>
        <v>WMTS_1/1000地形圖_高雄市(三民.苓雅.前金.新興.前鎮.鹽埕)都市計畫(113年)</v>
      </c>
      <c r="Q316" s="29" t="s">
        <v>1415</v>
      </c>
      <c r="R316" s="29" t="str">
        <f t="shared" si="11"/>
        <v>2dms_wmts_v1_TOPON1K_E32</v>
      </c>
      <c r="S316" s="39" t="s">
        <v>155</v>
      </c>
      <c r="U316" s="27" t="str">
        <f>_xlfn.XLOOKUP(表格1[[#This Row],[服務類別(英)]],參考2_服務標準對照!$B:$B,參考2_服務標準對照!$C:$C,"")&amp;""</f>
        <v>OGC</v>
      </c>
      <c r="V316" s="29" t="s">
        <v>7</v>
      </c>
      <c r="W316" s="29" t="s">
        <v>163</v>
      </c>
      <c r="X316" s="29" t="s">
        <v>81</v>
      </c>
      <c r="Y316" s="36" t="s">
        <v>83</v>
      </c>
      <c r="Z316" s="36" t="s">
        <v>157</v>
      </c>
      <c r="AA316" s="36" t="s">
        <v>1159</v>
      </c>
      <c r="AB316" s="36"/>
      <c r="AC316" s="36"/>
      <c r="AD316" s="29" t="s">
        <v>119</v>
      </c>
      <c r="AE316" s="36" t="str">
        <f>_xlfn.XLOOKUP(表格1[[#This Row],[唯一識別碼]],API清冊0707!B:B,API清冊0707!T:T,"")&amp;""</f>
        <v>無下拉選單</v>
      </c>
    </row>
    <row r="317" spans="1:31" ht="204.75" customHeight="1" x14ac:dyDescent="0.4">
      <c r="A317" s="29" t="s">
        <v>1416</v>
      </c>
      <c r="B317" s="29"/>
      <c r="C317" s="29"/>
      <c r="D317" s="29" t="s">
        <v>1417</v>
      </c>
      <c r="E317" s="29" t="s">
        <v>1418</v>
      </c>
      <c r="F317" s="29" t="s">
        <v>1419</v>
      </c>
      <c r="G317" s="35"/>
      <c r="H317" s="35" t="s">
        <v>151</v>
      </c>
      <c r="I317" s="29" t="s">
        <v>1416</v>
      </c>
      <c r="J317" s="37"/>
      <c r="K317" s="38"/>
      <c r="L317" s="38"/>
      <c r="M317" s="36" t="s">
        <v>60</v>
      </c>
      <c r="N317" s="15" t="s">
        <v>152</v>
      </c>
      <c r="O317" s="36" t="s">
        <v>162</v>
      </c>
      <c r="P317" s="36" t="str">
        <f t="shared" si="10"/>
        <v>WMTS_1/1000地形圖_高雄市岡山都市計畫(112年)</v>
      </c>
      <c r="Q317" s="29" t="s">
        <v>1419</v>
      </c>
      <c r="R317" s="29" t="str">
        <f t="shared" si="11"/>
        <v>2dms_wmts_v1_TOPON1K_E03</v>
      </c>
      <c r="S317" s="39" t="s">
        <v>155</v>
      </c>
      <c r="U317" s="27" t="str">
        <f>_xlfn.XLOOKUP(表格1[[#This Row],[服務類別(英)]],參考2_服務標準對照!$B:$B,參考2_服務標準對照!$C:$C,"")&amp;""</f>
        <v>OGC</v>
      </c>
      <c r="V317" s="29" t="s">
        <v>7</v>
      </c>
      <c r="W317" s="29" t="s">
        <v>163</v>
      </c>
      <c r="X317" s="29" t="s">
        <v>81</v>
      </c>
      <c r="Y317" s="36" t="s">
        <v>83</v>
      </c>
      <c r="Z317" s="36" t="s">
        <v>157</v>
      </c>
      <c r="AA317" s="36" t="s">
        <v>1159</v>
      </c>
      <c r="AB317" s="36"/>
      <c r="AC317" s="36"/>
      <c r="AD317" s="29" t="s">
        <v>119</v>
      </c>
      <c r="AE317" s="36" t="str">
        <f>_xlfn.XLOOKUP(表格1[[#This Row],[唯一識別碼]],API清冊0707!B:B,API清冊0707!T:T,"")&amp;""</f>
        <v>無下拉選單</v>
      </c>
    </row>
    <row r="318" spans="1:31" ht="204.75" customHeight="1" x14ac:dyDescent="0.4">
      <c r="A318" s="29" t="s">
        <v>1420</v>
      </c>
      <c r="B318" s="29"/>
      <c r="C318" s="29"/>
      <c r="D318" s="29" t="s">
        <v>1421</v>
      </c>
      <c r="E318" s="29" t="s">
        <v>1422</v>
      </c>
      <c r="F318" s="29" t="s">
        <v>1423</v>
      </c>
      <c r="G318" s="35"/>
      <c r="H318" s="35" t="s">
        <v>151</v>
      </c>
      <c r="I318" s="29" t="s">
        <v>1420</v>
      </c>
      <c r="J318" s="37"/>
      <c r="K318" s="38"/>
      <c r="L318" s="38"/>
      <c r="M318" s="36" t="s">
        <v>60</v>
      </c>
      <c r="N318" s="15" t="s">
        <v>152</v>
      </c>
      <c r="O318" s="36" t="s">
        <v>162</v>
      </c>
      <c r="P318" s="36" t="str">
        <f t="shared" si="10"/>
        <v>WMTS_1/1000地形圖_高雄市鳳山都市計畫(113年)</v>
      </c>
      <c r="Q318" s="29" t="s">
        <v>1423</v>
      </c>
      <c r="R318" s="29" t="str">
        <f t="shared" si="11"/>
        <v>2dms_wmts_v1_TOPON1K_E02</v>
      </c>
      <c r="S318" s="39" t="s">
        <v>155</v>
      </c>
      <c r="U318" s="27" t="str">
        <f>_xlfn.XLOOKUP(表格1[[#This Row],[服務類別(英)]],參考2_服務標準對照!$B:$B,參考2_服務標準對照!$C:$C,"")&amp;""</f>
        <v>OGC</v>
      </c>
      <c r="V318" s="29" t="s">
        <v>7</v>
      </c>
      <c r="W318" s="29" t="s">
        <v>163</v>
      </c>
      <c r="X318" s="29" t="s">
        <v>81</v>
      </c>
      <c r="Y318" s="36" t="s">
        <v>83</v>
      </c>
      <c r="Z318" s="36" t="s">
        <v>157</v>
      </c>
      <c r="AA318" s="36" t="s">
        <v>1159</v>
      </c>
      <c r="AB318" s="36"/>
      <c r="AC318" s="36"/>
      <c r="AD318" s="29" t="s">
        <v>119</v>
      </c>
      <c r="AE318" s="36" t="str">
        <f>_xlfn.XLOOKUP(表格1[[#This Row],[唯一識別碼]],API清冊0707!B:B,API清冊0707!T:T,"")&amp;""</f>
        <v>無下拉選單</v>
      </c>
    </row>
    <row r="319" spans="1:31" ht="204.75" customHeight="1" x14ac:dyDescent="0.4">
      <c r="A319" s="29" t="s">
        <v>1424</v>
      </c>
      <c r="B319" s="29"/>
      <c r="C319" s="29"/>
      <c r="D319" s="29" t="s">
        <v>1425</v>
      </c>
      <c r="E319" s="29" t="s">
        <v>1426</v>
      </c>
      <c r="F319" s="29" t="s">
        <v>1427</v>
      </c>
      <c r="G319" s="35"/>
      <c r="H319" s="35" t="s">
        <v>151</v>
      </c>
      <c r="I319" s="29" t="s">
        <v>1424</v>
      </c>
      <c r="J319" s="37"/>
      <c r="K319" s="38"/>
      <c r="L319" s="38"/>
      <c r="M319" s="36" t="s">
        <v>60</v>
      </c>
      <c r="N319" s="15" t="s">
        <v>152</v>
      </c>
      <c r="O319" s="36" t="s">
        <v>162</v>
      </c>
      <c r="P319" s="36" t="str">
        <f t="shared" si="10"/>
        <v>WMTS_1/1000地形圖_臺南市柳營都市計畫(112年)</v>
      </c>
      <c r="Q319" s="29" t="s">
        <v>1427</v>
      </c>
      <c r="R319" s="29" t="str">
        <f t="shared" si="11"/>
        <v>2dms_wmts_v1_TOPON1K_D12</v>
      </c>
      <c r="S319" s="39" t="s">
        <v>155</v>
      </c>
      <c r="U319" s="27" t="str">
        <f>_xlfn.XLOOKUP(表格1[[#This Row],[服務類別(英)]],參考2_服務標準對照!$B:$B,參考2_服務標準對照!$C:$C,"")&amp;""</f>
        <v>OGC</v>
      </c>
      <c r="V319" s="29" t="s">
        <v>7</v>
      </c>
      <c r="W319" s="29" t="s">
        <v>163</v>
      </c>
      <c r="X319" s="29" t="s">
        <v>81</v>
      </c>
      <c r="Y319" s="36" t="s">
        <v>83</v>
      </c>
      <c r="Z319" s="36" t="s">
        <v>157</v>
      </c>
      <c r="AA319" s="36" t="s">
        <v>1159</v>
      </c>
      <c r="AB319" s="36"/>
      <c r="AC319" s="36"/>
      <c r="AD319" s="29" t="s">
        <v>119</v>
      </c>
      <c r="AE319" s="36" t="str">
        <f>_xlfn.XLOOKUP(表格1[[#This Row],[唯一識別碼]],API清冊0707!B:B,API清冊0707!T:T,"")&amp;""</f>
        <v>無下拉選單</v>
      </c>
    </row>
    <row r="320" spans="1:31" ht="204.75" customHeight="1" x14ac:dyDescent="0.4">
      <c r="A320" s="29" t="s">
        <v>1428</v>
      </c>
      <c r="B320" s="29"/>
      <c r="C320" s="29"/>
      <c r="D320" s="29" t="s">
        <v>1429</v>
      </c>
      <c r="E320" s="29" t="s">
        <v>1430</v>
      </c>
      <c r="F320" s="29" t="s">
        <v>1431</v>
      </c>
      <c r="G320" s="35"/>
      <c r="H320" s="35" t="s">
        <v>151</v>
      </c>
      <c r="I320" s="29" t="s">
        <v>1428</v>
      </c>
      <c r="J320" s="37"/>
      <c r="K320" s="38"/>
      <c r="L320" s="38"/>
      <c r="M320" s="36" t="s">
        <v>60</v>
      </c>
      <c r="N320" s="15" t="s">
        <v>152</v>
      </c>
      <c r="O320" s="36" t="s">
        <v>162</v>
      </c>
      <c r="P320" s="36" t="str">
        <f t="shared" si="10"/>
        <v>WMTS_1/1000地形圖_臺南市佳里都市計畫(113年)</v>
      </c>
      <c r="Q320" s="29" t="s">
        <v>1431</v>
      </c>
      <c r="R320" s="29" t="str">
        <f t="shared" si="11"/>
        <v>2dms_wmts_v1_TOPON1K_D08</v>
      </c>
      <c r="S320" s="39" t="s">
        <v>155</v>
      </c>
      <c r="U320" s="27" t="str">
        <f>_xlfn.XLOOKUP(表格1[[#This Row],[服務類別(英)]],參考2_服務標準對照!$B:$B,參考2_服務標準對照!$C:$C,"")&amp;""</f>
        <v>OGC</v>
      </c>
      <c r="V320" s="29" t="s">
        <v>7</v>
      </c>
      <c r="W320" s="29" t="s">
        <v>163</v>
      </c>
      <c r="X320" s="29" t="s">
        <v>81</v>
      </c>
      <c r="Y320" s="36" t="s">
        <v>83</v>
      </c>
      <c r="Z320" s="36" t="s">
        <v>157</v>
      </c>
      <c r="AA320" s="36" t="s">
        <v>1159</v>
      </c>
      <c r="AB320" s="36"/>
      <c r="AC320" s="36"/>
      <c r="AD320" s="29" t="s">
        <v>119</v>
      </c>
      <c r="AE320" s="36" t="str">
        <f>_xlfn.XLOOKUP(表格1[[#This Row],[唯一識別碼]],API清冊0707!B:B,API清冊0707!T:T,"")&amp;""</f>
        <v>無下拉選單</v>
      </c>
    </row>
    <row r="321" spans="1:31" ht="204.75" customHeight="1" x14ac:dyDescent="0.4">
      <c r="A321" s="29" t="s">
        <v>1432</v>
      </c>
      <c r="B321" s="29"/>
      <c r="C321" s="29"/>
      <c r="D321" s="29" t="s">
        <v>1433</v>
      </c>
      <c r="E321" s="29" t="s">
        <v>1434</v>
      </c>
      <c r="F321" s="29" t="s">
        <v>1435</v>
      </c>
      <c r="G321" s="35"/>
      <c r="H321" s="35" t="s">
        <v>151</v>
      </c>
      <c r="I321" s="29" t="s">
        <v>1432</v>
      </c>
      <c r="J321" s="37"/>
      <c r="K321" s="38"/>
      <c r="L321" s="38"/>
      <c r="M321" s="36" t="s">
        <v>60</v>
      </c>
      <c r="N321" s="15" t="s">
        <v>152</v>
      </c>
      <c r="O321" s="36" t="s">
        <v>162</v>
      </c>
      <c r="P321" s="36" t="str">
        <f t="shared" si="10"/>
        <v>WMTS_1/1000地形圖_臺南市鹽水都市計畫(112年)</v>
      </c>
      <c r="Q321" s="29" t="s">
        <v>1435</v>
      </c>
      <c r="R321" s="29" t="str">
        <f t="shared" si="11"/>
        <v>2dms_wmts_v1_TOPON1K_D05</v>
      </c>
      <c r="S321" s="39" t="s">
        <v>155</v>
      </c>
      <c r="U321" s="27" t="str">
        <f>_xlfn.XLOOKUP(表格1[[#This Row],[服務類別(英)]],參考2_服務標準對照!$B:$B,參考2_服務標準對照!$C:$C,"")&amp;""</f>
        <v>OGC</v>
      </c>
      <c r="V321" s="29" t="s">
        <v>7</v>
      </c>
      <c r="W321" s="29" t="s">
        <v>163</v>
      </c>
      <c r="X321" s="29" t="s">
        <v>81</v>
      </c>
      <c r="Y321" s="36" t="s">
        <v>83</v>
      </c>
      <c r="Z321" s="36" t="s">
        <v>157</v>
      </c>
      <c r="AA321" s="36" t="s">
        <v>1159</v>
      </c>
      <c r="AB321" s="36"/>
      <c r="AC321" s="36"/>
      <c r="AD321" s="29" t="s">
        <v>119</v>
      </c>
      <c r="AE321" s="36" t="str">
        <f>_xlfn.XLOOKUP(表格1[[#This Row],[唯一識別碼]],API清冊0707!B:B,API清冊0707!T:T,"")&amp;""</f>
        <v>無下拉選單</v>
      </c>
    </row>
    <row r="322" spans="1:31" ht="204.75" customHeight="1" x14ac:dyDescent="0.4">
      <c r="A322" s="29" t="s">
        <v>1436</v>
      </c>
      <c r="B322" s="29"/>
      <c r="C322" s="29"/>
      <c r="D322" s="29" t="s">
        <v>1437</v>
      </c>
      <c r="E322" s="29" t="s">
        <v>1438</v>
      </c>
      <c r="F322" s="29" t="s">
        <v>1439</v>
      </c>
      <c r="G322" s="35"/>
      <c r="H322" s="35" t="s">
        <v>151</v>
      </c>
      <c r="I322" s="29" t="s">
        <v>1436</v>
      </c>
      <c r="J322" s="37"/>
      <c r="K322" s="38"/>
      <c r="L322" s="38"/>
      <c r="M322" s="36" t="s">
        <v>60</v>
      </c>
      <c r="N322" s="15" t="s">
        <v>152</v>
      </c>
      <c r="O322" s="36" t="s">
        <v>162</v>
      </c>
      <c r="P322" s="36" t="str">
        <f t="shared" si="10"/>
        <v>WMTS_1/1000地形圖_臺南市高速公路新營交流道附近特定區計畫(112年)</v>
      </c>
      <c r="Q322" s="29" t="s">
        <v>1439</v>
      </c>
      <c r="R322" s="29" t="str">
        <f t="shared" si="11"/>
        <v>2dms_wmts_v1_TOPON1K_D04</v>
      </c>
      <c r="S322" s="39" t="s">
        <v>155</v>
      </c>
      <c r="U322" s="27" t="str">
        <f>_xlfn.XLOOKUP(表格1[[#This Row],[服務類別(英)]],參考2_服務標準對照!$B:$B,參考2_服務標準對照!$C:$C,"")&amp;""</f>
        <v>OGC</v>
      </c>
      <c r="V322" s="29" t="s">
        <v>7</v>
      </c>
      <c r="W322" s="29" t="s">
        <v>163</v>
      </c>
      <c r="X322" s="29" t="s">
        <v>81</v>
      </c>
      <c r="Y322" s="36" t="s">
        <v>83</v>
      </c>
      <c r="Z322" s="36" t="s">
        <v>157</v>
      </c>
      <c r="AA322" s="36" t="s">
        <v>1159</v>
      </c>
      <c r="AB322" s="36"/>
      <c r="AC322" s="36"/>
      <c r="AD322" s="29" t="s">
        <v>119</v>
      </c>
      <c r="AE322" s="36" t="str">
        <f>_xlfn.XLOOKUP(表格1[[#This Row],[唯一識別碼]],API清冊0707!B:B,API清冊0707!T:T,"")&amp;""</f>
        <v>無下拉選單</v>
      </c>
    </row>
    <row r="323" spans="1:31" ht="204.75" customHeight="1" x14ac:dyDescent="0.4">
      <c r="A323" s="29" t="s">
        <v>1440</v>
      </c>
      <c r="B323" s="29"/>
      <c r="C323" s="29"/>
      <c r="D323" s="29" t="s">
        <v>1441</v>
      </c>
      <c r="E323" s="29" t="s">
        <v>1442</v>
      </c>
      <c r="F323" s="29" t="s">
        <v>1443</v>
      </c>
      <c r="G323" s="35"/>
      <c r="H323" s="35" t="s">
        <v>151</v>
      </c>
      <c r="I323" s="29" t="s">
        <v>1440</v>
      </c>
      <c r="J323" s="37"/>
      <c r="K323" s="38"/>
      <c r="L323" s="38"/>
      <c r="M323" s="36" t="s">
        <v>60</v>
      </c>
      <c r="N323" s="15" t="s">
        <v>152</v>
      </c>
      <c r="O323" s="36" t="s">
        <v>162</v>
      </c>
      <c r="P323" s="36" t="str">
        <f t="shared" si="10"/>
        <v>WMTS_1/1000地形圖_臺南市新營都市計畫(112年)</v>
      </c>
      <c r="Q323" s="29" t="s">
        <v>1443</v>
      </c>
      <c r="R323" s="29" t="str">
        <f t="shared" si="11"/>
        <v>2dms_wmts_v1_TOPON1K_D03</v>
      </c>
      <c r="S323" s="39" t="s">
        <v>155</v>
      </c>
      <c r="U323" s="27" t="str">
        <f>_xlfn.XLOOKUP(表格1[[#This Row],[服務類別(英)]],參考2_服務標準對照!$B:$B,參考2_服務標準對照!$C:$C,"")&amp;""</f>
        <v>OGC</v>
      </c>
      <c r="V323" s="29" t="s">
        <v>7</v>
      </c>
      <c r="W323" s="29" t="s">
        <v>163</v>
      </c>
      <c r="X323" s="29" t="s">
        <v>81</v>
      </c>
      <c r="Y323" s="36" t="s">
        <v>83</v>
      </c>
      <c r="Z323" s="36" t="s">
        <v>157</v>
      </c>
      <c r="AA323" s="36" t="s">
        <v>1159</v>
      </c>
      <c r="AB323" s="36"/>
      <c r="AC323" s="36"/>
      <c r="AD323" s="29" t="s">
        <v>119</v>
      </c>
      <c r="AE323" s="36" t="str">
        <f>_xlfn.XLOOKUP(表格1[[#This Row],[唯一識別碼]],API清冊0707!B:B,API清冊0707!T:T,"")&amp;""</f>
        <v>無下拉選單</v>
      </c>
    </row>
    <row r="324" spans="1:31" ht="204.75" customHeight="1" x14ac:dyDescent="0.4">
      <c r="A324" s="29" t="s">
        <v>1444</v>
      </c>
      <c r="B324" s="29"/>
      <c r="C324" s="29"/>
      <c r="D324" s="29" t="s">
        <v>1445</v>
      </c>
      <c r="E324" s="29" t="s">
        <v>1446</v>
      </c>
      <c r="F324" s="29" t="s">
        <v>1447</v>
      </c>
      <c r="G324" s="35"/>
      <c r="H324" s="35" t="s">
        <v>151</v>
      </c>
      <c r="I324" s="29" t="s">
        <v>1444</v>
      </c>
      <c r="J324" s="37"/>
      <c r="K324" s="38"/>
      <c r="L324" s="38"/>
      <c r="M324" s="36" t="s">
        <v>60</v>
      </c>
      <c r="N324" s="15" t="s">
        <v>152</v>
      </c>
      <c r="O324" s="36" t="s">
        <v>162</v>
      </c>
      <c r="P324" s="36" t="str">
        <f t="shared" si="10"/>
        <v>WMTS_1/1000地形圖_臺中市豐潭雅神都市計畫(113年)</v>
      </c>
      <c r="Q324" s="29" t="s">
        <v>1447</v>
      </c>
      <c r="R324" s="29" t="str">
        <f t="shared" si="11"/>
        <v>2dms_wmts_v1_TOPON1K_B25</v>
      </c>
      <c r="S324" s="39" t="s">
        <v>155</v>
      </c>
      <c r="U324" s="27" t="str">
        <f>_xlfn.XLOOKUP(表格1[[#This Row],[服務類別(英)]],參考2_服務標準對照!$B:$B,參考2_服務標準對照!$C:$C,"")&amp;""</f>
        <v>OGC</v>
      </c>
      <c r="V324" s="29" t="s">
        <v>7</v>
      </c>
      <c r="W324" s="29" t="s">
        <v>163</v>
      </c>
      <c r="X324" s="29" t="s">
        <v>81</v>
      </c>
      <c r="Y324" s="36" t="s">
        <v>83</v>
      </c>
      <c r="Z324" s="36" t="s">
        <v>157</v>
      </c>
      <c r="AA324" s="36" t="s">
        <v>1159</v>
      </c>
      <c r="AB324" s="36"/>
      <c r="AC324" s="36"/>
      <c r="AD324" s="29" t="s">
        <v>119</v>
      </c>
      <c r="AE324" s="36" t="str">
        <f>_xlfn.XLOOKUP(表格1[[#This Row],[唯一識別碼]],API清冊0707!B:B,API清冊0707!T:T,"")&amp;""</f>
        <v>無下拉選單</v>
      </c>
    </row>
    <row r="325" spans="1:31" ht="204.75" customHeight="1" x14ac:dyDescent="0.4">
      <c r="A325" s="29" t="s">
        <v>1448</v>
      </c>
      <c r="B325" s="29"/>
      <c r="C325" s="29"/>
      <c r="D325" s="29" t="s">
        <v>1449</v>
      </c>
      <c r="E325" s="29" t="s">
        <v>1450</v>
      </c>
      <c r="F325" s="29" t="s">
        <v>1451</v>
      </c>
      <c r="G325" s="35"/>
      <c r="H325" s="35" t="s">
        <v>151</v>
      </c>
      <c r="I325" s="29" t="s">
        <v>1448</v>
      </c>
      <c r="J325" s="37"/>
      <c r="K325" s="38"/>
      <c r="L325" s="38"/>
      <c r="M325" s="36" t="s">
        <v>60</v>
      </c>
      <c r="N325" s="15" t="s">
        <v>152</v>
      </c>
      <c r="O325" s="36" t="s">
        <v>162</v>
      </c>
      <c r="P325" s="36" t="str">
        <f t="shared" si="10"/>
        <v>WMTS_1/1000地形圖_臺中市高速公路王田交流道附近特定區計畫(112年)</v>
      </c>
      <c r="Q325" s="29" t="s">
        <v>1451</v>
      </c>
      <c r="R325" s="29" t="str">
        <f t="shared" si="11"/>
        <v>2dms_wmts_v1_TOPON1K_B22</v>
      </c>
      <c r="S325" s="39" t="s">
        <v>155</v>
      </c>
      <c r="U325" s="27" t="str">
        <f>_xlfn.XLOOKUP(表格1[[#This Row],[服務類別(英)]],參考2_服務標準對照!$B:$B,參考2_服務標準對照!$C:$C,"")&amp;""</f>
        <v>OGC</v>
      </c>
      <c r="V325" s="29" t="s">
        <v>7</v>
      </c>
      <c r="W325" s="29" t="s">
        <v>163</v>
      </c>
      <c r="X325" s="29" t="s">
        <v>81</v>
      </c>
      <c r="Y325" s="36" t="s">
        <v>83</v>
      </c>
      <c r="Z325" s="36" t="s">
        <v>157</v>
      </c>
      <c r="AA325" s="36" t="s">
        <v>1159</v>
      </c>
      <c r="AB325" s="36"/>
      <c r="AC325" s="36"/>
      <c r="AD325" s="29" t="s">
        <v>119</v>
      </c>
      <c r="AE325" s="36" t="str">
        <f>_xlfn.XLOOKUP(表格1[[#This Row],[唯一識別碼]],API清冊0707!B:B,API清冊0707!T:T,"")&amp;""</f>
        <v>無下拉選單</v>
      </c>
    </row>
    <row r="326" spans="1:31" ht="204.75" customHeight="1" x14ac:dyDescent="0.4">
      <c r="A326" s="29" t="s">
        <v>1452</v>
      </c>
      <c r="B326" s="29"/>
      <c r="C326" s="29"/>
      <c r="D326" s="29" t="s">
        <v>1453</v>
      </c>
      <c r="E326" s="29" t="s">
        <v>1454</v>
      </c>
      <c r="F326" s="29" t="s">
        <v>1455</v>
      </c>
      <c r="G326" s="35"/>
      <c r="H326" s="35" t="s">
        <v>151</v>
      </c>
      <c r="I326" s="29" t="s">
        <v>1452</v>
      </c>
      <c r="J326" s="37"/>
      <c r="K326" s="38"/>
      <c r="L326" s="38"/>
      <c r="M326" s="36" t="s">
        <v>60</v>
      </c>
      <c r="N326" s="15" t="s">
        <v>152</v>
      </c>
      <c r="O326" s="36" t="s">
        <v>162</v>
      </c>
      <c r="P326" s="36" t="str">
        <f t="shared" si="10"/>
        <v>WMTS_1/1000地形圖_臺中市中部科學工業園區台中基地附近特定區計畫(113年)</v>
      </c>
      <c r="Q326" s="29" t="s">
        <v>1455</v>
      </c>
      <c r="R326" s="29" t="str">
        <f t="shared" si="11"/>
        <v>2dms_wmts_v1_TOPON1K_B20</v>
      </c>
      <c r="S326" s="39" t="s">
        <v>155</v>
      </c>
      <c r="U326" s="27" t="str">
        <f>_xlfn.XLOOKUP(表格1[[#This Row],[服務類別(英)]],參考2_服務標準對照!$B:$B,參考2_服務標準對照!$C:$C,"")&amp;""</f>
        <v>OGC</v>
      </c>
      <c r="V326" s="29" t="s">
        <v>7</v>
      </c>
      <c r="W326" s="29" t="s">
        <v>163</v>
      </c>
      <c r="X326" s="29" t="s">
        <v>81</v>
      </c>
      <c r="Y326" s="36" t="s">
        <v>83</v>
      </c>
      <c r="Z326" s="36" t="s">
        <v>157</v>
      </c>
      <c r="AA326" s="36" t="s">
        <v>1159</v>
      </c>
      <c r="AB326" s="36"/>
      <c r="AC326" s="36"/>
      <c r="AD326" s="29" t="s">
        <v>119</v>
      </c>
      <c r="AE326" s="36" t="str">
        <f>_xlfn.XLOOKUP(表格1[[#This Row],[唯一識別碼]],API清冊0707!B:B,API清冊0707!T:T,"")&amp;""</f>
        <v>無下拉選單</v>
      </c>
    </row>
    <row r="327" spans="1:31" ht="204.75" customHeight="1" x14ac:dyDescent="0.4">
      <c r="A327" s="29" t="s">
        <v>1456</v>
      </c>
      <c r="B327" s="29"/>
      <c r="C327" s="29"/>
      <c r="D327" s="29" t="s">
        <v>1457</v>
      </c>
      <c r="E327" s="29" t="s">
        <v>1458</v>
      </c>
      <c r="F327" s="29" t="s">
        <v>1459</v>
      </c>
      <c r="G327" s="35"/>
      <c r="H327" s="35" t="s">
        <v>151</v>
      </c>
      <c r="I327" s="29" t="s">
        <v>1456</v>
      </c>
      <c r="J327" s="37"/>
      <c r="K327" s="38"/>
      <c r="L327" s="38"/>
      <c r="M327" s="36" t="s">
        <v>60</v>
      </c>
      <c r="N327" s="15" t="s">
        <v>152</v>
      </c>
      <c r="O327" s="36" t="s">
        <v>162</v>
      </c>
      <c r="P327" s="36" t="str">
        <f t="shared" si="10"/>
        <v>WMTS_1/1000地形圖_臺中市大肚都市計畫(112年)</v>
      </c>
      <c r="Q327" s="29" t="s">
        <v>1459</v>
      </c>
      <c r="R327" s="29" t="str">
        <f t="shared" si="11"/>
        <v>2dms_wmts_v1_TOPON1K_B15</v>
      </c>
      <c r="S327" s="39" t="s">
        <v>155</v>
      </c>
      <c r="U327" s="27" t="str">
        <f>_xlfn.XLOOKUP(表格1[[#This Row],[服務類別(英)]],參考2_服務標準對照!$B:$B,參考2_服務標準對照!$C:$C,"")&amp;""</f>
        <v>OGC</v>
      </c>
      <c r="V327" s="29" t="s">
        <v>7</v>
      </c>
      <c r="W327" s="29" t="s">
        <v>163</v>
      </c>
      <c r="X327" s="29" t="s">
        <v>81</v>
      </c>
      <c r="Y327" s="36" t="s">
        <v>83</v>
      </c>
      <c r="Z327" s="36" t="s">
        <v>157</v>
      </c>
      <c r="AA327" s="36" t="s">
        <v>1159</v>
      </c>
      <c r="AB327" s="36"/>
      <c r="AC327" s="36"/>
      <c r="AD327" s="29" t="s">
        <v>119</v>
      </c>
      <c r="AE327" s="36" t="str">
        <f>_xlfn.XLOOKUP(表格1[[#This Row],[唯一識別碼]],API清冊0707!B:B,API清冊0707!T:T,"")&amp;""</f>
        <v>無下拉選單</v>
      </c>
    </row>
    <row r="328" spans="1:31" ht="204.75" customHeight="1" x14ac:dyDescent="0.4">
      <c r="A328" s="29" t="s">
        <v>1460</v>
      </c>
      <c r="B328" s="29"/>
      <c r="C328" s="29"/>
      <c r="D328" s="29" t="s">
        <v>1461</v>
      </c>
      <c r="E328" s="29" t="s">
        <v>1462</v>
      </c>
      <c r="F328" s="29" t="s">
        <v>1463</v>
      </c>
      <c r="G328" s="35"/>
      <c r="H328" s="35" t="s">
        <v>151</v>
      </c>
      <c r="I328" s="29" t="s">
        <v>1460</v>
      </c>
      <c r="J328" s="37"/>
      <c r="K328" s="38"/>
      <c r="L328" s="38"/>
      <c r="M328" s="36" t="s">
        <v>60</v>
      </c>
      <c r="N328" s="15" t="s">
        <v>152</v>
      </c>
      <c r="O328" s="36" t="s">
        <v>162</v>
      </c>
      <c r="P328" s="36" t="str">
        <f t="shared" si="10"/>
        <v>WMTS_1/1000地形圖_臺中市烏日都市計畫(112年)</v>
      </c>
      <c r="Q328" s="29" t="s">
        <v>1463</v>
      </c>
      <c r="R328" s="29" t="str">
        <f t="shared" si="11"/>
        <v>2dms_wmts_v1_TOPON1K_B14</v>
      </c>
      <c r="S328" s="39" t="s">
        <v>155</v>
      </c>
      <c r="U328" s="27" t="str">
        <f>_xlfn.XLOOKUP(表格1[[#This Row],[服務類別(英)]],參考2_服務標準對照!$B:$B,參考2_服務標準對照!$C:$C,"")&amp;""</f>
        <v>OGC</v>
      </c>
      <c r="V328" s="29" t="s">
        <v>7</v>
      </c>
      <c r="W328" s="29" t="s">
        <v>163</v>
      </c>
      <c r="X328" s="29" t="s">
        <v>81</v>
      </c>
      <c r="Y328" s="36" t="s">
        <v>83</v>
      </c>
      <c r="Z328" s="36" t="s">
        <v>157</v>
      </c>
      <c r="AA328" s="36" t="s">
        <v>1159</v>
      </c>
      <c r="AB328" s="36"/>
      <c r="AC328" s="36"/>
      <c r="AD328" s="29" t="s">
        <v>119</v>
      </c>
      <c r="AE328" s="36" t="str">
        <f>_xlfn.XLOOKUP(表格1[[#This Row],[唯一識別碼]],API清冊0707!B:B,API清冊0707!T:T,"")&amp;""</f>
        <v>無下拉選單</v>
      </c>
    </row>
    <row r="329" spans="1:31" ht="204.75" customHeight="1" x14ac:dyDescent="0.4">
      <c r="A329" s="29" t="s">
        <v>1464</v>
      </c>
      <c r="B329" s="29"/>
      <c r="C329" s="29"/>
      <c r="D329" s="29" t="s">
        <v>1465</v>
      </c>
      <c r="E329" s="29" t="s">
        <v>1466</v>
      </c>
      <c r="F329" s="29" t="s">
        <v>1467</v>
      </c>
      <c r="G329" s="35"/>
      <c r="H329" s="35" t="s">
        <v>151</v>
      </c>
      <c r="I329" s="29" t="s">
        <v>1464</v>
      </c>
      <c r="J329" s="37"/>
      <c r="K329" s="38"/>
      <c r="L329" s="38"/>
      <c r="M329" s="36" t="s">
        <v>60</v>
      </c>
      <c r="N329" s="15" t="s">
        <v>152</v>
      </c>
      <c r="O329" s="36" t="s">
        <v>162</v>
      </c>
      <c r="P329" s="36" t="str">
        <f t="shared" si="10"/>
        <v>WMTS_1/1000地形圖_臺中市新社都市計畫(112年)</v>
      </c>
      <c r="Q329" s="29" t="s">
        <v>1467</v>
      </c>
      <c r="R329" s="29" t="str">
        <f t="shared" si="11"/>
        <v>2dms_wmts_v1_TOPON1K_B11</v>
      </c>
      <c r="S329" s="39" t="s">
        <v>155</v>
      </c>
      <c r="U329" s="27" t="str">
        <f>_xlfn.XLOOKUP(表格1[[#This Row],[服務類別(英)]],參考2_服務標準對照!$B:$B,參考2_服務標準對照!$C:$C,"")&amp;""</f>
        <v>OGC</v>
      </c>
      <c r="V329" s="29" t="s">
        <v>7</v>
      </c>
      <c r="W329" s="29" t="s">
        <v>163</v>
      </c>
      <c r="X329" s="29" t="s">
        <v>81</v>
      </c>
      <c r="Y329" s="36" t="s">
        <v>83</v>
      </c>
      <c r="Z329" s="36" t="s">
        <v>157</v>
      </c>
      <c r="AA329" s="36" t="s">
        <v>1159</v>
      </c>
      <c r="AB329" s="36"/>
      <c r="AC329" s="36"/>
      <c r="AD329" s="29" t="s">
        <v>119</v>
      </c>
      <c r="AE329" s="36" t="str">
        <f>_xlfn.XLOOKUP(表格1[[#This Row],[唯一識別碼]],API清冊0707!B:B,API清冊0707!T:T,"")&amp;""</f>
        <v>無下拉選單</v>
      </c>
    </row>
    <row r="330" spans="1:31" ht="204.75" customHeight="1" x14ac:dyDescent="0.4">
      <c r="A330" s="29" t="s">
        <v>1468</v>
      </c>
      <c r="B330" s="29"/>
      <c r="C330" s="29"/>
      <c r="D330" s="29" t="s">
        <v>1469</v>
      </c>
      <c r="E330" s="29" t="s">
        <v>1470</v>
      </c>
      <c r="F330" s="29" t="s">
        <v>1471</v>
      </c>
      <c r="G330" s="35"/>
      <c r="H330" s="35" t="s">
        <v>151</v>
      </c>
      <c r="I330" s="29" t="s">
        <v>1468</v>
      </c>
      <c r="J330" s="37"/>
      <c r="K330" s="38"/>
      <c r="L330" s="38"/>
      <c r="M330" s="36" t="s">
        <v>60</v>
      </c>
      <c r="N330" s="15" t="s">
        <v>152</v>
      </c>
      <c r="O330" s="36" t="s">
        <v>162</v>
      </c>
      <c r="P330" s="36" t="str">
        <f t="shared" si="10"/>
        <v>WMTS_1/1000地形圖_臺中市東勢都市計畫(112年)</v>
      </c>
      <c r="Q330" s="29" t="s">
        <v>1471</v>
      </c>
      <c r="R330" s="29" t="str">
        <f t="shared" si="11"/>
        <v>2dms_wmts_v1_TOPON1K_B04</v>
      </c>
      <c r="S330" s="39" t="s">
        <v>155</v>
      </c>
      <c r="U330" s="27" t="str">
        <f>_xlfn.XLOOKUP(表格1[[#This Row],[服務類別(英)]],參考2_服務標準對照!$B:$B,參考2_服務標準對照!$C:$C,"")&amp;""</f>
        <v>OGC</v>
      </c>
      <c r="V330" s="29" t="s">
        <v>7</v>
      </c>
      <c r="W330" s="29" t="s">
        <v>163</v>
      </c>
      <c r="X330" s="29" t="s">
        <v>81</v>
      </c>
      <c r="Y330" s="36" t="s">
        <v>83</v>
      </c>
      <c r="Z330" s="36" t="s">
        <v>157</v>
      </c>
      <c r="AA330" s="36" t="s">
        <v>1159</v>
      </c>
      <c r="AB330" s="36"/>
      <c r="AC330" s="36"/>
      <c r="AD330" s="29" t="s">
        <v>119</v>
      </c>
      <c r="AE330" s="36" t="str">
        <f>_xlfn.XLOOKUP(表格1[[#This Row],[唯一識別碼]],API清冊0707!B:B,API清冊0707!T:T,"")&amp;""</f>
        <v>無下拉選單</v>
      </c>
    </row>
    <row r="331" spans="1:31" ht="204.75" customHeight="1" x14ac:dyDescent="0.4">
      <c r="A331" s="29" t="s">
        <v>1472</v>
      </c>
      <c r="B331" s="29"/>
      <c r="C331" s="29"/>
      <c r="D331" s="29" t="s">
        <v>1473</v>
      </c>
      <c r="E331" s="29" t="s">
        <v>1474</v>
      </c>
      <c r="F331" s="29" t="s">
        <v>1475</v>
      </c>
      <c r="G331" s="35"/>
      <c r="H331" s="35" t="s">
        <v>151</v>
      </c>
      <c r="I331" s="29" t="s">
        <v>1472</v>
      </c>
      <c r="J331" s="37"/>
      <c r="K331" s="38"/>
      <c r="L331" s="38"/>
      <c r="M331" s="36" t="s">
        <v>60</v>
      </c>
      <c r="N331" s="15" t="s">
        <v>152</v>
      </c>
      <c r="O331" s="36" t="s">
        <v>162</v>
      </c>
      <c r="P331" s="36" t="str">
        <f t="shared" si="10"/>
        <v>WMTS_1/50000地形圖(113年)</v>
      </c>
      <c r="Q331" s="29" t="s">
        <v>1475</v>
      </c>
      <c r="R331" s="29" t="str">
        <f t="shared" si="11"/>
        <v>2dms_wmts_v1_TOPO50K113</v>
      </c>
      <c r="S331" s="39" t="s">
        <v>155</v>
      </c>
      <c r="U331" s="27" t="str">
        <f>_xlfn.XLOOKUP(表格1[[#This Row],[服務類別(英)]],參考2_服務標準對照!$B:$B,參考2_服務標準對照!$C:$C,"")&amp;""</f>
        <v>OGC</v>
      </c>
      <c r="V331" s="29" t="s">
        <v>7</v>
      </c>
      <c r="W331" s="29" t="s">
        <v>163</v>
      </c>
      <c r="X331" s="29" t="s">
        <v>81</v>
      </c>
      <c r="Y331" s="36" t="s">
        <v>83</v>
      </c>
      <c r="Z331" s="36" t="s">
        <v>157</v>
      </c>
      <c r="AA331" s="36" t="s">
        <v>1159</v>
      </c>
      <c r="AB331" s="36"/>
      <c r="AC331" s="36"/>
      <c r="AD331" s="29" t="s">
        <v>119</v>
      </c>
      <c r="AE331" s="36" t="str">
        <f>_xlfn.XLOOKUP(表格1[[#This Row],[唯一識別碼]],API清冊0707!B:B,API清冊0707!T:T,"")&amp;""</f>
        <v>無下拉選單</v>
      </c>
    </row>
    <row r="332" spans="1:31" ht="204.75" customHeight="1" x14ac:dyDescent="0.4">
      <c r="A332" s="29" t="s">
        <v>1476</v>
      </c>
      <c r="B332" s="29"/>
      <c r="C332" s="29"/>
      <c r="D332" s="29" t="s">
        <v>1477</v>
      </c>
      <c r="E332" s="29" t="s">
        <v>1478</v>
      </c>
      <c r="F332" s="29" t="s">
        <v>1479</v>
      </c>
      <c r="G332" s="35"/>
      <c r="H332" s="35" t="s">
        <v>151</v>
      </c>
      <c r="I332" s="29" t="s">
        <v>1476</v>
      </c>
      <c r="J332" s="37"/>
      <c r="K332" s="38"/>
      <c r="L332" s="38"/>
      <c r="M332" s="36" t="s">
        <v>60</v>
      </c>
      <c r="N332" s="15" t="s">
        <v>152</v>
      </c>
      <c r="O332" s="36" t="s">
        <v>162</v>
      </c>
      <c r="P332" s="36" t="str">
        <f t="shared" si="10"/>
        <v>WMTS_1/50000地形圖(112年)</v>
      </c>
      <c r="Q332" s="29" t="s">
        <v>1479</v>
      </c>
      <c r="R332" s="29" t="str">
        <f t="shared" si="11"/>
        <v>2dms_wmts_v1_TOPO50K112</v>
      </c>
      <c r="S332" s="39" t="s">
        <v>155</v>
      </c>
      <c r="U332" s="27" t="str">
        <f>_xlfn.XLOOKUP(表格1[[#This Row],[服務類別(英)]],參考2_服務標準對照!$B:$B,參考2_服務標準對照!$C:$C,"")&amp;""</f>
        <v>OGC</v>
      </c>
      <c r="V332" s="29" t="s">
        <v>7</v>
      </c>
      <c r="W332" s="29" t="s">
        <v>163</v>
      </c>
      <c r="X332" s="29" t="s">
        <v>81</v>
      </c>
      <c r="Y332" s="36" t="s">
        <v>83</v>
      </c>
      <c r="Z332" s="36" t="s">
        <v>157</v>
      </c>
      <c r="AA332" s="36" t="s">
        <v>1159</v>
      </c>
      <c r="AB332" s="36"/>
      <c r="AC332" s="36"/>
      <c r="AD332" s="29" t="s">
        <v>119</v>
      </c>
      <c r="AE332" s="36" t="str">
        <f>_xlfn.XLOOKUP(表格1[[#This Row],[唯一識別碼]],API清冊0707!B:B,API清冊0707!T:T,"")&amp;""</f>
        <v>無下拉選單</v>
      </c>
    </row>
    <row r="333" spans="1:31" ht="204.75" customHeight="1" x14ac:dyDescent="0.4">
      <c r="A333" s="29" t="s">
        <v>1480</v>
      </c>
      <c r="B333" s="29"/>
      <c r="C333" s="29"/>
      <c r="D333" s="29" t="s">
        <v>1481</v>
      </c>
      <c r="E333" s="29" t="s">
        <v>1482</v>
      </c>
      <c r="F333" s="29" t="s">
        <v>1483</v>
      </c>
      <c r="G333" s="35"/>
      <c r="H333" s="35" t="s">
        <v>151</v>
      </c>
      <c r="I333" s="29" t="s">
        <v>1480</v>
      </c>
      <c r="J333" s="37"/>
      <c r="K333" s="38"/>
      <c r="L333" s="38"/>
      <c r="M333" s="36" t="s">
        <v>60</v>
      </c>
      <c r="N333" s="15" t="s">
        <v>152</v>
      </c>
      <c r="O333" s="36" t="s">
        <v>162</v>
      </c>
      <c r="P333" s="36" t="str">
        <f t="shared" si="10"/>
        <v>WMTS_1/50000地形圖(111年)</v>
      </c>
      <c r="Q333" s="29" t="s">
        <v>1483</v>
      </c>
      <c r="R333" s="29" t="str">
        <f t="shared" si="11"/>
        <v>2dms_wmts_v1_TOPO50K111</v>
      </c>
      <c r="S333" s="39" t="s">
        <v>155</v>
      </c>
      <c r="U333" s="27" t="str">
        <f>_xlfn.XLOOKUP(表格1[[#This Row],[服務類別(英)]],參考2_服務標準對照!$B:$B,參考2_服務標準對照!$C:$C,"")&amp;""</f>
        <v>OGC</v>
      </c>
      <c r="V333" s="29" t="s">
        <v>7</v>
      </c>
      <c r="W333" s="29" t="s">
        <v>163</v>
      </c>
      <c r="X333" s="29" t="s">
        <v>81</v>
      </c>
      <c r="Y333" s="36" t="s">
        <v>83</v>
      </c>
      <c r="Z333" s="36" t="s">
        <v>157</v>
      </c>
      <c r="AA333" s="36" t="s">
        <v>1159</v>
      </c>
      <c r="AB333" s="36"/>
      <c r="AC333" s="36"/>
      <c r="AD333" s="29" t="s">
        <v>119</v>
      </c>
      <c r="AE333" s="36" t="str">
        <f>_xlfn.XLOOKUP(表格1[[#This Row],[唯一識別碼]],API清冊0707!B:B,API清冊0707!T:T,"")&amp;""</f>
        <v>無下拉選單</v>
      </c>
    </row>
    <row r="334" spans="1:31" ht="204.75" customHeight="1" x14ac:dyDescent="0.4">
      <c r="A334" s="29" t="s">
        <v>1484</v>
      </c>
      <c r="B334" s="29"/>
      <c r="C334" s="29"/>
      <c r="D334" s="29" t="s">
        <v>1485</v>
      </c>
      <c r="E334" s="29" t="s">
        <v>1486</v>
      </c>
      <c r="F334" s="29" t="s">
        <v>1487</v>
      </c>
      <c r="G334" s="35"/>
      <c r="H334" s="35" t="s">
        <v>151</v>
      </c>
      <c r="I334" s="29" t="s">
        <v>1484</v>
      </c>
      <c r="J334" s="37"/>
      <c r="K334" s="38"/>
      <c r="L334" s="38"/>
      <c r="M334" s="36" t="s">
        <v>60</v>
      </c>
      <c r="N334" s="15" t="s">
        <v>152</v>
      </c>
      <c r="O334" s="36" t="s">
        <v>162</v>
      </c>
      <c r="P334" s="36" t="str">
        <f t="shared" si="10"/>
        <v>WMTS_1/50000地形圖(110年)</v>
      </c>
      <c r="Q334" s="29" t="s">
        <v>1487</v>
      </c>
      <c r="R334" s="29" t="str">
        <f t="shared" si="11"/>
        <v>2dms_wmts_v1_TOPO50K110</v>
      </c>
      <c r="S334" s="39" t="s">
        <v>155</v>
      </c>
      <c r="U334" s="27" t="str">
        <f>_xlfn.XLOOKUP(表格1[[#This Row],[服務類別(英)]],參考2_服務標準對照!$B:$B,參考2_服務標準對照!$C:$C,"")&amp;""</f>
        <v>OGC</v>
      </c>
      <c r="V334" s="29" t="s">
        <v>7</v>
      </c>
      <c r="W334" s="29" t="s">
        <v>163</v>
      </c>
      <c r="X334" s="29" t="s">
        <v>81</v>
      </c>
      <c r="Y334" s="36" t="s">
        <v>83</v>
      </c>
      <c r="Z334" s="36" t="s">
        <v>157</v>
      </c>
      <c r="AA334" s="36" t="s">
        <v>1159</v>
      </c>
      <c r="AB334" s="36"/>
      <c r="AC334" s="36"/>
      <c r="AD334" s="29" t="s">
        <v>119</v>
      </c>
      <c r="AE334" s="36" t="str">
        <f>_xlfn.XLOOKUP(表格1[[#This Row],[唯一識別碼]],API清冊0707!B:B,API清冊0707!T:T,"")&amp;""</f>
        <v>無下拉選單</v>
      </c>
    </row>
    <row r="335" spans="1:31" ht="204.75" customHeight="1" x14ac:dyDescent="0.4">
      <c r="A335" s="29" t="s">
        <v>1488</v>
      </c>
      <c r="B335" s="29"/>
      <c r="C335" s="29"/>
      <c r="D335" s="29" t="s">
        <v>1489</v>
      </c>
      <c r="E335" s="29" t="s">
        <v>1490</v>
      </c>
      <c r="F335" s="29" t="s">
        <v>1491</v>
      </c>
      <c r="G335" s="35"/>
      <c r="H335" s="35" t="s">
        <v>151</v>
      </c>
      <c r="I335" s="29" t="s">
        <v>1488</v>
      </c>
      <c r="J335" s="37"/>
      <c r="K335" s="38"/>
      <c r="L335" s="38"/>
      <c r="M335" s="36" t="s">
        <v>60</v>
      </c>
      <c r="N335" s="15" t="s">
        <v>152</v>
      </c>
      <c r="O335" s="36" t="s">
        <v>162</v>
      </c>
      <c r="P335" s="36" t="str">
        <f t="shared" si="10"/>
        <v>WMTS_1/50000地形圖(109年)</v>
      </c>
      <c r="Q335" s="29" t="s">
        <v>1491</v>
      </c>
      <c r="R335" s="29" t="str">
        <f t="shared" si="11"/>
        <v>2dms_wmts_v1_TOPO50K109</v>
      </c>
      <c r="S335" s="39" t="s">
        <v>155</v>
      </c>
      <c r="U335" s="27" t="str">
        <f>_xlfn.XLOOKUP(表格1[[#This Row],[服務類別(英)]],參考2_服務標準對照!$B:$B,參考2_服務標準對照!$C:$C,"")&amp;""</f>
        <v>OGC</v>
      </c>
      <c r="V335" s="29" t="s">
        <v>7</v>
      </c>
      <c r="W335" s="29" t="s">
        <v>163</v>
      </c>
      <c r="X335" s="29" t="s">
        <v>81</v>
      </c>
      <c r="Y335" s="36" t="s">
        <v>83</v>
      </c>
      <c r="Z335" s="36" t="s">
        <v>157</v>
      </c>
      <c r="AA335" s="36" t="s">
        <v>1159</v>
      </c>
      <c r="AB335" s="36"/>
      <c r="AC335" s="36"/>
      <c r="AD335" s="29" t="s">
        <v>119</v>
      </c>
      <c r="AE335" s="36" t="str">
        <f>_xlfn.XLOOKUP(表格1[[#This Row],[唯一識別碼]],API清冊0707!B:B,API清冊0707!T:T,"")&amp;""</f>
        <v>無下拉選單</v>
      </c>
    </row>
    <row r="336" spans="1:31" ht="204.75" customHeight="1" x14ac:dyDescent="0.4">
      <c r="A336" s="29" t="s">
        <v>1492</v>
      </c>
      <c r="B336" s="29"/>
      <c r="C336" s="29"/>
      <c r="D336" s="29" t="s">
        <v>1493</v>
      </c>
      <c r="E336" s="29" t="s">
        <v>1494</v>
      </c>
      <c r="F336" s="29" t="s">
        <v>1495</v>
      </c>
      <c r="G336" s="35"/>
      <c r="H336" s="35" t="s">
        <v>151</v>
      </c>
      <c r="I336" s="29" t="s">
        <v>1492</v>
      </c>
      <c r="J336" s="37"/>
      <c r="K336" s="38"/>
      <c r="L336" s="38"/>
      <c r="M336" s="36" t="s">
        <v>60</v>
      </c>
      <c r="N336" s="15" t="s">
        <v>152</v>
      </c>
      <c r="O336" s="36" t="s">
        <v>162</v>
      </c>
      <c r="P336" s="36" t="str">
        <f t="shared" si="10"/>
        <v>WMTS_1/50000地形圖(107年)</v>
      </c>
      <c r="Q336" s="29" t="s">
        <v>1495</v>
      </c>
      <c r="R336" s="29" t="str">
        <f t="shared" si="11"/>
        <v>2dms_wmts_v1_TOPO50K107</v>
      </c>
      <c r="S336" s="39" t="s">
        <v>155</v>
      </c>
      <c r="U336" s="27" t="str">
        <f>_xlfn.XLOOKUP(表格1[[#This Row],[服務類別(英)]],參考2_服務標準對照!$B:$B,參考2_服務標準對照!$C:$C,"")&amp;""</f>
        <v>OGC</v>
      </c>
      <c r="V336" s="29" t="s">
        <v>7</v>
      </c>
      <c r="W336" s="29" t="s">
        <v>163</v>
      </c>
      <c r="X336" s="29" t="s">
        <v>81</v>
      </c>
      <c r="Y336" s="36" t="s">
        <v>83</v>
      </c>
      <c r="Z336" s="36" t="s">
        <v>157</v>
      </c>
      <c r="AA336" s="36" t="s">
        <v>1159</v>
      </c>
      <c r="AB336" s="36"/>
      <c r="AC336" s="36"/>
      <c r="AD336" s="29" t="s">
        <v>119</v>
      </c>
      <c r="AE336" s="36" t="str">
        <f>_xlfn.XLOOKUP(表格1[[#This Row],[唯一識別碼]],API清冊0707!B:B,API清冊0707!T:T,"")&amp;""</f>
        <v>無下拉選單</v>
      </c>
    </row>
    <row r="337" spans="1:31" ht="204.75" customHeight="1" x14ac:dyDescent="0.4">
      <c r="A337" s="29" t="s">
        <v>1496</v>
      </c>
      <c r="B337" s="29"/>
      <c r="C337" s="29"/>
      <c r="D337" s="29" t="s">
        <v>1497</v>
      </c>
      <c r="E337" s="29" t="s">
        <v>1498</v>
      </c>
      <c r="F337" s="29" t="s">
        <v>1499</v>
      </c>
      <c r="G337" s="35"/>
      <c r="H337" s="35" t="s">
        <v>151</v>
      </c>
      <c r="I337" s="29" t="s">
        <v>1496</v>
      </c>
      <c r="J337" s="37"/>
      <c r="K337" s="38"/>
      <c r="L337" s="38"/>
      <c r="M337" s="36" t="s">
        <v>60</v>
      </c>
      <c r="N337" s="15" t="s">
        <v>152</v>
      </c>
      <c r="O337" s="36" t="s">
        <v>162</v>
      </c>
      <c r="P337" s="36" t="str">
        <f t="shared" si="10"/>
        <v>WMTS_1/25000地形圖(114年)</v>
      </c>
      <c r="Q337" s="29" t="s">
        <v>1499</v>
      </c>
      <c r="R337" s="29" t="str">
        <f t="shared" si="11"/>
        <v>2dms_wmts_v1_TOPO25K114</v>
      </c>
      <c r="S337" s="39" t="s">
        <v>155</v>
      </c>
      <c r="U337" s="27" t="str">
        <f>_xlfn.XLOOKUP(表格1[[#This Row],[服務類別(英)]],參考2_服務標準對照!$B:$B,參考2_服務標準對照!$C:$C,"")&amp;""</f>
        <v>OGC</v>
      </c>
      <c r="V337" s="29" t="s">
        <v>7</v>
      </c>
      <c r="W337" s="29" t="s">
        <v>163</v>
      </c>
      <c r="X337" s="29" t="s">
        <v>81</v>
      </c>
      <c r="Y337" s="36" t="s">
        <v>83</v>
      </c>
      <c r="Z337" s="36" t="s">
        <v>157</v>
      </c>
      <c r="AA337" s="36" t="s">
        <v>1159</v>
      </c>
      <c r="AB337" s="36"/>
      <c r="AC337" s="36"/>
      <c r="AD337" s="29" t="s">
        <v>119</v>
      </c>
      <c r="AE337" s="36" t="str">
        <f>_xlfn.XLOOKUP(表格1[[#This Row],[唯一識別碼]],API清冊0707!B:B,API清冊0707!T:T,"")&amp;""</f>
        <v>無下拉選單</v>
      </c>
    </row>
    <row r="338" spans="1:31" ht="204.75" customHeight="1" x14ac:dyDescent="0.4">
      <c r="A338" s="29" t="s">
        <v>1500</v>
      </c>
      <c r="B338" s="29"/>
      <c r="C338" s="29"/>
      <c r="D338" s="29" t="s">
        <v>1501</v>
      </c>
      <c r="E338" s="29" t="s">
        <v>1502</v>
      </c>
      <c r="F338" s="29" t="s">
        <v>1503</v>
      </c>
      <c r="G338" s="35"/>
      <c r="H338" s="35" t="s">
        <v>151</v>
      </c>
      <c r="I338" s="29" t="s">
        <v>1500</v>
      </c>
      <c r="J338" s="37"/>
      <c r="K338" s="38"/>
      <c r="L338" s="38"/>
      <c r="M338" s="36" t="s">
        <v>60</v>
      </c>
      <c r="N338" s="15" t="s">
        <v>152</v>
      </c>
      <c r="O338" s="36" t="s">
        <v>162</v>
      </c>
      <c r="P338" s="36" t="str">
        <f t="shared" si="10"/>
        <v>WMTS_1/25000地形圖(113年)</v>
      </c>
      <c r="Q338" s="29" t="s">
        <v>1503</v>
      </c>
      <c r="R338" s="29" t="str">
        <f t="shared" si="11"/>
        <v>2dms_wmts_v1_TOPO25K113</v>
      </c>
      <c r="S338" s="39" t="s">
        <v>155</v>
      </c>
      <c r="U338" s="27" t="str">
        <f>_xlfn.XLOOKUP(表格1[[#This Row],[服務類別(英)]],參考2_服務標準對照!$B:$B,參考2_服務標準對照!$C:$C,"")&amp;""</f>
        <v>OGC</v>
      </c>
      <c r="V338" s="29" t="s">
        <v>7</v>
      </c>
      <c r="W338" s="29" t="s">
        <v>163</v>
      </c>
      <c r="X338" s="29" t="s">
        <v>81</v>
      </c>
      <c r="Y338" s="36" t="s">
        <v>83</v>
      </c>
      <c r="Z338" s="36" t="s">
        <v>157</v>
      </c>
      <c r="AA338" s="36" t="s">
        <v>1159</v>
      </c>
      <c r="AB338" s="36"/>
      <c r="AC338" s="36"/>
      <c r="AD338" s="29" t="s">
        <v>119</v>
      </c>
      <c r="AE338" s="36" t="str">
        <f>_xlfn.XLOOKUP(表格1[[#This Row],[唯一識別碼]],API清冊0707!B:B,API清冊0707!T:T,"")&amp;""</f>
        <v>無下拉選單</v>
      </c>
    </row>
    <row r="339" spans="1:31" ht="204.75" customHeight="1" x14ac:dyDescent="0.4">
      <c r="A339" s="29" t="s">
        <v>1504</v>
      </c>
      <c r="B339" s="29"/>
      <c r="C339" s="29"/>
      <c r="D339" s="29" t="s">
        <v>1505</v>
      </c>
      <c r="E339" s="29" t="s">
        <v>1506</v>
      </c>
      <c r="F339" s="29" t="s">
        <v>1507</v>
      </c>
      <c r="G339" s="35"/>
      <c r="H339" s="35" t="s">
        <v>151</v>
      </c>
      <c r="I339" s="29" t="s">
        <v>1504</v>
      </c>
      <c r="J339" s="37"/>
      <c r="K339" s="38"/>
      <c r="L339" s="38"/>
      <c r="M339" s="36" t="s">
        <v>60</v>
      </c>
      <c r="N339" s="15" t="s">
        <v>152</v>
      </c>
      <c r="O339" s="36" t="s">
        <v>162</v>
      </c>
      <c r="P339" s="36" t="str">
        <f t="shared" si="10"/>
        <v>WMTS_1/25000地形圖(112年)</v>
      </c>
      <c r="Q339" s="29" t="s">
        <v>1507</v>
      </c>
      <c r="R339" s="29" t="str">
        <f t="shared" si="11"/>
        <v>2dms_wmts_v1_TOPO25K112</v>
      </c>
      <c r="S339" s="39" t="s">
        <v>155</v>
      </c>
      <c r="U339" s="27" t="str">
        <f>_xlfn.XLOOKUP(表格1[[#This Row],[服務類別(英)]],參考2_服務標準對照!$B:$B,參考2_服務標準對照!$C:$C,"")&amp;""</f>
        <v>OGC</v>
      </c>
      <c r="V339" s="29" t="s">
        <v>7</v>
      </c>
      <c r="W339" s="29" t="s">
        <v>163</v>
      </c>
      <c r="X339" s="29" t="s">
        <v>81</v>
      </c>
      <c r="Y339" s="36" t="s">
        <v>83</v>
      </c>
      <c r="Z339" s="36" t="s">
        <v>157</v>
      </c>
      <c r="AA339" s="36" t="s">
        <v>1159</v>
      </c>
      <c r="AB339" s="36"/>
      <c r="AC339" s="36"/>
      <c r="AD339" s="29" t="s">
        <v>119</v>
      </c>
      <c r="AE339" s="36" t="str">
        <f>_xlfn.XLOOKUP(表格1[[#This Row],[唯一識別碼]],API清冊0707!B:B,API清冊0707!T:T,"")&amp;""</f>
        <v>無下拉選單</v>
      </c>
    </row>
    <row r="340" spans="1:31" ht="204.75" customHeight="1" x14ac:dyDescent="0.4">
      <c r="A340" s="29" t="s">
        <v>1508</v>
      </c>
      <c r="B340" s="29"/>
      <c r="C340" s="29"/>
      <c r="D340" s="29" t="s">
        <v>1509</v>
      </c>
      <c r="E340" s="29" t="s">
        <v>1510</v>
      </c>
      <c r="F340" s="29" t="s">
        <v>1511</v>
      </c>
      <c r="G340" s="35"/>
      <c r="H340" s="35" t="s">
        <v>151</v>
      </c>
      <c r="I340" s="29" t="s">
        <v>1508</v>
      </c>
      <c r="J340" s="37"/>
      <c r="K340" s="38"/>
      <c r="L340" s="38"/>
      <c r="M340" s="36" t="s">
        <v>60</v>
      </c>
      <c r="N340" s="15" t="s">
        <v>152</v>
      </c>
      <c r="O340" s="36" t="s">
        <v>162</v>
      </c>
      <c r="P340" s="36" t="str">
        <f t="shared" si="10"/>
        <v>WMTS_1/25000地形圖(111年)</v>
      </c>
      <c r="Q340" s="29" t="s">
        <v>1511</v>
      </c>
      <c r="R340" s="29" t="str">
        <f t="shared" si="11"/>
        <v>2dms_wmts_v1_TOPO25K111</v>
      </c>
      <c r="S340" s="39" t="s">
        <v>155</v>
      </c>
      <c r="U340" s="27" t="str">
        <f>_xlfn.XLOOKUP(表格1[[#This Row],[服務類別(英)]],參考2_服務標準對照!$B:$B,參考2_服務標準對照!$C:$C,"")&amp;""</f>
        <v>OGC</v>
      </c>
      <c r="V340" s="29" t="s">
        <v>7</v>
      </c>
      <c r="W340" s="29" t="s">
        <v>163</v>
      </c>
      <c r="X340" s="29" t="s">
        <v>81</v>
      </c>
      <c r="Y340" s="36" t="s">
        <v>83</v>
      </c>
      <c r="Z340" s="36" t="s">
        <v>157</v>
      </c>
      <c r="AA340" s="36" t="s">
        <v>1159</v>
      </c>
      <c r="AB340" s="36"/>
      <c r="AC340" s="36"/>
      <c r="AD340" s="29" t="s">
        <v>119</v>
      </c>
      <c r="AE340" s="36" t="str">
        <f>_xlfn.XLOOKUP(表格1[[#This Row],[唯一識別碼]],API清冊0707!B:B,API清冊0707!T:T,"")&amp;""</f>
        <v>無下拉選單</v>
      </c>
    </row>
    <row r="341" spans="1:31" ht="204.75" customHeight="1" x14ac:dyDescent="0.4">
      <c r="A341" s="29" t="s">
        <v>1512</v>
      </c>
      <c r="B341" s="29"/>
      <c r="C341" s="29"/>
      <c r="D341" s="29" t="s">
        <v>1513</v>
      </c>
      <c r="E341" s="29" t="s">
        <v>1514</v>
      </c>
      <c r="F341" s="29" t="s">
        <v>1515</v>
      </c>
      <c r="G341" s="35"/>
      <c r="H341" s="35" t="s">
        <v>151</v>
      </c>
      <c r="I341" s="29" t="s">
        <v>1512</v>
      </c>
      <c r="J341" s="37"/>
      <c r="K341" s="38"/>
      <c r="L341" s="38"/>
      <c r="M341" s="36" t="s">
        <v>60</v>
      </c>
      <c r="N341" s="15" t="s">
        <v>152</v>
      </c>
      <c r="O341" s="36" t="s">
        <v>162</v>
      </c>
      <c r="P341" s="36" t="str">
        <f t="shared" si="10"/>
        <v>WMTS_1/25000地形圖(110年)</v>
      </c>
      <c r="Q341" s="29" t="s">
        <v>1515</v>
      </c>
      <c r="R341" s="29" t="str">
        <f t="shared" si="11"/>
        <v>2dms_wmts_v1_TOPO25K110</v>
      </c>
      <c r="S341" s="39" t="s">
        <v>155</v>
      </c>
      <c r="U341" s="27" t="str">
        <f>_xlfn.XLOOKUP(表格1[[#This Row],[服務類別(英)]],參考2_服務標準對照!$B:$B,參考2_服務標準對照!$C:$C,"")&amp;""</f>
        <v>OGC</v>
      </c>
      <c r="V341" s="29" t="s">
        <v>7</v>
      </c>
      <c r="W341" s="29" t="s">
        <v>163</v>
      </c>
      <c r="X341" s="29" t="s">
        <v>81</v>
      </c>
      <c r="Y341" s="36" t="s">
        <v>83</v>
      </c>
      <c r="Z341" s="36" t="s">
        <v>157</v>
      </c>
      <c r="AA341" s="36" t="s">
        <v>1159</v>
      </c>
      <c r="AB341" s="36"/>
      <c r="AC341" s="36"/>
      <c r="AD341" s="29" t="s">
        <v>119</v>
      </c>
      <c r="AE341" s="36" t="str">
        <f>_xlfn.XLOOKUP(表格1[[#This Row],[唯一識別碼]],API清冊0707!B:B,API清冊0707!T:T,"")&amp;""</f>
        <v>無下拉選單</v>
      </c>
    </row>
    <row r="342" spans="1:31" ht="204.75" customHeight="1" x14ac:dyDescent="0.4">
      <c r="A342" s="29" t="s">
        <v>1516</v>
      </c>
      <c r="B342" s="29"/>
      <c r="C342" s="29"/>
      <c r="D342" s="29" t="s">
        <v>1517</v>
      </c>
      <c r="E342" s="29" t="s">
        <v>1518</v>
      </c>
      <c r="F342" s="29" t="s">
        <v>1519</v>
      </c>
      <c r="G342" s="35"/>
      <c r="H342" s="35" t="s">
        <v>151</v>
      </c>
      <c r="I342" s="29" t="s">
        <v>1516</v>
      </c>
      <c r="J342" s="37"/>
      <c r="K342" s="38"/>
      <c r="L342" s="38"/>
      <c r="M342" s="36" t="s">
        <v>60</v>
      </c>
      <c r="N342" s="15" t="s">
        <v>152</v>
      </c>
      <c r="O342" s="36" t="s">
        <v>162</v>
      </c>
      <c r="P342" s="36" t="str">
        <f t="shared" si="10"/>
        <v>WMTS_1/25000地形圖(109年)</v>
      </c>
      <c r="Q342" s="29" t="s">
        <v>1519</v>
      </c>
      <c r="R342" s="29" t="str">
        <f t="shared" si="11"/>
        <v>2dms_wmts_v1_TOPO25K109</v>
      </c>
      <c r="S342" s="39" t="s">
        <v>155</v>
      </c>
      <c r="U342" s="27" t="str">
        <f>_xlfn.XLOOKUP(表格1[[#This Row],[服務類別(英)]],參考2_服務標準對照!$B:$B,參考2_服務標準對照!$C:$C,"")&amp;""</f>
        <v>OGC</v>
      </c>
      <c r="V342" s="29" t="s">
        <v>7</v>
      </c>
      <c r="W342" s="29" t="s">
        <v>163</v>
      </c>
      <c r="X342" s="29" t="s">
        <v>81</v>
      </c>
      <c r="Y342" s="36" t="s">
        <v>83</v>
      </c>
      <c r="Z342" s="36" t="s">
        <v>157</v>
      </c>
      <c r="AA342" s="36" t="s">
        <v>1159</v>
      </c>
      <c r="AB342" s="36"/>
      <c r="AC342" s="36"/>
      <c r="AD342" s="29" t="s">
        <v>119</v>
      </c>
      <c r="AE342" s="36" t="str">
        <f>_xlfn.XLOOKUP(表格1[[#This Row],[唯一識別碼]],API清冊0707!B:B,API清冊0707!T:T,"")&amp;""</f>
        <v>無下拉選單</v>
      </c>
    </row>
    <row r="343" spans="1:31" ht="204.75" customHeight="1" x14ac:dyDescent="0.4">
      <c r="A343" s="29" t="s">
        <v>1520</v>
      </c>
      <c r="B343" s="29"/>
      <c r="C343" s="29"/>
      <c r="D343" s="29" t="s">
        <v>1521</v>
      </c>
      <c r="E343" s="29" t="s">
        <v>1522</v>
      </c>
      <c r="F343" s="29" t="s">
        <v>1523</v>
      </c>
      <c r="G343" s="35"/>
      <c r="H343" s="35" t="s">
        <v>151</v>
      </c>
      <c r="I343" s="29" t="s">
        <v>1520</v>
      </c>
      <c r="J343" s="37"/>
      <c r="K343" s="38"/>
      <c r="L343" s="38"/>
      <c r="M343" s="36" t="s">
        <v>60</v>
      </c>
      <c r="N343" s="15" t="s">
        <v>152</v>
      </c>
      <c r="O343" s="36" t="s">
        <v>162</v>
      </c>
      <c r="P343" s="36" t="str">
        <f t="shared" si="10"/>
        <v>WMTS_1/25000地形圖(108年)</v>
      </c>
      <c r="Q343" s="29" t="s">
        <v>1523</v>
      </c>
      <c r="R343" s="29" t="str">
        <f t="shared" si="11"/>
        <v>2dms_wmts_v1_TOPO25K108</v>
      </c>
      <c r="S343" s="39" t="s">
        <v>155</v>
      </c>
      <c r="U343" s="27" t="str">
        <f>_xlfn.XLOOKUP(表格1[[#This Row],[服務類別(英)]],參考2_服務標準對照!$B:$B,參考2_服務標準對照!$C:$C,"")&amp;""</f>
        <v>OGC</v>
      </c>
      <c r="V343" s="29" t="s">
        <v>7</v>
      </c>
      <c r="W343" s="29" t="s">
        <v>163</v>
      </c>
      <c r="X343" s="29" t="s">
        <v>81</v>
      </c>
      <c r="Y343" s="36" t="s">
        <v>83</v>
      </c>
      <c r="Z343" s="36" t="s">
        <v>157</v>
      </c>
      <c r="AA343" s="36" t="s">
        <v>1159</v>
      </c>
      <c r="AB343" s="36"/>
      <c r="AC343" s="36"/>
      <c r="AD343" s="29" t="s">
        <v>119</v>
      </c>
      <c r="AE343" s="36" t="str">
        <f>_xlfn.XLOOKUP(表格1[[#This Row],[唯一識別碼]],API清冊0707!B:B,API清冊0707!T:T,"")&amp;""</f>
        <v>無下拉選單</v>
      </c>
    </row>
    <row r="344" spans="1:31" ht="204.75" customHeight="1" x14ac:dyDescent="0.4">
      <c r="A344" s="29" t="s">
        <v>1524</v>
      </c>
      <c r="B344" s="29"/>
      <c r="C344" s="29"/>
      <c r="D344" s="29" t="s">
        <v>1525</v>
      </c>
      <c r="E344" s="29" t="s">
        <v>1526</v>
      </c>
      <c r="F344" s="29" t="s">
        <v>1527</v>
      </c>
      <c r="G344" s="35"/>
      <c r="H344" s="35" t="s">
        <v>151</v>
      </c>
      <c r="I344" s="29" t="s">
        <v>1524</v>
      </c>
      <c r="J344" s="37"/>
      <c r="K344" s="38"/>
      <c r="L344" s="38"/>
      <c r="M344" s="36" t="s">
        <v>60</v>
      </c>
      <c r="N344" s="15" t="s">
        <v>152</v>
      </c>
      <c r="O344" s="36" t="s">
        <v>162</v>
      </c>
      <c r="P344" s="36" t="str">
        <f t="shared" si="10"/>
        <v>WMTS_1/25000地形圖(107年)</v>
      </c>
      <c r="Q344" s="29" t="s">
        <v>1527</v>
      </c>
      <c r="R344" s="29" t="str">
        <f t="shared" si="11"/>
        <v>2dms_wmts_v1_TOPO25K107</v>
      </c>
      <c r="S344" s="39" t="s">
        <v>155</v>
      </c>
      <c r="U344" s="27" t="str">
        <f>_xlfn.XLOOKUP(表格1[[#This Row],[服務類別(英)]],參考2_服務標準對照!$B:$B,參考2_服務標準對照!$C:$C,"")&amp;""</f>
        <v>OGC</v>
      </c>
      <c r="V344" s="29" t="s">
        <v>7</v>
      </c>
      <c r="W344" s="29" t="s">
        <v>163</v>
      </c>
      <c r="X344" s="29" t="s">
        <v>81</v>
      </c>
      <c r="Y344" s="36" t="s">
        <v>83</v>
      </c>
      <c r="Z344" s="36" t="s">
        <v>157</v>
      </c>
      <c r="AA344" s="36" t="s">
        <v>1159</v>
      </c>
      <c r="AB344" s="36"/>
      <c r="AC344" s="36"/>
      <c r="AD344" s="29" t="s">
        <v>119</v>
      </c>
      <c r="AE344" s="36" t="str">
        <f>_xlfn.XLOOKUP(表格1[[#This Row],[唯一識別碼]],API清冊0707!B:B,API清冊0707!T:T,"")&amp;""</f>
        <v>無下拉選單</v>
      </c>
    </row>
    <row r="345" spans="1:31" ht="204.75" customHeight="1" x14ac:dyDescent="0.4">
      <c r="A345" s="29" t="s">
        <v>1528</v>
      </c>
      <c r="B345" s="29"/>
      <c r="C345" s="29"/>
      <c r="D345" s="29" t="s">
        <v>1529</v>
      </c>
      <c r="E345" s="29" t="s">
        <v>1530</v>
      </c>
      <c r="F345" s="29" t="s">
        <v>1531</v>
      </c>
      <c r="G345" s="35"/>
      <c r="H345" s="35" t="s">
        <v>151</v>
      </c>
      <c r="I345" s="29" t="s">
        <v>1528</v>
      </c>
      <c r="J345" s="37"/>
      <c r="K345" s="38"/>
      <c r="L345" s="38"/>
      <c r="M345" s="36" t="s">
        <v>60</v>
      </c>
      <c r="N345" s="15" t="s">
        <v>152</v>
      </c>
      <c r="O345" s="36" t="s">
        <v>162</v>
      </c>
      <c r="P345" s="36" t="str">
        <f t="shared" si="10"/>
        <v>WMTS_1/100000地形圖(114年)</v>
      </c>
      <c r="Q345" s="29" t="s">
        <v>1531</v>
      </c>
      <c r="R345" s="29" t="str">
        <f t="shared" si="11"/>
        <v>2dms_wmts_v1_TOPO10M114</v>
      </c>
      <c r="S345" s="39" t="s">
        <v>155</v>
      </c>
      <c r="U345" s="27" t="str">
        <f>_xlfn.XLOOKUP(表格1[[#This Row],[服務類別(英)]],參考2_服務標準對照!$B:$B,參考2_服務標準對照!$C:$C,"")&amp;""</f>
        <v>OGC</v>
      </c>
      <c r="V345" s="29" t="s">
        <v>7</v>
      </c>
      <c r="W345" s="29" t="s">
        <v>163</v>
      </c>
      <c r="X345" s="29" t="s">
        <v>81</v>
      </c>
      <c r="Y345" s="36" t="s">
        <v>83</v>
      </c>
      <c r="Z345" s="36" t="s">
        <v>157</v>
      </c>
      <c r="AA345" s="36" t="s">
        <v>1159</v>
      </c>
      <c r="AB345" s="36"/>
      <c r="AC345" s="36"/>
      <c r="AD345" s="29" t="s">
        <v>119</v>
      </c>
      <c r="AE345" s="36" t="str">
        <f>_xlfn.XLOOKUP(表格1[[#This Row],[唯一識別碼]],API清冊0707!B:B,API清冊0707!T:T,"")&amp;""</f>
        <v>無下拉選單</v>
      </c>
    </row>
    <row r="346" spans="1:31" ht="204.75" customHeight="1" x14ac:dyDescent="0.4">
      <c r="A346" s="29" t="s">
        <v>1532</v>
      </c>
      <c r="B346" s="29"/>
      <c r="C346" s="29"/>
      <c r="D346" s="29" t="s">
        <v>1533</v>
      </c>
      <c r="E346" s="29" t="s">
        <v>1534</v>
      </c>
      <c r="F346" s="29" t="s">
        <v>1535</v>
      </c>
      <c r="G346" s="35"/>
      <c r="H346" s="35" t="s">
        <v>151</v>
      </c>
      <c r="I346" s="29" t="s">
        <v>1532</v>
      </c>
      <c r="J346" s="37"/>
      <c r="K346" s="38"/>
      <c r="L346" s="38"/>
      <c r="M346" s="36" t="s">
        <v>60</v>
      </c>
      <c r="N346" s="15" t="s">
        <v>152</v>
      </c>
      <c r="O346" s="36" t="s">
        <v>162</v>
      </c>
      <c r="P346" s="36" t="str">
        <f t="shared" si="10"/>
        <v>WMTS_1/100000地形圖(113年)</v>
      </c>
      <c r="Q346" s="29" t="s">
        <v>1535</v>
      </c>
      <c r="R346" s="29" t="str">
        <f t="shared" si="11"/>
        <v>2dms_wmts_v1_TOPO10M113</v>
      </c>
      <c r="S346" s="39" t="s">
        <v>155</v>
      </c>
      <c r="U346" s="27" t="str">
        <f>_xlfn.XLOOKUP(表格1[[#This Row],[服務類別(英)]],參考2_服務標準對照!$B:$B,參考2_服務標準對照!$C:$C,"")&amp;""</f>
        <v>OGC</v>
      </c>
      <c r="V346" s="29" t="s">
        <v>7</v>
      </c>
      <c r="W346" s="29" t="s">
        <v>163</v>
      </c>
      <c r="X346" s="29" t="s">
        <v>81</v>
      </c>
      <c r="Y346" s="36" t="s">
        <v>83</v>
      </c>
      <c r="Z346" s="36" t="s">
        <v>157</v>
      </c>
      <c r="AA346" s="36" t="s">
        <v>1159</v>
      </c>
      <c r="AB346" s="36"/>
      <c r="AC346" s="36"/>
      <c r="AD346" s="29" t="s">
        <v>119</v>
      </c>
      <c r="AE346" s="36" t="str">
        <f>_xlfn.XLOOKUP(表格1[[#This Row],[唯一識別碼]],API清冊0707!B:B,API清冊0707!T:T,"")&amp;""</f>
        <v>無下拉選單</v>
      </c>
    </row>
    <row r="347" spans="1:31" ht="204.75" customHeight="1" x14ac:dyDescent="0.4">
      <c r="A347" s="29" t="s">
        <v>1536</v>
      </c>
      <c r="B347" s="29"/>
      <c r="C347" s="29"/>
      <c r="D347" s="29" t="s">
        <v>1537</v>
      </c>
      <c r="E347" s="29" t="s">
        <v>1538</v>
      </c>
      <c r="F347" s="29" t="s">
        <v>1539</v>
      </c>
      <c r="G347" s="35"/>
      <c r="H347" s="35" t="s">
        <v>151</v>
      </c>
      <c r="I347" s="29" t="s">
        <v>1536</v>
      </c>
      <c r="J347" s="37"/>
      <c r="K347" s="38"/>
      <c r="L347" s="38"/>
      <c r="M347" s="36" t="s">
        <v>60</v>
      </c>
      <c r="N347" s="15" t="s">
        <v>152</v>
      </c>
      <c r="O347" s="36" t="s">
        <v>162</v>
      </c>
      <c r="P347" s="36" t="str">
        <f t="shared" si="10"/>
        <v>WMTS_1/100000地形圖(112年)</v>
      </c>
      <c r="Q347" s="29" t="s">
        <v>1539</v>
      </c>
      <c r="R347" s="29" t="str">
        <f t="shared" si="11"/>
        <v>2dms_wmts_v1_TOPO10M112</v>
      </c>
      <c r="S347" s="39" t="s">
        <v>155</v>
      </c>
      <c r="U347" s="27" t="str">
        <f>_xlfn.XLOOKUP(表格1[[#This Row],[服務類別(英)]],參考2_服務標準對照!$B:$B,參考2_服務標準對照!$C:$C,"")&amp;""</f>
        <v>OGC</v>
      </c>
      <c r="V347" s="29" t="s">
        <v>7</v>
      </c>
      <c r="W347" s="29" t="s">
        <v>163</v>
      </c>
      <c r="X347" s="29" t="s">
        <v>81</v>
      </c>
      <c r="Y347" s="36" t="s">
        <v>83</v>
      </c>
      <c r="Z347" s="36" t="s">
        <v>157</v>
      </c>
      <c r="AA347" s="36" t="s">
        <v>1159</v>
      </c>
      <c r="AB347" s="36"/>
      <c r="AC347" s="36"/>
      <c r="AD347" s="29" t="s">
        <v>119</v>
      </c>
      <c r="AE347" s="36" t="str">
        <f>_xlfn.XLOOKUP(表格1[[#This Row],[唯一識別碼]],API清冊0707!B:B,API清冊0707!T:T,"")&amp;""</f>
        <v>無下拉選單</v>
      </c>
    </row>
    <row r="348" spans="1:31" ht="204.75" customHeight="1" x14ac:dyDescent="0.4">
      <c r="A348" s="29" t="s">
        <v>1540</v>
      </c>
      <c r="B348" s="29"/>
      <c r="C348" s="29"/>
      <c r="D348" s="29" t="s">
        <v>1541</v>
      </c>
      <c r="E348" s="29" t="s">
        <v>1542</v>
      </c>
      <c r="F348" s="29" t="s">
        <v>1543</v>
      </c>
      <c r="G348" s="35"/>
      <c r="H348" s="35" t="s">
        <v>151</v>
      </c>
      <c r="I348" s="29" t="s">
        <v>1540</v>
      </c>
      <c r="J348" s="37"/>
      <c r="K348" s="38"/>
      <c r="L348" s="38"/>
      <c r="M348" s="36" t="s">
        <v>60</v>
      </c>
      <c r="N348" s="15" t="s">
        <v>152</v>
      </c>
      <c r="O348" s="36" t="s">
        <v>162</v>
      </c>
      <c r="P348" s="36" t="str">
        <f t="shared" si="10"/>
        <v>WMTS_1/100000地形圖(111年)</v>
      </c>
      <c r="Q348" s="29" t="s">
        <v>1543</v>
      </c>
      <c r="R348" s="29" t="str">
        <f t="shared" si="11"/>
        <v>2dms_wmts_v1_TOPO10M111</v>
      </c>
      <c r="S348" s="39" t="s">
        <v>155</v>
      </c>
      <c r="U348" s="27" t="str">
        <f>_xlfn.XLOOKUP(表格1[[#This Row],[服務類別(英)]],參考2_服務標準對照!$B:$B,參考2_服務標準對照!$C:$C,"")&amp;""</f>
        <v>OGC</v>
      </c>
      <c r="V348" s="29" t="s">
        <v>7</v>
      </c>
      <c r="W348" s="29" t="s">
        <v>163</v>
      </c>
      <c r="X348" s="29" t="s">
        <v>81</v>
      </c>
      <c r="Y348" s="36" t="s">
        <v>83</v>
      </c>
      <c r="Z348" s="36" t="s">
        <v>157</v>
      </c>
      <c r="AA348" s="36" t="s">
        <v>1159</v>
      </c>
      <c r="AB348" s="36"/>
      <c r="AC348" s="36"/>
      <c r="AD348" s="29" t="s">
        <v>119</v>
      </c>
      <c r="AE348" s="36" t="str">
        <f>_xlfn.XLOOKUP(表格1[[#This Row],[唯一識別碼]],API清冊0707!B:B,API清冊0707!T:T,"")&amp;""</f>
        <v>無下拉選單</v>
      </c>
    </row>
    <row r="349" spans="1:31" ht="204.75" customHeight="1" x14ac:dyDescent="0.4">
      <c r="A349" s="29" t="s">
        <v>1544</v>
      </c>
      <c r="B349" s="29"/>
      <c r="C349" s="29"/>
      <c r="D349" s="29" t="s">
        <v>1545</v>
      </c>
      <c r="E349" s="29" t="s">
        <v>1546</v>
      </c>
      <c r="F349" s="29" t="s">
        <v>1547</v>
      </c>
      <c r="G349" s="35"/>
      <c r="H349" s="35" t="s">
        <v>151</v>
      </c>
      <c r="I349" s="29" t="s">
        <v>1544</v>
      </c>
      <c r="J349" s="37"/>
      <c r="K349" s="38"/>
      <c r="L349" s="38"/>
      <c r="M349" s="36" t="s">
        <v>60</v>
      </c>
      <c r="N349" s="15" t="s">
        <v>152</v>
      </c>
      <c r="O349" s="36" t="s">
        <v>162</v>
      </c>
      <c r="P349" s="36" t="str">
        <f t="shared" si="10"/>
        <v>WMTS_1/100000地形圖(110年)</v>
      </c>
      <c r="Q349" s="29" t="s">
        <v>1547</v>
      </c>
      <c r="R349" s="29" t="str">
        <f t="shared" si="11"/>
        <v>2dms_wmts_v1_TOPO10M110</v>
      </c>
      <c r="S349" s="39" t="s">
        <v>155</v>
      </c>
      <c r="U349" s="27" t="str">
        <f>_xlfn.XLOOKUP(表格1[[#This Row],[服務類別(英)]],參考2_服務標準對照!$B:$B,參考2_服務標準對照!$C:$C,"")&amp;""</f>
        <v>OGC</v>
      </c>
      <c r="V349" s="29" t="s">
        <v>7</v>
      </c>
      <c r="W349" s="29" t="s">
        <v>163</v>
      </c>
      <c r="X349" s="29" t="s">
        <v>81</v>
      </c>
      <c r="Y349" s="36" t="s">
        <v>83</v>
      </c>
      <c r="Z349" s="36" t="s">
        <v>157</v>
      </c>
      <c r="AA349" s="36" t="s">
        <v>1159</v>
      </c>
      <c r="AB349" s="36"/>
      <c r="AC349" s="36"/>
      <c r="AD349" s="29" t="s">
        <v>119</v>
      </c>
      <c r="AE349" s="36" t="str">
        <f>_xlfn.XLOOKUP(表格1[[#This Row],[唯一識別碼]],API清冊0707!B:B,API清冊0707!T:T,"")&amp;""</f>
        <v>無下拉選單</v>
      </c>
    </row>
    <row r="350" spans="1:31" ht="204.75" customHeight="1" x14ac:dyDescent="0.4">
      <c r="A350" s="29" t="s">
        <v>1548</v>
      </c>
      <c r="B350" s="29"/>
      <c r="C350" s="29"/>
      <c r="D350" s="29" t="s">
        <v>1549</v>
      </c>
      <c r="E350" s="29" t="s">
        <v>1550</v>
      </c>
      <c r="F350" s="29" t="s">
        <v>1551</v>
      </c>
      <c r="G350" s="35"/>
      <c r="H350" s="35" t="s">
        <v>151</v>
      </c>
      <c r="I350" s="29" t="s">
        <v>1548</v>
      </c>
      <c r="J350" s="37"/>
      <c r="K350" s="38"/>
      <c r="L350" s="38"/>
      <c r="M350" s="36" t="s">
        <v>60</v>
      </c>
      <c r="N350" s="15" t="s">
        <v>152</v>
      </c>
      <c r="O350" s="36" t="s">
        <v>162</v>
      </c>
      <c r="P350" s="36" t="str">
        <f t="shared" si="10"/>
        <v>WMTS_1/100000地形圖(109年)</v>
      </c>
      <c r="Q350" s="29" t="s">
        <v>1551</v>
      </c>
      <c r="R350" s="29" t="str">
        <f t="shared" si="11"/>
        <v>2dms_wmts_v1_TOPO10M109</v>
      </c>
      <c r="S350" s="39" t="s">
        <v>155</v>
      </c>
      <c r="U350" s="27" t="str">
        <f>_xlfn.XLOOKUP(表格1[[#This Row],[服務類別(英)]],參考2_服務標準對照!$B:$B,參考2_服務標準對照!$C:$C,"")&amp;""</f>
        <v>OGC</v>
      </c>
      <c r="V350" s="29" t="s">
        <v>7</v>
      </c>
      <c r="W350" s="29" t="s">
        <v>163</v>
      </c>
      <c r="X350" s="29" t="s">
        <v>81</v>
      </c>
      <c r="Y350" s="36" t="s">
        <v>83</v>
      </c>
      <c r="Z350" s="36" t="s">
        <v>157</v>
      </c>
      <c r="AA350" s="36" t="s">
        <v>1159</v>
      </c>
      <c r="AB350" s="36"/>
      <c r="AC350" s="36"/>
      <c r="AD350" s="29" t="s">
        <v>119</v>
      </c>
      <c r="AE350" s="36" t="str">
        <f>_xlfn.XLOOKUP(表格1[[#This Row],[唯一識別碼]],API清冊0707!B:B,API清冊0707!T:T,"")&amp;""</f>
        <v>無下拉選單</v>
      </c>
    </row>
    <row r="351" spans="1:31" ht="204.75" customHeight="1" x14ac:dyDescent="0.4">
      <c r="A351" s="29" t="s">
        <v>1552</v>
      </c>
      <c r="B351" s="29"/>
      <c r="C351" s="29"/>
      <c r="D351" s="29" t="s">
        <v>1553</v>
      </c>
      <c r="E351" s="29" t="s">
        <v>1554</v>
      </c>
      <c r="F351" s="29" t="s">
        <v>1555</v>
      </c>
      <c r="G351" s="35"/>
      <c r="H351" s="35" t="s">
        <v>151</v>
      </c>
      <c r="I351" s="29" t="s">
        <v>1552</v>
      </c>
      <c r="J351" s="37"/>
      <c r="K351" s="38"/>
      <c r="L351" s="38"/>
      <c r="M351" s="36" t="s">
        <v>60</v>
      </c>
      <c r="N351" s="15" t="s">
        <v>152</v>
      </c>
      <c r="O351" s="36" t="s">
        <v>162</v>
      </c>
      <c r="P351" s="36" t="str">
        <f t="shared" si="10"/>
        <v>WMTS_1/100000地形圖(107年)</v>
      </c>
      <c r="Q351" s="29" t="s">
        <v>1555</v>
      </c>
      <c r="R351" s="29" t="str">
        <f t="shared" si="11"/>
        <v>2dms_wmts_v1_TOPO10M107</v>
      </c>
      <c r="S351" s="39" t="s">
        <v>155</v>
      </c>
      <c r="U351" s="27" t="str">
        <f>_xlfn.XLOOKUP(表格1[[#This Row],[服務類別(英)]],參考2_服務標準對照!$B:$B,參考2_服務標準對照!$C:$C,"")&amp;""</f>
        <v>OGC</v>
      </c>
      <c r="V351" s="29" t="s">
        <v>7</v>
      </c>
      <c r="W351" s="29" t="s">
        <v>163</v>
      </c>
      <c r="X351" s="29" t="s">
        <v>81</v>
      </c>
      <c r="Y351" s="36" t="s">
        <v>83</v>
      </c>
      <c r="Z351" s="36" t="s">
        <v>157</v>
      </c>
      <c r="AA351" s="36" t="s">
        <v>1159</v>
      </c>
      <c r="AB351" s="36"/>
      <c r="AC351" s="36"/>
      <c r="AD351" s="29" t="s">
        <v>119</v>
      </c>
      <c r="AE351" s="36" t="str">
        <f>_xlfn.XLOOKUP(表格1[[#This Row],[唯一識別碼]],API清冊0707!B:B,API清冊0707!T:T,"")&amp;""</f>
        <v>無下拉選單</v>
      </c>
    </row>
    <row r="352" spans="1:31" ht="204.75" customHeight="1" x14ac:dyDescent="0.4">
      <c r="A352" s="29" t="s">
        <v>1556</v>
      </c>
      <c r="B352" s="29"/>
      <c r="C352" s="29"/>
      <c r="D352" s="29" t="s">
        <v>1557</v>
      </c>
      <c r="E352" s="29" t="s">
        <v>1558</v>
      </c>
      <c r="F352" s="29" t="s">
        <v>1559</v>
      </c>
      <c r="G352" s="35"/>
      <c r="H352" s="35" t="s">
        <v>151</v>
      </c>
      <c r="I352" s="29" t="s">
        <v>1556</v>
      </c>
      <c r="J352" s="37"/>
      <c r="K352" s="38"/>
      <c r="L352" s="38"/>
      <c r="M352" s="36" t="s">
        <v>60</v>
      </c>
      <c r="N352" s="15" t="s">
        <v>152</v>
      </c>
      <c r="O352" s="36" t="s">
        <v>162</v>
      </c>
      <c r="P352" s="36" t="str">
        <f t="shared" si="10"/>
        <v>WMTS_1/10000像片基本圖(69-72年)</v>
      </c>
      <c r="Q352" s="29" t="s">
        <v>1559</v>
      </c>
      <c r="R352" s="29" t="str">
        <f t="shared" si="11"/>
        <v>2dms_wmts_v1_TOPO10KPHOTO</v>
      </c>
      <c r="S352" s="39" t="s">
        <v>155</v>
      </c>
      <c r="U352" s="27" t="str">
        <f>_xlfn.XLOOKUP(表格1[[#This Row],[服務類別(英)]],參考2_服務標準對照!$B:$B,參考2_服務標準對照!$C:$C,"")&amp;""</f>
        <v>OGC</v>
      </c>
      <c r="V352" s="29" t="s">
        <v>7</v>
      </c>
      <c r="W352" s="29" t="s">
        <v>163</v>
      </c>
      <c r="X352" s="29" t="s">
        <v>81</v>
      </c>
      <c r="Y352" s="36" t="s">
        <v>83</v>
      </c>
      <c r="Z352" s="36" t="s">
        <v>157</v>
      </c>
      <c r="AA352" s="36" t="s">
        <v>186</v>
      </c>
      <c r="AB352" s="36"/>
      <c r="AC352" s="36"/>
      <c r="AD352" s="29" t="s">
        <v>119</v>
      </c>
      <c r="AE352" s="36" t="str">
        <f>_xlfn.XLOOKUP(表格1[[#This Row],[唯一識別碼]],API清冊0707!B:B,API清冊0707!T:T,"")&amp;""</f>
        <v>無下拉選單</v>
      </c>
    </row>
    <row r="353" spans="1:31" ht="220.5" customHeight="1" x14ac:dyDescent="0.4">
      <c r="A353" s="29" t="s">
        <v>1560</v>
      </c>
      <c r="B353" s="29"/>
      <c r="C353" s="29"/>
      <c r="D353" s="29" t="s">
        <v>1561</v>
      </c>
      <c r="E353" s="29" t="s">
        <v>1562</v>
      </c>
      <c r="F353" s="29" t="s">
        <v>1563</v>
      </c>
      <c r="G353" s="35"/>
      <c r="H353" s="35" t="s">
        <v>151</v>
      </c>
      <c r="I353" s="29" t="s">
        <v>1560</v>
      </c>
      <c r="J353" s="37"/>
      <c r="K353" s="38"/>
      <c r="L353" s="38"/>
      <c r="M353" s="36" t="s">
        <v>60</v>
      </c>
      <c r="N353" s="15" t="s">
        <v>152</v>
      </c>
      <c r="O353" s="36" t="s">
        <v>162</v>
      </c>
      <c r="P353" s="36" t="str">
        <f t="shared" si="10"/>
        <v>WMTS_1/5000像片基本圖(114年)</v>
      </c>
      <c r="Q353" s="29" t="s">
        <v>1563</v>
      </c>
      <c r="R353" s="29" t="str">
        <f t="shared" si="11"/>
        <v>2dms_wmts_v1_TOPO05KPHOTO114</v>
      </c>
      <c r="S353" s="39" t="s">
        <v>155</v>
      </c>
      <c r="U353" s="27" t="str">
        <f>_xlfn.XLOOKUP(表格1[[#This Row],[服務類別(英)]],參考2_服務標準對照!$B:$B,參考2_服務標準對照!$C:$C,"")&amp;""</f>
        <v>OGC</v>
      </c>
      <c r="V353" s="29" t="s">
        <v>7</v>
      </c>
      <c r="W353" s="29" t="s">
        <v>163</v>
      </c>
      <c r="X353" s="29" t="s">
        <v>81</v>
      </c>
      <c r="Y353" s="36" t="s">
        <v>83</v>
      </c>
      <c r="Z353" s="36" t="s">
        <v>157</v>
      </c>
      <c r="AA353" s="36" t="s">
        <v>186</v>
      </c>
      <c r="AB353" s="36"/>
      <c r="AC353" s="36"/>
      <c r="AD353" s="29" t="s">
        <v>119</v>
      </c>
      <c r="AE353" s="36" t="str">
        <f>_xlfn.XLOOKUP(表格1[[#This Row],[唯一識別碼]],API清冊0707!B:B,API清冊0707!T:T,"")&amp;""</f>
        <v>無下拉選單</v>
      </c>
    </row>
    <row r="354" spans="1:31" ht="220.5" customHeight="1" x14ac:dyDescent="0.4">
      <c r="A354" s="29" t="s">
        <v>1564</v>
      </c>
      <c r="B354" s="29"/>
      <c r="C354" s="29"/>
      <c r="D354" s="29" t="s">
        <v>1565</v>
      </c>
      <c r="E354" s="29" t="s">
        <v>1566</v>
      </c>
      <c r="F354" s="29" t="s">
        <v>1567</v>
      </c>
      <c r="G354" s="35"/>
      <c r="H354" s="35" t="s">
        <v>151</v>
      </c>
      <c r="I354" s="29" t="s">
        <v>1564</v>
      </c>
      <c r="J354" s="37"/>
      <c r="K354" s="38"/>
      <c r="L354" s="38"/>
      <c r="M354" s="36" t="s">
        <v>60</v>
      </c>
      <c r="N354" s="15" t="s">
        <v>152</v>
      </c>
      <c r="O354" s="36" t="s">
        <v>162</v>
      </c>
      <c r="P354" s="36" t="str">
        <f t="shared" si="10"/>
        <v>WMTS_1/5000像片基本圖(113年)</v>
      </c>
      <c r="Q354" s="29" t="s">
        <v>1567</v>
      </c>
      <c r="R354" s="29" t="str">
        <f t="shared" si="11"/>
        <v>2dms_wmts_v1_TOPO05KPHOTO113</v>
      </c>
      <c r="S354" s="39" t="s">
        <v>155</v>
      </c>
      <c r="U354" s="27" t="str">
        <f>_xlfn.XLOOKUP(表格1[[#This Row],[服務類別(英)]],參考2_服務標準對照!$B:$B,參考2_服務標準對照!$C:$C,"")&amp;""</f>
        <v>OGC</v>
      </c>
      <c r="V354" s="29" t="s">
        <v>7</v>
      </c>
      <c r="W354" s="29" t="s">
        <v>163</v>
      </c>
      <c r="X354" s="29" t="s">
        <v>81</v>
      </c>
      <c r="Y354" s="36" t="s">
        <v>83</v>
      </c>
      <c r="Z354" s="36" t="s">
        <v>157</v>
      </c>
      <c r="AA354" s="36" t="s">
        <v>186</v>
      </c>
      <c r="AB354" s="36"/>
      <c r="AC354" s="36"/>
      <c r="AD354" s="29" t="s">
        <v>119</v>
      </c>
      <c r="AE354" s="36" t="str">
        <f>_xlfn.XLOOKUP(表格1[[#This Row],[唯一識別碼]],API清冊0707!B:B,API清冊0707!T:T,"")&amp;""</f>
        <v>無下拉選單</v>
      </c>
    </row>
    <row r="355" spans="1:31" ht="220.5" customHeight="1" x14ac:dyDescent="0.4">
      <c r="A355" s="29" t="s">
        <v>1568</v>
      </c>
      <c r="B355" s="29"/>
      <c r="C355" s="29"/>
      <c r="D355" s="29" t="s">
        <v>1569</v>
      </c>
      <c r="E355" s="29" t="s">
        <v>1570</v>
      </c>
      <c r="F355" s="29" t="s">
        <v>1571</v>
      </c>
      <c r="G355" s="35"/>
      <c r="H355" s="35" t="s">
        <v>151</v>
      </c>
      <c r="I355" s="29" t="s">
        <v>1568</v>
      </c>
      <c r="J355" s="37"/>
      <c r="K355" s="38"/>
      <c r="L355" s="38"/>
      <c r="M355" s="36" t="s">
        <v>60</v>
      </c>
      <c r="N355" s="15" t="s">
        <v>152</v>
      </c>
      <c r="O355" s="36" t="s">
        <v>162</v>
      </c>
      <c r="P355" s="36" t="str">
        <f t="shared" si="10"/>
        <v>WMTS_1/5000像片基本圖(112年)</v>
      </c>
      <c r="Q355" s="29" t="s">
        <v>1571</v>
      </c>
      <c r="R355" s="29" t="str">
        <f t="shared" si="11"/>
        <v>2dms_wmts_v1_TOPO05KPHOTO112</v>
      </c>
      <c r="S355" s="39" t="s">
        <v>155</v>
      </c>
      <c r="U355" s="27" t="str">
        <f>_xlfn.XLOOKUP(表格1[[#This Row],[服務類別(英)]],參考2_服務標準對照!$B:$B,參考2_服務標準對照!$C:$C,"")&amp;""</f>
        <v>OGC</v>
      </c>
      <c r="V355" s="29" t="s">
        <v>7</v>
      </c>
      <c r="W355" s="29" t="s">
        <v>163</v>
      </c>
      <c r="X355" s="29" t="s">
        <v>81</v>
      </c>
      <c r="Y355" s="36" t="s">
        <v>83</v>
      </c>
      <c r="Z355" s="36" t="s">
        <v>157</v>
      </c>
      <c r="AA355" s="36" t="s">
        <v>186</v>
      </c>
      <c r="AB355" s="36"/>
      <c r="AC355" s="36"/>
      <c r="AD355" s="29" t="s">
        <v>119</v>
      </c>
      <c r="AE355" s="36" t="str">
        <f>_xlfn.XLOOKUP(表格1[[#This Row],[唯一識別碼]],API清冊0707!B:B,API清冊0707!T:T,"")&amp;""</f>
        <v>無下拉選單</v>
      </c>
    </row>
    <row r="356" spans="1:31" ht="220.5" customHeight="1" x14ac:dyDescent="0.4">
      <c r="A356" s="29" t="s">
        <v>1572</v>
      </c>
      <c r="B356" s="29"/>
      <c r="C356" s="29"/>
      <c r="D356" s="29" t="s">
        <v>1573</v>
      </c>
      <c r="E356" s="29" t="s">
        <v>1574</v>
      </c>
      <c r="F356" s="29" t="s">
        <v>1575</v>
      </c>
      <c r="G356" s="35"/>
      <c r="H356" s="35" t="s">
        <v>151</v>
      </c>
      <c r="I356" s="29" t="s">
        <v>1572</v>
      </c>
      <c r="J356" s="37"/>
      <c r="K356" s="38"/>
      <c r="L356" s="38"/>
      <c r="M356" s="36" t="s">
        <v>60</v>
      </c>
      <c r="N356" s="15" t="s">
        <v>152</v>
      </c>
      <c r="O356" s="36" t="s">
        <v>162</v>
      </c>
      <c r="P356" s="36" t="str">
        <f t="shared" si="10"/>
        <v>WMTS_1/5000像片基本圖(111年)</v>
      </c>
      <c r="Q356" s="29" t="s">
        <v>1575</v>
      </c>
      <c r="R356" s="29" t="str">
        <f t="shared" si="11"/>
        <v>2dms_wmts_v1_TOPO05KPHOTO111</v>
      </c>
      <c r="S356" s="39" t="s">
        <v>155</v>
      </c>
      <c r="U356" s="27" t="str">
        <f>_xlfn.XLOOKUP(表格1[[#This Row],[服務類別(英)]],參考2_服務標準對照!$B:$B,參考2_服務標準對照!$C:$C,"")&amp;""</f>
        <v>OGC</v>
      </c>
      <c r="V356" s="29" t="s">
        <v>7</v>
      </c>
      <c r="W356" s="29" t="s">
        <v>163</v>
      </c>
      <c r="X356" s="29" t="s">
        <v>81</v>
      </c>
      <c r="Y356" s="36" t="s">
        <v>83</v>
      </c>
      <c r="Z356" s="36" t="s">
        <v>157</v>
      </c>
      <c r="AA356" s="36" t="s">
        <v>186</v>
      </c>
      <c r="AB356" s="36"/>
      <c r="AC356" s="36"/>
      <c r="AD356" s="29" t="s">
        <v>119</v>
      </c>
      <c r="AE356" s="36" t="str">
        <f>_xlfn.XLOOKUP(表格1[[#This Row],[唯一識別碼]],API清冊0707!B:B,API清冊0707!T:T,"")&amp;""</f>
        <v>無下拉選單</v>
      </c>
    </row>
    <row r="357" spans="1:31" ht="220.5" customHeight="1" x14ac:dyDescent="0.4">
      <c r="A357" s="29" t="s">
        <v>1576</v>
      </c>
      <c r="B357" s="29"/>
      <c r="C357" s="29"/>
      <c r="D357" s="29" t="s">
        <v>1577</v>
      </c>
      <c r="E357" s="29" t="s">
        <v>1578</v>
      </c>
      <c r="F357" s="29" t="s">
        <v>1579</v>
      </c>
      <c r="G357" s="35"/>
      <c r="H357" s="35" t="s">
        <v>151</v>
      </c>
      <c r="I357" s="29" t="s">
        <v>1576</v>
      </c>
      <c r="J357" s="37"/>
      <c r="K357" s="38"/>
      <c r="L357" s="38"/>
      <c r="M357" s="36" t="s">
        <v>60</v>
      </c>
      <c r="N357" s="15" t="s">
        <v>152</v>
      </c>
      <c r="O357" s="36" t="s">
        <v>162</v>
      </c>
      <c r="P357" s="36" t="str">
        <f t="shared" si="10"/>
        <v>WMTS_1/5000像片基本圖(110年)</v>
      </c>
      <c r="Q357" s="29" t="s">
        <v>1579</v>
      </c>
      <c r="R357" s="29" t="str">
        <f t="shared" si="11"/>
        <v>2dms_wmts_v1_TOPO05KPHOTO110</v>
      </c>
      <c r="S357" s="39" t="s">
        <v>155</v>
      </c>
      <c r="U357" s="27" t="str">
        <f>_xlfn.XLOOKUP(表格1[[#This Row],[服務類別(英)]],參考2_服務標準對照!$B:$B,參考2_服務標準對照!$C:$C,"")&amp;""</f>
        <v>OGC</v>
      </c>
      <c r="V357" s="29" t="s">
        <v>7</v>
      </c>
      <c r="W357" s="29" t="s">
        <v>163</v>
      </c>
      <c r="X357" s="29" t="s">
        <v>81</v>
      </c>
      <c r="Y357" s="36" t="s">
        <v>83</v>
      </c>
      <c r="Z357" s="36" t="s">
        <v>157</v>
      </c>
      <c r="AA357" s="36" t="s">
        <v>186</v>
      </c>
      <c r="AB357" s="36"/>
      <c r="AC357" s="36"/>
      <c r="AD357" s="29" t="s">
        <v>119</v>
      </c>
      <c r="AE357" s="36" t="str">
        <f>_xlfn.XLOOKUP(表格1[[#This Row],[唯一識別碼]],API清冊0707!B:B,API清冊0707!T:T,"")&amp;""</f>
        <v>無下拉選單</v>
      </c>
    </row>
    <row r="358" spans="1:31" ht="220.5" customHeight="1" x14ac:dyDescent="0.4">
      <c r="A358" s="29" t="s">
        <v>1580</v>
      </c>
      <c r="B358" s="29"/>
      <c r="C358" s="29"/>
      <c r="D358" s="29" t="s">
        <v>1581</v>
      </c>
      <c r="E358" s="29" t="s">
        <v>1582</v>
      </c>
      <c r="F358" s="29" t="s">
        <v>1583</v>
      </c>
      <c r="G358" s="35"/>
      <c r="H358" s="35" t="s">
        <v>151</v>
      </c>
      <c r="I358" s="29" t="s">
        <v>1580</v>
      </c>
      <c r="J358" s="37"/>
      <c r="K358" s="38"/>
      <c r="L358" s="38"/>
      <c r="M358" s="36" t="s">
        <v>60</v>
      </c>
      <c r="N358" s="15" t="s">
        <v>152</v>
      </c>
      <c r="O358" s="36" t="s">
        <v>162</v>
      </c>
      <c r="P358" s="36" t="str">
        <f t="shared" si="10"/>
        <v>WMTS_1/5000像片基本圖(109年)</v>
      </c>
      <c r="Q358" s="29" t="s">
        <v>1583</v>
      </c>
      <c r="R358" s="29" t="str">
        <f t="shared" si="11"/>
        <v>2dms_wmts_v1_TOPO05KPHOTO109</v>
      </c>
      <c r="S358" s="39" t="s">
        <v>155</v>
      </c>
      <c r="U358" s="27" t="str">
        <f>_xlfn.XLOOKUP(表格1[[#This Row],[服務類別(英)]],參考2_服務標準對照!$B:$B,參考2_服務標準對照!$C:$C,"")&amp;""</f>
        <v>OGC</v>
      </c>
      <c r="V358" s="29" t="s">
        <v>7</v>
      </c>
      <c r="W358" s="29" t="s">
        <v>163</v>
      </c>
      <c r="X358" s="29" t="s">
        <v>81</v>
      </c>
      <c r="Y358" s="36" t="s">
        <v>83</v>
      </c>
      <c r="Z358" s="36" t="s">
        <v>157</v>
      </c>
      <c r="AA358" s="36" t="s">
        <v>186</v>
      </c>
      <c r="AB358" s="36"/>
      <c r="AC358" s="36"/>
      <c r="AD358" s="29" t="s">
        <v>119</v>
      </c>
      <c r="AE358" s="36" t="str">
        <f>_xlfn.XLOOKUP(表格1[[#This Row],[唯一識別碼]],API清冊0707!B:B,API清冊0707!T:T,"")&amp;""</f>
        <v>無下拉選單</v>
      </c>
    </row>
    <row r="359" spans="1:31" ht="220.5" customHeight="1" x14ac:dyDescent="0.4">
      <c r="A359" s="29" t="s">
        <v>1584</v>
      </c>
      <c r="B359" s="29"/>
      <c r="C359" s="29"/>
      <c r="D359" s="29" t="s">
        <v>1585</v>
      </c>
      <c r="E359" s="29" t="s">
        <v>1586</v>
      </c>
      <c r="F359" s="29" t="s">
        <v>1587</v>
      </c>
      <c r="G359" s="35"/>
      <c r="H359" s="35" t="s">
        <v>151</v>
      </c>
      <c r="I359" s="29" t="s">
        <v>1584</v>
      </c>
      <c r="J359" s="37"/>
      <c r="K359" s="38"/>
      <c r="L359" s="38"/>
      <c r="M359" s="36" t="s">
        <v>60</v>
      </c>
      <c r="N359" s="15" t="s">
        <v>152</v>
      </c>
      <c r="O359" s="36" t="s">
        <v>162</v>
      </c>
      <c r="P359" s="36" t="str">
        <f t="shared" si="10"/>
        <v>WMTS_1/5000像片基本圖(108年)</v>
      </c>
      <c r="Q359" s="29" t="s">
        <v>1587</v>
      </c>
      <c r="R359" s="29" t="str">
        <f t="shared" si="11"/>
        <v>2dms_wmts_v1_TOPO05KPHOTO108</v>
      </c>
      <c r="S359" s="39" t="s">
        <v>155</v>
      </c>
      <c r="U359" s="27" t="str">
        <f>_xlfn.XLOOKUP(表格1[[#This Row],[服務類別(英)]],參考2_服務標準對照!$B:$B,參考2_服務標準對照!$C:$C,"")&amp;""</f>
        <v>OGC</v>
      </c>
      <c r="V359" s="29" t="s">
        <v>7</v>
      </c>
      <c r="W359" s="29" t="s">
        <v>163</v>
      </c>
      <c r="X359" s="29" t="s">
        <v>81</v>
      </c>
      <c r="Y359" s="36" t="s">
        <v>83</v>
      </c>
      <c r="Z359" s="36" t="s">
        <v>157</v>
      </c>
      <c r="AA359" s="36" t="s">
        <v>186</v>
      </c>
      <c r="AB359" s="36"/>
      <c r="AC359" s="36"/>
      <c r="AD359" s="29" t="s">
        <v>119</v>
      </c>
      <c r="AE359" s="36" t="str">
        <f>_xlfn.XLOOKUP(表格1[[#This Row],[唯一識別碼]],API清冊0707!B:B,API清冊0707!T:T,"")&amp;""</f>
        <v>無下拉選單</v>
      </c>
    </row>
    <row r="360" spans="1:31" ht="220.5" customHeight="1" x14ac:dyDescent="0.4">
      <c r="A360" s="29" t="s">
        <v>1588</v>
      </c>
      <c r="B360" s="29"/>
      <c r="C360" s="29"/>
      <c r="D360" s="29" t="s">
        <v>1589</v>
      </c>
      <c r="E360" s="29" t="s">
        <v>1590</v>
      </c>
      <c r="F360" s="29" t="s">
        <v>1591</v>
      </c>
      <c r="G360" s="35"/>
      <c r="H360" s="35" t="s">
        <v>151</v>
      </c>
      <c r="I360" s="29" t="s">
        <v>1588</v>
      </c>
      <c r="J360" s="37"/>
      <c r="K360" s="38"/>
      <c r="L360" s="38"/>
      <c r="M360" s="36" t="s">
        <v>60</v>
      </c>
      <c r="N360" s="15" t="s">
        <v>152</v>
      </c>
      <c r="O360" s="36" t="s">
        <v>162</v>
      </c>
      <c r="P360" s="36" t="str">
        <f t="shared" si="10"/>
        <v>WMTS_1/5000像片基本圖(107年)</v>
      </c>
      <c r="Q360" s="29" t="s">
        <v>1591</v>
      </c>
      <c r="R360" s="29" t="str">
        <f t="shared" si="11"/>
        <v>2dms_wmts_v1_TOPO05KPHOTO107</v>
      </c>
      <c r="S360" s="39" t="s">
        <v>155</v>
      </c>
      <c r="U360" s="27" t="str">
        <f>_xlfn.XLOOKUP(表格1[[#This Row],[服務類別(英)]],參考2_服務標準對照!$B:$B,參考2_服務標準對照!$C:$C,"")&amp;""</f>
        <v>OGC</v>
      </c>
      <c r="V360" s="29" t="s">
        <v>7</v>
      </c>
      <c r="W360" s="29" t="s">
        <v>163</v>
      </c>
      <c r="X360" s="29" t="s">
        <v>81</v>
      </c>
      <c r="Y360" s="36" t="s">
        <v>83</v>
      </c>
      <c r="Z360" s="36" t="s">
        <v>157</v>
      </c>
      <c r="AA360" s="36" t="s">
        <v>186</v>
      </c>
      <c r="AB360" s="36"/>
      <c r="AC360" s="36"/>
      <c r="AD360" s="29" t="s">
        <v>119</v>
      </c>
      <c r="AE360" s="36" t="str">
        <f>_xlfn.XLOOKUP(表格1[[#This Row],[唯一識別碼]],API清冊0707!B:B,API清冊0707!T:T,"")&amp;""</f>
        <v>無下拉選單</v>
      </c>
    </row>
    <row r="361" spans="1:31" ht="220.5" customHeight="1" x14ac:dyDescent="0.4">
      <c r="A361" s="29" t="s">
        <v>1592</v>
      </c>
      <c r="B361" s="29"/>
      <c r="C361" s="29"/>
      <c r="D361" s="29" t="s">
        <v>1593</v>
      </c>
      <c r="E361" s="29" t="s">
        <v>1594</v>
      </c>
      <c r="F361" s="29" t="s">
        <v>1595</v>
      </c>
      <c r="G361" s="35"/>
      <c r="H361" s="35" t="s">
        <v>151</v>
      </c>
      <c r="I361" s="29" t="s">
        <v>1592</v>
      </c>
      <c r="J361" s="37"/>
      <c r="K361" s="38"/>
      <c r="L361" s="38"/>
      <c r="M361" s="36" t="s">
        <v>60</v>
      </c>
      <c r="N361" s="15" t="s">
        <v>152</v>
      </c>
      <c r="O361" s="36" t="s">
        <v>162</v>
      </c>
      <c r="P361" s="36" t="str">
        <f t="shared" si="10"/>
        <v>WMTS_1/5000像片基本圖(106年)</v>
      </c>
      <c r="Q361" s="29" t="s">
        <v>1595</v>
      </c>
      <c r="R361" s="29" t="str">
        <f t="shared" si="11"/>
        <v>2dms_wmts_v1_TOPO05KPHOTO106</v>
      </c>
      <c r="S361" s="39" t="s">
        <v>155</v>
      </c>
      <c r="U361" s="27" t="str">
        <f>_xlfn.XLOOKUP(表格1[[#This Row],[服務類別(英)]],參考2_服務標準對照!$B:$B,參考2_服務標準對照!$C:$C,"")&amp;""</f>
        <v>OGC</v>
      </c>
      <c r="V361" s="29" t="s">
        <v>7</v>
      </c>
      <c r="W361" s="29" t="s">
        <v>163</v>
      </c>
      <c r="X361" s="29" t="s">
        <v>81</v>
      </c>
      <c r="Y361" s="36" t="s">
        <v>83</v>
      </c>
      <c r="Z361" s="36" t="s">
        <v>157</v>
      </c>
      <c r="AA361" s="36" t="s">
        <v>186</v>
      </c>
      <c r="AB361" s="36"/>
      <c r="AC361" s="36"/>
      <c r="AD361" s="29" t="s">
        <v>119</v>
      </c>
      <c r="AE361" s="36" t="str">
        <f>_xlfn.XLOOKUP(表格1[[#This Row],[唯一識別碼]],API清冊0707!B:B,API清冊0707!T:T,"")&amp;""</f>
        <v>無下拉選單</v>
      </c>
    </row>
    <row r="362" spans="1:31" ht="220.5" customHeight="1" x14ac:dyDescent="0.4">
      <c r="A362" s="29" t="s">
        <v>1596</v>
      </c>
      <c r="B362" s="29"/>
      <c r="C362" s="29"/>
      <c r="D362" s="29" t="s">
        <v>1597</v>
      </c>
      <c r="E362" s="29" t="s">
        <v>1598</v>
      </c>
      <c r="F362" s="29" t="s">
        <v>1599</v>
      </c>
      <c r="G362" s="35"/>
      <c r="H362" s="35" t="s">
        <v>151</v>
      </c>
      <c r="I362" s="29" t="s">
        <v>1596</v>
      </c>
      <c r="J362" s="37"/>
      <c r="K362" s="38"/>
      <c r="L362" s="38"/>
      <c r="M362" s="36" t="s">
        <v>60</v>
      </c>
      <c r="N362" s="15" t="s">
        <v>152</v>
      </c>
      <c r="O362" s="36" t="s">
        <v>162</v>
      </c>
      <c r="P362" s="36" t="str">
        <f t="shared" si="10"/>
        <v>WMTS_1/5000像片基本圖(105年)</v>
      </c>
      <c r="Q362" s="29" t="s">
        <v>1599</v>
      </c>
      <c r="R362" s="29" t="str">
        <f t="shared" si="11"/>
        <v>2dms_wmts_v1_TOPO05KPHOTO105</v>
      </c>
      <c r="S362" s="39" t="s">
        <v>155</v>
      </c>
      <c r="U362" s="27" t="str">
        <f>_xlfn.XLOOKUP(表格1[[#This Row],[服務類別(英)]],參考2_服務標準對照!$B:$B,參考2_服務標準對照!$C:$C,"")&amp;""</f>
        <v>OGC</v>
      </c>
      <c r="V362" s="29" t="s">
        <v>7</v>
      </c>
      <c r="W362" s="29" t="s">
        <v>163</v>
      </c>
      <c r="X362" s="29" t="s">
        <v>81</v>
      </c>
      <c r="Y362" s="36" t="s">
        <v>83</v>
      </c>
      <c r="Z362" s="36" t="s">
        <v>157</v>
      </c>
      <c r="AA362" s="36" t="s">
        <v>186</v>
      </c>
      <c r="AB362" s="36"/>
      <c r="AC362" s="36"/>
      <c r="AD362" s="29" t="s">
        <v>119</v>
      </c>
      <c r="AE362" s="36" t="str">
        <f>_xlfn.XLOOKUP(表格1[[#This Row],[唯一識別碼]],API清冊0707!B:B,API清冊0707!T:T,"")&amp;""</f>
        <v>無下拉選單</v>
      </c>
    </row>
    <row r="363" spans="1:31" ht="220.5" customHeight="1" x14ac:dyDescent="0.4">
      <c r="A363" s="29" t="s">
        <v>1600</v>
      </c>
      <c r="B363" s="29"/>
      <c r="C363" s="29"/>
      <c r="D363" s="29" t="s">
        <v>1601</v>
      </c>
      <c r="E363" s="29" t="s">
        <v>1602</v>
      </c>
      <c r="F363" s="29" t="s">
        <v>1603</v>
      </c>
      <c r="G363" s="35"/>
      <c r="H363" s="35" t="s">
        <v>151</v>
      </c>
      <c r="I363" s="29" t="s">
        <v>1600</v>
      </c>
      <c r="J363" s="37"/>
      <c r="K363" s="38"/>
      <c r="L363" s="38"/>
      <c r="M363" s="36" t="s">
        <v>60</v>
      </c>
      <c r="N363" s="15" t="s">
        <v>152</v>
      </c>
      <c r="O363" s="36" t="s">
        <v>162</v>
      </c>
      <c r="P363" s="36" t="str">
        <f t="shared" si="10"/>
        <v>WMTS_1/5000像片基本圖(104年)</v>
      </c>
      <c r="Q363" s="29" t="s">
        <v>1603</v>
      </c>
      <c r="R363" s="29" t="str">
        <f t="shared" si="11"/>
        <v>2dms_wmts_v1_TOPO05KPHOTO104</v>
      </c>
      <c r="S363" s="39" t="s">
        <v>155</v>
      </c>
      <c r="U363" s="27" t="str">
        <f>_xlfn.XLOOKUP(表格1[[#This Row],[服務類別(英)]],參考2_服務標準對照!$B:$B,參考2_服務標準對照!$C:$C,"")&amp;""</f>
        <v>OGC</v>
      </c>
      <c r="V363" s="29" t="s">
        <v>7</v>
      </c>
      <c r="W363" s="29" t="s">
        <v>163</v>
      </c>
      <c r="X363" s="29" t="s">
        <v>81</v>
      </c>
      <c r="Y363" s="36" t="s">
        <v>83</v>
      </c>
      <c r="Z363" s="36" t="s">
        <v>157</v>
      </c>
      <c r="AA363" s="36" t="s">
        <v>186</v>
      </c>
      <c r="AB363" s="36"/>
      <c r="AC363" s="36"/>
      <c r="AD363" s="29" t="s">
        <v>119</v>
      </c>
      <c r="AE363" s="36" t="str">
        <f>_xlfn.XLOOKUP(表格1[[#This Row],[唯一識別碼]],API清冊0707!B:B,API清冊0707!T:T,"")&amp;""</f>
        <v>無下拉選單</v>
      </c>
    </row>
    <row r="364" spans="1:31" ht="220.5" customHeight="1" x14ac:dyDescent="0.4">
      <c r="A364" s="29" t="s">
        <v>1604</v>
      </c>
      <c r="B364" s="29"/>
      <c r="C364" s="29"/>
      <c r="D364" s="29" t="s">
        <v>1605</v>
      </c>
      <c r="E364" s="29" t="s">
        <v>1606</v>
      </c>
      <c r="F364" s="29" t="s">
        <v>1607</v>
      </c>
      <c r="G364" s="35"/>
      <c r="H364" s="35" t="s">
        <v>151</v>
      </c>
      <c r="I364" s="29" t="s">
        <v>1604</v>
      </c>
      <c r="J364" s="37"/>
      <c r="K364" s="38"/>
      <c r="L364" s="38"/>
      <c r="M364" s="36" t="s">
        <v>60</v>
      </c>
      <c r="N364" s="15" t="s">
        <v>152</v>
      </c>
      <c r="O364" s="36" t="s">
        <v>162</v>
      </c>
      <c r="P364" s="36" t="str">
        <f t="shared" si="10"/>
        <v>WMTS_1/5000像片基本圖(103年)</v>
      </c>
      <c r="Q364" s="29" t="s">
        <v>1607</v>
      </c>
      <c r="R364" s="29" t="str">
        <f t="shared" si="11"/>
        <v>2dms_wmts_v1_TOPO05KPHOTO103</v>
      </c>
      <c r="S364" s="39" t="s">
        <v>155</v>
      </c>
      <c r="U364" s="27" t="str">
        <f>_xlfn.XLOOKUP(表格1[[#This Row],[服務類別(英)]],參考2_服務標準對照!$B:$B,參考2_服務標準對照!$C:$C,"")&amp;""</f>
        <v>OGC</v>
      </c>
      <c r="V364" s="29" t="s">
        <v>7</v>
      </c>
      <c r="W364" s="29" t="s">
        <v>163</v>
      </c>
      <c r="X364" s="29" t="s">
        <v>81</v>
      </c>
      <c r="Y364" s="36" t="s">
        <v>83</v>
      </c>
      <c r="Z364" s="36" t="s">
        <v>157</v>
      </c>
      <c r="AA364" s="36" t="s">
        <v>186</v>
      </c>
      <c r="AB364" s="36"/>
      <c r="AC364" s="36"/>
      <c r="AD364" s="29" t="s">
        <v>119</v>
      </c>
      <c r="AE364" s="36" t="str">
        <f>_xlfn.XLOOKUP(表格1[[#This Row],[唯一識別碼]],API清冊0707!B:B,API清冊0707!T:T,"")&amp;""</f>
        <v>無下拉選單</v>
      </c>
    </row>
    <row r="365" spans="1:31" ht="220.5" customHeight="1" x14ac:dyDescent="0.4">
      <c r="A365" s="29" t="s">
        <v>1608</v>
      </c>
      <c r="B365" s="29"/>
      <c r="C365" s="29"/>
      <c r="D365" s="29" t="s">
        <v>1609</v>
      </c>
      <c r="E365" s="29" t="s">
        <v>1610</v>
      </c>
      <c r="F365" s="29" t="s">
        <v>1611</v>
      </c>
      <c r="G365" s="35"/>
      <c r="H365" s="35" t="s">
        <v>151</v>
      </c>
      <c r="I365" s="29" t="s">
        <v>1608</v>
      </c>
      <c r="J365" s="37"/>
      <c r="K365" s="38"/>
      <c r="L365" s="38"/>
      <c r="M365" s="36" t="s">
        <v>60</v>
      </c>
      <c r="N365" s="15" t="s">
        <v>152</v>
      </c>
      <c r="O365" s="36" t="s">
        <v>162</v>
      </c>
      <c r="P365" s="36" t="str">
        <f t="shared" si="10"/>
        <v>WMTS_1/5000像片基本圖(102年)</v>
      </c>
      <c r="Q365" s="29" t="s">
        <v>1611</v>
      </c>
      <c r="R365" s="29" t="str">
        <f t="shared" si="11"/>
        <v>2dms_wmts_v1_TOPO05KPHOTO102</v>
      </c>
      <c r="S365" s="39" t="s">
        <v>155</v>
      </c>
      <c r="U365" s="27" t="str">
        <f>_xlfn.XLOOKUP(表格1[[#This Row],[服務類別(英)]],參考2_服務標準對照!$B:$B,參考2_服務標準對照!$C:$C,"")&amp;""</f>
        <v>OGC</v>
      </c>
      <c r="V365" s="29" t="s">
        <v>7</v>
      </c>
      <c r="W365" s="29" t="s">
        <v>163</v>
      </c>
      <c r="X365" s="29" t="s">
        <v>81</v>
      </c>
      <c r="Y365" s="36" t="s">
        <v>83</v>
      </c>
      <c r="Z365" s="36" t="s">
        <v>157</v>
      </c>
      <c r="AA365" s="36" t="s">
        <v>186</v>
      </c>
      <c r="AB365" s="36"/>
      <c r="AC365" s="36"/>
      <c r="AD365" s="29" t="s">
        <v>119</v>
      </c>
      <c r="AE365" s="36" t="str">
        <f>_xlfn.XLOOKUP(表格1[[#This Row],[唯一識別碼]],API清冊0707!B:B,API清冊0707!T:T,"")&amp;""</f>
        <v>無下拉選單</v>
      </c>
    </row>
    <row r="366" spans="1:31" ht="220.5" customHeight="1" x14ac:dyDescent="0.4">
      <c r="A366" s="29" t="s">
        <v>1612</v>
      </c>
      <c r="B366" s="29"/>
      <c r="C366" s="29"/>
      <c r="D366" s="29" t="s">
        <v>1613</v>
      </c>
      <c r="E366" s="29" t="s">
        <v>1614</v>
      </c>
      <c r="F366" s="29" t="s">
        <v>1615</v>
      </c>
      <c r="G366" s="35"/>
      <c r="H366" s="35" t="s">
        <v>151</v>
      </c>
      <c r="I366" s="29" t="s">
        <v>1612</v>
      </c>
      <c r="J366" s="37"/>
      <c r="K366" s="38"/>
      <c r="L366" s="38"/>
      <c r="M366" s="36" t="s">
        <v>60</v>
      </c>
      <c r="N366" s="15" t="s">
        <v>152</v>
      </c>
      <c r="O366" s="36" t="s">
        <v>162</v>
      </c>
      <c r="P366" s="36" t="str">
        <f t="shared" si="10"/>
        <v>WMTS_1/5000像片基本圖(101年)</v>
      </c>
      <c r="Q366" s="29" t="s">
        <v>1615</v>
      </c>
      <c r="R366" s="29" t="str">
        <f t="shared" si="11"/>
        <v>2dms_wmts_v1_TOPO05KPHOTO101</v>
      </c>
      <c r="S366" s="39" t="s">
        <v>155</v>
      </c>
      <c r="U366" s="27" t="str">
        <f>_xlfn.XLOOKUP(表格1[[#This Row],[服務類別(英)]],參考2_服務標準對照!$B:$B,參考2_服務標準對照!$C:$C,"")&amp;""</f>
        <v>OGC</v>
      </c>
      <c r="V366" s="29" t="s">
        <v>7</v>
      </c>
      <c r="W366" s="29" t="s">
        <v>163</v>
      </c>
      <c r="X366" s="29" t="s">
        <v>81</v>
      </c>
      <c r="Y366" s="36" t="s">
        <v>83</v>
      </c>
      <c r="Z366" s="36" t="s">
        <v>157</v>
      </c>
      <c r="AA366" s="36" t="s">
        <v>186</v>
      </c>
      <c r="AB366" s="36"/>
      <c r="AC366" s="36"/>
      <c r="AD366" s="29" t="s">
        <v>119</v>
      </c>
      <c r="AE366" s="36" t="str">
        <f>_xlfn.XLOOKUP(表格1[[#This Row],[唯一識別碼]],API清冊0707!B:B,API清冊0707!T:T,"")&amp;""</f>
        <v>無下拉選單</v>
      </c>
    </row>
    <row r="367" spans="1:31" ht="220.5" customHeight="1" x14ac:dyDescent="0.4">
      <c r="A367" s="29" t="s">
        <v>1616</v>
      </c>
      <c r="B367" s="29"/>
      <c r="C367" s="29"/>
      <c r="D367" s="29" t="s">
        <v>1617</v>
      </c>
      <c r="E367" s="29" t="s">
        <v>1618</v>
      </c>
      <c r="F367" s="29" t="s">
        <v>1619</v>
      </c>
      <c r="G367" s="35"/>
      <c r="H367" s="35" t="s">
        <v>151</v>
      </c>
      <c r="I367" s="29" t="s">
        <v>1616</v>
      </c>
      <c r="J367" s="37"/>
      <c r="K367" s="38"/>
      <c r="L367" s="38"/>
      <c r="M367" s="36" t="s">
        <v>60</v>
      </c>
      <c r="N367" s="15" t="s">
        <v>152</v>
      </c>
      <c r="O367" s="36" t="s">
        <v>162</v>
      </c>
      <c r="P367" s="36" t="str">
        <f t="shared" si="10"/>
        <v>WMTS_1/5000像片基本圖(100年)</v>
      </c>
      <c r="Q367" s="29" t="s">
        <v>1619</v>
      </c>
      <c r="R367" s="29" t="str">
        <f t="shared" si="11"/>
        <v>2dms_wmts_v1_TOPO05KPHOTO100</v>
      </c>
      <c r="S367" s="39" t="s">
        <v>155</v>
      </c>
      <c r="U367" s="27" t="str">
        <f>_xlfn.XLOOKUP(表格1[[#This Row],[服務類別(英)]],參考2_服務標準對照!$B:$B,參考2_服務標準對照!$C:$C,"")&amp;""</f>
        <v>OGC</v>
      </c>
      <c r="V367" s="29" t="s">
        <v>7</v>
      </c>
      <c r="W367" s="29" t="s">
        <v>163</v>
      </c>
      <c r="X367" s="29" t="s">
        <v>81</v>
      </c>
      <c r="Y367" s="36" t="s">
        <v>83</v>
      </c>
      <c r="Z367" s="36" t="s">
        <v>157</v>
      </c>
      <c r="AA367" s="36" t="s">
        <v>186</v>
      </c>
      <c r="AB367" s="36"/>
      <c r="AC367" s="36"/>
      <c r="AD367" s="29" t="s">
        <v>119</v>
      </c>
      <c r="AE367" s="36" t="str">
        <f>_xlfn.XLOOKUP(表格1[[#This Row],[唯一識別碼]],API清冊0707!B:B,API清冊0707!T:T,"")&amp;""</f>
        <v>無下拉選單</v>
      </c>
    </row>
    <row r="368" spans="1:31" ht="220.5" customHeight="1" x14ac:dyDescent="0.4">
      <c r="A368" s="29" t="s">
        <v>1620</v>
      </c>
      <c r="B368" s="29"/>
      <c r="C368" s="29"/>
      <c r="D368" s="29" t="s">
        <v>1621</v>
      </c>
      <c r="E368" s="29" t="s">
        <v>1622</v>
      </c>
      <c r="F368" s="29" t="s">
        <v>1623</v>
      </c>
      <c r="G368" s="35"/>
      <c r="H368" s="35" t="s">
        <v>151</v>
      </c>
      <c r="I368" s="29" t="s">
        <v>1620</v>
      </c>
      <c r="J368" s="37"/>
      <c r="K368" s="38"/>
      <c r="L368" s="38"/>
      <c r="M368" s="36" t="s">
        <v>60</v>
      </c>
      <c r="N368" s="15" t="s">
        <v>152</v>
      </c>
      <c r="O368" s="36" t="s">
        <v>162</v>
      </c>
      <c r="P368" s="36" t="str">
        <f t="shared" si="10"/>
        <v>WMTS_1/5000像片基本圖(99年)</v>
      </c>
      <c r="Q368" s="29" t="s">
        <v>1623</v>
      </c>
      <c r="R368" s="29" t="str">
        <f t="shared" si="11"/>
        <v>2dms_wmts_v1_TOPO05KPHOTO099</v>
      </c>
      <c r="S368" s="39" t="s">
        <v>155</v>
      </c>
      <c r="U368" s="27" t="str">
        <f>_xlfn.XLOOKUP(表格1[[#This Row],[服務類別(英)]],參考2_服務標準對照!$B:$B,參考2_服務標準對照!$C:$C,"")&amp;""</f>
        <v>OGC</v>
      </c>
      <c r="V368" s="29" t="s">
        <v>7</v>
      </c>
      <c r="W368" s="29" t="s">
        <v>163</v>
      </c>
      <c r="X368" s="29" t="s">
        <v>81</v>
      </c>
      <c r="Y368" s="36" t="s">
        <v>83</v>
      </c>
      <c r="Z368" s="36" t="s">
        <v>157</v>
      </c>
      <c r="AA368" s="36" t="s">
        <v>186</v>
      </c>
      <c r="AB368" s="36"/>
      <c r="AC368" s="36"/>
      <c r="AD368" s="29" t="s">
        <v>119</v>
      </c>
      <c r="AE368" s="36" t="str">
        <f>_xlfn.XLOOKUP(表格1[[#This Row],[唯一識別碼]],API清冊0707!B:B,API清冊0707!T:T,"")&amp;""</f>
        <v>無下拉選單</v>
      </c>
    </row>
    <row r="369" spans="1:31" ht="220.5" customHeight="1" x14ac:dyDescent="0.4">
      <c r="A369" s="29" t="s">
        <v>1624</v>
      </c>
      <c r="B369" s="29"/>
      <c r="C369" s="29"/>
      <c r="D369" s="29" t="s">
        <v>1625</v>
      </c>
      <c r="E369" s="29" t="s">
        <v>1626</v>
      </c>
      <c r="F369" s="29" t="s">
        <v>1627</v>
      </c>
      <c r="G369" s="35"/>
      <c r="H369" s="35" t="s">
        <v>151</v>
      </c>
      <c r="I369" s="29" t="s">
        <v>1624</v>
      </c>
      <c r="J369" s="37"/>
      <c r="K369" s="38"/>
      <c r="L369" s="38"/>
      <c r="M369" s="36" t="s">
        <v>60</v>
      </c>
      <c r="N369" s="15" t="s">
        <v>152</v>
      </c>
      <c r="O369" s="36" t="s">
        <v>162</v>
      </c>
      <c r="P369" s="36" t="str">
        <f t="shared" si="10"/>
        <v>WMTS_1/5000像片基本圖(98年)</v>
      </c>
      <c r="Q369" s="29" t="s">
        <v>1627</v>
      </c>
      <c r="R369" s="29" t="str">
        <f t="shared" si="11"/>
        <v>2dms_wmts_v1_TOPO05KPHOTO098</v>
      </c>
      <c r="S369" s="39" t="s">
        <v>155</v>
      </c>
      <c r="U369" s="27" t="str">
        <f>_xlfn.XLOOKUP(表格1[[#This Row],[服務類別(英)]],參考2_服務標準對照!$B:$B,參考2_服務標準對照!$C:$C,"")&amp;""</f>
        <v>OGC</v>
      </c>
      <c r="V369" s="29" t="s">
        <v>7</v>
      </c>
      <c r="W369" s="29" t="s">
        <v>163</v>
      </c>
      <c r="X369" s="29" t="s">
        <v>81</v>
      </c>
      <c r="Y369" s="36" t="s">
        <v>83</v>
      </c>
      <c r="Z369" s="36" t="s">
        <v>157</v>
      </c>
      <c r="AA369" s="36" t="s">
        <v>186</v>
      </c>
      <c r="AB369" s="36"/>
      <c r="AC369" s="36"/>
      <c r="AD369" s="29" t="s">
        <v>119</v>
      </c>
      <c r="AE369" s="36" t="str">
        <f>_xlfn.XLOOKUP(表格1[[#This Row],[唯一識別碼]],API清冊0707!B:B,API清冊0707!T:T,"")&amp;""</f>
        <v>無下拉選單</v>
      </c>
    </row>
    <row r="370" spans="1:31" ht="220.5" customHeight="1" x14ac:dyDescent="0.4">
      <c r="A370" s="29" t="s">
        <v>1628</v>
      </c>
      <c r="B370" s="29"/>
      <c r="C370" s="29"/>
      <c r="D370" s="29" t="s">
        <v>1629</v>
      </c>
      <c r="E370" s="29" t="s">
        <v>1630</v>
      </c>
      <c r="F370" s="29" t="s">
        <v>1631</v>
      </c>
      <c r="G370" s="35"/>
      <c r="H370" s="35" t="s">
        <v>151</v>
      </c>
      <c r="I370" s="29" t="s">
        <v>1628</v>
      </c>
      <c r="J370" s="37"/>
      <c r="K370" s="38"/>
      <c r="L370" s="38"/>
      <c r="M370" s="36" t="s">
        <v>60</v>
      </c>
      <c r="N370" s="15" t="s">
        <v>152</v>
      </c>
      <c r="O370" s="36" t="s">
        <v>162</v>
      </c>
      <c r="P370" s="36" t="str">
        <f t="shared" si="10"/>
        <v>WMTS_1/5000像片基本圖(97年)</v>
      </c>
      <c r="Q370" s="29" t="s">
        <v>1631</v>
      </c>
      <c r="R370" s="29" t="str">
        <f t="shared" si="11"/>
        <v>2dms_wmts_v1_TOPO05KPHOTO097</v>
      </c>
      <c r="S370" s="39" t="s">
        <v>155</v>
      </c>
      <c r="U370" s="27" t="str">
        <f>_xlfn.XLOOKUP(表格1[[#This Row],[服務類別(英)]],參考2_服務標準對照!$B:$B,參考2_服務標準對照!$C:$C,"")&amp;""</f>
        <v>OGC</v>
      </c>
      <c r="V370" s="29" t="s">
        <v>7</v>
      </c>
      <c r="W370" s="29" t="s">
        <v>163</v>
      </c>
      <c r="X370" s="29" t="s">
        <v>81</v>
      </c>
      <c r="Y370" s="36" t="s">
        <v>83</v>
      </c>
      <c r="Z370" s="36" t="s">
        <v>157</v>
      </c>
      <c r="AA370" s="36" t="s">
        <v>186</v>
      </c>
      <c r="AB370" s="36"/>
      <c r="AC370" s="36"/>
      <c r="AD370" s="29" t="s">
        <v>119</v>
      </c>
      <c r="AE370" s="36" t="str">
        <f>_xlfn.XLOOKUP(表格1[[#This Row],[唯一識別碼]],API清冊0707!B:B,API清冊0707!T:T,"")&amp;""</f>
        <v>無下拉選單</v>
      </c>
    </row>
    <row r="371" spans="1:31" ht="220.5" customHeight="1" x14ac:dyDescent="0.4">
      <c r="A371" s="29" t="s">
        <v>1632</v>
      </c>
      <c r="B371" s="29"/>
      <c r="C371" s="29"/>
      <c r="D371" s="29" t="s">
        <v>1633</v>
      </c>
      <c r="E371" s="29" t="s">
        <v>1634</v>
      </c>
      <c r="F371" s="29" t="s">
        <v>1635</v>
      </c>
      <c r="G371" s="35"/>
      <c r="H371" s="35" t="s">
        <v>151</v>
      </c>
      <c r="I371" s="29" t="s">
        <v>1632</v>
      </c>
      <c r="J371" s="37"/>
      <c r="K371" s="38"/>
      <c r="L371" s="38"/>
      <c r="M371" s="36" t="s">
        <v>60</v>
      </c>
      <c r="N371" s="15" t="s">
        <v>152</v>
      </c>
      <c r="O371" s="36" t="s">
        <v>162</v>
      </c>
      <c r="P371" s="36" t="str">
        <f t="shared" si="10"/>
        <v>WMTS_1/5000像片基本圖(96年)</v>
      </c>
      <c r="Q371" s="29" t="s">
        <v>1635</v>
      </c>
      <c r="R371" s="29" t="str">
        <f t="shared" si="11"/>
        <v>2dms_wmts_v1_TOPO05KPHOTO096</v>
      </c>
      <c r="S371" s="39" t="s">
        <v>155</v>
      </c>
      <c r="U371" s="27" t="str">
        <f>_xlfn.XLOOKUP(表格1[[#This Row],[服務類別(英)]],參考2_服務標準對照!$B:$B,參考2_服務標準對照!$C:$C,"")&amp;""</f>
        <v>OGC</v>
      </c>
      <c r="V371" s="29" t="s">
        <v>7</v>
      </c>
      <c r="W371" s="29" t="s">
        <v>163</v>
      </c>
      <c r="X371" s="29" t="s">
        <v>81</v>
      </c>
      <c r="Y371" s="36" t="s">
        <v>83</v>
      </c>
      <c r="Z371" s="36" t="s">
        <v>157</v>
      </c>
      <c r="AA371" s="36" t="s">
        <v>186</v>
      </c>
      <c r="AB371" s="36"/>
      <c r="AC371" s="36"/>
      <c r="AD371" s="29" t="s">
        <v>119</v>
      </c>
      <c r="AE371" s="36" t="str">
        <f>_xlfn.XLOOKUP(表格1[[#This Row],[唯一識別碼]],API清冊0707!B:B,API清冊0707!T:T,"")&amp;""</f>
        <v>無下拉選單</v>
      </c>
    </row>
    <row r="372" spans="1:31" ht="220.5" customHeight="1" x14ac:dyDescent="0.4">
      <c r="A372" s="29" t="s">
        <v>1636</v>
      </c>
      <c r="B372" s="29"/>
      <c r="C372" s="29"/>
      <c r="D372" s="29" t="s">
        <v>1637</v>
      </c>
      <c r="E372" s="29" t="s">
        <v>1638</v>
      </c>
      <c r="F372" s="29" t="s">
        <v>1639</v>
      </c>
      <c r="G372" s="35"/>
      <c r="H372" s="35" t="s">
        <v>151</v>
      </c>
      <c r="I372" s="29" t="s">
        <v>1636</v>
      </c>
      <c r="J372" s="37"/>
      <c r="K372" s="38"/>
      <c r="L372" s="38"/>
      <c r="M372" s="36" t="s">
        <v>60</v>
      </c>
      <c r="N372" s="15" t="s">
        <v>152</v>
      </c>
      <c r="O372" s="36" t="s">
        <v>162</v>
      </c>
      <c r="P372" s="36" t="str">
        <f t="shared" si="10"/>
        <v>WMTS_1/5000像片基本圖(95年)</v>
      </c>
      <c r="Q372" s="29" t="s">
        <v>1639</v>
      </c>
      <c r="R372" s="29" t="str">
        <f t="shared" si="11"/>
        <v>2dms_wmts_v1_TOPO05KPHOTO095</v>
      </c>
      <c r="S372" s="39" t="s">
        <v>155</v>
      </c>
      <c r="U372" s="27" t="str">
        <f>_xlfn.XLOOKUP(表格1[[#This Row],[服務類別(英)]],參考2_服務標準對照!$B:$B,參考2_服務標準對照!$C:$C,"")&amp;""</f>
        <v>OGC</v>
      </c>
      <c r="V372" s="29" t="s">
        <v>7</v>
      </c>
      <c r="W372" s="29" t="s">
        <v>163</v>
      </c>
      <c r="X372" s="29" t="s">
        <v>81</v>
      </c>
      <c r="Y372" s="36" t="s">
        <v>83</v>
      </c>
      <c r="Z372" s="36" t="s">
        <v>157</v>
      </c>
      <c r="AA372" s="36" t="s">
        <v>186</v>
      </c>
      <c r="AB372" s="36"/>
      <c r="AC372" s="36"/>
      <c r="AD372" s="29" t="s">
        <v>119</v>
      </c>
      <c r="AE372" s="36" t="str">
        <f>_xlfn.XLOOKUP(表格1[[#This Row],[唯一識別碼]],API清冊0707!B:B,API清冊0707!T:T,"")&amp;""</f>
        <v>無下拉選單</v>
      </c>
    </row>
    <row r="373" spans="1:31" ht="220.5" customHeight="1" x14ac:dyDescent="0.4">
      <c r="A373" s="29" t="s">
        <v>1640</v>
      </c>
      <c r="B373" s="29"/>
      <c r="C373" s="29"/>
      <c r="D373" s="29" t="s">
        <v>1641</v>
      </c>
      <c r="E373" s="29" t="s">
        <v>1642</v>
      </c>
      <c r="F373" s="29" t="s">
        <v>1643</v>
      </c>
      <c r="G373" s="35"/>
      <c r="H373" s="35" t="s">
        <v>151</v>
      </c>
      <c r="I373" s="29" t="s">
        <v>1640</v>
      </c>
      <c r="J373" s="37"/>
      <c r="K373" s="38"/>
      <c r="L373" s="38"/>
      <c r="M373" s="36" t="s">
        <v>60</v>
      </c>
      <c r="N373" s="15" t="s">
        <v>152</v>
      </c>
      <c r="O373" s="36" t="s">
        <v>162</v>
      </c>
      <c r="P373" s="36" t="str">
        <f t="shared" si="10"/>
        <v>WMTS_1/5000像片基本圖(94年)</v>
      </c>
      <c r="Q373" s="29" t="s">
        <v>1643</v>
      </c>
      <c r="R373" s="29" t="str">
        <f t="shared" si="11"/>
        <v>2dms_wmts_v1_TOPO05KPHOTO094</v>
      </c>
      <c r="S373" s="39" t="s">
        <v>155</v>
      </c>
      <c r="U373" s="27" t="str">
        <f>_xlfn.XLOOKUP(表格1[[#This Row],[服務類別(英)]],參考2_服務標準對照!$B:$B,參考2_服務標準對照!$C:$C,"")&amp;""</f>
        <v>OGC</v>
      </c>
      <c r="V373" s="29" t="s">
        <v>7</v>
      </c>
      <c r="W373" s="29" t="s">
        <v>163</v>
      </c>
      <c r="X373" s="29" t="s">
        <v>81</v>
      </c>
      <c r="Y373" s="36" t="s">
        <v>83</v>
      </c>
      <c r="Z373" s="36" t="s">
        <v>157</v>
      </c>
      <c r="AA373" s="36" t="s">
        <v>186</v>
      </c>
      <c r="AB373" s="36"/>
      <c r="AC373" s="36"/>
      <c r="AD373" s="29" t="s">
        <v>119</v>
      </c>
      <c r="AE373" s="36" t="str">
        <f>_xlfn.XLOOKUP(表格1[[#This Row],[唯一識別碼]],API清冊0707!B:B,API清冊0707!T:T,"")&amp;""</f>
        <v>無下拉選單</v>
      </c>
    </row>
    <row r="374" spans="1:31" ht="220.5" customHeight="1" x14ac:dyDescent="0.4">
      <c r="A374" s="29" t="s">
        <v>1644</v>
      </c>
      <c r="B374" s="29"/>
      <c r="C374" s="29"/>
      <c r="D374" s="29" t="s">
        <v>1645</v>
      </c>
      <c r="E374" s="29" t="s">
        <v>1646</v>
      </c>
      <c r="F374" s="29" t="s">
        <v>1647</v>
      </c>
      <c r="G374" s="35"/>
      <c r="H374" s="35" t="s">
        <v>151</v>
      </c>
      <c r="I374" s="29" t="s">
        <v>1644</v>
      </c>
      <c r="J374" s="37"/>
      <c r="K374" s="38"/>
      <c r="L374" s="38"/>
      <c r="M374" s="36" t="s">
        <v>60</v>
      </c>
      <c r="N374" s="15" t="s">
        <v>152</v>
      </c>
      <c r="O374" s="36" t="s">
        <v>162</v>
      </c>
      <c r="P374" s="36" t="str">
        <f t="shared" si="10"/>
        <v>WMTS_1/5000像片基本圖(93年)</v>
      </c>
      <c r="Q374" s="29" t="s">
        <v>1647</v>
      </c>
      <c r="R374" s="29" t="str">
        <f t="shared" si="11"/>
        <v>2dms_wmts_v1_TOPO05KPHOTO093</v>
      </c>
      <c r="S374" s="39" t="s">
        <v>155</v>
      </c>
      <c r="U374" s="27" t="str">
        <f>_xlfn.XLOOKUP(表格1[[#This Row],[服務類別(英)]],參考2_服務標準對照!$B:$B,參考2_服務標準對照!$C:$C,"")&amp;""</f>
        <v>OGC</v>
      </c>
      <c r="V374" s="29" t="s">
        <v>7</v>
      </c>
      <c r="W374" s="29" t="s">
        <v>163</v>
      </c>
      <c r="X374" s="29" t="s">
        <v>81</v>
      </c>
      <c r="Y374" s="36" t="s">
        <v>83</v>
      </c>
      <c r="Z374" s="36" t="s">
        <v>157</v>
      </c>
      <c r="AA374" s="36" t="s">
        <v>186</v>
      </c>
      <c r="AB374" s="36"/>
      <c r="AC374" s="36"/>
      <c r="AD374" s="29" t="s">
        <v>119</v>
      </c>
      <c r="AE374" s="36" t="str">
        <f>_xlfn.XLOOKUP(表格1[[#This Row],[唯一識別碼]],API清冊0707!B:B,API清冊0707!T:T,"")&amp;""</f>
        <v>無下拉選單</v>
      </c>
    </row>
    <row r="375" spans="1:31" ht="220.5" customHeight="1" x14ac:dyDescent="0.4">
      <c r="A375" s="29" t="s">
        <v>1648</v>
      </c>
      <c r="B375" s="29"/>
      <c r="C375" s="29"/>
      <c r="D375" s="29" t="s">
        <v>1649</v>
      </c>
      <c r="E375" s="29" t="s">
        <v>1650</v>
      </c>
      <c r="F375" s="29" t="s">
        <v>1651</v>
      </c>
      <c r="G375" s="35"/>
      <c r="H375" s="35" t="s">
        <v>151</v>
      </c>
      <c r="I375" s="29" t="s">
        <v>1648</v>
      </c>
      <c r="J375" s="37"/>
      <c r="K375" s="38"/>
      <c r="L375" s="38"/>
      <c r="M375" s="36" t="s">
        <v>60</v>
      </c>
      <c r="N375" s="15" t="s">
        <v>152</v>
      </c>
      <c r="O375" s="36" t="s">
        <v>162</v>
      </c>
      <c r="P375" s="36" t="str">
        <f t="shared" ref="P375:P438" si="12">IF(LEN(TRIM(F375))&gt;0,F375,E375)</f>
        <v>WMTS_1/5000像片基本圖(92年)</v>
      </c>
      <c r="Q375" s="29" t="s">
        <v>1651</v>
      </c>
      <c r="R375" s="29" t="str">
        <f t="shared" ref="R375:R438" si="13">D375</f>
        <v>2dms_wmts_v1_TOPO05KPHOTO092</v>
      </c>
      <c r="S375" s="39" t="s">
        <v>155</v>
      </c>
      <c r="U375" s="27" t="str">
        <f>_xlfn.XLOOKUP(表格1[[#This Row],[服務類別(英)]],參考2_服務標準對照!$B:$B,參考2_服務標準對照!$C:$C,"")&amp;""</f>
        <v>OGC</v>
      </c>
      <c r="V375" s="29" t="s">
        <v>7</v>
      </c>
      <c r="W375" s="29" t="s">
        <v>163</v>
      </c>
      <c r="X375" s="29" t="s">
        <v>81</v>
      </c>
      <c r="Y375" s="36" t="s">
        <v>83</v>
      </c>
      <c r="Z375" s="36" t="s">
        <v>157</v>
      </c>
      <c r="AA375" s="36" t="s">
        <v>186</v>
      </c>
      <c r="AB375" s="36"/>
      <c r="AC375" s="36"/>
      <c r="AD375" s="29" t="s">
        <v>119</v>
      </c>
      <c r="AE375" s="36" t="str">
        <f>_xlfn.XLOOKUP(表格1[[#This Row],[唯一識別碼]],API清冊0707!B:B,API清冊0707!T:T,"")&amp;""</f>
        <v>無下拉選單</v>
      </c>
    </row>
    <row r="376" spans="1:31" ht="220.5" customHeight="1" x14ac:dyDescent="0.4">
      <c r="A376" s="29" t="s">
        <v>1652</v>
      </c>
      <c r="B376" s="29"/>
      <c r="C376" s="29"/>
      <c r="D376" s="29" t="s">
        <v>1653</v>
      </c>
      <c r="E376" s="29" t="s">
        <v>1654</v>
      </c>
      <c r="F376" s="29" t="s">
        <v>1655</v>
      </c>
      <c r="G376" s="35"/>
      <c r="H376" s="35" t="s">
        <v>151</v>
      </c>
      <c r="I376" s="29" t="s">
        <v>1652</v>
      </c>
      <c r="J376" s="37"/>
      <c r="K376" s="38"/>
      <c r="L376" s="38"/>
      <c r="M376" s="36" t="s">
        <v>60</v>
      </c>
      <c r="N376" s="15" t="s">
        <v>152</v>
      </c>
      <c r="O376" s="36" t="s">
        <v>162</v>
      </c>
      <c r="P376" s="36" t="str">
        <f t="shared" si="12"/>
        <v>WMTS_1/5000像片基本圖(91年)</v>
      </c>
      <c r="Q376" s="29" t="s">
        <v>1655</v>
      </c>
      <c r="R376" s="29" t="str">
        <f t="shared" si="13"/>
        <v>2dms_wmts_v1_TOPO05KPHOTO091</v>
      </c>
      <c r="S376" s="39" t="s">
        <v>155</v>
      </c>
      <c r="U376" s="27" t="str">
        <f>_xlfn.XLOOKUP(表格1[[#This Row],[服務類別(英)]],參考2_服務標準對照!$B:$B,參考2_服務標準對照!$C:$C,"")&amp;""</f>
        <v>OGC</v>
      </c>
      <c r="V376" s="29" t="s">
        <v>7</v>
      </c>
      <c r="W376" s="29" t="s">
        <v>163</v>
      </c>
      <c r="X376" s="29" t="s">
        <v>81</v>
      </c>
      <c r="Y376" s="36" t="s">
        <v>83</v>
      </c>
      <c r="Z376" s="36" t="s">
        <v>157</v>
      </c>
      <c r="AA376" s="36" t="s">
        <v>186</v>
      </c>
      <c r="AB376" s="36"/>
      <c r="AC376" s="36"/>
      <c r="AD376" s="29" t="s">
        <v>119</v>
      </c>
      <c r="AE376" s="36" t="str">
        <f>_xlfn.XLOOKUP(表格1[[#This Row],[唯一識別碼]],API清冊0707!B:B,API清冊0707!T:T,"")&amp;""</f>
        <v>無下拉選單</v>
      </c>
    </row>
    <row r="377" spans="1:31" ht="220.5" customHeight="1" x14ac:dyDescent="0.4">
      <c r="A377" s="29" t="s">
        <v>1656</v>
      </c>
      <c r="B377" s="29"/>
      <c r="C377" s="29"/>
      <c r="D377" s="29" t="s">
        <v>1657</v>
      </c>
      <c r="E377" s="29" t="s">
        <v>1658</v>
      </c>
      <c r="F377" s="29" t="s">
        <v>1659</v>
      </c>
      <c r="G377" s="35"/>
      <c r="H377" s="35" t="s">
        <v>151</v>
      </c>
      <c r="I377" s="29" t="s">
        <v>1656</v>
      </c>
      <c r="J377" s="37"/>
      <c r="K377" s="38"/>
      <c r="L377" s="38"/>
      <c r="M377" s="36" t="s">
        <v>60</v>
      </c>
      <c r="N377" s="15" t="s">
        <v>152</v>
      </c>
      <c r="O377" s="36" t="s">
        <v>162</v>
      </c>
      <c r="P377" s="36" t="str">
        <f t="shared" si="12"/>
        <v>WMTS_1/5000像片基本圖(90年)</v>
      </c>
      <c r="Q377" s="29" t="s">
        <v>1659</v>
      </c>
      <c r="R377" s="29" t="str">
        <f t="shared" si="13"/>
        <v>2dms_wmts_v1_TOPO05KPHOTO090</v>
      </c>
      <c r="S377" s="39" t="s">
        <v>155</v>
      </c>
      <c r="U377" s="27" t="str">
        <f>_xlfn.XLOOKUP(表格1[[#This Row],[服務類別(英)]],參考2_服務標準對照!$B:$B,參考2_服務標準對照!$C:$C,"")&amp;""</f>
        <v>OGC</v>
      </c>
      <c r="V377" s="29" t="s">
        <v>7</v>
      </c>
      <c r="W377" s="29" t="s">
        <v>163</v>
      </c>
      <c r="X377" s="29" t="s">
        <v>81</v>
      </c>
      <c r="Y377" s="36" t="s">
        <v>83</v>
      </c>
      <c r="Z377" s="36" t="s">
        <v>157</v>
      </c>
      <c r="AA377" s="36" t="s">
        <v>186</v>
      </c>
      <c r="AB377" s="36"/>
      <c r="AC377" s="36"/>
      <c r="AD377" s="29" t="s">
        <v>119</v>
      </c>
      <c r="AE377" s="36" t="str">
        <f>_xlfn.XLOOKUP(表格1[[#This Row],[唯一識別碼]],API清冊0707!B:B,API清冊0707!T:T,"")&amp;""</f>
        <v>無下拉選單</v>
      </c>
    </row>
    <row r="378" spans="1:31" ht="220.5" customHeight="1" x14ac:dyDescent="0.4">
      <c r="A378" s="29" t="s">
        <v>1660</v>
      </c>
      <c r="B378" s="29"/>
      <c r="C378" s="29"/>
      <c r="D378" s="29" t="s">
        <v>1661</v>
      </c>
      <c r="E378" s="29" t="s">
        <v>1662</v>
      </c>
      <c r="F378" s="29" t="s">
        <v>1663</v>
      </c>
      <c r="G378" s="35"/>
      <c r="H378" s="35" t="s">
        <v>151</v>
      </c>
      <c r="I378" s="29" t="s">
        <v>1660</v>
      </c>
      <c r="J378" s="37"/>
      <c r="K378" s="38"/>
      <c r="L378" s="38"/>
      <c r="M378" s="36" t="s">
        <v>60</v>
      </c>
      <c r="N378" s="15" t="s">
        <v>152</v>
      </c>
      <c r="O378" s="36" t="s">
        <v>162</v>
      </c>
      <c r="P378" s="36" t="str">
        <f t="shared" si="12"/>
        <v>WMTS_1/5000像片基本圖(89年)</v>
      </c>
      <c r="Q378" s="29" t="s">
        <v>1663</v>
      </c>
      <c r="R378" s="29" t="str">
        <f t="shared" si="13"/>
        <v>2dms_wmts_v1_TOPO05KPHOTO089</v>
      </c>
      <c r="S378" s="39" t="s">
        <v>155</v>
      </c>
      <c r="U378" s="27" t="str">
        <f>_xlfn.XLOOKUP(表格1[[#This Row],[服務類別(英)]],參考2_服務標準對照!$B:$B,參考2_服務標準對照!$C:$C,"")&amp;""</f>
        <v>OGC</v>
      </c>
      <c r="V378" s="29" t="s">
        <v>7</v>
      </c>
      <c r="W378" s="29" t="s">
        <v>163</v>
      </c>
      <c r="X378" s="29" t="s">
        <v>81</v>
      </c>
      <c r="Y378" s="36" t="s">
        <v>83</v>
      </c>
      <c r="Z378" s="36" t="s">
        <v>157</v>
      </c>
      <c r="AA378" s="36" t="s">
        <v>186</v>
      </c>
      <c r="AB378" s="36"/>
      <c r="AC378" s="36"/>
      <c r="AD378" s="29" t="s">
        <v>119</v>
      </c>
      <c r="AE378" s="36" t="str">
        <f>_xlfn.XLOOKUP(表格1[[#This Row],[唯一識別碼]],API清冊0707!B:B,API清冊0707!T:T,"")&amp;""</f>
        <v>無下拉選單</v>
      </c>
    </row>
    <row r="379" spans="1:31" ht="220.5" customHeight="1" x14ac:dyDescent="0.4">
      <c r="A379" s="29" t="s">
        <v>1664</v>
      </c>
      <c r="B379" s="29"/>
      <c r="C379" s="29"/>
      <c r="D379" s="29" t="s">
        <v>1665</v>
      </c>
      <c r="E379" s="29" t="s">
        <v>1666</v>
      </c>
      <c r="F379" s="29" t="s">
        <v>1667</v>
      </c>
      <c r="G379" s="35"/>
      <c r="H379" s="35" t="s">
        <v>151</v>
      </c>
      <c r="I379" s="29" t="s">
        <v>1664</v>
      </c>
      <c r="J379" s="37"/>
      <c r="K379" s="38"/>
      <c r="L379" s="38"/>
      <c r="M379" s="36" t="s">
        <v>60</v>
      </c>
      <c r="N379" s="15" t="s">
        <v>152</v>
      </c>
      <c r="O379" s="36" t="s">
        <v>162</v>
      </c>
      <c r="P379" s="36" t="str">
        <f t="shared" si="12"/>
        <v>WMTS_1/5000像片基本圖(88年)</v>
      </c>
      <c r="Q379" s="29" t="s">
        <v>1667</v>
      </c>
      <c r="R379" s="29" t="str">
        <f t="shared" si="13"/>
        <v>2dms_wmts_v1_TOPO05KPHOTO088</v>
      </c>
      <c r="S379" s="39" t="s">
        <v>155</v>
      </c>
      <c r="U379" s="27" t="str">
        <f>_xlfn.XLOOKUP(表格1[[#This Row],[服務類別(英)]],參考2_服務標準對照!$B:$B,參考2_服務標準對照!$C:$C,"")&amp;""</f>
        <v>OGC</v>
      </c>
      <c r="V379" s="29" t="s">
        <v>7</v>
      </c>
      <c r="W379" s="29" t="s">
        <v>163</v>
      </c>
      <c r="X379" s="29" t="s">
        <v>81</v>
      </c>
      <c r="Y379" s="36" t="s">
        <v>83</v>
      </c>
      <c r="Z379" s="36" t="s">
        <v>157</v>
      </c>
      <c r="AA379" s="36" t="s">
        <v>186</v>
      </c>
      <c r="AB379" s="36"/>
      <c r="AC379" s="36"/>
      <c r="AD379" s="29" t="s">
        <v>119</v>
      </c>
      <c r="AE379" s="36" t="str">
        <f>_xlfn.XLOOKUP(表格1[[#This Row],[唯一識別碼]],API清冊0707!B:B,API清冊0707!T:T,"")&amp;""</f>
        <v>無下拉選單</v>
      </c>
    </row>
    <row r="380" spans="1:31" ht="220.5" customHeight="1" x14ac:dyDescent="0.4">
      <c r="A380" s="29" t="s">
        <v>1668</v>
      </c>
      <c r="B380" s="29"/>
      <c r="C380" s="29"/>
      <c r="D380" s="29" t="s">
        <v>1669</v>
      </c>
      <c r="E380" s="29" t="s">
        <v>1670</v>
      </c>
      <c r="F380" s="29" t="s">
        <v>1671</v>
      </c>
      <c r="G380" s="35"/>
      <c r="H380" s="35" t="s">
        <v>151</v>
      </c>
      <c r="I380" s="29" t="s">
        <v>1668</v>
      </c>
      <c r="J380" s="37"/>
      <c r="K380" s="38"/>
      <c r="L380" s="38"/>
      <c r="M380" s="36" t="s">
        <v>60</v>
      </c>
      <c r="N380" s="15" t="s">
        <v>152</v>
      </c>
      <c r="O380" s="36" t="s">
        <v>162</v>
      </c>
      <c r="P380" s="36" t="str">
        <f t="shared" si="12"/>
        <v>WMTS_1/5000像片基本圖(87年)</v>
      </c>
      <c r="Q380" s="29" t="s">
        <v>1671</v>
      </c>
      <c r="R380" s="29" t="str">
        <f t="shared" si="13"/>
        <v>2dms_wmts_v1_TOPO05KPHOTO087</v>
      </c>
      <c r="S380" s="39" t="s">
        <v>155</v>
      </c>
      <c r="U380" s="27" t="str">
        <f>_xlfn.XLOOKUP(表格1[[#This Row],[服務類別(英)]],參考2_服務標準對照!$B:$B,參考2_服務標準對照!$C:$C,"")&amp;""</f>
        <v>OGC</v>
      </c>
      <c r="V380" s="29" t="s">
        <v>7</v>
      </c>
      <c r="W380" s="29" t="s">
        <v>163</v>
      </c>
      <c r="X380" s="29" t="s">
        <v>81</v>
      </c>
      <c r="Y380" s="36" t="s">
        <v>83</v>
      </c>
      <c r="Z380" s="36" t="s">
        <v>157</v>
      </c>
      <c r="AA380" s="36" t="s">
        <v>186</v>
      </c>
      <c r="AB380" s="36"/>
      <c r="AC380" s="36"/>
      <c r="AD380" s="29" t="s">
        <v>119</v>
      </c>
      <c r="AE380" s="36" t="str">
        <f>_xlfn.XLOOKUP(表格1[[#This Row],[唯一識別碼]],API清冊0707!B:B,API清冊0707!T:T,"")&amp;""</f>
        <v>無下拉選單</v>
      </c>
    </row>
    <row r="381" spans="1:31" ht="220.5" customHeight="1" x14ac:dyDescent="0.4">
      <c r="A381" s="29" t="s">
        <v>1672</v>
      </c>
      <c r="B381" s="29"/>
      <c r="C381" s="29"/>
      <c r="D381" s="29" t="s">
        <v>1673</v>
      </c>
      <c r="E381" s="29" t="s">
        <v>1674</v>
      </c>
      <c r="F381" s="29" t="s">
        <v>1675</v>
      </c>
      <c r="G381" s="35"/>
      <c r="H381" s="35" t="s">
        <v>151</v>
      </c>
      <c r="I381" s="29" t="s">
        <v>1672</v>
      </c>
      <c r="J381" s="37"/>
      <c r="K381" s="38"/>
      <c r="L381" s="38"/>
      <c r="M381" s="36" t="s">
        <v>60</v>
      </c>
      <c r="N381" s="15" t="s">
        <v>152</v>
      </c>
      <c r="O381" s="36" t="s">
        <v>162</v>
      </c>
      <c r="P381" s="36" t="str">
        <f t="shared" si="12"/>
        <v>WMTS_1/5000像片基本圖(86年)</v>
      </c>
      <c r="Q381" s="29" t="s">
        <v>1675</v>
      </c>
      <c r="R381" s="29" t="str">
        <f t="shared" si="13"/>
        <v>2dms_wmts_v1_TOPO05KPHOTO086</v>
      </c>
      <c r="S381" s="39" t="s">
        <v>155</v>
      </c>
      <c r="U381" s="27" t="str">
        <f>_xlfn.XLOOKUP(表格1[[#This Row],[服務類別(英)]],參考2_服務標準對照!$B:$B,參考2_服務標準對照!$C:$C,"")&amp;""</f>
        <v>OGC</v>
      </c>
      <c r="V381" s="29" t="s">
        <v>7</v>
      </c>
      <c r="W381" s="29" t="s">
        <v>163</v>
      </c>
      <c r="X381" s="29" t="s">
        <v>81</v>
      </c>
      <c r="Y381" s="36" t="s">
        <v>83</v>
      </c>
      <c r="Z381" s="36" t="s">
        <v>157</v>
      </c>
      <c r="AA381" s="36" t="s">
        <v>186</v>
      </c>
      <c r="AB381" s="36"/>
      <c r="AC381" s="36"/>
      <c r="AD381" s="29" t="s">
        <v>119</v>
      </c>
      <c r="AE381" s="36" t="str">
        <f>_xlfn.XLOOKUP(表格1[[#This Row],[唯一識別碼]],API清冊0707!B:B,API清冊0707!T:T,"")&amp;""</f>
        <v>無下拉選單</v>
      </c>
    </row>
    <row r="382" spans="1:31" ht="220.5" customHeight="1" x14ac:dyDescent="0.4">
      <c r="A382" s="29" t="s">
        <v>1676</v>
      </c>
      <c r="B382" s="29"/>
      <c r="C382" s="29"/>
      <c r="D382" s="29" t="s">
        <v>1677</v>
      </c>
      <c r="E382" s="29" t="s">
        <v>1678</v>
      </c>
      <c r="F382" s="29" t="s">
        <v>1679</v>
      </c>
      <c r="G382" s="35"/>
      <c r="H382" s="35" t="s">
        <v>151</v>
      </c>
      <c r="I382" s="29" t="s">
        <v>1676</v>
      </c>
      <c r="J382" s="37"/>
      <c r="K382" s="38"/>
      <c r="L382" s="38"/>
      <c r="M382" s="36" t="s">
        <v>60</v>
      </c>
      <c r="N382" s="15" t="s">
        <v>152</v>
      </c>
      <c r="O382" s="36" t="s">
        <v>162</v>
      </c>
      <c r="P382" s="36" t="str">
        <f t="shared" si="12"/>
        <v>WMTS_1/5000像片基本圖(84年)</v>
      </c>
      <c r="Q382" s="29" t="s">
        <v>1679</v>
      </c>
      <c r="R382" s="29" t="str">
        <f t="shared" si="13"/>
        <v>2dms_wmts_v1_TOPO05KPHOTO084</v>
      </c>
      <c r="S382" s="39" t="s">
        <v>155</v>
      </c>
      <c r="U382" s="27" t="str">
        <f>_xlfn.XLOOKUP(表格1[[#This Row],[服務類別(英)]],參考2_服務標準對照!$B:$B,參考2_服務標準對照!$C:$C,"")&amp;""</f>
        <v>OGC</v>
      </c>
      <c r="V382" s="29" t="s">
        <v>7</v>
      </c>
      <c r="W382" s="29" t="s">
        <v>163</v>
      </c>
      <c r="X382" s="29" t="s">
        <v>81</v>
      </c>
      <c r="Y382" s="36" t="s">
        <v>83</v>
      </c>
      <c r="Z382" s="36" t="s">
        <v>157</v>
      </c>
      <c r="AA382" s="36" t="s">
        <v>186</v>
      </c>
      <c r="AB382" s="36"/>
      <c r="AC382" s="36"/>
      <c r="AD382" s="29" t="s">
        <v>119</v>
      </c>
      <c r="AE382" s="36" t="str">
        <f>_xlfn.XLOOKUP(表格1[[#This Row],[唯一識別碼]],API清冊0707!B:B,API清冊0707!T:T,"")&amp;""</f>
        <v>無下拉選單</v>
      </c>
    </row>
    <row r="383" spans="1:31" ht="220.5" customHeight="1" x14ac:dyDescent="0.4">
      <c r="A383" s="29" t="s">
        <v>1680</v>
      </c>
      <c r="B383" s="29"/>
      <c r="C383" s="29"/>
      <c r="D383" s="29" t="s">
        <v>1681</v>
      </c>
      <c r="E383" s="29" t="s">
        <v>1682</v>
      </c>
      <c r="F383" s="29" t="s">
        <v>1683</v>
      </c>
      <c r="G383" s="35"/>
      <c r="H383" s="35" t="s">
        <v>151</v>
      </c>
      <c r="I383" s="29" t="s">
        <v>1680</v>
      </c>
      <c r="J383" s="37"/>
      <c r="K383" s="38"/>
      <c r="L383" s="38"/>
      <c r="M383" s="36" t="s">
        <v>60</v>
      </c>
      <c r="N383" s="15" t="s">
        <v>152</v>
      </c>
      <c r="O383" s="36" t="s">
        <v>162</v>
      </c>
      <c r="P383" s="36" t="str">
        <f t="shared" si="12"/>
        <v>WMTS_1/5000像片基本圖(83年)</v>
      </c>
      <c r="Q383" s="29" t="s">
        <v>1683</v>
      </c>
      <c r="R383" s="29" t="str">
        <f t="shared" si="13"/>
        <v>2dms_wmts_v1_TOPO05KPHOTO083</v>
      </c>
      <c r="S383" s="39" t="s">
        <v>155</v>
      </c>
      <c r="U383" s="27" t="str">
        <f>_xlfn.XLOOKUP(表格1[[#This Row],[服務類別(英)]],參考2_服務標準對照!$B:$B,參考2_服務標準對照!$C:$C,"")&amp;""</f>
        <v>OGC</v>
      </c>
      <c r="V383" s="29" t="s">
        <v>7</v>
      </c>
      <c r="W383" s="29" t="s">
        <v>163</v>
      </c>
      <c r="X383" s="29" t="s">
        <v>81</v>
      </c>
      <c r="Y383" s="36" t="s">
        <v>83</v>
      </c>
      <c r="Z383" s="36" t="s">
        <v>157</v>
      </c>
      <c r="AA383" s="36" t="s">
        <v>186</v>
      </c>
      <c r="AB383" s="36"/>
      <c r="AC383" s="36"/>
      <c r="AD383" s="29" t="s">
        <v>119</v>
      </c>
      <c r="AE383" s="36" t="str">
        <f>_xlfn.XLOOKUP(表格1[[#This Row],[唯一識別碼]],API清冊0707!B:B,API清冊0707!T:T,"")&amp;""</f>
        <v>無下拉選單</v>
      </c>
    </row>
    <row r="384" spans="1:31" ht="220.5" customHeight="1" x14ac:dyDescent="0.4">
      <c r="A384" s="29" t="s">
        <v>1684</v>
      </c>
      <c r="B384" s="29"/>
      <c r="C384" s="29"/>
      <c r="D384" s="29" t="s">
        <v>1685</v>
      </c>
      <c r="E384" s="29" t="s">
        <v>1686</v>
      </c>
      <c r="F384" s="29" t="s">
        <v>1687</v>
      </c>
      <c r="G384" s="35"/>
      <c r="H384" s="35" t="s">
        <v>151</v>
      </c>
      <c r="I384" s="29" t="s">
        <v>1684</v>
      </c>
      <c r="J384" s="37"/>
      <c r="K384" s="38"/>
      <c r="L384" s="38"/>
      <c r="M384" s="36" t="s">
        <v>60</v>
      </c>
      <c r="N384" s="15" t="s">
        <v>152</v>
      </c>
      <c r="O384" s="36" t="s">
        <v>162</v>
      </c>
      <c r="P384" s="36" t="str">
        <f t="shared" si="12"/>
        <v>WMTS_1/5000像片基本圖(81年)</v>
      </c>
      <c r="Q384" s="29" t="s">
        <v>1687</v>
      </c>
      <c r="R384" s="29" t="str">
        <f t="shared" si="13"/>
        <v>2dms_wmts_v1_TOPO05KPHOTO081</v>
      </c>
      <c r="S384" s="39" t="s">
        <v>155</v>
      </c>
      <c r="U384" s="27" t="str">
        <f>_xlfn.XLOOKUP(表格1[[#This Row],[服務類別(英)]],參考2_服務標準對照!$B:$B,參考2_服務標準對照!$C:$C,"")&amp;""</f>
        <v>OGC</v>
      </c>
      <c r="V384" s="29" t="s">
        <v>7</v>
      </c>
      <c r="W384" s="29" t="s">
        <v>163</v>
      </c>
      <c r="X384" s="29" t="s">
        <v>81</v>
      </c>
      <c r="Y384" s="36" t="s">
        <v>83</v>
      </c>
      <c r="Z384" s="36" t="s">
        <v>157</v>
      </c>
      <c r="AA384" s="36" t="s">
        <v>186</v>
      </c>
      <c r="AB384" s="36"/>
      <c r="AC384" s="36"/>
      <c r="AD384" s="29" t="s">
        <v>119</v>
      </c>
      <c r="AE384" s="36" t="str">
        <f>_xlfn.XLOOKUP(表格1[[#This Row],[唯一識別碼]],API清冊0707!B:B,API清冊0707!T:T,"")&amp;""</f>
        <v>無下拉選單</v>
      </c>
    </row>
    <row r="385" spans="1:31" ht="220.5" customHeight="1" x14ac:dyDescent="0.4">
      <c r="A385" s="29" t="s">
        <v>1688</v>
      </c>
      <c r="B385" s="29"/>
      <c r="C385" s="29"/>
      <c r="D385" s="29" t="s">
        <v>1689</v>
      </c>
      <c r="E385" s="29" t="s">
        <v>1690</v>
      </c>
      <c r="F385" s="29" t="s">
        <v>1691</v>
      </c>
      <c r="G385" s="35"/>
      <c r="H385" s="35" t="s">
        <v>151</v>
      </c>
      <c r="I385" s="29" t="s">
        <v>1688</v>
      </c>
      <c r="J385" s="37"/>
      <c r="K385" s="38"/>
      <c r="L385" s="38"/>
      <c r="M385" s="36" t="s">
        <v>60</v>
      </c>
      <c r="N385" s="15" t="s">
        <v>152</v>
      </c>
      <c r="O385" s="36" t="s">
        <v>162</v>
      </c>
      <c r="P385" s="36" t="str">
        <f t="shared" si="12"/>
        <v>WMTS_1/5000像片基本圖(80年)</v>
      </c>
      <c r="Q385" s="29" t="s">
        <v>1691</v>
      </c>
      <c r="R385" s="29" t="str">
        <f t="shared" si="13"/>
        <v>2dms_wmts_v1_TOPO05KPHOTO080</v>
      </c>
      <c r="S385" s="39" t="s">
        <v>155</v>
      </c>
      <c r="U385" s="27" t="str">
        <f>_xlfn.XLOOKUP(表格1[[#This Row],[服務類別(英)]],參考2_服務標準對照!$B:$B,參考2_服務標準對照!$C:$C,"")&amp;""</f>
        <v>OGC</v>
      </c>
      <c r="V385" s="29" t="s">
        <v>7</v>
      </c>
      <c r="W385" s="29" t="s">
        <v>163</v>
      </c>
      <c r="X385" s="29" t="s">
        <v>81</v>
      </c>
      <c r="Y385" s="36" t="s">
        <v>83</v>
      </c>
      <c r="Z385" s="36" t="s">
        <v>157</v>
      </c>
      <c r="AA385" s="36" t="s">
        <v>186</v>
      </c>
      <c r="AB385" s="36"/>
      <c r="AC385" s="36"/>
      <c r="AD385" s="29" t="s">
        <v>119</v>
      </c>
      <c r="AE385" s="36" t="str">
        <f>_xlfn.XLOOKUP(表格1[[#This Row],[唯一識別碼]],API清冊0707!B:B,API清冊0707!T:T,"")&amp;""</f>
        <v>無下拉選單</v>
      </c>
    </row>
    <row r="386" spans="1:31" ht="220.5" customHeight="1" x14ac:dyDescent="0.4">
      <c r="A386" s="29" t="s">
        <v>1692</v>
      </c>
      <c r="B386" s="29"/>
      <c r="C386" s="29"/>
      <c r="D386" s="29" t="s">
        <v>1693</v>
      </c>
      <c r="E386" s="29" t="s">
        <v>1694</v>
      </c>
      <c r="F386" s="29" t="s">
        <v>1695</v>
      </c>
      <c r="G386" s="35"/>
      <c r="H386" s="35" t="s">
        <v>151</v>
      </c>
      <c r="I386" s="29" t="s">
        <v>1692</v>
      </c>
      <c r="J386" s="37"/>
      <c r="K386" s="38"/>
      <c r="L386" s="38"/>
      <c r="M386" s="36" t="s">
        <v>60</v>
      </c>
      <c r="N386" s="15" t="s">
        <v>152</v>
      </c>
      <c r="O386" s="36" t="s">
        <v>162</v>
      </c>
      <c r="P386" s="36" t="str">
        <f t="shared" si="12"/>
        <v>WMTS_1/5000像片基本圖(79年)</v>
      </c>
      <c r="Q386" s="29" t="s">
        <v>1695</v>
      </c>
      <c r="R386" s="29" t="str">
        <f t="shared" si="13"/>
        <v>2dms_wmts_v1_TOPO05KPHOTO079</v>
      </c>
      <c r="S386" s="39" t="s">
        <v>155</v>
      </c>
      <c r="U386" s="27" t="str">
        <f>_xlfn.XLOOKUP(表格1[[#This Row],[服務類別(英)]],參考2_服務標準對照!$B:$B,參考2_服務標準對照!$C:$C,"")&amp;""</f>
        <v>OGC</v>
      </c>
      <c r="V386" s="29" t="s">
        <v>7</v>
      </c>
      <c r="W386" s="29" t="s">
        <v>163</v>
      </c>
      <c r="X386" s="29" t="s">
        <v>81</v>
      </c>
      <c r="Y386" s="36" t="s">
        <v>83</v>
      </c>
      <c r="Z386" s="36" t="s">
        <v>157</v>
      </c>
      <c r="AA386" s="36" t="s">
        <v>186</v>
      </c>
      <c r="AB386" s="36"/>
      <c r="AC386" s="36"/>
      <c r="AD386" s="29" t="s">
        <v>119</v>
      </c>
      <c r="AE386" s="36" t="str">
        <f>_xlfn.XLOOKUP(表格1[[#This Row],[唯一識別碼]],API清冊0707!B:B,API清冊0707!T:T,"")&amp;""</f>
        <v>無下拉選單</v>
      </c>
    </row>
    <row r="387" spans="1:31" ht="220.5" customHeight="1" x14ac:dyDescent="0.4">
      <c r="A387" s="29" t="s">
        <v>1696</v>
      </c>
      <c r="B387" s="29"/>
      <c r="C387" s="29"/>
      <c r="D387" s="29" t="s">
        <v>1697</v>
      </c>
      <c r="E387" s="29" t="s">
        <v>1698</v>
      </c>
      <c r="F387" s="29" t="s">
        <v>1699</v>
      </c>
      <c r="G387" s="35"/>
      <c r="H387" s="35" t="s">
        <v>151</v>
      </c>
      <c r="I387" s="29" t="s">
        <v>1696</v>
      </c>
      <c r="J387" s="37"/>
      <c r="K387" s="38"/>
      <c r="L387" s="38"/>
      <c r="M387" s="36" t="s">
        <v>60</v>
      </c>
      <c r="N387" s="15" t="s">
        <v>152</v>
      </c>
      <c r="O387" s="36" t="s">
        <v>162</v>
      </c>
      <c r="P387" s="36" t="str">
        <f t="shared" si="12"/>
        <v>WMTS_1/5000像片基本圖(78年)</v>
      </c>
      <c r="Q387" s="29" t="s">
        <v>1699</v>
      </c>
      <c r="R387" s="29" t="str">
        <f t="shared" si="13"/>
        <v>2dms_wmts_v1_TOPO05KPHOTO078</v>
      </c>
      <c r="S387" s="39" t="s">
        <v>155</v>
      </c>
      <c r="U387" s="27" t="str">
        <f>_xlfn.XLOOKUP(表格1[[#This Row],[服務類別(英)]],參考2_服務標準對照!$B:$B,參考2_服務標準對照!$C:$C,"")&amp;""</f>
        <v>OGC</v>
      </c>
      <c r="V387" s="29" t="s">
        <v>7</v>
      </c>
      <c r="W387" s="29" t="s">
        <v>163</v>
      </c>
      <c r="X387" s="29" t="s">
        <v>81</v>
      </c>
      <c r="Y387" s="36" t="s">
        <v>83</v>
      </c>
      <c r="Z387" s="36" t="s">
        <v>157</v>
      </c>
      <c r="AA387" s="36" t="s">
        <v>186</v>
      </c>
      <c r="AB387" s="36"/>
      <c r="AC387" s="36"/>
      <c r="AD387" s="29" t="s">
        <v>119</v>
      </c>
      <c r="AE387" s="36" t="str">
        <f>_xlfn.XLOOKUP(表格1[[#This Row],[唯一識別碼]],API清冊0707!B:B,API清冊0707!T:T,"")&amp;""</f>
        <v>無下拉選單</v>
      </c>
    </row>
    <row r="388" spans="1:31" ht="220.5" customHeight="1" x14ac:dyDescent="0.4">
      <c r="A388" s="29" t="s">
        <v>1700</v>
      </c>
      <c r="B388" s="29"/>
      <c r="C388" s="29"/>
      <c r="D388" s="29" t="s">
        <v>1701</v>
      </c>
      <c r="E388" s="29" t="s">
        <v>1702</v>
      </c>
      <c r="F388" s="29" t="s">
        <v>1703</v>
      </c>
      <c r="G388" s="35"/>
      <c r="H388" s="35" t="s">
        <v>151</v>
      </c>
      <c r="I388" s="29" t="s">
        <v>1700</v>
      </c>
      <c r="J388" s="37"/>
      <c r="K388" s="38"/>
      <c r="L388" s="38"/>
      <c r="M388" s="36" t="s">
        <v>60</v>
      </c>
      <c r="N388" s="15" t="s">
        <v>152</v>
      </c>
      <c r="O388" s="36" t="s">
        <v>162</v>
      </c>
      <c r="P388" s="36" t="str">
        <f t="shared" si="12"/>
        <v>WMTS_1/5000像片基本圖(76年)</v>
      </c>
      <c r="Q388" s="29" t="s">
        <v>1703</v>
      </c>
      <c r="R388" s="29" t="str">
        <f t="shared" si="13"/>
        <v>2dms_wmts_v1_TOPO05KPHOTO076</v>
      </c>
      <c r="S388" s="39" t="s">
        <v>155</v>
      </c>
      <c r="U388" s="27" t="str">
        <f>_xlfn.XLOOKUP(表格1[[#This Row],[服務類別(英)]],參考2_服務標準對照!$B:$B,參考2_服務標準對照!$C:$C,"")&amp;""</f>
        <v>OGC</v>
      </c>
      <c r="V388" s="29" t="s">
        <v>7</v>
      </c>
      <c r="W388" s="29" t="s">
        <v>163</v>
      </c>
      <c r="X388" s="29" t="s">
        <v>81</v>
      </c>
      <c r="Y388" s="36" t="s">
        <v>83</v>
      </c>
      <c r="Z388" s="36" t="s">
        <v>157</v>
      </c>
      <c r="AA388" s="36" t="s">
        <v>186</v>
      </c>
      <c r="AB388" s="36"/>
      <c r="AC388" s="36"/>
      <c r="AD388" s="29" t="s">
        <v>119</v>
      </c>
      <c r="AE388" s="36" t="str">
        <f>_xlfn.XLOOKUP(表格1[[#This Row],[唯一識別碼]],API清冊0707!B:B,API清冊0707!T:T,"")&amp;""</f>
        <v>無下拉選單</v>
      </c>
    </row>
    <row r="389" spans="1:31" ht="220.5" customHeight="1" x14ac:dyDescent="0.4">
      <c r="A389" s="29" t="s">
        <v>1704</v>
      </c>
      <c r="B389" s="29"/>
      <c r="C389" s="29"/>
      <c r="D389" s="29" t="s">
        <v>1705</v>
      </c>
      <c r="E389" s="29" t="s">
        <v>1706</v>
      </c>
      <c r="F389" s="29" t="s">
        <v>1707</v>
      </c>
      <c r="G389" s="35"/>
      <c r="H389" s="35" t="s">
        <v>151</v>
      </c>
      <c r="I389" s="29" t="s">
        <v>1704</v>
      </c>
      <c r="J389" s="37"/>
      <c r="K389" s="38"/>
      <c r="L389" s="38"/>
      <c r="M389" s="36" t="s">
        <v>60</v>
      </c>
      <c r="N389" s="15" t="s">
        <v>152</v>
      </c>
      <c r="O389" s="36" t="s">
        <v>162</v>
      </c>
      <c r="P389" s="36" t="str">
        <f t="shared" si="12"/>
        <v>WMTS_1/5000像片基本圖(75年)</v>
      </c>
      <c r="Q389" s="29" t="s">
        <v>1707</v>
      </c>
      <c r="R389" s="29" t="str">
        <f t="shared" si="13"/>
        <v>2dms_wmts_v1_TOPO05KPHOTO075</v>
      </c>
      <c r="S389" s="39" t="s">
        <v>155</v>
      </c>
      <c r="U389" s="27" t="str">
        <f>_xlfn.XLOOKUP(表格1[[#This Row],[服務類別(英)]],參考2_服務標準對照!$B:$B,參考2_服務標準對照!$C:$C,"")&amp;""</f>
        <v>OGC</v>
      </c>
      <c r="V389" s="29" t="s">
        <v>7</v>
      </c>
      <c r="W389" s="29" t="s">
        <v>163</v>
      </c>
      <c r="X389" s="29" t="s">
        <v>81</v>
      </c>
      <c r="Y389" s="36" t="s">
        <v>83</v>
      </c>
      <c r="Z389" s="36" t="s">
        <v>157</v>
      </c>
      <c r="AA389" s="36" t="s">
        <v>186</v>
      </c>
      <c r="AB389" s="36"/>
      <c r="AC389" s="36"/>
      <c r="AD389" s="29" t="s">
        <v>119</v>
      </c>
      <c r="AE389" s="36" t="str">
        <f>_xlfn.XLOOKUP(表格1[[#This Row],[唯一識別碼]],API清冊0707!B:B,API清冊0707!T:T,"")&amp;""</f>
        <v>無下拉選單</v>
      </c>
    </row>
    <row r="390" spans="1:31" ht="220.5" customHeight="1" x14ac:dyDescent="0.4">
      <c r="A390" s="29" t="s">
        <v>1708</v>
      </c>
      <c r="B390" s="29"/>
      <c r="C390" s="29"/>
      <c r="D390" s="29" t="s">
        <v>1709</v>
      </c>
      <c r="E390" s="29" t="s">
        <v>1710</v>
      </c>
      <c r="F390" s="29" t="s">
        <v>1711</v>
      </c>
      <c r="G390" s="35"/>
      <c r="H390" s="35" t="s">
        <v>151</v>
      </c>
      <c r="I390" s="29" t="s">
        <v>1708</v>
      </c>
      <c r="J390" s="37"/>
      <c r="K390" s="38"/>
      <c r="L390" s="38"/>
      <c r="M390" s="36" t="s">
        <v>60</v>
      </c>
      <c r="N390" s="15" t="s">
        <v>152</v>
      </c>
      <c r="O390" s="36" t="s">
        <v>162</v>
      </c>
      <c r="P390" s="36" t="str">
        <f t="shared" si="12"/>
        <v>WMTS_1/5000像片基本圖(74年)</v>
      </c>
      <c r="Q390" s="29" t="s">
        <v>1711</v>
      </c>
      <c r="R390" s="29" t="str">
        <f t="shared" si="13"/>
        <v>2dms_wmts_v1_TOPO05KPHOTO074</v>
      </c>
      <c r="S390" s="39" t="s">
        <v>155</v>
      </c>
      <c r="U390" s="27" t="str">
        <f>_xlfn.XLOOKUP(表格1[[#This Row],[服務類別(英)]],參考2_服務標準對照!$B:$B,參考2_服務標準對照!$C:$C,"")&amp;""</f>
        <v>OGC</v>
      </c>
      <c r="V390" s="29" t="s">
        <v>7</v>
      </c>
      <c r="W390" s="29" t="s">
        <v>163</v>
      </c>
      <c r="X390" s="29" t="s">
        <v>81</v>
      </c>
      <c r="Y390" s="36" t="s">
        <v>83</v>
      </c>
      <c r="Z390" s="36" t="s">
        <v>157</v>
      </c>
      <c r="AA390" s="36" t="s">
        <v>186</v>
      </c>
      <c r="AB390" s="36"/>
      <c r="AC390" s="36"/>
      <c r="AD390" s="29" t="s">
        <v>119</v>
      </c>
      <c r="AE390" s="36" t="str">
        <f>_xlfn.XLOOKUP(表格1[[#This Row],[唯一識別碼]],API清冊0707!B:B,API清冊0707!T:T,"")&amp;""</f>
        <v>無下拉選單</v>
      </c>
    </row>
    <row r="391" spans="1:31" ht="220.5" customHeight="1" x14ac:dyDescent="0.4">
      <c r="A391" s="29" t="s">
        <v>1712</v>
      </c>
      <c r="B391" s="29"/>
      <c r="C391" s="29"/>
      <c r="D391" s="29" t="s">
        <v>1713</v>
      </c>
      <c r="E391" s="29" t="s">
        <v>1714</v>
      </c>
      <c r="F391" s="29" t="s">
        <v>1715</v>
      </c>
      <c r="G391" s="35"/>
      <c r="H391" s="35" t="s">
        <v>151</v>
      </c>
      <c r="I391" s="29" t="s">
        <v>1712</v>
      </c>
      <c r="J391" s="37"/>
      <c r="K391" s="38"/>
      <c r="L391" s="38"/>
      <c r="M391" s="36" t="s">
        <v>60</v>
      </c>
      <c r="N391" s="15" t="s">
        <v>152</v>
      </c>
      <c r="O391" s="36" t="s">
        <v>162</v>
      </c>
      <c r="P391" s="36" t="str">
        <f t="shared" si="12"/>
        <v>WMTS_1/5000像片基本圖(73年)</v>
      </c>
      <c r="Q391" s="29" t="s">
        <v>1715</v>
      </c>
      <c r="R391" s="29" t="str">
        <f t="shared" si="13"/>
        <v>2dms_wmts_v1_TOPO05KPHOTO073</v>
      </c>
      <c r="S391" s="39" t="s">
        <v>155</v>
      </c>
      <c r="U391" s="27" t="str">
        <f>_xlfn.XLOOKUP(表格1[[#This Row],[服務類別(英)]],參考2_服務標準對照!$B:$B,參考2_服務標準對照!$C:$C,"")&amp;""</f>
        <v>OGC</v>
      </c>
      <c r="V391" s="29" t="s">
        <v>7</v>
      </c>
      <c r="W391" s="29" t="s">
        <v>163</v>
      </c>
      <c r="X391" s="29" t="s">
        <v>81</v>
      </c>
      <c r="Y391" s="36" t="s">
        <v>83</v>
      </c>
      <c r="Z391" s="36" t="s">
        <v>157</v>
      </c>
      <c r="AA391" s="36" t="s">
        <v>186</v>
      </c>
      <c r="AB391" s="36"/>
      <c r="AC391" s="36"/>
      <c r="AD391" s="29" t="s">
        <v>119</v>
      </c>
      <c r="AE391" s="36" t="str">
        <f>_xlfn.XLOOKUP(表格1[[#This Row],[唯一識別碼]],API清冊0707!B:B,API清冊0707!T:T,"")&amp;""</f>
        <v>無下拉選單</v>
      </c>
    </row>
    <row r="392" spans="1:31" ht="220.5" customHeight="1" x14ac:dyDescent="0.4">
      <c r="A392" s="29" t="s">
        <v>1716</v>
      </c>
      <c r="B392" s="29"/>
      <c r="C392" s="29"/>
      <c r="D392" s="29" t="s">
        <v>1717</v>
      </c>
      <c r="E392" s="29" t="s">
        <v>1718</v>
      </c>
      <c r="F392" s="29" t="s">
        <v>1719</v>
      </c>
      <c r="G392" s="35"/>
      <c r="H392" s="35" t="s">
        <v>151</v>
      </c>
      <c r="I392" s="29" t="s">
        <v>1716</v>
      </c>
      <c r="J392" s="37"/>
      <c r="K392" s="38"/>
      <c r="L392" s="38"/>
      <c r="M392" s="36" t="s">
        <v>60</v>
      </c>
      <c r="N392" s="15" t="s">
        <v>152</v>
      </c>
      <c r="O392" s="36" t="s">
        <v>162</v>
      </c>
      <c r="P392" s="36" t="str">
        <f t="shared" si="12"/>
        <v>WMTS_1/5000像片基本圖(72年)</v>
      </c>
      <c r="Q392" s="29" t="s">
        <v>1719</v>
      </c>
      <c r="R392" s="29" t="str">
        <f t="shared" si="13"/>
        <v>2dms_wmts_v1_TOPO05KPHOTO072</v>
      </c>
      <c r="S392" s="39" t="s">
        <v>155</v>
      </c>
      <c r="U392" s="27" t="str">
        <f>_xlfn.XLOOKUP(表格1[[#This Row],[服務類別(英)]],參考2_服務標準對照!$B:$B,參考2_服務標準對照!$C:$C,"")&amp;""</f>
        <v>OGC</v>
      </c>
      <c r="V392" s="29" t="s">
        <v>7</v>
      </c>
      <c r="W392" s="29" t="s">
        <v>163</v>
      </c>
      <c r="X392" s="29" t="s">
        <v>81</v>
      </c>
      <c r="Y392" s="36" t="s">
        <v>83</v>
      </c>
      <c r="Z392" s="36" t="s">
        <v>157</v>
      </c>
      <c r="AA392" s="36" t="s">
        <v>186</v>
      </c>
      <c r="AB392" s="36"/>
      <c r="AC392" s="36"/>
      <c r="AD392" s="29" t="s">
        <v>119</v>
      </c>
      <c r="AE392" s="36" t="str">
        <f>_xlfn.XLOOKUP(表格1[[#This Row],[唯一識別碼]],API清冊0707!B:B,API清冊0707!T:T,"")&amp;""</f>
        <v>無下拉選單</v>
      </c>
    </row>
    <row r="393" spans="1:31" ht="220.5" customHeight="1" x14ac:dyDescent="0.4">
      <c r="A393" s="29" t="s">
        <v>1720</v>
      </c>
      <c r="B393" s="29"/>
      <c r="C393" s="29"/>
      <c r="D393" s="29" t="s">
        <v>1721</v>
      </c>
      <c r="E393" s="29" t="s">
        <v>1722</v>
      </c>
      <c r="F393" s="29" t="s">
        <v>1723</v>
      </c>
      <c r="G393" s="35"/>
      <c r="H393" s="35" t="s">
        <v>151</v>
      </c>
      <c r="I393" s="29" t="s">
        <v>1720</v>
      </c>
      <c r="J393" s="37"/>
      <c r="K393" s="38"/>
      <c r="L393" s="38"/>
      <c r="M393" s="36" t="s">
        <v>60</v>
      </c>
      <c r="N393" s="15" t="s">
        <v>152</v>
      </c>
      <c r="O393" s="36" t="s">
        <v>162</v>
      </c>
      <c r="P393" s="36" t="str">
        <f t="shared" si="12"/>
        <v>WMTS_1/5000像片基本圖(71年)</v>
      </c>
      <c r="Q393" s="29" t="s">
        <v>1723</v>
      </c>
      <c r="R393" s="29" t="str">
        <f t="shared" si="13"/>
        <v>2dms_wmts_v1_TOPO05KPHOTO071</v>
      </c>
      <c r="S393" s="39" t="s">
        <v>155</v>
      </c>
      <c r="U393" s="27" t="str">
        <f>_xlfn.XLOOKUP(表格1[[#This Row],[服務類別(英)]],參考2_服務標準對照!$B:$B,參考2_服務標準對照!$C:$C,"")&amp;""</f>
        <v>OGC</v>
      </c>
      <c r="V393" s="29" t="s">
        <v>7</v>
      </c>
      <c r="W393" s="29" t="s">
        <v>163</v>
      </c>
      <c r="X393" s="29" t="s">
        <v>81</v>
      </c>
      <c r="Y393" s="36" t="s">
        <v>83</v>
      </c>
      <c r="Z393" s="36" t="s">
        <v>157</v>
      </c>
      <c r="AA393" s="36" t="s">
        <v>186</v>
      </c>
      <c r="AB393" s="36"/>
      <c r="AC393" s="36"/>
      <c r="AD393" s="29" t="s">
        <v>119</v>
      </c>
      <c r="AE393" s="36" t="str">
        <f>_xlfn.XLOOKUP(表格1[[#This Row],[唯一識別碼]],API清冊0707!B:B,API清冊0707!T:T,"")&amp;""</f>
        <v>無下拉選單</v>
      </c>
    </row>
    <row r="394" spans="1:31" ht="220.5" customHeight="1" x14ac:dyDescent="0.4">
      <c r="A394" s="29" t="s">
        <v>1724</v>
      </c>
      <c r="B394" s="29"/>
      <c r="C394" s="29"/>
      <c r="D394" s="29" t="s">
        <v>1725</v>
      </c>
      <c r="E394" s="29" t="s">
        <v>1726</v>
      </c>
      <c r="F394" s="29" t="s">
        <v>1727</v>
      </c>
      <c r="G394" s="35"/>
      <c r="H394" s="35" t="s">
        <v>151</v>
      </c>
      <c r="I394" s="29" t="s">
        <v>1724</v>
      </c>
      <c r="J394" s="37"/>
      <c r="K394" s="38"/>
      <c r="L394" s="38"/>
      <c r="M394" s="36" t="s">
        <v>60</v>
      </c>
      <c r="N394" s="15" t="s">
        <v>152</v>
      </c>
      <c r="O394" s="36" t="s">
        <v>162</v>
      </c>
      <c r="P394" s="36" t="str">
        <f t="shared" si="12"/>
        <v>WMTS_1/5000像片基本圖(70年)</v>
      </c>
      <c r="Q394" s="29" t="s">
        <v>1727</v>
      </c>
      <c r="R394" s="29" t="str">
        <f t="shared" si="13"/>
        <v>2dms_wmts_v1_TOPO05KPHOTO070</v>
      </c>
      <c r="S394" s="39" t="s">
        <v>155</v>
      </c>
      <c r="U394" s="27" t="str">
        <f>_xlfn.XLOOKUP(表格1[[#This Row],[服務類別(英)]],參考2_服務標準對照!$B:$B,參考2_服務標準對照!$C:$C,"")&amp;""</f>
        <v>OGC</v>
      </c>
      <c r="V394" s="29" t="s">
        <v>7</v>
      </c>
      <c r="W394" s="29" t="s">
        <v>163</v>
      </c>
      <c r="X394" s="29" t="s">
        <v>81</v>
      </c>
      <c r="Y394" s="36" t="s">
        <v>83</v>
      </c>
      <c r="Z394" s="36" t="s">
        <v>157</v>
      </c>
      <c r="AA394" s="36" t="s">
        <v>186</v>
      </c>
      <c r="AB394" s="36"/>
      <c r="AC394" s="36"/>
      <c r="AD394" s="29" t="s">
        <v>119</v>
      </c>
      <c r="AE394" s="36" t="str">
        <f>_xlfn.XLOOKUP(表格1[[#This Row],[唯一識別碼]],API清冊0707!B:B,API清冊0707!T:T,"")&amp;""</f>
        <v>無下拉選單</v>
      </c>
    </row>
    <row r="395" spans="1:31" ht="220.5" customHeight="1" x14ac:dyDescent="0.4">
      <c r="A395" s="29" t="s">
        <v>1728</v>
      </c>
      <c r="B395" s="29"/>
      <c r="C395" s="29"/>
      <c r="D395" s="29" t="s">
        <v>1729</v>
      </c>
      <c r="E395" s="29" t="s">
        <v>1730</v>
      </c>
      <c r="F395" s="29" t="s">
        <v>1731</v>
      </c>
      <c r="G395" s="35"/>
      <c r="H395" s="35" t="s">
        <v>151</v>
      </c>
      <c r="I395" s="29" t="s">
        <v>1728</v>
      </c>
      <c r="J395" s="37"/>
      <c r="K395" s="38"/>
      <c r="L395" s="38"/>
      <c r="M395" s="36" t="s">
        <v>60</v>
      </c>
      <c r="N395" s="15" t="s">
        <v>152</v>
      </c>
      <c r="O395" s="36" t="s">
        <v>162</v>
      </c>
      <c r="P395" s="36" t="str">
        <f t="shared" si="12"/>
        <v>WMTS_1/5000像片基本圖(69年)</v>
      </c>
      <c r="Q395" s="29" t="s">
        <v>1731</v>
      </c>
      <c r="R395" s="29" t="str">
        <f t="shared" si="13"/>
        <v>2dms_wmts_v1_TOPO05KPHOTO069</v>
      </c>
      <c r="S395" s="39" t="s">
        <v>155</v>
      </c>
      <c r="U395" s="27" t="str">
        <f>_xlfn.XLOOKUP(表格1[[#This Row],[服務類別(英)]],參考2_服務標準對照!$B:$B,參考2_服務標準對照!$C:$C,"")&amp;""</f>
        <v>OGC</v>
      </c>
      <c r="V395" s="29" t="s">
        <v>7</v>
      </c>
      <c r="W395" s="29" t="s">
        <v>163</v>
      </c>
      <c r="X395" s="29" t="s">
        <v>81</v>
      </c>
      <c r="Y395" s="36" t="s">
        <v>83</v>
      </c>
      <c r="Z395" s="36" t="s">
        <v>157</v>
      </c>
      <c r="AA395" s="36" t="s">
        <v>186</v>
      </c>
      <c r="AB395" s="36"/>
      <c r="AC395" s="36"/>
      <c r="AD395" s="29" t="s">
        <v>119</v>
      </c>
      <c r="AE395" s="36" t="str">
        <f>_xlfn.XLOOKUP(表格1[[#This Row],[唯一識別碼]],API清冊0707!B:B,API清冊0707!T:T,"")&amp;""</f>
        <v>無下拉選單</v>
      </c>
    </row>
    <row r="396" spans="1:31" ht="220.5" customHeight="1" x14ac:dyDescent="0.4">
      <c r="A396" s="29" t="s">
        <v>1732</v>
      </c>
      <c r="B396" s="29"/>
      <c r="C396" s="29"/>
      <c r="D396" s="29" t="s">
        <v>1733</v>
      </c>
      <c r="E396" s="29" t="s">
        <v>1734</v>
      </c>
      <c r="F396" s="29" t="s">
        <v>1735</v>
      </c>
      <c r="G396" s="35"/>
      <c r="H396" s="35" t="s">
        <v>151</v>
      </c>
      <c r="I396" s="29" t="s">
        <v>1732</v>
      </c>
      <c r="J396" s="37"/>
      <c r="K396" s="38"/>
      <c r="L396" s="38"/>
      <c r="M396" s="36" t="s">
        <v>60</v>
      </c>
      <c r="N396" s="15" t="s">
        <v>152</v>
      </c>
      <c r="O396" s="36" t="s">
        <v>162</v>
      </c>
      <c r="P396" s="36" t="str">
        <f t="shared" si="12"/>
        <v>WMTS_1/5000像片基本圖(68年)</v>
      </c>
      <c r="Q396" s="29" t="s">
        <v>1735</v>
      </c>
      <c r="R396" s="29" t="str">
        <f t="shared" si="13"/>
        <v>2dms_wmts_v1_TOPO05KPHOTO068</v>
      </c>
      <c r="S396" s="39" t="s">
        <v>155</v>
      </c>
      <c r="U396" s="27" t="str">
        <f>_xlfn.XLOOKUP(表格1[[#This Row],[服務類別(英)]],參考2_服務標準對照!$B:$B,參考2_服務標準對照!$C:$C,"")&amp;""</f>
        <v>OGC</v>
      </c>
      <c r="V396" s="29" t="s">
        <v>7</v>
      </c>
      <c r="W396" s="29" t="s">
        <v>163</v>
      </c>
      <c r="X396" s="29" t="s">
        <v>81</v>
      </c>
      <c r="Y396" s="36" t="s">
        <v>83</v>
      </c>
      <c r="Z396" s="36" t="s">
        <v>157</v>
      </c>
      <c r="AA396" s="36" t="s">
        <v>186</v>
      </c>
      <c r="AB396" s="36"/>
      <c r="AC396" s="36"/>
      <c r="AD396" s="29" t="s">
        <v>119</v>
      </c>
      <c r="AE396" s="36" t="str">
        <f>_xlfn.XLOOKUP(表格1[[#This Row],[唯一識別碼]],API清冊0707!B:B,API清冊0707!T:T,"")&amp;""</f>
        <v>無下拉選單</v>
      </c>
    </row>
    <row r="397" spans="1:31" ht="220.5" customHeight="1" x14ac:dyDescent="0.4">
      <c r="A397" s="29" t="s">
        <v>1736</v>
      </c>
      <c r="B397" s="29"/>
      <c r="C397" s="29"/>
      <c r="D397" s="29" t="s">
        <v>1737</v>
      </c>
      <c r="E397" s="29" t="s">
        <v>1738</v>
      </c>
      <c r="F397" s="29" t="s">
        <v>1739</v>
      </c>
      <c r="G397" s="35"/>
      <c r="H397" s="35" t="s">
        <v>151</v>
      </c>
      <c r="I397" s="29" t="s">
        <v>1736</v>
      </c>
      <c r="J397" s="37"/>
      <c r="K397" s="38"/>
      <c r="L397" s="38"/>
      <c r="M397" s="36" t="s">
        <v>60</v>
      </c>
      <c r="N397" s="15" t="s">
        <v>152</v>
      </c>
      <c r="O397" s="36" t="s">
        <v>162</v>
      </c>
      <c r="P397" s="36" t="str">
        <f t="shared" si="12"/>
        <v>WMTS_1/5000像片基本圖(67年)</v>
      </c>
      <c r="Q397" s="29" t="s">
        <v>1739</v>
      </c>
      <c r="R397" s="29" t="str">
        <f t="shared" si="13"/>
        <v>2dms_wmts_v1_TOPO05KPHOTO067</v>
      </c>
      <c r="S397" s="39" t="s">
        <v>155</v>
      </c>
      <c r="U397" s="27" t="str">
        <f>_xlfn.XLOOKUP(表格1[[#This Row],[服務類別(英)]],參考2_服務標準對照!$B:$B,參考2_服務標準對照!$C:$C,"")&amp;""</f>
        <v>OGC</v>
      </c>
      <c r="V397" s="29" t="s">
        <v>7</v>
      </c>
      <c r="W397" s="29" t="s">
        <v>163</v>
      </c>
      <c r="X397" s="29" t="s">
        <v>81</v>
      </c>
      <c r="Y397" s="36" t="s">
        <v>83</v>
      </c>
      <c r="Z397" s="36" t="s">
        <v>157</v>
      </c>
      <c r="AA397" s="36" t="s">
        <v>186</v>
      </c>
      <c r="AB397" s="36"/>
      <c r="AC397" s="36"/>
      <c r="AD397" s="29" t="s">
        <v>119</v>
      </c>
      <c r="AE397" s="36" t="str">
        <f>_xlfn.XLOOKUP(表格1[[#This Row],[唯一識別碼]],API清冊0707!B:B,API清冊0707!T:T,"")&amp;""</f>
        <v>無下拉選單</v>
      </c>
    </row>
    <row r="398" spans="1:31" ht="220.5" customHeight="1" x14ac:dyDescent="0.4">
      <c r="A398" s="29" t="s">
        <v>1740</v>
      </c>
      <c r="B398" s="29"/>
      <c r="C398" s="29"/>
      <c r="D398" s="29" t="s">
        <v>1741</v>
      </c>
      <c r="E398" s="29" t="s">
        <v>1742</v>
      </c>
      <c r="F398" s="29" t="s">
        <v>1743</v>
      </c>
      <c r="G398" s="35"/>
      <c r="H398" s="35" t="s">
        <v>151</v>
      </c>
      <c r="I398" s="29" t="s">
        <v>1740</v>
      </c>
      <c r="J398" s="37"/>
      <c r="K398" s="38"/>
      <c r="L398" s="38"/>
      <c r="M398" s="36" t="s">
        <v>60</v>
      </c>
      <c r="N398" s="15" t="s">
        <v>152</v>
      </c>
      <c r="O398" s="36" t="s">
        <v>162</v>
      </c>
      <c r="P398" s="36" t="str">
        <f t="shared" si="12"/>
        <v>WMTS_1/5000像片基本圖(66年)</v>
      </c>
      <c r="Q398" s="29" t="s">
        <v>1743</v>
      </c>
      <c r="R398" s="29" t="str">
        <f t="shared" si="13"/>
        <v>2dms_wmts_v1_TOPO05KPHOTO066</v>
      </c>
      <c r="S398" s="39" t="s">
        <v>155</v>
      </c>
      <c r="U398" s="27" t="str">
        <f>_xlfn.XLOOKUP(表格1[[#This Row],[服務類別(英)]],參考2_服務標準對照!$B:$B,參考2_服務標準對照!$C:$C,"")&amp;""</f>
        <v>OGC</v>
      </c>
      <c r="V398" s="29" t="s">
        <v>7</v>
      </c>
      <c r="W398" s="29" t="s">
        <v>163</v>
      </c>
      <c r="X398" s="29" t="s">
        <v>81</v>
      </c>
      <c r="Y398" s="36" t="s">
        <v>83</v>
      </c>
      <c r="Z398" s="36" t="s">
        <v>157</v>
      </c>
      <c r="AA398" s="36" t="s">
        <v>186</v>
      </c>
      <c r="AB398" s="36"/>
      <c r="AC398" s="36"/>
      <c r="AD398" s="29" t="s">
        <v>119</v>
      </c>
      <c r="AE398" s="36" t="str">
        <f>_xlfn.XLOOKUP(表格1[[#This Row],[唯一識別碼]],API清冊0707!B:B,API清冊0707!T:T,"")&amp;""</f>
        <v>無下拉選單</v>
      </c>
    </row>
    <row r="399" spans="1:31" ht="220.5" customHeight="1" x14ac:dyDescent="0.4">
      <c r="A399" s="29" t="s">
        <v>1744</v>
      </c>
      <c r="B399" s="29"/>
      <c r="C399" s="29"/>
      <c r="D399" s="29" t="s">
        <v>1745</v>
      </c>
      <c r="E399" s="29" t="s">
        <v>1746</v>
      </c>
      <c r="F399" s="29" t="s">
        <v>1747</v>
      </c>
      <c r="G399" s="35"/>
      <c r="H399" s="35" t="s">
        <v>151</v>
      </c>
      <c r="I399" s="29" t="s">
        <v>1744</v>
      </c>
      <c r="J399" s="37"/>
      <c r="K399" s="38"/>
      <c r="L399" s="38"/>
      <c r="M399" s="36" t="s">
        <v>60</v>
      </c>
      <c r="N399" s="15" t="s">
        <v>152</v>
      </c>
      <c r="O399" s="36" t="s">
        <v>162</v>
      </c>
      <c r="P399" s="36" t="str">
        <f t="shared" si="12"/>
        <v>WMTS_1/5000像片基本圖(65年)</v>
      </c>
      <c r="Q399" s="29" t="s">
        <v>1747</v>
      </c>
      <c r="R399" s="29" t="str">
        <f t="shared" si="13"/>
        <v>2dms_wmts_v1_TOPO05KPHOTO065</v>
      </c>
      <c r="S399" s="39" t="s">
        <v>155</v>
      </c>
      <c r="U399" s="27" t="str">
        <f>_xlfn.XLOOKUP(表格1[[#This Row],[服務類別(英)]],參考2_服務標準對照!$B:$B,參考2_服務標準對照!$C:$C,"")&amp;""</f>
        <v>OGC</v>
      </c>
      <c r="V399" s="29" t="s">
        <v>7</v>
      </c>
      <c r="W399" s="29" t="s">
        <v>163</v>
      </c>
      <c r="X399" s="29" t="s">
        <v>81</v>
      </c>
      <c r="Y399" s="36" t="s">
        <v>83</v>
      </c>
      <c r="Z399" s="36" t="s">
        <v>157</v>
      </c>
      <c r="AA399" s="36" t="s">
        <v>186</v>
      </c>
      <c r="AB399" s="36"/>
      <c r="AC399" s="36"/>
      <c r="AD399" s="29" t="s">
        <v>119</v>
      </c>
      <c r="AE399" s="36" t="str">
        <f>_xlfn.XLOOKUP(表格1[[#This Row],[唯一識別碼]],API清冊0707!B:B,API清冊0707!T:T,"")&amp;""</f>
        <v>無下拉選單</v>
      </c>
    </row>
    <row r="400" spans="1:31" ht="204.75" customHeight="1" x14ac:dyDescent="0.4">
      <c r="A400" s="29" t="s">
        <v>1748</v>
      </c>
      <c r="B400" s="29"/>
      <c r="C400" s="29"/>
      <c r="D400" s="29" t="s">
        <v>1749</v>
      </c>
      <c r="E400" s="29" t="s">
        <v>1750</v>
      </c>
      <c r="F400" s="29" t="s">
        <v>1751</v>
      </c>
      <c r="G400" s="35"/>
      <c r="H400" s="35" t="s">
        <v>151</v>
      </c>
      <c r="I400" s="29" t="s">
        <v>1748</v>
      </c>
      <c r="J400" s="37"/>
      <c r="K400" s="38"/>
      <c r="L400" s="38"/>
      <c r="M400" s="36" t="s">
        <v>60</v>
      </c>
      <c r="N400" s="15" t="s">
        <v>152</v>
      </c>
      <c r="O400" s="36" t="s">
        <v>162</v>
      </c>
      <c r="P400" s="36" t="str">
        <f t="shared" si="12"/>
        <v>WMTS_1/5000基本地形圖(99年)</v>
      </c>
      <c r="Q400" s="29" t="s">
        <v>1751</v>
      </c>
      <c r="R400" s="29" t="str">
        <f t="shared" si="13"/>
        <v>2dms_wmts_v1_TOPO05K99</v>
      </c>
      <c r="S400" s="39" t="s">
        <v>155</v>
      </c>
      <c r="U400" s="27" t="str">
        <f>_xlfn.XLOOKUP(表格1[[#This Row],[服務類別(英)]],參考2_服務標準對照!$B:$B,參考2_服務標準對照!$C:$C,"")&amp;""</f>
        <v>OGC</v>
      </c>
      <c r="V400" s="29" t="s">
        <v>7</v>
      </c>
      <c r="W400" s="29" t="s">
        <v>163</v>
      </c>
      <c r="X400" s="29" t="s">
        <v>81</v>
      </c>
      <c r="Y400" s="36" t="s">
        <v>83</v>
      </c>
      <c r="Z400" s="36" t="s">
        <v>157</v>
      </c>
      <c r="AA400" s="36" t="s">
        <v>1159</v>
      </c>
      <c r="AB400" s="36"/>
      <c r="AC400" s="36"/>
      <c r="AD400" s="29" t="s">
        <v>119</v>
      </c>
      <c r="AE400" s="36" t="str">
        <f>_xlfn.XLOOKUP(表格1[[#This Row],[唯一識別碼]],API清冊0707!B:B,API清冊0707!T:T,"")&amp;""</f>
        <v>無下拉選單</v>
      </c>
    </row>
    <row r="401" spans="1:31" ht="204.75" customHeight="1" x14ac:dyDescent="0.4">
      <c r="A401" s="29" t="s">
        <v>1752</v>
      </c>
      <c r="B401" s="29"/>
      <c r="C401" s="29"/>
      <c r="D401" s="29" t="s">
        <v>1753</v>
      </c>
      <c r="E401" s="29" t="s">
        <v>1754</v>
      </c>
      <c r="F401" s="29" t="s">
        <v>1755</v>
      </c>
      <c r="G401" s="35"/>
      <c r="H401" s="35" t="s">
        <v>151</v>
      </c>
      <c r="I401" s="29" t="s">
        <v>1752</v>
      </c>
      <c r="J401" s="37"/>
      <c r="K401" s="38"/>
      <c r="L401" s="38"/>
      <c r="M401" s="36" t="s">
        <v>60</v>
      </c>
      <c r="N401" s="15" t="s">
        <v>152</v>
      </c>
      <c r="O401" s="36" t="s">
        <v>162</v>
      </c>
      <c r="P401" s="36" t="str">
        <f t="shared" si="12"/>
        <v>WMTS_1/5000基本地形圖(98年)</v>
      </c>
      <c r="Q401" s="29" t="s">
        <v>1755</v>
      </c>
      <c r="R401" s="29" t="str">
        <f t="shared" si="13"/>
        <v>2dms_wmts_v1_TOPO05K98</v>
      </c>
      <c r="S401" s="39" t="s">
        <v>155</v>
      </c>
      <c r="U401" s="27" t="str">
        <f>_xlfn.XLOOKUP(表格1[[#This Row],[服務類別(英)]],參考2_服務標準對照!$B:$B,參考2_服務標準對照!$C:$C,"")&amp;""</f>
        <v>OGC</v>
      </c>
      <c r="V401" s="29" t="s">
        <v>7</v>
      </c>
      <c r="W401" s="29" t="s">
        <v>163</v>
      </c>
      <c r="X401" s="29" t="s">
        <v>81</v>
      </c>
      <c r="Y401" s="36" t="s">
        <v>83</v>
      </c>
      <c r="Z401" s="36" t="s">
        <v>157</v>
      </c>
      <c r="AA401" s="36" t="s">
        <v>1159</v>
      </c>
      <c r="AB401" s="36"/>
      <c r="AC401" s="36"/>
      <c r="AD401" s="29" t="s">
        <v>119</v>
      </c>
      <c r="AE401" s="36" t="str">
        <f>_xlfn.XLOOKUP(表格1[[#This Row],[唯一識別碼]],API清冊0707!B:B,API清冊0707!T:T,"")&amp;""</f>
        <v>無下拉選單</v>
      </c>
    </row>
    <row r="402" spans="1:31" ht="204.75" customHeight="1" x14ac:dyDescent="0.4">
      <c r="A402" s="29" t="s">
        <v>1756</v>
      </c>
      <c r="B402" s="29"/>
      <c r="C402" s="29"/>
      <c r="D402" s="29" t="s">
        <v>1757</v>
      </c>
      <c r="E402" s="29" t="s">
        <v>1758</v>
      </c>
      <c r="F402" s="29" t="s">
        <v>1759</v>
      </c>
      <c r="G402" s="35"/>
      <c r="H402" s="35" t="s">
        <v>151</v>
      </c>
      <c r="I402" s="29" t="s">
        <v>1756</v>
      </c>
      <c r="J402" s="37"/>
      <c r="K402" s="38"/>
      <c r="L402" s="38"/>
      <c r="M402" s="36" t="s">
        <v>60</v>
      </c>
      <c r="N402" s="15" t="s">
        <v>152</v>
      </c>
      <c r="O402" s="36" t="s">
        <v>162</v>
      </c>
      <c r="P402" s="36" t="str">
        <f t="shared" si="12"/>
        <v>WMTS_1/5000基本地形圖(96年)</v>
      </c>
      <c r="Q402" s="29" t="s">
        <v>1759</v>
      </c>
      <c r="R402" s="29" t="str">
        <f t="shared" si="13"/>
        <v>2dms_wmts_v1_TOPO05K96</v>
      </c>
      <c r="S402" s="39" t="s">
        <v>155</v>
      </c>
      <c r="U402" s="27" t="str">
        <f>_xlfn.XLOOKUP(表格1[[#This Row],[服務類別(英)]],參考2_服務標準對照!$B:$B,參考2_服務標準對照!$C:$C,"")&amp;""</f>
        <v>OGC</v>
      </c>
      <c r="V402" s="29" t="s">
        <v>7</v>
      </c>
      <c r="W402" s="29" t="s">
        <v>163</v>
      </c>
      <c r="X402" s="29" t="s">
        <v>81</v>
      </c>
      <c r="Y402" s="36" t="s">
        <v>83</v>
      </c>
      <c r="Z402" s="36" t="s">
        <v>157</v>
      </c>
      <c r="AA402" s="36" t="s">
        <v>1159</v>
      </c>
      <c r="AB402" s="36"/>
      <c r="AC402" s="36"/>
      <c r="AD402" s="29" t="s">
        <v>119</v>
      </c>
      <c r="AE402" s="36" t="str">
        <f>_xlfn.XLOOKUP(表格1[[#This Row],[唯一識別碼]],API清冊0707!B:B,API清冊0707!T:T,"")&amp;""</f>
        <v>無下拉選單</v>
      </c>
    </row>
    <row r="403" spans="1:31" ht="204.75" customHeight="1" x14ac:dyDescent="0.4">
      <c r="A403" s="29" t="s">
        <v>1760</v>
      </c>
      <c r="B403" s="29"/>
      <c r="C403" s="29"/>
      <c r="D403" s="29" t="s">
        <v>1761</v>
      </c>
      <c r="E403" s="29" t="s">
        <v>1762</v>
      </c>
      <c r="F403" s="29" t="s">
        <v>1763</v>
      </c>
      <c r="G403" s="35"/>
      <c r="H403" s="35" t="s">
        <v>151</v>
      </c>
      <c r="I403" s="29" t="s">
        <v>1760</v>
      </c>
      <c r="J403" s="37"/>
      <c r="K403" s="38"/>
      <c r="L403" s="38"/>
      <c r="M403" s="36" t="s">
        <v>60</v>
      </c>
      <c r="N403" s="15" t="s">
        <v>152</v>
      </c>
      <c r="O403" s="36" t="s">
        <v>162</v>
      </c>
      <c r="P403" s="36" t="str">
        <f t="shared" si="12"/>
        <v>WMTS_1/5000基本地形圖(92年)</v>
      </c>
      <c r="Q403" s="29" t="s">
        <v>1763</v>
      </c>
      <c r="R403" s="29" t="str">
        <f t="shared" si="13"/>
        <v>2dms_wmts_v1_TOPO05K92</v>
      </c>
      <c r="S403" s="39" t="s">
        <v>155</v>
      </c>
      <c r="U403" s="27" t="str">
        <f>_xlfn.XLOOKUP(表格1[[#This Row],[服務類別(英)]],參考2_服務標準對照!$B:$B,參考2_服務標準對照!$C:$C,"")&amp;""</f>
        <v>OGC</v>
      </c>
      <c r="V403" s="29" t="s">
        <v>7</v>
      </c>
      <c r="W403" s="29" t="s">
        <v>163</v>
      </c>
      <c r="X403" s="29" t="s">
        <v>81</v>
      </c>
      <c r="Y403" s="36" t="s">
        <v>83</v>
      </c>
      <c r="Z403" s="36" t="s">
        <v>157</v>
      </c>
      <c r="AA403" s="36" t="s">
        <v>1159</v>
      </c>
      <c r="AB403" s="36"/>
      <c r="AC403" s="36"/>
      <c r="AD403" s="29" t="s">
        <v>119</v>
      </c>
      <c r="AE403" s="36" t="str">
        <f>_xlfn.XLOOKUP(表格1[[#This Row],[唯一識別碼]],API清冊0707!B:B,API清冊0707!T:T,"")&amp;""</f>
        <v>無下拉選單</v>
      </c>
    </row>
    <row r="404" spans="1:31" ht="204.75" customHeight="1" x14ac:dyDescent="0.4">
      <c r="A404" s="29" t="s">
        <v>1764</v>
      </c>
      <c r="B404" s="29"/>
      <c r="C404" s="29"/>
      <c r="D404" s="29" t="s">
        <v>1765</v>
      </c>
      <c r="E404" s="29" t="s">
        <v>1766</v>
      </c>
      <c r="F404" s="29" t="s">
        <v>1767</v>
      </c>
      <c r="G404" s="35"/>
      <c r="H404" s="35" t="s">
        <v>151</v>
      </c>
      <c r="I404" s="29" t="s">
        <v>1764</v>
      </c>
      <c r="J404" s="37"/>
      <c r="K404" s="38"/>
      <c r="L404" s="38"/>
      <c r="M404" s="36" t="s">
        <v>60</v>
      </c>
      <c r="N404" s="15" t="s">
        <v>152</v>
      </c>
      <c r="O404" s="36" t="s">
        <v>162</v>
      </c>
      <c r="P404" s="36" t="str">
        <f t="shared" si="12"/>
        <v>WMTS_1/5000基本地形圖(91年)</v>
      </c>
      <c r="Q404" s="29" t="s">
        <v>1767</v>
      </c>
      <c r="R404" s="29" t="str">
        <f t="shared" si="13"/>
        <v>2dms_wmts_v1_TOPO05K91</v>
      </c>
      <c r="S404" s="39" t="s">
        <v>155</v>
      </c>
      <c r="U404" s="27" t="str">
        <f>_xlfn.XLOOKUP(表格1[[#This Row],[服務類別(英)]],參考2_服務標準對照!$B:$B,參考2_服務標準對照!$C:$C,"")&amp;""</f>
        <v>OGC</v>
      </c>
      <c r="V404" s="29" t="s">
        <v>7</v>
      </c>
      <c r="W404" s="29" t="s">
        <v>163</v>
      </c>
      <c r="X404" s="29" t="s">
        <v>81</v>
      </c>
      <c r="Y404" s="36" t="s">
        <v>83</v>
      </c>
      <c r="Z404" s="36" t="s">
        <v>157</v>
      </c>
      <c r="AA404" s="36" t="s">
        <v>1159</v>
      </c>
      <c r="AB404" s="36"/>
      <c r="AC404" s="36"/>
      <c r="AD404" s="29" t="s">
        <v>119</v>
      </c>
      <c r="AE404" s="36" t="str">
        <f>_xlfn.XLOOKUP(表格1[[#This Row],[唯一識別碼]],API清冊0707!B:B,API清冊0707!T:T,"")&amp;""</f>
        <v>無下拉選單</v>
      </c>
    </row>
    <row r="405" spans="1:31" ht="204.75" customHeight="1" x14ac:dyDescent="0.4">
      <c r="A405" s="29" t="s">
        <v>1768</v>
      </c>
      <c r="B405" s="29"/>
      <c r="C405" s="29"/>
      <c r="D405" s="29" t="s">
        <v>1769</v>
      </c>
      <c r="E405" s="29" t="s">
        <v>1770</v>
      </c>
      <c r="F405" s="29" t="s">
        <v>1771</v>
      </c>
      <c r="G405" s="35"/>
      <c r="H405" s="35" t="s">
        <v>151</v>
      </c>
      <c r="I405" s="29" t="s">
        <v>1768</v>
      </c>
      <c r="J405" s="37"/>
      <c r="K405" s="38"/>
      <c r="L405" s="38"/>
      <c r="M405" s="36" t="s">
        <v>60</v>
      </c>
      <c r="N405" s="15" t="s">
        <v>152</v>
      </c>
      <c r="O405" s="36" t="s">
        <v>162</v>
      </c>
      <c r="P405" s="36" t="str">
        <f t="shared" si="12"/>
        <v>WMTS_1/5000基本地形圖(90年)</v>
      </c>
      <c r="Q405" s="29" t="s">
        <v>1771</v>
      </c>
      <c r="R405" s="29" t="str">
        <f t="shared" si="13"/>
        <v>2dms_wmts_v1_TOPO05K90</v>
      </c>
      <c r="S405" s="39" t="s">
        <v>155</v>
      </c>
      <c r="U405" s="27" t="str">
        <f>_xlfn.XLOOKUP(表格1[[#This Row],[服務類別(英)]],參考2_服務標準對照!$B:$B,參考2_服務標準對照!$C:$C,"")&amp;""</f>
        <v>OGC</v>
      </c>
      <c r="V405" s="29" t="s">
        <v>7</v>
      </c>
      <c r="W405" s="29" t="s">
        <v>163</v>
      </c>
      <c r="X405" s="29" t="s">
        <v>81</v>
      </c>
      <c r="Y405" s="36" t="s">
        <v>83</v>
      </c>
      <c r="Z405" s="36" t="s">
        <v>157</v>
      </c>
      <c r="AA405" s="36" t="s">
        <v>1159</v>
      </c>
      <c r="AB405" s="36"/>
      <c r="AC405" s="36"/>
      <c r="AD405" s="29" t="s">
        <v>119</v>
      </c>
      <c r="AE405" s="36" t="str">
        <f>_xlfn.XLOOKUP(表格1[[#This Row],[唯一識別碼]],API清冊0707!B:B,API清冊0707!T:T,"")&amp;""</f>
        <v>無下拉選單</v>
      </c>
    </row>
    <row r="406" spans="1:31" ht="204.75" customHeight="1" x14ac:dyDescent="0.4">
      <c r="A406" s="29" t="s">
        <v>1772</v>
      </c>
      <c r="B406" s="29"/>
      <c r="C406" s="29"/>
      <c r="D406" s="29" t="s">
        <v>1773</v>
      </c>
      <c r="E406" s="29" t="s">
        <v>1774</v>
      </c>
      <c r="F406" s="29" t="s">
        <v>1775</v>
      </c>
      <c r="G406" s="35"/>
      <c r="H406" s="35" t="s">
        <v>151</v>
      </c>
      <c r="I406" s="29" t="s">
        <v>1772</v>
      </c>
      <c r="J406" s="37"/>
      <c r="K406" s="38"/>
      <c r="L406" s="38"/>
      <c r="M406" s="36" t="s">
        <v>60</v>
      </c>
      <c r="N406" s="15" t="s">
        <v>152</v>
      </c>
      <c r="O406" s="36" t="s">
        <v>162</v>
      </c>
      <c r="P406" s="36" t="str">
        <f t="shared" si="12"/>
        <v>WMTS_1/5000基本地形圖(88年)</v>
      </c>
      <c r="Q406" s="29" t="s">
        <v>1775</v>
      </c>
      <c r="R406" s="29" t="str">
        <f t="shared" si="13"/>
        <v>2dms_wmts_v1_TOPO05K88</v>
      </c>
      <c r="S406" s="39" t="s">
        <v>155</v>
      </c>
      <c r="U406" s="27" t="str">
        <f>_xlfn.XLOOKUP(表格1[[#This Row],[服務類別(英)]],參考2_服務標準對照!$B:$B,參考2_服務標準對照!$C:$C,"")&amp;""</f>
        <v>OGC</v>
      </c>
      <c r="V406" s="29" t="s">
        <v>7</v>
      </c>
      <c r="W406" s="29" t="s">
        <v>163</v>
      </c>
      <c r="X406" s="29" t="s">
        <v>81</v>
      </c>
      <c r="Y406" s="36" t="s">
        <v>83</v>
      </c>
      <c r="Z406" s="36" t="s">
        <v>157</v>
      </c>
      <c r="AA406" s="36" t="s">
        <v>1159</v>
      </c>
      <c r="AB406" s="36"/>
      <c r="AC406" s="36"/>
      <c r="AD406" s="29" t="s">
        <v>119</v>
      </c>
      <c r="AE406" s="36" t="str">
        <f>_xlfn.XLOOKUP(表格1[[#This Row],[唯一識別碼]],API清冊0707!B:B,API清冊0707!T:T,"")&amp;""</f>
        <v>無下拉選單</v>
      </c>
    </row>
    <row r="407" spans="1:31" ht="204.75" customHeight="1" x14ac:dyDescent="0.4">
      <c r="A407" s="29" t="s">
        <v>1776</v>
      </c>
      <c r="B407" s="29"/>
      <c r="C407" s="29"/>
      <c r="D407" s="29" t="s">
        <v>1777</v>
      </c>
      <c r="E407" s="29" t="s">
        <v>1778</v>
      </c>
      <c r="F407" s="29" t="s">
        <v>1779</v>
      </c>
      <c r="G407" s="35"/>
      <c r="H407" s="35" t="s">
        <v>151</v>
      </c>
      <c r="I407" s="29" t="s">
        <v>1776</v>
      </c>
      <c r="J407" s="37"/>
      <c r="K407" s="38"/>
      <c r="L407" s="38"/>
      <c r="M407" s="36" t="s">
        <v>60</v>
      </c>
      <c r="N407" s="15" t="s">
        <v>152</v>
      </c>
      <c r="O407" s="36" t="s">
        <v>162</v>
      </c>
      <c r="P407" s="36" t="str">
        <f t="shared" si="12"/>
        <v>WMTS_1/5000基本地形圖(87年)</v>
      </c>
      <c r="Q407" s="29" t="s">
        <v>1779</v>
      </c>
      <c r="R407" s="29" t="str">
        <f t="shared" si="13"/>
        <v>2dms_wmts_v1_TOPO05K87</v>
      </c>
      <c r="S407" s="39" t="s">
        <v>155</v>
      </c>
      <c r="U407" s="27" t="str">
        <f>_xlfn.XLOOKUP(表格1[[#This Row],[服務類別(英)]],參考2_服務標準對照!$B:$B,參考2_服務標準對照!$C:$C,"")&amp;""</f>
        <v>OGC</v>
      </c>
      <c r="V407" s="29" t="s">
        <v>7</v>
      </c>
      <c r="W407" s="29" t="s">
        <v>163</v>
      </c>
      <c r="X407" s="29" t="s">
        <v>81</v>
      </c>
      <c r="Y407" s="36" t="s">
        <v>83</v>
      </c>
      <c r="Z407" s="36" t="s">
        <v>157</v>
      </c>
      <c r="AA407" s="36" t="s">
        <v>1159</v>
      </c>
      <c r="AB407" s="36"/>
      <c r="AC407" s="36"/>
      <c r="AD407" s="29" t="s">
        <v>119</v>
      </c>
      <c r="AE407" s="36" t="str">
        <f>_xlfn.XLOOKUP(表格1[[#This Row],[唯一識別碼]],API清冊0707!B:B,API清冊0707!T:T,"")&amp;""</f>
        <v>無下拉選單</v>
      </c>
    </row>
    <row r="408" spans="1:31" ht="204.75" customHeight="1" x14ac:dyDescent="0.4">
      <c r="A408" s="29" t="s">
        <v>1780</v>
      </c>
      <c r="B408" s="29"/>
      <c r="C408" s="29"/>
      <c r="D408" s="29" t="s">
        <v>1781</v>
      </c>
      <c r="E408" s="29" t="s">
        <v>1782</v>
      </c>
      <c r="F408" s="29" t="s">
        <v>1783</v>
      </c>
      <c r="G408" s="35"/>
      <c r="H408" s="35" t="s">
        <v>151</v>
      </c>
      <c r="I408" s="29" t="s">
        <v>1780</v>
      </c>
      <c r="J408" s="37"/>
      <c r="K408" s="38"/>
      <c r="L408" s="38"/>
      <c r="M408" s="36" t="s">
        <v>60</v>
      </c>
      <c r="N408" s="15" t="s">
        <v>152</v>
      </c>
      <c r="O408" s="36" t="s">
        <v>162</v>
      </c>
      <c r="P408" s="36" t="str">
        <f t="shared" si="12"/>
        <v>WMTS_1/5000基本地形圖(86年)</v>
      </c>
      <c r="Q408" s="29" t="s">
        <v>1783</v>
      </c>
      <c r="R408" s="29" t="str">
        <f t="shared" si="13"/>
        <v>2dms_wmts_v1_TOPO05K86</v>
      </c>
      <c r="S408" s="39" t="s">
        <v>155</v>
      </c>
      <c r="U408" s="27" t="str">
        <f>_xlfn.XLOOKUP(表格1[[#This Row],[服務類別(英)]],參考2_服務標準對照!$B:$B,參考2_服務標準對照!$C:$C,"")&amp;""</f>
        <v>OGC</v>
      </c>
      <c r="V408" s="29" t="s">
        <v>7</v>
      </c>
      <c r="W408" s="29" t="s">
        <v>163</v>
      </c>
      <c r="X408" s="29" t="s">
        <v>81</v>
      </c>
      <c r="Y408" s="36" t="s">
        <v>83</v>
      </c>
      <c r="Z408" s="36" t="s">
        <v>157</v>
      </c>
      <c r="AA408" s="36" t="s">
        <v>1159</v>
      </c>
      <c r="AB408" s="36"/>
      <c r="AC408" s="36"/>
      <c r="AD408" s="29" t="s">
        <v>119</v>
      </c>
      <c r="AE408" s="36" t="str">
        <f>_xlfn.XLOOKUP(表格1[[#This Row],[唯一識別碼]],API清冊0707!B:B,API清冊0707!T:T,"")&amp;""</f>
        <v>無下拉選單</v>
      </c>
    </row>
    <row r="409" spans="1:31" ht="204.75" customHeight="1" x14ac:dyDescent="0.4">
      <c r="A409" s="29" t="s">
        <v>1784</v>
      </c>
      <c r="B409" s="29"/>
      <c r="C409" s="29"/>
      <c r="D409" s="29" t="s">
        <v>1785</v>
      </c>
      <c r="E409" s="29" t="s">
        <v>1786</v>
      </c>
      <c r="F409" s="29" t="s">
        <v>1787</v>
      </c>
      <c r="G409" s="35"/>
      <c r="H409" s="35" t="s">
        <v>151</v>
      </c>
      <c r="I409" s="29" t="s">
        <v>1784</v>
      </c>
      <c r="J409" s="37"/>
      <c r="K409" s="38"/>
      <c r="L409" s="38"/>
      <c r="M409" s="36" t="s">
        <v>60</v>
      </c>
      <c r="N409" s="15" t="s">
        <v>152</v>
      </c>
      <c r="O409" s="36" t="s">
        <v>162</v>
      </c>
      <c r="P409" s="36" t="str">
        <f t="shared" si="12"/>
        <v>WMTS_1/5000基本地形圖(84年)</v>
      </c>
      <c r="Q409" s="29" t="s">
        <v>1787</v>
      </c>
      <c r="R409" s="29" t="str">
        <f t="shared" si="13"/>
        <v>2dms_wmts_v1_TOPO05K84</v>
      </c>
      <c r="S409" s="39" t="s">
        <v>155</v>
      </c>
      <c r="U409" s="27" t="str">
        <f>_xlfn.XLOOKUP(表格1[[#This Row],[服務類別(英)]],參考2_服務標準對照!$B:$B,參考2_服務標準對照!$C:$C,"")&amp;""</f>
        <v>OGC</v>
      </c>
      <c r="V409" s="29" t="s">
        <v>7</v>
      </c>
      <c r="W409" s="29" t="s">
        <v>163</v>
      </c>
      <c r="X409" s="29" t="s">
        <v>81</v>
      </c>
      <c r="Y409" s="36" t="s">
        <v>83</v>
      </c>
      <c r="Z409" s="36" t="s">
        <v>157</v>
      </c>
      <c r="AA409" s="36" t="s">
        <v>1159</v>
      </c>
      <c r="AB409" s="36"/>
      <c r="AC409" s="36"/>
      <c r="AD409" s="29" t="s">
        <v>119</v>
      </c>
      <c r="AE409" s="36" t="str">
        <f>_xlfn.XLOOKUP(表格1[[#This Row],[唯一識別碼]],API清冊0707!B:B,API清冊0707!T:T,"")&amp;""</f>
        <v>無下拉選單</v>
      </c>
    </row>
    <row r="410" spans="1:31" ht="204.75" customHeight="1" x14ac:dyDescent="0.4">
      <c r="A410" s="29" t="s">
        <v>1788</v>
      </c>
      <c r="B410" s="29"/>
      <c r="C410" s="29"/>
      <c r="D410" s="29" t="s">
        <v>1789</v>
      </c>
      <c r="E410" s="29" t="s">
        <v>1790</v>
      </c>
      <c r="F410" s="29" t="s">
        <v>1791</v>
      </c>
      <c r="G410" s="35"/>
      <c r="H410" s="35" t="s">
        <v>151</v>
      </c>
      <c r="I410" s="29" t="s">
        <v>1788</v>
      </c>
      <c r="J410" s="37"/>
      <c r="K410" s="38"/>
      <c r="L410" s="38"/>
      <c r="M410" s="36" t="s">
        <v>60</v>
      </c>
      <c r="N410" s="15" t="s">
        <v>152</v>
      </c>
      <c r="O410" s="36" t="s">
        <v>162</v>
      </c>
      <c r="P410" s="36" t="str">
        <f t="shared" si="12"/>
        <v>WMTS_1/5000基本地形圖(111年)</v>
      </c>
      <c r="Q410" s="29" t="s">
        <v>1791</v>
      </c>
      <c r="R410" s="29" t="str">
        <f t="shared" si="13"/>
        <v>2dms_wmts_v1_TOPO05K111</v>
      </c>
      <c r="S410" s="39" t="s">
        <v>155</v>
      </c>
      <c r="U410" s="27" t="str">
        <f>_xlfn.XLOOKUP(表格1[[#This Row],[服務類別(英)]],參考2_服務標準對照!$B:$B,參考2_服務標準對照!$C:$C,"")&amp;""</f>
        <v>OGC</v>
      </c>
      <c r="V410" s="29" t="s">
        <v>7</v>
      </c>
      <c r="W410" s="29" t="s">
        <v>163</v>
      </c>
      <c r="X410" s="29" t="s">
        <v>81</v>
      </c>
      <c r="Y410" s="36" t="s">
        <v>83</v>
      </c>
      <c r="Z410" s="36" t="s">
        <v>157</v>
      </c>
      <c r="AA410" s="36" t="s">
        <v>1159</v>
      </c>
      <c r="AB410" s="36"/>
      <c r="AC410" s="36"/>
      <c r="AD410" s="29" t="s">
        <v>119</v>
      </c>
      <c r="AE410" s="36" t="str">
        <f>_xlfn.XLOOKUP(表格1[[#This Row],[唯一識別碼]],API清冊0707!B:B,API清冊0707!T:T,"")&amp;""</f>
        <v>無下拉選單</v>
      </c>
    </row>
    <row r="411" spans="1:31" ht="204.75" customHeight="1" x14ac:dyDescent="0.4">
      <c r="A411" s="29" t="s">
        <v>1792</v>
      </c>
      <c r="B411" s="29"/>
      <c r="C411" s="29"/>
      <c r="D411" s="29" t="s">
        <v>1793</v>
      </c>
      <c r="E411" s="29" t="s">
        <v>1794</v>
      </c>
      <c r="F411" s="29" t="s">
        <v>1795</v>
      </c>
      <c r="G411" s="35"/>
      <c r="H411" s="35" t="s">
        <v>151</v>
      </c>
      <c r="I411" s="29" t="s">
        <v>1792</v>
      </c>
      <c r="J411" s="37"/>
      <c r="K411" s="38"/>
      <c r="L411" s="38"/>
      <c r="M411" s="36" t="s">
        <v>60</v>
      </c>
      <c r="N411" s="15" t="s">
        <v>152</v>
      </c>
      <c r="O411" s="36" t="s">
        <v>162</v>
      </c>
      <c r="P411" s="36" t="str">
        <f t="shared" si="12"/>
        <v>WMTS_1/5000基本地形圖(110年)</v>
      </c>
      <c r="Q411" s="29" t="s">
        <v>1795</v>
      </c>
      <c r="R411" s="29" t="str">
        <f t="shared" si="13"/>
        <v>2dms_wmts_v1_TOPO05K110</v>
      </c>
      <c r="S411" s="39" t="s">
        <v>155</v>
      </c>
      <c r="U411" s="27" t="str">
        <f>_xlfn.XLOOKUP(表格1[[#This Row],[服務類別(英)]],參考2_服務標準對照!$B:$B,參考2_服務標準對照!$C:$C,"")&amp;""</f>
        <v>OGC</v>
      </c>
      <c r="V411" s="29" t="s">
        <v>7</v>
      </c>
      <c r="W411" s="29" t="s">
        <v>163</v>
      </c>
      <c r="X411" s="29" t="s">
        <v>81</v>
      </c>
      <c r="Y411" s="36" t="s">
        <v>83</v>
      </c>
      <c r="Z411" s="36" t="s">
        <v>157</v>
      </c>
      <c r="AA411" s="36" t="s">
        <v>1159</v>
      </c>
      <c r="AB411" s="36"/>
      <c r="AC411" s="36"/>
      <c r="AD411" s="29" t="s">
        <v>119</v>
      </c>
      <c r="AE411" s="36" t="str">
        <f>_xlfn.XLOOKUP(表格1[[#This Row],[唯一識別碼]],API清冊0707!B:B,API清冊0707!T:T,"")&amp;""</f>
        <v>無下拉選單</v>
      </c>
    </row>
    <row r="412" spans="1:31" ht="204.75" customHeight="1" x14ac:dyDescent="0.4">
      <c r="A412" s="29" t="s">
        <v>1796</v>
      </c>
      <c r="B412" s="29"/>
      <c r="C412" s="29"/>
      <c r="D412" s="29" t="s">
        <v>1797</v>
      </c>
      <c r="E412" s="29" t="s">
        <v>1798</v>
      </c>
      <c r="F412" s="29" t="s">
        <v>1799</v>
      </c>
      <c r="G412" s="35"/>
      <c r="H412" s="35" t="s">
        <v>151</v>
      </c>
      <c r="I412" s="29" t="s">
        <v>1796</v>
      </c>
      <c r="J412" s="37"/>
      <c r="K412" s="38"/>
      <c r="L412" s="38"/>
      <c r="M412" s="36" t="s">
        <v>60</v>
      </c>
      <c r="N412" s="15" t="s">
        <v>152</v>
      </c>
      <c r="O412" s="36" t="s">
        <v>162</v>
      </c>
      <c r="P412" s="36" t="str">
        <f t="shared" si="12"/>
        <v>WMTS_1/5000基本地形圖(109年)</v>
      </c>
      <c r="Q412" s="29" t="s">
        <v>1799</v>
      </c>
      <c r="R412" s="29" t="str">
        <f t="shared" si="13"/>
        <v>2dms_wmts_v1_TOPO05K109</v>
      </c>
      <c r="S412" s="39" t="s">
        <v>155</v>
      </c>
      <c r="U412" s="27" t="str">
        <f>_xlfn.XLOOKUP(表格1[[#This Row],[服務類別(英)]],參考2_服務標準對照!$B:$B,參考2_服務標準對照!$C:$C,"")&amp;""</f>
        <v>OGC</v>
      </c>
      <c r="V412" s="29" t="s">
        <v>7</v>
      </c>
      <c r="W412" s="29" t="s">
        <v>163</v>
      </c>
      <c r="X412" s="29" t="s">
        <v>81</v>
      </c>
      <c r="Y412" s="36" t="s">
        <v>83</v>
      </c>
      <c r="Z412" s="36" t="s">
        <v>157</v>
      </c>
      <c r="AA412" s="36" t="s">
        <v>1159</v>
      </c>
      <c r="AB412" s="36"/>
      <c r="AC412" s="36"/>
      <c r="AD412" s="29" t="s">
        <v>119</v>
      </c>
      <c r="AE412" s="36" t="str">
        <f>_xlfn.XLOOKUP(表格1[[#This Row],[唯一識別碼]],API清冊0707!B:B,API清冊0707!T:T,"")&amp;""</f>
        <v>無下拉選單</v>
      </c>
    </row>
    <row r="413" spans="1:31" ht="204.75" customHeight="1" x14ac:dyDescent="0.4">
      <c r="A413" s="29" t="s">
        <v>1800</v>
      </c>
      <c r="B413" s="29"/>
      <c r="C413" s="29"/>
      <c r="D413" s="29" t="s">
        <v>1801</v>
      </c>
      <c r="E413" s="29" t="s">
        <v>1802</v>
      </c>
      <c r="F413" s="29" t="s">
        <v>1803</v>
      </c>
      <c r="G413" s="35"/>
      <c r="H413" s="35" t="s">
        <v>151</v>
      </c>
      <c r="I413" s="29" t="s">
        <v>1800</v>
      </c>
      <c r="J413" s="37"/>
      <c r="K413" s="38"/>
      <c r="L413" s="38"/>
      <c r="M413" s="36" t="s">
        <v>60</v>
      </c>
      <c r="N413" s="15" t="s">
        <v>152</v>
      </c>
      <c r="O413" s="36" t="s">
        <v>162</v>
      </c>
      <c r="P413" s="36" t="str">
        <f t="shared" si="12"/>
        <v>WMTS_1/5000基本地形圖(108年)</v>
      </c>
      <c r="Q413" s="29" t="s">
        <v>1803</v>
      </c>
      <c r="R413" s="29" t="str">
        <f t="shared" si="13"/>
        <v>2dms_wmts_v1_TOPO05K108</v>
      </c>
      <c r="S413" s="39" t="s">
        <v>155</v>
      </c>
      <c r="U413" s="27" t="str">
        <f>_xlfn.XLOOKUP(表格1[[#This Row],[服務類別(英)]],參考2_服務標準對照!$B:$B,參考2_服務標準對照!$C:$C,"")&amp;""</f>
        <v>OGC</v>
      </c>
      <c r="V413" s="29" t="s">
        <v>7</v>
      </c>
      <c r="W413" s="29" t="s">
        <v>163</v>
      </c>
      <c r="X413" s="29" t="s">
        <v>81</v>
      </c>
      <c r="Y413" s="36" t="s">
        <v>83</v>
      </c>
      <c r="Z413" s="36" t="s">
        <v>157</v>
      </c>
      <c r="AA413" s="36" t="s">
        <v>1159</v>
      </c>
      <c r="AB413" s="36"/>
      <c r="AC413" s="36"/>
      <c r="AD413" s="29" t="s">
        <v>119</v>
      </c>
      <c r="AE413" s="36" t="str">
        <f>_xlfn.XLOOKUP(表格1[[#This Row],[唯一識別碼]],API清冊0707!B:B,API清冊0707!T:T,"")&amp;""</f>
        <v>無下拉選單</v>
      </c>
    </row>
    <row r="414" spans="1:31" ht="204.75" customHeight="1" x14ac:dyDescent="0.4">
      <c r="A414" s="29" t="s">
        <v>1804</v>
      </c>
      <c r="B414" s="29"/>
      <c r="C414" s="29"/>
      <c r="D414" s="29" t="s">
        <v>1805</v>
      </c>
      <c r="E414" s="29" t="s">
        <v>1806</v>
      </c>
      <c r="F414" s="29" t="s">
        <v>1807</v>
      </c>
      <c r="G414" s="35"/>
      <c r="H414" s="35" t="s">
        <v>151</v>
      </c>
      <c r="I414" s="29" t="s">
        <v>1804</v>
      </c>
      <c r="J414" s="37"/>
      <c r="K414" s="38"/>
      <c r="L414" s="38"/>
      <c r="M414" s="36" t="s">
        <v>60</v>
      </c>
      <c r="N414" s="15" t="s">
        <v>152</v>
      </c>
      <c r="O414" s="36" t="s">
        <v>162</v>
      </c>
      <c r="P414" s="36" t="str">
        <f t="shared" si="12"/>
        <v>WMTS_1/5000基本地形圖(107年)</v>
      </c>
      <c r="Q414" s="29" t="s">
        <v>1807</v>
      </c>
      <c r="R414" s="29" t="str">
        <f t="shared" si="13"/>
        <v>2dms_wmts_v1_TOPO05K107</v>
      </c>
      <c r="S414" s="39" t="s">
        <v>155</v>
      </c>
      <c r="U414" s="27" t="str">
        <f>_xlfn.XLOOKUP(表格1[[#This Row],[服務類別(英)]],參考2_服務標準對照!$B:$B,參考2_服務標準對照!$C:$C,"")&amp;""</f>
        <v>OGC</v>
      </c>
      <c r="V414" s="29" t="s">
        <v>7</v>
      </c>
      <c r="W414" s="29" t="s">
        <v>163</v>
      </c>
      <c r="X414" s="29" t="s">
        <v>81</v>
      </c>
      <c r="Y414" s="36" t="s">
        <v>83</v>
      </c>
      <c r="Z414" s="36" t="s">
        <v>157</v>
      </c>
      <c r="AA414" s="36" t="s">
        <v>1159</v>
      </c>
      <c r="AB414" s="36"/>
      <c r="AC414" s="36"/>
      <c r="AD414" s="29" t="s">
        <v>119</v>
      </c>
      <c r="AE414" s="36" t="str">
        <f>_xlfn.XLOOKUP(表格1[[#This Row],[唯一識別碼]],API清冊0707!B:B,API清冊0707!T:T,"")&amp;""</f>
        <v>無下拉選單</v>
      </c>
    </row>
    <row r="415" spans="1:31" ht="204.75" customHeight="1" x14ac:dyDescent="0.4">
      <c r="A415" s="29" t="s">
        <v>1808</v>
      </c>
      <c r="B415" s="29"/>
      <c r="C415" s="29"/>
      <c r="D415" s="29" t="s">
        <v>1809</v>
      </c>
      <c r="E415" s="29" t="s">
        <v>1810</v>
      </c>
      <c r="F415" s="29" t="s">
        <v>1811</v>
      </c>
      <c r="G415" s="35"/>
      <c r="H415" s="35" t="s">
        <v>151</v>
      </c>
      <c r="I415" s="29" t="s">
        <v>1808</v>
      </c>
      <c r="J415" s="37"/>
      <c r="K415" s="38"/>
      <c r="L415" s="38"/>
      <c r="M415" s="36" t="s">
        <v>60</v>
      </c>
      <c r="N415" s="15" t="s">
        <v>152</v>
      </c>
      <c r="O415" s="36" t="s">
        <v>162</v>
      </c>
      <c r="P415" s="36" t="str">
        <f t="shared" si="12"/>
        <v>WMTS_1/5000基本地形圖(106年)</v>
      </c>
      <c r="Q415" s="29" t="s">
        <v>1811</v>
      </c>
      <c r="R415" s="29" t="str">
        <f t="shared" si="13"/>
        <v>2dms_wmts_v1_TOPO05K106</v>
      </c>
      <c r="S415" s="39" t="s">
        <v>155</v>
      </c>
      <c r="U415" s="27" t="str">
        <f>_xlfn.XLOOKUP(表格1[[#This Row],[服務類別(英)]],參考2_服務標準對照!$B:$B,參考2_服務標準對照!$C:$C,"")&amp;""</f>
        <v>OGC</v>
      </c>
      <c r="V415" s="29" t="s">
        <v>7</v>
      </c>
      <c r="W415" s="29" t="s">
        <v>163</v>
      </c>
      <c r="X415" s="29" t="s">
        <v>81</v>
      </c>
      <c r="Y415" s="36" t="s">
        <v>83</v>
      </c>
      <c r="Z415" s="36" t="s">
        <v>157</v>
      </c>
      <c r="AA415" s="36" t="s">
        <v>1159</v>
      </c>
      <c r="AB415" s="36"/>
      <c r="AC415" s="36"/>
      <c r="AD415" s="29" t="s">
        <v>119</v>
      </c>
      <c r="AE415" s="36" t="str">
        <f>_xlfn.XLOOKUP(表格1[[#This Row],[唯一識別碼]],API清冊0707!B:B,API清冊0707!T:T,"")&amp;""</f>
        <v>無下拉選單</v>
      </c>
    </row>
    <row r="416" spans="1:31" ht="204.75" customHeight="1" x14ac:dyDescent="0.4">
      <c r="A416" s="29" t="s">
        <v>1812</v>
      </c>
      <c r="B416" s="29"/>
      <c r="C416" s="29"/>
      <c r="D416" s="29" t="s">
        <v>1813</v>
      </c>
      <c r="E416" s="29" t="s">
        <v>1814</v>
      </c>
      <c r="F416" s="29" t="s">
        <v>1815</v>
      </c>
      <c r="G416" s="35"/>
      <c r="H416" s="35" t="s">
        <v>151</v>
      </c>
      <c r="I416" s="29" t="s">
        <v>1812</v>
      </c>
      <c r="J416" s="37"/>
      <c r="K416" s="38"/>
      <c r="L416" s="38"/>
      <c r="M416" s="36" t="s">
        <v>60</v>
      </c>
      <c r="N416" s="15" t="s">
        <v>152</v>
      </c>
      <c r="O416" s="36" t="s">
        <v>162</v>
      </c>
      <c r="P416" s="36" t="str">
        <f t="shared" si="12"/>
        <v>WMTS_1/5000基本地形圖(105年)</v>
      </c>
      <c r="Q416" s="29" t="s">
        <v>1815</v>
      </c>
      <c r="R416" s="29" t="str">
        <f t="shared" si="13"/>
        <v>2dms_wmts_v1_TOPO05K105</v>
      </c>
      <c r="S416" s="39" t="s">
        <v>155</v>
      </c>
      <c r="U416" s="27" t="str">
        <f>_xlfn.XLOOKUP(表格1[[#This Row],[服務類別(英)]],參考2_服務標準對照!$B:$B,參考2_服務標準對照!$C:$C,"")&amp;""</f>
        <v>OGC</v>
      </c>
      <c r="V416" s="29" t="s">
        <v>7</v>
      </c>
      <c r="W416" s="29" t="s">
        <v>163</v>
      </c>
      <c r="X416" s="29" t="s">
        <v>81</v>
      </c>
      <c r="Y416" s="36" t="s">
        <v>83</v>
      </c>
      <c r="Z416" s="36" t="s">
        <v>157</v>
      </c>
      <c r="AA416" s="36" t="s">
        <v>1159</v>
      </c>
      <c r="AB416" s="36"/>
      <c r="AC416" s="36"/>
      <c r="AD416" s="29" t="s">
        <v>119</v>
      </c>
      <c r="AE416" s="36" t="str">
        <f>_xlfn.XLOOKUP(表格1[[#This Row],[唯一識別碼]],API清冊0707!B:B,API清冊0707!T:T,"")&amp;""</f>
        <v>無下拉選單</v>
      </c>
    </row>
    <row r="417" spans="1:31" ht="204.75" customHeight="1" x14ac:dyDescent="0.4">
      <c r="A417" s="29" t="s">
        <v>1816</v>
      </c>
      <c r="B417" s="29"/>
      <c r="C417" s="29"/>
      <c r="D417" s="29" t="s">
        <v>1817</v>
      </c>
      <c r="E417" s="29" t="s">
        <v>1818</v>
      </c>
      <c r="F417" s="29" t="s">
        <v>1819</v>
      </c>
      <c r="G417" s="35"/>
      <c r="H417" s="35" t="s">
        <v>151</v>
      </c>
      <c r="I417" s="29" t="s">
        <v>1816</v>
      </c>
      <c r="J417" s="37"/>
      <c r="K417" s="38"/>
      <c r="L417" s="38"/>
      <c r="M417" s="36" t="s">
        <v>60</v>
      </c>
      <c r="N417" s="15" t="s">
        <v>152</v>
      </c>
      <c r="O417" s="36" t="s">
        <v>162</v>
      </c>
      <c r="P417" s="36" t="str">
        <f t="shared" si="12"/>
        <v>WMTS_1/5000基本地形圖(104年)</v>
      </c>
      <c r="Q417" s="29" t="s">
        <v>1819</v>
      </c>
      <c r="R417" s="29" t="str">
        <f t="shared" si="13"/>
        <v>2dms_wmts_v1_TOPO05K104</v>
      </c>
      <c r="S417" s="39" t="s">
        <v>155</v>
      </c>
      <c r="U417" s="27" t="str">
        <f>_xlfn.XLOOKUP(表格1[[#This Row],[服務類別(英)]],參考2_服務標準對照!$B:$B,參考2_服務標準對照!$C:$C,"")&amp;""</f>
        <v>OGC</v>
      </c>
      <c r="V417" s="29" t="s">
        <v>7</v>
      </c>
      <c r="W417" s="29" t="s">
        <v>163</v>
      </c>
      <c r="X417" s="29" t="s">
        <v>81</v>
      </c>
      <c r="Y417" s="36" t="s">
        <v>83</v>
      </c>
      <c r="Z417" s="36" t="s">
        <v>157</v>
      </c>
      <c r="AA417" s="36" t="s">
        <v>1159</v>
      </c>
      <c r="AB417" s="36"/>
      <c r="AC417" s="36"/>
      <c r="AD417" s="29" t="s">
        <v>119</v>
      </c>
      <c r="AE417" s="36" t="str">
        <f>_xlfn.XLOOKUP(表格1[[#This Row],[唯一識別碼]],API清冊0707!B:B,API清冊0707!T:T,"")&amp;""</f>
        <v>無下拉選單</v>
      </c>
    </row>
    <row r="418" spans="1:31" ht="204.75" customHeight="1" x14ac:dyDescent="0.4">
      <c r="A418" s="29" t="s">
        <v>1820</v>
      </c>
      <c r="B418" s="29"/>
      <c r="C418" s="29"/>
      <c r="D418" s="29" t="s">
        <v>1821</v>
      </c>
      <c r="E418" s="29" t="s">
        <v>1822</v>
      </c>
      <c r="F418" s="29" t="s">
        <v>1823</v>
      </c>
      <c r="G418" s="35"/>
      <c r="H418" s="35" t="s">
        <v>151</v>
      </c>
      <c r="I418" s="29" t="s">
        <v>1820</v>
      </c>
      <c r="J418" s="37"/>
      <c r="K418" s="38"/>
      <c r="L418" s="38"/>
      <c r="M418" s="36" t="s">
        <v>60</v>
      </c>
      <c r="N418" s="15" t="s">
        <v>152</v>
      </c>
      <c r="O418" s="36" t="s">
        <v>162</v>
      </c>
      <c r="P418" s="36" t="str">
        <f t="shared" si="12"/>
        <v>WMTS_1/5000基本地形圖(103年)</v>
      </c>
      <c r="Q418" s="29" t="s">
        <v>1823</v>
      </c>
      <c r="R418" s="29" t="str">
        <f t="shared" si="13"/>
        <v>2dms_wmts_v1_TOPO05K103</v>
      </c>
      <c r="S418" s="39" t="s">
        <v>155</v>
      </c>
      <c r="U418" s="27" t="str">
        <f>_xlfn.XLOOKUP(表格1[[#This Row],[服務類別(英)]],參考2_服務標準對照!$B:$B,參考2_服務標準對照!$C:$C,"")&amp;""</f>
        <v>OGC</v>
      </c>
      <c r="V418" s="29" t="s">
        <v>7</v>
      </c>
      <c r="W418" s="29" t="s">
        <v>163</v>
      </c>
      <c r="X418" s="29" t="s">
        <v>81</v>
      </c>
      <c r="Y418" s="36" t="s">
        <v>83</v>
      </c>
      <c r="Z418" s="36" t="s">
        <v>157</v>
      </c>
      <c r="AA418" s="36" t="s">
        <v>1159</v>
      </c>
      <c r="AB418" s="36"/>
      <c r="AC418" s="36"/>
      <c r="AD418" s="29" t="s">
        <v>119</v>
      </c>
      <c r="AE418" s="36" t="str">
        <f>_xlfn.XLOOKUP(表格1[[#This Row],[唯一識別碼]],API清冊0707!B:B,API清冊0707!T:T,"")&amp;""</f>
        <v>無下拉選單</v>
      </c>
    </row>
    <row r="419" spans="1:31" ht="204.75" customHeight="1" x14ac:dyDescent="0.4">
      <c r="A419" s="29" t="s">
        <v>1824</v>
      </c>
      <c r="B419" s="29"/>
      <c r="C419" s="29"/>
      <c r="D419" s="29" t="s">
        <v>1825</v>
      </c>
      <c r="E419" s="29" t="s">
        <v>1826</v>
      </c>
      <c r="F419" s="29" t="s">
        <v>1827</v>
      </c>
      <c r="G419" s="35"/>
      <c r="H419" s="35" t="s">
        <v>151</v>
      </c>
      <c r="I419" s="29" t="s">
        <v>1824</v>
      </c>
      <c r="J419" s="37"/>
      <c r="K419" s="38"/>
      <c r="L419" s="38"/>
      <c r="M419" s="36" t="s">
        <v>60</v>
      </c>
      <c r="N419" s="15" t="s">
        <v>152</v>
      </c>
      <c r="O419" s="36" t="s">
        <v>162</v>
      </c>
      <c r="P419" s="36" t="str">
        <f t="shared" si="12"/>
        <v>WMTS_1/5000基本地形圖(102年)</v>
      </c>
      <c r="Q419" s="29" t="s">
        <v>1827</v>
      </c>
      <c r="R419" s="29" t="str">
        <f t="shared" si="13"/>
        <v>2dms_wmts_v1_TOPO05K102</v>
      </c>
      <c r="S419" s="39" t="s">
        <v>155</v>
      </c>
      <c r="U419" s="27" t="str">
        <f>_xlfn.XLOOKUP(表格1[[#This Row],[服務類別(英)]],參考2_服務標準對照!$B:$B,參考2_服務標準對照!$C:$C,"")&amp;""</f>
        <v>OGC</v>
      </c>
      <c r="V419" s="29" t="s">
        <v>7</v>
      </c>
      <c r="W419" s="29" t="s">
        <v>163</v>
      </c>
      <c r="X419" s="29" t="s">
        <v>81</v>
      </c>
      <c r="Y419" s="36" t="s">
        <v>83</v>
      </c>
      <c r="Z419" s="36" t="s">
        <v>157</v>
      </c>
      <c r="AA419" s="36" t="s">
        <v>1159</v>
      </c>
      <c r="AB419" s="36"/>
      <c r="AC419" s="36"/>
      <c r="AD419" s="29" t="s">
        <v>119</v>
      </c>
      <c r="AE419" s="36" t="str">
        <f>_xlfn.XLOOKUP(表格1[[#This Row],[唯一識別碼]],API清冊0707!B:B,API清冊0707!T:T,"")&amp;""</f>
        <v>無下拉選單</v>
      </c>
    </row>
    <row r="420" spans="1:31" ht="204.75" customHeight="1" x14ac:dyDescent="0.4">
      <c r="A420" s="29" t="s">
        <v>1828</v>
      </c>
      <c r="B420" s="29"/>
      <c r="C420" s="29"/>
      <c r="D420" s="29" t="s">
        <v>1829</v>
      </c>
      <c r="E420" s="29" t="s">
        <v>1830</v>
      </c>
      <c r="F420" s="29" t="s">
        <v>1831</v>
      </c>
      <c r="G420" s="35"/>
      <c r="H420" s="35" t="s">
        <v>151</v>
      </c>
      <c r="I420" s="29" t="s">
        <v>1828</v>
      </c>
      <c r="J420" s="37"/>
      <c r="K420" s="38"/>
      <c r="L420" s="38"/>
      <c r="M420" s="36" t="s">
        <v>60</v>
      </c>
      <c r="N420" s="15" t="s">
        <v>152</v>
      </c>
      <c r="O420" s="36" t="s">
        <v>162</v>
      </c>
      <c r="P420" s="36" t="str">
        <f t="shared" si="12"/>
        <v>WMTS_1/5000基本地形圖(101年)</v>
      </c>
      <c r="Q420" s="29" t="s">
        <v>1831</v>
      </c>
      <c r="R420" s="29" t="str">
        <f t="shared" si="13"/>
        <v>2dms_wmts_v1_TOPO05K101</v>
      </c>
      <c r="S420" s="39" t="s">
        <v>155</v>
      </c>
      <c r="U420" s="27" t="str">
        <f>_xlfn.XLOOKUP(表格1[[#This Row],[服務類別(英)]],參考2_服務標準對照!$B:$B,參考2_服務標準對照!$C:$C,"")&amp;""</f>
        <v>OGC</v>
      </c>
      <c r="V420" s="29" t="s">
        <v>7</v>
      </c>
      <c r="W420" s="29" t="s">
        <v>163</v>
      </c>
      <c r="X420" s="29" t="s">
        <v>81</v>
      </c>
      <c r="Y420" s="36" t="s">
        <v>83</v>
      </c>
      <c r="Z420" s="36" t="s">
        <v>157</v>
      </c>
      <c r="AA420" s="36" t="s">
        <v>1159</v>
      </c>
      <c r="AB420" s="36"/>
      <c r="AC420" s="36"/>
      <c r="AD420" s="29" t="s">
        <v>119</v>
      </c>
      <c r="AE420" s="36" t="str">
        <f>_xlfn.XLOOKUP(表格1[[#This Row],[唯一識別碼]],API清冊0707!B:B,API清冊0707!T:T,"")&amp;""</f>
        <v>無下拉選單</v>
      </c>
    </row>
    <row r="421" spans="1:31" ht="204.75" customHeight="1" x14ac:dyDescent="0.4">
      <c r="A421" s="29" t="s">
        <v>1832</v>
      </c>
      <c r="B421" s="29"/>
      <c r="C421" s="29"/>
      <c r="D421" s="29" t="s">
        <v>1833</v>
      </c>
      <c r="E421" s="29" t="s">
        <v>1834</v>
      </c>
      <c r="F421" s="29" t="s">
        <v>1835</v>
      </c>
      <c r="G421" s="35"/>
      <c r="H421" s="35" t="s">
        <v>151</v>
      </c>
      <c r="I421" s="29" t="s">
        <v>1832</v>
      </c>
      <c r="J421" s="37"/>
      <c r="K421" s="38"/>
      <c r="L421" s="38"/>
      <c r="M421" s="36" t="s">
        <v>60</v>
      </c>
      <c r="N421" s="15" t="s">
        <v>152</v>
      </c>
      <c r="O421" s="36" t="s">
        <v>162</v>
      </c>
      <c r="P421" s="36" t="str">
        <f t="shared" si="12"/>
        <v>WMTS_1/5000基本地形圖(100年)</v>
      </c>
      <c r="Q421" s="29" t="s">
        <v>1835</v>
      </c>
      <c r="R421" s="29" t="str">
        <f t="shared" si="13"/>
        <v>2dms_wmts_v1_TOPO05K100</v>
      </c>
      <c r="S421" s="39" t="s">
        <v>155</v>
      </c>
      <c r="U421" s="27" t="str">
        <f>_xlfn.XLOOKUP(表格1[[#This Row],[服務類別(英)]],參考2_服務標準對照!$B:$B,參考2_服務標準對照!$C:$C,"")&amp;""</f>
        <v>OGC</v>
      </c>
      <c r="V421" s="29" t="s">
        <v>7</v>
      </c>
      <c r="W421" s="29" t="s">
        <v>163</v>
      </c>
      <c r="X421" s="29" t="s">
        <v>81</v>
      </c>
      <c r="Y421" s="36" t="s">
        <v>83</v>
      </c>
      <c r="Z421" s="36" t="s">
        <v>157</v>
      </c>
      <c r="AA421" s="36" t="s">
        <v>1159</v>
      </c>
      <c r="AB421" s="36"/>
      <c r="AC421" s="36"/>
      <c r="AD421" s="29" t="s">
        <v>119</v>
      </c>
      <c r="AE421" s="36" t="str">
        <f>_xlfn.XLOOKUP(表格1[[#This Row],[唯一識別碼]],API清冊0707!B:B,API清冊0707!T:T,"")&amp;""</f>
        <v>無下拉選單</v>
      </c>
    </row>
    <row r="422" spans="1:31" ht="204.75" customHeight="1" x14ac:dyDescent="0.4">
      <c r="A422" s="29" t="s">
        <v>1836</v>
      </c>
      <c r="B422" s="29"/>
      <c r="C422" s="29"/>
      <c r="D422" s="29" t="s">
        <v>1837</v>
      </c>
      <c r="E422" s="29" t="s">
        <v>1838</v>
      </c>
      <c r="F422" s="29" t="s">
        <v>1839</v>
      </c>
      <c r="G422" s="35"/>
      <c r="H422" s="35" t="s">
        <v>151</v>
      </c>
      <c r="I422" s="29" t="s">
        <v>1836</v>
      </c>
      <c r="J422" s="37"/>
      <c r="K422" s="38"/>
      <c r="L422" s="38"/>
      <c r="M422" s="36" t="s">
        <v>60</v>
      </c>
      <c r="N422" s="15" t="s">
        <v>152</v>
      </c>
      <c r="O422" s="36" t="s">
        <v>162</v>
      </c>
      <c r="P422" s="36" t="str">
        <f t="shared" si="12"/>
        <v>WMTS_1/1000地形圖_連江縣都市計畫</v>
      </c>
      <c r="Q422" s="29" t="s">
        <v>1839</v>
      </c>
      <c r="R422" s="29" t="str">
        <f t="shared" si="13"/>
        <v>2dms_wmts_v1_TOPO01K_Z01</v>
      </c>
      <c r="S422" s="39" t="s">
        <v>155</v>
      </c>
      <c r="U422" s="27" t="str">
        <f>_xlfn.XLOOKUP(表格1[[#This Row],[服務類別(英)]],參考2_服務標準對照!$B:$B,參考2_服務標準對照!$C:$C,"")&amp;""</f>
        <v>OGC</v>
      </c>
      <c r="V422" s="29" t="s">
        <v>7</v>
      </c>
      <c r="W422" s="29" t="s">
        <v>163</v>
      </c>
      <c r="X422" s="29" t="s">
        <v>81</v>
      </c>
      <c r="Y422" s="36" t="s">
        <v>83</v>
      </c>
      <c r="Z422" s="36" t="s">
        <v>157</v>
      </c>
      <c r="AA422" s="36" t="s">
        <v>1159</v>
      </c>
      <c r="AB422" s="36"/>
      <c r="AC422" s="36"/>
      <c r="AD422" s="29" t="s">
        <v>119</v>
      </c>
      <c r="AE422" s="36" t="str">
        <f>_xlfn.XLOOKUP(表格1[[#This Row],[唯一識別碼]],API清冊0707!B:B,API清冊0707!T:T,"")&amp;""</f>
        <v>無下拉選單</v>
      </c>
    </row>
    <row r="423" spans="1:31" ht="204.75" customHeight="1" x14ac:dyDescent="0.4">
      <c r="A423" s="29" t="s">
        <v>1840</v>
      </c>
      <c r="B423" s="29"/>
      <c r="C423" s="29"/>
      <c r="D423" s="29" t="s">
        <v>1841</v>
      </c>
      <c r="E423" s="29" t="s">
        <v>1842</v>
      </c>
      <c r="F423" s="29" t="s">
        <v>1843</v>
      </c>
      <c r="G423" s="35"/>
      <c r="H423" s="35" t="s">
        <v>151</v>
      </c>
      <c r="I423" s="29" t="s">
        <v>1840</v>
      </c>
      <c r="J423" s="37"/>
      <c r="K423" s="38"/>
      <c r="L423" s="38"/>
      <c r="M423" s="36" t="s">
        <v>60</v>
      </c>
      <c r="N423" s="15" t="s">
        <v>152</v>
      </c>
      <c r="O423" s="36" t="s">
        <v>162</v>
      </c>
      <c r="P423" s="36" t="str">
        <f t="shared" si="12"/>
        <v>WMTS_1/1000地形圖_澎湖縣南方四島國家公園計畫(104年)</v>
      </c>
      <c r="Q423" s="29" t="s">
        <v>1843</v>
      </c>
      <c r="R423" s="29" t="str">
        <f t="shared" si="13"/>
        <v>2dms_wmts_v1_TOPO01K_X08</v>
      </c>
      <c r="S423" s="39" t="s">
        <v>155</v>
      </c>
      <c r="U423" s="27" t="str">
        <f>_xlfn.XLOOKUP(表格1[[#This Row],[服務類別(英)]],參考2_服務標準對照!$B:$B,參考2_服務標準對照!$C:$C,"")&amp;""</f>
        <v>OGC</v>
      </c>
      <c r="V423" s="29" t="s">
        <v>7</v>
      </c>
      <c r="W423" s="29" t="s">
        <v>163</v>
      </c>
      <c r="X423" s="29" t="s">
        <v>81</v>
      </c>
      <c r="Y423" s="36" t="s">
        <v>83</v>
      </c>
      <c r="Z423" s="36" t="s">
        <v>157</v>
      </c>
      <c r="AA423" s="36" t="s">
        <v>1159</v>
      </c>
      <c r="AB423" s="36"/>
      <c r="AC423" s="36"/>
      <c r="AD423" s="29" t="s">
        <v>119</v>
      </c>
      <c r="AE423" s="36" t="str">
        <f>_xlfn.XLOOKUP(表格1[[#This Row],[唯一識別碼]],API清冊0707!B:B,API清冊0707!T:T,"")&amp;""</f>
        <v>無下拉選單</v>
      </c>
    </row>
    <row r="424" spans="1:31" ht="204.75" customHeight="1" x14ac:dyDescent="0.4">
      <c r="A424" s="29" t="s">
        <v>1844</v>
      </c>
      <c r="B424" s="29"/>
      <c r="C424" s="29"/>
      <c r="D424" s="29" t="s">
        <v>1845</v>
      </c>
      <c r="E424" s="29" t="s">
        <v>1846</v>
      </c>
      <c r="F424" s="29" t="s">
        <v>1847</v>
      </c>
      <c r="G424" s="35"/>
      <c r="H424" s="35" t="s">
        <v>151</v>
      </c>
      <c r="I424" s="29" t="s">
        <v>1844</v>
      </c>
      <c r="J424" s="37"/>
      <c r="K424" s="38"/>
      <c r="L424" s="38"/>
      <c r="M424" s="36" t="s">
        <v>60</v>
      </c>
      <c r="N424" s="15" t="s">
        <v>152</v>
      </c>
      <c r="O424" s="36" t="s">
        <v>162</v>
      </c>
      <c r="P424" s="36" t="str">
        <f t="shared" si="12"/>
        <v>WMTS_1/1000地形圖_澎湖縣馬公都市計畫(97-98年)</v>
      </c>
      <c r="Q424" s="29" t="s">
        <v>1847</v>
      </c>
      <c r="R424" s="29" t="str">
        <f t="shared" si="13"/>
        <v>2dms_wmts_v1_TOPO01K_X07</v>
      </c>
      <c r="S424" s="39" t="s">
        <v>155</v>
      </c>
      <c r="U424" s="27" t="str">
        <f>_xlfn.XLOOKUP(表格1[[#This Row],[服務類別(英)]],參考2_服務標準對照!$B:$B,參考2_服務標準對照!$C:$C,"")&amp;""</f>
        <v>OGC</v>
      </c>
      <c r="V424" s="29" t="s">
        <v>7</v>
      </c>
      <c r="W424" s="29" t="s">
        <v>163</v>
      </c>
      <c r="X424" s="29" t="s">
        <v>81</v>
      </c>
      <c r="Y424" s="36" t="s">
        <v>83</v>
      </c>
      <c r="Z424" s="36" t="s">
        <v>157</v>
      </c>
      <c r="AA424" s="36" t="s">
        <v>1159</v>
      </c>
      <c r="AB424" s="36"/>
      <c r="AC424" s="36"/>
      <c r="AD424" s="29" t="s">
        <v>119</v>
      </c>
      <c r="AE424" s="36" t="str">
        <f>_xlfn.XLOOKUP(表格1[[#This Row],[唯一識別碼]],API清冊0707!B:B,API清冊0707!T:T,"")&amp;""</f>
        <v>無下拉選單</v>
      </c>
    </row>
    <row r="425" spans="1:31" ht="204.75" customHeight="1" x14ac:dyDescent="0.4">
      <c r="A425" s="29" t="s">
        <v>1848</v>
      </c>
      <c r="B425" s="29"/>
      <c r="C425" s="29"/>
      <c r="D425" s="29" t="s">
        <v>1849</v>
      </c>
      <c r="E425" s="29" t="s">
        <v>1850</v>
      </c>
      <c r="F425" s="29" t="s">
        <v>1851</v>
      </c>
      <c r="G425" s="35"/>
      <c r="H425" s="35" t="s">
        <v>151</v>
      </c>
      <c r="I425" s="29" t="s">
        <v>1848</v>
      </c>
      <c r="J425" s="37"/>
      <c r="K425" s="38"/>
      <c r="L425" s="38"/>
      <c r="M425" s="36" t="s">
        <v>60</v>
      </c>
      <c r="N425" s="15" t="s">
        <v>152</v>
      </c>
      <c r="O425" s="36" t="s">
        <v>162</v>
      </c>
      <c r="P425" s="36" t="str">
        <f t="shared" si="12"/>
        <v>WMTS_1/1000地形圖_澎湖縣鎖港都市計畫(104年)</v>
      </c>
      <c r="Q425" s="29" t="s">
        <v>1851</v>
      </c>
      <c r="R425" s="29" t="str">
        <f t="shared" si="13"/>
        <v>2dms_wmts_v1_TOPO01K_X06</v>
      </c>
      <c r="S425" s="39" t="s">
        <v>155</v>
      </c>
      <c r="U425" s="27" t="str">
        <f>_xlfn.XLOOKUP(表格1[[#This Row],[服務類別(英)]],參考2_服務標準對照!$B:$B,參考2_服務標準對照!$C:$C,"")&amp;""</f>
        <v>OGC</v>
      </c>
      <c r="V425" s="29" t="s">
        <v>7</v>
      </c>
      <c r="W425" s="29" t="s">
        <v>163</v>
      </c>
      <c r="X425" s="29" t="s">
        <v>81</v>
      </c>
      <c r="Y425" s="36" t="s">
        <v>83</v>
      </c>
      <c r="Z425" s="36" t="s">
        <v>157</v>
      </c>
      <c r="AA425" s="36" t="s">
        <v>1159</v>
      </c>
      <c r="AB425" s="36"/>
      <c r="AC425" s="36"/>
      <c r="AD425" s="29" t="s">
        <v>119</v>
      </c>
      <c r="AE425" s="36" t="str">
        <f>_xlfn.XLOOKUP(表格1[[#This Row],[唯一識別碼]],API清冊0707!B:B,API清冊0707!T:T,"")&amp;""</f>
        <v>無下拉選單</v>
      </c>
    </row>
    <row r="426" spans="1:31" ht="204.75" customHeight="1" x14ac:dyDescent="0.4">
      <c r="A426" s="29" t="s">
        <v>1852</v>
      </c>
      <c r="B426" s="29"/>
      <c r="C426" s="29"/>
      <c r="D426" s="29" t="s">
        <v>1853</v>
      </c>
      <c r="E426" s="29" t="s">
        <v>1854</v>
      </c>
      <c r="F426" s="29" t="s">
        <v>1855</v>
      </c>
      <c r="G426" s="35"/>
      <c r="H426" s="35" t="s">
        <v>151</v>
      </c>
      <c r="I426" s="29" t="s">
        <v>1852</v>
      </c>
      <c r="J426" s="37"/>
      <c r="K426" s="38"/>
      <c r="L426" s="38"/>
      <c r="M426" s="36" t="s">
        <v>60</v>
      </c>
      <c r="N426" s="15" t="s">
        <v>152</v>
      </c>
      <c r="O426" s="36" t="s">
        <v>162</v>
      </c>
      <c r="P426" s="36" t="str">
        <f t="shared" si="12"/>
        <v>WMTS_1/1000地形圖_澎湖縣西嶼西台都市計畫(95年)</v>
      </c>
      <c r="Q426" s="29" t="s">
        <v>1855</v>
      </c>
      <c r="R426" s="29" t="str">
        <f t="shared" si="13"/>
        <v>2dms_wmts_v1_TOPO01K_X05</v>
      </c>
      <c r="S426" s="39" t="s">
        <v>155</v>
      </c>
      <c r="U426" s="27" t="str">
        <f>_xlfn.XLOOKUP(表格1[[#This Row],[服務類別(英)]],參考2_服務標準對照!$B:$B,參考2_服務標準對照!$C:$C,"")&amp;""</f>
        <v>OGC</v>
      </c>
      <c r="V426" s="29" t="s">
        <v>7</v>
      </c>
      <c r="W426" s="29" t="s">
        <v>163</v>
      </c>
      <c r="X426" s="29" t="s">
        <v>81</v>
      </c>
      <c r="Y426" s="36" t="s">
        <v>83</v>
      </c>
      <c r="Z426" s="36" t="s">
        <v>157</v>
      </c>
      <c r="AA426" s="36" t="s">
        <v>1159</v>
      </c>
      <c r="AB426" s="36"/>
      <c r="AC426" s="36"/>
      <c r="AD426" s="29" t="s">
        <v>119</v>
      </c>
      <c r="AE426" s="36" t="str">
        <f>_xlfn.XLOOKUP(表格1[[#This Row],[唯一識別碼]],API清冊0707!B:B,API清冊0707!T:T,"")&amp;""</f>
        <v>無下拉選單</v>
      </c>
    </row>
    <row r="427" spans="1:31" ht="204.75" customHeight="1" x14ac:dyDescent="0.4">
      <c r="A427" s="29" t="s">
        <v>1856</v>
      </c>
      <c r="B427" s="29"/>
      <c r="C427" s="29"/>
      <c r="D427" s="29" t="s">
        <v>1857</v>
      </c>
      <c r="E427" s="29" t="s">
        <v>1858</v>
      </c>
      <c r="F427" s="29" t="s">
        <v>1859</v>
      </c>
      <c r="G427" s="35"/>
      <c r="H427" s="35" t="s">
        <v>151</v>
      </c>
      <c r="I427" s="29" t="s">
        <v>1856</v>
      </c>
      <c r="J427" s="37"/>
      <c r="K427" s="38"/>
      <c r="L427" s="38"/>
      <c r="M427" s="36" t="s">
        <v>60</v>
      </c>
      <c r="N427" s="15" t="s">
        <v>152</v>
      </c>
      <c r="O427" s="36" t="s">
        <v>162</v>
      </c>
      <c r="P427" s="36" t="str">
        <f t="shared" si="12"/>
        <v>WMTS_1/1000地形圖_澎湖縣花宅聚落(103年)</v>
      </c>
      <c r="Q427" s="29" t="s">
        <v>1859</v>
      </c>
      <c r="R427" s="29" t="str">
        <f t="shared" si="13"/>
        <v>2dms_wmts_v1_TOPO01K_X04</v>
      </c>
      <c r="S427" s="39" t="s">
        <v>155</v>
      </c>
      <c r="U427" s="27" t="str">
        <f>_xlfn.XLOOKUP(表格1[[#This Row],[服務類別(英)]],參考2_服務標準對照!$B:$B,參考2_服務標準對照!$C:$C,"")&amp;""</f>
        <v>OGC</v>
      </c>
      <c r="V427" s="29" t="s">
        <v>7</v>
      </c>
      <c r="W427" s="29" t="s">
        <v>163</v>
      </c>
      <c r="X427" s="29" t="s">
        <v>81</v>
      </c>
      <c r="Y427" s="36" t="s">
        <v>83</v>
      </c>
      <c r="Z427" s="36" t="s">
        <v>157</v>
      </c>
      <c r="AA427" s="36" t="s">
        <v>1159</v>
      </c>
      <c r="AB427" s="36"/>
      <c r="AC427" s="36"/>
      <c r="AD427" s="29" t="s">
        <v>119</v>
      </c>
      <c r="AE427" s="36" t="str">
        <f>_xlfn.XLOOKUP(表格1[[#This Row],[唯一識別碼]],API清冊0707!B:B,API清冊0707!T:T,"")&amp;""</f>
        <v>無下拉選單</v>
      </c>
    </row>
    <row r="428" spans="1:31" ht="204.75" customHeight="1" x14ac:dyDescent="0.4">
      <c r="A428" s="29" t="s">
        <v>1860</v>
      </c>
      <c r="B428" s="29"/>
      <c r="C428" s="29"/>
      <c r="D428" s="29" t="s">
        <v>1861</v>
      </c>
      <c r="E428" s="29" t="s">
        <v>1862</v>
      </c>
      <c r="F428" s="29" t="s">
        <v>1863</v>
      </c>
      <c r="G428" s="35"/>
      <c r="H428" s="35" t="s">
        <v>151</v>
      </c>
      <c r="I428" s="29" t="s">
        <v>1860</v>
      </c>
      <c r="J428" s="37"/>
      <c r="K428" s="38"/>
      <c r="L428" s="38"/>
      <c r="M428" s="36" t="s">
        <v>60</v>
      </c>
      <c r="N428" s="15" t="s">
        <v>152</v>
      </c>
      <c r="O428" s="36" t="s">
        <v>162</v>
      </c>
      <c r="P428" s="36" t="str">
        <f t="shared" si="12"/>
        <v>WMTS_1/1000地形圖_澎湖縣白沙鄉都市計畫(99年)</v>
      </c>
      <c r="Q428" s="29" t="s">
        <v>1863</v>
      </c>
      <c r="R428" s="29" t="str">
        <f t="shared" si="13"/>
        <v>2dms_wmts_v1_TOPO01K_X03</v>
      </c>
      <c r="S428" s="39" t="s">
        <v>155</v>
      </c>
      <c r="U428" s="27" t="str">
        <f>_xlfn.XLOOKUP(表格1[[#This Row],[服務類別(英)]],參考2_服務標準對照!$B:$B,參考2_服務標準對照!$C:$C,"")&amp;""</f>
        <v>OGC</v>
      </c>
      <c r="V428" s="29" t="s">
        <v>7</v>
      </c>
      <c r="W428" s="29" t="s">
        <v>163</v>
      </c>
      <c r="X428" s="29" t="s">
        <v>81</v>
      </c>
      <c r="Y428" s="36" t="s">
        <v>83</v>
      </c>
      <c r="Z428" s="36" t="s">
        <v>157</v>
      </c>
      <c r="AA428" s="36" t="s">
        <v>1159</v>
      </c>
      <c r="AB428" s="36"/>
      <c r="AC428" s="36"/>
      <c r="AD428" s="29" t="s">
        <v>119</v>
      </c>
      <c r="AE428" s="36" t="str">
        <f>_xlfn.XLOOKUP(表格1[[#This Row],[唯一識別碼]],API清冊0707!B:B,API清冊0707!T:T,"")&amp;""</f>
        <v>無下拉選單</v>
      </c>
    </row>
    <row r="429" spans="1:31" ht="204.75" customHeight="1" x14ac:dyDescent="0.4">
      <c r="A429" s="29" t="s">
        <v>1864</v>
      </c>
      <c r="B429" s="29"/>
      <c r="C429" s="29"/>
      <c r="D429" s="29" t="s">
        <v>1865</v>
      </c>
      <c r="E429" s="29" t="s">
        <v>1866</v>
      </c>
      <c r="F429" s="29" t="s">
        <v>1867</v>
      </c>
      <c r="G429" s="35"/>
      <c r="H429" s="35" t="s">
        <v>151</v>
      </c>
      <c r="I429" s="29" t="s">
        <v>1864</v>
      </c>
      <c r="J429" s="37"/>
      <c r="K429" s="38"/>
      <c r="L429" s="38"/>
      <c r="M429" s="36" t="s">
        <v>60</v>
      </c>
      <c r="N429" s="15" t="s">
        <v>152</v>
      </c>
      <c r="O429" s="36" t="s">
        <v>162</v>
      </c>
      <c r="P429" s="36" t="str">
        <f t="shared" si="12"/>
        <v>WMTS_1/1000地形圖_澎湖縣林投都市計畫(96年)</v>
      </c>
      <c r="Q429" s="29" t="s">
        <v>1867</v>
      </c>
      <c r="R429" s="29" t="str">
        <f t="shared" si="13"/>
        <v>2dms_wmts_v1_TOPO01K_X02</v>
      </c>
      <c r="S429" s="39" t="s">
        <v>155</v>
      </c>
      <c r="U429" s="27" t="str">
        <f>_xlfn.XLOOKUP(表格1[[#This Row],[服務類別(英)]],參考2_服務標準對照!$B:$B,參考2_服務標準對照!$C:$C,"")&amp;""</f>
        <v>OGC</v>
      </c>
      <c r="V429" s="29" t="s">
        <v>7</v>
      </c>
      <c r="W429" s="29" t="s">
        <v>163</v>
      </c>
      <c r="X429" s="29" t="s">
        <v>81</v>
      </c>
      <c r="Y429" s="36" t="s">
        <v>83</v>
      </c>
      <c r="Z429" s="36" t="s">
        <v>157</v>
      </c>
      <c r="AA429" s="36" t="s">
        <v>1159</v>
      </c>
      <c r="AB429" s="36"/>
      <c r="AC429" s="36"/>
      <c r="AD429" s="29" t="s">
        <v>119</v>
      </c>
      <c r="AE429" s="36" t="str">
        <f>_xlfn.XLOOKUP(表格1[[#This Row],[唯一識別碼]],API清冊0707!B:B,API清冊0707!T:T,"")&amp;""</f>
        <v>無下拉選單</v>
      </c>
    </row>
    <row r="430" spans="1:31" ht="204.75" customHeight="1" x14ac:dyDescent="0.4">
      <c r="A430" s="29" t="s">
        <v>1868</v>
      </c>
      <c r="B430" s="29"/>
      <c r="C430" s="29"/>
      <c r="D430" s="29" t="s">
        <v>1869</v>
      </c>
      <c r="E430" s="29" t="s">
        <v>1870</v>
      </c>
      <c r="F430" s="29" t="s">
        <v>1871</v>
      </c>
      <c r="G430" s="35"/>
      <c r="H430" s="35" t="s">
        <v>151</v>
      </c>
      <c r="I430" s="29" t="s">
        <v>1868</v>
      </c>
      <c r="J430" s="37"/>
      <c r="K430" s="38"/>
      <c r="L430" s="38"/>
      <c r="M430" s="36" t="s">
        <v>60</v>
      </c>
      <c r="N430" s="15" t="s">
        <v>152</v>
      </c>
      <c r="O430" s="36" t="s">
        <v>162</v>
      </c>
      <c r="P430" s="36" t="str">
        <f t="shared" si="12"/>
        <v>WMTS_1/1000地形圖_澎湖縣二崁都市計畫(104年)</v>
      </c>
      <c r="Q430" s="29" t="s">
        <v>1871</v>
      </c>
      <c r="R430" s="29" t="str">
        <f t="shared" si="13"/>
        <v>2dms_wmts_v1_TOPO01K_X01</v>
      </c>
      <c r="S430" s="39" t="s">
        <v>155</v>
      </c>
      <c r="U430" s="27" t="str">
        <f>_xlfn.XLOOKUP(表格1[[#This Row],[服務類別(英)]],參考2_服務標準對照!$B:$B,參考2_服務標準對照!$C:$C,"")&amp;""</f>
        <v>OGC</v>
      </c>
      <c r="V430" s="29" t="s">
        <v>7</v>
      </c>
      <c r="W430" s="29" t="s">
        <v>163</v>
      </c>
      <c r="X430" s="29" t="s">
        <v>81</v>
      </c>
      <c r="Y430" s="36" t="s">
        <v>83</v>
      </c>
      <c r="Z430" s="36" t="s">
        <v>157</v>
      </c>
      <c r="AA430" s="36" t="s">
        <v>1159</v>
      </c>
      <c r="AB430" s="36"/>
      <c r="AC430" s="36"/>
      <c r="AD430" s="29" t="s">
        <v>119</v>
      </c>
      <c r="AE430" s="36" t="str">
        <f>_xlfn.XLOOKUP(表格1[[#This Row],[唯一識別碼]],API清冊0707!B:B,API清冊0707!T:T,"")&amp;""</f>
        <v>無下拉選單</v>
      </c>
    </row>
    <row r="431" spans="1:31" ht="204.75" customHeight="1" x14ac:dyDescent="0.4">
      <c r="A431" s="29" t="s">
        <v>1872</v>
      </c>
      <c r="B431" s="29"/>
      <c r="C431" s="29"/>
      <c r="D431" s="29" t="s">
        <v>1873</v>
      </c>
      <c r="E431" s="29" t="s">
        <v>1874</v>
      </c>
      <c r="F431" s="29" t="s">
        <v>1875</v>
      </c>
      <c r="G431" s="35"/>
      <c r="H431" s="35" t="s">
        <v>151</v>
      </c>
      <c r="I431" s="29" t="s">
        <v>1872</v>
      </c>
      <c r="J431" s="37"/>
      <c r="K431" s="38"/>
      <c r="L431" s="38"/>
      <c r="M431" s="36" t="s">
        <v>60</v>
      </c>
      <c r="N431" s="15" t="s">
        <v>152</v>
      </c>
      <c r="O431" s="36" t="s">
        <v>162</v>
      </c>
      <c r="P431" s="36" t="str">
        <f t="shared" si="12"/>
        <v>WMTS_1/1000地形圖_金門縣都市計畫(112年)</v>
      </c>
      <c r="Q431" s="29" t="s">
        <v>1875</v>
      </c>
      <c r="R431" s="29" t="str">
        <f t="shared" si="13"/>
        <v>2dms_wmts_v1_TOPO01K_W02</v>
      </c>
      <c r="S431" s="39" t="s">
        <v>155</v>
      </c>
      <c r="U431" s="27" t="str">
        <f>_xlfn.XLOOKUP(表格1[[#This Row],[服務類別(英)]],參考2_服務標準對照!$B:$B,參考2_服務標準對照!$C:$C,"")&amp;""</f>
        <v>OGC</v>
      </c>
      <c r="V431" s="29" t="s">
        <v>7</v>
      </c>
      <c r="W431" s="29" t="s">
        <v>163</v>
      </c>
      <c r="X431" s="29" t="s">
        <v>81</v>
      </c>
      <c r="Y431" s="36" t="s">
        <v>83</v>
      </c>
      <c r="Z431" s="36" t="s">
        <v>157</v>
      </c>
      <c r="AA431" s="36" t="s">
        <v>1159</v>
      </c>
      <c r="AB431" s="36"/>
      <c r="AC431" s="36"/>
      <c r="AD431" s="29" t="s">
        <v>119</v>
      </c>
      <c r="AE431" s="36" t="str">
        <f>_xlfn.XLOOKUP(表格1[[#This Row],[唯一識別碼]],API清冊0707!B:B,API清冊0707!T:T,"")&amp;""</f>
        <v>無下拉選單</v>
      </c>
    </row>
    <row r="432" spans="1:31" ht="204.75" customHeight="1" x14ac:dyDescent="0.4">
      <c r="A432" s="29" t="s">
        <v>1876</v>
      </c>
      <c r="B432" s="29"/>
      <c r="C432" s="29"/>
      <c r="D432" s="29" t="s">
        <v>1877</v>
      </c>
      <c r="E432" s="29" t="s">
        <v>1878</v>
      </c>
      <c r="F432" s="29" t="s">
        <v>1879</v>
      </c>
      <c r="G432" s="35"/>
      <c r="H432" s="35" t="s">
        <v>151</v>
      </c>
      <c r="I432" s="29" t="s">
        <v>1876</v>
      </c>
      <c r="J432" s="37"/>
      <c r="K432" s="38"/>
      <c r="L432" s="38"/>
      <c r="M432" s="36" t="s">
        <v>60</v>
      </c>
      <c r="N432" s="15" t="s">
        <v>152</v>
      </c>
      <c r="O432" s="36" t="s">
        <v>162</v>
      </c>
      <c r="P432" s="36" t="str">
        <f t="shared" si="12"/>
        <v>WMTS_1/1000地形圖_金門縣都市計畫(106年)</v>
      </c>
      <c r="Q432" s="29" t="s">
        <v>1879</v>
      </c>
      <c r="R432" s="29" t="str">
        <f t="shared" si="13"/>
        <v>2dms_wmts_v1_TOPO01K_W01</v>
      </c>
      <c r="S432" s="39" t="s">
        <v>155</v>
      </c>
      <c r="U432" s="27" t="str">
        <f>_xlfn.XLOOKUP(表格1[[#This Row],[服務類別(英)]],參考2_服務標準對照!$B:$B,參考2_服務標準對照!$C:$C,"")&amp;""</f>
        <v>OGC</v>
      </c>
      <c r="V432" s="29" t="s">
        <v>7</v>
      </c>
      <c r="W432" s="29" t="s">
        <v>163</v>
      </c>
      <c r="X432" s="29" t="s">
        <v>81</v>
      </c>
      <c r="Y432" s="36" t="s">
        <v>83</v>
      </c>
      <c r="Z432" s="36" t="s">
        <v>157</v>
      </c>
      <c r="AA432" s="36" t="s">
        <v>1159</v>
      </c>
      <c r="AB432" s="36"/>
      <c r="AC432" s="36"/>
      <c r="AD432" s="29" t="s">
        <v>119</v>
      </c>
      <c r="AE432" s="36" t="str">
        <f>_xlfn.XLOOKUP(表格1[[#This Row],[唯一識別碼]],API清冊0707!B:B,API清冊0707!T:T,"")&amp;""</f>
        <v>無下拉選單</v>
      </c>
    </row>
    <row r="433" spans="1:31" ht="204.75" customHeight="1" x14ac:dyDescent="0.4">
      <c r="A433" s="29" t="s">
        <v>1880</v>
      </c>
      <c r="B433" s="29"/>
      <c r="C433" s="29"/>
      <c r="D433" s="29" t="s">
        <v>1881</v>
      </c>
      <c r="E433" s="29" t="s">
        <v>1882</v>
      </c>
      <c r="F433" s="29" t="s">
        <v>1883</v>
      </c>
      <c r="G433" s="35"/>
      <c r="H433" s="35" t="s">
        <v>151</v>
      </c>
      <c r="I433" s="29" t="s">
        <v>1880</v>
      </c>
      <c r="J433" s="37"/>
      <c r="K433" s="38"/>
      <c r="L433" s="38"/>
      <c r="M433" s="36" t="s">
        <v>60</v>
      </c>
      <c r="N433" s="15" t="s">
        <v>152</v>
      </c>
      <c r="O433" s="36" t="s">
        <v>162</v>
      </c>
      <c r="P433" s="36" t="str">
        <f t="shared" si="12"/>
        <v>WMTS_1/1000地形圖_臺東縣綠島都市計畫(111年)</v>
      </c>
      <c r="Q433" s="29" t="s">
        <v>1883</v>
      </c>
      <c r="R433" s="29" t="str">
        <f t="shared" si="13"/>
        <v>2dms_wmts_v1_TOPO01K_V20</v>
      </c>
      <c r="S433" s="39" t="s">
        <v>155</v>
      </c>
      <c r="U433" s="27" t="str">
        <f>_xlfn.XLOOKUP(表格1[[#This Row],[服務類別(英)]],參考2_服務標準對照!$B:$B,參考2_服務標準對照!$C:$C,"")&amp;""</f>
        <v>OGC</v>
      </c>
      <c r="V433" s="29" t="s">
        <v>7</v>
      </c>
      <c r="W433" s="29" t="s">
        <v>163</v>
      </c>
      <c r="X433" s="29" t="s">
        <v>81</v>
      </c>
      <c r="Y433" s="36" t="s">
        <v>83</v>
      </c>
      <c r="Z433" s="36" t="s">
        <v>157</v>
      </c>
      <c r="AA433" s="36" t="s">
        <v>1159</v>
      </c>
      <c r="AB433" s="36"/>
      <c r="AC433" s="36"/>
      <c r="AD433" s="29" t="s">
        <v>119</v>
      </c>
      <c r="AE433" s="36" t="str">
        <f>_xlfn.XLOOKUP(表格1[[#This Row],[唯一識別碼]],API清冊0707!B:B,API清冊0707!T:T,"")&amp;""</f>
        <v>無下拉選單</v>
      </c>
    </row>
    <row r="434" spans="1:31" ht="204.75" customHeight="1" x14ac:dyDescent="0.4">
      <c r="A434" s="29" t="s">
        <v>1884</v>
      </c>
      <c r="B434" s="29"/>
      <c r="C434" s="29"/>
      <c r="D434" s="29" t="s">
        <v>1885</v>
      </c>
      <c r="E434" s="29" t="s">
        <v>1886</v>
      </c>
      <c r="F434" s="29" t="s">
        <v>1887</v>
      </c>
      <c r="G434" s="35"/>
      <c r="H434" s="35" t="s">
        <v>151</v>
      </c>
      <c r="I434" s="29" t="s">
        <v>1884</v>
      </c>
      <c r="J434" s="37"/>
      <c r="K434" s="38"/>
      <c r="L434" s="38"/>
      <c r="M434" s="36" t="s">
        <v>60</v>
      </c>
      <c r="N434" s="15" t="s">
        <v>152</v>
      </c>
      <c r="O434" s="36" t="s">
        <v>162</v>
      </c>
      <c r="P434" s="36" t="str">
        <f t="shared" si="12"/>
        <v>WMTS_1/1000地形圖_臺東縣蘭嶼都市計畫(109年)</v>
      </c>
      <c r="Q434" s="29" t="s">
        <v>1887</v>
      </c>
      <c r="R434" s="29" t="str">
        <f t="shared" si="13"/>
        <v>2dms_wmts_v1_TOPO01K_V19</v>
      </c>
      <c r="S434" s="39" t="s">
        <v>155</v>
      </c>
      <c r="U434" s="27" t="str">
        <f>_xlfn.XLOOKUP(表格1[[#This Row],[服務類別(英)]],參考2_服務標準對照!$B:$B,參考2_服務標準對照!$C:$C,"")&amp;""</f>
        <v>OGC</v>
      </c>
      <c r="V434" s="29" t="s">
        <v>7</v>
      </c>
      <c r="W434" s="29" t="s">
        <v>163</v>
      </c>
      <c r="X434" s="29" t="s">
        <v>81</v>
      </c>
      <c r="Y434" s="36" t="s">
        <v>83</v>
      </c>
      <c r="Z434" s="36" t="s">
        <v>157</v>
      </c>
      <c r="AA434" s="36" t="s">
        <v>1159</v>
      </c>
      <c r="AB434" s="36"/>
      <c r="AC434" s="36"/>
      <c r="AD434" s="29" t="s">
        <v>119</v>
      </c>
      <c r="AE434" s="36" t="str">
        <f>_xlfn.XLOOKUP(表格1[[#This Row],[唯一識別碼]],API清冊0707!B:B,API清冊0707!T:T,"")&amp;""</f>
        <v>無下拉選單</v>
      </c>
    </row>
    <row r="435" spans="1:31" ht="204.75" customHeight="1" x14ac:dyDescent="0.4">
      <c r="A435" s="29" t="s">
        <v>1888</v>
      </c>
      <c r="B435" s="29"/>
      <c r="C435" s="29"/>
      <c r="D435" s="29" t="s">
        <v>1889</v>
      </c>
      <c r="E435" s="29" t="s">
        <v>1890</v>
      </c>
      <c r="F435" s="29" t="s">
        <v>1891</v>
      </c>
      <c r="G435" s="35"/>
      <c r="H435" s="35" t="s">
        <v>151</v>
      </c>
      <c r="I435" s="29" t="s">
        <v>1888</v>
      </c>
      <c r="J435" s="37"/>
      <c r="K435" s="38"/>
      <c r="L435" s="38"/>
      <c r="M435" s="36" t="s">
        <v>60</v>
      </c>
      <c r="N435" s="15" t="s">
        <v>152</v>
      </c>
      <c r="O435" s="36" t="s">
        <v>162</v>
      </c>
      <c r="P435" s="36" t="str">
        <f t="shared" si="12"/>
        <v>WMTS_1/1000地形圖_臺東縣鹿野都市計畫(98年)</v>
      </c>
      <c r="Q435" s="29" t="s">
        <v>1891</v>
      </c>
      <c r="R435" s="29" t="str">
        <f t="shared" si="13"/>
        <v>2dms_wmts_v1_TOPO01K_V18</v>
      </c>
      <c r="S435" s="39" t="s">
        <v>155</v>
      </c>
      <c r="U435" s="27" t="str">
        <f>_xlfn.XLOOKUP(表格1[[#This Row],[服務類別(英)]],參考2_服務標準對照!$B:$B,參考2_服務標準對照!$C:$C,"")&amp;""</f>
        <v>OGC</v>
      </c>
      <c r="V435" s="29" t="s">
        <v>7</v>
      </c>
      <c r="W435" s="29" t="s">
        <v>163</v>
      </c>
      <c r="X435" s="29" t="s">
        <v>81</v>
      </c>
      <c r="Y435" s="36" t="s">
        <v>83</v>
      </c>
      <c r="Z435" s="36" t="s">
        <v>157</v>
      </c>
      <c r="AA435" s="36" t="s">
        <v>1159</v>
      </c>
      <c r="AB435" s="36"/>
      <c r="AC435" s="36"/>
      <c r="AD435" s="29" t="s">
        <v>119</v>
      </c>
      <c r="AE435" s="36" t="str">
        <f>_xlfn.XLOOKUP(表格1[[#This Row],[唯一識別碼]],API清冊0707!B:B,API清冊0707!T:T,"")&amp;""</f>
        <v>無下拉選單</v>
      </c>
    </row>
    <row r="436" spans="1:31" ht="204.75" customHeight="1" x14ac:dyDescent="0.4">
      <c r="A436" s="29" t="s">
        <v>1892</v>
      </c>
      <c r="B436" s="29"/>
      <c r="C436" s="29"/>
      <c r="D436" s="29" t="s">
        <v>1893</v>
      </c>
      <c r="E436" s="29" t="s">
        <v>1894</v>
      </c>
      <c r="F436" s="29" t="s">
        <v>1895</v>
      </c>
      <c r="G436" s="35"/>
      <c r="H436" s="35" t="s">
        <v>151</v>
      </c>
      <c r="I436" s="29" t="s">
        <v>1892</v>
      </c>
      <c r="J436" s="37"/>
      <c r="K436" s="38"/>
      <c r="L436" s="38"/>
      <c r="M436" s="36" t="s">
        <v>60</v>
      </c>
      <c r="N436" s="15" t="s">
        <v>152</v>
      </c>
      <c r="O436" s="36" t="s">
        <v>162</v>
      </c>
      <c r="P436" s="36" t="str">
        <f t="shared" si="12"/>
        <v>WMTS_1/1000地形圖_臺東縣關山都市計畫(98年)</v>
      </c>
      <c r="Q436" s="29" t="s">
        <v>1895</v>
      </c>
      <c r="R436" s="29" t="str">
        <f t="shared" si="13"/>
        <v>2dms_wmts_v1_TOPO01K_V17</v>
      </c>
      <c r="S436" s="39" t="s">
        <v>155</v>
      </c>
      <c r="U436" s="27" t="str">
        <f>_xlfn.XLOOKUP(表格1[[#This Row],[服務類別(英)]],參考2_服務標準對照!$B:$B,參考2_服務標準對照!$C:$C,"")&amp;""</f>
        <v>OGC</v>
      </c>
      <c r="V436" s="29" t="s">
        <v>7</v>
      </c>
      <c r="W436" s="29" t="s">
        <v>163</v>
      </c>
      <c r="X436" s="29" t="s">
        <v>81</v>
      </c>
      <c r="Y436" s="36" t="s">
        <v>83</v>
      </c>
      <c r="Z436" s="36" t="s">
        <v>157</v>
      </c>
      <c r="AA436" s="36" t="s">
        <v>1159</v>
      </c>
      <c r="AB436" s="36"/>
      <c r="AC436" s="36"/>
      <c r="AD436" s="29" t="s">
        <v>119</v>
      </c>
      <c r="AE436" s="36" t="str">
        <f>_xlfn.XLOOKUP(表格1[[#This Row],[唯一識別碼]],API清冊0707!B:B,API清冊0707!T:T,"")&amp;""</f>
        <v>無下拉選單</v>
      </c>
    </row>
    <row r="437" spans="1:31" ht="204.75" customHeight="1" x14ac:dyDescent="0.4">
      <c r="A437" s="29" t="s">
        <v>1896</v>
      </c>
      <c r="B437" s="29"/>
      <c r="C437" s="29"/>
      <c r="D437" s="29" t="s">
        <v>1897</v>
      </c>
      <c r="E437" s="29" t="s">
        <v>1898</v>
      </c>
      <c r="F437" s="29" t="s">
        <v>1899</v>
      </c>
      <c r="G437" s="35"/>
      <c r="H437" s="35" t="s">
        <v>151</v>
      </c>
      <c r="I437" s="29" t="s">
        <v>1896</v>
      </c>
      <c r="J437" s="37"/>
      <c r="K437" s="38"/>
      <c r="L437" s="38"/>
      <c r="M437" s="36" t="s">
        <v>60</v>
      </c>
      <c r="N437" s="15" t="s">
        <v>152</v>
      </c>
      <c r="O437" s="36" t="s">
        <v>162</v>
      </c>
      <c r="P437" s="36" t="str">
        <f t="shared" si="12"/>
        <v>WMTS_1/1000地形圖_臺東縣長濱都市計畫(101年)</v>
      </c>
      <c r="Q437" s="29" t="s">
        <v>1899</v>
      </c>
      <c r="R437" s="29" t="str">
        <f t="shared" si="13"/>
        <v>2dms_wmts_v1_TOPO01K_V16</v>
      </c>
      <c r="S437" s="39" t="s">
        <v>155</v>
      </c>
      <c r="U437" s="27" t="str">
        <f>_xlfn.XLOOKUP(表格1[[#This Row],[服務類別(英)]],參考2_服務標準對照!$B:$B,參考2_服務標準對照!$C:$C,"")&amp;""</f>
        <v>OGC</v>
      </c>
      <c r="V437" s="29" t="s">
        <v>7</v>
      </c>
      <c r="W437" s="29" t="s">
        <v>163</v>
      </c>
      <c r="X437" s="29" t="s">
        <v>81</v>
      </c>
      <c r="Y437" s="36" t="s">
        <v>83</v>
      </c>
      <c r="Z437" s="36" t="s">
        <v>157</v>
      </c>
      <c r="AA437" s="36" t="s">
        <v>1159</v>
      </c>
      <c r="AB437" s="36"/>
      <c r="AC437" s="36"/>
      <c r="AD437" s="29" t="s">
        <v>119</v>
      </c>
      <c r="AE437" s="36" t="str">
        <f>_xlfn.XLOOKUP(表格1[[#This Row],[唯一識別碼]],API清冊0707!B:B,API清冊0707!T:T,"")&amp;""</f>
        <v>無下拉選單</v>
      </c>
    </row>
    <row r="438" spans="1:31" ht="204.75" customHeight="1" x14ac:dyDescent="0.4">
      <c r="A438" s="29" t="s">
        <v>1900</v>
      </c>
      <c r="B438" s="29"/>
      <c r="C438" s="29"/>
      <c r="D438" s="29" t="s">
        <v>1901</v>
      </c>
      <c r="E438" s="29" t="s">
        <v>1902</v>
      </c>
      <c r="F438" s="29" t="s">
        <v>1903</v>
      </c>
      <c r="G438" s="35"/>
      <c r="H438" s="35" t="s">
        <v>151</v>
      </c>
      <c r="I438" s="29" t="s">
        <v>1900</v>
      </c>
      <c r="J438" s="37"/>
      <c r="K438" s="38"/>
      <c r="L438" s="38"/>
      <c r="M438" s="36" t="s">
        <v>60</v>
      </c>
      <c r="N438" s="15" t="s">
        <v>152</v>
      </c>
      <c r="O438" s="36" t="s">
        <v>162</v>
      </c>
      <c r="P438" s="36" t="str">
        <f t="shared" si="12"/>
        <v>WMTS_1/1000地形圖_臺東鐵路新站附近地區(94年)</v>
      </c>
      <c r="Q438" s="29" t="s">
        <v>1903</v>
      </c>
      <c r="R438" s="29" t="str">
        <f t="shared" si="13"/>
        <v>2dms_wmts_v1_TOPO01K_V15</v>
      </c>
      <c r="S438" s="39" t="s">
        <v>155</v>
      </c>
      <c r="U438" s="27" t="str">
        <f>_xlfn.XLOOKUP(表格1[[#This Row],[服務類別(英)]],參考2_服務標準對照!$B:$B,參考2_服務標準對照!$C:$C,"")&amp;""</f>
        <v>OGC</v>
      </c>
      <c r="V438" s="29" t="s">
        <v>7</v>
      </c>
      <c r="W438" s="29" t="s">
        <v>163</v>
      </c>
      <c r="X438" s="29" t="s">
        <v>81</v>
      </c>
      <c r="Y438" s="36" t="s">
        <v>83</v>
      </c>
      <c r="Z438" s="36" t="s">
        <v>157</v>
      </c>
      <c r="AA438" s="36" t="s">
        <v>1159</v>
      </c>
      <c r="AB438" s="36"/>
      <c r="AC438" s="36"/>
      <c r="AD438" s="29" t="s">
        <v>119</v>
      </c>
      <c r="AE438" s="36" t="str">
        <f>_xlfn.XLOOKUP(表格1[[#This Row],[唯一識別碼]],API清冊0707!B:B,API清冊0707!T:T,"")&amp;""</f>
        <v>無下拉選單</v>
      </c>
    </row>
    <row r="439" spans="1:31" ht="204.75" customHeight="1" x14ac:dyDescent="0.4">
      <c r="A439" s="29" t="s">
        <v>1904</v>
      </c>
      <c r="B439" s="29"/>
      <c r="C439" s="29"/>
      <c r="D439" s="29" t="s">
        <v>1905</v>
      </c>
      <c r="E439" s="29" t="s">
        <v>1906</v>
      </c>
      <c r="F439" s="29" t="s">
        <v>1907</v>
      </c>
      <c r="G439" s="35"/>
      <c r="H439" s="35" t="s">
        <v>151</v>
      </c>
      <c r="I439" s="29" t="s">
        <v>1904</v>
      </c>
      <c r="J439" s="37"/>
      <c r="K439" s="38"/>
      <c r="L439" s="38"/>
      <c r="M439" s="36" t="s">
        <v>60</v>
      </c>
      <c r="N439" s="15" t="s">
        <v>152</v>
      </c>
      <c r="O439" s="36" t="s">
        <v>162</v>
      </c>
      <c r="P439" s="36" t="str">
        <f t="shared" ref="P439:P502" si="14">IF(LEN(TRIM(F439))&gt;0,F439,E439)</f>
        <v>WMTS_1/1000地形圖_臺東市都市計畫(100年)</v>
      </c>
      <c r="Q439" s="29" t="s">
        <v>1907</v>
      </c>
      <c r="R439" s="29" t="str">
        <f t="shared" ref="R439:R502" si="15">D439</f>
        <v>2dms_wmts_v1_TOPO01K_V14</v>
      </c>
      <c r="S439" s="39" t="s">
        <v>155</v>
      </c>
      <c r="U439" s="27" t="str">
        <f>_xlfn.XLOOKUP(表格1[[#This Row],[服務類別(英)]],參考2_服務標準對照!$B:$B,參考2_服務標準對照!$C:$C,"")&amp;""</f>
        <v>OGC</v>
      </c>
      <c r="V439" s="29" t="s">
        <v>7</v>
      </c>
      <c r="W439" s="29" t="s">
        <v>163</v>
      </c>
      <c r="X439" s="29" t="s">
        <v>81</v>
      </c>
      <c r="Y439" s="36" t="s">
        <v>83</v>
      </c>
      <c r="Z439" s="36" t="s">
        <v>157</v>
      </c>
      <c r="AA439" s="36" t="s">
        <v>1159</v>
      </c>
      <c r="AB439" s="36"/>
      <c r="AC439" s="36"/>
      <c r="AD439" s="29" t="s">
        <v>119</v>
      </c>
      <c r="AE439" s="36" t="str">
        <f>_xlfn.XLOOKUP(表格1[[#This Row],[唯一識別碼]],API清冊0707!B:B,API清冊0707!T:T,"")&amp;""</f>
        <v>無下拉選單</v>
      </c>
    </row>
    <row r="440" spans="1:31" ht="204.75" customHeight="1" x14ac:dyDescent="0.4">
      <c r="A440" s="29" t="s">
        <v>1908</v>
      </c>
      <c r="B440" s="29"/>
      <c r="C440" s="29"/>
      <c r="D440" s="29" t="s">
        <v>1909</v>
      </c>
      <c r="E440" s="29" t="s">
        <v>1910</v>
      </c>
      <c r="F440" s="29" t="s">
        <v>1911</v>
      </c>
      <c r="G440" s="35"/>
      <c r="H440" s="35" t="s">
        <v>151</v>
      </c>
      <c r="I440" s="29" t="s">
        <v>1908</v>
      </c>
      <c r="J440" s="37"/>
      <c r="K440" s="38"/>
      <c r="L440" s="38"/>
      <c r="M440" s="36" t="s">
        <v>60</v>
      </c>
      <c r="N440" s="15" t="s">
        <v>152</v>
      </c>
      <c r="O440" s="36" t="s">
        <v>162</v>
      </c>
      <c r="P440" s="36" t="str">
        <f t="shared" si="14"/>
        <v>WMTS_1/1000地形圖_臺東縣綠島風景特定區計畫(101年)</v>
      </c>
      <c r="Q440" s="29" t="s">
        <v>1911</v>
      </c>
      <c r="R440" s="29" t="str">
        <f t="shared" si="15"/>
        <v>2dms_wmts_v1_TOPO01K_V13</v>
      </c>
      <c r="S440" s="39" t="s">
        <v>155</v>
      </c>
      <c r="U440" s="27" t="str">
        <f>_xlfn.XLOOKUP(表格1[[#This Row],[服務類別(英)]],參考2_服務標準對照!$B:$B,參考2_服務標準對照!$C:$C,"")&amp;""</f>
        <v>OGC</v>
      </c>
      <c r="V440" s="29" t="s">
        <v>7</v>
      </c>
      <c r="W440" s="29" t="s">
        <v>163</v>
      </c>
      <c r="X440" s="29" t="s">
        <v>81</v>
      </c>
      <c r="Y440" s="36" t="s">
        <v>83</v>
      </c>
      <c r="Z440" s="36" t="s">
        <v>157</v>
      </c>
      <c r="AA440" s="36" t="s">
        <v>1159</v>
      </c>
      <c r="AB440" s="36"/>
      <c r="AC440" s="36"/>
      <c r="AD440" s="29" t="s">
        <v>119</v>
      </c>
      <c r="AE440" s="36" t="str">
        <f>_xlfn.XLOOKUP(表格1[[#This Row],[唯一識別碼]],API清冊0707!B:B,API清冊0707!T:T,"")&amp;""</f>
        <v>無下拉選單</v>
      </c>
    </row>
    <row r="441" spans="1:31" ht="204.75" customHeight="1" x14ac:dyDescent="0.4">
      <c r="A441" s="29" t="s">
        <v>1912</v>
      </c>
      <c r="B441" s="29"/>
      <c r="C441" s="29"/>
      <c r="D441" s="29" t="s">
        <v>1913</v>
      </c>
      <c r="E441" s="29" t="s">
        <v>1914</v>
      </c>
      <c r="F441" s="29" t="s">
        <v>1915</v>
      </c>
      <c r="G441" s="35"/>
      <c r="H441" s="35" t="s">
        <v>151</v>
      </c>
      <c r="I441" s="29" t="s">
        <v>1912</v>
      </c>
      <c r="J441" s="37"/>
      <c r="K441" s="38"/>
      <c r="L441" s="38"/>
      <c r="M441" s="36" t="s">
        <v>60</v>
      </c>
      <c r="N441" s="15" t="s">
        <v>152</v>
      </c>
      <c r="O441" s="36" t="s">
        <v>162</v>
      </c>
      <c r="P441" s="36" t="str">
        <f t="shared" si="14"/>
        <v>WMTS_1/1000地形圖_臺東縣紅葉溫泉風景特定區計畫(99年)</v>
      </c>
      <c r="Q441" s="29" t="s">
        <v>1915</v>
      </c>
      <c r="R441" s="29" t="str">
        <f t="shared" si="15"/>
        <v>2dms_wmts_v1_TOPO01K_V12</v>
      </c>
      <c r="S441" s="39" t="s">
        <v>155</v>
      </c>
      <c r="U441" s="27" t="str">
        <f>_xlfn.XLOOKUP(表格1[[#This Row],[服務類別(英)]],參考2_服務標準對照!$B:$B,參考2_服務標準對照!$C:$C,"")&amp;""</f>
        <v>OGC</v>
      </c>
      <c r="V441" s="29" t="s">
        <v>7</v>
      </c>
      <c r="W441" s="29" t="s">
        <v>163</v>
      </c>
      <c r="X441" s="29" t="s">
        <v>81</v>
      </c>
      <c r="Y441" s="36" t="s">
        <v>83</v>
      </c>
      <c r="Z441" s="36" t="s">
        <v>157</v>
      </c>
      <c r="AA441" s="36" t="s">
        <v>1159</v>
      </c>
      <c r="AB441" s="36"/>
      <c r="AC441" s="36"/>
      <c r="AD441" s="29" t="s">
        <v>119</v>
      </c>
      <c r="AE441" s="36" t="str">
        <f>_xlfn.XLOOKUP(表格1[[#This Row],[唯一識別碼]],API清冊0707!B:B,API清冊0707!T:T,"")&amp;""</f>
        <v>無下拉選單</v>
      </c>
    </row>
    <row r="442" spans="1:31" ht="204.75" customHeight="1" x14ac:dyDescent="0.4">
      <c r="A442" s="29" t="s">
        <v>1916</v>
      </c>
      <c r="B442" s="29"/>
      <c r="C442" s="29"/>
      <c r="D442" s="29" t="s">
        <v>1917</v>
      </c>
      <c r="E442" s="29" t="s">
        <v>1918</v>
      </c>
      <c r="F442" s="29" t="s">
        <v>1919</v>
      </c>
      <c r="G442" s="35"/>
      <c r="H442" s="35" t="s">
        <v>151</v>
      </c>
      <c r="I442" s="29" t="s">
        <v>1916</v>
      </c>
      <c r="J442" s="37"/>
      <c r="K442" s="38"/>
      <c r="L442" s="38"/>
      <c r="M442" s="36" t="s">
        <v>60</v>
      </c>
      <c r="N442" s="15" t="s">
        <v>152</v>
      </c>
      <c r="O442" s="36" t="s">
        <v>162</v>
      </c>
      <c r="P442" s="36" t="str">
        <f t="shared" si="14"/>
        <v>WMTS_1/1000地形圖_臺東縣知本鐵路車站地區(94年)</v>
      </c>
      <c r="Q442" s="29" t="s">
        <v>1919</v>
      </c>
      <c r="R442" s="29" t="str">
        <f t="shared" si="15"/>
        <v>2dms_wmts_v1_TOPO01K_V11</v>
      </c>
      <c r="S442" s="39" t="s">
        <v>155</v>
      </c>
      <c r="U442" s="27" t="str">
        <f>_xlfn.XLOOKUP(表格1[[#This Row],[服務類別(英)]],參考2_服務標準對照!$B:$B,參考2_服務標準對照!$C:$C,"")&amp;""</f>
        <v>OGC</v>
      </c>
      <c r="V442" s="29" t="s">
        <v>7</v>
      </c>
      <c r="W442" s="29" t="s">
        <v>163</v>
      </c>
      <c r="X442" s="29" t="s">
        <v>81</v>
      </c>
      <c r="Y442" s="36" t="s">
        <v>83</v>
      </c>
      <c r="Z442" s="36" t="s">
        <v>157</v>
      </c>
      <c r="AA442" s="36" t="s">
        <v>1159</v>
      </c>
      <c r="AB442" s="36"/>
      <c r="AC442" s="36"/>
      <c r="AD442" s="29" t="s">
        <v>119</v>
      </c>
      <c r="AE442" s="36" t="str">
        <f>_xlfn.XLOOKUP(表格1[[#This Row],[唯一識別碼]],API清冊0707!B:B,API清冊0707!T:T,"")&amp;""</f>
        <v>無下拉選單</v>
      </c>
    </row>
    <row r="443" spans="1:31" ht="204.75" customHeight="1" x14ac:dyDescent="0.4">
      <c r="A443" s="29" t="s">
        <v>1920</v>
      </c>
      <c r="B443" s="29"/>
      <c r="C443" s="29"/>
      <c r="D443" s="29" t="s">
        <v>1921</v>
      </c>
      <c r="E443" s="29" t="s">
        <v>1922</v>
      </c>
      <c r="F443" s="29" t="s">
        <v>1923</v>
      </c>
      <c r="G443" s="35"/>
      <c r="H443" s="35" t="s">
        <v>151</v>
      </c>
      <c r="I443" s="29" t="s">
        <v>1920</v>
      </c>
      <c r="J443" s="37"/>
      <c r="K443" s="38"/>
      <c r="L443" s="38"/>
      <c r="M443" s="36" t="s">
        <v>60</v>
      </c>
      <c r="N443" s="15" t="s">
        <v>152</v>
      </c>
      <c r="O443" s="36" t="s">
        <v>162</v>
      </c>
      <c r="P443" s="36" t="str">
        <f t="shared" si="14"/>
        <v>WMTS_1/1000地形圖_臺東縣知本溫泉風景特定區計畫(100年)</v>
      </c>
      <c r="Q443" s="29" t="s">
        <v>1923</v>
      </c>
      <c r="R443" s="29" t="str">
        <f t="shared" si="15"/>
        <v>2dms_wmts_v1_TOPO01K_V10</v>
      </c>
      <c r="S443" s="39" t="s">
        <v>155</v>
      </c>
      <c r="U443" s="27" t="str">
        <f>_xlfn.XLOOKUP(表格1[[#This Row],[服務類別(英)]],參考2_服務標準對照!$B:$B,參考2_服務標準對照!$C:$C,"")&amp;""</f>
        <v>OGC</v>
      </c>
      <c r="V443" s="29" t="s">
        <v>7</v>
      </c>
      <c r="W443" s="29" t="s">
        <v>163</v>
      </c>
      <c r="X443" s="29" t="s">
        <v>81</v>
      </c>
      <c r="Y443" s="36" t="s">
        <v>83</v>
      </c>
      <c r="Z443" s="36" t="s">
        <v>157</v>
      </c>
      <c r="AA443" s="36" t="s">
        <v>1159</v>
      </c>
      <c r="AB443" s="36"/>
      <c r="AC443" s="36"/>
      <c r="AD443" s="29" t="s">
        <v>119</v>
      </c>
      <c r="AE443" s="36" t="str">
        <f>_xlfn.XLOOKUP(表格1[[#This Row],[唯一識別碼]],API清冊0707!B:B,API清冊0707!T:T,"")&amp;""</f>
        <v>無下拉選單</v>
      </c>
    </row>
    <row r="444" spans="1:31" ht="204.75" customHeight="1" x14ac:dyDescent="0.4">
      <c r="A444" s="29" t="s">
        <v>1924</v>
      </c>
      <c r="B444" s="29"/>
      <c r="C444" s="29"/>
      <c r="D444" s="29" t="s">
        <v>1925</v>
      </c>
      <c r="E444" s="29" t="s">
        <v>1926</v>
      </c>
      <c r="F444" s="29" t="s">
        <v>1927</v>
      </c>
      <c r="G444" s="35"/>
      <c r="H444" s="35" t="s">
        <v>151</v>
      </c>
      <c r="I444" s="29" t="s">
        <v>1924</v>
      </c>
      <c r="J444" s="37"/>
      <c r="K444" s="38"/>
      <c r="L444" s="38"/>
      <c r="M444" s="36" t="s">
        <v>60</v>
      </c>
      <c r="N444" s="15" t="s">
        <v>152</v>
      </c>
      <c r="O444" s="36" t="s">
        <v>162</v>
      </c>
      <c r="P444" s="36" t="str">
        <f t="shared" si="14"/>
        <v>WMTS_1/1000地形圖_臺東縣池上都市計畫(99年)</v>
      </c>
      <c r="Q444" s="29" t="s">
        <v>1927</v>
      </c>
      <c r="R444" s="29" t="str">
        <f t="shared" si="15"/>
        <v>2dms_wmts_v1_TOPO01K_V09</v>
      </c>
      <c r="S444" s="39" t="s">
        <v>155</v>
      </c>
      <c r="U444" s="27" t="str">
        <f>_xlfn.XLOOKUP(表格1[[#This Row],[服務類別(英)]],參考2_服務標準對照!$B:$B,參考2_服務標準對照!$C:$C,"")&amp;""</f>
        <v>OGC</v>
      </c>
      <c r="V444" s="29" t="s">
        <v>7</v>
      </c>
      <c r="W444" s="29" t="s">
        <v>163</v>
      </c>
      <c r="X444" s="29" t="s">
        <v>81</v>
      </c>
      <c r="Y444" s="36" t="s">
        <v>83</v>
      </c>
      <c r="Z444" s="36" t="s">
        <v>157</v>
      </c>
      <c r="AA444" s="36" t="s">
        <v>1159</v>
      </c>
      <c r="AB444" s="36"/>
      <c r="AC444" s="36"/>
      <c r="AD444" s="29" t="s">
        <v>119</v>
      </c>
      <c r="AE444" s="36" t="str">
        <f>_xlfn.XLOOKUP(表格1[[#This Row],[唯一識別碼]],API清冊0707!B:B,API清冊0707!T:T,"")&amp;""</f>
        <v>無下拉選單</v>
      </c>
    </row>
    <row r="445" spans="1:31" ht="204.75" customHeight="1" x14ac:dyDescent="0.4">
      <c r="A445" s="29" t="s">
        <v>1928</v>
      </c>
      <c r="B445" s="29"/>
      <c r="C445" s="29"/>
      <c r="D445" s="29" t="s">
        <v>1929</v>
      </c>
      <c r="E445" s="29" t="s">
        <v>1930</v>
      </c>
      <c r="F445" s="29" t="s">
        <v>1931</v>
      </c>
      <c r="G445" s="35"/>
      <c r="H445" s="35" t="s">
        <v>151</v>
      </c>
      <c r="I445" s="29" t="s">
        <v>1928</v>
      </c>
      <c r="J445" s="37"/>
      <c r="K445" s="38"/>
      <c r="L445" s="38"/>
      <c r="M445" s="36" t="s">
        <v>60</v>
      </c>
      <c r="N445" s="15" t="s">
        <v>152</v>
      </c>
      <c r="O445" s="36" t="s">
        <v>162</v>
      </c>
      <c r="P445" s="36" t="str">
        <f t="shared" si="14"/>
        <v>WMTS_1/1000地形圖_臺東縣東河都市計畫(100年)</v>
      </c>
      <c r="Q445" s="29" t="s">
        <v>1931</v>
      </c>
      <c r="R445" s="29" t="str">
        <f t="shared" si="15"/>
        <v>2dms_wmts_v1_TOPO01K_V08</v>
      </c>
      <c r="S445" s="39" t="s">
        <v>155</v>
      </c>
      <c r="U445" s="27" t="str">
        <f>_xlfn.XLOOKUP(表格1[[#This Row],[服務類別(英)]],參考2_服務標準對照!$B:$B,參考2_服務標準對照!$C:$C,"")&amp;""</f>
        <v>OGC</v>
      </c>
      <c r="V445" s="29" t="s">
        <v>7</v>
      </c>
      <c r="W445" s="29" t="s">
        <v>163</v>
      </c>
      <c r="X445" s="29" t="s">
        <v>81</v>
      </c>
      <c r="Y445" s="36" t="s">
        <v>83</v>
      </c>
      <c r="Z445" s="36" t="s">
        <v>157</v>
      </c>
      <c r="AA445" s="36" t="s">
        <v>1159</v>
      </c>
      <c r="AB445" s="36"/>
      <c r="AC445" s="36"/>
      <c r="AD445" s="29" t="s">
        <v>119</v>
      </c>
      <c r="AE445" s="36" t="str">
        <f>_xlfn.XLOOKUP(表格1[[#This Row],[唯一識別碼]],API清冊0707!B:B,API清冊0707!T:T,"")&amp;""</f>
        <v>無下拉選單</v>
      </c>
    </row>
    <row r="446" spans="1:31" ht="204.75" customHeight="1" x14ac:dyDescent="0.4">
      <c r="A446" s="29" t="s">
        <v>1932</v>
      </c>
      <c r="B446" s="29"/>
      <c r="C446" s="29"/>
      <c r="D446" s="29" t="s">
        <v>1933</v>
      </c>
      <c r="E446" s="29" t="s">
        <v>1934</v>
      </c>
      <c r="F446" s="29" t="s">
        <v>1935</v>
      </c>
      <c r="G446" s="35"/>
      <c r="H446" s="35" t="s">
        <v>151</v>
      </c>
      <c r="I446" s="29" t="s">
        <v>1932</v>
      </c>
      <c r="J446" s="37"/>
      <c r="K446" s="38"/>
      <c r="L446" s="38"/>
      <c r="M446" s="36" t="s">
        <v>60</v>
      </c>
      <c r="N446" s="15" t="s">
        <v>152</v>
      </c>
      <c r="O446" s="36" t="s">
        <v>162</v>
      </c>
      <c r="P446" s="36" t="str">
        <f t="shared" si="14"/>
        <v>WMTS_1/1000地形圖_臺東縣成功都市計畫(98年)</v>
      </c>
      <c r="Q446" s="29" t="s">
        <v>1935</v>
      </c>
      <c r="R446" s="29" t="str">
        <f t="shared" si="15"/>
        <v>2dms_wmts_v1_TOPO01K_V07</v>
      </c>
      <c r="S446" s="39" t="s">
        <v>155</v>
      </c>
      <c r="U446" s="27" t="str">
        <f>_xlfn.XLOOKUP(表格1[[#This Row],[服務類別(英)]],參考2_服務標準對照!$B:$B,參考2_服務標準對照!$C:$C,"")&amp;""</f>
        <v>OGC</v>
      </c>
      <c r="V446" s="29" t="s">
        <v>7</v>
      </c>
      <c r="W446" s="29" t="s">
        <v>163</v>
      </c>
      <c r="X446" s="29" t="s">
        <v>81</v>
      </c>
      <c r="Y446" s="36" t="s">
        <v>83</v>
      </c>
      <c r="Z446" s="36" t="s">
        <v>157</v>
      </c>
      <c r="AA446" s="36" t="s">
        <v>1159</v>
      </c>
      <c r="AB446" s="36"/>
      <c r="AC446" s="36"/>
      <c r="AD446" s="29" t="s">
        <v>119</v>
      </c>
      <c r="AE446" s="36" t="str">
        <f>_xlfn.XLOOKUP(表格1[[#This Row],[唯一識別碼]],API清冊0707!B:B,API清冊0707!T:T,"")&amp;""</f>
        <v>無下拉選單</v>
      </c>
    </row>
    <row r="447" spans="1:31" ht="204.75" customHeight="1" x14ac:dyDescent="0.4">
      <c r="A447" s="29" t="s">
        <v>1936</v>
      </c>
      <c r="B447" s="29"/>
      <c r="C447" s="29"/>
      <c r="D447" s="29" t="s">
        <v>1937</v>
      </c>
      <c r="E447" s="29" t="s">
        <v>1938</v>
      </c>
      <c r="F447" s="29" t="s">
        <v>1939</v>
      </c>
      <c r="G447" s="35"/>
      <c r="H447" s="35" t="s">
        <v>151</v>
      </c>
      <c r="I447" s="29" t="s">
        <v>1936</v>
      </c>
      <c r="J447" s="37"/>
      <c r="K447" s="38"/>
      <c r="L447" s="38"/>
      <c r="M447" s="36" t="s">
        <v>60</v>
      </c>
      <c r="N447" s="15" t="s">
        <v>152</v>
      </c>
      <c r="O447" s="36" t="s">
        <v>162</v>
      </c>
      <c r="P447" s="36" t="str">
        <f t="shared" si="14"/>
        <v>WMTS_1/1000地形圖_臺東縣小野柳風景特定區計畫(94年)</v>
      </c>
      <c r="Q447" s="29" t="s">
        <v>1939</v>
      </c>
      <c r="R447" s="29" t="str">
        <f t="shared" si="15"/>
        <v>2dms_wmts_v1_TOPO01K_V06</v>
      </c>
      <c r="S447" s="39" t="s">
        <v>155</v>
      </c>
      <c r="U447" s="27" t="str">
        <f>_xlfn.XLOOKUP(表格1[[#This Row],[服務類別(英)]],參考2_服務標準對照!$B:$B,參考2_服務標準對照!$C:$C,"")&amp;""</f>
        <v>OGC</v>
      </c>
      <c r="V447" s="29" t="s">
        <v>7</v>
      </c>
      <c r="W447" s="29" t="s">
        <v>163</v>
      </c>
      <c r="X447" s="29" t="s">
        <v>81</v>
      </c>
      <c r="Y447" s="36" t="s">
        <v>83</v>
      </c>
      <c r="Z447" s="36" t="s">
        <v>157</v>
      </c>
      <c r="AA447" s="36" t="s">
        <v>1159</v>
      </c>
      <c r="AB447" s="36"/>
      <c r="AC447" s="36"/>
      <c r="AD447" s="29" t="s">
        <v>119</v>
      </c>
      <c r="AE447" s="36" t="str">
        <f>_xlfn.XLOOKUP(表格1[[#This Row],[唯一識別碼]],API清冊0707!B:B,API清冊0707!T:T,"")&amp;""</f>
        <v>無下拉選單</v>
      </c>
    </row>
    <row r="448" spans="1:31" ht="204.75" customHeight="1" x14ac:dyDescent="0.4">
      <c r="A448" s="29" t="s">
        <v>1940</v>
      </c>
      <c r="B448" s="29"/>
      <c r="C448" s="29"/>
      <c r="D448" s="29" t="s">
        <v>1941</v>
      </c>
      <c r="E448" s="29" t="s">
        <v>1942</v>
      </c>
      <c r="F448" s="29" t="s">
        <v>1943</v>
      </c>
      <c r="G448" s="35"/>
      <c r="H448" s="35" t="s">
        <v>151</v>
      </c>
      <c r="I448" s="29" t="s">
        <v>1940</v>
      </c>
      <c r="J448" s="37"/>
      <c r="K448" s="38"/>
      <c r="L448" s="38"/>
      <c r="M448" s="36" t="s">
        <v>60</v>
      </c>
      <c r="N448" s="15" t="s">
        <v>152</v>
      </c>
      <c r="O448" s="36" t="s">
        <v>162</v>
      </c>
      <c r="P448" s="36" t="str">
        <f t="shared" si="14"/>
        <v>WMTS_1/1000地形圖_臺東縣太麻里都市計畫(98年)</v>
      </c>
      <c r="Q448" s="29" t="s">
        <v>1943</v>
      </c>
      <c r="R448" s="29" t="str">
        <f t="shared" si="15"/>
        <v>2dms_wmts_v1_TOPO01K_V05</v>
      </c>
      <c r="S448" s="39" t="s">
        <v>155</v>
      </c>
      <c r="U448" s="27" t="str">
        <f>_xlfn.XLOOKUP(表格1[[#This Row],[服務類別(英)]],參考2_服務標準對照!$B:$B,參考2_服務標準對照!$C:$C,"")&amp;""</f>
        <v>OGC</v>
      </c>
      <c r="V448" s="29" t="s">
        <v>7</v>
      </c>
      <c r="W448" s="29" t="s">
        <v>163</v>
      </c>
      <c r="X448" s="29" t="s">
        <v>81</v>
      </c>
      <c r="Y448" s="36" t="s">
        <v>83</v>
      </c>
      <c r="Z448" s="36" t="s">
        <v>157</v>
      </c>
      <c r="AA448" s="36" t="s">
        <v>1159</v>
      </c>
      <c r="AB448" s="36"/>
      <c r="AC448" s="36"/>
      <c r="AD448" s="29" t="s">
        <v>119</v>
      </c>
      <c r="AE448" s="36" t="str">
        <f>_xlfn.XLOOKUP(表格1[[#This Row],[唯一識別碼]],API清冊0707!B:B,API清冊0707!T:T,"")&amp;""</f>
        <v>無下拉選單</v>
      </c>
    </row>
    <row r="449" spans="1:31" ht="204.75" customHeight="1" x14ac:dyDescent="0.4">
      <c r="A449" s="29" t="s">
        <v>1944</v>
      </c>
      <c r="B449" s="29"/>
      <c r="C449" s="29"/>
      <c r="D449" s="29" t="s">
        <v>1945</v>
      </c>
      <c r="E449" s="29" t="s">
        <v>1946</v>
      </c>
      <c r="F449" s="29" t="s">
        <v>1947</v>
      </c>
      <c r="G449" s="35"/>
      <c r="H449" s="35" t="s">
        <v>151</v>
      </c>
      <c r="I449" s="29" t="s">
        <v>1944</v>
      </c>
      <c r="J449" s="37"/>
      <c r="K449" s="38"/>
      <c r="L449" s="38"/>
      <c r="M449" s="36" t="s">
        <v>60</v>
      </c>
      <c r="N449" s="15" t="s">
        <v>152</v>
      </c>
      <c r="O449" s="36" t="s">
        <v>162</v>
      </c>
      <c r="P449" s="36" t="str">
        <f t="shared" si="14"/>
        <v>WMTS_1/1000地形圖_臺東縣大武都市計畫(99年)</v>
      </c>
      <c r="Q449" s="29" t="s">
        <v>1947</v>
      </c>
      <c r="R449" s="29" t="str">
        <f t="shared" si="15"/>
        <v>2dms_wmts_v1_TOPO01K_V04</v>
      </c>
      <c r="S449" s="39" t="s">
        <v>155</v>
      </c>
      <c r="U449" s="27" t="str">
        <f>_xlfn.XLOOKUP(表格1[[#This Row],[服務類別(英)]],參考2_服務標準對照!$B:$B,參考2_服務標準對照!$C:$C,"")&amp;""</f>
        <v>OGC</v>
      </c>
      <c r="V449" s="29" t="s">
        <v>7</v>
      </c>
      <c r="W449" s="29" t="s">
        <v>163</v>
      </c>
      <c r="X449" s="29" t="s">
        <v>81</v>
      </c>
      <c r="Y449" s="36" t="s">
        <v>83</v>
      </c>
      <c r="Z449" s="36" t="s">
        <v>157</v>
      </c>
      <c r="AA449" s="36" t="s">
        <v>1159</v>
      </c>
      <c r="AB449" s="36"/>
      <c r="AC449" s="36"/>
      <c r="AD449" s="29" t="s">
        <v>119</v>
      </c>
      <c r="AE449" s="36" t="str">
        <f>_xlfn.XLOOKUP(表格1[[#This Row],[唯一識別碼]],API清冊0707!B:B,API清冊0707!T:T,"")&amp;""</f>
        <v>無下拉選單</v>
      </c>
    </row>
    <row r="450" spans="1:31" ht="204.75" customHeight="1" x14ac:dyDescent="0.4">
      <c r="A450" s="29" t="s">
        <v>1948</v>
      </c>
      <c r="B450" s="29"/>
      <c r="C450" s="29"/>
      <c r="D450" s="29" t="s">
        <v>1949</v>
      </c>
      <c r="E450" s="29" t="s">
        <v>1950</v>
      </c>
      <c r="F450" s="29" t="s">
        <v>1951</v>
      </c>
      <c r="G450" s="35"/>
      <c r="H450" s="35" t="s">
        <v>151</v>
      </c>
      <c r="I450" s="29" t="s">
        <v>1948</v>
      </c>
      <c r="J450" s="37"/>
      <c r="K450" s="38"/>
      <c r="L450" s="38"/>
      <c r="M450" s="36" t="s">
        <v>60</v>
      </c>
      <c r="N450" s="15" t="s">
        <v>152</v>
      </c>
      <c r="O450" s="36" t="s">
        <v>162</v>
      </c>
      <c r="P450" s="36" t="str">
        <f t="shared" si="14"/>
        <v>WMTS_1/1000地形圖_臺東縣卑南南王都市計畫(99年)</v>
      </c>
      <c r="Q450" s="29" t="s">
        <v>1951</v>
      </c>
      <c r="R450" s="29" t="str">
        <f t="shared" si="15"/>
        <v>2dms_wmts_v1_TOPO01K_V03</v>
      </c>
      <c r="S450" s="39" t="s">
        <v>155</v>
      </c>
      <c r="U450" s="27" t="str">
        <f>_xlfn.XLOOKUP(表格1[[#This Row],[服務類別(英)]],參考2_服務標準對照!$B:$B,參考2_服務標準對照!$C:$C,"")&amp;""</f>
        <v>OGC</v>
      </c>
      <c r="V450" s="29" t="s">
        <v>7</v>
      </c>
      <c r="W450" s="29" t="s">
        <v>163</v>
      </c>
      <c r="X450" s="29" t="s">
        <v>81</v>
      </c>
      <c r="Y450" s="36" t="s">
        <v>83</v>
      </c>
      <c r="Z450" s="36" t="s">
        <v>157</v>
      </c>
      <c r="AA450" s="36" t="s">
        <v>1159</v>
      </c>
      <c r="AB450" s="36"/>
      <c r="AC450" s="36"/>
      <c r="AD450" s="29" t="s">
        <v>119</v>
      </c>
      <c r="AE450" s="36" t="str">
        <f>_xlfn.XLOOKUP(表格1[[#This Row],[唯一識別碼]],API清冊0707!B:B,API清冊0707!T:T,"")&amp;""</f>
        <v>無下拉選單</v>
      </c>
    </row>
    <row r="451" spans="1:31" ht="204.75" customHeight="1" x14ac:dyDescent="0.4">
      <c r="A451" s="29" t="s">
        <v>1952</v>
      </c>
      <c r="B451" s="29"/>
      <c r="C451" s="29"/>
      <c r="D451" s="29" t="s">
        <v>1953</v>
      </c>
      <c r="E451" s="29" t="s">
        <v>1954</v>
      </c>
      <c r="F451" s="29" t="s">
        <v>1955</v>
      </c>
      <c r="G451" s="35"/>
      <c r="H451" s="35" t="s">
        <v>151</v>
      </c>
      <c r="I451" s="29" t="s">
        <v>1952</v>
      </c>
      <c r="J451" s="37"/>
      <c r="K451" s="38"/>
      <c r="L451" s="38"/>
      <c r="M451" s="36" t="s">
        <v>60</v>
      </c>
      <c r="N451" s="15" t="s">
        <v>152</v>
      </c>
      <c r="O451" s="36" t="s">
        <v>162</v>
      </c>
      <c r="P451" s="36" t="str">
        <f t="shared" si="14"/>
        <v>WMTS_1/1000地形圖_臺東縣八仙洞風景特定區計畫(101年)</v>
      </c>
      <c r="Q451" s="29" t="s">
        <v>1955</v>
      </c>
      <c r="R451" s="29" t="str">
        <f t="shared" si="15"/>
        <v>2dms_wmts_v1_TOPO01K_V02</v>
      </c>
      <c r="S451" s="39" t="s">
        <v>155</v>
      </c>
      <c r="U451" s="27" t="str">
        <f>_xlfn.XLOOKUP(表格1[[#This Row],[服務類別(英)]],參考2_服務標準對照!$B:$B,參考2_服務標準對照!$C:$C,"")&amp;""</f>
        <v>OGC</v>
      </c>
      <c r="V451" s="29" t="s">
        <v>7</v>
      </c>
      <c r="W451" s="29" t="s">
        <v>163</v>
      </c>
      <c r="X451" s="29" t="s">
        <v>81</v>
      </c>
      <c r="Y451" s="36" t="s">
        <v>83</v>
      </c>
      <c r="Z451" s="36" t="s">
        <v>157</v>
      </c>
      <c r="AA451" s="36" t="s">
        <v>1159</v>
      </c>
      <c r="AB451" s="36"/>
      <c r="AC451" s="36"/>
      <c r="AD451" s="29" t="s">
        <v>119</v>
      </c>
      <c r="AE451" s="36" t="str">
        <f>_xlfn.XLOOKUP(表格1[[#This Row],[唯一識別碼]],API清冊0707!B:B,API清冊0707!T:T,"")&amp;""</f>
        <v>無下拉選單</v>
      </c>
    </row>
    <row r="452" spans="1:31" ht="204.75" customHeight="1" x14ac:dyDescent="0.4">
      <c r="A452" s="29" t="s">
        <v>1956</v>
      </c>
      <c r="B452" s="29"/>
      <c r="C452" s="29"/>
      <c r="D452" s="29" t="s">
        <v>1957</v>
      </c>
      <c r="E452" s="29" t="s">
        <v>1958</v>
      </c>
      <c r="F452" s="29" t="s">
        <v>1959</v>
      </c>
      <c r="G452" s="35"/>
      <c r="H452" s="35" t="s">
        <v>151</v>
      </c>
      <c r="I452" s="29" t="s">
        <v>1956</v>
      </c>
      <c r="J452" s="37"/>
      <c r="K452" s="38"/>
      <c r="L452" s="38"/>
      <c r="M452" s="36" t="s">
        <v>60</v>
      </c>
      <c r="N452" s="15" t="s">
        <v>152</v>
      </c>
      <c r="O452" s="36" t="s">
        <v>162</v>
      </c>
      <c r="P452" s="36" t="str">
        <f t="shared" si="14"/>
        <v>WMTS_1/1000地形圖_臺東縣三仙台風景特定區計畫(101年)</v>
      </c>
      <c r="Q452" s="29" t="s">
        <v>1959</v>
      </c>
      <c r="R452" s="29" t="str">
        <f t="shared" si="15"/>
        <v>2dms_wmts_v1_TOPO01K_V01</v>
      </c>
      <c r="S452" s="39" t="s">
        <v>155</v>
      </c>
      <c r="U452" s="27" t="str">
        <f>_xlfn.XLOOKUP(表格1[[#This Row],[服務類別(英)]],參考2_服務標準對照!$B:$B,參考2_服務標準對照!$C:$C,"")&amp;""</f>
        <v>OGC</v>
      </c>
      <c r="V452" s="29" t="s">
        <v>7</v>
      </c>
      <c r="W452" s="29" t="s">
        <v>163</v>
      </c>
      <c r="X452" s="29" t="s">
        <v>81</v>
      </c>
      <c r="Y452" s="36" t="s">
        <v>83</v>
      </c>
      <c r="Z452" s="36" t="s">
        <v>157</v>
      </c>
      <c r="AA452" s="36" t="s">
        <v>1159</v>
      </c>
      <c r="AB452" s="36"/>
      <c r="AC452" s="36"/>
      <c r="AD452" s="29" t="s">
        <v>119</v>
      </c>
      <c r="AE452" s="36" t="str">
        <f>_xlfn.XLOOKUP(表格1[[#This Row],[唯一識別碼]],API清冊0707!B:B,API清冊0707!T:T,"")&amp;""</f>
        <v>無下拉選單</v>
      </c>
    </row>
    <row r="453" spans="1:31" ht="204.75" customHeight="1" x14ac:dyDescent="0.4">
      <c r="A453" s="29" t="s">
        <v>1960</v>
      </c>
      <c r="B453" s="29"/>
      <c r="C453" s="29"/>
      <c r="D453" s="29" t="s">
        <v>1961</v>
      </c>
      <c r="E453" s="29" t="s">
        <v>1962</v>
      </c>
      <c r="F453" s="29" t="s">
        <v>1963</v>
      </c>
      <c r="G453" s="35"/>
      <c r="H453" s="35" t="s">
        <v>151</v>
      </c>
      <c r="I453" s="29" t="s">
        <v>1960</v>
      </c>
      <c r="J453" s="37"/>
      <c r="K453" s="38"/>
      <c r="L453" s="38"/>
      <c r="M453" s="36" t="s">
        <v>60</v>
      </c>
      <c r="N453" s="15" t="s">
        <v>152</v>
      </c>
      <c r="O453" s="36" t="s">
        <v>162</v>
      </c>
      <c r="P453" s="36" t="str">
        <f t="shared" si="14"/>
        <v>WMTS_1/1000地形圖_花蓮縣鳳林都市計畫(109年)</v>
      </c>
      <c r="Q453" s="29" t="s">
        <v>1963</v>
      </c>
      <c r="R453" s="29" t="str">
        <f t="shared" si="15"/>
        <v>2dms_wmts_v1_TOPO01K_U26</v>
      </c>
      <c r="S453" s="39" t="s">
        <v>155</v>
      </c>
      <c r="U453" s="27" t="str">
        <f>_xlfn.XLOOKUP(表格1[[#This Row],[服務類別(英)]],參考2_服務標準對照!$B:$B,參考2_服務標準對照!$C:$C,"")&amp;""</f>
        <v>OGC</v>
      </c>
      <c r="V453" s="29" t="s">
        <v>7</v>
      </c>
      <c r="W453" s="29" t="s">
        <v>163</v>
      </c>
      <c r="X453" s="29" t="s">
        <v>81</v>
      </c>
      <c r="Y453" s="36" t="s">
        <v>83</v>
      </c>
      <c r="Z453" s="36" t="s">
        <v>157</v>
      </c>
      <c r="AA453" s="36" t="s">
        <v>1159</v>
      </c>
      <c r="AB453" s="36"/>
      <c r="AC453" s="36"/>
      <c r="AD453" s="29" t="s">
        <v>119</v>
      </c>
      <c r="AE453" s="36" t="str">
        <f>_xlfn.XLOOKUP(表格1[[#This Row],[唯一識別碼]],API清冊0707!B:B,API清冊0707!T:T,"")&amp;""</f>
        <v>無下拉選單</v>
      </c>
    </row>
    <row r="454" spans="1:31" ht="204.75" customHeight="1" x14ac:dyDescent="0.4">
      <c r="A454" s="29" t="s">
        <v>1964</v>
      </c>
      <c r="B454" s="29"/>
      <c r="C454" s="29"/>
      <c r="D454" s="29" t="s">
        <v>1965</v>
      </c>
      <c r="E454" s="29" t="s">
        <v>1966</v>
      </c>
      <c r="F454" s="29" t="s">
        <v>1967</v>
      </c>
      <c r="G454" s="35"/>
      <c r="H454" s="35" t="s">
        <v>151</v>
      </c>
      <c r="I454" s="29" t="s">
        <v>1964</v>
      </c>
      <c r="J454" s="37"/>
      <c r="K454" s="38"/>
      <c r="L454" s="38"/>
      <c r="M454" s="36" t="s">
        <v>60</v>
      </c>
      <c r="N454" s="15" t="s">
        <v>152</v>
      </c>
      <c r="O454" s="36" t="s">
        <v>162</v>
      </c>
      <c r="P454" s="36" t="str">
        <f t="shared" si="14"/>
        <v>WMTS_1/1000地形圖_花蓮縣新城(北埔地區)都市計畫(109年)</v>
      </c>
      <c r="Q454" s="29" t="s">
        <v>1967</v>
      </c>
      <c r="R454" s="29" t="str">
        <f t="shared" si="15"/>
        <v>2dms_wmts_v1_TOPO01K_U25</v>
      </c>
      <c r="S454" s="39" t="s">
        <v>155</v>
      </c>
      <c r="U454" s="27" t="str">
        <f>_xlfn.XLOOKUP(表格1[[#This Row],[服務類別(英)]],參考2_服務標準對照!$B:$B,參考2_服務標準對照!$C:$C,"")&amp;""</f>
        <v>OGC</v>
      </c>
      <c r="V454" s="29" t="s">
        <v>7</v>
      </c>
      <c r="W454" s="29" t="s">
        <v>163</v>
      </c>
      <c r="X454" s="29" t="s">
        <v>81</v>
      </c>
      <c r="Y454" s="36" t="s">
        <v>83</v>
      </c>
      <c r="Z454" s="36" t="s">
        <v>157</v>
      </c>
      <c r="AA454" s="36" t="s">
        <v>1159</v>
      </c>
      <c r="AB454" s="36"/>
      <c r="AC454" s="36"/>
      <c r="AD454" s="29" t="s">
        <v>119</v>
      </c>
      <c r="AE454" s="36" t="str">
        <f>_xlfn.XLOOKUP(表格1[[#This Row],[唯一識別碼]],API清冊0707!B:B,API清冊0707!T:T,"")&amp;""</f>
        <v>無下拉選單</v>
      </c>
    </row>
    <row r="455" spans="1:31" ht="204.75" customHeight="1" x14ac:dyDescent="0.4">
      <c r="A455" s="29" t="s">
        <v>1968</v>
      </c>
      <c r="B455" s="29"/>
      <c r="C455" s="29"/>
      <c r="D455" s="29" t="s">
        <v>1969</v>
      </c>
      <c r="E455" s="29" t="s">
        <v>1970</v>
      </c>
      <c r="F455" s="29" t="s">
        <v>1971</v>
      </c>
      <c r="G455" s="35"/>
      <c r="H455" s="35" t="s">
        <v>151</v>
      </c>
      <c r="I455" s="29" t="s">
        <v>1968</v>
      </c>
      <c r="J455" s="37"/>
      <c r="K455" s="38"/>
      <c r="L455" s="38"/>
      <c r="M455" s="36" t="s">
        <v>60</v>
      </c>
      <c r="N455" s="15" t="s">
        <v>152</v>
      </c>
      <c r="O455" s="36" t="s">
        <v>162</v>
      </c>
      <c r="P455" s="36" t="str">
        <f t="shared" si="14"/>
        <v>WMTS_1/1000地形圖_花蓮縣花蓮都市計畫(109年)</v>
      </c>
      <c r="Q455" s="29" t="s">
        <v>1971</v>
      </c>
      <c r="R455" s="29" t="str">
        <f t="shared" si="15"/>
        <v>2dms_wmts_v1_TOPO01K_U24</v>
      </c>
      <c r="S455" s="39" t="s">
        <v>155</v>
      </c>
      <c r="U455" s="27" t="str">
        <f>_xlfn.XLOOKUP(表格1[[#This Row],[服務類別(英)]],參考2_服務標準對照!$B:$B,參考2_服務標準對照!$C:$C,"")&amp;""</f>
        <v>OGC</v>
      </c>
      <c r="V455" s="29" t="s">
        <v>7</v>
      </c>
      <c r="W455" s="29" t="s">
        <v>163</v>
      </c>
      <c r="X455" s="29" t="s">
        <v>81</v>
      </c>
      <c r="Y455" s="36" t="s">
        <v>83</v>
      </c>
      <c r="Z455" s="36" t="s">
        <v>157</v>
      </c>
      <c r="AA455" s="36" t="s">
        <v>1159</v>
      </c>
      <c r="AB455" s="36"/>
      <c r="AC455" s="36"/>
      <c r="AD455" s="29" t="s">
        <v>119</v>
      </c>
      <c r="AE455" s="36" t="str">
        <f>_xlfn.XLOOKUP(表格1[[#This Row],[唯一識別碼]],API清冊0707!B:B,API清冊0707!T:T,"")&amp;""</f>
        <v>無下拉選單</v>
      </c>
    </row>
    <row r="456" spans="1:31" ht="204.75" customHeight="1" x14ac:dyDescent="0.4">
      <c r="A456" s="29" t="s">
        <v>1972</v>
      </c>
      <c r="B456" s="29"/>
      <c r="C456" s="29"/>
      <c r="D456" s="29" t="s">
        <v>1973</v>
      </c>
      <c r="E456" s="29" t="s">
        <v>1974</v>
      </c>
      <c r="F456" s="29" t="s">
        <v>1975</v>
      </c>
      <c r="G456" s="35"/>
      <c r="H456" s="35" t="s">
        <v>151</v>
      </c>
      <c r="I456" s="29" t="s">
        <v>1972</v>
      </c>
      <c r="J456" s="37"/>
      <c r="K456" s="38"/>
      <c r="L456" s="38"/>
      <c r="M456" s="36" t="s">
        <v>60</v>
      </c>
      <c r="N456" s="15" t="s">
        <v>152</v>
      </c>
      <c r="O456" s="36" t="s">
        <v>162</v>
      </c>
      <c r="P456" s="36" t="str">
        <f t="shared" si="14"/>
        <v>WMTS_1/1000地形圖_花蓮縣吉安都市計畫(109年)</v>
      </c>
      <c r="Q456" s="29" t="s">
        <v>1975</v>
      </c>
      <c r="R456" s="29" t="str">
        <f t="shared" si="15"/>
        <v>2dms_wmts_v1_TOPO01K_U23</v>
      </c>
      <c r="S456" s="39" t="s">
        <v>155</v>
      </c>
      <c r="U456" s="27" t="str">
        <f>_xlfn.XLOOKUP(表格1[[#This Row],[服務類別(英)]],參考2_服務標準對照!$B:$B,參考2_服務標準對照!$C:$C,"")&amp;""</f>
        <v>OGC</v>
      </c>
      <c r="V456" s="29" t="s">
        <v>7</v>
      </c>
      <c r="W456" s="29" t="s">
        <v>163</v>
      </c>
      <c r="X456" s="29" t="s">
        <v>81</v>
      </c>
      <c r="Y456" s="36" t="s">
        <v>83</v>
      </c>
      <c r="Z456" s="36" t="s">
        <v>157</v>
      </c>
      <c r="AA456" s="36" t="s">
        <v>1159</v>
      </c>
      <c r="AB456" s="36"/>
      <c r="AC456" s="36"/>
      <c r="AD456" s="29" t="s">
        <v>119</v>
      </c>
      <c r="AE456" s="36" t="str">
        <f>_xlfn.XLOOKUP(表格1[[#This Row],[唯一識別碼]],API清冊0707!B:B,API清冊0707!T:T,"")&amp;""</f>
        <v>無下拉選單</v>
      </c>
    </row>
    <row r="457" spans="1:31" ht="204.75" customHeight="1" x14ac:dyDescent="0.4">
      <c r="A457" s="29" t="s">
        <v>1976</v>
      </c>
      <c r="B457" s="29"/>
      <c r="C457" s="29"/>
      <c r="D457" s="29" t="s">
        <v>1977</v>
      </c>
      <c r="E457" s="29" t="s">
        <v>1978</v>
      </c>
      <c r="F457" s="29" t="s">
        <v>1979</v>
      </c>
      <c r="G457" s="35"/>
      <c r="H457" s="35" t="s">
        <v>151</v>
      </c>
      <c r="I457" s="29" t="s">
        <v>1976</v>
      </c>
      <c r="J457" s="37"/>
      <c r="K457" s="38"/>
      <c r="L457" s="38"/>
      <c r="M457" s="36" t="s">
        <v>60</v>
      </c>
      <c r="N457" s="15" t="s">
        <v>152</v>
      </c>
      <c r="O457" s="36" t="s">
        <v>162</v>
      </c>
      <c r="P457" s="36" t="str">
        <f t="shared" si="14"/>
        <v>WMTS_1/1000地形圖_花蓮縣吉安(鄉公所)都市計畫(109年)</v>
      </c>
      <c r="Q457" s="29" t="s">
        <v>1979</v>
      </c>
      <c r="R457" s="29" t="str">
        <f t="shared" si="15"/>
        <v>2dms_wmts_v1_TOPO01K_U22</v>
      </c>
      <c r="S457" s="39" t="s">
        <v>155</v>
      </c>
      <c r="U457" s="27" t="str">
        <f>_xlfn.XLOOKUP(表格1[[#This Row],[服務類別(英)]],參考2_服務標準對照!$B:$B,參考2_服務標準對照!$C:$C,"")&amp;""</f>
        <v>OGC</v>
      </c>
      <c r="V457" s="29" t="s">
        <v>7</v>
      </c>
      <c r="W457" s="29" t="s">
        <v>163</v>
      </c>
      <c r="X457" s="29" t="s">
        <v>81</v>
      </c>
      <c r="Y457" s="36" t="s">
        <v>83</v>
      </c>
      <c r="Z457" s="36" t="s">
        <v>157</v>
      </c>
      <c r="AA457" s="36" t="s">
        <v>1159</v>
      </c>
      <c r="AB457" s="36"/>
      <c r="AC457" s="36"/>
      <c r="AD457" s="29" t="s">
        <v>119</v>
      </c>
      <c r="AE457" s="36" t="str">
        <f>_xlfn.XLOOKUP(表格1[[#This Row],[唯一識別碼]],API清冊0707!B:B,API清冊0707!T:T,"")&amp;""</f>
        <v>無下拉選單</v>
      </c>
    </row>
    <row r="458" spans="1:31" ht="204.75" customHeight="1" x14ac:dyDescent="0.4">
      <c r="A458" s="29" t="s">
        <v>1980</v>
      </c>
      <c r="B458" s="29"/>
      <c r="C458" s="29"/>
      <c r="D458" s="29" t="s">
        <v>1981</v>
      </c>
      <c r="E458" s="29" t="s">
        <v>1982</v>
      </c>
      <c r="F458" s="29" t="s">
        <v>1983</v>
      </c>
      <c r="G458" s="35"/>
      <c r="H458" s="35" t="s">
        <v>151</v>
      </c>
      <c r="I458" s="29" t="s">
        <v>1980</v>
      </c>
      <c r="J458" s="37"/>
      <c r="K458" s="38"/>
      <c r="L458" s="38"/>
      <c r="M458" s="36" t="s">
        <v>60</v>
      </c>
      <c r="N458" s="15" t="s">
        <v>152</v>
      </c>
      <c r="O458" s="36" t="s">
        <v>162</v>
      </c>
      <c r="P458" s="36" t="str">
        <f t="shared" si="14"/>
        <v>WMTS_1/1000地形圖_花蓮縣光復都市計畫(109年)</v>
      </c>
      <c r="Q458" s="29" t="s">
        <v>1983</v>
      </c>
      <c r="R458" s="29" t="str">
        <f t="shared" si="15"/>
        <v>2dms_wmts_v1_TOPO01K_U21</v>
      </c>
      <c r="S458" s="39" t="s">
        <v>155</v>
      </c>
      <c r="U458" s="27" t="str">
        <f>_xlfn.XLOOKUP(表格1[[#This Row],[服務類別(英)]],參考2_服務標準對照!$B:$B,參考2_服務標準對照!$C:$C,"")&amp;""</f>
        <v>OGC</v>
      </c>
      <c r="V458" s="29" t="s">
        <v>7</v>
      </c>
      <c r="W458" s="29" t="s">
        <v>163</v>
      </c>
      <c r="X458" s="29" t="s">
        <v>81</v>
      </c>
      <c r="Y458" s="36" t="s">
        <v>83</v>
      </c>
      <c r="Z458" s="36" t="s">
        <v>157</v>
      </c>
      <c r="AA458" s="36" t="s">
        <v>1159</v>
      </c>
      <c r="AB458" s="36"/>
      <c r="AC458" s="36"/>
      <c r="AD458" s="29" t="s">
        <v>119</v>
      </c>
      <c r="AE458" s="36" t="str">
        <f>_xlfn.XLOOKUP(表格1[[#This Row],[唯一識別碼]],API清冊0707!B:B,API清冊0707!T:T,"")&amp;""</f>
        <v>無下拉選單</v>
      </c>
    </row>
    <row r="459" spans="1:31" ht="204.75" customHeight="1" x14ac:dyDescent="0.4">
      <c r="A459" s="29" t="s">
        <v>1984</v>
      </c>
      <c r="B459" s="29"/>
      <c r="C459" s="29"/>
      <c r="D459" s="29" t="s">
        <v>1985</v>
      </c>
      <c r="E459" s="29" t="s">
        <v>1986</v>
      </c>
      <c r="F459" s="29" t="s">
        <v>1987</v>
      </c>
      <c r="G459" s="35"/>
      <c r="H459" s="35" t="s">
        <v>151</v>
      </c>
      <c r="I459" s="29" t="s">
        <v>1984</v>
      </c>
      <c r="J459" s="37"/>
      <c r="K459" s="38"/>
      <c r="L459" s="38"/>
      <c r="M459" s="36" t="s">
        <v>60</v>
      </c>
      <c r="N459" s="15" t="s">
        <v>152</v>
      </c>
      <c r="O459" s="36" t="s">
        <v>162</v>
      </c>
      <c r="P459" s="36" t="str">
        <f t="shared" si="14"/>
        <v>WMTS_1/1000地形圖_花蓮縣玉里都市計畫(111年)</v>
      </c>
      <c r="Q459" s="29" t="s">
        <v>1987</v>
      </c>
      <c r="R459" s="29" t="str">
        <f t="shared" si="15"/>
        <v>2dms_wmts_v1_TOPO01K_U20</v>
      </c>
      <c r="S459" s="39" t="s">
        <v>155</v>
      </c>
      <c r="U459" s="27" t="str">
        <f>_xlfn.XLOOKUP(表格1[[#This Row],[服務類別(英)]],參考2_服務標準對照!$B:$B,參考2_服務標準對照!$C:$C,"")&amp;""</f>
        <v>OGC</v>
      </c>
      <c r="V459" s="29" t="s">
        <v>7</v>
      </c>
      <c r="W459" s="29" t="s">
        <v>163</v>
      </c>
      <c r="X459" s="29" t="s">
        <v>81</v>
      </c>
      <c r="Y459" s="36" t="s">
        <v>83</v>
      </c>
      <c r="Z459" s="36" t="s">
        <v>157</v>
      </c>
      <c r="AA459" s="36" t="s">
        <v>1159</v>
      </c>
      <c r="AB459" s="36"/>
      <c r="AC459" s="36"/>
      <c r="AD459" s="29" t="s">
        <v>119</v>
      </c>
      <c r="AE459" s="36" t="str">
        <f>_xlfn.XLOOKUP(表格1[[#This Row],[唯一識別碼]],API清冊0707!B:B,API清冊0707!T:T,"")&amp;""</f>
        <v>無下拉選單</v>
      </c>
    </row>
    <row r="460" spans="1:31" ht="204.75" customHeight="1" x14ac:dyDescent="0.4">
      <c r="A460" s="29" t="s">
        <v>1988</v>
      </c>
      <c r="B460" s="29"/>
      <c r="C460" s="29"/>
      <c r="D460" s="29" t="s">
        <v>1989</v>
      </c>
      <c r="E460" s="29" t="s">
        <v>1990</v>
      </c>
      <c r="F460" s="29" t="s">
        <v>1991</v>
      </c>
      <c r="G460" s="35"/>
      <c r="H460" s="35" t="s">
        <v>151</v>
      </c>
      <c r="I460" s="29" t="s">
        <v>1988</v>
      </c>
      <c r="J460" s="37"/>
      <c r="K460" s="38"/>
      <c r="L460" s="38"/>
      <c r="M460" s="36" t="s">
        <v>60</v>
      </c>
      <c r="N460" s="15" t="s">
        <v>152</v>
      </c>
      <c r="O460" s="36" t="s">
        <v>162</v>
      </c>
      <c r="P460" s="36" t="str">
        <f t="shared" si="14"/>
        <v>WMTS_1/1000地形圖_花蓮縣大花蓮都市計畫(111年)</v>
      </c>
      <c r="Q460" s="29" t="s">
        <v>1991</v>
      </c>
      <c r="R460" s="29" t="str">
        <f t="shared" si="15"/>
        <v>2dms_wmts_v1_TOPO01K_U19</v>
      </c>
      <c r="S460" s="39" t="s">
        <v>155</v>
      </c>
      <c r="U460" s="27" t="str">
        <f>_xlfn.XLOOKUP(表格1[[#This Row],[服務類別(英)]],參考2_服務標準對照!$B:$B,參考2_服務標準對照!$C:$C,"")&amp;""</f>
        <v>OGC</v>
      </c>
      <c r="V460" s="29" t="s">
        <v>7</v>
      </c>
      <c r="W460" s="29" t="s">
        <v>163</v>
      </c>
      <c r="X460" s="29" t="s">
        <v>81</v>
      </c>
      <c r="Y460" s="36" t="s">
        <v>83</v>
      </c>
      <c r="Z460" s="36" t="s">
        <v>157</v>
      </c>
      <c r="AA460" s="36" t="s">
        <v>1159</v>
      </c>
      <c r="AB460" s="36"/>
      <c r="AC460" s="36"/>
      <c r="AD460" s="29" t="s">
        <v>119</v>
      </c>
      <c r="AE460" s="36" t="str">
        <f>_xlfn.XLOOKUP(表格1[[#This Row],[唯一識別碼]],API清冊0707!B:B,API清冊0707!T:T,"")&amp;""</f>
        <v>無下拉選單</v>
      </c>
    </row>
    <row r="461" spans="1:31" ht="204.75" customHeight="1" x14ac:dyDescent="0.4">
      <c r="A461" s="29" t="s">
        <v>1992</v>
      </c>
      <c r="B461" s="29"/>
      <c r="C461" s="29"/>
      <c r="D461" s="29" t="s">
        <v>1993</v>
      </c>
      <c r="E461" s="29" t="s">
        <v>1994</v>
      </c>
      <c r="F461" s="29" t="s">
        <v>1995</v>
      </c>
      <c r="G461" s="35"/>
      <c r="H461" s="35" t="s">
        <v>151</v>
      </c>
      <c r="I461" s="29" t="s">
        <v>1992</v>
      </c>
      <c r="J461" s="37"/>
      <c r="K461" s="38"/>
      <c r="L461" s="38"/>
      <c r="M461" s="36" t="s">
        <v>60</v>
      </c>
      <c r="N461" s="15" t="s">
        <v>152</v>
      </c>
      <c r="O461" s="36" t="s">
        <v>162</v>
      </c>
      <c r="P461" s="36" t="str">
        <f t="shared" si="14"/>
        <v>WMTS_1/1000地形圖_花蓮縣花蓮吉安新城都市計畫(109年)</v>
      </c>
      <c r="Q461" s="29" t="s">
        <v>1995</v>
      </c>
      <c r="R461" s="29" t="str">
        <f t="shared" si="15"/>
        <v>2dms_wmts_v1_TOPO01K_U18</v>
      </c>
      <c r="S461" s="39" t="s">
        <v>155</v>
      </c>
      <c r="U461" s="27" t="str">
        <f>_xlfn.XLOOKUP(表格1[[#This Row],[服務類別(英)]],參考2_服務標準對照!$B:$B,參考2_服務標準對照!$C:$C,"")&amp;""</f>
        <v>OGC</v>
      </c>
      <c r="V461" s="29" t="s">
        <v>7</v>
      </c>
      <c r="W461" s="29" t="s">
        <v>163</v>
      </c>
      <c r="X461" s="29" t="s">
        <v>81</v>
      </c>
      <c r="Y461" s="36" t="s">
        <v>83</v>
      </c>
      <c r="Z461" s="36" t="s">
        <v>157</v>
      </c>
      <c r="AA461" s="36" t="s">
        <v>1159</v>
      </c>
      <c r="AB461" s="36"/>
      <c r="AC461" s="36"/>
      <c r="AD461" s="29" t="s">
        <v>119</v>
      </c>
      <c r="AE461" s="36" t="str">
        <f>_xlfn.XLOOKUP(表格1[[#This Row],[唯一識別碼]],API清冊0707!B:B,API清冊0707!T:T,"")&amp;""</f>
        <v>無下拉選單</v>
      </c>
    </row>
    <row r="462" spans="1:31" ht="204.75" customHeight="1" x14ac:dyDescent="0.4">
      <c r="A462" s="29" t="s">
        <v>1996</v>
      </c>
      <c r="B462" s="29"/>
      <c r="C462" s="29"/>
      <c r="D462" s="29" t="s">
        <v>1997</v>
      </c>
      <c r="E462" s="29" t="s">
        <v>1998</v>
      </c>
      <c r="F462" s="29" t="s">
        <v>1999</v>
      </c>
      <c r="G462" s="35"/>
      <c r="H462" s="35" t="s">
        <v>151</v>
      </c>
      <c r="I462" s="29" t="s">
        <v>1996</v>
      </c>
      <c r="J462" s="37"/>
      <c r="K462" s="38"/>
      <c r="L462" s="38"/>
      <c r="M462" s="36" t="s">
        <v>60</v>
      </c>
      <c r="N462" s="15" t="s">
        <v>152</v>
      </c>
      <c r="O462" s="36" t="s">
        <v>162</v>
      </c>
      <c r="P462" s="36" t="str">
        <f t="shared" si="14"/>
        <v>WMTS_1/1000地形圖_花蓮縣鳳林都市計畫(104年)</v>
      </c>
      <c r="Q462" s="29" t="s">
        <v>1999</v>
      </c>
      <c r="R462" s="29" t="str">
        <f t="shared" si="15"/>
        <v>2dms_wmts_v1_TOPO01K_U17</v>
      </c>
      <c r="S462" s="39" t="s">
        <v>155</v>
      </c>
      <c r="U462" s="27" t="str">
        <f>_xlfn.XLOOKUP(表格1[[#This Row],[服務類別(英)]],參考2_服務標準對照!$B:$B,參考2_服務標準對照!$C:$C,"")&amp;""</f>
        <v>OGC</v>
      </c>
      <c r="V462" s="29" t="s">
        <v>7</v>
      </c>
      <c r="W462" s="29" t="s">
        <v>163</v>
      </c>
      <c r="X462" s="29" t="s">
        <v>81</v>
      </c>
      <c r="Y462" s="36" t="s">
        <v>83</v>
      </c>
      <c r="Z462" s="36" t="s">
        <v>157</v>
      </c>
      <c r="AA462" s="36" t="s">
        <v>1159</v>
      </c>
      <c r="AB462" s="36"/>
      <c r="AC462" s="36"/>
      <c r="AD462" s="29" t="s">
        <v>119</v>
      </c>
      <c r="AE462" s="36" t="str">
        <f>_xlfn.XLOOKUP(表格1[[#This Row],[唯一識別碼]],API清冊0707!B:B,API清冊0707!T:T,"")&amp;""</f>
        <v>無下拉選單</v>
      </c>
    </row>
    <row r="463" spans="1:31" ht="204.75" customHeight="1" x14ac:dyDescent="0.4">
      <c r="A463" s="29" t="s">
        <v>2000</v>
      </c>
      <c r="B463" s="29"/>
      <c r="C463" s="29"/>
      <c r="D463" s="29" t="s">
        <v>2001</v>
      </c>
      <c r="E463" s="29" t="s">
        <v>2002</v>
      </c>
      <c r="F463" s="29" t="s">
        <v>2003</v>
      </c>
      <c r="G463" s="35"/>
      <c r="H463" s="35" t="s">
        <v>151</v>
      </c>
      <c r="I463" s="29" t="s">
        <v>2000</v>
      </c>
      <c r="J463" s="37"/>
      <c r="K463" s="38"/>
      <c r="L463" s="38"/>
      <c r="M463" s="36" t="s">
        <v>60</v>
      </c>
      <c r="N463" s="15" t="s">
        <v>152</v>
      </c>
      <c r="O463" s="36" t="s">
        <v>162</v>
      </c>
      <c r="P463" s="36" t="str">
        <f t="shared" si="14"/>
        <v>WMTS_1/1000地形圖_花蓮縣鯉魚潭風景特定區計畫(106年)</v>
      </c>
      <c r="Q463" s="29" t="s">
        <v>2003</v>
      </c>
      <c r="R463" s="29" t="str">
        <f t="shared" si="15"/>
        <v>2dms_wmts_v1_TOPO01K_U16</v>
      </c>
      <c r="S463" s="39" t="s">
        <v>155</v>
      </c>
      <c r="U463" s="27" t="str">
        <f>_xlfn.XLOOKUP(表格1[[#This Row],[服務類別(英)]],參考2_服務標準對照!$B:$B,參考2_服務標準對照!$C:$C,"")&amp;""</f>
        <v>OGC</v>
      </c>
      <c r="V463" s="29" t="s">
        <v>7</v>
      </c>
      <c r="W463" s="29" t="s">
        <v>163</v>
      </c>
      <c r="X463" s="29" t="s">
        <v>81</v>
      </c>
      <c r="Y463" s="36" t="s">
        <v>83</v>
      </c>
      <c r="Z463" s="36" t="s">
        <v>157</v>
      </c>
      <c r="AA463" s="36" t="s">
        <v>1159</v>
      </c>
      <c r="AB463" s="36"/>
      <c r="AC463" s="36"/>
      <c r="AD463" s="29" t="s">
        <v>119</v>
      </c>
      <c r="AE463" s="36" t="str">
        <f>_xlfn.XLOOKUP(表格1[[#This Row],[唯一識別碼]],API清冊0707!B:B,API清冊0707!T:T,"")&amp;""</f>
        <v>無下拉選單</v>
      </c>
    </row>
    <row r="464" spans="1:31" ht="204.75" customHeight="1" x14ac:dyDescent="0.4">
      <c r="A464" s="29" t="s">
        <v>2004</v>
      </c>
      <c r="B464" s="29"/>
      <c r="C464" s="29"/>
      <c r="D464" s="29" t="s">
        <v>2005</v>
      </c>
      <c r="E464" s="29" t="s">
        <v>2006</v>
      </c>
      <c r="F464" s="29" t="s">
        <v>2007</v>
      </c>
      <c r="G464" s="35"/>
      <c r="H464" s="35" t="s">
        <v>151</v>
      </c>
      <c r="I464" s="29" t="s">
        <v>2004</v>
      </c>
      <c r="J464" s="37"/>
      <c r="K464" s="38"/>
      <c r="L464" s="38"/>
      <c r="M464" s="36" t="s">
        <v>60</v>
      </c>
      <c r="N464" s="15" t="s">
        <v>152</v>
      </c>
      <c r="O464" s="36" t="s">
        <v>162</v>
      </c>
      <c r="P464" s="36" t="str">
        <f t="shared" si="14"/>
        <v>WMTS_1/1000地形圖_花蓮縣花蓮都市計畫(104年)</v>
      </c>
      <c r="Q464" s="29" t="s">
        <v>2007</v>
      </c>
      <c r="R464" s="29" t="str">
        <f t="shared" si="15"/>
        <v>2dms_wmts_v1_TOPO01K_U15</v>
      </c>
      <c r="S464" s="39" t="s">
        <v>155</v>
      </c>
      <c r="U464" s="27" t="str">
        <f>_xlfn.XLOOKUP(表格1[[#This Row],[服務類別(英)]],參考2_服務標準對照!$B:$B,參考2_服務標準對照!$C:$C,"")&amp;""</f>
        <v>OGC</v>
      </c>
      <c r="V464" s="29" t="s">
        <v>7</v>
      </c>
      <c r="W464" s="29" t="s">
        <v>163</v>
      </c>
      <c r="X464" s="29" t="s">
        <v>81</v>
      </c>
      <c r="Y464" s="36" t="s">
        <v>83</v>
      </c>
      <c r="Z464" s="36" t="s">
        <v>157</v>
      </c>
      <c r="AA464" s="36" t="s">
        <v>1159</v>
      </c>
      <c r="AB464" s="36"/>
      <c r="AC464" s="36"/>
      <c r="AD464" s="29" t="s">
        <v>119</v>
      </c>
      <c r="AE464" s="36" t="str">
        <f>_xlfn.XLOOKUP(表格1[[#This Row],[唯一識別碼]],API清冊0707!B:B,API清冊0707!T:T,"")&amp;""</f>
        <v>無下拉選單</v>
      </c>
    </row>
    <row r="465" spans="1:31" ht="204.75" customHeight="1" x14ac:dyDescent="0.4">
      <c r="A465" s="29" t="s">
        <v>2008</v>
      </c>
      <c r="B465" s="29"/>
      <c r="C465" s="29"/>
      <c r="D465" s="29" t="s">
        <v>2009</v>
      </c>
      <c r="E465" s="29" t="s">
        <v>2010</v>
      </c>
      <c r="F465" s="29" t="s">
        <v>2011</v>
      </c>
      <c r="G465" s="35"/>
      <c r="H465" s="35" t="s">
        <v>151</v>
      </c>
      <c r="I465" s="29" t="s">
        <v>2008</v>
      </c>
      <c r="J465" s="37"/>
      <c r="K465" s="38"/>
      <c r="L465" s="38"/>
      <c r="M465" s="36" t="s">
        <v>60</v>
      </c>
      <c r="N465" s="15" t="s">
        <v>152</v>
      </c>
      <c r="O465" s="36" t="s">
        <v>162</v>
      </c>
      <c r="P465" s="36" t="str">
        <f t="shared" si="14"/>
        <v>WMTS_1/1000地形圖_花蓮縣秀林(崇德地區)都市計畫(107年)</v>
      </c>
      <c r="Q465" s="29" t="s">
        <v>2011</v>
      </c>
      <c r="R465" s="29" t="str">
        <f t="shared" si="15"/>
        <v>2dms_wmts_v1_TOPO01K_U14</v>
      </c>
      <c r="S465" s="39" t="s">
        <v>155</v>
      </c>
      <c r="U465" s="27" t="str">
        <f>_xlfn.XLOOKUP(表格1[[#This Row],[服務類別(英)]],參考2_服務標準對照!$B:$B,參考2_服務標準對照!$C:$C,"")&amp;""</f>
        <v>OGC</v>
      </c>
      <c r="V465" s="29" t="s">
        <v>7</v>
      </c>
      <c r="W465" s="29" t="s">
        <v>163</v>
      </c>
      <c r="X465" s="29" t="s">
        <v>81</v>
      </c>
      <c r="Y465" s="36" t="s">
        <v>83</v>
      </c>
      <c r="Z465" s="36" t="s">
        <v>157</v>
      </c>
      <c r="AA465" s="36" t="s">
        <v>1159</v>
      </c>
      <c r="AB465" s="36"/>
      <c r="AC465" s="36"/>
      <c r="AD465" s="29" t="s">
        <v>119</v>
      </c>
      <c r="AE465" s="36" t="str">
        <f>_xlfn.XLOOKUP(表格1[[#This Row],[唯一識別碼]],API清冊0707!B:B,API清冊0707!T:T,"")&amp;""</f>
        <v>無下拉選單</v>
      </c>
    </row>
    <row r="466" spans="1:31" ht="204.75" customHeight="1" x14ac:dyDescent="0.4">
      <c r="A466" s="29" t="s">
        <v>2012</v>
      </c>
      <c r="B466" s="29"/>
      <c r="C466" s="29"/>
      <c r="D466" s="29" t="s">
        <v>2013</v>
      </c>
      <c r="E466" s="29" t="s">
        <v>2014</v>
      </c>
      <c r="F466" s="29" t="s">
        <v>2015</v>
      </c>
      <c r="G466" s="35"/>
      <c r="H466" s="35" t="s">
        <v>151</v>
      </c>
      <c r="I466" s="29" t="s">
        <v>2012</v>
      </c>
      <c r="J466" s="37"/>
      <c r="K466" s="38"/>
      <c r="L466" s="38"/>
      <c r="M466" s="36" t="s">
        <v>60</v>
      </c>
      <c r="N466" s="15" t="s">
        <v>152</v>
      </c>
      <c r="O466" s="36" t="s">
        <v>162</v>
      </c>
      <c r="P466" s="36" t="str">
        <f t="shared" si="14"/>
        <v>WMTS_1/1000地形圖_花蓮縣秀林(和平地區)都市計畫</v>
      </c>
      <c r="Q466" s="29" t="s">
        <v>2015</v>
      </c>
      <c r="R466" s="29" t="str">
        <f t="shared" si="15"/>
        <v>2dms_wmts_v1_TOPO01K_U13</v>
      </c>
      <c r="S466" s="39" t="s">
        <v>155</v>
      </c>
      <c r="U466" s="27" t="str">
        <f>_xlfn.XLOOKUP(表格1[[#This Row],[服務類別(英)]],參考2_服務標準對照!$B:$B,參考2_服務標準對照!$C:$C,"")&amp;""</f>
        <v>OGC</v>
      </c>
      <c r="V466" s="29" t="s">
        <v>7</v>
      </c>
      <c r="W466" s="29" t="s">
        <v>163</v>
      </c>
      <c r="X466" s="29" t="s">
        <v>81</v>
      </c>
      <c r="Y466" s="36" t="s">
        <v>83</v>
      </c>
      <c r="Z466" s="36" t="s">
        <v>157</v>
      </c>
      <c r="AA466" s="36" t="s">
        <v>1159</v>
      </c>
      <c r="AB466" s="36"/>
      <c r="AC466" s="36"/>
      <c r="AD466" s="29" t="s">
        <v>119</v>
      </c>
      <c r="AE466" s="36" t="str">
        <f>_xlfn.XLOOKUP(表格1[[#This Row],[唯一識別碼]],API清冊0707!B:B,API清冊0707!T:T,"")&amp;""</f>
        <v>無下拉選單</v>
      </c>
    </row>
    <row r="467" spans="1:31" ht="204.75" customHeight="1" x14ac:dyDescent="0.4">
      <c r="A467" s="29" t="s">
        <v>2016</v>
      </c>
      <c r="B467" s="29"/>
      <c r="C467" s="29"/>
      <c r="D467" s="29" t="s">
        <v>2017</v>
      </c>
      <c r="E467" s="29" t="s">
        <v>2018</v>
      </c>
      <c r="F467" s="29" t="s">
        <v>2019</v>
      </c>
      <c r="G467" s="35"/>
      <c r="H467" s="35" t="s">
        <v>151</v>
      </c>
      <c r="I467" s="29" t="s">
        <v>2016</v>
      </c>
      <c r="J467" s="37"/>
      <c r="K467" s="38"/>
      <c r="L467" s="38"/>
      <c r="M467" s="36" t="s">
        <v>60</v>
      </c>
      <c r="N467" s="15" t="s">
        <v>152</v>
      </c>
      <c r="O467" s="36" t="s">
        <v>162</v>
      </c>
      <c r="P467" s="36" t="str">
        <f t="shared" si="14"/>
        <v>WMTS_1/1000地形圖_花蓮縣磯崎風景特定區計畫(107年)</v>
      </c>
      <c r="Q467" s="29" t="s">
        <v>2019</v>
      </c>
      <c r="R467" s="29" t="str">
        <f t="shared" si="15"/>
        <v>2dms_wmts_v1_TOPO01K_U12</v>
      </c>
      <c r="S467" s="39" t="s">
        <v>155</v>
      </c>
      <c r="U467" s="27" t="str">
        <f>_xlfn.XLOOKUP(表格1[[#This Row],[服務類別(英)]],參考2_服務標準對照!$B:$B,參考2_服務標準對照!$C:$C,"")&amp;""</f>
        <v>OGC</v>
      </c>
      <c r="V467" s="29" t="s">
        <v>7</v>
      </c>
      <c r="W467" s="29" t="s">
        <v>163</v>
      </c>
      <c r="X467" s="29" t="s">
        <v>81</v>
      </c>
      <c r="Y467" s="36" t="s">
        <v>83</v>
      </c>
      <c r="Z467" s="36" t="s">
        <v>157</v>
      </c>
      <c r="AA467" s="36" t="s">
        <v>1159</v>
      </c>
      <c r="AB467" s="36"/>
      <c r="AC467" s="36"/>
      <c r="AD467" s="29" t="s">
        <v>119</v>
      </c>
      <c r="AE467" s="36" t="str">
        <f>_xlfn.XLOOKUP(表格1[[#This Row],[唯一識別碼]],API清冊0707!B:B,API清冊0707!T:T,"")&amp;""</f>
        <v>無下拉選單</v>
      </c>
    </row>
    <row r="468" spans="1:31" ht="204.75" customHeight="1" x14ac:dyDescent="0.4">
      <c r="A468" s="29" t="s">
        <v>2020</v>
      </c>
      <c r="B468" s="29"/>
      <c r="C468" s="29"/>
      <c r="D468" s="29" t="s">
        <v>2021</v>
      </c>
      <c r="E468" s="29" t="s">
        <v>2022</v>
      </c>
      <c r="F468" s="29" t="s">
        <v>2023</v>
      </c>
      <c r="G468" s="35"/>
      <c r="H468" s="35" t="s">
        <v>151</v>
      </c>
      <c r="I468" s="29" t="s">
        <v>2020</v>
      </c>
      <c r="J468" s="37"/>
      <c r="K468" s="38"/>
      <c r="L468" s="38"/>
      <c r="M468" s="36" t="s">
        <v>60</v>
      </c>
      <c r="N468" s="15" t="s">
        <v>152</v>
      </c>
      <c r="O468" s="36" t="s">
        <v>162</v>
      </c>
      <c r="P468" s="36" t="str">
        <f t="shared" si="14"/>
        <v>WMTS_1/1000地形圖_花蓮縣石梯秀姑巒風景特定區計畫(107年)</v>
      </c>
      <c r="Q468" s="29" t="s">
        <v>2023</v>
      </c>
      <c r="R468" s="29" t="str">
        <f t="shared" si="15"/>
        <v>2dms_wmts_v1_TOPO01K_U11</v>
      </c>
      <c r="S468" s="39" t="s">
        <v>155</v>
      </c>
      <c r="U468" s="27" t="str">
        <f>_xlfn.XLOOKUP(表格1[[#This Row],[服務類別(英)]],參考2_服務標準對照!$B:$B,參考2_服務標準對照!$C:$C,"")&amp;""</f>
        <v>OGC</v>
      </c>
      <c r="V468" s="29" t="s">
        <v>7</v>
      </c>
      <c r="W468" s="29" t="s">
        <v>163</v>
      </c>
      <c r="X468" s="29" t="s">
        <v>81</v>
      </c>
      <c r="Y468" s="36" t="s">
        <v>83</v>
      </c>
      <c r="Z468" s="36" t="s">
        <v>157</v>
      </c>
      <c r="AA468" s="36" t="s">
        <v>1159</v>
      </c>
      <c r="AB468" s="36"/>
      <c r="AC468" s="36"/>
      <c r="AD468" s="29" t="s">
        <v>119</v>
      </c>
      <c r="AE468" s="36" t="str">
        <f>_xlfn.XLOOKUP(表格1[[#This Row],[唯一識別碼]],API清冊0707!B:B,API清冊0707!T:T,"")&amp;""</f>
        <v>無下拉選單</v>
      </c>
    </row>
    <row r="469" spans="1:31" ht="204.75" customHeight="1" x14ac:dyDescent="0.4">
      <c r="A469" s="29" t="s">
        <v>2024</v>
      </c>
      <c r="B469" s="29"/>
      <c r="C469" s="29"/>
      <c r="D469" s="29" t="s">
        <v>2025</v>
      </c>
      <c r="E469" s="29" t="s">
        <v>2026</v>
      </c>
      <c r="F469" s="29" t="s">
        <v>2027</v>
      </c>
      <c r="G469" s="35"/>
      <c r="H469" s="35" t="s">
        <v>151</v>
      </c>
      <c r="I469" s="29" t="s">
        <v>2024</v>
      </c>
      <c r="J469" s="37"/>
      <c r="K469" s="38"/>
      <c r="L469" s="38"/>
      <c r="M469" s="36" t="s">
        <v>60</v>
      </c>
      <c r="N469" s="15" t="s">
        <v>152</v>
      </c>
      <c r="O469" s="36" t="s">
        <v>162</v>
      </c>
      <c r="P469" s="36" t="str">
        <f t="shared" si="14"/>
        <v>WMTS_1/1000地形圖_花蓮縣瑞穗都市計畫(106年)</v>
      </c>
      <c r="Q469" s="29" t="s">
        <v>2027</v>
      </c>
      <c r="R469" s="29" t="str">
        <f t="shared" si="15"/>
        <v>2dms_wmts_v1_TOPO01K_U10</v>
      </c>
      <c r="S469" s="39" t="s">
        <v>155</v>
      </c>
      <c r="U469" s="27" t="str">
        <f>_xlfn.XLOOKUP(表格1[[#This Row],[服務類別(英)]],參考2_服務標準對照!$B:$B,參考2_服務標準對照!$C:$C,"")&amp;""</f>
        <v>OGC</v>
      </c>
      <c r="V469" s="29" t="s">
        <v>7</v>
      </c>
      <c r="W469" s="29" t="s">
        <v>163</v>
      </c>
      <c r="X469" s="29" t="s">
        <v>81</v>
      </c>
      <c r="Y469" s="36" t="s">
        <v>83</v>
      </c>
      <c r="Z469" s="36" t="s">
        <v>157</v>
      </c>
      <c r="AA469" s="36" t="s">
        <v>1159</v>
      </c>
      <c r="AB469" s="36"/>
      <c r="AC469" s="36"/>
      <c r="AD469" s="29" t="s">
        <v>119</v>
      </c>
      <c r="AE469" s="36" t="str">
        <f>_xlfn.XLOOKUP(表格1[[#This Row],[唯一識別碼]],API清冊0707!B:B,API清冊0707!T:T,"")&amp;""</f>
        <v>無下拉選單</v>
      </c>
    </row>
    <row r="470" spans="1:31" ht="204.75" customHeight="1" x14ac:dyDescent="0.4">
      <c r="A470" s="29" t="s">
        <v>2028</v>
      </c>
      <c r="B470" s="29"/>
      <c r="C470" s="29"/>
      <c r="D470" s="29" t="s">
        <v>2029</v>
      </c>
      <c r="E470" s="29" t="s">
        <v>2030</v>
      </c>
      <c r="F470" s="29" t="s">
        <v>2031</v>
      </c>
      <c r="G470" s="35"/>
      <c r="H470" s="35" t="s">
        <v>151</v>
      </c>
      <c r="I470" s="29" t="s">
        <v>2028</v>
      </c>
      <c r="J470" s="37"/>
      <c r="K470" s="38"/>
      <c r="L470" s="38"/>
      <c r="M470" s="36" t="s">
        <v>60</v>
      </c>
      <c r="N470" s="15" t="s">
        <v>152</v>
      </c>
      <c r="O470" s="36" t="s">
        <v>162</v>
      </c>
      <c r="P470" s="36" t="str">
        <f t="shared" si="14"/>
        <v>WMTS_1/1000地形圖_花蓮縣玉里都市計畫(106年)</v>
      </c>
      <c r="Q470" s="29" t="s">
        <v>2031</v>
      </c>
      <c r="R470" s="29" t="str">
        <f t="shared" si="15"/>
        <v>2dms_wmts_v1_TOPO01K_U09</v>
      </c>
      <c r="S470" s="39" t="s">
        <v>155</v>
      </c>
      <c r="U470" s="27" t="str">
        <f>_xlfn.XLOOKUP(表格1[[#This Row],[服務類別(英)]],參考2_服務標準對照!$B:$B,參考2_服務標準對照!$C:$C,"")&amp;""</f>
        <v>OGC</v>
      </c>
      <c r="V470" s="29" t="s">
        <v>7</v>
      </c>
      <c r="W470" s="29" t="s">
        <v>163</v>
      </c>
      <c r="X470" s="29" t="s">
        <v>81</v>
      </c>
      <c r="Y470" s="36" t="s">
        <v>83</v>
      </c>
      <c r="Z470" s="36" t="s">
        <v>157</v>
      </c>
      <c r="AA470" s="36" t="s">
        <v>1159</v>
      </c>
      <c r="AB470" s="36"/>
      <c r="AC470" s="36"/>
      <c r="AD470" s="29" t="s">
        <v>119</v>
      </c>
      <c r="AE470" s="36" t="str">
        <f>_xlfn.XLOOKUP(表格1[[#This Row],[唯一識別碼]],API清冊0707!B:B,API清冊0707!T:T,"")&amp;""</f>
        <v>無下拉選單</v>
      </c>
    </row>
    <row r="471" spans="1:31" ht="204.75" customHeight="1" x14ac:dyDescent="0.4">
      <c r="A471" s="29" t="s">
        <v>2032</v>
      </c>
      <c r="B471" s="29"/>
      <c r="C471" s="29"/>
      <c r="D471" s="29" t="s">
        <v>2033</v>
      </c>
      <c r="E471" s="29" t="s">
        <v>2034</v>
      </c>
      <c r="F471" s="29" t="s">
        <v>2035</v>
      </c>
      <c r="G471" s="35"/>
      <c r="H471" s="35" t="s">
        <v>151</v>
      </c>
      <c r="I471" s="29" t="s">
        <v>2032</v>
      </c>
      <c r="J471" s="37"/>
      <c r="K471" s="38"/>
      <c r="L471" s="38"/>
      <c r="M471" s="36" t="s">
        <v>60</v>
      </c>
      <c r="N471" s="15" t="s">
        <v>152</v>
      </c>
      <c r="O471" s="36" t="s">
        <v>162</v>
      </c>
      <c r="P471" s="36" t="str">
        <f t="shared" si="14"/>
        <v>WMTS_1/1000地形圖_花蓮縣東華大學城特定區計畫(105年)</v>
      </c>
      <c r="Q471" s="29" t="s">
        <v>2035</v>
      </c>
      <c r="R471" s="29" t="str">
        <f t="shared" si="15"/>
        <v>2dms_wmts_v1_TOPO01K_U08</v>
      </c>
      <c r="S471" s="39" t="s">
        <v>155</v>
      </c>
      <c r="U471" s="27" t="str">
        <f>_xlfn.XLOOKUP(表格1[[#This Row],[服務類別(英)]],參考2_服務標準對照!$B:$B,參考2_服務標準對照!$C:$C,"")&amp;""</f>
        <v>OGC</v>
      </c>
      <c r="V471" s="29" t="s">
        <v>7</v>
      </c>
      <c r="W471" s="29" t="s">
        <v>163</v>
      </c>
      <c r="X471" s="29" t="s">
        <v>81</v>
      </c>
      <c r="Y471" s="36" t="s">
        <v>83</v>
      </c>
      <c r="Z471" s="36" t="s">
        <v>157</v>
      </c>
      <c r="AA471" s="36" t="s">
        <v>1159</v>
      </c>
      <c r="AB471" s="36"/>
      <c r="AC471" s="36"/>
      <c r="AD471" s="29" t="s">
        <v>119</v>
      </c>
      <c r="AE471" s="36" t="str">
        <f>_xlfn.XLOOKUP(表格1[[#This Row],[唯一識別碼]],API清冊0707!B:B,API清冊0707!T:T,"")&amp;""</f>
        <v>無下拉選單</v>
      </c>
    </row>
    <row r="472" spans="1:31" ht="204.75" customHeight="1" x14ac:dyDescent="0.4">
      <c r="A472" s="29" t="s">
        <v>2036</v>
      </c>
      <c r="B472" s="29"/>
      <c r="C472" s="29"/>
      <c r="D472" s="29" t="s">
        <v>2037</v>
      </c>
      <c r="E472" s="29" t="s">
        <v>2038</v>
      </c>
      <c r="F472" s="29" t="s">
        <v>2039</v>
      </c>
      <c r="G472" s="35"/>
      <c r="H472" s="35" t="s">
        <v>151</v>
      </c>
      <c r="I472" s="29" t="s">
        <v>2036</v>
      </c>
      <c r="J472" s="37"/>
      <c r="K472" s="38"/>
      <c r="L472" s="38"/>
      <c r="M472" s="36" t="s">
        <v>60</v>
      </c>
      <c r="N472" s="15" t="s">
        <v>152</v>
      </c>
      <c r="O472" s="36" t="s">
        <v>162</v>
      </c>
      <c r="P472" s="36" t="str">
        <f t="shared" si="14"/>
        <v>WMTS_1/1000地形圖_花蓮縣新城秀林都市計畫(107年)</v>
      </c>
      <c r="Q472" s="29" t="s">
        <v>2039</v>
      </c>
      <c r="R472" s="29" t="str">
        <f t="shared" si="15"/>
        <v>2dms_wmts_v1_TOPO01K_U07</v>
      </c>
      <c r="S472" s="39" t="s">
        <v>155</v>
      </c>
      <c r="U472" s="27" t="str">
        <f>_xlfn.XLOOKUP(表格1[[#This Row],[服務類別(英)]],參考2_服務標準對照!$B:$B,參考2_服務標準對照!$C:$C,"")&amp;""</f>
        <v>OGC</v>
      </c>
      <c r="V472" s="29" t="s">
        <v>7</v>
      </c>
      <c r="W472" s="29" t="s">
        <v>163</v>
      </c>
      <c r="X472" s="29" t="s">
        <v>81</v>
      </c>
      <c r="Y472" s="36" t="s">
        <v>83</v>
      </c>
      <c r="Z472" s="36" t="s">
        <v>157</v>
      </c>
      <c r="AA472" s="36" t="s">
        <v>1159</v>
      </c>
      <c r="AB472" s="36"/>
      <c r="AC472" s="36"/>
      <c r="AD472" s="29" t="s">
        <v>119</v>
      </c>
      <c r="AE472" s="36" t="str">
        <f>_xlfn.XLOOKUP(表格1[[#This Row],[唯一識別碼]],API清冊0707!B:B,API清冊0707!T:T,"")&amp;""</f>
        <v>無下拉選單</v>
      </c>
    </row>
    <row r="473" spans="1:31" ht="204.75" customHeight="1" x14ac:dyDescent="0.4">
      <c r="A473" s="29" t="s">
        <v>2040</v>
      </c>
      <c r="B473" s="29"/>
      <c r="C473" s="29"/>
      <c r="D473" s="29" t="s">
        <v>2041</v>
      </c>
      <c r="E473" s="29" t="s">
        <v>2042</v>
      </c>
      <c r="F473" s="29" t="s">
        <v>2043</v>
      </c>
      <c r="G473" s="35"/>
      <c r="H473" s="35" t="s">
        <v>151</v>
      </c>
      <c r="I473" s="29" t="s">
        <v>2040</v>
      </c>
      <c r="J473" s="37"/>
      <c r="K473" s="38"/>
      <c r="L473" s="38"/>
      <c r="M473" s="36" t="s">
        <v>60</v>
      </c>
      <c r="N473" s="15" t="s">
        <v>152</v>
      </c>
      <c r="O473" s="36" t="s">
        <v>162</v>
      </c>
      <c r="P473" s="36" t="str">
        <f t="shared" si="14"/>
        <v>WMTS_1/1000地形圖_花蓮縣新城(北埔地區)都市計畫(104年)</v>
      </c>
      <c r="Q473" s="29" t="s">
        <v>2043</v>
      </c>
      <c r="R473" s="29" t="str">
        <f t="shared" si="15"/>
        <v>2dms_wmts_v1_TOPO01K_U06</v>
      </c>
      <c r="S473" s="39" t="s">
        <v>155</v>
      </c>
      <c r="U473" s="27" t="str">
        <f>_xlfn.XLOOKUP(表格1[[#This Row],[服務類別(英)]],參考2_服務標準對照!$B:$B,參考2_服務標準對照!$C:$C,"")&amp;""</f>
        <v>OGC</v>
      </c>
      <c r="V473" s="29" t="s">
        <v>7</v>
      </c>
      <c r="W473" s="29" t="s">
        <v>163</v>
      </c>
      <c r="X473" s="29" t="s">
        <v>81</v>
      </c>
      <c r="Y473" s="36" t="s">
        <v>83</v>
      </c>
      <c r="Z473" s="36" t="s">
        <v>157</v>
      </c>
      <c r="AA473" s="36" t="s">
        <v>1159</v>
      </c>
      <c r="AB473" s="36"/>
      <c r="AC473" s="36"/>
      <c r="AD473" s="29" t="s">
        <v>119</v>
      </c>
      <c r="AE473" s="36" t="str">
        <f>_xlfn.XLOOKUP(表格1[[#This Row],[唯一識別碼]],API清冊0707!B:B,API清冊0707!T:T,"")&amp;""</f>
        <v>無下拉選單</v>
      </c>
    </row>
    <row r="474" spans="1:31" ht="204.75" customHeight="1" x14ac:dyDescent="0.4">
      <c r="A474" s="29" t="s">
        <v>2044</v>
      </c>
      <c r="B474" s="29"/>
      <c r="C474" s="29"/>
      <c r="D474" s="29" t="s">
        <v>2045</v>
      </c>
      <c r="E474" s="29" t="s">
        <v>2046</v>
      </c>
      <c r="F474" s="29" t="s">
        <v>2047</v>
      </c>
      <c r="G474" s="35"/>
      <c r="H474" s="35" t="s">
        <v>151</v>
      </c>
      <c r="I474" s="29" t="s">
        <v>2044</v>
      </c>
      <c r="J474" s="37"/>
      <c r="K474" s="38"/>
      <c r="L474" s="38"/>
      <c r="M474" s="36" t="s">
        <v>60</v>
      </c>
      <c r="N474" s="15" t="s">
        <v>152</v>
      </c>
      <c r="O474" s="36" t="s">
        <v>162</v>
      </c>
      <c r="P474" s="36" t="str">
        <f t="shared" si="14"/>
        <v>WMTS_1/1000地形圖_花蓮縣富里都市計畫(106年)</v>
      </c>
      <c r="Q474" s="29" t="s">
        <v>2047</v>
      </c>
      <c r="R474" s="29" t="str">
        <f t="shared" si="15"/>
        <v>2dms_wmts_v1_TOPO01K_U05</v>
      </c>
      <c r="S474" s="39" t="s">
        <v>155</v>
      </c>
      <c r="U474" s="27" t="str">
        <f>_xlfn.XLOOKUP(表格1[[#This Row],[服務類別(英)]],參考2_服務標準對照!$B:$B,參考2_服務標準對照!$C:$C,"")&amp;""</f>
        <v>OGC</v>
      </c>
      <c r="V474" s="29" t="s">
        <v>7</v>
      </c>
      <c r="W474" s="29" t="s">
        <v>163</v>
      </c>
      <c r="X474" s="29" t="s">
        <v>81</v>
      </c>
      <c r="Y474" s="36" t="s">
        <v>83</v>
      </c>
      <c r="Z474" s="36" t="s">
        <v>157</v>
      </c>
      <c r="AA474" s="36" t="s">
        <v>1159</v>
      </c>
      <c r="AB474" s="36"/>
      <c r="AC474" s="36"/>
      <c r="AD474" s="29" t="s">
        <v>119</v>
      </c>
      <c r="AE474" s="36" t="str">
        <f>_xlfn.XLOOKUP(表格1[[#This Row],[唯一識別碼]],API清冊0707!B:B,API清冊0707!T:T,"")&amp;""</f>
        <v>無下拉選單</v>
      </c>
    </row>
    <row r="475" spans="1:31" ht="204.75" customHeight="1" x14ac:dyDescent="0.4">
      <c r="A475" s="29" t="s">
        <v>2048</v>
      </c>
      <c r="B475" s="29"/>
      <c r="C475" s="29"/>
      <c r="D475" s="29" t="s">
        <v>2049</v>
      </c>
      <c r="E475" s="29" t="s">
        <v>2050</v>
      </c>
      <c r="F475" s="29" t="s">
        <v>2051</v>
      </c>
      <c r="G475" s="35"/>
      <c r="H475" s="35" t="s">
        <v>151</v>
      </c>
      <c r="I475" s="29" t="s">
        <v>2048</v>
      </c>
      <c r="J475" s="37"/>
      <c r="K475" s="38"/>
      <c r="L475" s="38"/>
      <c r="M475" s="36" t="s">
        <v>60</v>
      </c>
      <c r="N475" s="15" t="s">
        <v>152</v>
      </c>
      <c r="O475" s="36" t="s">
        <v>162</v>
      </c>
      <c r="P475" s="36" t="str">
        <f t="shared" si="14"/>
        <v>WMTS_1/1000地形圖_花蓮縣壽豐都市計畫(106年)</v>
      </c>
      <c r="Q475" s="29" t="s">
        <v>2051</v>
      </c>
      <c r="R475" s="29" t="str">
        <f t="shared" si="15"/>
        <v>2dms_wmts_v1_TOPO01K_U04</v>
      </c>
      <c r="S475" s="39" t="s">
        <v>155</v>
      </c>
      <c r="U475" s="27" t="str">
        <f>_xlfn.XLOOKUP(表格1[[#This Row],[服務類別(英)]],參考2_服務標準對照!$B:$B,參考2_服務標準對照!$C:$C,"")&amp;""</f>
        <v>OGC</v>
      </c>
      <c r="V475" s="29" t="s">
        <v>7</v>
      </c>
      <c r="W475" s="29" t="s">
        <v>163</v>
      </c>
      <c r="X475" s="29" t="s">
        <v>81</v>
      </c>
      <c r="Y475" s="36" t="s">
        <v>83</v>
      </c>
      <c r="Z475" s="36" t="s">
        <v>157</v>
      </c>
      <c r="AA475" s="36" t="s">
        <v>1159</v>
      </c>
      <c r="AB475" s="36"/>
      <c r="AC475" s="36"/>
      <c r="AD475" s="29" t="s">
        <v>119</v>
      </c>
      <c r="AE475" s="36" t="str">
        <f>_xlfn.XLOOKUP(表格1[[#This Row],[唯一識別碼]],API清冊0707!B:B,API清冊0707!T:T,"")&amp;""</f>
        <v>無下拉選單</v>
      </c>
    </row>
    <row r="476" spans="1:31" ht="204.75" customHeight="1" x14ac:dyDescent="0.4">
      <c r="A476" s="29" t="s">
        <v>2052</v>
      </c>
      <c r="B476" s="29"/>
      <c r="C476" s="29"/>
      <c r="D476" s="29" t="s">
        <v>2053</v>
      </c>
      <c r="E476" s="29" t="s">
        <v>2054</v>
      </c>
      <c r="F476" s="29" t="s">
        <v>2055</v>
      </c>
      <c r="G476" s="35"/>
      <c r="H476" s="35" t="s">
        <v>151</v>
      </c>
      <c r="I476" s="29" t="s">
        <v>2052</v>
      </c>
      <c r="J476" s="37"/>
      <c r="K476" s="38"/>
      <c r="L476" s="38"/>
      <c r="M476" s="36" t="s">
        <v>60</v>
      </c>
      <c r="N476" s="15" t="s">
        <v>152</v>
      </c>
      <c r="O476" s="36" t="s">
        <v>162</v>
      </c>
      <c r="P476" s="36" t="str">
        <f t="shared" si="14"/>
        <v>WMTS_1/1000地形圖_花蓮縣吉安都市計畫(104年)</v>
      </c>
      <c r="Q476" s="29" t="s">
        <v>2055</v>
      </c>
      <c r="R476" s="29" t="str">
        <f t="shared" si="15"/>
        <v>2dms_wmts_v1_TOPO01K_U03</v>
      </c>
      <c r="S476" s="39" t="s">
        <v>155</v>
      </c>
      <c r="U476" s="27" t="str">
        <f>_xlfn.XLOOKUP(表格1[[#This Row],[服務類別(英)]],參考2_服務標準對照!$B:$B,參考2_服務標準對照!$C:$C,"")&amp;""</f>
        <v>OGC</v>
      </c>
      <c r="V476" s="29" t="s">
        <v>7</v>
      </c>
      <c r="W476" s="29" t="s">
        <v>163</v>
      </c>
      <c r="X476" s="29" t="s">
        <v>81</v>
      </c>
      <c r="Y476" s="36" t="s">
        <v>83</v>
      </c>
      <c r="Z476" s="36" t="s">
        <v>157</v>
      </c>
      <c r="AA476" s="36" t="s">
        <v>1159</v>
      </c>
      <c r="AB476" s="36"/>
      <c r="AC476" s="36"/>
      <c r="AD476" s="29" t="s">
        <v>119</v>
      </c>
      <c r="AE476" s="36" t="str">
        <f>_xlfn.XLOOKUP(表格1[[#This Row],[唯一識別碼]],API清冊0707!B:B,API清冊0707!T:T,"")&amp;""</f>
        <v>無下拉選單</v>
      </c>
    </row>
    <row r="477" spans="1:31" ht="204.75" customHeight="1" x14ac:dyDescent="0.4">
      <c r="A477" s="29" t="s">
        <v>2056</v>
      </c>
      <c r="B477" s="29"/>
      <c r="C477" s="29"/>
      <c r="D477" s="29" t="s">
        <v>2057</v>
      </c>
      <c r="E477" s="29" t="s">
        <v>2058</v>
      </c>
      <c r="F477" s="29" t="s">
        <v>2059</v>
      </c>
      <c r="G477" s="35"/>
      <c r="H477" s="35" t="s">
        <v>151</v>
      </c>
      <c r="I477" s="29" t="s">
        <v>2056</v>
      </c>
      <c r="J477" s="37"/>
      <c r="K477" s="38"/>
      <c r="L477" s="38"/>
      <c r="M477" s="36" t="s">
        <v>60</v>
      </c>
      <c r="N477" s="15" t="s">
        <v>152</v>
      </c>
      <c r="O477" s="36" t="s">
        <v>162</v>
      </c>
      <c r="P477" s="36" t="str">
        <f t="shared" si="14"/>
        <v>WMTS_1/1000地形圖_花蓮縣吉安(鄉公所)都市計畫(104年)</v>
      </c>
      <c r="Q477" s="29" t="s">
        <v>2059</v>
      </c>
      <c r="R477" s="29" t="str">
        <f t="shared" si="15"/>
        <v>2dms_wmts_v1_TOPO01K_U02</v>
      </c>
      <c r="S477" s="39" t="s">
        <v>155</v>
      </c>
      <c r="U477" s="27" t="str">
        <f>_xlfn.XLOOKUP(表格1[[#This Row],[服務類別(英)]],參考2_服務標準對照!$B:$B,參考2_服務標準對照!$C:$C,"")&amp;""</f>
        <v>OGC</v>
      </c>
      <c r="V477" s="29" t="s">
        <v>7</v>
      </c>
      <c r="W477" s="29" t="s">
        <v>163</v>
      </c>
      <c r="X477" s="29" t="s">
        <v>81</v>
      </c>
      <c r="Y477" s="36" t="s">
        <v>83</v>
      </c>
      <c r="Z477" s="36" t="s">
        <v>157</v>
      </c>
      <c r="AA477" s="36" t="s">
        <v>1159</v>
      </c>
      <c r="AB477" s="36"/>
      <c r="AC477" s="36"/>
      <c r="AD477" s="29" t="s">
        <v>119</v>
      </c>
      <c r="AE477" s="36" t="str">
        <f>_xlfn.XLOOKUP(表格1[[#This Row],[唯一識別碼]],API清冊0707!B:B,API清冊0707!T:T,"")&amp;""</f>
        <v>無下拉選單</v>
      </c>
    </row>
    <row r="478" spans="1:31" ht="204.75" customHeight="1" x14ac:dyDescent="0.4">
      <c r="A478" s="29" t="s">
        <v>2060</v>
      </c>
      <c r="B478" s="29"/>
      <c r="C478" s="29"/>
      <c r="D478" s="29" t="s">
        <v>2061</v>
      </c>
      <c r="E478" s="29" t="s">
        <v>2062</v>
      </c>
      <c r="F478" s="29" t="s">
        <v>2063</v>
      </c>
      <c r="G478" s="35"/>
      <c r="H478" s="35" t="s">
        <v>151</v>
      </c>
      <c r="I478" s="29" t="s">
        <v>2060</v>
      </c>
      <c r="J478" s="37"/>
      <c r="K478" s="38"/>
      <c r="L478" s="38"/>
      <c r="M478" s="36" t="s">
        <v>60</v>
      </c>
      <c r="N478" s="15" t="s">
        <v>152</v>
      </c>
      <c r="O478" s="36" t="s">
        <v>162</v>
      </c>
      <c r="P478" s="36" t="str">
        <f t="shared" si="14"/>
        <v>WMTS_1/1000地形圖_花蓮縣光復都市計畫(104年)</v>
      </c>
      <c r="Q478" s="29" t="s">
        <v>2063</v>
      </c>
      <c r="R478" s="29" t="str">
        <f t="shared" si="15"/>
        <v>2dms_wmts_v1_TOPO01K_U01</v>
      </c>
      <c r="S478" s="39" t="s">
        <v>155</v>
      </c>
      <c r="U478" s="27" t="str">
        <f>_xlfn.XLOOKUP(表格1[[#This Row],[服務類別(英)]],參考2_服務標準對照!$B:$B,參考2_服務標準對照!$C:$C,"")&amp;""</f>
        <v>OGC</v>
      </c>
      <c r="V478" s="29" t="s">
        <v>7</v>
      </c>
      <c r="W478" s="29" t="s">
        <v>163</v>
      </c>
      <c r="X478" s="29" t="s">
        <v>81</v>
      </c>
      <c r="Y478" s="36" t="s">
        <v>83</v>
      </c>
      <c r="Z478" s="36" t="s">
        <v>157</v>
      </c>
      <c r="AA478" s="36" t="s">
        <v>1159</v>
      </c>
      <c r="AB478" s="36"/>
      <c r="AC478" s="36"/>
      <c r="AD478" s="29" t="s">
        <v>119</v>
      </c>
      <c r="AE478" s="36" t="str">
        <f>_xlfn.XLOOKUP(表格1[[#This Row],[唯一識別碼]],API清冊0707!B:B,API清冊0707!T:T,"")&amp;""</f>
        <v>無下拉選單</v>
      </c>
    </row>
    <row r="479" spans="1:31" ht="204.75" customHeight="1" x14ac:dyDescent="0.4">
      <c r="A479" s="29" t="s">
        <v>2064</v>
      </c>
      <c r="B479" s="29"/>
      <c r="C479" s="29"/>
      <c r="D479" s="29" t="s">
        <v>2065</v>
      </c>
      <c r="E479" s="29" t="s">
        <v>2066</v>
      </c>
      <c r="F479" s="29" t="s">
        <v>2067</v>
      </c>
      <c r="G479" s="35"/>
      <c r="H479" s="35" t="s">
        <v>151</v>
      </c>
      <c r="I479" s="29" t="s">
        <v>2064</v>
      </c>
      <c r="J479" s="37"/>
      <c r="K479" s="38"/>
      <c r="L479" s="38"/>
      <c r="M479" s="36" t="s">
        <v>60</v>
      </c>
      <c r="N479" s="15" t="s">
        <v>152</v>
      </c>
      <c r="O479" s="36" t="s">
        <v>162</v>
      </c>
      <c r="P479" s="36" t="str">
        <f t="shared" si="14"/>
        <v>WMTS_1/1000地形圖_屏東縣墾丁國家公園計畫(104年)</v>
      </c>
      <c r="Q479" s="29" t="s">
        <v>2067</v>
      </c>
      <c r="R479" s="29" t="str">
        <f t="shared" si="15"/>
        <v>2dms_wmts_v1_TOPO01K_T32</v>
      </c>
      <c r="S479" s="39" t="s">
        <v>155</v>
      </c>
      <c r="U479" s="27" t="str">
        <f>_xlfn.XLOOKUP(表格1[[#This Row],[服務類別(英)]],參考2_服務標準對照!$B:$B,參考2_服務標準對照!$C:$C,"")&amp;""</f>
        <v>OGC</v>
      </c>
      <c r="V479" s="29" t="s">
        <v>7</v>
      </c>
      <c r="W479" s="29" t="s">
        <v>163</v>
      </c>
      <c r="X479" s="29" t="s">
        <v>81</v>
      </c>
      <c r="Y479" s="36" t="s">
        <v>83</v>
      </c>
      <c r="Z479" s="36" t="s">
        <v>157</v>
      </c>
      <c r="AA479" s="36" t="s">
        <v>1159</v>
      </c>
      <c r="AB479" s="36"/>
      <c r="AC479" s="36"/>
      <c r="AD479" s="29" t="s">
        <v>119</v>
      </c>
      <c r="AE479" s="36" t="str">
        <f>_xlfn.XLOOKUP(表格1[[#This Row],[唯一識別碼]],API清冊0707!B:B,API清冊0707!T:T,"")&amp;""</f>
        <v>無下拉選單</v>
      </c>
    </row>
    <row r="480" spans="1:31" ht="204.75" customHeight="1" x14ac:dyDescent="0.4">
      <c r="A480" s="29" t="s">
        <v>2068</v>
      </c>
      <c r="B480" s="29"/>
      <c r="C480" s="29"/>
      <c r="D480" s="29" t="s">
        <v>2069</v>
      </c>
      <c r="E480" s="29" t="s">
        <v>2070</v>
      </c>
      <c r="F480" s="29" t="s">
        <v>2071</v>
      </c>
      <c r="G480" s="35"/>
      <c r="H480" s="35" t="s">
        <v>151</v>
      </c>
      <c r="I480" s="29" t="s">
        <v>2068</v>
      </c>
      <c r="J480" s="37"/>
      <c r="K480" s="38"/>
      <c r="L480" s="38"/>
      <c r="M480" s="36" t="s">
        <v>60</v>
      </c>
      <c r="N480" s="15" t="s">
        <v>152</v>
      </c>
      <c r="O480" s="36" t="s">
        <v>162</v>
      </c>
      <c r="P480" s="36" t="str">
        <f t="shared" si="14"/>
        <v>WMTS_1/1000地形圖_屏東縣麟洛都市計畫(100年)</v>
      </c>
      <c r="Q480" s="29" t="s">
        <v>2071</v>
      </c>
      <c r="R480" s="29" t="str">
        <f t="shared" si="15"/>
        <v>2dms_wmts_v1_TOPO01K_T31</v>
      </c>
      <c r="S480" s="39" t="s">
        <v>155</v>
      </c>
      <c r="U480" s="27" t="str">
        <f>_xlfn.XLOOKUP(表格1[[#This Row],[服務類別(英)]],參考2_服務標準對照!$B:$B,參考2_服務標準對照!$C:$C,"")&amp;""</f>
        <v>OGC</v>
      </c>
      <c r="V480" s="29" t="s">
        <v>7</v>
      </c>
      <c r="W480" s="29" t="s">
        <v>163</v>
      </c>
      <c r="X480" s="29" t="s">
        <v>81</v>
      </c>
      <c r="Y480" s="36" t="s">
        <v>83</v>
      </c>
      <c r="Z480" s="36" t="s">
        <v>157</v>
      </c>
      <c r="AA480" s="36" t="s">
        <v>1159</v>
      </c>
      <c r="AB480" s="36"/>
      <c r="AC480" s="36"/>
      <c r="AD480" s="29" t="s">
        <v>119</v>
      </c>
      <c r="AE480" s="36" t="str">
        <f>_xlfn.XLOOKUP(表格1[[#This Row],[唯一識別碼]],API清冊0707!B:B,API清冊0707!T:T,"")&amp;""</f>
        <v>無下拉選單</v>
      </c>
    </row>
    <row r="481" spans="1:31" ht="204.75" customHeight="1" x14ac:dyDescent="0.4">
      <c r="A481" s="29" t="s">
        <v>2072</v>
      </c>
      <c r="B481" s="29"/>
      <c r="C481" s="29"/>
      <c r="D481" s="29" t="s">
        <v>2073</v>
      </c>
      <c r="E481" s="29" t="s">
        <v>2074</v>
      </c>
      <c r="F481" s="29" t="s">
        <v>2075</v>
      </c>
      <c r="G481" s="35"/>
      <c r="H481" s="35" t="s">
        <v>151</v>
      </c>
      <c r="I481" s="29" t="s">
        <v>2072</v>
      </c>
      <c r="J481" s="37"/>
      <c r="K481" s="38"/>
      <c r="L481" s="38"/>
      <c r="M481" s="36" t="s">
        <v>60</v>
      </c>
      <c r="N481" s="15" t="s">
        <v>152</v>
      </c>
      <c r="O481" s="36" t="s">
        <v>162</v>
      </c>
      <c r="P481" s="36" t="str">
        <f t="shared" si="14"/>
        <v>WMTS_1/1000地形圖_屏東縣鹽埔都市計畫(100年)</v>
      </c>
      <c r="Q481" s="29" t="s">
        <v>2075</v>
      </c>
      <c r="R481" s="29" t="str">
        <f t="shared" si="15"/>
        <v>2dms_wmts_v1_TOPO01K_T30</v>
      </c>
      <c r="S481" s="39" t="s">
        <v>155</v>
      </c>
      <c r="U481" s="27" t="str">
        <f>_xlfn.XLOOKUP(表格1[[#This Row],[服務類別(英)]],參考2_服務標準對照!$B:$B,參考2_服務標準對照!$C:$C,"")&amp;""</f>
        <v>OGC</v>
      </c>
      <c r="V481" s="29" t="s">
        <v>7</v>
      </c>
      <c r="W481" s="29" t="s">
        <v>163</v>
      </c>
      <c r="X481" s="29" t="s">
        <v>81</v>
      </c>
      <c r="Y481" s="36" t="s">
        <v>83</v>
      </c>
      <c r="Z481" s="36" t="s">
        <v>157</v>
      </c>
      <c r="AA481" s="36" t="s">
        <v>1159</v>
      </c>
      <c r="AB481" s="36"/>
      <c r="AC481" s="36"/>
      <c r="AD481" s="29" t="s">
        <v>119</v>
      </c>
      <c r="AE481" s="36" t="str">
        <f>_xlfn.XLOOKUP(表格1[[#This Row],[唯一識別碼]],API清冊0707!B:B,API清冊0707!T:T,"")&amp;""</f>
        <v>無下拉選單</v>
      </c>
    </row>
    <row r="482" spans="1:31" ht="204.75" customHeight="1" x14ac:dyDescent="0.4">
      <c r="A482" s="29" t="s">
        <v>2076</v>
      </c>
      <c r="B482" s="29"/>
      <c r="C482" s="29"/>
      <c r="D482" s="29" t="s">
        <v>2077</v>
      </c>
      <c r="E482" s="29" t="s">
        <v>2078</v>
      </c>
      <c r="F482" s="29" t="s">
        <v>2079</v>
      </c>
      <c r="G482" s="35"/>
      <c r="H482" s="35" t="s">
        <v>151</v>
      </c>
      <c r="I482" s="29" t="s">
        <v>2076</v>
      </c>
      <c r="J482" s="37"/>
      <c r="K482" s="38"/>
      <c r="L482" s="38"/>
      <c r="M482" s="36" t="s">
        <v>60</v>
      </c>
      <c r="N482" s="15" t="s">
        <v>152</v>
      </c>
      <c r="O482" s="36" t="s">
        <v>162</v>
      </c>
      <c r="P482" s="36" t="str">
        <f t="shared" si="14"/>
        <v>WMTS_1/1000地形圖_屏東縣鹽埔漁港特定區計畫(102年)</v>
      </c>
      <c r="Q482" s="29" t="s">
        <v>2079</v>
      </c>
      <c r="R482" s="29" t="str">
        <f t="shared" si="15"/>
        <v>2dms_wmts_v1_TOPO01K_T29</v>
      </c>
      <c r="S482" s="39" t="s">
        <v>155</v>
      </c>
      <c r="U482" s="27" t="str">
        <f>_xlfn.XLOOKUP(表格1[[#This Row],[服務類別(英)]],參考2_服務標準對照!$B:$B,參考2_服務標準對照!$C:$C,"")&amp;""</f>
        <v>OGC</v>
      </c>
      <c r="V482" s="29" t="s">
        <v>7</v>
      </c>
      <c r="W482" s="29" t="s">
        <v>163</v>
      </c>
      <c r="X482" s="29" t="s">
        <v>81</v>
      </c>
      <c r="Y482" s="36" t="s">
        <v>83</v>
      </c>
      <c r="Z482" s="36" t="s">
        <v>157</v>
      </c>
      <c r="AA482" s="36" t="s">
        <v>1159</v>
      </c>
      <c r="AB482" s="36"/>
      <c r="AC482" s="36"/>
      <c r="AD482" s="29" t="s">
        <v>119</v>
      </c>
      <c r="AE482" s="36" t="str">
        <f>_xlfn.XLOOKUP(表格1[[#This Row],[唯一識別碼]],API清冊0707!B:B,API清冊0707!T:T,"")&amp;""</f>
        <v>無下拉選單</v>
      </c>
    </row>
    <row r="483" spans="1:31" ht="204.75" customHeight="1" x14ac:dyDescent="0.4">
      <c r="A483" s="29" t="s">
        <v>2080</v>
      </c>
      <c r="B483" s="29"/>
      <c r="C483" s="29"/>
      <c r="D483" s="29" t="s">
        <v>2081</v>
      </c>
      <c r="E483" s="29" t="s">
        <v>2082</v>
      </c>
      <c r="F483" s="29" t="s">
        <v>2083</v>
      </c>
      <c r="G483" s="35"/>
      <c r="H483" s="35" t="s">
        <v>151</v>
      </c>
      <c r="I483" s="29" t="s">
        <v>2080</v>
      </c>
      <c r="J483" s="37"/>
      <c r="K483" s="38"/>
      <c r="L483" s="38"/>
      <c r="M483" s="36" t="s">
        <v>60</v>
      </c>
      <c r="N483" s="15" t="s">
        <v>152</v>
      </c>
      <c r="O483" s="36" t="s">
        <v>162</v>
      </c>
      <c r="P483" s="36" t="str">
        <f t="shared" si="14"/>
        <v>WMTS_1/1000地形圖_屏東縣高樹都市計畫(100年)</v>
      </c>
      <c r="Q483" s="29" t="s">
        <v>2083</v>
      </c>
      <c r="R483" s="29" t="str">
        <f t="shared" si="15"/>
        <v>2dms_wmts_v1_TOPO01K_T28</v>
      </c>
      <c r="S483" s="39" t="s">
        <v>155</v>
      </c>
      <c r="U483" s="27" t="str">
        <f>_xlfn.XLOOKUP(表格1[[#This Row],[服務類別(英)]],參考2_服務標準對照!$B:$B,參考2_服務標準對照!$C:$C,"")&amp;""</f>
        <v>OGC</v>
      </c>
      <c r="V483" s="29" t="s">
        <v>7</v>
      </c>
      <c r="W483" s="29" t="s">
        <v>163</v>
      </c>
      <c r="X483" s="29" t="s">
        <v>81</v>
      </c>
      <c r="Y483" s="36" t="s">
        <v>83</v>
      </c>
      <c r="Z483" s="36" t="s">
        <v>157</v>
      </c>
      <c r="AA483" s="36" t="s">
        <v>1159</v>
      </c>
      <c r="AB483" s="36"/>
      <c r="AC483" s="36"/>
      <c r="AD483" s="29" t="s">
        <v>119</v>
      </c>
      <c r="AE483" s="36" t="str">
        <f>_xlfn.XLOOKUP(表格1[[#This Row],[唯一識別碼]],API清冊0707!B:B,API清冊0707!T:T,"")&amp;""</f>
        <v>無下拉選單</v>
      </c>
    </row>
    <row r="484" spans="1:31" ht="204.75" customHeight="1" x14ac:dyDescent="0.4">
      <c r="A484" s="29" t="s">
        <v>2084</v>
      </c>
      <c r="B484" s="29"/>
      <c r="C484" s="29"/>
      <c r="D484" s="29" t="s">
        <v>2085</v>
      </c>
      <c r="E484" s="29" t="s">
        <v>2086</v>
      </c>
      <c r="F484" s="29" t="s">
        <v>2087</v>
      </c>
      <c r="G484" s="35"/>
      <c r="H484" s="35" t="s">
        <v>151</v>
      </c>
      <c r="I484" s="29" t="s">
        <v>2084</v>
      </c>
      <c r="J484" s="37"/>
      <c r="K484" s="38"/>
      <c r="L484" s="38"/>
      <c r="M484" s="36" t="s">
        <v>60</v>
      </c>
      <c r="N484" s="15" t="s">
        <v>152</v>
      </c>
      <c r="O484" s="36" t="s">
        <v>162</v>
      </c>
      <c r="P484" s="36" t="str">
        <f t="shared" si="14"/>
        <v>WMTS_1/1000地形圖_屏東縣長治都市計畫(100年)</v>
      </c>
      <c r="Q484" s="29" t="s">
        <v>2087</v>
      </c>
      <c r="R484" s="29" t="str">
        <f t="shared" si="15"/>
        <v>2dms_wmts_v1_TOPO01K_T27</v>
      </c>
      <c r="S484" s="39" t="s">
        <v>155</v>
      </c>
      <c r="U484" s="27" t="str">
        <f>_xlfn.XLOOKUP(表格1[[#This Row],[服務類別(英)]],參考2_服務標準對照!$B:$B,參考2_服務標準對照!$C:$C,"")&amp;""</f>
        <v>OGC</v>
      </c>
      <c r="V484" s="29" t="s">
        <v>7</v>
      </c>
      <c r="W484" s="29" t="s">
        <v>163</v>
      </c>
      <c r="X484" s="29" t="s">
        <v>81</v>
      </c>
      <c r="Y484" s="36" t="s">
        <v>83</v>
      </c>
      <c r="Z484" s="36" t="s">
        <v>157</v>
      </c>
      <c r="AA484" s="36" t="s">
        <v>1159</v>
      </c>
      <c r="AB484" s="36"/>
      <c r="AC484" s="36"/>
      <c r="AD484" s="29" t="s">
        <v>119</v>
      </c>
      <c r="AE484" s="36" t="str">
        <f>_xlfn.XLOOKUP(表格1[[#This Row],[唯一識別碼]],API清冊0707!B:B,API清冊0707!T:T,"")&amp;""</f>
        <v>無下拉選單</v>
      </c>
    </row>
    <row r="485" spans="1:31" ht="204.75" customHeight="1" x14ac:dyDescent="0.4">
      <c r="A485" s="29" t="s">
        <v>2088</v>
      </c>
      <c r="B485" s="29"/>
      <c r="C485" s="29"/>
      <c r="D485" s="29" t="s">
        <v>2089</v>
      </c>
      <c r="E485" s="29" t="s">
        <v>2090</v>
      </c>
      <c r="F485" s="29" t="s">
        <v>2091</v>
      </c>
      <c r="G485" s="35"/>
      <c r="H485" s="35" t="s">
        <v>151</v>
      </c>
      <c r="I485" s="29" t="s">
        <v>2088</v>
      </c>
      <c r="J485" s="37"/>
      <c r="K485" s="38"/>
      <c r="L485" s="38"/>
      <c r="M485" s="36" t="s">
        <v>60</v>
      </c>
      <c r="N485" s="15" t="s">
        <v>152</v>
      </c>
      <c r="O485" s="36" t="s">
        <v>162</v>
      </c>
      <c r="P485" s="36" t="str">
        <f t="shared" si="14"/>
        <v>WMTS_1/1000地形圖_屏東縣里港都市計畫(100年)</v>
      </c>
      <c r="Q485" s="29" t="s">
        <v>2091</v>
      </c>
      <c r="R485" s="29" t="str">
        <f t="shared" si="15"/>
        <v>2dms_wmts_v1_TOPO01K_T26</v>
      </c>
      <c r="S485" s="39" t="s">
        <v>155</v>
      </c>
      <c r="U485" s="27" t="str">
        <f>_xlfn.XLOOKUP(表格1[[#This Row],[服務類別(英)]],參考2_服務標準對照!$B:$B,參考2_服務標準對照!$C:$C,"")&amp;""</f>
        <v>OGC</v>
      </c>
      <c r="V485" s="29" t="s">
        <v>7</v>
      </c>
      <c r="W485" s="29" t="s">
        <v>163</v>
      </c>
      <c r="X485" s="29" t="s">
        <v>81</v>
      </c>
      <c r="Y485" s="36" t="s">
        <v>83</v>
      </c>
      <c r="Z485" s="36" t="s">
        <v>157</v>
      </c>
      <c r="AA485" s="36" t="s">
        <v>1159</v>
      </c>
      <c r="AB485" s="36"/>
      <c r="AC485" s="36"/>
      <c r="AD485" s="29" t="s">
        <v>119</v>
      </c>
      <c r="AE485" s="36" t="str">
        <f>_xlfn.XLOOKUP(表格1[[#This Row],[唯一識別碼]],API清冊0707!B:B,API清冊0707!T:T,"")&amp;""</f>
        <v>無下拉選單</v>
      </c>
    </row>
    <row r="486" spans="1:31" ht="204.75" customHeight="1" x14ac:dyDescent="0.4">
      <c r="A486" s="29" t="s">
        <v>2092</v>
      </c>
      <c r="B486" s="29"/>
      <c r="C486" s="29"/>
      <c r="D486" s="29" t="s">
        <v>2093</v>
      </c>
      <c r="E486" s="29" t="s">
        <v>2094</v>
      </c>
      <c r="F486" s="29" t="s">
        <v>2095</v>
      </c>
      <c r="G486" s="35"/>
      <c r="H486" s="35" t="s">
        <v>151</v>
      </c>
      <c r="I486" s="29" t="s">
        <v>2092</v>
      </c>
      <c r="J486" s="37"/>
      <c r="K486" s="38"/>
      <c r="L486" s="38"/>
      <c r="M486" s="36" t="s">
        <v>60</v>
      </c>
      <c r="N486" s="15" t="s">
        <v>152</v>
      </c>
      <c r="O486" s="36" t="s">
        <v>162</v>
      </c>
      <c r="P486" s="36" t="str">
        <f t="shared" si="14"/>
        <v>WMTS_1/1000地形圖_屏東縣車城都市計畫(101年)</v>
      </c>
      <c r="Q486" s="29" t="s">
        <v>2095</v>
      </c>
      <c r="R486" s="29" t="str">
        <f t="shared" si="15"/>
        <v>2dms_wmts_v1_TOPO01K_T25</v>
      </c>
      <c r="S486" s="39" t="s">
        <v>155</v>
      </c>
      <c r="U486" s="27" t="str">
        <f>_xlfn.XLOOKUP(表格1[[#This Row],[服務類別(英)]],參考2_服務標準對照!$B:$B,參考2_服務標準對照!$C:$C,"")&amp;""</f>
        <v>OGC</v>
      </c>
      <c r="V486" s="29" t="s">
        <v>7</v>
      </c>
      <c r="W486" s="29" t="s">
        <v>163</v>
      </c>
      <c r="X486" s="29" t="s">
        <v>81</v>
      </c>
      <c r="Y486" s="36" t="s">
        <v>83</v>
      </c>
      <c r="Z486" s="36" t="s">
        <v>157</v>
      </c>
      <c r="AA486" s="36" t="s">
        <v>1159</v>
      </c>
      <c r="AB486" s="36"/>
      <c r="AC486" s="36"/>
      <c r="AD486" s="29" t="s">
        <v>119</v>
      </c>
      <c r="AE486" s="36" t="str">
        <f>_xlfn.XLOOKUP(表格1[[#This Row],[唯一識別碼]],API清冊0707!B:B,API清冊0707!T:T,"")&amp;""</f>
        <v>無下拉選單</v>
      </c>
    </row>
    <row r="487" spans="1:31" ht="204.75" customHeight="1" x14ac:dyDescent="0.4">
      <c r="A487" s="29" t="s">
        <v>2096</v>
      </c>
      <c r="B487" s="29"/>
      <c r="C487" s="29"/>
      <c r="D487" s="29" t="s">
        <v>2097</v>
      </c>
      <c r="E487" s="29" t="s">
        <v>2098</v>
      </c>
      <c r="F487" s="29" t="s">
        <v>2099</v>
      </c>
      <c r="G487" s="35"/>
      <c r="H487" s="35" t="s">
        <v>151</v>
      </c>
      <c r="I487" s="29" t="s">
        <v>2096</v>
      </c>
      <c r="J487" s="37"/>
      <c r="K487" s="38"/>
      <c r="L487" s="38"/>
      <c r="M487" s="36" t="s">
        <v>60</v>
      </c>
      <c r="N487" s="15" t="s">
        <v>152</v>
      </c>
      <c r="O487" s="36" t="s">
        <v>162</v>
      </c>
      <c r="P487" s="36" t="str">
        <f t="shared" si="14"/>
        <v>WMTS_1/1000地形圖_屏東縣萬巒都市計畫(101年)</v>
      </c>
      <c r="Q487" s="29" t="s">
        <v>2099</v>
      </c>
      <c r="R487" s="29" t="str">
        <f t="shared" si="15"/>
        <v>2dms_wmts_v1_TOPO01K_T24</v>
      </c>
      <c r="S487" s="39" t="s">
        <v>155</v>
      </c>
      <c r="U487" s="27" t="str">
        <f>_xlfn.XLOOKUP(表格1[[#This Row],[服務類別(英)]],參考2_服務標準對照!$B:$B,參考2_服務標準對照!$C:$C,"")&amp;""</f>
        <v>OGC</v>
      </c>
      <c r="V487" s="29" t="s">
        <v>7</v>
      </c>
      <c r="W487" s="29" t="s">
        <v>163</v>
      </c>
      <c r="X487" s="29" t="s">
        <v>81</v>
      </c>
      <c r="Y487" s="36" t="s">
        <v>83</v>
      </c>
      <c r="Z487" s="36" t="s">
        <v>157</v>
      </c>
      <c r="AA487" s="36" t="s">
        <v>1159</v>
      </c>
      <c r="AB487" s="36"/>
      <c r="AC487" s="36"/>
      <c r="AD487" s="29" t="s">
        <v>119</v>
      </c>
      <c r="AE487" s="36" t="str">
        <f>_xlfn.XLOOKUP(表格1[[#This Row],[唯一識別碼]],API清冊0707!B:B,API清冊0707!T:T,"")&amp;""</f>
        <v>無下拉選單</v>
      </c>
    </row>
    <row r="488" spans="1:31" ht="204.75" customHeight="1" x14ac:dyDescent="0.4">
      <c r="A488" s="29" t="s">
        <v>2100</v>
      </c>
      <c r="B488" s="29"/>
      <c r="C488" s="29"/>
      <c r="D488" s="29" t="s">
        <v>2101</v>
      </c>
      <c r="E488" s="29" t="s">
        <v>2102</v>
      </c>
      <c r="F488" s="29" t="s">
        <v>2103</v>
      </c>
      <c r="G488" s="35"/>
      <c r="H488" s="35" t="s">
        <v>151</v>
      </c>
      <c r="I488" s="29" t="s">
        <v>2100</v>
      </c>
      <c r="J488" s="37"/>
      <c r="K488" s="38"/>
      <c r="L488" s="38"/>
      <c r="M488" s="36" t="s">
        <v>60</v>
      </c>
      <c r="N488" s="15" t="s">
        <v>152</v>
      </c>
      <c r="O488" s="36" t="s">
        <v>162</v>
      </c>
      <c r="P488" s="36" t="str">
        <f t="shared" si="14"/>
        <v>WMTS_1/1000地形圖_屏東縣萬丹都市計畫(100年)</v>
      </c>
      <c r="Q488" s="29" t="s">
        <v>2103</v>
      </c>
      <c r="R488" s="29" t="str">
        <f t="shared" si="15"/>
        <v>2dms_wmts_v1_TOPO01K_T23</v>
      </c>
      <c r="S488" s="39" t="s">
        <v>155</v>
      </c>
      <c r="U488" s="27" t="str">
        <f>_xlfn.XLOOKUP(表格1[[#This Row],[服務類別(英)]],參考2_服務標準對照!$B:$B,參考2_服務標準對照!$C:$C,"")&amp;""</f>
        <v>OGC</v>
      </c>
      <c r="V488" s="29" t="s">
        <v>7</v>
      </c>
      <c r="W488" s="29" t="s">
        <v>163</v>
      </c>
      <c r="X488" s="29" t="s">
        <v>81</v>
      </c>
      <c r="Y488" s="36" t="s">
        <v>83</v>
      </c>
      <c r="Z488" s="36" t="s">
        <v>157</v>
      </c>
      <c r="AA488" s="36" t="s">
        <v>1159</v>
      </c>
      <c r="AB488" s="36"/>
      <c r="AC488" s="36"/>
      <c r="AD488" s="29" t="s">
        <v>119</v>
      </c>
      <c r="AE488" s="36" t="str">
        <f>_xlfn.XLOOKUP(表格1[[#This Row],[唯一識別碼]],API清冊0707!B:B,API清冊0707!T:T,"")&amp;""</f>
        <v>無下拉選單</v>
      </c>
    </row>
    <row r="489" spans="1:31" ht="204.75" customHeight="1" x14ac:dyDescent="0.4">
      <c r="A489" s="29" t="s">
        <v>2104</v>
      </c>
      <c r="B489" s="29"/>
      <c r="C489" s="29"/>
      <c r="D489" s="29" t="s">
        <v>2105</v>
      </c>
      <c r="E489" s="29" t="s">
        <v>2106</v>
      </c>
      <c r="F489" s="29" t="s">
        <v>2107</v>
      </c>
      <c r="G489" s="35"/>
      <c r="H489" s="35" t="s">
        <v>151</v>
      </c>
      <c r="I489" s="29" t="s">
        <v>2104</v>
      </c>
      <c r="J489" s="37"/>
      <c r="K489" s="38"/>
      <c r="L489" s="38"/>
      <c r="M489" s="36" t="s">
        <v>60</v>
      </c>
      <c r="N489" s="15" t="s">
        <v>152</v>
      </c>
      <c r="O489" s="36" t="s">
        <v>162</v>
      </c>
      <c r="P489" s="36" t="str">
        <f t="shared" si="14"/>
        <v>WMTS_1/1000地形圖_屏東縣竹田都市計畫(101年)</v>
      </c>
      <c r="Q489" s="29" t="s">
        <v>2107</v>
      </c>
      <c r="R489" s="29" t="str">
        <f t="shared" si="15"/>
        <v>2dms_wmts_v1_TOPO01K_T22</v>
      </c>
      <c r="S489" s="39" t="s">
        <v>155</v>
      </c>
      <c r="U489" s="27" t="str">
        <f>_xlfn.XLOOKUP(表格1[[#This Row],[服務類別(英)]],參考2_服務標準對照!$B:$B,參考2_服務標準對照!$C:$C,"")&amp;""</f>
        <v>OGC</v>
      </c>
      <c r="V489" s="29" t="s">
        <v>7</v>
      </c>
      <c r="W489" s="29" t="s">
        <v>163</v>
      </c>
      <c r="X489" s="29" t="s">
        <v>81</v>
      </c>
      <c r="Y489" s="36" t="s">
        <v>83</v>
      </c>
      <c r="Z489" s="36" t="s">
        <v>157</v>
      </c>
      <c r="AA489" s="36" t="s">
        <v>1159</v>
      </c>
      <c r="AB489" s="36"/>
      <c r="AC489" s="36"/>
      <c r="AD489" s="29" t="s">
        <v>119</v>
      </c>
      <c r="AE489" s="36" t="str">
        <f>_xlfn.XLOOKUP(表格1[[#This Row],[唯一識別碼]],API清冊0707!B:B,API清冊0707!T:T,"")&amp;""</f>
        <v>無下拉選單</v>
      </c>
    </row>
    <row r="490" spans="1:31" ht="204.75" customHeight="1" x14ac:dyDescent="0.4">
      <c r="A490" s="29" t="s">
        <v>2108</v>
      </c>
      <c r="B490" s="29"/>
      <c r="C490" s="29"/>
      <c r="D490" s="29" t="s">
        <v>2109</v>
      </c>
      <c r="E490" s="29" t="s">
        <v>2110</v>
      </c>
      <c r="F490" s="29" t="s">
        <v>2111</v>
      </c>
      <c r="G490" s="35"/>
      <c r="H490" s="35" t="s">
        <v>151</v>
      </c>
      <c r="I490" s="29" t="s">
        <v>2108</v>
      </c>
      <c r="J490" s="37"/>
      <c r="K490" s="38"/>
      <c r="L490" s="38"/>
      <c r="M490" s="36" t="s">
        <v>60</v>
      </c>
      <c r="N490" s="15" t="s">
        <v>152</v>
      </c>
      <c r="O490" s="36" t="s">
        <v>162</v>
      </c>
      <c r="P490" s="36" t="str">
        <f t="shared" si="14"/>
        <v>WMTS_1/1000地形圖_屏東縣潮州都市計畫(98年)</v>
      </c>
      <c r="Q490" s="29" t="s">
        <v>2111</v>
      </c>
      <c r="R490" s="29" t="str">
        <f t="shared" si="15"/>
        <v>2dms_wmts_v1_TOPO01K_T21</v>
      </c>
      <c r="S490" s="39" t="s">
        <v>155</v>
      </c>
      <c r="U490" s="27" t="str">
        <f>_xlfn.XLOOKUP(表格1[[#This Row],[服務類別(英)]],參考2_服務標準對照!$B:$B,參考2_服務標準對照!$C:$C,"")&amp;""</f>
        <v>OGC</v>
      </c>
      <c r="V490" s="29" t="s">
        <v>7</v>
      </c>
      <c r="W490" s="29" t="s">
        <v>163</v>
      </c>
      <c r="X490" s="29" t="s">
        <v>81</v>
      </c>
      <c r="Y490" s="36" t="s">
        <v>83</v>
      </c>
      <c r="Z490" s="36" t="s">
        <v>157</v>
      </c>
      <c r="AA490" s="36" t="s">
        <v>1159</v>
      </c>
      <c r="AB490" s="36"/>
      <c r="AC490" s="36"/>
      <c r="AD490" s="29" t="s">
        <v>119</v>
      </c>
      <c r="AE490" s="36" t="str">
        <f>_xlfn.XLOOKUP(表格1[[#This Row],[唯一識別碼]],API清冊0707!B:B,API清冊0707!T:T,"")&amp;""</f>
        <v>無下拉選單</v>
      </c>
    </row>
    <row r="491" spans="1:31" ht="204.75" customHeight="1" x14ac:dyDescent="0.4">
      <c r="A491" s="29" t="s">
        <v>2112</v>
      </c>
      <c r="B491" s="29"/>
      <c r="C491" s="29"/>
      <c r="D491" s="29" t="s">
        <v>2113</v>
      </c>
      <c r="E491" s="29" t="s">
        <v>2114</v>
      </c>
      <c r="F491" s="29" t="s">
        <v>2115</v>
      </c>
      <c r="G491" s="35"/>
      <c r="H491" s="35" t="s">
        <v>151</v>
      </c>
      <c r="I491" s="29" t="s">
        <v>2112</v>
      </c>
      <c r="J491" s="37"/>
      <c r="K491" s="38"/>
      <c r="L491" s="38"/>
      <c r="M491" s="36" t="s">
        <v>60</v>
      </c>
      <c r="N491" s="15" t="s">
        <v>152</v>
      </c>
      <c r="O491" s="36" t="s">
        <v>162</v>
      </c>
      <c r="P491" s="36" t="str">
        <f t="shared" si="14"/>
        <v>WMTS_1/1000地形圖_屏東縣滿州都市計畫(101年)</v>
      </c>
      <c r="Q491" s="29" t="s">
        <v>2115</v>
      </c>
      <c r="R491" s="29" t="str">
        <f t="shared" si="15"/>
        <v>2dms_wmts_v1_TOPO01K_T20</v>
      </c>
      <c r="S491" s="39" t="s">
        <v>155</v>
      </c>
      <c r="U491" s="27" t="str">
        <f>_xlfn.XLOOKUP(表格1[[#This Row],[服務類別(英)]],參考2_服務標準對照!$B:$B,參考2_服務標準對照!$C:$C,"")&amp;""</f>
        <v>OGC</v>
      </c>
      <c r="V491" s="29" t="s">
        <v>7</v>
      </c>
      <c r="W491" s="29" t="s">
        <v>163</v>
      </c>
      <c r="X491" s="29" t="s">
        <v>81</v>
      </c>
      <c r="Y491" s="36" t="s">
        <v>83</v>
      </c>
      <c r="Z491" s="36" t="s">
        <v>157</v>
      </c>
      <c r="AA491" s="36" t="s">
        <v>1159</v>
      </c>
      <c r="AB491" s="36"/>
      <c r="AC491" s="36"/>
      <c r="AD491" s="29" t="s">
        <v>119</v>
      </c>
      <c r="AE491" s="36" t="str">
        <f>_xlfn.XLOOKUP(表格1[[#This Row],[唯一識別碼]],API清冊0707!B:B,API清冊0707!T:T,"")&amp;""</f>
        <v>無下拉選單</v>
      </c>
    </row>
    <row r="492" spans="1:31" ht="204.75" customHeight="1" x14ac:dyDescent="0.4">
      <c r="A492" s="29" t="s">
        <v>2116</v>
      </c>
      <c r="B492" s="29"/>
      <c r="C492" s="29"/>
      <c r="D492" s="29" t="s">
        <v>2117</v>
      </c>
      <c r="E492" s="29" t="s">
        <v>2118</v>
      </c>
      <c r="F492" s="29" t="s">
        <v>2119</v>
      </c>
      <c r="G492" s="35"/>
      <c r="H492" s="35" t="s">
        <v>151</v>
      </c>
      <c r="I492" s="29" t="s">
        <v>2116</v>
      </c>
      <c r="J492" s="37"/>
      <c r="K492" s="38"/>
      <c r="L492" s="38"/>
      <c r="M492" s="36" t="s">
        <v>60</v>
      </c>
      <c r="N492" s="15" t="s">
        <v>152</v>
      </c>
      <c r="O492" s="36" t="s">
        <v>162</v>
      </c>
      <c r="P492" s="36" t="str">
        <f t="shared" si="14"/>
        <v>WMTS_1/1000地形圖_屏東縣林邊都市計畫(99年)</v>
      </c>
      <c r="Q492" s="29" t="s">
        <v>2119</v>
      </c>
      <c r="R492" s="29" t="str">
        <f t="shared" si="15"/>
        <v>2dms_wmts_v1_TOPO01K_T19</v>
      </c>
      <c r="S492" s="39" t="s">
        <v>155</v>
      </c>
      <c r="U492" s="27" t="str">
        <f>_xlfn.XLOOKUP(表格1[[#This Row],[服務類別(英)]],參考2_服務標準對照!$B:$B,參考2_服務標準對照!$C:$C,"")&amp;""</f>
        <v>OGC</v>
      </c>
      <c r="V492" s="29" t="s">
        <v>7</v>
      </c>
      <c r="W492" s="29" t="s">
        <v>163</v>
      </c>
      <c r="X492" s="29" t="s">
        <v>81</v>
      </c>
      <c r="Y492" s="36" t="s">
        <v>83</v>
      </c>
      <c r="Z492" s="36" t="s">
        <v>157</v>
      </c>
      <c r="AA492" s="36" t="s">
        <v>1159</v>
      </c>
      <c r="AB492" s="36"/>
      <c r="AC492" s="36"/>
      <c r="AD492" s="29" t="s">
        <v>119</v>
      </c>
      <c r="AE492" s="36" t="str">
        <f>_xlfn.XLOOKUP(表格1[[#This Row],[唯一識別碼]],API清冊0707!B:B,API清冊0707!T:T,"")&amp;""</f>
        <v>無下拉選單</v>
      </c>
    </row>
    <row r="493" spans="1:31" ht="204.75" customHeight="1" x14ac:dyDescent="0.4">
      <c r="A493" s="29" t="s">
        <v>2120</v>
      </c>
      <c r="B493" s="29"/>
      <c r="C493" s="29"/>
      <c r="D493" s="29" t="s">
        <v>2121</v>
      </c>
      <c r="E493" s="29" t="s">
        <v>2122</v>
      </c>
      <c r="F493" s="29" t="s">
        <v>2123</v>
      </c>
      <c r="G493" s="35"/>
      <c r="H493" s="35" t="s">
        <v>151</v>
      </c>
      <c r="I493" s="29" t="s">
        <v>2120</v>
      </c>
      <c r="J493" s="37"/>
      <c r="K493" s="38"/>
      <c r="L493" s="38"/>
      <c r="M493" s="36" t="s">
        <v>60</v>
      </c>
      <c r="N493" s="15" t="s">
        <v>152</v>
      </c>
      <c r="O493" s="36" t="s">
        <v>162</v>
      </c>
      <c r="P493" s="36" t="str">
        <f t="shared" si="14"/>
        <v>WMTS_1/1000地形圖_屏東縣林邊都市計畫(100年)</v>
      </c>
      <c r="Q493" s="29" t="s">
        <v>2123</v>
      </c>
      <c r="R493" s="29" t="str">
        <f t="shared" si="15"/>
        <v>2dms_wmts_v1_TOPO01K_T18</v>
      </c>
      <c r="S493" s="39" t="s">
        <v>155</v>
      </c>
      <c r="U493" s="27" t="str">
        <f>_xlfn.XLOOKUP(表格1[[#This Row],[服務類別(英)]],參考2_服務標準對照!$B:$B,參考2_服務標準對照!$C:$C,"")&amp;""</f>
        <v>OGC</v>
      </c>
      <c r="V493" s="29" t="s">
        <v>7</v>
      </c>
      <c r="W493" s="29" t="s">
        <v>163</v>
      </c>
      <c r="X493" s="29" t="s">
        <v>81</v>
      </c>
      <c r="Y493" s="36" t="s">
        <v>83</v>
      </c>
      <c r="Z493" s="36" t="s">
        <v>157</v>
      </c>
      <c r="AA493" s="36" t="s">
        <v>1159</v>
      </c>
      <c r="AB493" s="36"/>
      <c r="AC493" s="36"/>
      <c r="AD493" s="29" t="s">
        <v>119</v>
      </c>
      <c r="AE493" s="36" t="str">
        <f>_xlfn.XLOOKUP(表格1[[#This Row],[唯一識別碼]],API清冊0707!B:B,API清冊0707!T:T,"")&amp;""</f>
        <v>無下拉選單</v>
      </c>
    </row>
    <row r="494" spans="1:31" ht="204.75" customHeight="1" x14ac:dyDescent="0.4">
      <c r="A494" s="29" t="s">
        <v>2124</v>
      </c>
      <c r="B494" s="29"/>
      <c r="C494" s="29"/>
      <c r="D494" s="29" t="s">
        <v>2125</v>
      </c>
      <c r="E494" s="29" t="s">
        <v>2126</v>
      </c>
      <c r="F494" s="29" t="s">
        <v>2127</v>
      </c>
      <c r="G494" s="35"/>
      <c r="H494" s="35" t="s">
        <v>151</v>
      </c>
      <c r="I494" s="29" t="s">
        <v>2124</v>
      </c>
      <c r="J494" s="37"/>
      <c r="K494" s="38"/>
      <c r="L494" s="38"/>
      <c r="M494" s="36" t="s">
        <v>60</v>
      </c>
      <c r="N494" s="15" t="s">
        <v>152</v>
      </c>
      <c r="O494" s="36" t="s">
        <v>162</v>
      </c>
      <c r="P494" s="36" t="str">
        <f t="shared" si="14"/>
        <v>WMTS_1/1000地形圖_屏東縣枋寮都市計畫(100年)</v>
      </c>
      <c r="Q494" s="29" t="s">
        <v>2127</v>
      </c>
      <c r="R494" s="29" t="str">
        <f t="shared" si="15"/>
        <v>2dms_wmts_v1_TOPO01K_T17</v>
      </c>
      <c r="S494" s="39" t="s">
        <v>155</v>
      </c>
      <c r="U494" s="27" t="str">
        <f>_xlfn.XLOOKUP(表格1[[#This Row],[服務類別(英)]],參考2_服務標準對照!$B:$B,參考2_服務標準對照!$C:$C,"")&amp;""</f>
        <v>OGC</v>
      </c>
      <c r="V494" s="29" t="s">
        <v>7</v>
      </c>
      <c r="W494" s="29" t="s">
        <v>163</v>
      </c>
      <c r="X494" s="29" t="s">
        <v>81</v>
      </c>
      <c r="Y494" s="36" t="s">
        <v>83</v>
      </c>
      <c r="Z494" s="36" t="s">
        <v>157</v>
      </c>
      <c r="AA494" s="36" t="s">
        <v>1159</v>
      </c>
      <c r="AB494" s="36"/>
      <c r="AC494" s="36"/>
      <c r="AD494" s="29" t="s">
        <v>119</v>
      </c>
      <c r="AE494" s="36" t="str">
        <f>_xlfn.XLOOKUP(表格1[[#This Row],[唯一識別碼]],API清冊0707!B:B,API清冊0707!T:T,"")&amp;""</f>
        <v>無下拉選單</v>
      </c>
    </row>
    <row r="495" spans="1:31" ht="204.75" customHeight="1" x14ac:dyDescent="0.4">
      <c r="A495" s="29" t="s">
        <v>2128</v>
      </c>
      <c r="B495" s="29"/>
      <c r="C495" s="29"/>
      <c r="D495" s="29" t="s">
        <v>2129</v>
      </c>
      <c r="E495" s="29" t="s">
        <v>2130</v>
      </c>
      <c r="F495" s="29" t="s">
        <v>2131</v>
      </c>
      <c r="G495" s="35"/>
      <c r="H495" s="35" t="s">
        <v>151</v>
      </c>
      <c r="I495" s="29" t="s">
        <v>2128</v>
      </c>
      <c r="J495" s="37"/>
      <c r="K495" s="38"/>
      <c r="L495" s="38"/>
      <c r="M495" s="36" t="s">
        <v>60</v>
      </c>
      <c r="N495" s="15" t="s">
        <v>152</v>
      </c>
      <c r="O495" s="36" t="s">
        <v>162</v>
      </c>
      <c r="P495" s="36" t="str">
        <f t="shared" si="14"/>
        <v>WMTS_1/1000地形圖_屏東縣枋寮水底寮都市計畫(100年)</v>
      </c>
      <c r="Q495" s="29" t="s">
        <v>2131</v>
      </c>
      <c r="R495" s="29" t="str">
        <f t="shared" si="15"/>
        <v>2dms_wmts_v1_TOPO01K_T16</v>
      </c>
      <c r="S495" s="39" t="s">
        <v>155</v>
      </c>
      <c r="U495" s="27" t="str">
        <f>_xlfn.XLOOKUP(表格1[[#This Row],[服務類別(英)]],參考2_服務標準對照!$B:$B,參考2_服務標準對照!$C:$C,"")&amp;""</f>
        <v>OGC</v>
      </c>
      <c r="V495" s="29" t="s">
        <v>7</v>
      </c>
      <c r="W495" s="29" t="s">
        <v>163</v>
      </c>
      <c r="X495" s="29" t="s">
        <v>81</v>
      </c>
      <c r="Y495" s="36" t="s">
        <v>83</v>
      </c>
      <c r="Z495" s="36" t="s">
        <v>157</v>
      </c>
      <c r="AA495" s="36" t="s">
        <v>1159</v>
      </c>
      <c r="AB495" s="36"/>
      <c r="AC495" s="36"/>
      <c r="AD495" s="29" t="s">
        <v>119</v>
      </c>
      <c r="AE495" s="36" t="str">
        <f>_xlfn.XLOOKUP(表格1[[#This Row],[唯一識別碼]],API清冊0707!B:B,API清冊0707!T:T,"")&amp;""</f>
        <v>無下拉選單</v>
      </c>
    </row>
    <row r="496" spans="1:31" ht="204.75" customHeight="1" x14ac:dyDescent="0.4">
      <c r="A496" s="29" t="s">
        <v>2132</v>
      </c>
      <c r="B496" s="29"/>
      <c r="C496" s="29"/>
      <c r="D496" s="29" t="s">
        <v>2133</v>
      </c>
      <c r="E496" s="29" t="s">
        <v>2134</v>
      </c>
      <c r="F496" s="29" t="s">
        <v>2135</v>
      </c>
      <c r="G496" s="35"/>
      <c r="H496" s="35" t="s">
        <v>151</v>
      </c>
      <c r="I496" s="29" t="s">
        <v>2132</v>
      </c>
      <c r="J496" s="37"/>
      <c r="K496" s="38"/>
      <c r="L496" s="38"/>
      <c r="M496" s="36" t="s">
        <v>60</v>
      </c>
      <c r="N496" s="15" t="s">
        <v>152</v>
      </c>
      <c r="O496" s="36" t="s">
        <v>162</v>
      </c>
      <c r="P496" s="36" t="str">
        <f t="shared" si="14"/>
        <v>WMTS_1/1000地形圖_屏東縣東港都市計畫(99年)</v>
      </c>
      <c r="Q496" s="29" t="s">
        <v>2135</v>
      </c>
      <c r="R496" s="29" t="str">
        <f t="shared" si="15"/>
        <v>2dms_wmts_v1_TOPO01K_T15</v>
      </c>
      <c r="S496" s="39" t="s">
        <v>155</v>
      </c>
      <c r="U496" s="27" t="str">
        <f>_xlfn.XLOOKUP(表格1[[#This Row],[服務類別(英)]],參考2_服務標準對照!$B:$B,參考2_服務標準對照!$C:$C,"")&amp;""</f>
        <v>OGC</v>
      </c>
      <c r="V496" s="29" t="s">
        <v>7</v>
      </c>
      <c r="W496" s="29" t="s">
        <v>163</v>
      </c>
      <c r="X496" s="29" t="s">
        <v>81</v>
      </c>
      <c r="Y496" s="36" t="s">
        <v>83</v>
      </c>
      <c r="Z496" s="36" t="s">
        <v>157</v>
      </c>
      <c r="AA496" s="36" t="s">
        <v>1159</v>
      </c>
      <c r="AB496" s="36"/>
      <c r="AC496" s="36"/>
      <c r="AD496" s="29" t="s">
        <v>119</v>
      </c>
      <c r="AE496" s="36" t="str">
        <f>_xlfn.XLOOKUP(表格1[[#This Row],[唯一識別碼]],API清冊0707!B:B,API清冊0707!T:T,"")&amp;""</f>
        <v>無下拉選單</v>
      </c>
    </row>
    <row r="497" spans="1:31" ht="204.75" customHeight="1" x14ac:dyDescent="0.4">
      <c r="A497" s="29" t="s">
        <v>2136</v>
      </c>
      <c r="B497" s="29"/>
      <c r="C497" s="29"/>
      <c r="D497" s="29" t="s">
        <v>2137</v>
      </c>
      <c r="E497" s="29" t="s">
        <v>2138</v>
      </c>
      <c r="F497" s="29" t="s">
        <v>2139</v>
      </c>
      <c r="G497" s="35"/>
      <c r="H497" s="35" t="s">
        <v>151</v>
      </c>
      <c r="I497" s="29" t="s">
        <v>2136</v>
      </c>
      <c r="J497" s="37"/>
      <c r="K497" s="38"/>
      <c r="L497" s="38"/>
      <c r="M497" s="36" t="s">
        <v>60</v>
      </c>
      <c r="N497" s="15" t="s">
        <v>152</v>
      </c>
      <c r="O497" s="36" t="s">
        <v>162</v>
      </c>
      <c r="P497" s="36" t="str">
        <f t="shared" si="14"/>
        <v>WMTS_1/1000地形圖_屏東縣新埤都市計畫(100年)</v>
      </c>
      <c r="Q497" s="29" t="s">
        <v>2139</v>
      </c>
      <c r="R497" s="29" t="str">
        <f t="shared" si="15"/>
        <v>2dms_wmts_v1_TOPO01K_T14</v>
      </c>
      <c r="S497" s="39" t="s">
        <v>155</v>
      </c>
      <c r="U497" s="27" t="str">
        <f>_xlfn.XLOOKUP(表格1[[#This Row],[服務類別(英)]],參考2_服務標準對照!$B:$B,參考2_服務標準對照!$C:$C,"")&amp;""</f>
        <v>OGC</v>
      </c>
      <c r="V497" s="29" t="s">
        <v>7</v>
      </c>
      <c r="W497" s="29" t="s">
        <v>163</v>
      </c>
      <c r="X497" s="29" t="s">
        <v>81</v>
      </c>
      <c r="Y497" s="36" t="s">
        <v>83</v>
      </c>
      <c r="Z497" s="36" t="s">
        <v>157</v>
      </c>
      <c r="AA497" s="36" t="s">
        <v>1159</v>
      </c>
      <c r="AB497" s="36"/>
      <c r="AC497" s="36"/>
      <c r="AD497" s="29" t="s">
        <v>119</v>
      </c>
      <c r="AE497" s="36" t="str">
        <f>_xlfn.XLOOKUP(表格1[[#This Row],[唯一識別碼]],API清冊0707!B:B,API清冊0707!T:T,"")&amp;""</f>
        <v>無下拉選單</v>
      </c>
    </row>
    <row r="498" spans="1:31" ht="204.75" customHeight="1" x14ac:dyDescent="0.4">
      <c r="A498" s="29" t="s">
        <v>2140</v>
      </c>
      <c r="B498" s="29"/>
      <c r="C498" s="29"/>
      <c r="D498" s="29" t="s">
        <v>2141</v>
      </c>
      <c r="E498" s="29" t="s">
        <v>2142</v>
      </c>
      <c r="F498" s="29" t="s">
        <v>2143</v>
      </c>
      <c r="G498" s="35"/>
      <c r="H498" s="35" t="s">
        <v>151</v>
      </c>
      <c r="I498" s="29" t="s">
        <v>2140</v>
      </c>
      <c r="J498" s="37"/>
      <c r="K498" s="38"/>
      <c r="L498" s="38"/>
      <c r="M498" s="36" t="s">
        <v>60</v>
      </c>
      <c r="N498" s="15" t="s">
        <v>152</v>
      </c>
      <c r="O498" s="36" t="s">
        <v>162</v>
      </c>
      <c r="P498" s="36" t="str">
        <f t="shared" si="14"/>
        <v>WMTS_1/1000地形圖_屏東縣新園都市計畫(100年)</v>
      </c>
      <c r="Q498" s="29" t="s">
        <v>2143</v>
      </c>
      <c r="R498" s="29" t="str">
        <f t="shared" si="15"/>
        <v>2dms_wmts_v1_TOPO01K_T13</v>
      </c>
      <c r="S498" s="39" t="s">
        <v>155</v>
      </c>
      <c r="U498" s="27" t="str">
        <f>_xlfn.XLOOKUP(表格1[[#This Row],[服務類別(英)]],參考2_服務標準對照!$B:$B,參考2_服務標準對照!$C:$C,"")&amp;""</f>
        <v>OGC</v>
      </c>
      <c r="V498" s="29" t="s">
        <v>7</v>
      </c>
      <c r="W498" s="29" t="s">
        <v>163</v>
      </c>
      <c r="X498" s="29" t="s">
        <v>81</v>
      </c>
      <c r="Y498" s="36" t="s">
        <v>83</v>
      </c>
      <c r="Z498" s="36" t="s">
        <v>157</v>
      </c>
      <c r="AA498" s="36" t="s">
        <v>1159</v>
      </c>
      <c r="AB498" s="36"/>
      <c r="AC498" s="36"/>
      <c r="AD498" s="29" t="s">
        <v>119</v>
      </c>
      <c r="AE498" s="36" t="str">
        <f>_xlfn.XLOOKUP(表格1[[#This Row],[唯一識別碼]],API清冊0707!B:B,API清冊0707!T:T,"")&amp;""</f>
        <v>無下拉選單</v>
      </c>
    </row>
    <row r="499" spans="1:31" ht="204.75" customHeight="1" x14ac:dyDescent="0.4">
      <c r="A499" s="29" t="s">
        <v>2144</v>
      </c>
      <c r="B499" s="29"/>
      <c r="C499" s="29"/>
      <c r="D499" s="29" t="s">
        <v>2145</v>
      </c>
      <c r="E499" s="29" t="s">
        <v>2146</v>
      </c>
      <c r="F499" s="29" t="s">
        <v>2147</v>
      </c>
      <c r="G499" s="35"/>
      <c r="H499" s="35" t="s">
        <v>151</v>
      </c>
      <c r="I499" s="29" t="s">
        <v>2144</v>
      </c>
      <c r="J499" s="37"/>
      <c r="K499" s="38"/>
      <c r="L499" s="38"/>
      <c r="M499" s="36" t="s">
        <v>60</v>
      </c>
      <c r="N499" s="15" t="s">
        <v>152</v>
      </c>
      <c r="O499" s="36" t="s">
        <v>162</v>
      </c>
      <c r="P499" s="36" t="str">
        <f t="shared" si="14"/>
        <v>WMTS_1/1000地形圖_屏東縣新園烏龍都市計畫(100年)</v>
      </c>
      <c r="Q499" s="29" t="s">
        <v>2147</v>
      </c>
      <c r="R499" s="29" t="str">
        <f t="shared" si="15"/>
        <v>2dms_wmts_v1_TOPO01K_T12</v>
      </c>
      <c r="S499" s="39" t="s">
        <v>155</v>
      </c>
      <c r="U499" s="27" t="str">
        <f>_xlfn.XLOOKUP(表格1[[#This Row],[服務類別(英)]],參考2_服務標準對照!$B:$B,參考2_服務標準對照!$C:$C,"")&amp;""</f>
        <v>OGC</v>
      </c>
      <c r="V499" s="29" t="s">
        <v>7</v>
      </c>
      <c r="W499" s="29" t="s">
        <v>163</v>
      </c>
      <c r="X499" s="29" t="s">
        <v>81</v>
      </c>
      <c r="Y499" s="36" t="s">
        <v>83</v>
      </c>
      <c r="Z499" s="36" t="s">
        <v>157</v>
      </c>
      <c r="AA499" s="36" t="s">
        <v>1159</v>
      </c>
      <c r="AB499" s="36"/>
      <c r="AC499" s="36"/>
      <c r="AD499" s="29" t="s">
        <v>119</v>
      </c>
      <c r="AE499" s="36" t="str">
        <f>_xlfn.XLOOKUP(表格1[[#This Row],[唯一識別碼]],API清冊0707!B:B,API清冊0707!T:T,"")&amp;""</f>
        <v>無下拉選單</v>
      </c>
    </row>
    <row r="500" spans="1:31" ht="204.75" customHeight="1" x14ac:dyDescent="0.4">
      <c r="A500" s="29" t="s">
        <v>2148</v>
      </c>
      <c r="B500" s="29"/>
      <c r="C500" s="29"/>
      <c r="D500" s="29" t="s">
        <v>2149</v>
      </c>
      <c r="E500" s="29" t="s">
        <v>2150</v>
      </c>
      <c r="F500" s="29" t="s">
        <v>2151</v>
      </c>
      <c r="G500" s="35"/>
      <c r="H500" s="35" t="s">
        <v>151</v>
      </c>
      <c r="I500" s="29" t="s">
        <v>2148</v>
      </c>
      <c r="J500" s="37"/>
      <c r="K500" s="38"/>
      <c r="L500" s="38"/>
      <c r="M500" s="36" t="s">
        <v>60</v>
      </c>
      <c r="N500" s="15" t="s">
        <v>152</v>
      </c>
      <c r="O500" s="36" t="s">
        <v>162</v>
      </c>
      <c r="P500" s="36" t="str">
        <f t="shared" si="14"/>
        <v>WMTS_1/1000地形圖_屏東縣恆春都市計畫(100年)</v>
      </c>
      <c r="Q500" s="29" t="s">
        <v>2151</v>
      </c>
      <c r="R500" s="29" t="str">
        <f t="shared" si="15"/>
        <v>2dms_wmts_v1_TOPO01K_T11</v>
      </c>
      <c r="S500" s="39" t="s">
        <v>155</v>
      </c>
      <c r="U500" s="27" t="str">
        <f>_xlfn.XLOOKUP(表格1[[#This Row],[服務類別(英)]],參考2_服務標準對照!$B:$B,參考2_服務標準對照!$C:$C,"")&amp;""</f>
        <v>OGC</v>
      </c>
      <c r="V500" s="29" t="s">
        <v>7</v>
      </c>
      <c r="W500" s="29" t="s">
        <v>163</v>
      </c>
      <c r="X500" s="29" t="s">
        <v>81</v>
      </c>
      <c r="Y500" s="36" t="s">
        <v>83</v>
      </c>
      <c r="Z500" s="36" t="s">
        <v>157</v>
      </c>
      <c r="AA500" s="36" t="s">
        <v>1159</v>
      </c>
      <c r="AB500" s="36"/>
      <c r="AC500" s="36"/>
      <c r="AD500" s="29" t="s">
        <v>119</v>
      </c>
      <c r="AE500" s="36" t="str">
        <f>_xlfn.XLOOKUP(表格1[[#This Row],[唯一識別碼]],API清冊0707!B:B,API清冊0707!T:T,"")&amp;""</f>
        <v>無下拉選單</v>
      </c>
    </row>
    <row r="501" spans="1:31" ht="204.75" customHeight="1" x14ac:dyDescent="0.4">
      <c r="A501" s="29" t="s">
        <v>2152</v>
      </c>
      <c r="B501" s="29"/>
      <c r="C501" s="29"/>
      <c r="D501" s="29" t="s">
        <v>2153</v>
      </c>
      <c r="E501" s="29" t="s">
        <v>2154</v>
      </c>
      <c r="F501" s="29" t="s">
        <v>2155</v>
      </c>
      <c r="G501" s="35"/>
      <c r="H501" s="35" t="s">
        <v>151</v>
      </c>
      <c r="I501" s="29" t="s">
        <v>2152</v>
      </c>
      <c r="J501" s="37"/>
      <c r="K501" s="38"/>
      <c r="L501" s="38"/>
      <c r="M501" s="36" t="s">
        <v>60</v>
      </c>
      <c r="N501" s="15" t="s">
        <v>152</v>
      </c>
      <c r="O501" s="36" t="s">
        <v>162</v>
      </c>
      <c r="P501" s="36" t="str">
        <f t="shared" si="14"/>
        <v>WMTS_1/1000地形圖_屏東縣崁頂都市計畫(101年)</v>
      </c>
      <c r="Q501" s="29" t="s">
        <v>2155</v>
      </c>
      <c r="R501" s="29" t="str">
        <f t="shared" si="15"/>
        <v>2dms_wmts_v1_TOPO01K_T10</v>
      </c>
      <c r="S501" s="39" t="s">
        <v>155</v>
      </c>
      <c r="U501" s="27" t="str">
        <f>_xlfn.XLOOKUP(表格1[[#This Row],[服務類別(英)]],參考2_服務標準對照!$B:$B,參考2_服務標準對照!$C:$C,"")&amp;""</f>
        <v>OGC</v>
      </c>
      <c r="V501" s="29" t="s">
        <v>7</v>
      </c>
      <c r="W501" s="29" t="s">
        <v>163</v>
      </c>
      <c r="X501" s="29" t="s">
        <v>81</v>
      </c>
      <c r="Y501" s="36" t="s">
        <v>83</v>
      </c>
      <c r="Z501" s="36" t="s">
        <v>157</v>
      </c>
      <c r="AA501" s="36" t="s">
        <v>1159</v>
      </c>
      <c r="AB501" s="36"/>
      <c r="AC501" s="36"/>
      <c r="AD501" s="29" t="s">
        <v>119</v>
      </c>
      <c r="AE501" s="36" t="str">
        <f>_xlfn.XLOOKUP(表格1[[#This Row],[唯一識別碼]],API清冊0707!B:B,API清冊0707!T:T,"")&amp;""</f>
        <v>無下拉選單</v>
      </c>
    </row>
    <row r="502" spans="1:31" ht="204.75" customHeight="1" x14ac:dyDescent="0.4">
      <c r="A502" s="29" t="s">
        <v>2156</v>
      </c>
      <c r="B502" s="29"/>
      <c r="C502" s="29"/>
      <c r="D502" s="29" t="s">
        <v>2157</v>
      </c>
      <c r="E502" s="29" t="s">
        <v>2158</v>
      </c>
      <c r="F502" s="29" t="s">
        <v>2159</v>
      </c>
      <c r="G502" s="35"/>
      <c r="H502" s="35" t="s">
        <v>151</v>
      </c>
      <c r="I502" s="29" t="s">
        <v>2156</v>
      </c>
      <c r="J502" s="37"/>
      <c r="K502" s="38"/>
      <c r="L502" s="38"/>
      <c r="M502" s="36" t="s">
        <v>60</v>
      </c>
      <c r="N502" s="15" t="s">
        <v>152</v>
      </c>
      <c r="O502" s="36" t="s">
        <v>162</v>
      </c>
      <c r="P502" s="36" t="str">
        <f t="shared" si="14"/>
        <v>WMTS_1/1000地形圖_屏東縣屏東都市計畫(93-94年)</v>
      </c>
      <c r="Q502" s="29" t="s">
        <v>2159</v>
      </c>
      <c r="R502" s="29" t="str">
        <f t="shared" si="15"/>
        <v>2dms_wmts_v1_TOPO01K_T09</v>
      </c>
      <c r="S502" s="39" t="s">
        <v>155</v>
      </c>
      <c r="U502" s="27" t="str">
        <f>_xlfn.XLOOKUP(表格1[[#This Row],[服務類別(英)]],參考2_服務標準對照!$B:$B,參考2_服務標準對照!$C:$C,"")&amp;""</f>
        <v>OGC</v>
      </c>
      <c r="V502" s="29" t="s">
        <v>7</v>
      </c>
      <c r="W502" s="29" t="s">
        <v>163</v>
      </c>
      <c r="X502" s="29" t="s">
        <v>81</v>
      </c>
      <c r="Y502" s="36" t="s">
        <v>83</v>
      </c>
      <c r="Z502" s="36" t="s">
        <v>157</v>
      </c>
      <c r="AA502" s="36" t="s">
        <v>1159</v>
      </c>
      <c r="AB502" s="36"/>
      <c r="AC502" s="36"/>
      <c r="AD502" s="29" t="s">
        <v>119</v>
      </c>
      <c r="AE502" s="36" t="str">
        <f>_xlfn.XLOOKUP(表格1[[#This Row],[唯一識別碼]],API清冊0707!B:B,API清冊0707!T:T,"")&amp;""</f>
        <v>無下拉選單</v>
      </c>
    </row>
    <row r="503" spans="1:31" ht="204.75" customHeight="1" x14ac:dyDescent="0.4">
      <c r="A503" s="29" t="s">
        <v>2160</v>
      </c>
      <c r="B503" s="29"/>
      <c r="C503" s="29"/>
      <c r="D503" s="29" t="s">
        <v>2161</v>
      </c>
      <c r="E503" s="29" t="s">
        <v>2162</v>
      </c>
      <c r="F503" s="29" t="s">
        <v>2163</v>
      </c>
      <c r="G503" s="35"/>
      <c r="H503" s="35" t="s">
        <v>151</v>
      </c>
      <c r="I503" s="29" t="s">
        <v>2160</v>
      </c>
      <c r="J503" s="37"/>
      <c r="K503" s="38"/>
      <c r="L503" s="38"/>
      <c r="M503" s="36" t="s">
        <v>60</v>
      </c>
      <c r="N503" s="15" t="s">
        <v>152</v>
      </c>
      <c r="O503" s="36" t="s">
        <v>162</v>
      </c>
      <c r="P503" s="36" t="str">
        <f t="shared" ref="P503:P566" si="16">IF(LEN(TRIM(F503))&gt;0,F503,E503)</f>
        <v>WMTS_1/1000地形圖_屏東縣小琉球風景特定區計畫(102年)</v>
      </c>
      <c r="Q503" s="29" t="s">
        <v>2163</v>
      </c>
      <c r="R503" s="29" t="str">
        <f t="shared" ref="R503:R566" si="17">D503</f>
        <v>2dms_wmts_v1_TOPO01K_T08</v>
      </c>
      <c r="S503" s="39" t="s">
        <v>155</v>
      </c>
      <c r="U503" s="27" t="str">
        <f>_xlfn.XLOOKUP(表格1[[#This Row],[服務類別(英)]],參考2_服務標準對照!$B:$B,參考2_服務標準對照!$C:$C,"")&amp;""</f>
        <v>OGC</v>
      </c>
      <c r="V503" s="29" t="s">
        <v>7</v>
      </c>
      <c r="W503" s="29" t="s">
        <v>163</v>
      </c>
      <c r="X503" s="29" t="s">
        <v>81</v>
      </c>
      <c r="Y503" s="36" t="s">
        <v>83</v>
      </c>
      <c r="Z503" s="36" t="s">
        <v>157</v>
      </c>
      <c r="AA503" s="36" t="s">
        <v>1159</v>
      </c>
      <c r="AB503" s="36"/>
      <c r="AC503" s="36"/>
      <c r="AD503" s="29" t="s">
        <v>119</v>
      </c>
      <c r="AE503" s="36" t="str">
        <f>_xlfn.XLOOKUP(表格1[[#This Row],[唯一識別碼]],API清冊0707!B:B,API清冊0707!T:T,"")&amp;""</f>
        <v>無下拉選單</v>
      </c>
    </row>
    <row r="504" spans="1:31" ht="204.75" customHeight="1" x14ac:dyDescent="0.4">
      <c r="A504" s="29" t="s">
        <v>2164</v>
      </c>
      <c r="B504" s="29"/>
      <c r="C504" s="29"/>
      <c r="D504" s="29" t="s">
        <v>2165</v>
      </c>
      <c r="E504" s="29" t="s">
        <v>2166</v>
      </c>
      <c r="F504" s="29" t="s">
        <v>2167</v>
      </c>
      <c r="G504" s="35"/>
      <c r="H504" s="35" t="s">
        <v>151</v>
      </c>
      <c r="I504" s="29" t="s">
        <v>2164</v>
      </c>
      <c r="J504" s="37"/>
      <c r="K504" s="38"/>
      <c r="L504" s="38"/>
      <c r="M504" s="36" t="s">
        <v>60</v>
      </c>
      <c r="N504" s="15" t="s">
        <v>152</v>
      </c>
      <c r="O504" s="36" t="s">
        <v>162</v>
      </c>
      <c r="P504" s="36" t="str">
        <f t="shared" si="16"/>
        <v>WMTS_1/1000地形圖_屏東縣大鵬灣風景特定區計畫(102年)</v>
      </c>
      <c r="Q504" s="29" t="s">
        <v>2167</v>
      </c>
      <c r="R504" s="29" t="str">
        <f t="shared" si="17"/>
        <v>2dms_wmts_v1_TOPO01K_T07</v>
      </c>
      <c r="S504" s="39" t="s">
        <v>155</v>
      </c>
      <c r="U504" s="27" t="str">
        <f>_xlfn.XLOOKUP(表格1[[#This Row],[服務類別(英)]],參考2_服務標準對照!$B:$B,參考2_服務標準對照!$C:$C,"")&amp;""</f>
        <v>OGC</v>
      </c>
      <c r="V504" s="29" t="s">
        <v>7</v>
      </c>
      <c r="W504" s="29" t="s">
        <v>163</v>
      </c>
      <c r="X504" s="29" t="s">
        <v>81</v>
      </c>
      <c r="Y504" s="36" t="s">
        <v>83</v>
      </c>
      <c r="Z504" s="36" t="s">
        <v>157</v>
      </c>
      <c r="AA504" s="36" t="s">
        <v>1159</v>
      </c>
      <c r="AB504" s="36"/>
      <c r="AC504" s="36"/>
      <c r="AD504" s="29" t="s">
        <v>119</v>
      </c>
      <c r="AE504" s="36" t="str">
        <f>_xlfn.XLOOKUP(表格1[[#This Row],[唯一識別碼]],API清冊0707!B:B,API清冊0707!T:T,"")&amp;""</f>
        <v>無下拉選單</v>
      </c>
    </row>
    <row r="505" spans="1:31" ht="204.75" customHeight="1" x14ac:dyDescent="0.4">
      <c r="A505" s="29" t="s">
        <v>2168</v>
      </c>
      <c r="B505" s="29"/>
      <c r="C505" s="29"/>
      <c r="D505" s="29" t="s">
        <v>2169</v>
      </c>
      <c r="E505" s="29" t="s">
        <v>2170</v>
      </c>
      <c r="F505" s="29" t="s">
        <v>2171</v>
      </c>
      <c r="G505" s="35"/>
      <c r="H505" s="35" t="s">
        <v>151</v>
      </c>
      <c r="I505" s="29" t="s">
        <v>2168</v>
      </c>
      <c r="J505" s="37"/>
      <c r="K505" s="38"/>
      <c r="L505" s="38"/>
      <c r="M505" s="36" t="s">
        <v>60</v>
      </c>
      <c r="N505" s="15" t="s">
        <v>152</v>
      </c>
      <c r="O505" s="36" t="s">
        <v>162</v>
      </c>
      <c r="P505" s="36" t="str">
        <f t="shared" si="16"/>
        <v>WMTS_1/1000地形圖_屏東縣南州都市計畫(101年)</v>
      </c>
      <c r="Q505" s="29" t="s">
        <v>2171</v>
      </c>
      <c r="R505" s="29" t="str">
        <f t="shared" si="17"/>
        <v>2dms_wmts_v1_TOPO01K_T06</v>
      </c>
      <c r="S505" s="39" t="s">
        <v>155</v>
      </c>
      <c r="U505" s="27" t="str">
        <f>_xlfn.XLOOKUP(表格1[[#This Row],[服務類別(英)]],參考2_服務標準對照!$B:$B,參考2_服務標準對照!$C:$C,"")&amp;""</f>
        <v>OGC</v>
      </c>
      <c r="V505" s="29" t="s">
        <v>7</v>
      </c>
      <c r="W505" s="29" t="s">
        <v>163</v>
      </c>
      <c r="X505" s="29" t="s">
        <v>81</v>
      </c>
      <c r="Y505" s="36" t="s">
        <v>83</v>
      </c>
      <c r="Z505" s="36" t="s">
        <v>157</v>
      </c>
      <c r="AA505" s="36" t="s">
        <v>1159</v>
      </c>
      <c r="AB505" s="36"/>
      <c r="AC505" s="36"/>
      <c r="AD505" s="29" t="s">
        <v>119</v>
      </c>
      <c r="AE505" s="36" t="str">
        <f>_xlfn.XLOOKUP(表格1[[#This Row],[唯一識別碼]],API清冊0707!B:B,API清冊0707!T:T,"")&amp;""</f>
        <v>無下拉選單</v>
      </c>
    </row>
    <row r="506" spans="1:31" ht="204.75" customHeight="1" x14ac:dyDescent="0.4">
      <c r="A506" s="29" t="s">
        <v>2172</v>
      </c>
      <c r="B506" s="29"/>
      <c r="C506" s="29"/>
      <c r="D506" s="29" t="s">
        <v>2173</v>
      </c>
      <c r="E506" s="29" t="s">
        <v>2174</v>
      </c>
      <c r="F506" s="29" t="s">
        <v>2175</v>
      </c>
      <c r="G506" s="35"/>
      <c r="H506" s="35" t="s">
        <v>151</v>
      </c>
      <c r="I506" s="29" t="s">
        <v>2172</v>
      </c>
      <c r="J506" s="37"/>
      <c r="K506" s="38"/>
      <c r="L506" s="38"/>
      <c r="M506" s="36" t="s">
        <v>60</v>
      </c>
      <c r="N506" s="15" t="s">
        <v>152</v>
      </c>
      <c r="O506" s="36" t="s">
        <v>162</v>
      </c>
      <c r="P506" s="36" t="str">
        <f t="shared" si="16"/>
        <v>WMTS_1/1000地形圖_屏東縣內埔都市計畫(100年)</v>
      </c>
      <c r="Q506" s="29" t="s">
        <v>2175</v>
      </c>
      <c r="R506" s="29" t="str">
        <f t="shared" si="17"/>
        <v>2dms_wmts_v1_TOPO01K_T05</v>
      </c>
      <c r="S506" s="39" t="s">
        <v>155</v>
      </c>
      <c r="U506" s="27" t="str">
        <f>_xlfn.XLOOKUP(表格1[[#This Row],[服務類別(英)]],參考2_服務標準對照!$B:$B,參考2_服務標準對照!$C:$C,"")&amp;""</f>
        <v>OGC</v>
      </c>
      <c r="V506" s="29" t="s">
        <v>7</v>
      </c>
      <c r="W506" s="29" t="s">
        <v>163</v>
      </c>
      <c r="X506" s="29" t="s">
        <v>81</v>
      </c>
      <c r="Y506" s="36" t="s">
        <v>83</v>
      </c>
      <c r="Z506" s="36" t="s">
        <v>157</v>
      </c>
      <c r="AA506" s="36" t="s">
        <v>1159</v>
      </c>
      <c r="AB506" s="36"/>
      <c r="AC506" s="36"/>
      <c r="AD506" s="29" t="s">
        <v>119</v>
      </c>
      <c r="AE506" s="36" t="str">
        <f>_xlfn.XLOOKUP(表格1[[#This Row],[唯一識別碼]],API清冊0707!B:B,API清冊0707!T:T,"")&amp;""</f>
        <v>無下拉選單</v>
      </c>
    </row>
    <row r="507" spans="1:31" ht="204.75" customHeight="1" x14ac:dyDescent="0.4">
      <c r="A507" s="29" t="s">
        <v>2176</v>
      </c>
      <c r="B507" s="29"/>
      <c r="C507" s="29"/>
      <c r="D507" s="29" t="s">
        <v>2177</v>
      </c>
      <c r="E507" s="29" t="s">
        <v>2178</v>
      </c>
      <c r="F507" s="29" t="s">
        <v>2179</v>
      </c>
      <c r="G507" s="35"/>
      <c r="H507" s="35" t="s">
        <v>151</v>
      </c>
      <c r="I507" s="29" t="s">
        <v>2176</v>
      </c>
      <c r="J507" s="37"/>
      <c r="K507" s="38"/>
      <c r="L507" s="38"/>
      <c r="M507" s="36" t="s">
        <v>60</v>
      </c>
      <c r="N507" s="15" t="s">
        <v>152</v>
      </c>
      <c r="O507" s="36" t="s">
        <v>162</v>
      </c>
      <c r="P507" s="36" t="str">
        <f t="shared" si="16"/>
        <v>WMTS_1/1000地形圖_屏東縣內埔龍泉都市計畫(100年)</v>
      </c>
      <c r="Q507" s="29" t="s">
        <v>2179</v>
      </c>
      <c r="R507" s="29" t="str">
        <f t="shared" si="17"/>
        <v>2dms_wmts_v1_TOPO01K_T04</v>
      </c>
      <c r="S507" s="39" t="s">
        <v>155</v>
      </c>
      <c r="U507" s="27" t="str">
        <f>_xlfn.XLOOKUP(表格1[[#This Row],[服務類別(英)]],參考2_服務標準對照!$B:$B,參考2_服務標準對照!$C:$C,"")&amp;""</f>
        <v>OGC</v>
      </c>
      <c r="V507" s="29" t="s">
        <v>7</v>
      </c>
      <c r="W507" s="29" t="s">
        <v>163</v>
      </c>
      <c r="X507" s="29" t="s">
        <v>81</v>
      </c>
      <c r="Y507" s="36" t="s">
        <v>83</v>
      </c>
      <c r="Z507" s="36" t="s">
        <v>157</v>
      </c>
      <c r="AA507" s="36" t="s">
        <v>1159</v>
      </c>
      <c r="AB507" s="36"/>
      <c r="AC507" s="36"/>
      <c r="AD507" s="29" t="s">
        <v>119</v>
      </c>
      <c r="AE507" s="36" t="str">
        <f>_xlfn.XLOOKUP(表格1[[#This Row],[唯一識別碼]],API清冊0707!B:B,API清冊0707!T:T,"")&amp;""</f>
        <v>無下拉選單</v>
      </c>
    </row>
    <row r="508" spans="1:31" ht="204.75" customHeight="1" x14ac:dyDescent="0.4">
      <c r="A508" s="29" t="s">
        <v>2180</v>
      </c>
      <c r="B508" s="29"/>
      <c r="C508" s="29"/>
      <c r="D508" s="29" t="s">
        <v>2181</v>
      </c>
      <c r="E508" s="29" t="s">
        <v>2182</v>
      </c>
      <c r="F508" s="29" t="s">
        <v>2183</v>
      </c>
      <c r="G508" s="35"/>
      <c r="H508" s="35" t="s">
        <v>151</v>
      </c>
      <c r="I508" s="29" t="s">
        <v>2180</v>
      </c>
      <c r="J508" s="37"/>
      <c r="K508" s="38"/>
      <c r="L508" s="38"/>
      <c r="M508" s="36" t="s">
        <v>60</v>
      </c>
      <c r="N508" s="15" t="s">
        <v>152</v>
      </c>
      <c r="O508" s="36" t="s">
        <v>162</v>
      </c>
      <c r="P508" s="36" t="str">
        <f t="shared" si="16"/>
        <v>WMTS_1/1000地形圖_屏東縣內埔豐田都市計畫(100年)</v>
      </c>
      <c r="Q508" s="29" t="s">
        <v>2183</v>
      </c>
      <c r="R508" s="29" t="str">
        <f t="shared" si="17"/>
        <v>2dms_wmts_v1_TOPO01K_T03</v>
      </c>
      <c r="S508" s="39" t="s">
        <v>155</v>
      </c>
      <c r="U508" s="27" t="str">
        <f>_xlfn.XLOOKUP(表格1[[#This Row],[服務類別(英)]],參考2_服務標準對照!$B:$B,參考2_服務標準對照!$C:$C,"")&amp;""</f>
        <v>OGC</v>
      </c>
      <c r="V508" s="29" t="s">
        <v>7</v>
      </c>
      <c r="W508" s="29" t="s">
        <v>163</v>
      </c>
      <c r="X508" s="29" t="s">
        <v>81</v>
      </c>
      <c r="Y508" s="36" t="s">
        <v>83</v>
      </c>
      <c r="Z508" s="36" t="s">
        <v>157</v>
      </c>
      <c r="AA508" s="36" t="s">
        <v>1159</v>
      </c>
      <c r="AB508" s="36"/>
      <c r="AC508" s="36"/>
      <c r="AD508" s="29" t="s">
        <v>119</v>
      </c>
      <c r="AE508" s="36" t="str">
        <f>_xlfn.XLOOKUP(表格1[[#This Row],[唯一識別碼]],API清冊0707!B:B,API清冊0707!T:T,"")&amp;""</f>
        <v>無下拉選單</v>
      </c>
    </row>
    <row r="509" spans="1:31" ht="204.75" customHeight="1" x14ac:dyDescent="0.4">
      <c r="A509" s="29" t="s">
        <v>2184</v>
      </c>
      <c r="B509" s="29"/>
      <c r="C509" s="29"/>
      <c r="D509" s="29" t="s">
        <v>2185</v>
      </c>
      <c r="E509" s="29" t="s">
        <v>2186</v>
      </c>
      <c r="F509" s="29" t="s">
        <v>2187</v>
      </c>
      <c r="G509" s="35"/>
      <c r="H509" s="35" t="s">
        <v>151</v>
      </c>
      <c r="I509" s="29" t="s">
        <v>2184</v>
      </c>
      <c r="J509" s="37"/>
      <c r="K509" s="38"/>
      <c r="L509" s="38"/>
      <c r="M509" s="36" t="s">
        <v>60</v>
      </c>
      <c r="N509" s="15" t="s">
        <v>152</v>
      </c>
      <c r="O509" s="36" t="s">
        <v>162</v>
      </c>
      <c r="P509" s="36" t="str">
        <f t="shared" si="16"/>
        <v>WMTS_1/1000地形圖_屏東縣佳冬都市計畫(100年)</v>
      </c>
      <c r="Q509" s="29" t="s">
        <v>2187</v>
      </c>
      <c r="R509" s="29" t="str">
        <f t="shared" si="17"/>
        <v>2dms_wmts_v1_TOPO01K_T02</v>
      </c>
      <c r="S509" s="39" t="s">
        <v>155</v>
      </c>
      <c r="U509" s="27" t="str">
        <f>_xlfn.XLOOKUP(表格1[[#This Row],[服務類別(英)]],參考2_服務標準對照!$B:$B,參考2_服務標準對照!$C:$C,"")&amp;""</f>
        <v>OGC</v>
      </c>
      <c r="V509" s="29" t="s">
        <v>7</v>
      </c>
      <c r="W509" s="29" t="s">
        <v>163</v>
      </c>
      <c r="X509" s="29" t="s">
        <v>81</v>
      </c>
      <c r="Y509" s="36" t="s">
        <v>83</v>
      </c>
      <c r="Z509" s="36" t="s">
        <v>157</v>
      </c>
      <c r="AA509" s="36" t="s">
        <v>1159</v>
      </c>
      <c r="AB509" s="36"/>
      <c r="AC509" s="36"/>
      <c r="AD509" s="29" t="s">
        <v>119</v>
      </c>
      <c r="AE509" s="36" t="str">
        <f>_xlfn.XLOOKUP(表格1[[#This Row],[唯一識別碼]],API清冊0707!B:B,API清冊0707!T:T,"")&amp;""</f>
        <v>無下拉選單</v>
      </c>
    </row>
    <row r="510" spans="1:31" ht="204.75" customHeight="1" x14ac:dyDescent="0.4">
      <c r="A510" s="29" t="s">
        <v>2188</v>
      </c>
      <c r="B510" s="29"/>
      <c r="C510" s="29"/>
      <c r="D510" s="29" t="s">
        <v>2189</v>
      </c>
      <c r="E510" s="29" t="s">
        <v>2190</v>
      </c>
      <c r="F510" s="29" t="s">
        <v>2191</v>
      </c>
      <c r="G510" s="35"/>
      <c r="H510" s="35" t="s">
        <v>151</v>
      </c>
      <c r="I510" s="29" t="s">
        <v>2188</v>
      </c>
      <c r="J510" s="37"/>
      <c r="K510" s="38"/>
      <c r="L510" s="38"/>
      <c r="M510" s="36" t="s">
        <v>60</v>
      </c>
      <c r="N510" s="15" t="s">
        <v>152</v>
      </c>
      <c r="O510" s="36" t="s">
        <v>162</v>
      </c>
      <c r="P510" s="36" t="str">
        <f t="shared" si="16"/>
        <v>WMTS_1/1000地形圖_屏東縣九如都市計畫(100年)</v>
      </c>
      <c r="Q510" s="29" t="s">
        <v>2191</v>
      </c>
      <c r="R510" s="29" t="str">
        <f t="shared" si="17"/>
        <v>2dms_wmts_v1_TOPO01K_T01</v>
      </c>
      <c r="S510" s="39" t="s">
        <v>155</v>
      </c>
      <c r="U510" s="27" t="str">
        <f>_xlfn.XLOOKUP(表格1[[#This Row],[服務類別(英)]],參考2_服務標準對照!$B:$B,參考2_服務標準對照!$C:$C,"")&amp;""</f>
        <v>OGC</v>
      </c>
      <c r="V510" s="29" t="s">
        <v>7</v>
      </c>
      <c r="W510" s="29" t="s">
        <v>163</v>
      </c>
      <c r="X510" s="29" t="s">
        <v>81</v>
      </c>
      <c r="Y510" s="36" t="s">
        <v>83</v>
      </c>
      <c r="Z510" s="36" t="s">
        <v>157</v>
      </c>
      <c r="AA510" s="36" t="s">
        <v>1159</v>
      </c>
      <c r="AB510" s="36"/>
      <c r="AC510" s="36"/>
      <c r="AD510" s="29" t="s">
        <v>119</v>
      </c>
      <c r="AE510" s="36" t="str">
        <f>_xlfn.XLOOKUP(表格1[[#This Row],[唯一識別碼]],API清冊0707!B:B,API清冊0707!T:T,"")&amp;""</f>
        <v>無下拉選單</v>
      </c>
    </row>
    <row r="511" spans="1:31" ht="204.75" customHeight="1" x14ac:dyDescent="0.4">
      <c r="A511" s="29" t="s">
        <v>2192</v>
      </c>
      <c r="B511" s="29"/>
      <c r="C511" s="29"/>
      <c r="D511" s="29" t="s">
        <v>2193</v>
      </c>
      <c r="E511" s="29" t="s">
        <v>2194</v>
      </c>
      <c r="F511" s="29" t="s">
        <v>2195</v>
      </c>
      <c r="G511" s="35"/>
      <c r="H511" s="35" t="s">
        <v>151</v>
      </c>
      <c r="I511" s="29" t="s">
        <v>2192</v>
      </c>
      <c r="J511" s="37"/>
      <c r="K511" s="38"/>
      <c r="L511" s="38"/>
      <c r="M511" s="36" t="s">
        <v>60</v>
      </c>
      <c r="N511" s="15" t="s">
        <v>152</v>
      </c>
      <c r="O511" s="36" t="s">
        <v>162</v>
      </c>
      <c r="P511" s="36" t="str">
        <f t="shared" si="16"/>
        <v>WMTS_1/1000地形圖_嘉義縣阿里山風景區計畫(110年)</v>
      </c>
      <c r="Q511" s="29" t="s">
        <v>2195</v>
      </c>
      <c r="R511" s="29" t="str">
        <f t="shared" si="17"/>
        <v>2dms_wmts_v1_TOPO01K_Q29</v>
      </c>
      <c r="S511" s="39" t="s">
        <v>155</v>
      </c>
      <c r="U511" s="27" t="str">
        <f>_xlfn.XLOOKUP(表格1[[#This Row],[服務類別(英)]],參考2_服務標準對照!$B:$B,參考2_服務標準對照!$C:$C,"")&amp;""</f>
        <v>OGC</v>
      </c>
      <c r="V511" s="29" t="s">
        <v>7</v>
      </c>
      <c r="W511" s="29" t="s">
        <v>163</v>
      </c>
      <c r="X511" s="29" t="s">
        <v>81</v>
      </c>
      <c r="Y511" s="36" t="s">
        <v>83</v>
      </c>
      <c r="Z511" s="36" t="s">
        <v>157</v>
      </c>
      <c r="AA511" s="36" t="s">
        <v>1159</v>
      </c>
      <c r="AB511" s="36"/>
      <c r="AC511" s="36"/>
      <c r="AD511" s="29" t="s">
        <v>119</v>
      </c>
      <c r="AE511" s="36" t="str">
        <f>_xlfn.XLOOKUP(表格1[[#This Row],[唯一識別碼]],API清冊0707!B:B,API清冊0707!T:T,"")&amp;""</f>
        <v>無下拉選單</v>
      </c>
    </row>
    <row r="512" spans="1:31" ht="204.75" customHeight="1" x14ac:dyDescent="0.4">
      <c r="A512" s="29" t="s">
        <v>2196</v>
      </c>
      <c r="B512" s="29"/>
      <c r="C512" s="29"/>
      <c r="D512" s="29" t="s">
        <v>2197</v>
      </c>
      <c r="E512" s="29" t="s">
        <v>2198</v>
      </c>
      <c r="F512" s="29" t="s">
        <v>2199</v>
      </c>
      <c r="G512" s="35"/>
      <c r="H512" s="35" t="s">
        <v>151</v>
      </c>
      <c r="I512" s="29" t="s">
        <v>2196</v>
      </c>
      <c r="J512" s="37"/>
      <c r="K512" s="38"/>
      <c r="L512" s="38"/>
      <c r="M512" s="36" t="s">
        <v>60</v>
      </c>
      <c r="N512" s="15" t="s">
        <v>152</v>
      </c>
      <c r="O512" s="36" t="s">
        <v>162</v>
      </c>
      <c r="P512" s="36" t="str">
        <f t="shared" si="16"/>
        <v>WMTS_1/1000地形圖_嘉義縣鹿草都市計畫(99年)</v>
      </c>
      <c r="Q512" s="29" t="s">
        <v>2199</v>
      </c>
      <c r="R512" s="29" t="str">
        <f t="shared" si="17"/>
        <v>2dms_wmts_v1_TOPO01K_Q27</v>
      </c>
      <c r="S512" s="39" t="s">
        <v>155</v>
      </c>
      <c r="U512" s="27" t="str">
        <f>_xlfn.XLOOKUP(表格1[[#This Row],[服務類別(英)]],參考2_服務標準對照!$B:$B,參考2_服務標準對照!$C:$C,"")&amp;""</f>
        <v>OGC</v>
      </c>
      <c r="V512" s="29" t="s">
        <v>7</v>
      </c>
      <c r="W512" s="29" t="s">
        <v>163</v>
      </c>
      <c r="X512" s="29" t="s">
        <v>81</v>
      </c>
      <c r="Y512" s="36" t="s">
        <v>83</v>
      </c>
      <c r="Z512" s="36" t="s">
        <v>157</v>
      </c>
      <c r="AA512" s="36" t="s">
        <v>1159</v>
      </c>
      <c r="AB512" s="36"/>
      <c r="AC512" s="36"/>
      <c r="AD512" s="29" t="s">
        <v>119</v>
      </c>
      <c r="AE512" s="36" t="str">
        <f>_xlfn.XLOOKUP(表格1[[#This Row],[唯一識別碼]],API清冊0707!B:B,API清冊0707!T:T,"")&amp;""</f>
        <v>無下拉選單</v>
      </c>
    </row>
    <row r="513" spans="1:31" ht="204.75" customHeight="1" x14ac:dyDescent="0.4">
      <c r="A513" s="29" t="s">
        <v>2200</v>
      </c>
      <c r="B513" s="29"/>
      <c r="C513" s="29"/>
      <c r="D513" s="29" t="s">
        <v>2201</v>
      </c>
      <c r="E513" s="29" t="s">
        <v>2202</v>
      </c>
      <c r="F513" s="29" t="s">
        <v>2203</v>
      </c>
      <c r="G513" s="35"/>
      <c r="H513" s="35" t="s">
        <v>151</v>
      </c>
      <c r="I513" s="29" t="s">
        <v>2200</v>
      </c>
      <c r="J513" s="37"/>
      <c r="K513" s="38"/>
      <c r="L513" s="38"/>
      <c r="M513" s="36" t="s">
        <v>60</v>
      </c>
      <c r="N513" s="15" t="s">
        <v>152</v>
      </c>
      <c r="O513" s="36" t="s">
        <v>162</v>
      </c>
      <c r="P513" s="36" t="str">
        <f t="shared" si="16"/>
        <v>WMTS_1/1000地形圖_嘉義縣高速鐵路嘉義車站特定區計畫(94年)</v>
      </c>
      <c r="Q513" s="29" t="s">
        <v>2203</v>
      </c>
      <c r="R513" s="29" t="str">
        <f t="shared" si="17"/>
        <v>2dms_wmts_v1_TOPO01K_Q26</v>
      </c>
      <c r="S513" s="39" t="s">
        <v>155</v>
      </c>
      <c r="U513" s="27" t="str">
        <f>_xlfn.XLOOKUP(表格1[[#This Row],[服務類別(英)]],參考2_服務標準對照!$B:$B,參考2_服務標準對照!$C:$C,"")&amp;""</f>
        <v>OGC</v>
      </c>
      <c r="V513" s="29" t="s">
        <v>7</v>
      </c>
      <c r="W513" s="29" t="s">
        <v>163</v>
      </c>
      <c r="X513" s="29" t="s">
        <v>81</v>
      </c>
      <c r="Y513" s="36" t="s">
        <v>83</v>
      </c>
      <c r="Z513" s="36" t="s">
        <v>157</v>
      </c>
      <c r="AA513" s="36" t="s">
        <v>1159</v>
      </c>
      <c r="AB513" s="36"/>
      <c r="AC513" s="36"/>
      <c r="AD513" s="29" t="s">
        <v>119</v>
      </c>
      <c r="AE513" s="36" t="str">
        <f>_xlfn.XLOOKUP(表格1[[#This Row],[唯一識別碼]],API清冊0707!B:B,API清冊0707!T:T,"")&amp;""</f>
        <v>無下拉選單</v>
      </c>
    </row>
    <row r="514" spans="1:31" ht="204.75" customHeight="1" x14ac:dyDescent="0.4">
      <c r="A514" s="29" t="s">
        <v>2204</v>
      </c>
      <c r="B514" s="29"/>
      <c r="C514" s="29"/>
      <c r="D514" s="29" t="s">
        <v>2205</v>
      </c>
      <c r="E514" s="29" t="s">
        <v>2206</v>
      </c>
      <c r="F514" s="29" t="s">
        <v>2207</v>
      </c>
      <c r="G514" s="35"/>
      <c r="H514" s="35" t="s">
        <v>151</v>
      </c>
      <c r="I514" s="29" t="s">
        <v>2204</v>
      </c>
      <c r="J514" s="37"/>
      <c r="K514" s="38"/>
      <c r="L514" s="38"/>
      <c r="M514" s="36" t="s">
        <v>60</v>
      </c>
      <c r="N514" s="15" t="s">
        <v>152</v>
      </c>
      <c r="O514" s="36" t="s">
        <v>162</v>
      </c>
      <c r="P514" s="36" t="str">
        <f t="shared" si="16"/>
        <v>WMTS_1/1000地形圖_嘉義縣高速公路嘉義交流道特定區計畫(98年)</v>
      </c>
      <c r="Q514" s="29" t="s">
        <v>2207</v>
      </c>
      <c r="R514" s="29" t="str">
        <f t="shared" si="17"/>
        <v>2dms_wmts_v1_TOPO01K_Q25</v>
      </c>
      <c r="S514" s="39" t="s">
        <v>155</v>
      </c>
      <c r="U514" s="27" t="str">
        <f>_xlfn.XLOOKUP(表格1[[#This Row],[服務類別(英)]],參考2_服務標準對照!$B:$B,參考2_服務標準對照!$C:$C,"")&amp;""</f>
        <v>OGC</v>
      </c>
      <c r="V514" s="29" t="s">
        <v>7</v>
      </c>
      <c r="W514" s="29" t="s">
        <v>163</v>
      </c>
      <c r="X514" s="29" t="s">
        <v>81</v>
      </c>
      <c r="Y514" s="36" t="s">
        <v>83</v>
      </c>
      <c r="Z514" s="36" t="s">
        <v>157</v>
      </c>
      <c r="AA514" s="36" t="s">
        <v>1159</v>
      </c>
      <c r="AB514" s="36"/>
      <c r="AC514" s="36"/>
      <c r="AD514" s="29" t="s">
        <v>119</v>
      </c>
      <c r="AE514" s="36" t="str">
        <f>_xlfn.XLOOKUP(表格1[[#This Row],[唯一識別碼]],API清冊0707!B:B,API清冊0707!T:T,"")&amp;""</f>
        <v>無下拉選單</v>
      </c>
    </row>
    <row r="515" spans="1:31" ht="204.75" customHeight="1" x14ac:dyDescent="0.4">
      <c r="A515" s="29" t="s">
        <v>2208</v>
      </c>
      <c r="B515" s="29"/>
      <c r="C515" s="29"/>
      <c r="D515" s="29" t="s">
        <v>2209</v>
      </c>
      <c r="E515" s="29" t="s">
        <v>2210</v>
      </c>
      <c r="F515" s="29" t="s">
        <v>2211</v>
      </c>
      <c r="G515" s="35"/>
      <c r="H515" s="35" t="s">
        <v>151</v>
      </c>
      <c r="I515" s="29" t="s">
        <v>2208</v>
      </c>
      <c r="J515" s="37"/>
      <c r="K515" s="38"/>
      <c r="L515" s="38"/>
      <c r="M515" s="36" t="s">
        <v>60</v>
      </c>
      <c r="N515" s="15" t="s">
        <v>152</v>
      </c>
      <c r="O515" s="36" t="s">
        <v>162</v>
      </c>
      <c r="P515" s="36" t="str">
        <f t="shared" si="16"/>
        <v>WMTS_1/1000地形圖_嘉義縣阿里山達邦地區都市計畫(99年)</v>
      </c>
      <c r="Q515" s="29" t="s">
        <v>2211</v>
      </c>
      <c r="R515" s="29" t="str">
        <f t="shared" si="17"/>
        <v>2dms_wmts_v1_TOPO01K_Q24</v>
      </c>
      <c r="S515" s="39" t="s">
        <v>155</v>
      </c>
      <c r="U515" s="27" t="str">
        <f>_xlfn.XLOOKUP(表格1[[#This Row],[服務類別(英)]],參考2_服務標準對照!$B:$B,參考2_服務標準對照!$C:$C,"")&amp;""</f>
        <v>OGC</v>
      </c>
      <c r="V515" s="29" t="s">
        <v>7</v>
      </c>
      <c r="W515" s="29" t="s">
        <v>163</v>
      </c>
      <c r="X515" s="29" t="s">
        <v>81</v>
      </c>
      <c r="Y515" s="36" t="s">
        <v>83</v>
      </c>
      <c r="Z515" s="36" t="s">
        <v>157</v>
      </c>
      <c r="AA515" s="36" t="s">
        <v>1159</v>
      </c>
      <c r="AB515" s="36"/>
      <c r="AC515" s="36"/>
      <c r="AD515" s="29" t="s">
        <v>119</v>
      </c>
      <c r="AE515" s="36" t="str">
        <f>_xlfn.XLOOKUP(表格1[[#This Row],[唯一識別碼]],API清冊0707!B:B,API清冊0707!T:T,"")&amp;""</f>
        <v>無下拉選單</v>
      </c>
    </row>
    <row r="516" spans="1:31" ht="204.75" customHeight="1" x14ac:dyDescent="0.4">
      <c r="A516" s="29" t="s">
        <v>2212</v>
      </c>
      <c r="B516" s="29"/>
      <c r="C516" s="29"/>
      <c r="D516" s="29" t="s">
        <v>2213</v>
      </c>
      <c r="E516" s="29" t="s">
        <v>2214</v>
      </c>
      <c r="F516" s="29" t="s">
        <v>2215</v>
      </c>
      <c r="G516" s="35"/>
      <c r="H516" s="35" t="s">
        <v>151</v>
      </c>
      <c r="I516" s="29" t="s">
        <v>2212</v>
      </c>
      <c r="J516" s="37"/>
      <c r="K516" s="38"/>
      <c r="L516" s="38"/>
      <c r="M516" s="36" t="s">
        <v>60</v>
      </c>
      <c r="N516" s="15" t="s">
        <v>152</v>
      </c>
      <c r="O516" s="36" t="s">
        <v>162</v>
      </c>
      <c r="P516" s="36" t="str">
        <f t="shared" si="16"/>
        <v>WMTS_1/1000地形圖_嘉義縣義竹都市計畫(98年)</v>
      </c>
      <c r="Q516" s="29" t="s">
        <v>2215</v>
      </c>
      <c r="R516" s="29" t="str">
        <f t="shared" si="17"/>
        <v>2dms_wmts_v1_TOPO01K_Q23</v>
      </c>
      <c r="S516" s="39" t="s">
        <v>155</v>
      </c>
      <c r="U516" s="27" t="str">
        <f>_xlfn.XLOOKUP(表格1[[#This Row],[服務類別(英)]],參考2_服務標準對照!$B:$B,參考2_服務標準對照!$C:$C,"")&amp;""</f>
        <v>OGC</v>
      </c>
      <c r="V516" s="29" t="s">
        <v>7</v>
      </c>
      <c r="W516" s="29" t="s">
        <v>163</v>
      </c>
      <c r="X516" s="29" t="s">
        <v>81</v>
      </c>
      <c r="Y516" s="36" t="s">
        <v>83</v>
      </c>
      <c r="Z516" s="36" t="s">
        <v>157</v>
      </c>
      <c r="AA516" s="36" t="s">
        <v>1159</v>
      </c>
      <c r="AB516" s="36"/>
      <c r="AC516" s="36"/>
      <c r="AD516" s="29" t="s">
        <v>119</v>
      </c>
      <c r="AE516" s="36" t="str">
        <f>_xlfn.XLOOKUP(表格1[[#This Row],[唯一識別碼]],API清冊0707!B:B,API清冊0707!T:T,"")&amp;""</f>
        <v>無下拉選單</v>
      </c>
    </row>
    <row r="517" spans="1:31" ht="204.75" customHeight="1" x14ac:dyDescent="0.4">
      <c r="A517" s="29" t="s">
        <v>2216</v>
      </c>
      <c r="B517" s="29"/>
      <c r="C517" s="29"/>
      <c r="D517" s="29" t="s">
        <v>2217</v>
      </c>
      <c r="E517" s="29" t="s">
        <v>2218</v>
      </c>
      <c r="F517" s="29" t="s">
        <v>2219</v>
      </c>
      <c r="G517" s="35"/>
      <c r="H517" s="35" t="s">
        <v>151</v>
      </c>
      <c r="I517" s="29" t="s">
        <v>2216</v>
      </c>
      <c r="J517" s="37"/>
      <c r="K517" s="38"/>
      <c r="L517" s="38"/>
      <c r="M517" s="36" t="s">
        <v>60</v>
      </c>
      <c r="N517" s="15" t="s">
        <v>152</v>
      </c>
      <c r="O517" s="36" t="s">
        <v>162</v>
      </c>
      <c r="P517" s="36" t="str">
        <f t="shared" si="16"/>
        <v>WMTS_1/1000地形圖_嘉義縣縣治所在地都市計畫(94年)</v>
      </c>
      <c r="Q517" s="29" t="s">
        <v>2219</v>
      </c>
      <c r="R517" s="29" t="str">
        <f t="shared" si="17"/>
        <v>2dms_wmts_v1_TOPO01K_Q22</v>
      </c>
      <c r="S517" s="39" t="s">
        <v>155</v>
      </c>
      <c r="U517" s="27" t="str">
        <f>_xlfn.XLOOKUP(表格1[[#This Row],[服務類別(英)]],參考2_服務標準對照!$B:$B,參考2_服務標準對照!$C:$C,"")&amp;""</f>
        <v>OGC</v>
      </c>
      <c r="V517" s="29" t="s">
        <v>7</v>
      </c>
      <c r="W517" s="29" t="s">
        <v>163</v>
      </c>
      <c r="X517" s="29" t="s">
        <v>81</v>
      </c>
      <c r="Y517" s="36" t="s">
        <v>83</v>
      </c>
      <c r="Z517" s="36" t="s">
        <v>157</v>
      </c>
      <c r="AA517" s="36" t="s">
        <v>1159</v>
      </c>
      <c r="AB517" s="36"/>
      <c r="AC517" s="36"/>
      <c r="AD517" s="29" t="s">
        <v>119</v>
      </c>
      <c r="AE517" s="36" t="str">
        <f>_xlfn.XLOOKUP(表格1[[#This Row],[唯一識別碼]],API清冊0707!B:B,API清冊0707!T:T,"")&amp;""</f>
        <v>無下拉選單</v>
      </c>
    </row>
    <row r="518" spans="1:31" ht="204.75" customHeight="1" x14ac:dyDescent="0.4">
      <c r="A518" s="29" t="s">
        <v>2220</v>
      </c>
      <c r="B518" s="29"/>
      <c r="C518" s="29"/>
      <c r="D518" s="29" t="s">
        <v>2221</v>
      </c>
      <c r="E518" s="29" t="s">
        <v>2222</v>
      </c>
      <c r="F518" s="29" t="s">
        <v>2223</v>
      </c>
      <c r="G518" s="35"/>
      <c r="H518" s="35" t="s">
        <v>151</v>
      </c>
      <c r="I518" s="29" t="s">
        <v>2220</v>
      </c>
      <c r="J518" s="37"/>
      <c r="K518" s="38"/>
      <c r="L518" s="38"/>
      <c r="M518" s="36" t="s">
        <v>60</v>
      </c>
      <c r="N518" s="15" t="s">
        <v>152</v>
      </c>
      <c r="O518" s="36" t="s">
        <v>162</v>
      </c>
      <c r="P518" s="36" t="str">
        <f t="shared" si="16"/>
        <v>WMTS_1/1000地形圖_嘉義縣竹崎都市計畫(99年)</v>
      </c>
      <c r="Q518" s="29" t="s">
        <v>2223</v>
      </c>
      <c r="R518" s="29" t="str">
        <f t="shared" si="17"/>
        <v>2dms_wmts_v1_TOPO01K_Q21</v>
      </c>
      <c r="S518" s="39" t="s">
        <v>155</v>
      </c>
      <c r="U518" s="27" t="str">
        <f>_xlfn.XLOOKUP(表格1[[#This Row],[服務類別(英)]],參考2_服務標準對照!$B:$B,參考2_服務標準對照!$C:$C,"")&amp;""</f>
        <v>OGC</v>
      </c>
      <c r="V518" s="29" t="s">
        <v>7</v>
      </c>
      <c r="W518" s="29" t="s">
        <v>163</v>
      </c>
      <c r="X518" s="29" t="s">
        <v>81</v>
      </c>
      <c r="Y518" s="36" t="s">
        <v>83</v>
      </c>
      <c r="Z518" s="36" t="s">
        <v>157</v>
      </c>
      <c r="AA518" s="36" t="s">
        <v>1159</v>
      </c>
      <c r="AB518" s="36"/>
      <c r="AC518" s="36"/>
      <c r="AD518" s="29" t="s">
        <v>119</v>
      </c>
      <c r="AE518" s="36" t="str">
        <f>_xlfn.XLOOKUP(表格1[[#This Row],[唯一識別碼]],API清冊0707!B:B,API清冊0707!T:T,"")&amp;""</f>
        <v>無下拉選單</v>
      </c>
    </row>
    <row r="519" spans="1:31" ht="204.75" customHeight="1" x14ac:dyDescent="0.4">
      <c r="A519" s="29" t="s">
        <v>2224</v>
      </c>
      <c r="B519" s="29"/>
      <c r="C519" s="29"/>
      <c r="D519" s="29" t="s">
        <v>2225</v>
      </c>
      <c r="E519" s="29" t="s">
        <v>2226</v>
      </c>
      <c r="F519" s="29" t="s">
        <v>2227</v>
      </c>
      <c r="G519" s="35"/>
      <c r="H519" s="35" t="s">
        <v>151</v>
      </c>
      <c r="I519" s="29" t="s">
        <v>2224</v>
      </c>
      <c r="J519" s="37"/>
      <c r="K519" s="38"/>
      <c r="L519" s="38"/>
      <c r="M519" s="36" t="s">
        <v>60</v>
      </c>
      <c r="N519" s="15" t="s">
        <v>152</v>
      </c>
      <c r="O519" s="36" t="s">
        <v>162</v>
      </c>
      <c r="P519" s="36" t="str">
        <f t="shared" si="16"/>
        <v>WMTS_1/1000地形圖_嘉義縣溪口都市計畫(97年)</v>
      </c>
      <c r="Q519" s="29" t="s">
        <v>2227</v>
      </c>
      <c r="R519" s="29" t="str">
        <f t="shared" si="17"/>
        <v>2dms_wmts_v1_TOPO01K_Q20</v>
      </c>
      <c r="S519" s="39" t="s">
        <v>155</v>
      </c>
      <c r="U519" s="27" t="str">
        <f>_xlfn.XLOOKUP(表格1[[#This Row],[服務類別(英)]],參考2_服務標準對照!$B:$B,參考2_服務標準對照!$C:$C,"")&amp;""</f>
        <v>OGC</v>
      </c>
      <c r="V519" s="29" t="s">
        <v>7</v>
      </c>
      <c r="W519" s="29" t="s">
        <v>163</v>
      </c>
      <c r="X519" s="29" t="s">
        <v>81</v>
      </c>
      <c r="Y519" s="36" t="s">
        <v>83</v>
      </c>
      <c r="Z519" s="36" t="s">
        <v>157</v>
      </c>
      <c r="AA519" s="36" t="s">
        <v>1159</v>
      </c>
      <c r="AB519" s="36"/>
      <c r="AC519" s="36"/>
      <c r="AD519" s="29" t="s">
        <v>119</v>
      </c>
      <c r="AE519" s="36" t="str">
        <f>_xlfn.XLOOKUP(表格1[[#This Row],[唯一識別碼]],API清冊0707!B:B,API清冊0707!T:T,"")&amp;""</f>
        <v>無下拉選單</v>
      </c>
    </row>
    <row r="520" spans="1:31" ht="204.75" customHeight="1" x14ac:dyDescent="0.4">
      <c r="A520" s="29" t="s">
        <v>2228</v>
      </c>
      <c r="B520" s="29"/>
      <c r="C520" s="29"/>
      <c r="D520" s="29" t="s">
        <v>2229</v>
      </c>
      <c r="E520" s="29" t="s">
        <v>2230</v>
      </c>
      <c r="F520" s="29" t="s">
        <v>2231</v>
      </c>
      <c r="G520" s="35"/>
      <c r="H520" s="35" t="s">
        <v>151</v>
      </c>
      <c r="I520" s="29" t="s">
        <v>2228</v>
      </c>
      <c r="J520" s="37"/>
      <c r="K520" s="38"/>
      <c r="L520" s="38"/>
      <c r="M520" s="36" t="s">
        <v>60</v>
      </c>
      <c r="N520" s="15" t="s">
        <v>152</v>
      </c>
      <c r="O520" s="36" t="s">
        <v>162</v>
      </c>
      <c r="P520" s="36" t="str">
        <f t="shared" si="16"/>
        <v>WMTS_1/1000地形圖_嘉義縣水上都市計畫(98年)</v>
      </c>
      <c r="Q520" s="29" t="s">
        <v>2231</v>
      </c>
      <c r="R520" s="29" t="str">
        <f t="shared" si="17"/>
        <v>2dms_wmts_v1_TOPO01K_Q19</v>
      </c>
      <c r="S520" s="39" t="s">
        <v>155</v>
      </c>
      <c r="U520" s="27" t="str">
        <f>_xlfn.XLOOKUP(表格1[[#This Row],[服務類別(英)]],參考2_服務標準對照!$B:$B,參考2_服務標準對照!$C:$C,"")&amp;""</f>
        <v>OGC</v>
      </c>
      <c r="V520" s="29" t="s">
        <v>7</v>
      </c>
      <c r="W520" s="29" t="s">
        <v>163</v>
      </c>
      <c r="X520" s="29" t="s">
        <v>81</v>
      </c>
      <c r="Y520" s="36" t="s">
        <v>83</v>
      </c>
      <c r="Z520" s="36" t="s">
        <v>157</v>
      </c>
      <c r="AA520" s="36" t="s">
        <v>1159</v>
      </c>
      <c r="AB520" s="36"/>
      <c r="AC520" s="36"/>
      <c r="AD520" s="29" t="s">
        <v>119</v>
      </c>
      <c r="AE520" s="36" t="str">
        <f>_xlfn.XLOOKUP(表格1[[#This Row],[唯一識別碼]],API清冊0707!B:B,API清冊0707!T:T,"")&amp;""</f>
        <v>無下拉選單</v>
      </c>
    </row>
    <row r="521" spans="1:31" ht="204.75" customHeight="1" x14ac:dyDescent="0.4">
      <c r="A521" s="29" t="s">
        <v>2232</v>
      </c>
      <c r="B521" s="29"/>
      <c r="C521" s="29"/>
      <c r="D521" s="29" t="s">
        <v>2233</v>
      </c>
      <c r="E521" s="29" t="s">
        <v>2234</v>
      </c>
      <c r="F521" s="29" t="s">
        <v>2235</v>
      </c>
      <c r="G521" s="35"/>
      <c r="H521" s="35" t="s">
        <v>151</v>
      </c>
      <c r="I521" s="29" t="s">
        <v>2232</v>
      </c>
      <c r="J521" s="37"/>
      <c r="K521" s="38"/>
      <c r="L521" s="38"/>
      <c r="M521" s="36" t="s">
        <v>60</v>
      </c>
      <c r="N521" s="15" t="s">
        <v>152</v>
      </c>
      <c r="O521" s="36" t="s">
        <v>162</v>
      </c>
      <c r="P521" s="36" t="str">
        <f t="shared" si="16"/>
        <v>WMTS_1/1000地形圖_嘉義縣水上北回都市計畫(98年)</v>
      </c>
      <c r="Q521" s="29" t="s">
        <v>2235</v>
      </c>
      <c r="R521" s="29" t="str">
        <f t="shared" si="17"/>
        <v>2dms_wmts_v1_TOPO01K_Q18</v>
      </c>
      <c r="S521" s="39" t="s">
        <v>155</v>
      </c>
      <c r="U521" s="27" t="str">
        <f>_xlfn.XLOOKUP(表格1[[#This Row],[服務類別(英)]],參考2_服務標準對照!$B:$B,參考2_服務標準對照!$C:$C,"")&amp;""</f>
        <v>OGC</v>
      </c>
      <c r="V521" s="29" t="s">
        <v>7</v>
      </c>
      <c r="W521" s="29" t="s">
        <v>163</v>
      </c>
      <c r="X521" s="29" t="s">
        <v>81</v>
      </c>
      <c r="Y521" s="36" t="s">
        <v>83</v>
      </c>
      <c r="Z521" s="36" t="s">
        <v>157</v>
      </c>
      <c r="AA521" s="36" t="s">
        <v>1159</v>
      </c>
      <c r="AB521" s="36"/>
      <c r="AC521" s="36"/>
      <c r="AD521" s="29" t="s">
        <v>119</v>
      </c>
      <c r="AE521" s="36" t="str">
        <f>_xlfn.XLOOKUP(表格1[[#This Row],[唯一識別碼]],API清冊0707!B:B,API清冊0707!T:T,"")&amp;""</f>
        <v>無下拉選單</v>
      </c>
    </row>
    <row r="522" spans="1:31" ht="204.75" customHeight="1" x14ac:dyDescent="0.4">
      <c r="A522" s="29" t="s">
        <v>2236</v>
      </c>
      <c r="B522" s="29"/>
      <c r="C522" s="29"/>
      <c r="D522" s="29" t="s">
        <v>2237</v>
      </c>
      <c r="E522" s="29" t="s">
        <v>2238</v>
      </c>
      <c r="F522" s="29" t="s">
        <v>2239</v>
      </c>
      <c r="G522" s="35"/>
      <c r="H522" s="35" t="s">
        <v>151</v>
      </c>
      <c r="I522" s="29" t="s">
        <v>2236</v>
      </c>
      <c r="J522" s="37"/>
      <c r="K522" s="38"/>
      <c r="L522" s="38"/>
      <c r="M522" s="36" t="s">
        <v>60</v>
      </c>
      <c r="N522" s="15" t="s">
        <v>152</v>
      </c>
      <c r="O522" s="36" t="s">
        <v>162</v>
      </c>
      <c r="P522" s="36" t="str">
        <f t="shared" si="16"/>
        <v>WMTS_1/1000地形圖_嘉義縣民雄頭橋地區都市計畫(97年)</v>
      </c>
      <c r="Q522" s="29" t="s">
        <v>2239</v>
      </c>
      <c r="R522" s="29" t="str">
        <f t="shared" si="17"/>
        <v>2dms_wmts_v1_TOPO01K_Q17</v>
      </c>
      <c r="S522" s="39" t="s">
        <v>155</v>
      </c>
      <c r="U522" s="27" t="str">
        <f>_xlfn.XLOOKUP(表格1[[#This Row],[服務類別(英)]],參考2_服務標準對照!$B:$B,參考2_服務標準對照!$C:$C,"")&amp;""</f>
        <v>OGC</v>
      </c>
      <c r="V522" s="29" t="s">
        <v>7</v>
      </c>
      <c r="W522" s="29" t="s">
        <v>163</v>
      </c>
      <c r="X522" s="29" t="s">
        <v>81</v>
      </c>
      <c r="Y522" s="36" t="s">
        <v>83</v>
      </c>
      <c r="Z522" s="36" t="s">
        <v>157</v>
      </c>
      <c r="AA522" s="36" t="s">
        <v>1159</v>
      </c>
      <c r="AB522" s="36"/>
      <c r="AC522" s="36"/>
      <c r="AD522" s="29" t="s">
        <v>119</v>
      </c>
      <c r="AE522" s="36" t="str">
        <f>_xlfn.XLOOKUP(表格1[[#This Row],[唯一識別碼]],API清冊0707!B:B,API清冊0707!T:T,"")&amp;""</f>
        <v>無下拉選單</v>
      </c>
    </row>
    <row r="523" spans="1:31" ht="204.75" customHeight="1" x14ac:dyDescent="0.4">
      <c r="A523" s="29" t="s">
        <v>2240</v>
      </c>
      <c r="B523" s="29"/>
      <c r="C523" s="29"/>
      <c r="D523" s="29" t="s">
        <v>2241</v>
      </c>
      <c r="E523" s="29" t="s">
        <v>2242</v>
      </c>
      <c r="F523" s="29" t="s">
        <v>2243</v>
      </c>
      <c r="G523" s="35"/>
      <c r="H523" s="35" t="s">
        <v>151</v>
      </c>
      <c r="I523" s="29" t="s">
        <v>2240</v>
      </c>
      <c r="J523" s="37"/>
      <c r="K523" s="38"/>
      <c r="L523" s="38"/>
      <c r="M523" s="36" t="s">
        <v>60</v>
      </c>
      <c r="N523" s="15" t="s">
        <v>152</v>
      </c>
      <c r="O523" s="36" t="s">
        <v>162</v>
      </c>
      <c r="P523" s="36" t="str">
        <f t="shared" si="16"/>
        <v>WMTS_1/1000地形圖_嘉義縣民雄都市計畫(97年)</v>
      </c>
      <c r="Q523" s="29" t="s">
        <v>2243</v>
      </c>
      <c r="R523" s="29" t="str">
        <f t="shared" si="17"/>
        <v>2dms_wmts_v1_TOPO01K_Q16</v>
      </c>
      <c r="S523" s="39" t="s">
        <v>155</v>
      </c>
      <c r="U523" s="27" t="str">
        <f>_xlfn.XLOOKUP(表格1[[#This Row],[服務類別(英)]],參考2_服務標準對照!$B:$B,參考2_服務標準對照!$C:$C,"")&amp;""</f>
        <v>OGC</v>
      </c>
      <c r="V523" s="29" t="s">
        <v>7</v>
      </c>
      <c r="W523" s="29" t="s">
        <v>163</v>
      </c>
      <c r="X523" s="29" t="s">
        <v>81</v>
      </c>
      <c r="Y523" s="36" t="s">
        <v>83</v>
      </c>
      <c r="Z523" s="36" t="s">
        <v>157</v>
      </c>
      <c r="AA523" s="36" t="s">
        <v>1159</v>
      </c>
      <c r="AB523" s="36"/>
      <c r="AC523" s="36"/>
      <c r="AD523" s="29" t="s">
        <v>119</v>
      </c>
      <c r="AE523" s="36" t="str">
        <f>_xlfn.XLOOKUP(表格1[[#This Row],[唯一識別碼]],API清冊0707!B:B,API清冊0707!T:T,"")&amp;""</f>
        <v>無下拉選單</v>
      </c>
    </row>
    <row r="524" spans="1:31" ht="204.75" customHeight="1" x14ac:dyDescent="0.4">
      <c r="A524" s="29" t="s">
        <v>2244</v>
      </c>
      <c r="B524" s="29"/>
      <c r="C524" s="29"/>
      <c r="D524" s="29" t="s">
        <v>2245</v>
      </c>
      <c r="E524" s="29" t="s">
        <v>2246</v>
      </c>
      <c r="F524" s="29" t="s">
        <v>2247</v>
      </c>
      <c r="G524" s="35"/>
      <c r="H524" s="35" t="s">
        <v>151</v>
      </c>
      <c r="I524" s="29" t="s">
        <v>2244</v>
      </c>
      <c r="J524" s="37"/>
      <c r="K524" s="38"/>
      <c r="L524" s="38"/>
      <c r="M524" s="36" t="s">
        <v>60</v>
      </c>
      <c r="N524" s="15" t="s">
        <v>152</v>
      </c>
      <c r="O524" s="36" t="s">
        <v>162</v>
      </c>
      <c r="P524" s="36" t="str">
        <f t="shared" si="16"/>
        <v>WMTS_1/1000地形圖_嘉義縣梅山都市計畫(97年)</v>
      </c>
      <c r="Q524" s="29" t="s">
        <v>2247</v>
      </c>
      <c r="R524" s="29" t="str">
        <f t="shared" si="17"/>
        <v>2dms_wmts_v1_TOPO01K_Q15</v>
      </c>
      <c r="S524" s="39" t="s">
        <v>155</v>
      </c>
      <c r="U524" s="27" t="str">
        <f>_xlfn.XLOOKUP(表格1[[#This Row],[服務類別(英)]],參考2_服務標準對照!$B:$B,參考2_服務標準對照!$C:$C,"")&amp;""</f>
        <v>OGC</v>
      </c>
      <c r="V524" s="29" t="s">
        <v>7</v>
      </c>
      <c r="W524" s="29" t="s">
        <v>163</v>
      </c>
      <c r="X524" s="29" t="s">
        <v>81</v>
      </c>
      <c r="Y524" s="36" t="s">
        <v>83</v>
      </c>
      <c r="Z524" s="36" t="s">
        <v>157</v>
      </c>
      <c r="AA524" s="36" t="s">
        <v>1159</v>
      </c>
      <c r="AB524" s="36"/>
      <c r="AC524" s="36"/>
      <c r="AD524" s="29" t="s">
        <v>119</v>
      </c>
      <c r="AE524" s="36" t="str">
        <f>_xlfn.XLOOKUP(表格1[[#This Row],[唯一識別碼]],API清冊0707!B:B,API清冊0707!T:T,"")&amp;""</f>
        <v>無下拉選單</v>
      </c>
    </row>
    <row r="525" spans="1:31" ht="204.75" customHeight="1" x14ac:dyDescent="0.4">
      <c r="A525" s="29" t="s">
        <v>2248</v>
      </c>
      <c r="B525" s="29"/>
      <c r="C525" s="29"/>
      <c r="D525" s="29" t="s">
        <v>2249</v>
      </c>
      <c r="E525" s="29" t="s">
        <v>2250</v>
      </c>
      <c r="F525" s="29" t="s">
        <v>2251</v>
      </c>
      <c r="G525" s="35"/>
      <c r="H525" s="35" t="s">
        <v>151</v>
      </c>
      <c r="I525" s="29" t="s">
        <v>2248</v>
      </c>
      <c r="J525" s="37"/>
      <c r="K525" s="38"/>
      <c r="L525" s="38"/>
      <c r="M525" s="36" t="s">
        <v>60</v>
      </c>
      <c r="N525" s="15" t="s">
        <v>152</v>
      </c>
      <c r="O525" s="36" t="s">
        <v>162</v>
      </c>
      <c r="P525" s="36" t="str">
        <f t="shared" si="16"/>
        <v>WMTS_1/1000地形圖_嘉義縣朴子都市計畫(94年)</v>
      </c>
      <c r="Q525" s="29" t="s">
        <v>2251</v>
      </c>
      <c r="R525" s="29" t="str">
        <f t="shared" si="17"/>
        <v>2dms_wmts_v1_TOPO01K_Q14</v>
      </c>
      <c r="S525" s="39" t="s">
        <v>155</v>
      </c>
      <c r="U525" s="27" t="str">
        <f>_xlfn.XLOOKUP(表格1[[#This Row],[服務類別(英)]],參考2_服務標準對照!$B:$B,參考2_服務標準對照!$C:$C,"")&amp;""</f>
        <v>OGC</v>
      </c>
      <c r="V525" s="29" t="s">
        <v>7</v>
      </c>
      <c r="W525" s="29" t="s">
        <v>163</v>
      </c>
      <c r="X525" s="29" t="s">
        <v>81</v>
      </c>
      <c r="Y525" s="36" t="s">
        <v>83</v>
      </c>
      <c r="Z525" s="36" t="s">
        <v>157</v>
      </c>
      <c r="AA525" s="36" t="s">
        <v>1159</v>
      </c>
      <c r="AB525" s="36"/>
      <c r="AC525" s="36"/>
      <c r="AD525" s="29" t="s">
        <v>119</v>
      </c>
      <c r="AE525" s="36" t="str">
        <f>_xlfn.XLOOKUP(表格1[[#This Row],[唯一識別碼]],API清冊0707!B:B,API清冊0707!T:T,"")&amp;""</f>
        <v>無下拉選單</v>
      </c>
    </row>
    <row r="526" spans="1:31" ht="204.75" customHeight="1" x14ac:dyDescent="0.4">
      <c r="A526" s="29" t="s">
        <v>2252</v>
      </c>
      <c r="B526" s="29"/>
      <c r="C526" s="29"/>
      <c r="D526" s="29" t="s">
        <v>2253</v>
      </c>
      <c r="E526" s="29" t="s">
        <v>2254</v>
      </c>
      <c r="F526" s="29" t="s">
        <v>2255</v>
      </c>
      <c r="G526" s="35"/>
      <c r="H526" s="35" t="s">
        <v>151</v>
      </c>
      <c r="I526" s="29" t="s">
        <v>2252</v>
      </c>
      <c r="J526" s="37"/>
      <c r="K526" s="38"/>
      <c r="L526" s="38"/>
      <c r="M526" s="36" t="s">
        <v>60</v>
      </c>
      <c r="N526" s="15" t="s">
        <v>152</v>
      </c>
      <c r="O526" s="36" t="s">
        <v>162</v>
      </c>
      <c r="P526" s="36" t="str">
        <f t="shared" si="16"/>
        <v>WMTS_1/1000地形圖_嘉義縣曾文水庫特定區計畫(101年)</v>
      </c>
      <c r="Q526" s="29" t="s">
        <v>2255</v>
      </c>
      <c r="R526" s="29" t="str">
        <f t="shared" si="17"/>
        <v>2dms_wmts_v1_TOPO01K_Q13</v>
      </c>
      <c r="S526" s="39" t="s">
        <v>155</v>
      </c>
      <c r="U526" s="27" t="str">
        <f>_xlfn.XLOOKUP(表格1[[#This Row],[服務類別(英)]],參考2_服務標準對照!$B:$B,參考2_服務標準對照!$C:$C,"")&amp;""</f>
        <v>OGC</v>
      </c>
      <c r="V526" s="29" t="s">
        <v>7</v>
      </c>
      <c r="W526" s="29" t="s">
        <v>163</v>
      </c>
      <c r="X526" s="29" t="s">
        <v>81</v>
      </c>
      <c r="Y526" s="36" t="s">
        <v>83</v>
      </c>
      <c r="Z526" s="36" t="s">
        <v>157</v>
      </c>
      <c r="AA526" s="36" t="s">
        <v>1159</v>
      </c>
      <c r="AB526" s="36"/>
      <c r="AC526" s="36"/>
      <c r="AD526" s="29" t="s">
        <v>119</v>
      </c>
      <c r="AE526" s="36" t="str">
        <f>_xlfn.XLOOKUP(表格1[[#This Row],[唯一識別碼]],API清冊0707!B:B,API清冊0707!T:T,"")&amp;""</f>
        <v>無下拉選單</v>
      </c>
    </row>
    <row r="527" spans="1:31" ht="204.75" customHeight="1" x14ac:dyDescent="0.4">
      <c r="A527" s="29" t="s">
        <v>2256</v>
      </c>
      <c r="B527" s="29"/>
      <c r="C527" s="29"/>
      <c r="D527" s="29" t="s">
        <v>2257</v>
      </c>
      <c r="E527" s="29" t="s">
        <v>2258</v>
      </c>
      <c r="F527" s="29" t="s">
        <v>2259</v>
      </c>
      <c r="G527" s="35"/>
      <c r="H527" s="35" t="s">
        <v>151</v>
      </c>
      <c r="I527" s="29" t="s">
        <v>2256</v>
      </c>
      <c r="J527" s="37"/>
      <c r="K527" s="38"/>
      <c r="L527" s="38"/>
      <c r="M527" s="36" t="s">
        <v>60</v>
      </c>
      <c r="N527" s="15" t="s">
        <v>152</v>
      </c>
      <c r="O527" s="36" t="s">
        <v>162</v>
      </c>
      <c r="P527" s="36" t="str">
        <f t="shared" si="16"/>
        <v>WMTS_1/1000地形圖_嘉義縣新港都市計畫(97年)</v>
      </c>
      <c r="Q527" s="29" t="s">
        <v>2259</v>
      </c>
      <c r="R527" s="29" t="str">
        <f t="shared" si="17"/>
        <v>2dms_wmts_v1_TOPO01K_Q12</v>
      </c>
      <c r="S527" s="39" t="s">
        <v>155</v>
      </c>
      <c r="U527" s="27" t="str">
        <f>_xlfn.XLOOKUP(表格1[[#This Row],[服務類別(英)]],參考2_服務標準對照!$B:$B,參考2_服務標準對照!$C:$C,"")&amp;""</f>
        <v>OGC</v>
      </c>
      <c r="V527" s="29" t="s">
        <v>7</v>
      </c>
      <c r="W527" s="29" t="s">
        <v>163</v>
      </c>
      <c r="X527" s="29" t="s">
        <v>81</v>
      </c>
      <c r="Y527" s="36" t="s">
        <v>83</v>
      </c>
      <c r="Z527" s="36" t="s">
        <v>157</v>
      </c>
      <c r="AA527" s="36" t="s">
        <v>1159</v>
      </c>
      <c r="AB527" s="36"/>
      <c r="AC527" s="36"/>
      <c r="AD527" s="29" t="s">
        <v>119</v>
      </c>
      <c r="AE527" s="36" t="str">
        <f>_xlfn.XLOOKUP(表格1[[#This Row],[唯一識別碼]],API清冊0707!B:B,API清冊0707!T:T,"")&amp;""</f>
        <v>無下拉選單</v>
      </c>
    </row>
    <row r="528" spans="1:31" ht="204.75" customHeight="1" x14ac:dyDescent="0.4">
      <c r="A528" s="29" t="s">
        <v>2260</v>
      </c>
      <c r="B528" s="29"/>
      <c r="C528" s="29"/>
      <c r="D528" s="29" t="s">
        <v>2261</v>
      </c>
      <c r="E528" s="29" t="s">
        <v>2262</v>
      </c>
      <c r="F528" s="29" t="s">
        <v>2263</v>
      </c>
      <c r="G528" s="35"/>
      <c r="H528" s="35" t="s">
        <v>151</v>
      </c>
      <c r="I528" s="29" t="s">
        <v>2260</v>
      </c>
      <c r="J528" s="37"/>
      <c r="K528" s="38"/>
      <c r="L528" s="38"/>
      <c r="M528" s="36" t="s">
        <v>60</v>
      </c>
      <c r="N528" s="15" t="s">
        <v>152</v>
      </c>
      <c r="O528" s="36" t="s">
        <v>162</v>
      </c>
      <c r="P528" s="36" t="str">
        <f t="shared" si="16"/>
        <v>WMTS_1/1000地形圖_嘉義縣布袋都市計畫(98年)</v>
      </c>
      <c r="Q528" s="29" t="s">
        <v>2263</v>
      </c>
      <c r="R528" s="29" t="str">
        <f t="shared" si="17"/>
        <v>2dms_wmts_v1_TOPO01K_Q11</v>
      </c>
      <c r="S528" s="39" t="s">
        <v>155</v>
      </c>
      <c r="U528" s="27" t="str">
        <f>_xlfn.XLOOKUP(表格1[[#This Row],[服務類別(英)]],參考2_服務標準對照!$B:$B,參考2_服務標準對照!$C:$C,"")&amp;""</f>
        <v>OGC</v>
      </c>
      <c r="V528" s="29" t="s">
        <v>7</v>
      </c>
      <c r="W528" s="29" t="s">
        <v>163</v>
      </c>
      <c r="X528" s="29" t="s">
        <v>81</v>
      </c>
      <c r="Y528" s="36" t="s">
        <v>83</v>
      </c>
      <c r="Z528" s="36" t="s">
        <v>157</v>
      </c>
      <c r="AA528" s="36" t="s">
        <v>1159</v>
      </c>
      <c r="AB528" s="36"/>
      <c r="AC528" s="36"/>
      <c r="AD528" s="29" t="s">
        <v>119</v>
      </c>
      <c r="AE528" s="36" t="str">
        <f>_xlfn.XLOOKUP(表格1[[#This Row],[唯一識別碼]],API清冊0707!B:B,API清冊0707!T:T,"")&amp;""</f>
        <v>無下拉選單</v>
      </c>
    </row>
    <row r="529" spans="1:31" ht="204.75" customHeight="1" x14ac:dyDescent="0.4">
      <c r="A529" s="29" t="s">
        <v>2264</v>
      </c>
      <c r="B529" s="29"/>
      <c r="C529" s="29"/>
      <c r="D529" s="29" t="s">
        <v>2265</v>
      </c>
      <c r="E529" s="29" t="s">
        <v>2266</v>
      </c>
      <c r="F529" s="29" t="s">
        <v>2267</v>
      </c>
      <c r="G529" s="35"/>
      <c r="H529" s="35" t="s">
        <v>151</v>
      </c>
      <c r="I529" s="29" t="s">
        <v>2264</v>
      </c>
      <c r="J529" s="37"/>
      <c r="K529" s="38"/>
      <c r="L529" s="38"/>
      <c r="M529" s="36" t="s">
        <v>60</v>
      </c>
      <c r="N529" s="15" t="s">
        <v>152</v>
      </c>
      <c r="O529" s="36" t="s">
        <v>162</v>
      </c>
      <c r="P529" s="36" t="str">
        <f t="shared" si="16"/>
        <v>WMTS_1/1000地形圖_嘉義縣太保都市計畫(94年)</v>
      </c>
      <c r="Q529" s="29" t="s">
        <v>2267</v>
      </c>
      <c r="R529" s="29" t="str">
        <f t="shared" si="17"/>
        <v>2dms_wmts_v1_TOPO01K_Q10</v>
      </c>
      <c r="S529" s="39" t="s">
        <v>155</v>
      </c>
      <c r="U529" s="27" t="str">
        <f>_xlfn.XLOOKUP(表格1[[#This Row],[服務類別(英)]],參考2_服務標準對照!$B:$B,參考2_服務標準對照!$C:$C,"")&amp;""</f>
        <v>OGC</v>
      </c>
      <c r="V529" s="29" t="s">
        <v>7</v>
      </c>
      <c r="W529" s="29" t="s">
        <v>163</v>
      </c>
      <c r="X529" s="29" t="s">
        <v>81</v>
      </c>
      <c r="Y529" s="36" t="s">
        <v>83</v>
      </c>
      <c r="Z529" s="36" t="s">
        <v>157</v>
      </c>
      <c r="AA529" s="36" t="s">
        <v>1159</v>
      </c>
      <c r="AB529" s="36"/>
      <c r="AC529" s="36"/>
      <c r="AD529" s="29" t="s">
        <v>119</v>
      </c>
      <c r="AE529" s="36" t="str">
        <f>_xlfn.XLOOKUP(表格1[[#This Row],[唯一識別碼]],API清冊0707!B:B,API清冊0707!T:T,"")&amp;""</f>
        <v>無下拉選單</v>
      </c>
    </row>
    <row r="530" spans="1:31" ht="204.75" customHeight="1" x14ac:dyDescent="0.4">
      <c r="A530" s="29" t="s">
        <v>2268</v>
      </c>
      <c r="B530" s="29"/>
      <c r="C530" s="29"/>
      <c r="D530" s="29" t="s">
        <v>2269</v>
      </c>
      <c r="E530" s="29" t="s">
        <v>2270</v>
      </c>
      <c r="F530" s="29" t="s">
        <v>2271</v>
      </c>
      <c r="G530" s="35"/>
      <c r="H530" s="35" t="s">
        <v>151</v>
      </c>
      <c r="I530" s="29" t="s">
        <v>2268</v>
      </c>
      <c r="J530" s="37"/>
      <c r="K530" s="38"/>
      <c r="L530" s="38"/>
      <c r="M530" s="36" t="s">
        <v>60</v>
      </c>
      <c r="N530" s="15" t="s">
        <v>152</v>
      </c>
      <c r="O530" s="36" t="s">
        <v>162</v>
      </c>
      <c r="P530" s="36" t="str">
        <f t="shared" si="16"/>
        <v>WMTS_1/1000地形圖_嘉義縣大林都市計畫(97年)</v>
      </c>
      <c r="Q530" s="29" t="s">
        <v>2271</v>
      </c>
      <c r="R530" s="29" t="str">
        <f t="shared" si="17"/>
        <v>2dms_wmts_v1_TOPO01K_Q09</v>
      </c>
      <c r="S530" s="39" t="s">
        <v>155</v>
      </c>
      <c r="U530" s="27" t="str">
        <f>_xlfn.XLOOKUP(表格1[[#This Row],[服務類別(英)]],參考2_服務標準對照!$B:$B,參考2_服務標準對照!$C:$C,"")&amp;""</f>
        <v>OGC</v>
      </c>
      <c r="V530" s="29" t="s">
        <v>7</v>
      </c>
      <c r="W530" s="29" t="s">
        <v>163</v>
      </c>
      <c r="X530" s="29" t="s">
        <v>81</v>
      </c>
      <c r="Y530" s="36" t="s">
        <v>83</v>
      </c>
      <c r="Z530" s="36" t="s">
        <v>157</v>
      </c>
      <c r="AA530" s="36" t="s">
        <v>1159</v>
      </c>
      <c r="AB530" s="36"/>
      <c r="AC530" s="36"/>
      <c r="AD530" s="29" t="s">
        <v>119</v>
      </c>
      <c r="AE530" s="36" t="str">
        <f>_xlfn.XLOOKUP(表格1[[#This Row],[唯一識別碼]],API清冊0707!B:B,API清冊0707!T:T,"")&amp;""</f>
        <v>無下拉選單</v>
      </c>
    </row>
    <row r="531" spans="1:31" ht="204.75" customHeight="1" x14ac:dyDescent="0.4">
      <c r="A531" s="29" t="s">
        <v>2272</v>
      </c>
      <c r="B531" s="29"/>
      <c r="C531" s="29"/>
      <c r="D531" s="29" t="s">
        <v>2273</v>
      </c>
      <c r="E531" s="29" t="s">
        <v>2274</v>
      </c>
      <c r="F531" s="29" t="s">
        <v>2275</v>
      </c>
      <c r="G531" s="35"/>
      <c r="H531" s="35" t="s">
        <v>151</v>
      </c>
      <c r="I531" s="29" t="s">
        <v>2272</v>
      </c>
      <c r="J531" s="37"/>
      <c r="K531" s="38"/>
      <c r="L531" s="38"/>
      <c r="M531" s="36" t="s">
        <v>60</v>
      </c>
      <c r="N531" s="15" t="s">
        <v>152</v>
      </c>
      <c r="O531" s="36" t="s">
        <v>162</v>
      </c>
      <c r="P531" s="36" t="str">
        <f t="shared" si="16"/>
        <v>WMTS_1/1000地形圖_嘉義縣大埔都市計畫(101年)</v>
      </c>
      <c r="Q531" s="29" t="s">
        <v>2275</v>
      </c>
      <c r="R531" s="29" t="str">
        <f t="shared" si="17"/>
        <v>2dms_wmts_v1_TOPO01K_Q08</v>
      </c>
      <c r="S531" s="39" t="s">
        <v>155</v>
      </c>
      <c r="U531" s="27" t="str">
        <f>_xlfn.XLOOKUP(表格1[[#This Row],[服務類別(英)]],參考2_服務標準對照!$B:$B,參考2_服務標準對照!$C:$C,"")&amp;""</f>
        <v>OGC</v>
      </c>
      <c r="V531" s="29" t="s">
        <v>7</v>
      </c>
      <c r="W531" s="29" t="s">
        <v>163</v>
      </c>
      <c r="X531" s="29" t="s">
        <v>81</v>
      </c>
      <c r="Y531" s="36" t="s">
        <v>83</v>
      </c>
      <c r="Z531" s="36" t="s">
        <v>157</v>
      </c>
      <c r="AA531" s="36" t="s">
        <v>1159</v>
      </c>
      <c r="AB531" s="36"/>
      <c r="AC531" s="36"/>
      <c r="AD531" s="29" t="s">
        <v>119</v>
      </c>
      <c r="AE531" s="36" t="str">
        <f>_xlfn.XLOOKUP(表格1[[#This Row],[唯一識別碼]],API清冊0707!B:B,API清冊0707!T:T,"")&amp;""</f>
        <v>無下拉選單</v>
      </c>
    </row>
    <row r="532" spans="1:31" ht="204.75" customHeight="1" x14ac:dyDescent="0.4">
      <c r="A532" s="29" t="s">
        <v>2276</v>
      </c>
      <c r="B532" s="29"/>
      <c r="C532" s="29"/>
      <c r="D532" s="29" t="s">
        <v>2277</v>
      </c>
      <c r="E532" s="29" t="s">
        <v>2278</v>
      </c>
      <c r="F532" s="29" t="s">
        <v>2279</v>
      </c>
      <c r="G532" s="35"/>
      <c r="H532" s="35" t="s">
        <v>151</v>
      </c>
      <c r="I532" s="29" t="s">
        <v>2276</v>
      </c>
      <c r="J532" s="37"/>
      <c r="K532" s="38"/>
      <c r="L532" s="38"/>
      <c r="M532" s="36" t="s">
        <v>60</v>
      </c>
      <c r="N532" s="15" t="s">
        <v>152</v>
      </c>
      <c r="O532" s="36" t="s">
        <v>162</v>
      </c>
      <c r="P532" s="36" t="str">
        <f t="shared" si="16"/>
        <v>WMTS_1/1000地形圖_嘉義縣吳鳳廟特定區計畫(99年)</v>
      </c>
      <c r="Q532" s="29" t="s">
        <v>2279</v>
      </c>
      <c r="R532" s="29" t="str">
        <f t="shared" si="17"/>
        <v>2dms_wmts_v1_TOPO01K_Q07</v>
      </c>
      <c r="S532" s="39" t="s">
        <v>155</v>
      </c>
      <c r="U532" s="27" t="str">
        <f>_xlfn.XLOOKUP(表格1[[#This Row],[服務類別(英)]],參考2_服務標準對照!$B:$B,參考2_服務標準對照!$C:$C,"")&amp;""</f>
        <v>OGC</v>
      </c>
      <c r="V532" s="29" t="s">
        <v>7</v>
      </c>
      <c r="W532" s="29" t="s">
        <v>163</v>
      </c>
      <c r="X532" s="29" t="s">
        <v>81</v>
      </c>
      <c r="Y532" s="36" t="s">
        <v>83</v>
      </c>
      <c r="Z532" s="36" t="s">
        <v>157</v>
      </c>
      <c r="AA532" s="36" t="s">
        <v>1159</v>
      </c>
      <c r="AB532" s="36"/>
      <c r="AC532" s="36"/>
      <c r="AD532" s="29" t="s">
        <v>119</v>
      </c>
      <c r="AE532" s="36" t="str">
        <f>_xlfn.XLOOKUP(表格1[[#This Row],[唯一識別碼]],API清冊0707!B:B,API清冊0707!T:T,"")&amp;""</f>
        <v>無下拉選單</v>
      </c>
    </row>
    <row r="533" spans="1:31" ht="204.75" customHeight="1" x14ac:dyDescent="0.4">
      <c r="A533" s="29" t="s">
        <v>2280</v>
      </c>
      <c r="B533" s="29"/>
      <c r="C533" s="29"/>
      <c r="D533" s="29" t="s">
        <v>2281</v>
      </c>
      <c r="E533" s="29" t="s">
        <v>2282</v>
      </c>
      <c r="F533" s="29" t="s">
        <v>2283</v>
      </c>
      <c r="G533" s="35"/>
      <c r="H533" s="35" t="s">
        <v>151</v>
      </c>
      <c r="I533" s="29" t="s">
        <v>2280</v>
      </c>
      <c r="J533" s="37"/>
      <c r="K533" s="38"/>
      <c r="L533" s="38"/>
      <c r="M533" s="36" t="s">
        <v>60</v>
      </c>
      <c r="N533" s="15" t="s">
        <v>152</v>
      </c>
      <c r="O533" s="36" t="s">
        <v>162</v>
      </c>
      <c r="P533" s="36" t="str">
        <f t="shared" si="16"/>
        <v>WMTS_1/1000地形圖_嘉義縣六腳蒜頭都市計畫(98年)</v>
      </c>
      <c r="Q533" s="29" t="s">
        <v>2283</v>
      </c>
      <c r="R533" s="29" t="str">
        <f t="shared" si="17"/>
        <v>2dms_wmts_v1_TOPO01K_Q06</v>
      </c>
      <c r="S533" s="39" t="s">
        <v>155</v>
      </c>
      <c r="U533" s="27" t="str">
        <f>_xlfn.XLOOKUP(表格1[[#This Row],[服務類別(英)]],參考2_服務標準對照!$B:$B,參考2_服務標準對照!$C:$C,"")&amp;""</f>
        <v>OGC</v>
      </c>
      <c r="V533" s="29" t="s">
        <v>7</v>
      </c>
      <c r="W533" s="29" t="s">
        <v>163</v>
      </c>
      <c r="X533" s="29" t="s">
        <v>81</v>
      </c>
      <c r="Y533" s="36" t="s">
        <v>83</v>
      </c>
      <c r="Z533" s="36" t="s">
        <v>157</v>
      </c>
      <c r="AA533" s="36" t="s">
        <v>1159</v>
      </c>
      <c r="AB533" s="36"/>
      <c r="AC533" s="36"/>
      <c r="AD533" s="29" t="s">
        <v>119</v>
      </c>
      <c r="AE533" s="36" t="str">
        <f>_xlfn.XLOOKUP(表格1[[#This Row],[唯一識別碼]],API清冊0707!B:B,API清冊0707!T:T,"")&amp;""</f>
        <v>無下拉選單</v>
      </c>
    </row>
    <row r="534" spans="1:31" ht="204.75" customHeight="1" x14ac:dyDescent="0.4">
      <c r="A534" s="29" t="s">
        <v>2284</v>
      </c>
      <c r="B534" s="29"/>
      <c r="C534" s="29"/>
      <c r="D534" s="29" t="s">
        <v>2285</v>
      </c>
      <c r="E534" s="29" t="s">
        <v>2286</v>
      </c>
      <c r="F534" s="29" t="s">
        <v>2287</v>
      </c>
      <c r="G534" s="35"/>
      <c r="H534" s="35" t="s">
        <v>151</v>
      </c>
      <c r="I534" s="29" t="s">
        <v>2284</v>
      </c>
      <c r="J534" s="37"/>
      <c r="K534" s="38"/>
      <c r="L534" s="38"/>
      <c r="M534" s="36" t="s">
        <v>60</v>
      </c>
      <c r="N534" s="15" t="s">
        <v>152</v>
      </c>
      <c r="O534" s="36" t="s">
        <v>162</v>
      </c>
      <c r="P534" s="36" t="str">
        <f t="shared" si="16"/>
        <v>WMTS_1/1000地形圖_嘉義縣仁義潭風景特定區計畫(99年)</v>
      </c>
      <c r="Q534" s="29" t="s">
        <v>2287</v>
      </c>
      <c r="R534" s="29" t="str">
        <f t="shared" si="17"/>
        <v>2dms_wmts_v1_TOPO01K_Q05</v>
      </c>
      <c r="S534" s="39" t="s">
        <v>155</v>
      </c>
      <c r="U534" s="27" t="str">
        <f>_xlfn.XLOOKUP(表格1[[#This Row],[服務類別(英)]],參考2_服務標準對照!$B:$B,參考2_服務標準對照!$C:$C,"")&amp;""</f>
        <v>OGC</v>
      </c>
      <c r="V534" s="29" t="s">
        <v>7</v>
      </c>
      <c r="W534" s="29" t="s">
        <v>163</v>
      </c>
      <c r="X534" s="29" t="s">
        <v>81</v>
      </c>
      <c r="Y534" s="36" t="s">
        <v>83</v>
      </c>
      <c r="Z534" s="36" t="s">
        <v>157</v>
      </c>
      <c r="AA534" s="36" t="s">
        <v>1159</v>
      </c>
      <c r="AB534" s="36"/>
      <c r="AC534" s="36"/>
      <c r="AD534" s="29" t="s">
        <v>119</v>
      </c>
      <c r="AE534" s="36" t="str">
        <f>_xlfn.XLOOKUP(表格1[[#This Row],[唯一識別碼]],API清冊0707!B:B,API清冊0707!T:T,"")&amp;""</f>
        <v>無下拉選單</v>
      </c>
    </row>
    <row r="535" spans="1:31" ht="204.75" customHeight="1" x14ac:dyDescent="0.4">
      <c r="A535" s="29" t="s">
        <v>2288</v>
      </c>
      <c r="B535" s="29"/>
      <c r="C535" s="29"/>
      <c r="D535" s="29" t="s">
        <v>2289</v>
      </c>
      <c r="E535" s="29" t="s">
        <v>2290</v>
      </c>
      <c r="F535" s="29" t="s">
        <v>2291</v>
      </c>
      <c r="G535" s="35"/>
      <c r="H535" s="35" t="s">
        <v>151</v>
      </c>
      <c r="I535" s="29" t="s">
        <v>2288</v>
      </c>
      <c r="J535" s="37"/>
      <c r="K535" s="38"/>
      <c r="L535" s="38"/>
      <c r="M535" s="36" t="s">
        <v>60</v>
      </c>
      <c r="N535" s="15" t="s">
        <v>152</v>
      </c>
      <c r="O535" s="36" t="s">
        <v>162</v>
      </c>
      <c r="P535" s="36" t="str">
        <f t="shared" si="16"/>
        <v>WMTS_1/1000地形圖_嘉義縣中正大學特定區計畫(97年)</v>
      </c>
      <c r="Q535" s="29" t="s">
        <v>2291</v>
      </c>
      <c r="R535" s="29" t="str">
        <f t="shared" si="17"/>
        <v>2dms_wmts_v1_TOPO01K_Q04</v>
      </c>
      <c r="S535" s="39" t="s">
        <v>155</v>
      </c>
      <c r="U535" s="27" t="str">
        <f>_xlfn.XLOOKUP(表格1[[#This Row],[服務類別(英)]],參考2_服務標準對照!$B:$B,參考2_服務標準對照!$C:$C,"")&amp;""</f>
        <v>OGC</v>
      </c>
      <c r="V535" s="29" t="s">
        <v>7</v>
      </c>
      <c r="W535" s="29" t="s">
        <v>163</v>
      </c>
      <c r="X535" s="29" t="s">
        <v>81</v>
      </c>
      <c r="Y535" s="36" t="s">
        <v>83</v>
      </c>
      <c r="Z535" s="36" t="s">
        <v>157</v>
      </c>
      <c r="AA535" s="36" t="s">
        <v>1159</v>
      </c>
      <c r="AB535" s="36"/>
      <c r="AC535" s="36"/>
      <c r="AD535" s="29" t="s">
        <v>119</v>
      </c>
      <c r="AE535" s="36" t="str">
        <f>_xlfn.XLOOKUP(表格1[[#This Row],[唯一識別碼]],API清冊0707!B:B,API清冊0707!T:T,"")&amp;""</f>
        <v>無下拉選單</v>
      </c>
    </row>
    <row r="536" spans="1:31" ht="204.75" customHeight="1" x14ac:dyDescent="0.4">
      <c r="A536" s="29" t="s">
        <v>2292</v>
      </c>
      <c r="B536" s="29"/>
      <c r="C536" s="29"/>
      <c r="D536" s="29" t="s">
        <v>2293</v>
      </c>
      <c r="E536" s="29" t="s">
        <v>2294</v>
      </c>
      <c r="F536" s="29" t="s">
        <v>2295</v>
      </c>
      <c r="G536" s="35"/>
      <c r="H536" s="35" t="s">
        <v>151</v>
      </c>
      <c r="I536" s="29" t="s">
        <v>2292</v>
      </c>
      <c r="J536" s="37"/>
      <c r="K536" s="38"/>
      <c r="L536" s="38"/>
      <c r="M536" s="36" t="s">
        <v>60</v>
      </c>
      <c r="N536" s="15" t="s">
        <v>152</v>
      </c>
      <c r="O536" s="36" t="s">
        <v>162</v>
      </c>
      <c r="P536" s="36" t="str">
        <f t="shared" si="16"/>
        <v>WMTS_1/1000地形圖_嘉義縣中崙風景特定區計畫(99年)</v>
      </c>
      <c r="Q536" s="29" t="s">
        <v>2295</v>
      </c>
      <c r="R536" s="29" t="str">
        <f t="shared" si="17"/>
        <v>2dms_wmts_v1_TOPO01K_Q03</v>
      </c>
      <c r="S536" s="39" t="s">
        <v>155</v>
      </c>
      <c r="U536" s="27" t="str">
        <f>_xlfn.XLOOKUP(表格1[[#This Row],[服務類別(英)]],參考2_服務標準對照!$B:$B,參考2_服務標準對照!$C:$C,"")&amp;""</f>
        <v>OGC</v>
      </c>
      <c r="V536" s="29" t="s">
        <v>7</v>
      </c>
      <c r="W536" s="29" t="s">
        <v>163</v>
      </c>
      <c r="X536" s="29" t="s">
        <v>81</v>
      </c>
      <c r="Y536" s="36" t="s">
        <v>83</v>
      </c>
      <c r="Z536" s="36" t="s">
        <v>157</v>
      </c>
      <c r="AA536" s="36" t="s">
        <v>1159</v>
      </c>
      <c r="AB536" s="36"/>
      <c r="AC536" s="36"/>
      <c r="AD536" s="29" t="s">
        <v>119</v>
      </c>
      <c r="AE536" s="36" t="str">
        <f>_xlfn.XLOOKUP(表格1[[#This Row],[唯一識別碼]],API清冊0707!B:B,API清冊0707!T:T,"")&amp;""</f>
        <v>無下拉選單</v>
      </c>
    </row>
    <row r="537" spans="1:31" ht="204.75" customHeight="1" x14ac:dyDescent="0.4">
      <c r="A537" s="29" t="s">
        <v>2296</v>
      </c>
      <c r="B537" s="29"/>
      <c r="C537" s="29"/>
      <c r="D537" s="29" t="s">
        <v>2297</v>
      </c>
      <c r="E537" s="29" t="s">
        <v>2298</v>
      </c>
      <c r="F537" s="29" t="s">
        <v>2299</v>
      </c>
      <c r="G537" s="35"/>
      <c r="H537" s="35" t="s">
        <v>151</v>
      </c>
      <c r="I537" s="29" t="s">
        <v>2296</v>
      </c>
      <c r="J537" s="37"/>
      <c r="K537" s="38"/>
      <c r="L537" s="38"/>
      <c r="M537" s="36" t="s">
        <v>60</v>
      </c>
      <c r="N537" s="15" t="s">
        <v>152</v>
      </c>
      <c r="O537" s="36" t="s">
        <v>162</v>
      </c>
      <c r="P537" s="36" t="str">
        <f t="shared" si="16"/>
        <v>WMTS_1/1000地形圖_嘉義縣中埔都市計畫(99年)</v>
      </c>
      <c r="Q537" s="29" t="s">
        <v>2299</v>
      </c>
      <c r="R537" s="29" t="str">
        <f t="shared" si="17"/>
        <v>2dms_wmts_v1_TOPO01K_Q02</v>
      </c>
      <c r="S537" s="39" t="s">
        <v>155</v>
      </c>
      <c r="U537" s="27" t="str">
        <f>_xlfn.XLOOKUP(表格1[[#This Row],[服務類別(英)]],參考2_服務標準對照!$B:$B,參考2_服務標準對照!$C:$C,"")&amp;""</f>
        <v>OGC</v>
      </c>
      <c r="V537" s="29" t="s">
        <v>7</v>
      </c>
      <c r="W537" s="29" t="s">
        <v>163</v>
      </c>
      <c r="X537" s="29" t="s">
        <v>81</v>
      </c>
      <c r="Y537" s="36" t="s">
        <v>83</v>
      </c>
      <c r="Z537" s="36" t="s">
        <v>157</v>
      </c>
      <c r="AA537" s="36" t="s">
        <v>1159</v>
      </c>
      <c r="AB537" s="36"/>
      <c r="AC537" s="36"/>
      <c r="AD537" s="29" t="s">
        <v>119</v>
      </c>
      <c r="AE537" s="36" t="str">
        <f>_xlfn.XLOOKUP(表格1[[#This Row],[唯一識別碼]],API清冊0707!B:B,API清冊0707!T:T,"")&amp;""</f>
        <v>無下拉選單</v>
      </c>
    </row>
    <row r="538" spans="1:31" ht="204.75" customHeight="1" x14ac:dyDescent="0.4">
      <c r="A538" s="29" t="s">
        <v>2300</v>
      </c>
      <c r="B538" s="29"/>
      <c r="C538" s="29"/>
      <c r="D538" s="29" t="s">
        <v>2301</v>
      </c>
      <c r="E538" s="29" t="s">
        <v>2302</v>
      </c>
      <c r="F538" s="29" t="s">
        <v>2303</v>
      </c>
      <c r="G538" s="35"/>
      <c r="H538" s="35" t="s">
        <v>151</v>
      </c>
      <c r="I538" s="29" t="s">
        <v>2300</v>
      </c>
      <c r="J538" s="37"/>
      <c r="K538" s="38"/>
      <c r="L538" s="38"/>
      <c r="M538" s="36" t="s">
        <v>60</v>
      </c>
      <c r="N538" s="15" t="s">
        <v>152</v>
      </c>
      <c r="O538" s="36" t="s">
        <v>162</v>
      </c>
      <c r="P538" s="36" t="str">
        <f t="shared" si="16"/>
        <v>WMTS_1/1000地形圖_嘉義縣中埔和睦地區都市計畫(99年)</v>
      </c>
      <c r="Q538" s="29" t="s">
        <v>2303</v>
      </c>
      <c r="R538" s="29" t="str">
        <f t="shared" si="17"/>
        <v>2dms_wmts_v1_TOPO01K_Q01</v>
      </c>
      <c r="S538" s="39" t="s">
        <v>155</v>
      </c>
      <c r="U538" s="27" t="str">
        <f>_xlfn.XLOOKUP(表格1[[#This Row],[服務類別(英)]],參考2_服務標準對照!$B:$B,參考2_服務標準對照!$C:$C,"")&amp;""</f>
        <v>OGC</v>
      </c>
      <c r="V538" s="29" t="s">
        <v>7</v>
      </c>
      <c r="W538" s="29" t="s">
        <v>163</v>
      </c>
      <c r="X538" s="29" t="s">
        <v>81</v>
      </c>
      <c r="Y538" s="36" t="s">
        <v>83</v>
      </c>
      <c r="Z538" s="36" t="s">
        <v>157</v>
      </c>
      <c r="AA538" s="36" t="s">
        <v>1159</v>
      </c>
      <c r="AB538" s="36"/>
      <c r="AC538" s="36"/>
      <c r="AD538" s="29" t="s">
        <v>119</v>
      </c>
      <c r="AE538" s="36" t="str">
        <f>_xlfn.XLOOKUP(表格1[[#This Row],[唯一識別碼]],API清冊0707!B:B,API清冊0707!T:T,"")&amp;""</f>
        <v>無下拉選單</v>
      </c>
    </row>
    <row r="539" spans="1:31" ht="204.75" customHeight="1" x14ac:dyDescent="0.4">
      <c r="A539" s="29" t="s">
        <v>2304</v>
      </c>
      <c r="B539" s="29"/>
      <c r="C539" s="29"/>
      <c r="D539" s="29" t="s">
        <v>2305</v>
      </c>
      <c r="E539" s="29" t="s">
        <v>2306</v>
      </c>
      <c r="F539" s="29" t="s">
        <v>2307</v>
      </c>
      <c r="G539" s="35"/>
      <c r="H539" s="35" t="s">
        <v>151</v>
      </c>
      <c r="I539" s="29" t="s">
        <v>2304</v>
      </c>
      <c r="J539" s="37"/>
      <c r="K539" s="38"/>
      <c r="L539" s="38"/>
      <c r="M539" s="36" t="s">
        <v>60</v>
      </c>
      <c r="N539" s="15" t="s">
        <v>152</v>
      </c>
      <c r="O539" s="36" t="s">
        <v>162</v>
      </c>
      <c r="P539" s="36" t="str">
        <f t="shared" si="16"/>
        <v>WMTS_1/1000地形圖_雲林縣褒忠都市計畫(97年)</v>
      </c>
      <c r="Q539" s="29" t="s">
        <v>2307</v>
      </c>
      <c r="R539" s="29" t="str">
        <f t="shared" si="17"/>
        <v>2dms_wmts_v1_TOPO01K_P15</v>
      </c>
      <c r="S539" s="39" t="s">
        <v>155</v>
      </c>
      <c r="U539" s="27" t="str">
        <f>_xlfn.XLOOKUP(表格1[[#This Row],[服務類別(英)]],參考2_服務標準對照!$B:$B,參考2_服務標準對照!$C:$C,"")&amp;""</f>
        <v>OGC</v>
      </c>
      <c r="V539" s="29" t="s">
        <v>7</v>
      </c>
      <c r="W539" s="29" t="s">
        <v>163</v>
      </c>
      <c r="X539" s="29" t="s">
        <v>81</v>
      </c>
      <c r="Y539" s="36" t="s">
        <v>83</v>
      </c>
      <c r="Z539" s="36" t="s">
        <v>157</v>
      </c>
      <c r="AA539" s="36" t="s">
        <v>1159</v>
      </c>
      <c r="AB539" s="36"/>
      <c r="AC539" s="36"/>
      <c r="AD539" s="29" t="s">
        <v>119</v>
      </c>
      <c r="AE539" s="36" t="str">
        <f>_xlfn.XLOOKUP(表格1[[#This Row],[唯一識別碼]],API清冊0707!B:B,API清冊0707!T:T,"")&amp;""</f>
        <v>無下拉選單</v>
      </c>
    </row>
    <row r="540" spans="1:31" ht="204.75" customHeight="1" x14ac:dyDescent="0.4">
      <c r="A540" s="29" t="s">
        <v>2308</v>
      </c>
      <c r="B540" s="29"/>
      <c r="C540" s="29"/>
      <c r="D540" s="29" t="s">
        <v>2309</v>
      </c>
      <c r="E540" s="29" t="s">
        <v>2310</v>
      </c>
      <c r="F540" s="29" t="s">
        <v>2311</v>
      </c>
      <c r="G540" s="35"/>
      <c r="H540" s="35" t="s">
        <v>151</v>
      </c>
      <c r="I540" s="29" t="s">
        <v>2308</v>
      </c>
      <c r="J540" s="37"/>
      <c r="K540" s="38"/>
      <c r="L540" s="38"/>
      <c r="M540" s="36" t="s">
        <v>60</v>
      </c>
      <c r="N540" s="15" t="s">
        <v>152</v>
      </c>
      <c r="O540" s="36" t="s">
        <v>162</v>
      </c>
      <c r="P540" s="36" t="str">
        <f t="shared" si="16"/>
        <v>WMTS_1/1000地形圖_雲林縣草嶺都市計畫(97年)</v>
      </c>
      <c r="Q540" s="29" t="s">
        <v>2311</v>
      </c>
      <c r="R540" s="29" t="str">
        <f t="shared" si="17"/>
        <v>2dms_wmts_v1_TOPO01K_P14</v>
      </c>
      <c r="S540" s="39" t="s">
        <v>155</v>
      </c>
      <c r="U540" s="27" t="str">
        <f>_xlfn.XLOOKUP(表格1[[#This Row],[服務類別(英)]],參考2_服務標準對照!$B:$B,參考2_服務標準對照!$C:$C,"")&amp;""</f>
        <v>OGC</v>
      </c>
      <c r="V540" s="29" t="s">
        <v>7</v>
      </c>
      <c r="W540" s="29" t="s">
        <v>163</v>
      </c>
      <c r="X540" s="29" t="s">
        <v>81</v>
      </c>
      <c r="Y540" s="36" t="s">
        <v>83</v>
      </c>
      <c r="Z540" s="36" t="s">
        <v>157</v>
      </c>
      <c r="AA540" s="36" t="s">
        <v>1159</v>
      </c>
      <c r="AB540" s="36"/>
      <c r="AC540" s="36"/>
      <c r="AD540" s="29" t="s">
        <v>119</v>
      </c>
      <c r="AE540" s="36" t="str">
        <f>_xlfn.XLOOKUP(表格1[[#This Row],[唯一識別碼]],API清冊0707!B:B,API清冊0707!T:T,"")&amp;""</f>
        <v>無下拉選單</v>
      </c>
    </row>
    <row r="541" spans="1:31" ht="204.75" customHeight="1" x14ac:dyDescent="0.4">
      <c r="A541" s="29" t="s">
        <v>2312</v>
      </c>
      <c r="B541" s="29"/>
      <c r="C541" s="29"/>
      <c r="D541" s="29" t="s">
        <v>2313</v>
      </c>
      <c r="E541" s="29" t="s">
        <v>2314</v>
      </c>
      <c r="F541" s="29" t="s">
        <v>2315</v>
      </c>
      <c r="G541" s="35"/>
      <c r="H541" s="35" t="s">
        <v>151</v>
      </c>
      <c r="I541" s="29" t="s">
        <v>2312</v>
      </c>
      <c r="J541" s="37"/>
      <c r="K541" s="38"/>
      <c r="L541" s="38"/>
      <c r="M541" s="36" t="s">
        <v>60</v>
      </c>
      <c r="N541" s="15" t="s">
        <v>152</v>
      </c>
      <c r="O541" s="36" t="s">
        <v>162</v>
      </c>
      <c r="P541" s="36" t="str">
        <f t="shared" si="16"/>
        <v>WMTS_1/1000地形圖_雲林縣箔子寮漁港特定區計畫(97年)</v>
      </c>
      <c r="Q541" s="29" t="s">
        <v>2315</v>
      </c>
      <c r="R541" s="29" t="str">
        <f t="shared" si="17"/>
        <v>2dms_wmts_v1_TOPO01K_P13</v>
      </c>
      <c r="S541" s="39" t="s">
        <v>155</v>
      </c>
      <c r="U541" s="27" t="str">
        <f>_xlfn.XLOOKUP(表格1[[#This Row],[服務類別(英)]],參考2_服務標準對照!$B:$B,參考2_服務標準對照!$C:$C,"")&amp;""</f>
        <v>OGC</v>
      </c>
      <c r="V541" s="29" t="s">
        <v>7</v>
      </c>
      <c r="W541" s="29" t="s">
        <v>163</v>
      </c>
      <c r="X541" s="29" t="s">
        <v>81</v>
      </c>
      <c r="Y541" s="36" t="s">
        <v>83</v>
      </c>
      <c r="Z541" s="36" t="s">
        <v>157</v>
      </c>
      <c r="AA541" s="36" t="s">
        <v>1159</v>
      </c>
      <c r="AB541" s="36"/>
      <c r="AC541" s="36"/>
      <c r="AD541" s="29" t="s">
        <v>119</v>
      </c>
      <c r="AE541" s="36" t="str">
        <f>_xlfn.XLOOKUP(表格1[[#This Row],[唯一識別碼]],API清冊0707!B:B,API清冊0707!T:T,"")&amp;""</f>
        <v>無下拉選單</v>
      </c>
    </row>
    <row r="542" spans="1:31" ht="204.75" customHeight="1" x14ac:dyDescent="0.4">
      <c r="A542" s="29" t="s">
        <v>2316</v>
      </c>
      <c r="B542" s="29"/>
      <c r="C542" s="29"/>
      <c r="D542" s="29" t="s">
        <v>2317</v>
      </c>
      <c r="E542" s="29" t="s">
        <v>2318</v>
      </c>
      <c r="F542" s="29" t="s">
        <v>2319</v>
      </c>
      <c r="G542" s="35"/>
      <c r="H542" s="35" t="s">
        <v>151</v>
      </c>
      <c r="I542" s="29" t="s">
        <v>2316</v>
      </c>
      <c r="J542" s="37"/>
      <c r="K542" s="38"/>
      <c r="L542" s="38"/>
      <c r="M542" s="36" t="s">
        <v>60</v>
      </c>
      <c r="N542" s="15" t="s">
        <v>152</v>
      </c>
      <c r="O542" s="36" t="s">
        <v>162</v>
      </c>
      <c r="P542" s="36" t="str">
        <f t="shared" si="16"/>
        <v>WMTS_1/1000地形圖_雲林縣林內都市計畫(97年)</v>
      </c>
      <c r="Q542" s="29" t="s">
        <v>2319</v>
      </c>
      <c r="R542" s="29" t="str">
        <f t="shared" si="17"/>
        <v>2dms_wmts_v1_TOPO01K_P12</v>
      </c>
      <c r="S542" s="39" t="s">
        <v>155</v>
      </c>
      <c r="U542" s="27" t="str">
        <f>_xlfn.XLOOKUP(表格1[[#This Row],[服務類別(英)]],參考2_服務標準對照!$B:$B,參考2_服務標準對照!$C:$C,"")&amp;""</f>
        <v>OGC</v>
      </c>
      <c r="V542" s="29" t="s">
        <v>7</v>
      </c>
      <c r="W542" s="29" t="s">
        <v>163</v>
      </c>
      <c r="X542" s="29" t="s">
        <v>81</v>
      </c>
      <c r="Y542" s="36" t="s">
        <v>83</v>
      </c>
      <c r="Z542" s="36" t="s">
        <v>157</v>
      </c>
      <c r="AA542" s="36" t="s">
        <v>1159</v>
      </c>
      <c r="AB542" s="36"/>
      <c r="AC542" s="36"/>
      <c r="AD542" s="29" t="s">
        <v>119</v>
      </c>
      <c r="AE542" s="36" t="str">
        <f>_xlfn.XLOOKUP(表格1[[#This Row],[唯一識別碼]],API清冊0707!B:B,API清冊0707!T:T,"")&amp;""</f>
        <v>無下拉選單</v>
      </c>
    </row>
    <row r="543" spans="1:31" ht="204.75" customHeight="1" x14ac:dyDescent="0.4">
      <c r="A543" s="29" t="s">
        <v>2320</v>
      </c>
      <c r="B543" s="29"/>
      <c r="C543" s="29"/>
      <c r="D543" s="29" t="s">
        <v>2321</v>
      </c>
      <c r="E543" s="29" t="s">
        <v>2322</v>
      </c>
      <c r="F543" s="29" t="s">
        <v>2323</v>
      </c>
      <c r="G543" s="35"/>
      <c r="H543" s="35" t="s">
        <v>151</v>
      </c>
      <c r="I543" s="29" t="s">
        <v>2320</v>
      </c>
      <c r="J543" s="37"/>
      <c r="K543" s="38"/>
      <c r="L543" s="38"/>
      <c r="M543" s="36" t="s">
        <v>60</v>
      </c>
      <c r="N543" s="15" t="s">
        <v>152</v>
      </c>
      <c r="O543" s="36" t="s">
        <v>162</v>
      </c>
      <c r="P543" s="36" t="str">
        <f t="shared" si="16"/>
        <v>WMTS_1/1000地形圖_雲林縣東勢都市計畫(97年)</v>
      </c>
      <c r="Q543" s="29" t="s">
        <v>2323</v>
      </c>
      <c r="R543" s="29" t="str">
        <f t="shared" si="17"/>
        <v>2dms_wmts_v1_TOPO01K_P11</v>
      </c>
      <c r="S543" s="39" t="s">
        <v>155</v>
      </c>
      <c r="U543" s="27" t="str">
        <f>_xlfn.XLOOKUP(表格1[[#This Row],[服務類別(英)]],參考2_服務標準對照!$B:$B,參考2_服務標準對照!$C:$C,"")&amp;""</f>
        <v>OGC</v>
      </c>
      <c r="V543" s="29" t="s">
        <v>7</v>
      </c>
      <c r="W543" s="29" t="s">
        <v>163</v>
      </c>
      <c r="X543" s="29" t="s">
        <v>81</v>
      </c>
      <c r="Y543" s="36" t="s">
        <v>83</v>
      </c>
      <c r="Z543" s="36" t="s">
        <v>157</v>
      </c>
      <c r="AA543" s="36" t="s">
        <v>1159</v>
      </c>
      <c r="AB543" s="36"/>
      <c r="AC543" s="36"/>
      <c r="AD543" s="29" t="s">
        <v>119</v>
      </c>
      <c r="AE543" s="36" t="str">
        <f>_xlfn.XLOOKUP(表格1[[#This Row],[唯一識別碼]],API清冊0707!B:B,API清冊0707!T:T,"")&amp;""</f>
        <v>無下拉選單</v>
      </c>
    </row>
    <row r="544" spans="1:31" ht="204.75" customHeight="1" x14ac:dyDescent="0.4">
      <c r="A544" s="29" t="s">
        <v>2324</v>
      </c>
      <c r="B544" s="29"/>
      <c r="C544" s="29"/>
      <c r="D544" s="29" t="s">
        <v>2325</v>
      </c>
      <c r="E544" s="29" t="s">
        <v>2326</v>
      </c>
      <c r="F544" s="29" t="s">
        <v>2327</v>
      </c>
      <c r="G544" s="35"/>
      <c r="H544" s="35" t="s">
        <v>151</v>
      </c>
      <c r="I544" s="29" t="s">
        <v>2324</v>
      </c>
      <c r="J544" s="37"/>
      <c r="K544" s="38"/>
      <c r="L544" s="38"/>
      <c r="M544" s="36" t="s">
        <v>60</v>
      </c>
      <c r="N544" s="15" t="s">
        <v>152</v>
      </c>
      <c r="O544" s="36" t="s">
        <v>162</v>
      </c>
      <c r="P544" s="36" t="str">
        <f t="shared" si="16"/>
        <v>WMTS_1/1000地形圖_雲林縣斗南交流道特定區計畫(98年)</v>
      </c>
      <c r="Q544" s="29" t="s">
        <v>2327</v>
      </c>
      <c r="R544" s="29" t="str">
        <f t="shared" si="17"/>
        <v>2dms_wmts_v1_TOPO01K_P10</v>
      </c>
      <c r="S544" s="39" t="s">
        <v>155</v>
      </c>
      <c r="U544" s="27" t="str">
        <f>_xlfn.XLOOKUP(表格1[[#This Row],[服務類別(英)]],參考2_服務標準對照!$B:$B,參考2_服務標準對照!$C:$C,"")&amp;""</f>
        <v>OGC</v>
      </c>
      <c r="V544" s="29" t="s">
        <v>7</v>
      </c>
      <c r="W544" s="29" t="s">
        <v>163</v>
      </c>
      <c r="X544" s="29" t="s">
        <v>81</v>
      </c>
      <c r="Y544" s="36" t="s">
        <v>83</v>
      </c>
      <c r="Z544" s="36" t="s">
        <v>157</v>
      </c>
      <c r="AA544" s="36" t="s">
        <v>1159</v>
      </c>
      <c r="AB544" s="36"/>
      <c r="AC544" s="36"/>
      <c r="AD544" s="29" t="s">
        <v>119</v>
      </c>
      <c r="AE544" s="36" t="str">
        <f>_xlfn.XLOOKUP(表格1[[#This Row],[唯一識別碼]],API清冊0707!B:B,API清冊0707!T:T,"")&amp;""</f>
        <v>無下拉選單</v>
      </c>
    </row>
    <row r="545" spans="1:31" ht="204.75" customHeight="1" x14ac:dyDescent="0.4">
      <c r="A545" s="29" t="s">
        <v>2328</v>
      </c>
      <c r="B545" s="29"/>
      <c r="C545" s="29"/>
      <c r="D545" s="29" t="s">
        <v>2329</v>
      </c>
      <c r="E545" s="29" t="s">
        <v>2330</v>
      </c>
      <c r="F545" s="29" t="s">
        <v>2331</v>
      </c>
      <c r="G545" s="35"/>
      <c r="H545" s="35" t="s">
        <v>151</v>
      </c>
      <c r="I545" s="29" t="s">
        <v>2328</v>
      </c>
      <c r="J545" s="37"/>
      <c r="K545" s="38"/>
      <c r="L545" s="38"/>
      <c r="M545" s="36" t="s">
        <v>60</v>
      </c>
      <c r="N545" s="15" t="s">
        <v>152</v>
      </c>
      <c r="O545" s="36" t="s">
        <v>162</v>
      </c>
      <c r="P545" s="36" t="str">
        <f t="shared" si="16"/>
        <v>WMTS_1/1000地形圖_雲林縣斗六都市計畫(99年)</v>
      </c>
      <c r="Q545" s="29" t="s">
        <v>2331</v>
      </c>
      <c r="R545" s="29" t="str">
        <f t="shared" si="17"/>
        <v>2dms_wmts_v1_TOPO01K_P09</v>
      </c>
      <c r="S545" s="39" t="s">
        <v>155</v>
      </c>
      <c r="U545" s="27" t="str">
        <f>_xlfn.XLOOKUP(表格1[[#This Row],[服務類別(英)]],參考2_服務標準對照!$B:$B,參考2_服務標準對照!$C:$C,"")&amp;""</f>
        <v>OGC</v>
      </c>
      <c r="V545" s="29" t="s">
        <v>7</v>
      </c>
      <c r="W545" s="29" t="s">
        <v>163</v>
      </c>
      <c r="X545" s="29" t="s">
        <v>81</v>
      </c>
      <c r="Y545" s="36" t="s">
        <v>83</v>
      </c>
      <c r="Z545" s="36" t="s">
        <v>157</v>
      </c>
      <c r="AA545" s="36" t="s">
        <v>1159</v>
      </c>
      <c r="AB545" s="36"/>
      <c r="AC545" s="36"/>
      <c r="AD545" s="29" t="s">
        <v>119</v>
      </c>
      <c r="AE545" s="36" t="str">
        <f>_xlfn.XLOOKUP(表格1[[#This Row],[唯一識別碼]],API清冊0707!B:B,API清冊0707!T:T,"")&amp;""</f>
        <v>無下拉選單</v>
      </c>
    </row>
    <row r="546" spans="1:31" ht="204.75" customHeight="1" x14ac:dyDescent="0.4">
      <c r="A546" s="29" t="s">
        <v>2332</v>
      </c>
      <c r="B546" s="29"/>
      <c r="C546" s="29"/>
      <c r="D546" s="29" t="s">
        <v>2333</v>
      </c>
      <c r="E546" s="29" t="s">
        <v>2334</v>
      </c>
      <c r="F546" s="29" t="s">
        <v>2335</v>
      </c>
      <c r="G546" s="35"/>
      <c r="H546" s="35" t="s">
        <v>151</v>
      </c>
      <c r="I546" s="29" t="s">
        <v>2332</v>
      </c>
      <c r="J546" s="37"/>
      <c r="K546" s="38"/>
      <c r="L546" s="38"/>
      <c r="M546" s="36" t="s">
        <v>60</v>
      </c>
      <c r="N546" s="15" t="s">
        <v>152</v>
      </c>
      <c r="O546" s="36" t="s">
        <v>162</v>
      </c>
      <c r="P546" s="36" t="str">
        <f t="shared" si="16"/>
        <v>WMTS_1/1000地形圖_雲林縣斗六嘉東特定區計畫(97年)</v>
      </c>
      <c r="Q546" s="29" t="s">
        <v>2335</v>
      </c>
      <c r="R546" s="29" t="str">
        <f t="shared" si="17"/>
        <v>2dms_wmts_v1_TOPO01K_P08</v>
      </c>
      <c r="S546" s="39" t="s">
        <v>155</v>
      </c>
      <c r="U546" s="27" t="str">
        <f>_xlfn.XLOOKUP(表格1[[#This Row],[服務類別(英)]],參考2_服務標準對照!$B:$B,參考2_服務標準對照!$C:$C,"")&amp;""</f>
        <v>OGC</v>
      </c>
      <c r="V546" s="29" t="s">
        <v>7</v>
      </c>
      <c r="W546" s="29" t="s">
        <v>163</v>
      </c>
      <c r="X546" s="29" t="s">
        <v>81</v>
      </c>
      <c r="Y546" s="36" t="s">
        <v>83</v>
      </c>
      <c r="Z546" s="36" t="s">
        <v>157</v>
      </c>
      <c r="AA546" s="36" t="s">
        <v>1159</v>
      </c>
      <c r="AB546" s="36"/>
      <c r="AC546" s="36"/>
      <c r="AD546" s="29" t="s">
        <v>119</v>
      </c>
      <c r="AE546" s="36" t="str">
        <f>_xlfn.XLOOKUP(表格1[[#This Row],[唯一識別碼]],API清冊0707!B:B,API清冊0707!T:T,"")&amp;""</f>
        <v>無下拉選單</v>
      </c>
    </row>
    <row r="547" spans="1:31" ht="204.75" customHeight="1" x14ac:dyDescent="0.4">
      <c r="A547" s="29" t="s">
        <v>2336</v>
      </c>
      <c r="B547" s="29"/>
      <c r="C547" s="29"/>
      <c r="D547" s="29" t="s">
        <v>2337</v>
      </c>
      <c r="E547" s="29" t="s">
        <v>2338</v>
      </c>
      <c r="F547" s="29" t="s">
        <v>2339</v>
      </c>
      <c r="G547" s="35"/>
      <c r="H547" s="35" t="s">
        <v>151</v>
      </c>
      <c r="I547" s="29" t="s">
        <v>2336</v>
      </c>
      <c r="J547" s="37"/>
      <c r="K547" s="38"/>
      <c r="L547" s="38"/>
      <c r="M547" s="36" t="s">
        <v>60</v>
      </c>
      <c r="N547" s="15" t="s">
        <v>152</v>
      </c>
      <c r="O547" s="36" t="s">
        <v>162</v>
      </c>
      <c r="P547" s="36" t="str">
        <f t="shared" si="16"/>
        <v>WMTS_1/1000地形圖_雲林縣崙背都市計畫(97年)</v>
      </c>
      <c r="Q547" s="29" t="s">
        <v>2339</v>
      </c>
      <c r="R547" s="29" t="str">
        <f t="shared" si="17"/>
        <v>2dms_wmts_v1_TOPO01K_P07</v>
      </c>
      <c r="S547" s="39" t="s">
        <v>155</v>
      </c>
      <c r="U547" s="27" t="str">
        <f>_xlfn.XLOOKUP(表格1[[#This Row],[服務類別(英)]],參考2_服務標準對照!$B:$B,參考2_服務標準對照!$C:$C,"")&amp;""</f>
        <v>OGC</v>
      </c>
      <c r="V547" s="29" t="s">
        <v>7</v>
      </c>
      <c r="W547" s="29" t="s">
        <v>163</v>
      </c>
      <c r="X547" s="29" t="s">
        <v>81</v>
      </c>
      <c r="Y547" s="36" t="s">
        <v>83</v>
      </c>
      <c r="Z547" s="36" t="s">
        <v>157</v>
      </c>
      <c r="AA547" s="36" t="s">
        <v>1159</v>
      </c>
      <c r="AB547" s="36"/>
      <c r="AC547" s="36"/>
      <c r="AD547" s="29" t="s">
        <v>119</v>
      </c>
      <c r="AE547" s="36" t="str">
        <f>_xlfn.XLOOKUP(表格1[[#This Row],[唯一識別碼]],API清冊0707!B:B,API清冊0707!T:T,"")&amp;""</f>
        <v>無下拉選單</v>
      </c>
    </row>
    <row r="548" spans="1:31" ht="204.75" customHeight="1" x14ac:dyDescent="0.4">
      <c r="A548" s="29" t="s">
        <v>2340</v>
      </c>
      <c r="B548" s="29"/>
      <c r="C548" s="29"/>
      <c r="D548" s="29" t="s">
        <v>2341</v>
      </c>
      <c r="E548" s="29" t="s">
        <v>2342</v>
      </c>
      <c r="F548" s="29" t="s">
        <v>2343</v>
      </c>
      <c r="G548" s="35"/>
      <c r="H548" s="35" t="s">
        <v>151</v>
      </c>
      <c r="I548" s="29" t="s">
        <v>2340</v>
      </c>
      <c r="J548" s="37"/>
      <c r="K548" s="38"/>
      <c r="L548" s="38"/>
      <c r="M548" s="36" t="s">
        <v>60</v>
      </c>
      <c r="N548" s="15" t="s">
        <v>152</v>
      </c>
      <c r="O548" s="36" t="s">
        <v>162</v>
      </c>
      <c r="P548" s="36" t="str">
        <f t="shared" si="16"/>
        <v>WMTS_1/1000地形圖_雲林縣大埤都市計畫(97年)</v>
      </c>
      <c r="Q548" s="29" t="s">
        <v>2343</v>
      </c>
      <c r="R548" s="29" t="str">
        <f t="shared" si="17"/>
        <v>2dms_wmts_v1_TOPO01K_P06</v>
      </c>
      <c r="S548" s="39" t="s">
        <v>155</v>
      </c>
      <c r="U548" s="27" t="str">
        <f>_xlfn.XLOOKUP(表格1[[#This Row],[服務類別(英)]],參考2_服務標準對照!$B:$B,參考2_服務標準對照!$C:$C,"")&amp;""</f>
        <v>OGC</v>
      </c>
      <c r="V548" s="29" t="s">
        <v>7</v>
      </c>
      <c r="W548" s="29" t="s">
        <v>163</v>
      </c>
      <c r="X548" s="29" t="s">
        <v>81</v>
      </c>
      <c r="Y548" s="36" t="s">
        <v>83</v>
      </c>
      <c r="Z548" s="36" t="s">
        <v>157</v>
      </c>
      <c r="AA548" s="36" t="s">
        <v>1159</v>
      </c>
      <c r="AB548" s="36"/>
      <c r="AC548" s="36"/>
      <c r="AD548" s="29" t="s">
        <v>119</v>
      </c>
      <c r="AE548" s="36" t="str">
        <f>_xlfn.XLOOKUP(表格1[[#This Row],[唯一識別碼]],API清冊0707!B:B,API清冊0707!T:T,"")&amp;""</f>
        <v>無下拉選單</v>
      </c>
    </row>
    <row r="549" spans="1:31" ht="204.75" customHeight="1" x14ac:dyDescent="0.4">
      <c r="A549" s="29" t="s">
        <v>2344</v>
      </c>
      <c r="B549" s="29"/>
      <c r="C549" s="29"/>
      <c r="D549" s="29" t="s">
        <v>2345</v>
      </c>
      <c r="E549" s="29" t="s">
        <v>2346</v>
      </c>
      <c r="F549" s="29" t="s">
        <v>2347</v>
      </c>
      <c r="G549" s="35"/>
      <c r="H549" s="35" t="s">
        <v>151</v>
      </c>
      <c r="I549" s="29" t="s">
        <v>2344</v>
      </c>
      <c r="J549" s="37"/>
      <c r="K549" s="38"/>
      <c r="L549" s="38"/>
      <c r="M549" s="36" t="s">
        <v>60</v>
      </c>
      <c r="N549" s="15" t="s">
        <v>152</v>
      </c>
      <c r="O549" s="36" t="s">
        <v>162</v>
      </c>
      <c r="P549" s="36" t="str">
        <f t="shared" si="16"/>
        <v>WMTS_1/1000地形圖_雲林縣四湖都市計畫(97年)</v>
      </c>
      <c r="Q549" s="29" t="s">
        <v>2347</v>
      </c>
      <c r="R549" s="29" t="str">
        <f t="shared" si="17"/>
        <v>2dms_wmts_v1_TOPO01K_P05</v>
      </c>
      <c r="S549" s="39" t="s">
        <v>155</v>
      </c>
      <c r="U549" s="27" t="str">
        <f>_xlfn.XLOOKUP(表格1[[#This Row],[服務類別(英)]],參考2_服務標準對照!$B:$B,參考2_服務標準對照!$C:$C,"")&amp;""</f>
        <v>OGC</v>
      </c>
      <c r="V549" s="29" t="s">
        <v>7</v>
      </c>
      <c r="W549" s="29" t="s">
        <v>163</v>
      </c>
      <c r="X549" s="29" t="s">
        <v>81</v>
      </c>
      <c r="Y549" s="36" t="s">
        <v>83</v>
      </c>
      <c r="Z549" s="36" t="s">
        <v>157</v>
      </c>
      <c r="AA549" s="36" t="s">
        <v>1159</v>
      </c>
      <c r="AB549" s="36"/>
      <c r="AC549" s="36"/>
      <c r="AD549" s="29" t="s">
        <v>119</v>
      </c>
      <c r="AE549" s="36" t="str">
        <f>_xlfn.XLOOKUP(表格1[[#This Row],[唯一識別碼]],API清冊0707!B:B,API清冊0707!T:T,"")&amp;""</f>
        <v>無下拉選單</v>
      </c>
    </row>
    <row r="550" spans="1:31" ht="204.75" customHeight="1" x14ac:dyDescent="0.4">
      <c r="A550" s="29" t="s">
        <v>2348</v>
      </c>
      <c r="B550" s="29"/>
      <c r="C550" s="29"/>
      <c r="D550" s="29" t="s">
        <v>2349</v>
      </c>
      <c r="E550" s="29" t="s">
        <v>2350</v>
      </c>
      <c r="F550" s="29" t="s">
        <v>2351</v>
      </c>
      <c r="G550" s="35"/>
      <c r="H550" s="35" t="s">
        <v>151</v>
      </c>
      <c r="I550" s="29" t="s">
        <v>2348</v>
      </c>
      <c r="J550" s="37"/>
      <c r="K550" s="38"/>
      <c r="L550" s="38"/>
      <c r="M550" s="36" t="s">
        <v>60</v>
      </c>
      <c r="N550" s="15" t="s">
        <v>152</v>
      </c>
      <c r="O550" s="36" t="s">
        <v>162</v>
      </c>
      <c r="P550" s="36" t="str">
        <f t="shared" si="16"/>
        <v>WMTS_1/1000地形圖_雲林縣台西都市計畫(97年)</v>
      </c>
      <c r="Q550" s="29" t="s">
        <v>2351</v>
      </c>
      <c r="R550" s="29" t="str">
        <f t="shared" si="17"/>
        <v>2dms_wmts_v1_TOPO01K_P04</v>
      </c>
      <c r="S550" s="39" t="s">
        <v>155</v>
      </c>
      <c r="U550" s="27" t="str">
        <f>_xlfn.XLOOKUP(表格1[[#This Row],[服務類別(英)]],參考2_服務標準對照!$B:$B,參考2_服務標準對照!$C:$C,"")&amp;""</f>
        <v>OGC</v>
      </c>
      <c r="V550" s="29" t="s">
        <v>7</v>
      </c>
      <c r="W550" s="29" t="s">
        <v>163</v>
      </c>
      <c r="X550" s="29" t="s">
        <v>81</v>
      </c>
      <c r="Y550" s="36" t="s">
        <v>83</v>
      </c>
      <c r="Z550" s="36" t="s">
        <v>157</v>
      </c>
      <c r="AA550" s="36" t="s">
        <v>1159</v>
      </c>
      <c r="AB550" s="36"/>
      <c r="AC550" s="36"/>
      <c r="AD550" s="29" t="s">
        <v>119</v>
      </c>
      <c r="AE550" s="36" t="str">
        <f>_xlfn.XLOOKUP(表格1[[#This Row],[唯一識別碼]],API清冊0707!B:B,API清冊0707!T:T,"")&amp;""</f>
        <v>無下拉選單</v>
      </c>
    </row>
    <row r="551" spans="1:31" ht="204.75" customHeight="1" x14ac:dyDescent="0.4">
      <c r="A551" s="29" t="s">
        <v>2352</v>
      </c>
      <c r="B551" s="29"/>
      <c r="C551" s="29"/>
      <c r="D551" s="29" t="s">
        <v>2353</v>
      </c>
      <c r="E551" s="29" t="s">
        <v>2354</v>
      </c>
      <c r="F551" s="29" t="s">
        <v>2355</v>
      </c>
      <c r="G551" s="35"/>
      <c r="H551" s="35" t="s">
        <v>151</v>
      </c>
      <c r="I551" s="29" t="s">
        <v>2352</v>
      </c>
      <c r="J551" s="37"/>
      <c r="K551" s="38"/>
      <c r="L551" s="38"/>
      <c r="M551" s="36" t="s">
        <v>60</v>
      </c>
      <c r="N551" s="15" t="s">
        <v>152</v>
      </c>
      <c r="O551" s="36" t="s">
        <v>162</v>
      </c>
      <c r="P551" s="36" t="str">
        <f t="shared" si="16"/>
        <v>WMTS_1/1000地形圖_雲林縣古坑都市計畫(100年)</v>
      </c>
      <c r="Q551" s="29" t="s">
        <v>2355</v>
      </c>
      <c r="R551" s="29" t="str">
        <f t="shared" si="17"/>
        <v>2dms_wmts_v1_TOPO01K_P03</v>
      </c>
      <c r="S551" s="39" t="s">
        <v>155</v>
      </c>
      <c r="U551" s="27" t="str">
        <f>_xlfn.XLOOKUP(表格1[[#This Row],[服務類別(英)]],參考2_服務標準對照!$B:$B,參考2_服務標準對照!$C:$C,"")&amp;""</f>
        <v>OGC</v>
      </c>
      <c r="V551" s="29" t="s">
        <v>7</v>
      </c>
      <c r="W551" s="29" t="s">
        <v>163</v>
      </c>
      <c r="X551" s="29" t="s">
        <v>81</v>
      </c>
      <c r="Y551" s="36" t="s">
        <v>83</v>
      </c>
      <c r="Z551" s="36" t="s">
        <v>157</v>
      </c>
      <c r="AA551" s="36" t="s">
        <v>1159</v>
      </c>
      <c r="AB551" s="36"/>
      <c r="AC551" s="36"/>
      <c r="AD551" s="29" t="s">
        <v>119</v>
      </c>
      <c r="AE551" s="36" t="str">
        <f>_xlfn.XLOOKUP(表格1[[#This Row],[唯一識別碼]],API清冊0707!B:B,API清冊0707!T:T,"")&amp;""</f>
        <v>無下拉選單</v>
      </c>
    </row>
    <row r="552" spans="1:31" ht="204.75" customHeight="1" x14ac:dyDescent="0.4">
      <c r="A552" s="29" t="s">
        <v>2356</v>
      </c>
      <c r="B552" s="29"/>
      <c r="C552" s="29"/>
      <c r="D552" s="29" t="s">
        <v>2357</v>
      </c>
      <c r="E552" s="29" t="s">
        <v>2358</v>
      </c>
      <c r="F552" s="29" t="s">
        <v>2359</v>
      </c>
      <c r="G552" s="35"/>
      <c r="H552" s="35" t="s">
        <v>151</v>
      </c>
      <c r="I552" s="29" t="s">
        <v>2356</v>
      </c>
      <c r="J552" s="37"/>
      <c r="K552" s="38"/>
      <c r="L552" s="38"/>
      <c r="M552" s="36" t="s">
        <v>60</v>
      </c>
      <c r="N552" s="15" t="s">
        <v>152</v>
      </c>
      <c r="O552" s="36" t="s">
        <v>162</v>
      </c>
      <c r="P552" s="36" t="str">
        <f t="shared" si="16"/>
        <v>WMTS_1/1000地形圖_雲林縣元長都市計畫(100年)</v>
      </c>
      <c r="Q552" s="29" t="s">
        <v>2359</v>
      </c>
      <c r="R552" s="29" t="str">
        <f t="shared" si="17"/>
        <v>2dms_wmts_v1_TOPO01K_P02</v>
      </c>
      <c r="S552" s="39" t="s">
        <v>155</v>
      </c>
      <c r="U552" s="27" t="str">
        <f>_xlfn.XLOOKUP(表格1[[#This Row],[服務類別(英)]],參考2_服務標準對照!$B:$B,參考2_服務標準對照!$C:$C,"")&amp;""</f>
        <v>OGC</v>
      </c>
      <c r="V552" s="29" t="s">
        <v>7</v>
      </c>
      <c r="W552" s="29" t="s">
        <v>163</v>
      </c>
      <c r="X552" s="29" t="s">
        <v>81</v>
      </c>
      <c r="Y552" s="36" t="s">
        <v>83</v>
      </c>
      <c r="Z552" s="36" t="s">
        <v>157</v>
      </c>
      <c r="AA552" s="36" t="s">
        <v>1159</v>
      </c>
      <c r="AB552" s="36"/>
      <c r="AC552" s="36"/>
      <c r="AD552" s="29" t="s">
        <v>119</v>
      </c>
      <c r="AE552" s="36" t="str">
        <f>_xlfn.XLOOKUP(表格1[[#This Row],[唯一識別碼]],API清冊0707!B:B,API清冊0707!T:T,"")&amp;""</f>
        <v>無下拉選單</v>
      </c>
    </row>
    <row r="553" spans="1:31" ht="204.75" customHeight="1" x14ac:dyDescent="0.4">
      <c r="A553" s="29" t="s">
        <v>2360</v>
      </c>
      <c r="B553" s="29"/>
      <c r="C553" s="29"/>
      <c r="D553" s="29" t="s">
        <v>2361</v>
      </c>
      <c r="E553" s="29" t="s">
        <v>2362</v>
      </c>
      <c r="F553" s="29" t="s">
        <v>2363</v>
      </c>
      <c r="G553" s="35"/>
      <c r="H553" s="35" t="s">
        <v>151</v>
      </c>
      <c r="I553" s="29" t="s">
        <v>2360</v>
      </c>
      <c r="J553" s="37"/>
      <c r="K553" s="38"/>
      <c r="L553" s="38"/>
      <c r="M553" s="36" t="s">
        <v>60</v>
      </c>
      <c r="N553" s="15" t="s">
        <v>152</v>
      </c>
      <c r="O553" s="36" t="s">
        <v>162</v>
      </c>
      <c r="P553" s="36" t="str">
        <f t="shared" si="16"/>
        <v>WMTS_1/1000地形圖_雲林縣二崙都市計畫(99年)</v>
      </c>
      <c r="Q553" s="29" t="s">
        <v>2363</v>
      </c>
      <c r="R553" s="29" t="str">
        <f t="shared" si="17"/>
        <v>2dms_wmts_v1_TOPO01K_P01</v>
      </c>
      <c r="S553" s="39" t="s">
        <v>155</v>
      </c>
      <c r="U553" s="27" t="str">
        <f>_xlfn.XLOOKUP(表格1[[#This Row],[服務類別(英)]],參考2_服務標準對照!$B:$B,參考2_服務標準對照!$C:$C,"")&amp;""</f>
        <v>OGC</v>
      </c>
      <c r="V553" s="29" t="s">
        <v>7</v>
      </c>
      <c r="W553" s="29" t="s">
        <v>163</v>
      </c>
      <c r="X553" s="29" t="s">
        <v>81</v>
      </c>
      <c r="Y553" s="36" t="s">
        <v>83</v>
      </c>
      <c r="Z553" s="36" t="s">
        <v>157</v>
      </c>
      <c r="AA553" s="36" t="s">
        <v>1159</v>
      </c>
      <c r="AB553" s="36"/>
      <c r="AC553" s="36"/>
      <c r="AD553" s="29" t="s">
        <v>119</v>
      </c>
      <c r="AE553" s="36" t="str">
        <f>_xlfn.XLOOKUP(表格1[[#This Row],[唯一識別碼]],API清冊0707!B:B,API清冊0707!T:T,"")&amp;""</f>
        <v>無下拉選單</v>
      </c>
    </row>
    <row r="554" spans="1:31" ht="204.75" customHeight="1" x14ac:dyDescent="0.4">
      <c r="A554" s="29" t="s">
        <v>2364</v>
      </c>
      <c r="B554" s="29"/>
      <c r="C554" s="29"/>
      <c r="D554" s="29" t="s">
        <v>2365</v>
      </c>
      <c r="E554" s="29" t="s">
        <v>2366</v>
      </c>
      <c r="F554" s="29" t="s">
        <v>2367</v>
      </c>
      <c r="G554" s="35"/>
      <c r="H554" s="35" t="s">
        <v>151</v>
      </c>
      <c r="I554" s="29" t="s">
        <v>2364</v>
      </c>
      <c r="J554" s="37"/>
      <c r="K554" s="38"/>
      <c r="L554" s="38"/>
      <c r="M554" s="36" t="s">
        <v>60</v>
      </c>
      <c r="N554" s="15" t="s">
        <v>152</v>
      </c>
      <c r="O554" s="36" t="s">
        <v>162</v>
      </c>
      <c r="P554" s="36" t="str">
        <f t="shared" si="16"/>
        <v>WMTS_1/1000地形圖_新竹市香山區都市計畫(111年)</v>
      </c>
      <c r="Q554" s="29" t="s">
        <v>2367</v>
      </c>
      <c r="R554" s="29" t="str">
        <f t="shared" si="17"/>
        <v>2dms_wmts_v1_TOPO01K_O08</v>
      </c>
      <c r="S554" s="39" t="s">
        <v>155</v>
      </c>
      <c r="U554" s="27" t="str">
        <f>_xlfn.XLOOKUP(表格1[[#This Row],[服務類別(英)]],參考2_服務標準對照!$B:$B,參考2_服務標準對照!$C:$C,"")&amp;""</f>
        <v>OGC</v>
      </c>
      <c r="V554" s="29" t="s">
        <v>7</v>
      </c>
      <c r="W554" s="29" t="s">
        <v>163</v>
      </c>
      <c r="X554" s="29" t="s">
        <v>81</v>
      </c>
      <c r="Y554" s="36" t="s">
        <v>83</v>
      </c>
      <c r="Z554" s="36" t="s">
        <v>157</v>
      </c>
      <c r="AA554" s="36" t="s">
        <v>1159</v>
      </c>
      <c r="AB554" s="36"/>
      <c r="AC554" s="36"/>
      <c r="AD554" s="29" t="s">
        <v>119</v>
      </c>
      <c r="AE554" s="36" t="str">
        <f>_xlfn.XLOOKUP(表格1[[#This Row],[唯一識別碼]],API清冊0707!B:B,API清冊0707!T:T,"")&amp;""</f>
        <v>無下拉選單</v>
      </c>
    </row>
    <row r="555" spans="1:31" ht="204.75" customHeight="1" x14ac:dyDescent="0.4">
      <c r="A555" s="29" t="s">
        <v>2368</v>
      </c>
      <c r="B555" s="29"/>
      <c r="C555" s="29"/>
      <c r="D555" s="29" t="s">
        <v>2369</v>
      </c>
      <c r="E555" s="29" t="s">
        <v>2370</v>
      </c>
      <c r="F555" s="29" t="s">
        <v>2371</v>
      </c>
      <c r="G555" s="35"/>
      <c r="H555" s="35" t="s">
        <v>151</v>
      </c>
      <c r="I555" s="29" t="s">
        <v>2368</v>
      </c>
      <c r="J555" s="37"/>
      <c r="K555" s="38"/>
      <c r="L555" s="38"/>
      <c r="M555" s="36" t="s">
        <v>60</v>
      </c>
      <c r="N555" s="15" t="s">
        <v>152</v>
      </c>
      <c r="O555" s="36" t="s">
        <v>162</v>
      </c>
      <c r="P555" s="36" t="str">
        <f t="shared" si="16"/>
        <v>WMTS_1/1000地形圖_新竹市香山區都市計畫(108年)</v>
      </c>
      <c r="Q555" s="29" t="s">
        <v>2371</v>
      </c>
      <c r="R555" s="29" t="str">
        <f t="shared" si="17"/>
        <v>2dms_wmts_v1_TOPO01K_O07</v>
      </c>
      <c r="S555" s="39" t="s">
        <v>155</v>
      </c>
      <c r="U555" s="27" t="str">
        <f>_xlfn.XLOOKUP(表格1[[#This Row],[服務類別(英)]],參考2_服務標準對照!$B:$B,參考2_服務標準對照!$C:$C,"")&amp;""</f>
        <v>OGC</v>
      </c>
      <c r="V555" s="29" t="s">
        <v>7</v>
      </c>
      <c r="W555" s="29" t="s">
        <v>163</v>
      </c>
      <c r="X555" s="29" t="s">
        <v>81</v>
      </c>
      <c r="Y555" s="36" t="s">
        <v>83</v>
      </c>
      <c r="Z555" s="36" t="s">
        <v>157</v>
      </c>
      <c r="AA555" s="36" t="s">
        <v>1159</v>
      </c>
      <c r="AB555" s="36"/>
      <c r="AC555" s="36"/>
      <c r="AD555" s="29" t="s">
        <v>119</v>
      </c>
      <c r="AE555" s="36" t="str">
        <f>_xlfn.XLOOKUP(表格1[[#This Row],[唯一識別碼]],API清冊0707!B:B,API清冊0707!T:T,"")&amp;""</f>
        <v>無下拉選單</v>
      </c>
    </row>
    <row r="556" spans="1:31" ht="204.75" customHeight="1" x14ac:dyDescent="0.4">
      <c r="A556" s="29" t="s">
        <v>2372</v>
      </c>
      <c r="B556" s="29"/>
      <c r="C556" s="29"/>
      <c r="D556" s="29" t="s">
        <v>2373</v>
      </c>
      <c r="E556" s="29" t="s">
        <v>2374</v>
      </c>
      <c r="F556" s="29" t="s">
        <v>2375</v>
      </c>
      <c r="G556" s="35"/>
      <c r="H556" s="35" t="s">
        <v>151</v>
      </c>
      <c r="I556" s="29" t="s">
        <v>2372</v>
      </c>
      <c r="J556" s="37"/>
      <c r="K556" s="38"/>
      <c r="L556" s="38"/>
      <c r="M556" s="36" t="s">
        <v>60</v>
      </c>
      <c r="N556" s="15" t="s">
        <v>152</v>
      </c>
      <c r="O556" s="36" t="s">
        <v>162</v>
      </c>
      <c r="P556" s="36" t="str">
        <f t="shared" si="16"/>
        <v>WMTS_1/1000地形圖_新竹市東區都市計畫(112年)</v>
      </c>
      <c r="Q556" s="29" t="s">
        <v>2375</v>
      </c>
      <c r="R556" s="29" t="str">
        <f t="shared" si="17"/>
        <v>2dms_wmts_v1_TOPO01K_O06</v>
      </c>
      <c r="S556" s="39" t="s">
        <v>155</v>
      </c>
      <c r="U556" s="27" t="str">
        <f>_xlfn.XLOOKUP(表格1[[#This Row],[服務類別(英)]],參考2_服務標準對照!$B:$B,參考2_服務標準對照!$C:$C,"")&amp;""</f>
        <v>OGC</v>
      </c>
      <c r="V556" s="29" t="s">
        <v>7</v>
      </c>
      <c r="W556" s="29" t="s">
        <v>163</v>
      </c>
      <c r="X556" s="29" t="s">
        <v>81</v>
      </c>
      <c r="Y556" s="36" t="s">
        <v>83</v>
      </c>
      <c r="Z556" s="36" t="s">
        <v>157</v>
      </c>
      <c r="AA556" s="36" t="s">
        <v>1159</v>
      </c>
      <c r="AB556" s="36"/>
      <c r="AC556" s="36"/>
      <c r="AD556" s="29" t="s">
        <v>119</v>
      </c>
      <c r="AE556" s="36" t="str">
        <f>_xlfn.XLOOKUP(表格1[[#This Row],[唯一識別碼]],API清冊0707!B:B,API清冊0707!T:T,"")&amp;""</f>
        <v>無下拉選單</v>
      </c>
    </row>
    <row r="557" spans="1:31" ht="204.75" customHeight="1" x14ac:dyDescent="0.4">
      <c r="A557" s="29" t="s">
        <v>2376</v>
      </c>
      <c r="B557" s="29"/>
      <c r="C557" s="29"/>
      <c r="D557" s="29" t="s">
        <v>2377</v>
      </c>
      <c r="E557" s="29" t="s">
        <v>2378</v>
      </c>
      <c r="F557" s="29" t="s">
        <v>2379</v>
      </c>
      <c r="G557" s="35"/>
      <c r="H557" s="35" t="s">
        <v>151</v>
      </c>
      <c r="I557" s="29" t="s">
        <v>2376</v>
      </c>
      <c r="J557" s="37"/>
      <c r="K557" s="38"/>
      <c r="L557" s="38"/>
      <c r="M557" s="36" t="s">
        <v>60</v>
      </c>
      <c r="N557" s="15" t="s">
        <v>152</v>
      </c>
      <c r="O557" s="36" t="s">
        <v>162</v>
      </c>
      <c r="P557" s="36" t="str">
        <f t="shared" si="16"/>
        <v>WMTS_1/1000地形圖_新竹市東區都市計畫(109年)</v>
      </c>
      <c r="Q557" s="29" t="s">
        <v>2379</v>
      </c>
      <c r="R557" s="29" t="str">
        <f t="shared" si="17"/>
        <v>2dms_wmts_v1_TOPO01K_O05</v>
      </c>
      <c r="S557" s="39" t="s">
        <v>155</v>
      </c>
      <c r="U557" s="27" t="str">
        <f>_xlfn.XLOOKUP(表格1[[#This Row],[服務類別(英)]],參考2_服務標準對照!$B:$B,參考2_服務標準對照!$C:$C,"")&amp;""</f>
        <v>OGC</v>
      </c>
      <c r="V557" s="29" t="s">
        <v>7</v>
      </c>
      <c r="W557" s="29" t="s">
        <v>163</v>
      </c>
      <c r="X557" s="29" t="s">
        <v>81</v>
      </c>
      <c r="Y557" s="36" t="s">
        <v>83</v>
      </c>
      <c r="Z557" s="36" t="s">
        <v>157</v>
      </c>
      <c r="AA557" s="36" t="s">
        <v>1159</v>
      </c>
      <c r="AB557" s="36"/>
      <c r="AC557" s="36"/>
      <c r="AD557" s="29" t="s">
        <v>119</v>
      </c>
      <c r="AE557" s="36" t="str">
        <f>_xlfn.XLOOKUP(表格1[[#This Row],[唯一識別碼]],API清冊0707!B:B,API清冊0707!T:T,"")&amp;""</f>
        <v>無下拉選單</v>
      </c>
    </row>
    <row r="558" spans="1:31" ht="204.75" customHeight="1" x14ac:dyDescent="0.4">
      <c r="A558" s="29" t="s">
        <v>2380</v>
      </c>
      <c r="B558" s="29"/>
      <c r="C558" s="29"/>
      <c r="D558" s="29" t="s">
        <v>2381</v>
      </c>
      <c r="E558" s="29" t="s">
        <v>2382</v>
      </c>
      <c r="F558" s="29" t="s">
        <v>2383</v>
      </c>
      <c r="G558" s="35"/>
      <c r="H558" s="35" t="s">
        <v>151</v>
      </c>
      <c r="I558" s="29" t="s">
        <v>2380</v>
      </c>
      <c r="J558" s="37"/>
      <c r="K558" s="38"/>
      <c r="L558" s="38"/>
      <c r="M558" s="36" t="s">
        <v>60</v>
      </c>
      <c r="N558" s="15" t="s">
        <v>152</v>
      </c>
      <c r="O558" s="36" t="s">
        <v>162</v>
      </c>
      <c r="P558" s="36" t="str">
        <f t="shared" si="16"/>
        <v>WMTS_1/1000地形圖_新竹市北區都市計畫(113年)</v>
      </c>
      <c r="Q558" s="29" t="s">
        <v>2383</v>
      </c>
      <c r="R558" s="29" t="str">
        <f t="shared" si="17"/>
        <v>2dms_wmts_v1_TOPO01K_O04</v>
      </c>
      <c r="S558" s="39" t="s">
        <v>155</v>
      </c>
      <c r="U558" s="27" t="str">
        <f>_xlfn.XLOOKUP(表格1[[#This Row],[服務類別(英)]],參考2_服務標準對照!$B:$B,參考2_服務標準對照!$C:$C,"")&amp;""</f>
        <v>OGC</v>
      </c>
      <c r="V558" s="29" t="s">
        <v>7</v>
      </c>
      <c r="W558" s="29" t="s">
        <v>163</v>
      </c>
      <c r="X558" s="29" t="s">
        <v>81</v>
      </c>
      <c r="Y558" s="36" t="s">
        <v>83</v>
      </c>
      <c r="Z558" s="36" t="s">
        <v>157</v>
      </c>
      <c r="AA558" s="36" t="s">
        <v>1159</v>
      </c>
      <c r="AB558" s="36"/>
      <c r="AC558" s="36"/>
      <c r="AD558" s="29" t="s">
        <v>119</v>
      </c>
      <c r="AE558" s="36" t="str">
        <f>_xlfn.XLOOKUP(表格1[[#This Row],[唯一識別碼]],API清冊0707!B:B,API清冊0707!T:T,"")&amp;""</f>
        <v>無下拉選單</v>
      </c>
    </row>
    <row r="559" spans="1:31" ht="204.75" customHeight="1" x14ac:dyDescent="0.4">
      <c r="A559" s="29" t="s">
        <v>2384</v>
      </c>
      <c r="B559" s="29"/>
      <c r="C559" s="29"/>
      <c r="D559" s="29" t="s">
        <v>2385</v>
      </c>
      <c r="E559" s="29" t="s">
        <v>2386</v>
      </c>
      <c r="F559" s="29" t="s">
        <v>2387</v>
      </c>
      <c r="G559" s="35"/>
      <c r="H559" s="35" t="s">
        <v>151</v>
      </c>
      <c r="I559" s="29" t="s">
        <v>2384</v>
      </c>
      <c r="J559" s="37"/>
      <c r="K559" s="38"/>
      <c r="L559" s="38"/>
      <c r="M559" s="36" t="s">
        <v>60</v>
      </c>
      <c r="N559" s="15" t="s">
        <v>152</v>
      </c>
      <c r="O559" s="36" t="s">
        <v>162</v>
      </c>
      <c r="P559" s="36" t="str">
        <f t="shared" si="16"/>
        <v>WMTS_1/1000地形圖_新竹市北區都市計畫(110年)</v>
      </c>
      <c r="Q559" s="29" t="s">
        <v>2387</v>
      </c>
      <c r="R559" s="29" t="str">
        <f t="shared" si="17"/>
        <v>2dms_wmts_v1_TOPO01K_O03</v>
      </c>
      <c r="S559" s="39" t="s">
        <v>155</v>
      </c>
      <c r="U559" s="27" t="str">
        <f>_xlfn.XLOOKUP(表格1[[#This Row],[服務類別(英)]],參考2_服務標準對照!$B:$B,參考2_服務標準對照!$C:$C,"")&amp;""</f>
        <v>OGC</v>
      </c>
      <c r="V559" s="29" t="s">
        <v>7</v>
      </c>
      <c r="W559" s="29" t="s">
        <v>163</v>
      </c>
      <c r="X559" s="29" t="s">
        <v>81</v>
      </c>
      <c r="Y559" s="36" t="s">
        <v>83</v>
      </c>
      <c r="Z559" s="36" t="s">
        <v>157</v>
      </c>
      <c r="AA559" s="36" t="s">
        <v>1159</v>
      </c>
      <c r="AB559" s="36"/>
      <c r="AC559" s="36"/>
      <c r="AD559" s="29" t="s">
        <v>119</v>
      </c>
      <c r="AE559" s="36" t="str">
        <f>_xlfn.XLOOKUP(表格1[[#This Row],[唯一識別碼]],API清冊0707!B:B,API清冊0707!T:T,"")&amp;""</f>
        <v>無下拉選單</v>
      </c>
    </row>
    <row r="560" spans="1:31" ht="204.75" customHeight="1" x14ac:dyDescent="0.4">
      <c r="A560" s="29" t="s">
        <v>2388</v>
      </c>
      <c r="B560" s="29"/>
      <c r="C560" s="29"/>
      <c r="D560" s="29" t="s">
        <v>2389</v>
      </c>
      <c r="E560" s="29" t="s">
        <v>2390</v>
      </c>
      <c r="F560" s="29" t="s">
        <v>2391</v>
      </c>
      <c r="G560" s="35"/>
      <c r="H560" s="35" t="s">
        <v>151</v>
      </c>
      <c r="I560" s="29" t="s">
        <v>2388</v>
      </c>
      <c r="J560" s="37"/>
      <c r="K560" s="38"/>
      <c r="L560" s="38"/>
      <c r="M560" s="36" t="s">
        <v>60</v>
      </c>
      <c r="N560" s="15" t="s">
        <v>152</v>
      </c>
      <c r="O560" s="36" t="s">
        <v>162</v>
      </c>
      <c r="P560" s="36" t="str">
        <f t="shared" si="16"/>
        <v>WMTS_1/1000地形圖_新竹市都市計畫(104-106年)</v>
      </c>
      <c r="Q560" s="29" t="s">
        <v>2391</v>
      </c>
      <c r="R560" s="29" t="str">
        <f t="shared" si="17"/>
        <v>2dms_wmts_v1_TOPO01K_O01</v>
      </c>
      <c r="S560" s="39" t="s">
        <v>155</v>
      </c>
      <c r="U560" s="27" t="str">
        <f>_xlfn.XLOOKUP(表格1[[#This Row],[服務類別(英)]],參考2_服務標準對照!$B:$B,參考2_服務標準對照!$C:$C,"")&amp;""</f>
        <v>OGC</v>
      </c>
      <c r="V560" s="29" t="s">
        <v>7</v>
      </c>
      <c r="W560" s="29" t="s">
        <v>163</v>
      </c>
      <c r="X560" s="29" t="s">
        <v>81</v>
      </c>
      <c r="Y560" s="36" t="s">
        <v>83</v>
      </c>
      <c r="Z560" s="36" t="s">
        <v>157</v>
      </c>
      <c r="AA560" s="36" t="s">
        <v>1159</v>
      </c>
      <c r="AB560" s="36"/>
      <c r="AC560" s="36"/>
      <c r="AD560" s="29" t="s">
        <v>119</v>
      </c>
      <c r="AE560" s="36" t="str">
        <f>_xlfn.XLOOKUP(表格1[[#This Row],[唯一識別碼]],API清冊0707!B:B,API清冊0707!T:T,"")&amp;""</f>
        <v>無下拉選單</v>
      </c>
    </row>
    <row r="561" spans="1:31" ht="204.75" customHeight="1" x14ac:dyDescent="0.4">
      <c r="A561" s="29" t="s">
        <v>2392</v>
      </c>
      <c r="B561" s="29"/>
      <c r="C561" s="29"/>
      <c r="D561" s="29" t="s">
        <v>2393</v>
      </c>
      <c r="E561" s="29" t="s">
        <v>2394</v>
      </c>
      <c r="F561" s="29" t="s">
        <v>2395</v>
      </c>
      <c r="G561" s="35"/>
      <c r="H561" s="35" t="s">
        <v>151</v>
      </c>
      <c r="I561" s="29" t="s">
        <v>2392</v>
      </c>
      <c r="J561" s="37"/>
      <c r="K561" s="38"/>
      <c r="L561" s="38"/>
      <c r="M561" s="36" t="s">
        <v>60</v>
      </c>
      <c r="N561" s="15" t="s">
        <v>152</v>
      </c>
      <c r="O561" s="36" t="s">
        <v>162</v>
      </c>
      <c r="P561" s="36" t="str">
        <f t="shared" si="16"/>
        <v>WMTS_1/1000地形圖_彰化縣鹿港福興都市計畫(97年)</v>
      </c>
      <c r="Q561" s="29" t="s">
        <v>2395</v>
      </c>
      <c r="R561" s="29" t="str">
        <f t="shared" si="17"/>
        <v>2dms_wmts_v1_TOPO01K_N35</v>
      </c>
      <c r="S561" s="39" t="s">
        <v>155</v>
      </c>
      <c r="U561" s="27" t="str">
        <f>_xlfn.XLOOKUP(表格1[[#This Row],[服務類別(英)]],參考2_服務標準對照!$B:$B,參考2_服務標準對照!$C:$C,"")&amp;""</f>
        <v>OGC</v>
      </c>
      <c r="V561" s="29" t="s">
        <v>7</v>
      </c>
      <c r="W561" s="29" t="s">
        <v>163</v>
      </c>
      <c r="X561" s="29" t="s">
        <v>81</v>
      </c>
      <c r="Y561" s="36" t="s">
        <v>83</v>
      </c>
      <c r="Z561" s="36" t="s">
        <v>157</v>
      </c>
      <c r="AA561" s="36" t="s">
        <v>1159</v>
      </c>
      <c r="AB561" s="36"/>
      <c r="AC561" s="36"/>
      <c r="AD561" s="29" t="s">
        <v>119</v>
      </c>
      <c r="AE561" s="36" t="str">
        <f>_xlfn.XLOOKUP(表格1[[#This Row],[唯一識別碼]],API清冊0707!B:B,API清冊0707!T:T,"")&amp;""</f>
        <v>無下拉選單</v>
      </c>
    </row>
    <row r="562" spans="1:31" ht="204.75" customHeight="1" x14ac:dyDescent="0.4">
      <c r="A562" s="29" t="s">
        <v>2396</v>
      </c>
      <c r="B562" s="29"/>
      <c r="C562" s="29"/>
      <c r="D562" s="29" t="s">
        <v>2397</v>
      </c>
      <c r="E562" s="29" t="s">
        <v>2398</v>
      </c>
      <c r="F562" s="29" t="s">
        <v>2399</v>
      </c>
      <c r="G562" s="35"/>
      <c r="H562" s="35" t="s">
        <v>151</v>
      </c>
      <c r="I562" s="29" t="s">
        <v>2396</v>
      </c>
      <c r="J562" s="37"/>
      <c r="K562" s="38"/>
      <c r="L562" s="38"/>
      <c r="M562" s="36" t="s">
        <v>60</v>
      </c>
      <c r="N562" s="15" t="s">
        <v>152</v>
      </c>
      <c r="O562" s="36" t="s">
        <v>162</v>
      </c>
      <c r="P562" s="36" t="str">
        <f t="shared" si="16"/>
        <v>WMTS_1/1000地形圖_彰化縣高速鐵路彰化車站特定區計畫(102年)</v>
      </c>
      <c r="Q562" s="29" t="s">
        <v>2399</v>
      </c>
      <c r="R562" s="29" t="str">
        <f t="shared" si="17"/>
        <v>2dms_wmts_v1_TOPO01K_N34</v>
      </c>
      <c r="S562" s="39" t="s">
        <v>155</v>
      </c>
      <c r="U562" s="27" t="str">
        <f>_xlfn.XLOOKUP(表格1[[#This Row],[服務類別(英)]],參考2_服務標準對照!$B:$B,參考2_服務標準對照!$C:$C,"")&amp;""</f>
        <v>OGC</v>
      </c>
      <c r="V562" s="29" t="s">
        <v>7</v>
      </c>
      <c r="W562" s="29" t="s">
        <v>163</v>
      </c>
      <c r="X562" s="29" t="s">
        <v>81</v>
      </c>
      <c r="Y562" s="36" t="s">
        <v>83</v>
      </c>
      <c r="Z562" s="36" t="s">
        <v>157</v>
      </c>
      <c r="AA562" s="36" t="s">
        <v>1159</v>
      </c>
      <c r="AB562" s="36"/>
      <c r="AC562" s="36"/>
      <c r="AD562" s="29" t="s">
        <v>119</v>
      </c>
      <c r="AE562" s="36" t="str">
        <f>_xlfn.XLOOKUP(表格1[[#This Row],[唯一識別碼]],API清冊0707!B:B,API清冊0707!T:T,"")&amp;""</f>
        <v>無下拉選單</v>
      </c>
    </row>
    <row r="563" spans="1:31" ht="204.75" customHeight="1" x14ac:dyDescent="0.4">
      <c r="A563" s="29" t="s">
        <v>2400</v>
      </c>
      <c r="B563" s="29"/>
      <c r="C563" s="29"/>
      <c r="D563" s="29" t="s">
        <v>2401</v>
      </c>
      <c r="E563" s="29" t="s">
        <v>2402</v>
      </c>
      <c r="F563" s="29" t="s">
        <v>2403</v>
      </c>
      <c r="G563" s="35"/>
      <c r="H563" s="35" t="s">
        <v>151</v>
      </c>
      <c r="I563" s="29" t="s">
        <v>2400</v>
      </c>
      <c r="J563" s="37"/>
      <c r="K563" s="38"/>
      <c r="L563" s="38"/>
      <c r="M563" s="36" t="s">
        <v>60</v>
      </c>
      <c r="N563" s="15" t="s">
        <v>152</v>
      </c>
      <c r="O563" s="36" t="s">
        <v>162</v>
      </c>
      <c r="P563" s="36" t="str">
        <f t="shared" si="16"/>
        <v>WMTS_1/1000地形圖_彰化縣高速公路彰化交流道特定區計畫(100年)</v>
      </c>
      <c r="Q563" s="29" t="s">
        <v>2403</v>
      </c>
      <c r="R563" s="29" t="str">
        <f t="shared" si="17"/>
        <v>2dms_wmts_v1_TOPO01K_N33</v>
      </c>
      <c r="S563" s="39" t="s">
        <v>155</v>
      </c>
      <c r="U563" s="27" t="str">
        <f>_xlfn.XLOOKUP(表格1[[#This Row],[服務類別(英)]],參考2_服務標準對照!$B:$B,參考2_服務標準對照!$C:$C,"")&amp;""</f>
        <v>OGC</v>
      </c>
      <c r="V563" s="29" t="s">
        <v>7</v>
      </c>
      <c r="W563" s="29" t="s">
        <v>163</v>
      </c>
      <c r="X563" s="29" t="s">
        <v>81</v>
      </c>
      <c r="Y563" s="36" t="s">
        <v>83</v>
      </c>
      <c r="Z563" s="36" t="s">
        <v>157</v>
      </c>
      <c r="AA563" s="36" t="s">
        <v>1159</v>
      </c>
      <c r="AB563" s="36"/>
      <c r="AC563" s="36"/>
      <c r="AD563" s="29" t="s">
        <v>119</v>
      </c>
      <c r="AE563" s="36" t="str">
        <f>_xlfn.XLOOKUP(表格1[[#This Row],[唯一識別碼]],API清冊0707!B:B,API清冊0707!T:T,"")&amp;""</f>
        <v>無下拉選單</v>
      </c>
    </row>
    <row r="564" spans="1:31" ht="204.75" customHeight="1" x14ac:dyDescent="0.4">
      <c r="A564" s="29" t="s">
        <v>2404</v>
      </c>
      <c r="B564" s="29"/>
      <c r="C564" s="29"/>
      <c r="D564" s="29" t="s">
        <v>2405</v>
      </c>
      <c r="E564" s="29" t="s">
        <v>2406</v>
      </c>
      <c r="F564" s="29" t="s">
        <v>2407</v>
      </c>
      <c r="G564" s="35"/>
      <c r="H564" s="35" t="s">
        <v>151</v>
      </c>
      <c r="I564" s="29" t="s">
        <v>2404</v>
      </c>
      <c r="J564" s="37"/>
      <c r="K564" s="38"/>
      <c r="L564" s="38"/>
      <c r="M564" s="36" t="s">
        <v>60</v>
      </c>
      <c r="N564" s="15" t="s">
        <v>152</v>
      </c>
      <c r="O564" s="36" t="s">
        <v>162</v>
      </c>
      <c r="P564" s="36" t="str">
        <f t="shared" si="16"/>
        <v>WMTS_1/1000地形圖_彰化縣高速公路員林交流道特定區計畫(98年)</v>
      </c>
      <c r="Q564" s="29" t="s">
        <v>2407</v>
      </c>
      <c r="R564" s="29" t="str">
        <f t="shared" si="17"/>
        <v>2dms_wmts_v1_TOPO01K_N32</v>
      </c>
      <c r="S564" s="39" t="s">
        <v>155</v>
      </c>
      <c r="U564" s="27" t="str">
        <f>_xlfn.XLOOKUP(表格1[[#This Row],[服務類別(英)]],參考2_服務標準對照!$B:$B,參考2_服務標準對照!$C:$C,"")&amp;""</f>
        <v>OGC</v>
      </c>
      <c r="V564" s="29" t="s">
        <v>7</v>
      </c>
      <c r="W564" s="29" t="s">
        <v>163</v>
      </c>
      <c r="X564" s="29" t="s">
        <v>81</v>
      </c>
      <c r="Y564" s="36" t="s">
        <v>83</v>
      </c>
      <c r="Z564" s="36" t="s">
        <v>157</v>
      </c>
      <c r="AA564" s="36" t="s">
        <v>1159</v>
      </c>
      <c r="AB564" s="36"/>
      <c r="AC564" s="36"/>
      <c r="AD564" s="29" t="s">
        <v>119</v>
      </c>
      <c r="AE564" s="36" t="str">
        <f>_xlfn.XLOOKUP(表格1[[#This Row],[唯一識別碼]],API清冊0707!B:B,API清冊0707!T:T,"")&amp;""</f>
        <v>無下拉選單</v>
      </c>
    </row>
    <row r="565" spans="1:31" ht="204.75" customHeight="1" x14ac:dyDescent="0.4">
      <c r="A565" s="29" t="s">
        <v>2408</v>
      </c>
      <c r="B565" s="29"/>
      <c r="C565" s="29"/>
      <c r="D565" s="29" t="s">
        <v>2409</v>
      </c>
      <c r="E565" s="29" t="s">
        <v>2410</v>
      </c>
      <c r="F565" s="29" t="s">
        <v>2411</v>
      </c>
      <c r="G565" s="35"/>
      <c r="H565" s="35" t="s">
        <v>151</v>
      </c>
      <c r="I565" s="29" t="s">
        <v>2408</v>
      </c>
      <c r="J565" s="37"/>
      <c r="K565" s="38"/>
      <c r="L565" s="38"/>
      <c r="M565" s="36" t="s">
        <v>60</v>
      </c>
      <c r="N565" s="15" t="s">
        <v>152</v>
      </c>
      <c r="O565" s="36" t="s">
        <v>162</v>
      </c>
      <c r="P565" s="36" t="str">
        <f t="shared" si="16"/>
        <v>WMTS_1/1000地形圖_彰化縣芳苑都市計畫(98年)</v>
      </c>
      <c r="Q565" s="29" t="s">
        <v>2411</v>
      </c>
      <c r="R565" s="29" t="str">
        <f t="shared" si="17"/>
        <v>2dms_wmts_v1_TOPO01K_N31</v>
      </c>
      <c r="S565" s="39" t="s">
        <v>155</v>
      </c>
      <c r="U565" s="27" t="str">
        <f>_xlfn.XLOOKUP(表格1[[#This Row],[服務類別(英)]],參考2_服務標準對照!$B:$B,參考2_服務標準對照!$C:$C,"")&amp;""</f>
        <v>OGC</v>
      </c>
      <c r="V565" s="29" t="s">
        <v>7</v>
      </c>
      <c r="W565" s="29" t="s">
        <v>163</v>
      </c>
      <c r="X565" s="29" t="s">
        <v>81</v>
      </c>
      <c r="Y565" s="36" t="s">
        <v>83</v>
      </c>
      <c r="Z565" s="36" t="s">
        <v>157</v>
      </c>
      <c r="AA565" s="36" t="s">
        <v>1159</v>
      </c>
      <c r="AB565" s="36"/>
      <c r="AC565" s="36"/>
      <c r="AD565" s="29" t="s">
        <v>119</v>
      </c>
      <c r="AE565" s="36" t="str">
        <f>_xlfn.XLOOKUP(表格1[[#This Row],[唯一識別碼]],API清冊0707!B:B,API清冊0707!T:T,"")&amp;""</f>
        <v>無下拉選單</v>
      </c>
    </row>
    <row r="566" spans="1:31" ht="204.75" customHeight="1" x14ac:dyDescent="0.4">
      <c r="A566" s="29" t="s">
        <v>2412</v>
      </c>
      <c r="B566" s="29"/>
      <c r="C566" s="29"/>
      <c r="D566" s="29" t="s">
        <v>2413</v>
      </c>
      <c r="E566" s="29" t="s">
        <v>2414</v>
      </c>
      <c r="F566" s="29" t="s">
        <v>2415</v>
      </c>
      <c r="G566" s="35"/>
      <c r="H566" s="35" t="s">
        <v>151</v>
      </c>
      <c r="I566" s="29" t="s">
        <v>2412</v>
      </c>
      <c r="J566" s="37"/>
      <c r="K566" s="38"/>
      <c r="L566" s="38"/>
      <c r="M566" s="36" t="s">
        <v>60</v>
      </c>
      <c r="N566" s="15" t="s">
        <v>152</v>
      </c>
      <c r="O566" s="36" t="s">
        <v>162</v>
      </c>
      <c r="P566" s="36" t="str">
        <f t="shared" si="16"/>
        <v>WMTS_1/1000地形圖_彰化縣花壇都市計畫(98年)</v>
      </c>
      <c r="Q566" s="29" t="s">
        <v>2415</v>
      </c>
      <c r="R566" s="29" t="str">
        <f t="shared" si="17"/>
        <v>2dms_wmts_v1_TOPO01K_N30</v>
      </c>
      <c r="S566" s="39" t="s">
        <v>155</v>
      </c>
      <c r="U566" s="27" t="str">
        <f>_xlfn.XLOOKUP(表格1[[#This Row],[服務類別(英)]],參考2_服務標準對照!$B:$B,參考2_服務標準對照!$C:$C,"")&amp;""</f>
        <v>OGC</v>
      </c>
      <c r="V566" s="29" t="s">
        <v>7</v>
      </c>
      <c r="W566" s="29" t="s">
        <v>163</v>
      </c>
      <c r="X566" s="29" t="s">
        <v>81</v>
      </c>
      <c r="Y566" s="36" t="s">
        <v>83</v>
      </c>
      <c r="Z566" s="36" t="s">
        <v>157</v>
      </c>
      <c r="AA566" s="36" t="s">
        <v>1159</v>
      </c>
      <c r="AB566" s="36"/>
      <c r="AC566" s="36"/>
      <c r="AD566" s="29" t="s">
        <v>119</v>
      </c>
      <c r="AE566" s="36" t="str">
        <f>_xlfn.XLOOKUP(表格1[[#This Row],[唯一識別碼]],API清冊0707!B:B,API清冊0707!T:T,"")&amp;""</f>
        <v>無下拉選單</v>
      </c>
    </row>
    <row r="567" spans="1:31" ht="204.75" customHeight="1" x14ac:dyDescent="0.4">
      <c r="A567" s="29" t="s">
        <v>2416</v>
      </c>
      <c r="B567" s="29"/>
      <c r="C567" s="29"/>
      <c r="D567" s="29" t="s">
        <v>2417</v>
      </c>
      <c r="E567" s="29" t="s">
        <v>2418</v>
      </c>
      <c r="F567" s="29" t="s">
        <v>2419</v>
      </c>
      <c r="G567" s="35"/>
      <c r="H567" s="35" t="s">
        <v>151</v>
      </c>
      <c r="I567" s="29" t="s">
        <v>2416</v>
      </c>
      <c r="J567" s="37"/>
      <c r="K567" s="38"/>
      <c r="L567" s="38"/>
      <c r="M567" s="36" t="s">
        <v>60</v>
      </c>
      <c r="N567" s="15" t="s">
        <v>152</v>
      </c>
      <c r="O567" s="36" t="s">
        <v>162</v>
      </c>
      <c r="P567" s="36" t="str">
        <f t="shared" ref="P567:P630" si="18">IF(LEN(TRIM(F567))&gt;0,F567,E567)</f>
        <v>WMTS_1/1000地形圖_彰化縣芬園都市計畫(98年)</v>
      </c>
      <c r="Q567" s="29" t="s">
        <v>2419</v>
      </c>
      <c r="R567" s="29" t="str">
        <f t="shared" ref="R567:R630" si="19">D567</f>
        <v>2dms_wmts_v1_TOPO01K_N29</v>
      </c>
      <c r="S567" s="39" t="s">
        <v>155</v>
      </c>
      <c r="U567" s="27" t="str">
        <f>_xlfn.XLOOKUP(表格1[[#This Row],[服務類別(英)]],參考2_服務標準對照!$B:$B,參考2_服務標準對照!$C:$C,"")&amp;""</f>
        <v>OGC</v>
      </c>
      <c r="V567" s="29" t="s">
        <v>7</v>
      </c>
      <c r="W567" s="29" t="s">
        <v>163</v>
      </c>
      <c r="X567" s="29" t="s">
        <v>81</v>
      </c>
      <c r="Y567" s="36" t="s">
        <v>83</v>
      </c>
      <c r="Z567" s="36" t="s">
        <v>157</v>
      </c>
      <c r="AA567" s="36" t="s">
        <v>1159</v>
      </c>
      <c r="AB567" s="36"/>
      <c r="AC567" s="36"/>
      <c r="AD567" s="29" t="s">
        <v>119</v>
      </c>
      <c r="AE567" s="36" t="str">
        <f>_xlfn.XLOOKUP(表格1[[#This Row],[唯一識別碼]],API清冊0707!B:B,API清冊0707!T:T,"")&amp;""</f>
        <v>無下拉選單</v>
      </c>
    </row>
    <row r="568" spans="1:31" ht="204.75" customHeight="1" x14ac:dyDescent="0.4">
      <c r="A568" s="29" t="s">
        <v>2420</v>
      </c>
      <c r="B568" s="29"/>
      <c r="C568" s="29"/>
      <c r="D568" s="29" t="s">
        <v>2421</v>
      </c>
      <c r="E568" s="29" t="s">
        <v>2422</v>
      </c>
      <c r="F568" s="29" t="s">
        <v>2423</v>
      </c>
      <c r="G568" s="35"/>
      <c r="H568" s="35" t="s">
        <v>151</v>
      </c>
      <c r="I568" s="29" t="s">
        <v>2420</v>
      </c>
      <c r="J568" s="37"/>
      <c r="K568" s="38"/>
      <c r="L568" s="38"/>
      <c r="M568" s="36" t="s">
        <v>60</v>
      </c>
      <c r="N568" s="15" t="s">
        <v>152</v>
      </c>
      <c r="O568" s="36" t="s">
        <v>162</v>
      </c>
      <c r="P568" s="36" t="str">
        <f t="shared" si="18"/>
        <v>WMTS_1/1000地形圖_彰化縣線西都市計畫(97年)</v>
      </c>
      <c r="Q568" s="29" t="s">
        <v>2423</v>
      </c>
      <c r="R568" s="29" t="str">
        <f t="shared" si="19"/>
        <v>2dms_wmts_v1_TOPO01K_N28</v>
      </c>
      <c r="S568" s="39" t="s">
        <v>155</v>
      </c>
      <c r="U568" s="27" t="str">
        <f>_xlfn.XLOOKUP(表格1[[#This Row],[服務類別(英)]],參考2_服務標準對照!$B:$B,參考2_服務標準對照!$C:$C,"")&amp;""</f>
        <v>OGC</v>
      </c>
      <c r="V568" s="29" t="s">
        <v>7</v>
      </c>
      <c r="W568" s="29" t="s">
        <v>163</v>
      </c>
      <c r="X568" s="29" t="s">
        <v>81</v>
      </c>
      <c r="Y568" s="36" t="s">
        <v>83</v>
      </c>
      <c r="Z568" s="36" t="s">
        <v>157</v>
      </c>
      <c r="AA568" s="36" t="s">
        <v>1159</v>
      </c>
      <c r="AB568" s="36"/>
      <c r="AC568" s="36"/>
      <c r="AD568" s="29" t="s">
        <v>119</v>
      </c>
      <c r="AE568" s="36" t="str">
        <f>_xlfn.XLOOKUP(表格1[[#This Row],[唯一識別碼]],API清冊0707!B:B,API清冊0707!T:T,"")&amp;""</f>
        <v>無下拉選單</v>
      </c>
    </row>
    <row r="569" spans="1:31" ht="204.75" customHeight="1" x14ac:dyDescent="0.4">
      <c r="A569" s="29" t="s">
        <v>2424</v>
      </c>
      <c r="B569" s="29"/>
      <c r="C569" s="29"/>
      <c r="D569" s="29" t="s">
        <v>2425</v>
      </c>
      <c r="E569" s="29" t="s">
        <v>2426</v>
      </c>
      <c r="F569" s="29" t="s">
        <v>2427</v>
      </c>
      <c r="G569" s="35"/>
      <c r="H569" s="35" t="s">
        <v>151</v>
      </c>
      <c r="I569" s="29" t="s">
        <v>2424</v>
      </c>
      <c r="J569" s="37"/>
      <c r="K569" s="38"/>
      <c r="L569" s="38"/>
      <c r="M569" s="36" t="s">
        <v>60</v>
      </c>
      <c r="N569" s="15" t="s">
        <v>152</v>
      </c>
      <c r="O569" s="36" t="s">
        <v>162</v>
      </c>
      <c r="P569" s="36" t="str">
        <f t="shared" si="18"/>
        <v>WMTS_1/1000地形圖_彰化縣竹塘都市計畫(98年)</v>
      </c>
      <c r="Q569" s="29" t="s">
        <v>2427</v>
      </c>
      <c r="R569" s="29" t="str">
        <f t="shared" si="19"/>
        <v>2dms_wmts_v1_TOPO01K_N27</v>
      </c>
      <c r="S569" s="39" t="s">
        <v>155</v>
      </c>
      <c r="U569" s="27" t="str">
        <f>_xlfn.XLOOKUP(表格1[[#This Row],[服務類別(英)]],參考2_服務標準對照!$B:$B,參考2_服務標準對照!$C:$C,"")&amp;""</f>
        <v>OGC</v>
      </c>
      <c r="V569" s="29" t="s">
        <v>7</v>
      </c>
      <c r="W569" s="29" t="s">
        <v>163</v>
      </c>
      <c r="X569" s="29" t="s">
        <v>81</v>
      </c>
      <c r="Y569" s="36" t="s">
        <v>83</v>
      </c>
      <c r="Z569" s="36" t="s">
        <v>157</v>
      </c>
      <c r="AA569" s="36" t="s">
        <v>1159</v>
      </c>
      <c r="AB569" s="36"/>
      <c r="AC569" s="36"/>
      <c r="AD569" s="29" t="s">
        <v>119</v>
      </c>
      <c r="AE569" s="36" t="str">
        <f>_xlfn.XLOOKUP(表格1[[#This Row],[唯一識別碼]],API清冊0707!B:B,API清冊0707!T:T,"")&amp;""</f>
        <v>無下拉選單</v>
      </c>
    </row>
    <row r="570" spans="1:31" ht="204.75" customHeight="1" x14ac:dyDescent="0.4">
      <c r="A570" s="29" t="s">
        <v>2428</v>
      </c>
      <c r="B570" s="29"/>
      <c r="C570" s="29"/>
      <c r="D570" s="29" t="s">
        <v>2429</v>
      </c>
      <c r="E570" s="29" t="s">
        <v>2430</v>
      </c>
      <c r="F570" s="29" t="s">
        <v>2431</v>
      </c>
      <c r="G570" s="35"/>
      <c r="H570" s="35" t="s">
        <v>151</v>
      </c>
      <c r="I570" s="29" t="s">
        <v>2428</v>
      </c>
      <c r="J570" s="37"/>
      <c r="K570" s="38"/>
      <c r="L570" s="38"/>
      <c r="M570" s="36" t="s">
        <v>60</v>
      </c>
      <c r="N570" s="15" t="s">
        <v>152</v>
      </c>
      <c r="O570" s="36" t="s">
        <v>162</v>
      </c>
      <c r="P570" s="36" t="str">
        <f t="shared" si="18"/>
        <v>WMTS_1/1000地形圖_彰化縣秀水都市計畫(98年)</v>
      </c>
      <c r="Q570" s="29" t="s">
        <v>2431</v>
      </c>
      <c r="R570" s="29" t="str">
        <f t="shared" si="19"/>
        <v>2dms_wmts_v1_TOPO01K_N26</v>
      </c>
      <c r="S570" s="39" t="s">
        <v>155</v>
      </c>
      <c r="U570" s="27" t="str">
        <f>_xlfn.XLOOKUP(表格1[[#This Row],[服務類別(英)]],參考2_服務標準對照!$B:$B,參考2_服務標準對照!$C:$C,"")&amp;""</f>
        <v>OGC</v>
      </c>
      <c r="V570" s="29" t="s">
        <v>7</v>
      </c>
      <c r="W570" s="29" t="s">
        <v>163</v>
      </c>
      <c r="X570" s="29" t="s">
        <v>81</v>
      </c>
      <c r="Y570" s="36" t="s">
        <v>83</v>
      </c>
      <c r="Z570" s="36" t="s">
        <v>157</v>
      </c>
      <c r="AA570" s="36" t="s">
        <v>1159</v>
      </c>
      <c r="AB570" s="36"/>
      <c r="AC570" s="36"/>
      <c r="AD570" s="29" t="s">
        <v>119</v>
      </c>
      <c r="AE570" s="36" t="str">
        <f>_xlfn.XLOOKUP(表格1[[#This Row],[唯一識別碼]],API清冊0707!B:B,API清冊0707!T:T,"")&amp;""</f>
        <v>無下拉選單</v>
      </c>
    </row>
    <row r="571" spans="1:31" ht="204.75" customHeight="1" x14ac:dyDescent="0.4">
      <c r="A571" s="29" t="s">
        <v>2432</v>
      </c>
      <c r="B571" s="29"/>
      <c r="C571" s="29"/>
      <c r="D571" s="29" t="s">
        <v>2433</v>
      </c>
      <c r="E571" s="29" t="s">
        <v>2434</v>
      </c>
      <c r="F571" s="29" t="s">
        <v>2435</v>
      </c>
      <c r="G571" s="35"/>
      <c r="H571" s="35" t="s">
        <v>151</v>
      </c>
      <c r="I571" s="29" t="s">
        <v>2432</v>
      </c>
      <c r="J571" s="37"/>
      <c r="K571" s="38"/>
      <c r="L571" s="38"/>
      <c r="M571" s="36" t="s">
        <v>60</v>
      </c>
      <c r="N571" s="15" t="s">
        <v>152</v>
      </c>
      <c r="O571" s="36" t="s">
        <v>162</v>
      </c>
      <c r="P571" s="36" t="str">
        <f t="shared" si="18"/>
        <v>WMTS_1/1000地形圖_彰化縣社頭都市計畫(97年)</v>
      </c>
      <c r="Q571" s="29" t="s">
        <v>2435</v>
      </c>
      <c r="R571" s="29" t="str">
        <f t="shared" si="19"/>
        <v>2dms_wmts_v1_TOPO01K_N25</v>
      </c>
      <c r="S571" s="39" t="s">
        <v>155</v>
      </c>
      <c r="U571" s="27" t="str">
        <f>_xlfn.XLOOKUP(表格1[[#This Row],[服務類別(英)]],參考2_服務標準對照!$B:$B,參考2_服務標準對照!$C:$C,"")&amp;""</f>
        <v>OGC</v>
      </c>
      <c r="V571" s="29" t="s">
        <v>7</v>
      </c>
      <c r="W571" s="29" t="s">
        <v>163</v>
      </c>
      <c r="X571" s="29" t="s">
        <v>81</v>
      </c>
      <c r="Y571" s="36" t="s">
        <v>83</v>
      </c>
      <c r="Z571" s="36" t="s">
        <v>157</v>
      </c>
      <c r="AA571" s="36" t="s">
        <v>1159</v>
      </c>
      <c r="AB571" s="36"/>
      <c r="AC571" s="36"/>
      <c r="AD571" s="29" t="s">
        <v>119</v>
      </c>
      <c r="AE571" s="36" t="str">
        <f>_xlfn.XLOOKUP(表格1[[#This Row],[唯一識別碼]],API清冊0707!B:B,API清冊0707!T:T,"")&amp;""</f>
        <v>無下拉選單</v>
      </c>
    </row>
    <row r="572" spans="1:31" ht="204.75" customHeight="1" x14ac:dyDescent="0.4">
      <c r="A572" s="29" t="s">
        <v>2436</v>
      </c>
      <c r="B572" s="29"/>
      <c r="C572" s="29"/>
      <c r="D572" s="29" t="s">
        <v>2437</v>
      </c>
      <c r="E572" s="29" t="s">
        <v>2438</v>
      </c>
      <c r="F572" s="29" t="s">
        <v>2439</v>
      </c>
      <c r="G572" s="35"/>
      <c r="H572" s="35" t="s">
        <v>151</v>
      </c>
      <c r="I572" s="29" t="s">
        <v>2436</v>
      </c>
      <c r="J572" s="37"/>
      <c r="K572" s="38"/>
      <c r="L572" s="38"/>
      <c r="M572" s="36" t="s">
        <v>60</v>
      </c>
      <c r="N572" s="15" t="s">
        <v>152</v>
      </c>
      <c r="O572" s="36" t="s">
        <v>162</v>
      </c>
      <c r="P572" s="36" t="str">
        <f t="shared" si="18"/>
        <v>WMTS_1/1000地形圖_彰化縣田尾都市計畫(102年)</v>
      </c>
      <c r="Q572" s="29" t="s">
        <v>2439</v>
      </c>
      <c r="R572" s="29" t="str">
        <f t="shared" si="19"/>
        <v>2dms_wmts_v1_TOPO01K_N24</v>
      </c>
      <c r="S572" s="39" t="s">
        <v>155</v>
      </c>
      <c r="U572" s="27" t="str">
        <f>_xlfn.XLOOKUP(表格1[[#This Row],[服務類別(英)]],參考2_服務標準對照!$B:$B,參考2_服務標準對照!$C:$C,"")&amp;""</f>
        <v>OGC</v>
      </c>
      <c r="V572" s="29" t="s">
        <v>7</v>
      </c>
      <c r="W572" s="29" t="s">
        <v>163</v>
      </c>
      <c r="X572" s="29" t="s">
        <v>81</v>
      </c>
      <c r="Y572" s="36" t="s">
        <v>83</v>
      </c>
      <c r="Z572" s="36" t="s">
        <v>157</v>
      </c>
      <c r="AA572" s="36" t="s">
        <v>1159</v>
      </c>
      <c r="AB572" s="36"/>
      <c r="AC572" s="36"/>
      <c r="AD572" s="29" t="s">
        <v>119</v>
      </c>
      <c r="AE572" s="36" t="str">
        <f>_xlfn.XLOOKUP(表格1[[#This Row],[唯一識別碼]],API清冊0707!B:B,API清冊0707!T:T,"")&amp;""</f>
        <v>無下拉選單</v>
      </c>
    </row>
    <row r="573" spans="1:31" ht="204.75" customHeight="1" x14ac:dyDescent="0.4">
      <c r="A573" s="29" t="s">
        <v>2440</v>
      </c>
      <c r="B573" s="29"/>
      <c r="C573" s="29"/>
      <c r="D573" s="29" t="s">
        <v>2441</v>
      </c>
      <c r="E573" s="29" t="s">
        <v>2442</v>
      </c>
      <c r="F573" s="29" t="s">
        <v>2443</v>
      </c>
      <c r="G573" s="35"/>
      <c r="H573" s="35" t="s">
        <v>151</v>
      </c>
      <c r="I573" s="29" t="s">
        <v>2440</v>
      </c>
      <c r="J573" s="37"/>
      <c r="K573" s="38"/>
      <c r="L573" s="38"/>
      <c r="M573" s="36" t="s">
        <v>60</v>
      </c>
      <c r="N573" s="15" t="s">
        <v>152</v>
      </c>
      <c r="O573" s="36" t="s">
        <v>162</v>
      </c>
      <c r="P573" s="36" t="str">
        <f t="shared" si="18"/>
        <v>WMTS_1/1000地形圖_彰化縣田尾園藝特定區計畫(102年)</v>
      </c>
      <c r="Q573" s="29" t="s">
        <v>2443</v>
      </c>
      <c r="R573" s="29" t="str">
        <f t="shared" si="19"/>
        <v>2dms_wmts_v1_TOPO01K_N23</v>
      </c>
      <c r="S573" s="39" t="s">
        <v>155</v>
      </c>
      <c r="U573" s="27" t="str">
        <f>_xlfn.XLOOKUP(表格1[[#This Row],[服務類別(英)]],參考2_服務標準對照!$B:$B,參考2_服務標準對照!$C:$C,"")&amp;""</f>
        <v>OGC</v>
      </c>
      <c r="V573" s="29" t="s">
        <v>7</v>
      </c>
      <c r="W573" s="29" t="s">
        <v>163</v>
      </c>
      <c r="X573" s="29" t="s">
        <v>81</v>
      </c>
      <c r="Y573" s="36" t="s">
        <v>83</v>
      </c>
      <c r="Z573" s="36" t="s">
        <v>157</v>
      </c>
      <c r="AA573" s="36" t="s">
        <v>1159</v>
      </c>
      <c r="AB573" s="36"/>
      <c r="AC573" s="36"/>
      <c r="AD573" s="29" t="s">
        <v>119</v>
      </c>
      <c r="AE573" s="36" t="str">
        <f>_xlfn.XLOOKUP(表格1[[#This Row],[唯一識別碼]],API清冊0707!B:B,API清冊0707!T:T,"")&amp;""</f>
        <v>無下拉選單</v>
      </c>
    </row>
    <row r="574" spans="1:31" ht="204.75" customHeight="1" x14ac:dyDescent="0.4">
      <c r="A574" s="29" t="s">
        <v>2444</v>
      </c>
      <c r="B574" s="29"/>
      <c r="C574" s="29"/>
      <c r="D574" s="29" t="s">
        <v>2445</v>
      </c>
      <c r="E574" s="29" t="s">
        <v>2446</v>
      </c>
      <c r="F574" s="29" t="s">
        <v>2447</v>
      </c>
      <c r="G574" s="35"/>
      <c r="H574" s="35" t="s">
        <v>151</v>
      </c>
      <c r="I574" s="29" t="s">
        <v>2444</v>
      </c>
      <c r="J574" s="37"/>
      <c r="K574" s="38"/>
      <c r="L574" s="38"/>
      <c r="M574" s="36" t="s">
        <v>60</v>
      </c>
      <c r="N574" s="15" t="s">
        <v>152</v>
      </c>
      <c r="O574" s="36" t="s">
        <v>162</v>
      </c>
      <c r="P574" s="36" t="str">
        <f t="shared" si="18"/>
        <v>WMTS_1/1000地形圖_彰化縣田中都市計畫(100年)</v>
      </c>
      <c r="Q574" s="29" t="s">
        <v>2447</v>
      </c>
      <c r="R574" s="29" t="str">
        <f t="shared" si="19"/>
        <v>2dms_wmts_v1_TOPO01K_N22</v>
      </c>
      <c r="S574" s="39" t="s">
        <v>155</v>
      </c>
      <c r="U574" s="27" t="str">
        <f>_xlfn.XLOOKUP(表格1[[#This Row],[服務類別(英)]],參考2_服務標準對照!$B:$B,參考2_服務標準對照!$C:$C,"")&amp;""</f>
        <v>OGC</v>
      </c>
      <c r="V574" s="29" t="s">
        <v>7</v>
      </c>
      <c r="W574" s="29" t="s">
        <v>163</v>
      </c>
      <c r="X574" s="29" t="s">
        <v>81</v>
      </c>
      <c r="Y574" s="36" t="s">
        <v>83</v>
      </c>
      <c r="Z574" s="36" t="s">
        <v>157</v>
      </c>
      <c r="AA574" s="36" t="s">
        <v>1159</v>
      </c>
      <c r="AB574" s="36"/>
      <c r="AC574" s="36"/>
      <c r="AD574" s="29" t="s">
        <v>119</v>
      </c>
      <c r="AE574" s="36" t="str">
        <f>_xlfn.XLOOKUP(表格1[[#This Row],[唯一識別碼]],API清冊0707!B:B,API清冊0707!T:T,"")&amp;""</f>
        <v>無下拉選單</v>
      </c>
    </row>
    <row r="575" spans="1:31" ht="204.75" customHeight="1" x14ac:dyDescent="0.4">
      <c r="A575" s="29" t="s">
        <v>2448</v>
      </c>
      <c r="B575" s="29"/>
      <c r="C575" s="29"/>
      <c r="D575" s="29" t="s">
        <v>2449</v>
      </c>
      <c r="E575" s="29" t="s">
        <v>2450</v>
      </c>
      <c r="F575" s="29" t="s">
        <v>2451</v>
      </c>
      <c r="G575" s="35"/>
      <c r="H575" s="35" t="s">
        <v>151</v>
      </c>
      <c r="I575" s="29" t="s">
        <v>2448</v>
      </c>
      <c r="J575" s="37"/>
      <c r="K575" s="38"/>
      <c r="L575" s="38"/>
      <c r="M575" s="36" t="s">
        <v>60</v>
      </c>
      <c r="N575" s="15" t="s">
        <v>152</v>
      </c>
      <c r="O575" s="36" t="s">
        <v>162</v>
      </c>
      <c r="P575" s="36" t="str">
        <f t="shared" si="18"/>
        <v>WMTS_1/1000地形圖_彰化縣溪湖都市計畫(102年)</v>
      </c>
      <c r="Q575" s="29" t="s">
        <v>2451</v>
      </c>
      <c r="R575" s="29" t="str">
        <f t="shared" si="19"/>
        <v>2dms_wmts_v1_TOPO01K_N21</v>
      </c>
      <c r="S575" s="39" t="s">
        <v>155</v>
      </c>
      <c r="U575" s="27" t="str">
        <f>_xlfn.XLOOKUP(表格1[[#This Row],[服務類別(英)]],參考2_服務標準對照!$B:$B,參考2_服務標準對照!$C:$C,"")&amp;""</f>
        <v>OGC</v>
      </c>
      <c r="V575" s="29" t="s">
        <v>7</v>
      </c>
      <c r="W575" s="29" t="s">
        <v>163</v>
      </c>
      <c r="X575" s="29" t="s">
        <v>81</v>
      </c>
      <c r="Y575" s="36" t="s">
        <v>83</v>
      </c>
      <c r="Z575" s="36" t="s">
        <v>157</v>
      </c>
      <c r="AA575" s="36" t="s">
        <v>1159</v>
      </c>
      <c r="AB575" s="36"/>
      <c r="AC575" s="36"/>
      <c r="AD575" s="29" t="s">
        <v>119</v>
      </c>
      <c r="AE575" s="36" t="str">
        <f>_xlfn.XLOOKUP(表格1[[#This Row],[唯一識別碼]],API清冊0707!B:B,API清冊0707!T:T,"")&amp;""</f>
        <v>無下拉選單</v>
      </c>
    </row>
    <row r="576" spans="1:31" ht="204.75" customHeight="1" x14ac:dyDescent="0.4">
      <c r="A576" s="29" t="s">
        <v>2452</v>
      </c>
      <c r="B576" s="29"/>
      <c r="C576" s="29"/>
      <c r="D576" s="29" t="s">
        <v>2453</v>
      </c>
      <c r="E576" s="29" t="s">
        <v>2454</v>
      </c>
      <c r="F576" s="29" t="s">
        <v>2455</v>
      </c>
      <c r="G576" s="35"/>
      <c r="H576" s="35" t="s">
        <v>151</v>
      </c>
      <c r="I576" s="29" t="s">
        <v>2452</v>
      </c>
      <c r="J576" s="37"/>
      <c r="K576" s="38"/>
      <c r="L576" s="38"/>
      <c r="M576" s="36" t="s">
        <v>60</v>
      </c>
      <c r="N576" s="15" t="s">
        <v>152</v>
      </c>
      <c r="O576" s="36" t="s">
        <v>162</v>
      </c>
      <c r="P576" s="36" t="str">
        <f t="shared" si="18"/>
        <v>WMTS_1/1000地形圖_彰化縣溪州都市計畫(97年)</v>
      </c>
      <c r="Q576" s="29" t="s">
        <v>2455</v>
      </c>
      <c r="R576" s="29" t="str">
        <f t="shared" si="19"/>
        <v>2dms_wmts_v1_TOPO01K_N20</v>
      </c>
      <c r="S576" s="39" t="s">
        <v>155</v>
      </c>
      <c r="U576" s="27" t="str">
        <f>_xlfn.XLOOKUP(表格1[[#This Row],[服務類別(英)]],參考2_服務標準對照!$B:$B,參考2_服務標準對照!$C:$C,"")&amp;""</f>
        <v>OGC</v>
      </c>
      <c r="V576" s="29" t="s">
        <v>7</v>
      </c>
      <c r="W576" s="29" t="s">
        <v>163</v>
      </c>
      <c r="X576" s="29" t="s">
        <v>81</v>
      </c>
      <c r="Y576" s="36" t="s">
        <v>83</v>
      </c>
      <c r="Z576" s="36" t="s">
        <v>157</v>
      </c>
      <c r="AA576" s="36" t="s">
        <v>1159</v>
      </c>
      <c r="AB576" s="36"/>
      <c r="AC576" s="36"/>
      <c r="AD576" s="29" t="s">
        <v>119</v>
      </c>
      <c r="AE576" s="36" t="str">
        <f>_xlfn.XLOOKUP(表格1[[#This Row],[唯一識別碼]],API清冊0707!B:B,API清冊0707!T:T,"")&amp;""</f>
        <v>無下拉選單</v>
      </c>
    </row>
    <row r="577" spans="1:31" ht="204.75" customHeight="1" x14ac:dyDescent="0.4">
      <c r="A577" s="29" t="s">
        <v>2456</v>
      </c>
      <c r="B577" s="29"/>
      <c r="C577" s="29"/>
      <c r="D577" s="29" t="s">
        <v>2457</v>
      </c>
      <c r="E577" s="29" t="s">
        <v>2458</v>
      </c>
      <c r="F577" s="29" t="s">
        <v>2459</v>
      </c>
      <c r="G577" s="35"/>
      <c r="H577" s="35" t="s">
        <v>151</v>
      </c>
      <c r="I577" s="29" t="s">
        <v>2456</v>
      </c>
      <c r="J577" s="37"/>
      <c r="K577" s="38"/>
      <c r="L577" s="38"/>
      <c r="M577" s="36" t="s">
        <v>60</v>
      </c>
      <c r="N577" s="15" t="s">
        <v>152</v>
      </c>
      <c r="O577" s="36" t="s">
        <v>162</v>
      </c>
      <c r="P577" s="36" t="str">
        <f t="shared" si="18"/>
        <v>WMTS_1/1000地形圖_彰化縣永靖都市計畫(98年)</v>
      </c>
      <c r="Q577" s="29" t="s">
        <v>2459</v>
      </c>
      <c r="R577" s="29" t="str">
        <f t="shared" si="19"/>
        <v>2dms_wmts_v1_TOPO01K_N19</v>
      </c>
      <c r="S577" s="39" t="s">
        <v>155</v>
      </c>
      <c r="U577" s="27" t="str">
        <f>_xlfn.XLOOKUP(表格1[[#This Row],[服務類別(英)]],參考2_服務標準對照!$B:$B,參考2_服務標準對照!$C:$C,"")&amp;""</f>
        <v>OGC</v>
      </c>
      <c r="V577" s="29" t="s">
        <v>7</v>
      </c>
      <c r="W577" s="29" t="s">
        <v>163</v>
      </c>
      <c r="X577" s="29" t="s">
        <v>81</v>
      </c>
      <c r="Y577" s="36" t="s">
        <v>83</v>
      </c>
      <c r="Z577" s="36" t="s">
        <v>157</v>
      </c>
      <c r="AA577" s="36" t="s">
        <v>1159</v>
      </c>
      <c r="AB577" s="36"/>
      <c r="AC577" s="36"/>
      <c r="AD577" s="29" t="s">
        <v>119</v>
      </c>
      <c r="AE577" s="36" t="str">
        <f>_xlfn.XLOOKUP(表格1[[#This Row],[唯一識別碼]],API清冊0707!B:B,API清冊0707!T:T,"")&amp;""</f>
        <v>無下拉選單</v>
      </c>
    </row>
    <row r="578" spans="1:31" ht="204.75" customHeight="1" x14ac:dyDescent="0.4">
      <c r="A578" s="29" t="s">
        <v>2460</v>
      </c>
      <c r="B578" s="29"/>
      <c r="C578" s="29"/>
      <c r="D578" s="29" t="s">
        <v>2461</v>
      </c>
      <c r="E578" s="29" t="s">
        <v>2462</v>
      </c>
      <c r="F578" s="29" t="s">
        <v>2463</v>
      </c>
      <c r="G578" s="35"/>
      <c r="H578" s="35" t="s">
        <v>151</v>
      </c>
      <c r="I578" s="29" t="s">
        <v>2460</v>
      </c>
      <c r="J578" s="37"/>
      <c r="K578" s="38"/>
      <c r="L578" s="38"/>
      <c r="M578" s="36" t="s">
        <v>60</v>
      </c>
      <c r="N578" s="15" t="s">
        <v>152</v>
      </c>
      <c r="O578" s="36" t="s">
        <v>162</v>
      </c>
      <c r="P578" s="36" t="str">
        <f t="shared" si="18"/>
        <v>WMTS_1/1000地形圖_彰化縣彰化市都市計畫(99年)</v>
      </c>
      <c r="Q578" s="29" t="s">
        <v>2463</v>
      </c>
      <c r="R578" s="29" t="str">
        <f t="shared" si="19"/>
        <v>2dms_wmts_v1_TOPO01K_N18</v>
      </c>
      <c r="S578" s="39" t="s">
        <v>155</v>
      </c>
      <c r="U578" s="27" t="str">
        <f>_xlfn.XLOOKUP(表格1[[#This Row],[服務類別(英)]],參考2_服務標準對照!$B:$B,參考2_服務標準對照!$C:$C,"")&amp;""</f>
        <v>OGC</v>
      </c>
      <c r="V578" s="29" t="s">
        <v>7</v>
      </c>
      <c r="W578" s="29" t="s">
        <v>163</v>
      </c>
      <c r="X578" s="29" t="s">
        <v>81</v>
      </c>
      <c r="Y578" s="36" t="s">
        <v>83</v>
      </c>
      <c r="Z578" s="36" t="s">
        <v>157</v>
      </c>
      <c r="AA578" s="36" t="s">
        <v>1159</v>
      </c>
      <c r="AB578" s="36"/>
      <c r="AC578" s="36"/>
      <c r="AD578" s="29" t="s">
        <v>119</v>
      </c>
      <c r="AE578" s="36" t="str">
        <f>_xlfn.XLOOKUP(表格1[[#This Row],[唯一識別碼]],API清冊0707!B:B,API清冊0707!T:T,"")&amp;""</f>
        <v>無下拉選單</v>
      </c>
    </row>
    <row r="579" spans="1:31" ht="204.75" customHeight="1" x14ac:dyDescent="0.4">
      <c r="A579" s="29" t="s">
        <v>2464</v>
      </c>
      <c r="B579" s="29"/>
      <c r="C579" s="29"/>
      <c r="D579" s="29" t="s">
        <v>2465</v>
      </c>
      <c r="E579" s="29" t="s">
        <v>2466</v>
      </c>
      <c r="F579" s="29" t="s">
        <v>2467</v>
      </c>
      <c r="G579" s="35"/>
      <c r="H579" s="35" t="s">
        <v>151</v>
      </c>
      <c r="I579" s="29" t="s">
        <v>2464</v>
      </c>
      <c r="J579" s="37"/>
      <c r="K579" s="38"/>
      <c r="L579" s="38"/>
      <c r="M579" s="36" t="s">
        <v>60</v>
      </c>
      <c r="N579" s="15" t="s">
        <v>152</v>
      </c>
      <c r="O579" s="36" t="s">
        <v>162</v>
      </c>
      <c r="P579" s="36" t="str">
        <f t="shared" si="18"/>
        <v>WMTS_1/1000地形圖_彰化縣大村都市計畫(97年)</v>
      </c>
      <c r="Q579" s="29" t="s">
        <v>2467</v>
      </c>
      <c r="R579" s="29" t="str">
        <f t="shared" si="19"/>
        <v>2dms_wmts_v1_TOPO01K_N17</v>
      </c>
      <c r="S579" s="39" t="s">
        <v>155</v>
      </c>
      <c r="U579" s="27" t="str">
        <f>_xlfn.XLOOKUP(表格1[[#This Row],[服務類別(英)]],參考2_服務標準對照!$B:$B,參考2_服務標準對照!$C:$C,"")&amp;""</f>
        <v>OGC</v>
      </c>
      <c r="V579" s="29" t="s">
        <v>7</v>
      </c>
      <c r="W579" s="29" t="s">
        <v>163</v>
      </c>
      <c r="X579" s="29" t="s">
        <v>81</v>
      </c>
      <c r="Y579" s="36" t="s">
        <v>83</v>
      </c>
      <c r="Z579" s="36" t="s">
        <v>157</v>
      </c>
      <c r="AA579" s="36" t="s">
        <v>1159</v>
      </c>
      <c r="AB579" s="36"/>
      <c r="AC579" s="36"/>
      <c r="AD579" s="29" t="s">
        <v>119</v>
      </c>
      <c r="AE579" s="36" t="str">
        <f>_xlfn.XLOOKUP(表格1[[#This Row],[唯一識別碼]],API清冊0707!B:B,API清冊0707!T:T,"")&amp;""</f>
        <v>無下拉選單</v>
      </c>
    </row>
    <row r="580" spans="1:31" ht="204.75" customHeight="1" x14ac:dyDescent="0.4">
      <c r="A580" s="29" t="s">
        <v>2468</v>
      </c>
      <c r="B580" s="29"/>
      <c r="C580" s="29"/>
      <c r="D580" s="29" t="s">
        <v>2469</v>
      </c>
      <c r="E580" s="29" t="s">
        <v>2470</v>
      </c>
      <c r="F580" s="29" t="s">
        <v>2471</v>
      </c>
      <c r="G580" s="35"/>
      <c r="H580" s="35" t="s">
        <v>151</v>
      </c>
      <c r="I580" s="29" t="s">
        <v>2468</v>
      </c>
      <c r="J580" s="37"/>
      <c r="K580" s="38"/>
      <c r="L580" s="38"/>
      <c r="M580" s="36" t="s">
        <v>60</v>
      </c>
      <c r="N580" s="15" t="s">
        <v>152</v>
      </c>
      <c r="O580" s="36" t="s">
        <v>162</v>
      </c>
      <c r="P580" s="36" t="str">
        <f t="shared" si="18"/>
        <v>WMTS_1/1000地形圖_彰化縣大城都市計畫(98年)</v>
      </c>
      <c r="Q580" s="29" t="s">
        <v>2471</v>
      </c>
      <c r="R580" s="29" t="str">
        <f t="shared" si="19"/>
        <v>2dms_wmts_v1_TOPO01K_N16</v>
      </c>
      <c r="S580" s="39" t="s">
        <v>155</v>
      </c>
      <c r="U580" s="27" t="str">
        <f>_xlfn.XLOOKUP(表格1[[#This Row],[服務類別(英)]],參考2_服務標準對照!$B:$B,參考2_服務標準對照!$C:$C,"")&amp;""</f>
        <v>OGC</v>
      </c>
      <c r="V580" s="29" t="s">
        <v>7</v>
      </c>
      <c r="W580" s="29" t="s">
        <v>163</v>
      </c>
      <c r="X580" s="29" t="s">
        <v>81</v>
      </c>
      <c r="Y580" s="36" t="s">
        <v>83</v>
      </c>
      <c r="Z580" s="36" t="s">
        <v>157</v>
      </c>
      <c r="AA580" s="36" t="s">
        <v>1159</v>
      </c>
      <c r="AB580" s="36"/>
      <c r="AC580" s="36"/>
      <c r="AD580" s="29" t="s">
        <v>119</v>
      </c>
      <c r="AE580" s="36" t="str">
        <f>_xlfn.XLOOKUP(表格1[[#This Row],[唯一識別碼]],API清冊0707!B:B,API清冊0707!T:T,"")&amp;""</f>
        <v>無下拉選單</v>
      </c>
    </row>
    <row r="581" spans="1:31" ht="204.75" customHeight="1" x14ac:dyDescent="0.4">
      <c r="A581" s="29" t="s">
        <v>2472</v>
      </c>
      <c r="B581" s="29"/>
      <c r="C581" s="29"/>
      <c r="D581" s="29" t="s">
        <v>2473</v>
      </c>
      <c r="E581" s="29" t="s">
        <v>2474</v>
      </c>
      <c r="F581" s="29" t="s">
        <v>2475</v>
      </c>
      <c r="G581" s="35"/>
      <c r="H581" s="35" t="s">
        <v>151</v>
      </c>
      <c r="I581" s="29" t="s">
        <v>2472</v>
      </c>
      <c r="J581" s="37"/>
      <c r="K581" s="38"/>
      <c r="L581" s="38"/>
      <c r="M581" s="36" t="s">
        <v>60</v>
      </c>
      <c r="N581" s="15" t="s">
        <v>152</v>
      </c>
      <c r="O581" s="36" t="s">
        <v>162</v>
      </c>
      <c r="P581" s="36" t="str">
        <f t="shared" si="18"/>
        <v>WMTS_1/1000地形圖_彰化縣埤頭都市計畫(100年)</v>
      </c>
      <c r="Q581" s="29" t="s">
        <v>2475</v>
      </c>
      <c r="R581" s="29" t="str">
        <f t="shared" si="19"/>
        <v>2dms_wmts_v1_TOPO01K_N15</v>
      </c>
      <c r="S581" s="39" t="s">
        <v>155</v>
      </c>
      <c r="U581" s="27" t="str">
        <f>_xlfn.XLOOKUP(表格1[[#This Row],[服務類別(英)]],參考2_服務標準對照!$B:$B,參考2_服務標準對照!$C:$C,"")&amp;""</f>
        <v>OGC</v>
      </c>
      <c r="V581" s="29" t="s">
        <v>7</v>
      </c>
      <c r="W581" s="29" t="s">
        <v>163</v>
      </c>
      <c r="X581" s="29" t="s">
        <v>81</v>
      </c>
      <c r="Y581" s="36" t="s">
        <v>83</v>
      </c>
      <c r="Z581" s="36" t="s">
        <v>157</v>
      </c>
      <c r="AA581" s="36" t="s">
        <v>1159</v>
      </c>
      <c r="AB581" s="36"/>
      <c r="AC581" s="36"/>
      <c r="AD581" s="29" t="s">
        <v>119</v>
      </c>
      <c r="AE581" s="36" t="str">
        <f>_xlfn.XLOOKUP(表格1[[#This Row],[唯一識別碼]],API清冊0707!B:B,API清冊0707!T:T,"")&amp;""</f>
        <v>無下拉選單</v>
      </c>
    </row>
    <row r="582" spans="1:31" ht="204.75" customHeight="1" x14ac:dyDescent="0.4">
      <c r="A582" s="29" t="s">
        <v>2476</v>
      </c>
      <c r="B582" s="29"/>
      <c r="C582" s="29"/>
      <c r="D582" s="29" t="s">
        <v>2477</v>
      </c>
      <c r="E582" s="29" t="s">
        <v>2478</v>
      </c>
      <c r="F582" s="29" t="s">
        <v>2479</v>
      </c>
      <c r="G582" s="35"/>
      <c r="H582" s="35" t="s">
        <v>151</v>
      </c>
      <c r="I582" s="29" t="s">
        <v>2476</v>
      </c>
      <c r="J582" s="37"/>
      <c r="K582" s="38"/>
      <c r="L582" s="38"/>
      <c r="M582" s="36" t="s">
        <v>60</v>
      </c>
      <c r="N582" s="15" t="s">
        <v>152</v>
      </c>
      <c r="O582" s="36" t="s">
        <v>162</v>
      </c>
      <c r="P582" s="36" t="str">
        <f t="shared" si="18"/>
        <v>WMTS_1/1000地形圖_彰化縣埔鹽都市計畫(97年)</v>
      </c>
      <c r="Q582" s="29" t="s">
        <v>2479</v>
      </c>
      <c r="R582" s="29" t="str">
        <f t="shared" si="19"/>
        <v>2dms_wmts_v1_TOPO01K_N14</v>
      </c>
      <c r="S582" s="39" t="s">
        <v>155</v>
      </c>
      <c r="U582" s="27" t="str">
        <f>_xlfn.XLOOKUP(表格1[[#This Row],[服務類別(英)]],參考2_服務標準對照!$B:$B,參考2_服務標準對照!$C:$C,"")&amp;""</f>
        <v>OGC</v>
      </c>
      <c r="V582" s="29" t="s">
        <v>7</v>
      </c>
      <c r="W582" s="29" t="s">
        <v>163</v>
      </c>
      <c r="X582" s="29" t="s">
        <v>81</v>
      </c>
      <c r="Y582" s="36" t="s">
        <v>83</v>
      </c>
      <c r="Z582" s="36" t="s">
        <v>157</v>
      </c>
      <c r="AA582" s="36" t="s">
        <v>1159</v>
      </c>
      <c r="AB582" s="36"/>
      <c r="AC582" s="36"/>
      <c r="AD582" s="29" t="s">
        <v>119</v>
      </c>
      <c r="AE582" s="36" t="str">
        <f>_xlfn.XLOOKUP(表格1[[#This Row],[唯一識別碼]],API清冊0707!B:B,API清冊0707!T:T,"")&amp;""</f>
        <v>無下拉選單</v>
      </c>
    </row>
    <row r="583" spans="1:31" ht="204.75" customHeight="1" x14ac:dyDescent="0.4">
      <c r="A583" s="29" t="s">
        <v>2480</v>
      </c>
      <c r="B583" s="29"/>
      <c r="C583" s="29"/>
      <c r="D583" s="29" t="s">
        <v>2481</v>
      </c>
      <c r="E583" s="29" t="s">
        <v>2482</v>
      </c>
      <c r="F583" s="29" t="s">
        <v>2483</v>
      </c>
      <c r="G583" s="35"/>
      <c r="H583" s="35" t="s">
        <v>151</v>
      </c>
      <c r="I583" s="29" t="s">
        <v>2480</v>
      </c>
      <c r="J583" s="37"/>
      <c r="K583" s="38"/>
      <c r="L583" s="38"/>
      <c r="M583" s="36" t="s">
        <v>60</v>
      </c>
      <c r="N583" s="15" t="s">
        <v>152</v>
      </c>
      <c r="O583" s="36" t="s">
        <v>162</v>
      </c>
      <c r="P583" s="36" t="str">
        <f t="shared" si="18"/>
        <v>WMTS_1/1000地形圖_彰化縣埔心都市計畫(100年)</v>
      </c>
      <c r="Q583" s="29" t="s">
        <v>2483</v>
      </c>
      <c r="R583" s="29" t="str">
        <f t="shared" si="19"/>
        <v>2dms_wmts_v1_TOPO01K_N13</v>
      </c>
      <c r="S583" s="39" t="s">
        <v>155</v>
      </c>
      <c r="U583" s="27" t="str">
        <f>_xlfn.XLOOKUP(表格1[[#This Row],[服務類別(英)]],參考2_服務標準對照!$B:$B,參考2_服務標準對照!$C:$C,"")&amp;""</f>
        <v>OGC</v>
      </c>
      <c r="V583" s="29" t="s">
        <v>7</v>
      </c>
      <c r="W583" s="29" t="s">
        <v>163</v>
      </c>
      <c r="X583" s="29" t="s">
        <v>81</v>
      </c>
      <c r="Y583" s="36" t="s">
        <v>83</v>
      </c>
      <c r="Z583" s="36" t="s">
        <v>157</v>
      </c>
      <c r="AA583" s="36" t="s">
        <v>1159</v>
      </c>
      <c r="AB583" s="36"/>
      <c r="AC583" s="36"/>
      <c r="AD583" s="29" t="s">
        <v>119</v>
      </c>
      <c r="AE583" s="36" t="str">
        <f>_xlfn.XLOOKUP(表格1[[#This Row],[唯一識別碼]],API清冊0707!B:B,API清冊0707!T:T,"")&amp;""</f>
        <v>無下拉選單</v>
      </c>
    </row>
    <row r="584" spans="1:31" ht="204.75" customHeight="1" x14ac:dyDescent="0.4">
      <c r="A584" s="29" t="s">
        <v>2484</v>
      </c>
      <c r="B584" s="29"/>
      <c r="C584" s="29"/>
      <c r="D584" s="29" t="s">
        <v>2485</v>
      </c>
      <c r="E584" s="29" t="s">
        <v>2486</v>
      </c>
      <c r="F584" s="29" t="s">
        <v>2487</v>
      </c>
      <c r="G584" s="35"/>
      <c r="H584" s="35" t="s">
        <v>151</v>
      </c>
      <c r="I584" s="29" t="s">
        <v>2484</v>
      </c>
      <c r="J584" s="37"/>
      <c r="K584" s="38"/>
      <c r="L584" s="38"/>
      <c r="M584" s="36" t="s">
        <v>60</v>
      </c>
      <c r="N584" s="15" t="s">
        <v>152</v>
      </c>
      <c r="O584" s="36" t="s">
        <v>162</v>
      </c>
      <c r="P584" s="36" t="str">
        <f t="shared" si="18"/>
        <v>WMTS_1/1000地形圖_彰化縣員林都市計畫(99年)</v>
      </c>
      <c r="Q584" s="29" t="s">
        <v>2487</v>
      </c>
      <c r="R584" s="29" t="str">
        <f t="shared" si="19"/>
        <v>2dms_wmts_v1_TOPO01K_N12</v>
      </c>
      <c r="S584" s="39" t="s">
        <v>155</v>
      </c>
      <c r="U584" s="27" t="str">
        <f>_xlfn.XLOOKUP(表格1[[#This Row],[服務類別(英)]],參考2_服務標準對照!$B:$B,參考2_服務標準對照!$C:$C,"")&amp;""</f>
        <v>OGC</v>
      </c>
      <c r="V584" s="29" t="s">
        <v>7</v>
      </c>
      <c r="W584" s="29" t="s">
        <v>163</v>
      </c>
      <c r="X584" s="29" t="s">
        <v>81</v>
      </c>
      <c r="Y584" s="36" t="s">
        <v>83</v>
      </c>
      <c r="Z584" s="36" t="s">
        <v>157</v>
      </c>
      <c r="AA584" s="36" t="s">
        <v>1159</v>
      </c>
      <c r="AB584" s="36"/>
      <c r="AC584" s="36"/>
      <c r="AD584" s="29" t="s">
        <v>119</v>
      </c>
      <c r="AE584" s="36" t="str">
        <f>_xlfn.XLOOKUP(表格1[[#This Row],[唯一識別碼]],API清冊0707!B:B,API清冊0707!T:T,"")&amp;""</f>
        <v>無下拉選單</v>
      </c>
    </row>
    <row r="585" spans="1:31" ht="204.75" customHeight="1" x14ac:dyDescent="0.4">
      <c r="A585" s="29" t="s">
        <v>2488</v>
      </c>
      <c r="B585" s="29"/>
      <c r="C585" s="29"/>
      <c r="D585" s="29" t="s">
        <v>2489</v>
      </c>
      <c r="E585" s="29" t="s">
        <v>2490</v>
      </c>
      <c r="F585" s="29" t="s">
        <v>2491</v>
      </c>
      <c r="G585" s="35"/>
      <c r="H585" s="35" t="s">
        <v>151</v>
      </c>
      <c r="I585" s="29" t="s">
        <v>2488</v>
      </c>
      <c r="J585" s="37"/>
      <c r="K585" s="38"/>
      <c r="L585" s="38"/>
      <c r="M585" s="36" t="s">
        <v>60</v>
      </c>
      <c r="N585" s="15" t="s">
        <v>152</v>
      </c>
      <c r="O585" s="36" t="s">
        <v>162</v>
      </c>
      <c r="P585" s="36" t="str">
        <f t="shared" si="18"/>
        <v>WMTS_1/1000地形圖_彰化縣和美都市計畫(102年)</v>
      </c>
      <c r="Q585" s="29" t="s">
        <v>2491</v>
      </c>
      <c r="R585" s="29" t="str">
        <f t="shared" si="19"/>
        <v>2dms_wmts_v1_TOPO01K_N11</v>
      </c>
      <c r="S585" s="39" t="s">
        <v>155</v>
      </c>
      <c r="U585" s="27" t="str">
        <f>_xlfn.XLOOKUP(表格1[[#This Row],[服務類別(英)]],參考2_服務標準對照!$B:$B,參考2_服務標準對照!$C:$C,"")&amp;""</f>
        <v>OGC</v>
      </c>
      <c r="V585" s="29" t="s">
        <v>7</v>
      </c>
      <c r="W585" s="29" t="s">
        <v>163</v>
      </c>
      <c r="X585" s="29" t="s">
        <v>81</v>
      </c>
      <c r="Y585" s="36" t="s">
        <v>83</v>
      </c>
      <c r="Z585" s="36" t="s">
        <v>157</v>
      </c>
      <c r="AA585" s="36" t="s">
        <v>1159</v>
      </c>
      <c r="AB585" s="36"/>
      <c r="AC585" s="36"/>
      <c r="AD585" s="29" t="s">
        <v>119</v>
      </c>
      <c r="AE585" s="36" t="str">
        <f>_xlfn.XLOOKUP(表格1[[#This Row],[唯一識別碼]],API清冊0707!B:B,API清冊0707!T:T,"")&amp;""</f>
        <v>無下拉選單</v>
      </c>
    </row>
    <row r="586" spans="1:31" ht="204.75" customHeight="1" x14ac:dyDescent="0.4">
      <c r="A586" s="29" t="s">
        <v>2492</v>
      </c>
      <c r="B586" s="29"/>
      <c r="C586" s="29"/>
      <c r="D586" s="29" t="s">
        <v>2493</v>
      </c>
      <c r="E586" s="29" t="s">
        <v>2494</v>
      </c>
      <c r="F586" s="29" t="s">
        <v>2495</v>
      </c>
      <c r="G586" s="35"/>
      <c r="H586" s="35" t="s">
        <v>151</v>
      </c>
      <c r="I586" s="29" t="s">
        <v>2492</v>
      </c>
      <c r="J586" s="37"/>
      <c r="K586" s="38"/>
      <c r="L586" s="38"/>
      <c r="M586" s="36" t="s">
        <v>60</v>
      </c>
      <c r="N586" s="15" t="s">
        <v>152</v>
      </c>
      <c r="O586" s="36" t="s">
        <v>162</v>
      </c>
      <c r="P586" s="36" t="str">
        <f t="shared" si="18"/>
        <v>WMTS_1/1000地形圖_彰化縣北斗都市計畫(97年)</v>
      </c>
      <c r="Q586" s="29" t="s">
        <v>2495</v>
      </c>
      <c r="R586" s="29" t="str">
        <f t="shared" si="19"/>
        <v>2dms_wmts_v1_TOPO01K_N10</v>
      </c>
      <c r="S586" s="39" t="s">
        <v>155</v>
      </c>
      <c r="U586" s="27" t="str">
        <f>_xlfn.XLOOKUP(表格1[[#This Row],[服務類別(英)]],參考2_服務標準對照!$B:$B,參考2_服務標準對照!$C:$C,"")&amp;""</f>
        <v>OGC</v>
      </c>
      <c r="V586" s="29" t="s">
        <v>7</v>
      </c>
      <c r="W586" s="29" t="s">
        <v>163</v>
      </c>
      <c r="X586" s="29" t="s">
        <v>81</v>
      </c>
      <c r="Y586" s="36" t="s">
        <v>83</v>
      </c>
      <c r="Z586" s="36" t="s">
        <v>157</v>
      </c>
      <c r="AA586" s="36" t="s">
        <v>1159</v>
      </c>
      <c r="AB586" s="36"/>
      <c r="AC586" s="36"/>
      <c r="AD586" s="29" t="s">
        <v>119</v>
      </c>
      <c r="AE586" s="36" t="str">
        <f>_xlfn.XLOOKUP(表格1[[#This Row],[唯一識別碼]],API清冊0707!B:B,API清冊0707!T:T,"")&amp;""</f>
        <v>無下拉選單</v>
      </c>
    </row>
    <row r="587" spans="1:31" ht="204.75" customHeight="1" x14ac:dyDescent="0.4">
      <c r="A587" s="29" t="s">
        <v>2496</v>
      </c>
      <c r="B587" s="29"/>
      <c r="C587" s="29"/>
      <c r="D587" s="29" t="s">
        <v>2497</v>
      </c>
      <c r="E587" s="29" t="s">
        <v>2498</v>
      </c>
      <c r="F587" s="29" t="s">
        <v>2499</v>
      </c>
      <c r="G587" s="35"/>
      <c r="H587" s="35" t="s">
        <v>151</v>
      </c>
      <c r="I587" s="29" t="s">
        <v>2496</v>
      </c>
      <c r="J587" s="37"/>
      <c r="K587" s="38"/>
      <c r="L587" s="38"/>
      <c r="M587" s="36" t="s">
        <v>60</v>
      </c>
      <c r="N587" s="15" t="s">
        <v>152</v>
      </c>
      <c r="O587" s="36" t="s">
        <v>162</v>
      </c>
      <c r="P587" s="36" t="str">
        <f t="shared" si="18"/>
        <v>WMTS_1/1000地形圖_彰化縣八卦山脈(百果山地區)都市計畫(98年)</v>
      </c>
      <c r="Q587" s="29" t="s">
        <v>2499</v>
      </c>
      <c r="R587" s="29" t="str">
        <f t="shared" si="19"/>
        <v>2dms_wmts_v1_TOPO01K_N09</v>
      </c>
      <c r="S587" s="39" t="s">
        <v>155</v>
      </c>
      <c r="U587" s="27" t="str">
        <f>_xlfn.XLOOKUP(表格1[[#This Row],[服務類別(英)]],參考2_服務標準對照!$B:$B,參考2_服務標準對照!$C:$C,"")&amp;""</f>
        <v>OGC</v>
      </c>
      <c r="V587" s="29" t="s">
        <v>7</v>
      </c>
      <c r="W587" s="29" t="s">
        <v>163</v>
      </c>
      <c r="X587" s="29" t="s">
        <v>81</v>
      </c>
      <c r="Y587" s="36" t="s">
        <v>83</v>
      </c>
      <c r="Z587" s="36" t="s">
        <v>157</v>
      </c>
      <c r="AA587" s="36" t="s">
        <v>1159</v>
      </c>
      <c r="AB587" s="36"/>
      <c r="AC587" s="36"/>
      <c r="AD587" s="29" t="s">
        <v>119</v>
      </c>
      <c r="AE587" s="36" t="str">
        <f>_xlfn.XLOOKUP(表格1[[#This Row],[唯一識別碼]],API清冊0707!B:B,API清冊0707!T:T,"")&amp;""</f>
        <v>無下拉選單</v>
      </c>
    </row>
    <row r="588" spans="1:31" ht="204.75" customHeight="1" x14ac:dyDescent="0.4">
      <c r="A588" s="29" t="s">
        <v>2500</v>
      </c>
      <c r="B588" s="29"/>
      <c r="C588" s="29"/>
      <c r="D588" s="29" t="s">
        <v>2501</v>
      </c>
      <c r="E588" s="29" t="s">
        <v>2502</v>
      </c>
      <c r="F588" s="29" t="s">
        <v>2503</v>
      </c>
      <c r="G588" s="35"/>
      <c r="H588" s="35" t="s">
        <v>151</v>
      </c>
      <c r="I588" s="29" t="s">
        <v>2500</v>
      </c>
      <c r="J588" s="37"/>
      <c r="K588" s="38"/>
      <c r="L588" s="38"/>
      <c r="M588" s="36" t="s">
        <v>60</v>
      </c>
      <c r="N588" s="15" t="s">
        <v>152</v>
      </c>
      <c r="O588" s="36" t="s">
        <v>162</v>
      </c>
      <c r="P588" s="36" t="str">
        <f t="shared" si="18"/>
        <v>WMTS_1/1000地形圖_彰化縣八卦山脈(松柏嶺地區)都市計畫(98年)</v>
      </c>
      <c r="Q588" s="29" t="s">
        <v>2503</v>
      </c>
      <c r="R588" s="29" t="str">
        <f t="shared" si="19"/>
        <v>2dms_wmts_v1_TOPO01K_N08</v>
      </c>
      <c r="S588" s="39" t="s">
        <v>155</v>
      </c>
      <c r="U588" s="27" t="str">
        <f>_xlfn.XLOOKUP(表格1[[#This Row],[服務類別(英)]],參考2_服務標準對照!$B:$B,參考2_服務標準對照!$C:$C,"")&amp;""</f>
        <v>OGC</v>
      </c>
      <c r="V588" s="29" t="s">
        <v>7</v>
      </c>
      <c r="W588" s="29" t="s">
        <v>163</v>
      </c>
      <c r="X588" s="29" t="s">
        <v>81</v>
      </c>
      <c r="Y588" s="36" t="s">
        <v>83</v>
      </c>
      <c r="Z588" s="36" t="s">
        <v>157</v>
      </c>
      <c r="AA588" s="36" t="s">
        <v>1159</v>
      </c>
      <c r="AB588" s="36"/>
      <c r="AC588" s="36"/>
      <c r="AD588" s="29" t="s">
        <v>119</v>
      </c>
      <c r="AE588" s="36" t="str">
        <f>_xlfn.XLOOKUP(表格1[[#This Row],[唯一識別碼]],API清冊0707!B:B,API清冊0707!T:T,"")&amp;""</f>
        <v>無下拉選單</v>
      </c>
    </row>
    <row r="589" spans="1:31" ht="204.75" customHeight="1" x14ac:dyDescent="0.4">
      <c r="A589" s="29" t="s">
        <v>2504</v>
      </c>
      <c r="B589" s="29"/>
      <c r="C589" s="29"/>
      <c r="D589" s="29" t="s">
        <v>2505</v>
      </c>
      <c r="E589" s="29" t="s">
        <v>2506</v>
      </c>
      <c r="F589" s="29" t="s">
        <v>2507</v>
      </c>
      <c r="G589" s="35"/>
      <c r="H589" s="35" t="s">
        <v>151</v>
      </c>
      <c r="I589" s="29" t="s">
        <v>2504</v>
      </c>
      <c r="J589" s="37"/>
      <c r="K589" s="38"/>
      <c r="L589" s="38"/>
      <c r="M589" s="36" t="s">
        <v>60</v>
      </c>
      <c r="N589" s="15" t="s">
        <v>152</v>
      </c>
      <c r="O589" s="36" t="s">
        <v>162</v>
      </c>
      <c r="P589" s="36" t="str">
        <f t="shared" si="18"/>
        <v>WMTS_1/1000地形圖_彰化縣八卦山脈(東源地區)都市計畫(98年)</v>
      </c>
      <c r="Q589" s="29" t="s">
        <v>2507</v>
      </c>
      <c r="R589" s="29" t="str">
        <f t="shared" si="19"/>
        <v>2dms_wmts_v1_TOPO01K_N07</v>
      </c>
      <c r="S589" s="39" t="s">
        <v>155</v>
      </c>
      <c r="U589" s="27" t="str">
        <f>_xlfn.XLOOKUP(表格1[[#This Row],[服務類別(英)]],參考2_服務標準對照!$B:$B,參考2_服務標準對照!$C:$C,"")&amp;""</f>
        <v>OGC</v>
      </c>
      <c r="V589" s="29" t="s">
        <v>7</v>
      </c>
      <c r="W589" s="29" t="s">
        <v>163</v>
      </c>
      <c r="X589" s="29" t="s">
        <v>81</v>
      </c>
      <c r="Y589" s="36" t="s">
        <v>83</v>
      </c>
      <c r="Z589" s="36" t="s">
        <v>157</v>
      </c>
      <c r="AA589" s="36" t="s">
        <v>1159</v>
      </c>
      <c r="AB589" s="36"/>
      <c r="AC589" s="36"/>
      <c r="AD589" s="29" t="s">
        <v>119</v>
      </c>
      <c r="AE589" s="36" t="str">
        <f>_xlfn.XLOOKUP(表格1[[#This Row],[唯一識別碼]],API清冊0707!B:B,API清冊0707!T:T,"")&amp;""</f>
        <v>無下拉選單</v>
      </c>
    </row>
    <row r="590" spans="1:31" ht="204.75" customHeight="1" x14ac:dyDescent="0.4">
      <c r="A590" s="29" t="s">
        <v>2508</v>
      </c>
      <c r="B590" s="29"/>
      <c r="C590" s="29"/>
      <c r="D590" s="29" t="s">
        <v>2509</v>
      </c>
      <c r="E590" s="29" t="s">
        <v>2510</v>
      </c>
      <c r="F590" s="29" t="s">
        <v>2511</v>
      </c>
      <c r="G590" s="35"/>
      <c r="H590" s="35" t="s">
        <v>151</v>
      </c>
      <c r="I590" s="29" t="s">
        <v>2508</v>
      </c>
      <c r="J590" s="37"/>
      <c r="K590" s="38"/>
      <c r="L590" s="38"/>
      <c r="M590" s="36" t="s">
        <v>60</v>
      </c>
      <c r="N590" s="15" t="s">
        <v>152</v>
      </c>
      <c r="O590" s="36" t="s">
        <v>162</v>
      </c>
      <c r="P590" s="36" t="str">
        <f t="shared" si="18"/>
        <v>WMTS_1/1000地形圖_彰化縣八卦山脈(文山橫山地區)都市計畫(98年)</v>
      </c>
      <c r="Q590" s="29" t="s">
        <v>2511</v>
      </c>
      <c r="R590" s="29" t="str">
        <f t="shared" si="19"/>
        <v>2dms_wmts_v1_TOPO01K_N06</v>
      </c>
      <c r="S590" s="39" t="s">
        <v>155</v>
      </c>
      <c r="U590" s="27" t="str">
        <f>_xlfn.XLOOKUP(表格1[[#This Row],[服務類別(英)]],參考2_服務標準對照!$B:$B,參考2_服務標準對照!$C:$C,"")&amp;""</f>
        <v>OGC</v>
      </c>
      <c r="V590" s="29" t="s">
        <v>7</v>
      </c>
      <c r="W590" s="29" t="s">
        <v>163</v>
      </c>
      <c r="X590" s="29" t="s">
        <v>81</v>
      </c>
      <c r="Y590" s="36" t="s">
        <v>83</v>
      </c>
      <c r="Z590" s="36" t="s">
        <v>157</v>
      </c>
      <c r="AA590" s="36" t="s">
        <v>1159</v>
      </c>
      <c r="AB590" s="36"/>
      <c r="AC590" s="36"/>
      <c r="AD590" s="29" t="s">
        <v>119</v>
      </c>
      <c r="AE590" s="36" t="str">
        <f>_xlfn.XLOOKUP(表格1[[#This Row],[唯一識別碼]],API清冊0707!B:B,API清冊0707!T:T,"")&amp;""</f>
        <v>無下拉選單</v>
      </c>
    </row>
    <row r="591" spans="1:31" ht="204.75" customHeight="1" x14ac:dyDescent="0.4">
      <c r="A591" s="29" t="s">
        <v>2512</v>
      </c>
      <c r="B591" s="29"/>
      <c r="C591" s="29"/>
      <c r="D591" s="29" t="s">
        <v>2513</v>
      </c>
      <c r="E591" s="29" t="s">
        <v>2514</v>
      </c>
      <c r="F591" s="29" t="s">
        <v>2515</v>
      </c>
      <c r="G591" s="35"/>
      <c r="H591" s="35" t="s">
        <v>151</v>
      </c>
      <c r="I591" s="29" t="s">
        <v>2512</v>
      </c>
      <c r="J591" s="37"/>
      <c r="K591" s="38"/>
      <c r="L591" s="38"/>
      <c r="M591" s="36" t="s">
        <v>60</v>
      </c>
      <c r="N591" s="15" t="s">
        <v>152</v>
      </c>
      <c r="O591" s="36" t="s">
        <v>162</v>
      </c>
      <c r="P591" s="36" t="str">
        <f t="shared" si="18"/>
        <v>WMTS_1/1000地形圖_彰化縣八卦山脈(各區道路)都市計畫(98年)</v>
      </c>
      <c r="Q591" s="29" t="s">
        <v>2515</v>
      </c>
      <c r="R591" s="29" t="str">
        <f t="shared" si="19"/>
        <v>2dms_wmts_v1_TOPO01K_N05</v>
      </c>
      <c r="S591" s="39" t="s">
        <v>155</v>
      </c>
      <c r="U591" s="27" t="str">
        <f>_xlfn.XLOOKUP(表格1[[#This Row],[服務類別(英)]],參考2_服務標準對照!$B:$B,參考2_服務標準對照!$C:$C,"")&amp;""</f>
        <v>OGC</v>
      </c>
      <c r="V591" s="29" t="s">
        <v>7</v>
      </c>
      <c r="W591" s="29" t="s">
        <v>163</v>
      </c>
      <c r="X591" s="29" t="s">
        <v>81</v>
      </c>
      <c r="Y591" s="36" t="s">
        <v>83</v>
      </c>
      <c r="Z591" s="36" t="s">
        <v>157</v>
      </c>
      <c r="AA591" s="36" t="s">
        <v>1159</v>
      </c>
      <c r="AB591" s="36"/>
      <c r="AC591" s="36"/>
      <c r="AD591" s="29" t="s">
        <v>119</v>
      </c>
      <c r="AE591" s="36" t="str">
        <f>_xlfn.XLOOKUP(表格1[[#This Row],[唯一識別碼]],API清冊0707!B:B,API清冊0707!T:T,"")&amp;""</f>
        <v>無下拉選單</v>
      </c>
    </row>
    <row r="592" spans="1:31" ht="204.75" customHeight="1" x14ac:dyDescent="0.4">
      <c r="A592" s="29" t="s">
        <v>2516</v>
      </c>
      <c r="B592" s="29"/>
      <c r="C592" s="29"/>
      <c r="D592" s="29" t="s">
        <v>2517</v>
      </c>
      <c r="E592" s="29" t="s">
        <v>2518</v>
      </c>
      <c r="F592" s="29" t="s">
        <v>2519</v>
      </c>
      <c r="G592" s="35"/>
      <c r="H592" s="35" t="s">
        <v>151</v>
      </c>
      <c r="I592" s="29" t="s">
        <v>2516</v>
      </c>
      <c r="J592" s="37"/>
      <c r="K592" s="38"/>
      <c r="L592" s="38"/>
      <c r="M592" s="36" t="s">
        <v>60</v>
      </c>
      <c r="N592" s="15" t="s">
        <v>152</v>
      </c>
      <c r="O592" s="36" t="s">
        <v>162</v>
      </c>
      <c r="P592" s="36" t="str">
        <f t="shared" si="18"/>
        <v>WMTS_1/1000地形圖_彰化縣八卦山脈(八卦山地區)都市計畫(98年)</v>
      </c>
      <c r="Q592" s="29" t="s">
        <v>2519</v>
      </c>
      <c r="R592" s="29" t="str">
        <f t="shared" si="19"/>
        <v>2dms_wmts_v1_TOPO01K_N04</v>
      </c>
      <c r="S592" s="39" t="s">
        <v>155</v>
      </c>
      <c r="U592" s="27" t="str">
        <f>_xlfn.XLOOKUP(表格1[[#This Row],[服務類別(英)]],參考2_服務標準對照!$B:$B,參考2_服務標準對照!$C:$C,"")&amp;""</f>
        <v>OGC</v>
      </c>
      <c r="V592" s="29" t="s">
        <v>7</v>
      </c>
      <c r="W592" s="29" t="s">
        <v>163</v>
      </c>
      <c r="X592" s="29" t="s">
        <v>81</v>
      </c>
      <c r="Y592" s="36" t="s">
        <v>83</v>
      </c>
      <c r="Z592" s="36" t="s">
        <v>157</v>
      </c>
      <c r="AA592" s="36" t="s">
        <v>1159</v>
      </c>
      <c r="AB592" s="36"/>
      <c r="AC592" s="36"/>
      <c r="AD592" s="29" t="s">
        <v>119</v>
      </c>
      <c r="AE592" s="36" t="str">
        <f>_xlfn.XLOOKUP(表格1[[#This Row],[唯一識別碼]],API清冊0707!B:B,API清冊0707!T:T,"")&amp;""</f>
        <v>無下拉選單</v>
      </c>
    </row>
    <row r="593" spans="1:31" ht="204.75" customHeight="1" x14ac:dyDescent="0.4">
      <c r="A593" s="29" t="s">
        <v>2520</v>
      </c>
      <c r="B593" s="29"/>
      <c r="C593" s="29"/>
      <c r="D593" s="29" t="s">
        <v>2521</v>
      </c>
      <c r="E593" s="29" t="s">
        <v>2522</v>
      </c>
      <c r="F593" s="29" t="s">
        <v>2523</v>
      </c>
      <c r="G593" s="35"/>
      <c r="H593" s="35" t="s">
        <v>151</v>
      </c>
      <c r="I593" s="29" t="s">
        <v>2520</v>
      </c>
      <c r="J593" s="37"/>
      <c r="K593" s="38"/>
      <c r="L593" s="38"/>
      <c r="M593" s="36" t="s">
        <v>60</v>
      </c>
      <c r="N593" s="15" t="s">
        <v>152</v>
      </c>
      <c r="O593" s="36" t="s">
        <v>162</v>
      </c>
      <c r="P593" s="36" t="str">
        <f t="shared" si="18"/>
        <v>WMTS_1/1000地形圖_彰化縣伸港都市計畫(97年)</v>
      </c>
      <c r="Q593" s="29" t="s">
        <v>2523</v>
      </c>
      <c r="R593" s="29" t="str">
        <f t="shared" si="19"/>
        <v>2dms_wmts_v1_TOPO01K_N03</v>
      </c>
      <c r="S593" s="39" t="s">
        <v>155</v>
      </c>
      <c r="U593" s="27" t="str">
        <f>_xlfn.XLOOKUP(表格1[[#This Row],[服務類別(英)]],參考2_服務標準對照!$B:$B,參考2_服務標準對照!$C:$C,"")&amp;""</f>
        <v>OGC</v>
      </c>
      <c r="V593" s="29" t="s">
        <v>7</v>
      </c>
      <c r="W593" s="29" t="s">
        <v>163</v>
      </c>
      <c r="X593" s="29" t="s">
        <v>81</v>
      </c>
      <c r="Y593" s="36" t="s">
        <v>83</v>
      </c>
      <c r="Z593" s="36" t="s">
        <v>157</v>
      </c>
      <c r="AA593" s="36" t="s">
        <v>1159</v>
      </c>
      <c r="AB593" s="36"/>
      <c r="AC593" s="36"/>
      <c r="AD593" s="29" t="s">
        <v>119</v>
      </c>
      <c r="AE593" s="36" t="str">
        <f>_xlfn.XLOOKUP(表格1[[#This Row],[唯一識別碼]],API清冊0707!B:B,API清冊0707!T:T,"")&amp;""</f>
        <v>無下拉選單</v>
      </c>
    </row>
    <row r="594" spans="1:31" ht="204.75" customHeight="1" x14ac:dyDescent="0.4">
      <c r="A594" s="29" t="s">
        <v>2524</v>
      </c>
      <c r="B594" s="29"/>
      <c r="C594" s="29"/>
      <c r="D594" s="29" t="s">
        <v>2525</v>
      </c>
      <c r="E594" s="29" t="s">
        <v>2526</v>
      </c>
      <c r="F594" s="29" t="s">
        <v>2527</v>
      </c>
      <c r="G594" s="35"/>
      <c r="H594" s="35" t="s">
        <v>151</v>
      </c>
      <c r="I594" s="29" t="s">
        <v>2524</v>
      </c>
      <c r="J594" s="37"/>
      <c r="K594" s="38"/>
      <c r="L594" s="38"/>
      <c r="M594" s="36" t="s">
        <v>60</v>
      </c>
      <c r="N594" s="15" t="s">
        <v>152</v>
      </c>
      <c r="O594" s="36" t="s">
        <v>162</v>
      </c>
      <c r="P594" s="36" t="str">
        <f t="shared" si="18"/>
        <v>WMTS_1/1000地形圖_彰化縣二水都市計畫(97年)</v>
      </c>
      <c r="Q594" s="29" t="s">
        <v>2527</v>
      </c>
      <c r="R594" s="29" t="str">
        <f t="shared" si="19"/>
        <v>2dms_wmts_v1_TOPO01K_N02</v>
      </c>
      <c r="S594" s="39" t="s">
        <v>155</v>
      </c>
      <c r="U594" s="27" t="str">
        <f>_xlfn.XLOOKUP(表格1[[#This Row],[服務類別(英)]],參考2_服務標準對照!$B:$B,參考2_服務標準對照!$C:$C,"")&amp;""</f>
        <v>OGC</v>
      </c>
      <c r="V594" s="29" t="s">
        <v>7</v>
      </c>
      <c r="W594" s="29" t="s">
        <v>163</v>
      </c>
      <c r="X594" s="29" t="s">
        <v>81</v>
      </c>
      <c r="Y594" s="36" t="s">
        <v>83</v>
      </c>
      <c r="Z594" s="36" t="s">
        <v>157</v>
      </c>
      <c r="AA594" s="36" t="s">
        <v>1159</v>
      </c>
      <c r="AB594" s="36"/>
      <c r="AC594" s="36"/>
      <c r="AD594" s="29" t="s">
        <v>119</v>
      </c>
      <c r="AE594" s="36" t="str">
        <f>_xlfn.XLOOKUP(表格1[[#This Row],[唯一識別碼]],API清冊0707!B:B,API清冊0707!T:T,"")&amp;""</f>
        <v>無下拉選單</v>
      </c>
    </row>
    <row r="595" spans="1:31" ht="204.75" customHeight="1" x14ac:dyDescent="0.4">
      <c r="A595" s="29" t="s">
        <v>2528</v>
      </c>
      <c r="B595" s="29"/>
      <c r="C595" s="29"/>
      <c r="D595" s="29" t="s">
        <v>2529</v>
      </c>
      <c r="E595" s="29" t="s">
        <v>2530</v>
      </c>
      <c r="F595" s="29" t="s">
        <v>2531</v>
      </c>
      <c r="G595" s="35"/>
      <c r="H595" s="35" t="s">
        <v>151</v>
      </c>
      <c r="I595" s="29" t="s">
        <v>2528</v>
      </c>
      <c r="J595" s="37"/>
      <c r="K595" s="38"/>
      <c r="L595" s="38"/>
      <c r="M595" s="36" t="s">
        <v>60</v>
      </c>
      <c r="N595" s="15" t="s">
        <v>152</v>
      </c>
      <c r="O595" s="36" t="s">
        <v>162</v>
      </c>
      <c r="P595" s="36" t="str">
        <f t="shared" si="18"/>
        <v>WMTS_1/1000地形圖_彰化縣二林都市計畫(97年)</v>
      </c>
      <c r="Q595" s="29" t="s">
        <v>2531</v>
      </c>
      <c r="R595" s="29" t="str">
        <f t="shared" si="19"/>
        <v>2dms_wmts_v1_TOPO01K_N01</v>
      </c>
      <c r="S595" s="39" t="s">
        <v>155</v>
      </c>
      <c r="U595" s="27" t="str">
        <f>_xlfn.XLOOKUP(表格1[[#This Row],[服務類別(英)]],參考2_服務標準對照!$B:$B,參考2_服務標準對照!$C:$C,"")&amp;""</f>
        <v>OGC</v>
      </c>
      <c r="V595" s="29" t="s">
        <v>7</v>
      </c>
      <c r="W595" s="29" t="s">
        <v>163</v>
      </c>
      <c r="X595" s="29" t="s">
        <v>81</v>
      </c>
      <c r="Y595" s="36" t="s">
        <v>83</v>
      </c>
      <c r="Z595" s="36" t="s">
        <v>157</v>
      </c>
      <c r="AA595" s="36" t="s">
        <v>1159</v>
      </c>
      <c r="AB595" s="36"/>
      <c r="AC595" s="36"/>
      <c r="AD595" s="29" t="s">
        <v>119</v>
      </c>
      <c r="AE595" s="36" t="str">
        <f>_xlfn.XLOOKUP(表格1[[#This Row],[唯一識別碼]],API清冊0707!B:B,API清冊0707!T:T,"")&amp;""</f>
        <v>無下拉選單</v>
      </c>
    </row>
    <row r="596" spans="1:31" ht="204.75" customHeight="1" x14ac:dyDescent="0.4">
      <c r="A596" s="29" t="s">
        <v>2532</v>
      </c>
      <c r="B596" s="29"/>
      <c r="C596" s="29"/>
      <c r="D596" s="29" t="s">
        <v>2533</v>
      </c>
      <c r="E596" s="29" t="s">
        <v>2534</v>
      </c>
      <c r="F596" s="29" t="s">
        <v>2535</v>
      </c>
      <c r="G596" s="35"/>
      <c r="H596" s="35" t="s">
        <v>151</v>
      </c>
      <c r="I596" s="29" t="s">
        <v>2532</v>
      </c>
      <c r="J596" s="37"/>
      <c r="K596" s="38"/>
      <c r="L596" s="38"/>
      <c r="M596" s="36" t="s">
        <v>60</v>
      </c>
      <c r="N596" s="15" t="s">
        <v>152</v>
      </c>
      <c r="O596" s="36" t="s">
        <v>162</v>
      </c>
      <c r="P596" s="36" t="str">
        <f t="shared" si="18"/>
        <v>WMTS_1/1000地形圖_南投縣鹿谷都市計畫(106年)</v>
      </c>
      <c r="Q596" s="29" t="s">
        <v>2535</v>
      </c>
      <c r="R596" s="29" t="str">
        <f t="shared" si="19"/>
        <v>2dms_wmts_v1_TOPO01K_M22</v>
      </c>
      <c r="S596" s="39" t="s">
        <v>155</v>
      </c>
      <c r="U596" s="27" t="str">
        <f>_xlfn.XLOOKUP(表格1[[#This Row],[服務類別(英)]],參考2_服務標準對照!$B:$B,參考2_服務標準對照!$C:$C,"")&amp;""</f>
        <v>OGC</v>
      </c>
      <c r="V596" s="29" t="s">
        <v>7</v>
      </c>
      <c r="W596" s="29" t="s">
        <v>163</v>
      </c>
      <c r="X596" s="29" t="s">
        <v>81</v>
      </c>
      <c r="Y596" s="36" t="s">
        <v>83</v>
      </c>
      <c r="Z596" s="36" t="s">
        <v>157</v>
      </c>
      <c r="AA596" s="36" t="s">
        <v>1159</v>
      </c>
      <c r="AB596" s="36"/>
      <c r="AC596" s="36"/>
      <c r="AD596" s="29" t="s">
        <v>119</v>
      </c>
      <c r="AE596" s="36" t="str">
        <f>_xlfn.XLOOKUP(表格1[[#This Row],[唯一識別碼]],API清冊0707!B:B,API清冊0707!T:T,"")&amp;""</f>
        <v>無下拉選單</v>
      </c>
    </row>
    <row r="597" spans="1:31" ht="204.75" customHeight="1" x14ac:dyDescent="0.4">
      <c r="A597" s="29" t="s">
        <v>2536</v>
      </c>
      <c r="B597" s="29"/>
      <c r="C597" s="29"/>
      <c r="D597" s="29" t="s">
        <v>2537</v>
      </c>
      <c r="E597" s="29" t="s">
        <v>2538</v>
      </c>
      <c r="F597" s="29" t="s">
        <v>2539</v>
      </c>
      <c r="G597" s="35"/>
      <c r="H597" s="35" t="s">
        <v>151</v>
      </c>
      <c r="I597" s="29" t="s">
        <v>2536</v>
      </c>
      <c r="J597" s="37"/>
      <c r="K597" s="38"/>
      <c r="L597" s="38"/>
      <c r="M597" s="36" t="s">
        <v>60</v>
      </c>
      <c r="N597" s="15" t="s">
        <v>152</v>
      </c>
      <c r="O597" s="36" t="s">
        <v>162</v>
      </c>
      <c r="P597" s="36" t="str">
        <f t="shared" si="18"/>
        <v>WMTS_1/1000地形圖_南投縣鳳凰谷風景特定區計畫(93-98年)</v>
      </c>
      <c r="Q597" s="29" t="s">
        <v>2539</v>
      </c>
      <c r="R597" s="29" t="str">
        <f t="shared" si="19"/>
        <v>2dms_wmts_v1_TOPO01K_M21</v>
      </c>
      <c r="S597" s="39" t="s">
        <v>155</v>
      </c>
      <c r="U597" s="27" t="str">
        <f>_xlfn.XLOOKUP(表格1[[#This Row],[服務類別(英)]],參考2_服務標準對照!$B:$B,參考2_服務標準對照!$C:$C,"")&amp;""</f>
        <v>OGC</v>
      </c>
      <c r="V597" s="29" t="s">
        <v>7</v>
      </c>
      <c r="W597" s="29" t="s">
        <v>163</v>
      </c>
      <c r="X597" s="29" t="s">
        <v>81</v>
      </c>
      <c r="Y597" s="36" t="s">
        <v>83</v>
      </c>
      <c r="Z597" s="36" t="s">
        <v>157</v>
      </c>
      <c r="AA597" s="36" t="s">
        <v>1159</v>
      </c>
      <c r="AB597" s="36"/>
      <c r="AC597" s="36"/>
      <c r="AD597" s="29" t="s">
        <v>119</v>
      </c>
      <c r="AE597" s="36" t="str">
        <f>_xlfn.XLOOKUP(表格1[[#This Row],[唯一識別碼]],API清冊0707!B:B,API清冊0707!T:T,"")&amp;""</f>
        <v>無下拉選單</v>
      </c>
    </row>
    <row r="598" spans="1:31" ht="204.75" customHeight="1" x14ac:dyDescent="0.4">
      <c r="A598" s="29" t="s">
        <v>2540</v>
      </c>
      <c r="B598" s="29"/>
      <c r="C598" s="29"/>
      <c r="D598" s="29" t="s">
        <v>2541</v>
      </c>
      <c r="E598" s="29" t="s">
        <v>2542</v>
      </c>
      <c r="F598" s="29" t="s">
        <v>2543</v>
      </c>
      <c r="G598" s="35"/>
      <c r="H598" s="35" t="s">
        <v>151</v>
      </c>
      <c r="I598" s="29" t="s">
        <v>2540</v>
      </c>
      <c r="J598" s="37"/>
      <c r="K598" s="38"/>
      <c r="L598" s="38"/>
      <c r="M598" s="36" t="s">
        <v>60</v>
      </c>
      <c r="N598" s="15" t="s">
        <v>152</v>
      </c>
      <c r="O598" s="36" t="s">
        <v>162</v>
      </c>
      <c r="P598" s="36" t="str">
        <f t="shared" si="18"/>
        <v>WMTS_1/1000地形圖_南投縣魚池都市計畫(103年)</v>
      </c>
      <c r="Q598" s="29" t="s">
        <v>2543</v>
      </c>
      <c r="R598" s="29" t="str">
        <f t="shared" si="19"/>
        <v>2dms_wmts_v1_TOPO01K_M20</v>
      </c>
      <c r="S598" s="39" t="s">
        <v>155</v>
      </c>
      <c r="U598" s="27" t="str">
        <f>_xlfn.XLOOKUP(表格1[[#This Row],[服務類別(英)]],參考2_服務標準對照!$B:$B,參考2_服務標準對照!$C:$C,"")&amp;""</f>
        <v>OGC</v>
      </c>
      <c r="V598" s="29" t="s">
        <v>7</v>
      </c>
      <c r="W598" s="29" t="s">
        <v>163</v>
      </c>
      <c r="X598" s="29" t="s">
        <v>81</v>
      </c>
      <c r="Y598" s="36" t="s">
        <v>83</v>
      </c>
      <c r="Z598" s="36" t="s">
        <v>157</v>
      </c>
      <c r="AA598" s="36" t="s">
        <v>1159</v>
      </c>
      <c r="AB598" s="36"/>
      <c r="AC598" s="36"/>
      <c r="AD598" s="29" t="s">
        <v>119</v>
      </c>
      <c r="AE598" s="36" t="str">
        <f>_xlfn.XLOOKUP(表格1[[#This Row],[唯一識別碼]],API清冊0707!B:B,API清冊0707!T:T,"")&amp;""</f>
        <v>無下拉選單</v>
      </c>
    </row>
    <row r="599" spans="1:31" ht="204.75" customHeight="1" x14ac:dyDescent="0.4">
      <c r="A599" s="29" t="s">
        <v>2544</v>
      </c>
      <c r="B599" s="29"/>
      <c r="C599" s="29"/>
      <c r="D599" s="29" t="s">
        <v>2545</v>
      </c>
      <c r="E599" s="29" t="s">
        <v>2546</v>
      </c>
      <c r="F599" s="29" t="s">
        <v>2547</v>
      </c>
      <c r="G599" s="35"/>
      <c r="H599" s="35" t="s">
        <v>151</v>
      </c>
      <c r="I599" s="29" t="s">
        <v>2544</v>
      </c>
      <c r="J599" s="37"/>
      <c r="K599" s="38"/>
      <c r="L599" s="38"/>
      <c r="M599" s="36" t="s">
        <v>60</v>
      </c>
      <c r="N599" s="15" t="s">
        <v>152</v>
      </c>
      <c r="O599" s="36" t="s">
        <v>162</v>
      </c>
      <c r="P599" s="36" t="str">
        <f t="shared" si="18"/>
        <v>WMTS_1/1000地形圖_南投縣霧社都市計畫(94-98年)</v>
      </c>
      <c r="Q599" s="29" t="s">
        <v>2547</v>
      </c>
      <c r="R599" s="29" t="str">
        <f t="shared" si="19"/>
        <v>2dms_wmts_v1_TOPO01K_M19</v>
      </c>
      <c r="S599" s="39" t="s">
        <v>155</v>
      </c>
      <c r="U599" s="27" t="str">
        <f>_xlfn.XLOOKUP(表格1[[#This Row],[服務類別(英)]],參考2_服務標準對照!$B:$B,參考2_服務標準對照!$C:$C,"")&amp;""</f>
        <v>OGC</v>
      </c>
      <c r="V599" s="29" t="s">
        <v>7</v>
      </c>
      <c r="W599" s="29" t="s">
        <v>163</v>
      </c>
      <c r="X599" s="29" t="s">
        <v>81</v>
      </c>
      <c r="Y599" s="36" t="s">
        <v>83</v>
      </c>
      <c r="Z599" s="36" t="s">
        <v>157</v>
      </c>
      <c r="AA599" s="36" t="s">
        <v>1159</v>
      </c>
      <c r="AB599" s="36"/>
      <c r="AC599" s="36"/>
      <c r="AD599" s="29" t="s">
        <v>119</v>
      </c>
      <c r="AE599" s="36" t="str">
        <f>_xlfn.XLOOKUP(表格1[[#This Row],[唯一識別碼]],API清冊0707!B:B,API清冊0707!T:T,"")&amp;""</f>
        <v>無下拉選單</v>
      </c>
    </row>
    <row r="600" spans="1:31" ht="204.75" customHeight="1" x14ac:dyDescent="0.4">
      <c r="A600" s="29" t="s">
        <v>2548</v>
      </c>
      <c r="B600" s="29"/>
      <c r="C600" s="29"/>
      <c r="D600" s="29" t="s">
        <v>2549</v>
      </c>
      <c r="E600" s="29" t="s">
        <v>2550</v>
      </c>
      <c r="F600" s="29" t="s">
        <v>2551</v>
      </c>
      <c r="G600" s="35"/>
      <c r="H600" s="35" t="s">
        <v>151</v>
      </c>
      <c r="I600" s="29" t="s">
        <v>2548</v>
      </c>
      <c r="J600" s="37"/>
      <c r="K600" s="38"/>
      <c r="L600" s="38"/>
      <c r="M600" s="36" t="s">
        <v>60</v>
      </c>
      <c r="N600" s="15" t="s">
        <v>152</v>
      </c>
      <c r="O600" s="36" t="s">
        <v>162</v>
      </c>
      <c r="P600" s="36" t="str">
        <f t="shared" si="18"/>
        <v>WMTS_1/1000地形圖_南投縣集集都市計畫(95-98年)</v>
      </c>
      <c r="Q600" s="29" t="s">
        <v>2551</v>
      </c>
      <c r="R600" s="29" t="str">
        <f t="shared" si="19"/>
        <v>2dms_wmts_v1_TOPO01K_M18</v>
      </c>
      <c r="S600" s="39" t="s">
        <v>155</v>
      </c>
      <c r="U600" s="27" t="str">
        <f>_xlfn.XLOOKUP(表格1[[#This Row],[服務類別(英)]],參考2_服務標準對照!$B:$B,參考2_服務標準對照!$C:$C,"")&amp;""</f>
        <v>OGC</v>
      </c>
      <c r="V600" s="29" t="s">
        <v>7</v>
      </c>
      <c r="W600" s="29" t="s">
        <v>163</v>
      </c>
      <c r="X600" s="29" t="s">
        <v>81</v>
      </c>
      <c r="Y600" s="36" t="s">
        <v>83</v>
      </c>
      <c r="Z600" s="36" t="s">
        <v>157</v>
      </c>
      <c r="AA600" s="36" t="s">
        <v>1159</v>
      </c>
      <c r="AB600" s="36"/>
      <c r="AC600" s="36"/>
      <c r="AD600" s="29" t="s">
        <v>119</v>
      </c>
      <c r="AE600" s="36" t="str">
        <f>_xlfn.XLOOKUP(表格1[[#This Row],[唯一識別碼]],API清冊0707!B:B,API清冊0707!T:T,"")&amp;""</f>
        <v>無下拉選單</v>
      </c>
    </row>
    <row r="601" spans="1:31" ht="204.75" customHeight="1" x14ac:dyDescent="0.4">
      <c r="A601" s="29" t="s">
        <v>2552</v>
      </c>
      <c r="B601" s="29"/>
      <c r="C601" s="29"/>
      <c r="D601" s="29" t="s">
        <v>2553</v>
      </c>
      <c r="E601" s="29" t="s">
        <v>2554</v>
      </c>
      <c r="F601" s="29" t="s">
        <v>2555</v>
      </c>
      <c r="G601" s="35"/>
      <c r="H601" s="35" t="s">
        <v>151</v>
      </c>
      <c r="I601" s="29" t="s">
        <v>2552</v>
      </c>
      <c r="J601" s="37"/>
      <c r="K601" s="38"/>
      <c r="L601" s="38"/>
      <c r="M601" s="36" t="s">
        <v>60</v>
      </c>
      <c r="N601" s="15" t="s">
        <v>152</v>
      </c>
      <c r="O601" s="36" t="s">
        <v>162</v>
      </c>
      <c r="P601" s="36" t="str">
        <f t="shared" si="18"/>
        <v>WMTS_1/1000地形圖_南投縣草屯都市計畫(94-98年)</v>
      </c>
      <c r="Q601" s="29" t="s">
        <v>2555</v>
      </c>
      <c r="R601" s="29" t="str">
        <f t="shared" si="19"/>
        <v>2dms_wmts_v1_TOPO01K_M17</v>
      </c>
      <c r="S601" s="39" t="s">
        <v>155</v>
      </c>
      <c r="U601" s="27" t="str">
        <f>_xlfn.XLOOKUP(表格1[[#This Row],[服務類別(英)]],參考2_服務標準對照!$B:$B,參考2_服務標準對照!$C:$C,"")&amp;""</f>
        <v>OGC</v>
      </c>
      <c r="V601" s="29" t="s">
        <v>7</v>
      </c>
      <c r="W601" s="29" t="s">
        <v>163</v>
      </c>
      <c r="X601" s="29" t="s">
        <v>81</v>
      </c>
      <c r="Y601" s="36" t="s">
        <v>83</v>
      </c>
      <c r="Z601" s="36" t="s">
        <v>157</v>
      </c>
      <c r="AA601" s="36" t="s">
        <v>1159</v>
      </c>
      <c r="AB601" s="36"/>
      <c r="AC601" s="36"/>
      <c r="AD601" s="29" t="s">
        <v>119</v>
      </c>
      <c r="AE601" s="36" t="str">
        <f>_xlfn.XLOOKUP(表格1[[#This Row],[唯一識別碼]],API清冊0707!B:B,API清冊0707!T:T,"")&amp;""</f>
        <v>無下拉選單</v>
      </c>
    </row>
    <row r="602" spans="1:31" ht="204.75" customHeight="1" x14ac:dyDescent="0.4">
      <c r="A602" s="29" t="s">
        <v>2556</v>
      </c>
      <c r="B602" s="29"/>
      <c r="C602" s="29"/>
      <c r="D602" s="29" t="s">
        <v>2557</v>
      </c>
      <c r="E602" s="29" t="s">
        <v>2558</v>
      </c>
      <c r="F602" s="29" t="s">
        <v>2559</v>
      </c>
      <c r="G602" s="35"/>
      <c r="H602" s="35" t="s">
        <v>151</v>
      </c>
      <c r="I602" s="29" t="s">
        <v>2556</v>
      </c>
      <c r="J602" s="37"/>
      <c r="K602" s="38"/>
      <c r="L602" s="38"/>
      <c r="M602" s="36" t="s">
        <v>60</v>
      </c>
      <c r="N602" s="15" t="s">
        <v>152</v>
      </c>
      <c r="O602" s="36" t="s">
        <v>162</v>
      </c>
      <c r="P602" s="36" t="str">
        <f t="shared" si="18"/>
        <v>WMTS_1/1000地形圖_南投縣翠峰風景特定區計畫(93-98年)</v>
      </c>
      <c r="Q602" s="29" t="s">
        <v>2559</v>
      </c>
      <c r="R602" s="29" t="str">
        <f t="shared" si="19"/>
        <v>2dms_wmts_v1_TOPO01K_M16</v>
      </c>
      <c r="S602" s="39" t="s">
        <v>155</v>
      </c>
      <c r="U602" s="27" t="str">
        <f>_xlfn.XLOOKUP(表格1[[#This Row],[服務類別(英)]],參考2_服務標準對照!$B:$B,參考2_服務標準對照!$C:$C,"")&amp;""</f>
        <v>OGC</v>
      </c>
      <c r="V602" s="29" t="s">
        <v>7</v>
      </c>
      <c r="W602" s="29" t="s">
        <v>163</v>
      </c>
      <c r="X602" s="29" t="s">
        <v>81</v>
      </c>
      <c r="Y602" s="36" t="s">
        <v>83</v>
      </c>
      <c r="Z602" s="36" t="s">
        <v>157</v>
      </c>
      <c r="AA602" s="36" t="s">
        <v>1159</v>
      </c>
      <c r="AB602" s="36"/>
      <c r="AC602" s="36"/>
      <c r="AD602" s="29" t="s">
        <v>119</v>
      </c>
      <c r="AE602" s="36" t="str">
        <f>_xlfn.XLOOKUP(表格1[[#This Row],[唯一識別碼]],API清冊0707!B:B,API清冊0707!T:T,"")&amp;""</f>
        <v>無下拉選單</v>
      </c>
    </row>
    <row r="603" spans="1:31" ht="204.75" customHeight="1" x14ac:dyDescent="0.4">
      <c r="A603" s="29" t="s">
        <v>2560</v>
      </c>
      <c r="B603" s="29"/>
      <c r="C603" s="29"/>
      <c r="D603" s="29" t="s">
        <v>2561</v>
      </c>
      <c r="E603" s="29" t="s">
        <v>2562</v>
      </c>
      <c r="F603" s="29" t="s">
        <v>2563</v>
      </c>
      <c r="G603" s="35"/>
      <c r="H603" s="35" t="s">
        <v>151</v>
      </c>
      <c r="I603" s="29" t="s">
        <v>2560</v>
      </c>
      <c r="J603" s="37"/>
      <c r="K603" s="38"/>
      <c r="L603" s="38"/>
      <c r="M603" s="36" t="s">
        <v>60</v>
      </c>
      <c r="N603" s="15" t="s">
        <v>152</v>
      </c>
      <c r="O603" s="36" t="s">
        <v>162</v>
      </c>
      <c r="P603" s="36" t="str">
        <f t="shared" si="18"/>
        <v>WMTS_1/1000地形圖_南投縣竹山都市計畫(竹山部分(94-98年)</v>
      </c>
      <c r="Q603" s="29" t="s">
        <v>2563</v>
      </c>
      <c r="R603" s="29" t="str">
        <f t="shared" si="19"/>
        <v>2dms_wmts_v1_TOPO01K_M15</v>
      </c>
      <c r="S603" s="39" t="s">
        <v>155</v>
      </c>
      <c r="U603" s="27" t="str">
        <f>_xlfn.XLOOKUP(表格1[[#This Row],[服務類別(英)]],參考2_服務標準對照!$B:$B,參考2_服務標準對照!$C:$C,"")&amp;""</f>
        <v>OGC</v>
      </c>
      <c r="V603" s="29" t="s">
        <v>7</v>
      </c>
      <c r="W603" s="29" t="s">
        <v>163</v>
      </c>
      <c r="X603" s="29" t="s">
        <v>81</v>
      </c>
      <c r="Y603" s="36" t="s">
        <v>83</v>
      </c>
      <c r="Z603" s="36" t="s">
        <v>157</v>
      </c>
      <c r="AA603" s="36" t="s">
        <v>1159</v>
      </c>
      <c r="AB603" s="36"/>
      <c r="AC603" s="36"/>
      <c r="AD603" s="29" t="s">
        <v>119</v>
      </c>
      <c r="AE603" s="36" t="str">
        <f>_xlfn.XLOOKUP(表格1[[#This Row],[唯一識別碼]],API清冊0707!B:B,API清冊0707!T:T,"")&amp;""</f>
        <v>無下拉選單</v>
      </c>
    </row>
    <row r="604" spans="1:31" ht="204.75" customHeight="1" x14ac:dyDescent="0.4">
      <c r="A604" s="29" t="s">
        <v>2564</v>
      </c>
      <c r="B604" s="29"/>
      <c r="C604" s="29"/>
      <c r="D604" s="29" t="s">
        <v>2565</v>
      </c>
      <c r="E604" s="29" t="s">
        <v>2566</v>
      </c>
      <c r="F604" s="29" t="s">
        <v>2567</v>
      </c>
      <c r="G604" s="35"/>
      <c r="H604" s="35" t="s">
        <v>151</v>
      </c>
      <c r="I604" s="29" t="s">
        <v>2564</v>
      </c>
      <c r="J604" s="37"/>
      <c r="K604" s="38"/>
      <c r="L604" s="38"/>
      <c r="M604" s="36" t="s">
        <v>60</v>
      </c>
      <c r="N604" s="15" t="s">
        <v>152</v>
      </c>
      <c r="O604" s="36" t="s">
        <v>162</v>
      </c>
      <c r="P604" s="36" t="str">
        <f t="shared" si="18"/>
        <v>WMTS_1/1000地形圖_南投縣竹山都市計畫(延平部分(94-98年)</v>
      </c>
      <c r="Q604" s="29" t="s">
        <v>2567</v>
      </c>
      <c r="R604" s="29" t="str">
        <f t="shared" si="19"/>
        <v>2dms_wmts_v1_TOPO01K_M14</v>
      </c>
      <c r="S604" s="39" t="s">
        <v>155</v>
      </c>
      <c r="U604" s="27" t="str">
        <f>_xlfn.XLOOKUP(表格1[[#This Row],[服務類別(英)]],參考2_服務標準對照!$B:$B,參考2_服務標準對照!$C:$C,"")&amp;""</f>
        <v>OGC</v>
      </c>
      <c r="V604" s="29" t="s">
        <v>7</v>
      </c>
      <c r="W604" s="29" t="s">
        <v>163</v>
      </c>
      <c r="X604" s="29" t="s">
        <v>81</v>
      </c>
      <c r="Y604" s="36" t="s">
        <v>83</v>
      </c>
      <c r="Z604" s="36" t="s">
        <v>157</v>
      </c>
      <c r="AA604" s="36" t="s">
        <v>1159</v>
      </c>
      <c r="AB604" s="36"/>
      <c r="AC604" s="36"/>
      <c r="AD604" s="29" t="s">
        <v>119</v>
      </c>
      <c r="AE604" s="36" t="str">
        <f>_xlfn.XLOOKUP(表格1[[#This Row],[唯一識別碼]],API清冊0707!B:B,API清冊0707!T:T,"")&amp;""</f>
        <v>無下拉選單</v>
      </c>
    </row>
    <row r="605" spans="1:31" ht="204.75" customHeight="1" x14ac:dyDescent="0.4">
      <c r="A605" s="29" t="s">
        <v>2568</v>
      </c>
      <c r="B605" s="29"/>
      <c r="C605" s="29"/>
      <c r="D605" s="29" t="s">
        <v>2569</v>
      </c>
      <c r="E605" s="29" t="s">
        <v>2570</v>
      </c>
      <c r="F605" s="29" t="s">
        <v>2571</v>
      </c>
      <c r="G605" s="35"/>
      <c r="H605" s="35" t="s">
        <v>151</v>
      </c>
      <c r="I605" s="29" t="s">
        <v>2568</v>
      </c>
      <c r="J605" s="37"/>
      <c r="K605" s="38"/>
      <c r="L605" s="38"/>
      <c r="M605" s="36" t="s">
        <v>60</v>
      </c>
      <c r="N605" s="15" t="s">
        <v>152</v>
      </c>
      <c r="O605" s="36" t="s">
        <v>162</v>
      </c>
      <c r="P605" s="36" t="str">
        <f t="shared" si="18"/>
        <v>WMTS_1/1000地形圖_南投縣溪頭森林遊樂特定區計畫(93-98年)</v>
      </c>
      <c r="Q605" s="29" t="s">
        <v>2571</v>
      </c>
      <c r="R605" s="29" t="str">
        <f t="shared" si="19"/>
        <v>2dms_wmts_v1_TOPO01K_M13</v>
      </c>
      <c r="S605" s="39" t="s">
        <v>155</v>
      </c>
      <c r="U605" s="27" t="str">
        <f>_xlfn.XLOOKUP(表格1[[#This Row],[服務類別(英)]],參考2_服務標準對照!$B:$B,參考2_服務標準對照!$C:$C,"")&amp;""</f>
        <v>OGC</v>
      </c>
      <c r="V605" s="29" t="s">
        <v>7</v>
      </c>
      <c r="W605" s="29" t="s">
        <v>163</v>
      </c>
      <c r="X605" s="29" t="s">
        <v>81</v>
      </c>
      <c r="Y605" s="36" t="s">
        <v>83</v>
      </c>
      <c r="Z605" s="36" t="s">
        <v>157</v>
      </c>
      <c r="AA605" s="36" t="s">
        <v>1159</v>
      </c>
      <c r="AB605" s="36"/>
      <c r="AC605" s="36"/>
      <c r="AD605" s="29" t="s">
        <v>119</v>
      </c>
      <c r="AE605" s="36" t="str">
        <f>_xlfn.XLOOKUP(表格1[[#This Row],[唯一識別碼]],API清冊0707!B:B,API清冊0707!T:T,"")&amp;""</f>
        <v>無下拉選單</v>
      </c>
    </row>
    <row r="606" spans="1:31" ht="204.75" customHeight="1" x14ac:dyDescent="0.4">
      <c r="A606" s="29" t="s">
        <v>2572</v>
      </c>
      <c r="B606" s="29"/>
      <c r="C606" s="29"/>
      <c r="D606" s="29" t="s">
        <v>2573</v>
      </c>
      <c r="E606" s="29" t="s">
        <v>2574</v>
      </c>
      <c r="F606" s="29" t="s">
        <v>2575</v>
      </c>
      <c r="G606" s="35"/>
      <c r="H606" s="35" t="s">
        <v>151</v>
      </c>
      <c r="I606" s="29" t="s">
        <v>2572</v>
      </c>
      <c r="J606" s="37"/>
      <c r="K606" s="38"/>
      <c r="L606" s="38"/>
      <c r="M606" s="36" t="s">
        <v>60</v>
      </c>
      <c r="N606" s="15" t="s">
        <v>152</v>
      </c>
      <c r="O606" s="36" t="s">
        <v>162</v>
      </c>
      <c r="P606" s="36" t="str">
        <f t="shared" si="18"/>
        <v>WMTS_1/1000地形圖_南投縣水里都市計畫(95-98年)</v>
      </c>
      <c r="Q606" s="29" t="s">
        <v>2575</v>
      </c>
      <c r="R606" s="29" t="str">
        <f t="shared" si="19"/>
        <v>2dms_wmts_v1_TOPO01K_M12</v>
      </c>
      <c r="S606" s="39" t="s">
        <v>155</v>
      </c>
      <c r="U606" s="27" t="str">
        <f>_xlfn.XLOOKUP(表格1[[#This Row],[服務類別(英)]],參考2_服務標準對照!$B:$B,參考2_服務標準對照!$C:$C,"")&amp;""</f>
        <v>OGC</v>
      </c>
      <c r="V606" s="29" t="s">
        <v>7</v>
      </c>
      <c r="W606" s="29" t="s">
        <v>163</v>
      </c>
      <c r="X606" s="29" t="s">
        <v>81</v>
      </c>
      <c r="Y606" s="36" t="s">
        <v>83</v>
      </c>
      <c r="Z606" s="36" t="s">
        <v>157</v>
      </c>
      <c r="AA606" s="36" t="s">
        <v>1159</v>
      </c>
      <c r="AB606" s="36"/>
      <c r="AC606" s="36"/>
      <c r="AD606" s="29" t="s">
        <v>119</v>
      </c>
      <c r="AE606" s="36" t="str">
        <f>_xlfn.XLOOKUP(表格1[[#This Row],[唯一識別碼]],API清冊0707!B:B,API清冊0707!T:T,"")&amp;""</f>
        <v>無下拉選單</v>
      </c>
    </row>
    <row r="607" spans="1:31" ht="204.75" customHeight="1" x14ac:dyDescent="0.4">
      <c r="A607" s="29" t="s">
        <v>2576</v>
      </c>
      <c r="B607" s="29"/>
      <c r="C607" s="29"/>
      <c r="D607" s="29" t="s">
        <v>2577</v>
      </c>
      <c r="E607" s="29" t="s">
        <v>2578</v>
      </c>
      <c r="F607" s="29" t="s">
        <v>2579</v>
      </c>
      <c r="G607" s="35"/>
      <c r="H607" s="35" t="s">
        <v>151</v>
      </c>
      <c r="I607" s="29" t="s">
        <v>2576</v>
      </c>
      <c r="J607" s="37"/>
      <c r="K607" s="38"/>
      <c r="L607" s="38"/>
      <c r="M607" s="36" t="s">
        <v>60</v>
      </c>
      <c r="N607" s="15" t="s">
        <v>152</v>
      </c>
      <c r="O607" s="36" t="s">
        <v>162</v>
      </c>
      <c r="P607" s="36" t="str">
        <f t="shared" si="18"/>
        <v>WMTS_1/1000地形圖_南投縣東埔風景特定區計畫(93-98年)</v>
      </c>
      <c r="Q607" s="29" t="s">
        <v>2579</v>
      </c>
      <c r="R607" s="29" t="str">
        <f t="shared" si="19"/>
        <v>2dms_wmts_v1_TOPO01K_M11</v>
      </c>
      <c r="S607" s="39" t="s">
        <v>155</v>
      </c>
      <c r="U607" s="27" t="str">
        <f>_xlfn.XLOOKUP(表格1[[#This Row],[服務類別(英)]],參考2_服務標準對照!$B:$B,參考2_服務標準對照!$C:$C,"")&amp;""</f>
        <v>OGC</v>
      </c>
      <c r="V607" s="29" t="s">
        <v>7</v>
      </c>
      <c r="W607" s="29" t="s">
        <v>163</v>
      </c>
      <c r="X607" s="29" t="s">
        <v>81</v>
      </c>
      <c r="Y607" s="36" t="s">
        <v>83</v>
      </c>
      <c r="Z607" s="36" t="s">
        <v>157</v>
      </c>
      <c r="AA607" s="36" t="s">
        <v>1159</v>
      </c>
      <c r="AB607" s="36"/>
      <c r="AC607" s="36"/>
      <c r="AD607" s="29" t="s">
        <v>119</v>
      </c>
      <c r="AE607" s="36" t="str">
        <f>_xlfn.XLOOKUP(表格1[[#This Row],[唯一識別碼]],API清冊0707!B:B,API清冊0707!T:T,"")&amp;""</f>
        <v>無下拉選單</v>
      </c>
    </row>
    <row r="608" spans="1:31" ht="204.75" customHeight="1" x14ac:dyDescent="0.4">
      <c r="A608" s="29" t="s">
        <v>2580</v>
      </c>
      <c r="B608" s="29"/>
      <c r="C608" s="29"/>
      <c r="D608" s="29" t="s">
        <v>2581</v>
      </c>
      <c r="E608" s="29" t="s">
        <v>2582</v>
      </c>
      <c r="F608" s="29" t="s">
        <v>2583</v>
      </c>
      <c r="G608" s="35"/>
      <c r="H608" s="35" t="s">
        <v>151</v>
      </c>
      <c r="I608" s="29" t="s">
        <v>2580</v>
      </c>
      <c r="J608" s="37"/>
      <c r="K608" s="38"/>
      <c r="L608" s="38"/>
      <c r="M608" s="36" t="s">
        <v>60</v>
      </c>
      <c r="N608" s="15" t="s">
        <v>152</v>
      </c>
      <c r="O608" s="36" t="s">
        <v>162</v>
      </c>
      <c r="P608" s="36" t="str">
        <f t="shared" si="18"/>
        <v>WMTS_1/1000地形圖_南投縣日月潭特定區計畫(93-98年)</v>
      </c>
      <c r="Q608" s="29" t="s">
        <v>2583</v>
      </c>
      <c r="R608" s="29" t="str">
        <f t="shared" si="19"/>
        <v>2dms_wmts_v1_TOPO01K_M10</v>
      </c>
      <c r="S608" s="39" t="s">
        <v>155</v>
      </c>
      <c r="U608" s="27" t="str">
        <f>_xlfn.XLOOKUP(表格1[[#This Row],[服務類別(英)]],參考2_服務標準對照!$B:$B,參考2_服務標準對照!$C:$C,"")&amp;""</f>
        <v>OGC</v>
      </c>
      <c r="V608" s="29" t="s">
        <v>7</v>
      </c>
      <c r="W608" s="29" t="s">
        <v>163</v>
      </c>
      <c r="X608" s="29" t="s">
        <v>81</v>
      </c>
      <c r="Y608" s="36" t="s">
        <v>83</v>
      </c>
      <c r="Z608" s="36" t="s">
        <v>157</v>
      </c>
      <c r="AA608" s="36" t="s">
        <v>1159</v>
      </c>
      <c r="AB608" s="36"/>
      <c r="AC608" s="36"/>
      <c r="AD608" s="29" t="s">
        <v>119</v>
      </c>
      <c r="AE608" s="36" t="str">
        <f>_xlfn.XLOOKUP(表格1[[#This Row],[唯一識別碼]],API清冊0707!B:B,API清冊0707!T:T,"")&amp;""</f>
        <v>無下拉選單</v>
      </c>
    </row>
    <row r="609" spans="1:31" ht="204.75" customHeight="1" x14ac:dyDescent="0.4">
      <c r="A609" s="29" t="s">
        <v>2584</v>
      </c>
      <c r="B609" s="29"/>
      <c r="C609" s="29"/>
      <c r="D609" s="29" t="s">
        <v>2585</v>
      </c>
      <c r="E609" s="29" t="s">
        <v>2586</v>
      </c>
      <c r="F609" s="29" t="s">
        <v>2587</v>
      </c>
      <c r="G609" s="35"/>
      <c r="H609" s="35" t="s">
        <v>151</v>
      </c>
      <c r="I609" s="29" t="s">
        <v>2584</v>
      </c>
      <c r="J609" s="37"/>
      <c r="K609" s="38"/>
      <c r="L609" s="38"/>
      <c r="M609" s="36" t="s">
        <v>60</v>
      </c>
      <c r="N609" s="15" t="s">
        <v>152</v>
      </c>
      <c r="O609" s="36" t="s">
        <v>162</v>
      </c>
      <c r="P609" s="36" t="str">
        <f t="shared" si="18"/>
        <v>WMTS_1/1000地形圖_南投縣廬山風景特定區計畫(93-98年)</v>
      </c>
      <c r="Q609" s="29" t="s">
        <v>2587</v>
      </c>
      <c r="R609" s="29" t="str">
        <f t="shared" si="19"/>
        <v>2dms_wmts_v1_TOPO01K_M09</v>
      </c>
      <c r="S609" s="39" t="s">
        <v>155</v>
      </c>
      <c r="U609" s="27" t="str">
        <f>_xlfn.XLOOKUP(表格1[[#This Row],[服務類別(英)]],參考2_服務標準對照!$B:$B,參考2_服務標準對照!$C:$C,"")&amp;""</f>
        <v>OGC</v>
      </c>
      <c r="V609" s="29" t="s">
        <v>7</v>
      </c>
      <c r="W609" s="29" t="s">
        <v>163</v>
      </c>
      <c r="X609" s="29" t="s">
        <v>81</v>
      </c>
      <c r="Y609" s="36" t="s">
        <v>83</v>
      </c>
      <c r="Z609" s="36" t="s">
        <v>157</v>
      </c>
      <c r="AA609" s="36" t="s">
        <v>1159</v>
      </c>
      <c r="AB609" s="36"/>
      <c r="AC609" s="36"/>
      <c r="AD609" s="29" t="s">
        <v>119</v>
      </c>
      <c r="AE609" s="36" t="str">
        <f>_xlfn.XLOOKUP(表格1[[#This Row],[唯一識別碼]],API清冊0707!B:B,API清冊0707!T:T,"")&amp;""</f>
        <v>無下拉選單</v>
      </c>
    </row>
    <row r="610" spans="1:31" ht="204.75" customHeight="1" x14ac:dyDescent="0.4">
      <c r="A610" s="29" t="s">
        <v>2588</v>
      </c>
      <c r="B610" s="29"/>
      <c r="C610" s="29"/>
      <c r="D610" s="29" t="s">
        <v>2589</v>
      </c>
      <c r="E610" s="29" t="s">
        <v>2590</v>
      </c>
      <c r="F610" s="29" t="s">
        <v>2591</v>
      </c>
      <c r="G610" s="35"/>
      <c r="H610" s="35" t="s">
        <v>151</v>
      </c>
      <c r="I610" s="29" t="s">
        <v>2588</v>
      </c>
      <c r="J610" s="37"/>
      <c r="K610" s="38"/>
      <c r="L610" s="38"/>
      <c r="M610" s="36" t="s">
        <v>60</v>
      </c>
      <c r="N610" s="15" t="s">
        <v>152</v>
      </c>
      <c r="O610" s="36" t="s">
        <v>162</v>
      </c>
      <c r="P610" s="36" t="str">
        <f t="shared" si="18"/>
        <v>WMTS_1/1000地形圖_南投縣埔里都市計畫(94-98年)</v>
      </c>
      <c r="Q610" s="29" t="s">
        <v>2591</v>
      </c>
      <c r="R610" s="29" t="str">
        <f t="shared" si="19"/>
        <v>2dms_wmts_v1_TOPO01K_M08</v>
      </c>
      <c r="S610" s="39" t="s">
        <v>155</v>
      </c>
      <c r="U610" s="27" t="str">
        <f>_xlfn.XLOOKUP(表格1[[#This Row],[服務類別(英)]],參考2_服務標準對照!$B:$B,參考2_服務標準對照!$C:$C,"")&amp;""</f>
        <v>OGC</v>
      </c>
      <c r="V610" s="29" t="s">
        <v>7</v>
      </c>
      <c r="W610" s="29" t="s">
        <v>163</v>
      </c>
      <c r="X610" s="29" t="s">
        <v>81</v>
      </c>
      <c r="Y610" s="36" t="s">
        <v>83</v>
      </c>
      <c r="Z610" s="36" t="s">
        <v>157</v>
      </c>
      <c r="AA610" s="36" t="s">
        <v>1159</v>
      </c>
      <c r="AB610" s="36"/>
      <c r="AC610" s="36"/>
      <c r="AD610" s="29" t="s">
        <v>119</v>
      </c>
      <c r="AE610" s="36" t="str">
        <f>_xlfn.XLOOKUP(表格1[[#This Row],[唯一識別碼]],API清冊0707!B:B,API清冊0707!T:T,"")&amp;""</f>
        <v>無下拉選單</v>
      </c>
    </row>
    <row r="611" spans="1:31" ht="204.75" customHeight="1" x14ac:dyDescent="0.4">
      <c r="A611" s="29" t="s">
        <v>2592</v>
      </c>
      <c r="B611" s="29"/>
      <c r="C611" s="29"/>
      <c r="D611" s="29" t="s">
        <v>2593</v>
      </c>
      <c r="E611" s="29" t="s">
        <v>2594</v>
      </c>
      <c r="F611" s="29" t="s">
        <v>2595</v>
      </c>
      <c r="G611" s="35"/>
      <c r="H611" s="35" t="s">
        <v>151</v>
      </c>
      <c r="I611" s="29" t="s">
        <v>2592</v>
      </c>
      <c r="J611" s="37"/>
      <c r="K611" s="38"/>
      <c r="L611" s="38"/>
      <c r="M611" s="36" t="s">
        <v>60</v>
      </c>
      <c r="N611" s="15" t="s">
        <v>152</v>
      </c>
      <c r="O611" s="36" t="s">
        <v>162</v>
      </c>
      <c r="P611" s="36" t="str">
        <f t="shared" si="18"/>
        <v>WMTS_1/1000地形圖_南投縣國姓都市計畫(93-98年)</v>
      </c>
      <c r="Q611" s="29" t="s">
        <v>2595</v>
      </c>
      <c r="R611" s="29" t="str">
        <f t="shared" si="19"/>
        <v>2dms_wmts_v1_TOPO01K_M07</v>
      </c>
      <c r="S611" s="39" t="s">
        <v>155</v>
      </c>
      <c r="U611" s="27" t="str">
        <f>_xlfn.XLOOKUP(表格1[[#This Row],[服務類別(英)]],參考2_服務標準對照!$B:$B,參考2_服務標準對照!$C:$C,"")&amp;""</f>
        <v>OGC</v>
      </c>
      <c r="V611" s="29" t="s">
        <v>7</v>
      </c>
      <c r="W611" s="29" t="s">
        <v>163</v>
      </c>
      <c r="X611" s="29" t="s">
        <v>81</v>
      </c>
      <c r="Y611" s="36" t="s">
        <v>83</v>
      </c>
      <c r="Z611" s="36" t="s">
        <v>157</v>
      </c>
      <c r="AA611" s="36" t="s">
        <v>1159</v>
      </c>
      <c r="AB611" s="36"/>
      <c r="AC611" s="36"/>
      <c r="AD611" s="29" t="s">
        <v>119</v>
      </c>
      <c r="AE611" s="36" t="str">
        <f>_xlfn.XLOOKUP(表格1[[#This Row],[唯一識別碼]],API清冊0707!B:B,API清冊0707!T:T,"")&amp;""</f>
        <v>無下拉選單</v>
      </c>
    </row>
    <row r="612" spans="1:31" ht="204.75" customHeight="1" x14ac:dyDescent="0.4">
      <c r="A612" s="29" t="s">
        <v>2596</v>
      </c>
      <c r="B612" s="29"/>
      <c r="C612" s="29"/>
      <c r="D612" s="29" t="s">
        <v>2597</v>
      </c>
      <c r="E612" s="29" t="s">
        <v>2598</v>
      </c>
      <c r="F612" s="29" t="s">
        <v>2599</v>
      </c>
      <c r="G612" s="35"/>
      <c r="H612" s="35" t="s">
        <v>151</v>
      </c>
      <c r="I612" s="29" t="s">
        <v>2596</v>
      </c>
      <c r="J612" s="37"/>
      <c r="K612" s="38"/>
      <c r="L612" s="38"/>
      <c r="M612" s="36" t="s">
        <v>60</v>
      </c>
      <c r="N612" s="15" t="s">
        <v>152</v>
      </c>
      <c r="O612" s="36" t="s">
        <v>162</v>
      </c>
      <c r="P612" s="36" t="str">
        <f t="shared" si="18"/>
        <v>WMTS_1/1000地形圖_南投縣名間都市計畫(95-98年)</v>
      </c>
      <c r="Q612" s="29" t="s">
        <v>2599</v>
      </c>
      <c r="R612" s="29" t="str">
        <f t="shared" si="19"/>
        <v>2dms_wmts_v1_TOPO01K_M06</v>
      </c>
      <c r="S612" s="39" t="s">
        <v>155</v>
      </c>
      <c r="U612" s="27" t="str">
        <f>_xlfn.XLOOKUP(表格1[[#This Row],[服務類別(英)]],參考2_服務標準對照!$B:$B,參考2_服務標準對照!$C:$C,"")&amp;""</f>
        <v>OGC</v>
      </c>
      <c r="V612" s="29" t="s">
        <v>7</v>
      </c>
      <c r="W612" s="29" t="s">
        <v>163</v>
      </c>
      <c r="X612" s="29" t="s">
        <v>81</v>
      </c>
      <c r="Y612" s="36" t="s">
        <v>83</v>
      </c>
      <c r="Z612" s="36" t="s">
        <v>157</v>
      </c>
      <c r="AA612" s="36" t="s">
        <v>1159</v>
      </c>
      <c r="AB612" s="36"/>
      <c r="AC612" s="36"/>
      <c r="AD612" s="29" t="s">
        <v>119</v>
      </c>
      <c r="AE612" s="36" t="str">
        <f>_xlfn.XLOOKUP(表格1[[#This Row],[唯一識別碼]],API清冊0707!B:B,API清冊0707!T:T,"")&amp;""</f>
        <v>無下拉選單</v>
      </c>
    </row>
    <row r="613" spans="1:31" ht="204.75" customHeight="1" x14ac:dyDescent="0.4">
      <c r="A613" s="29" t="s">
        <v>2600</v>
      </c>
      <c r="B613" s="29"/>
      <c r="C613" s="29"/>
      <c r="D613" s="29" t="s">
        <v>2601</v>
      </c>
      <c r="E613" s="29" t="s">
        <v>2602</v>
      </c>
      <c r="F613" s="29" t="s">
        <v>2603</v>
      </c>
      <c r="G613" s="35"/>
      <c r="H613" s="35" t="s">
        <v>151</v>
      </c>
      <c r="I613" s="29" t="s">
        <v>2600</v>
      </c>
      <c r="J613" s="37"/>
      <c r="K613" s="38"/>
      <c r="L613" s="38"/>
      <c r="M613" s="36" t="s">
        <v>60</v>
      </c>
      <c r="N613" s="15" t="s">
        <v>152</v>
      </c>
      <c r="O613" s="36" t="s">
        <v>162</v>
      </c>
      <c r="P613" s="36" t="str">
        <f t="shared" si="18"/>
        <v>WMTS_1/1000地形圖_南投縣南投都市計畫(南投(94-98年)</v>
      </c>
      <c r="Q613" s="29" t="s">
        <v>2603</v>
      </c>
      <c r="R613" s="29" t="str">
        <f t="shared" si="19"/>
        <v>2dms_wmts_v1_TOPO01K_M05</v>
      </c>
      <c r="S613" s="39" t="s">
        <v>155</v>
      </c>
      <c r="U613" s="27" t="str">
        <f>_xlfn.XLOOKUP(表格1[[#This Row],[服務類別(英)]],參考2_服務標準對照!$B:$B,參考2_服務標準對照!$C:$C,"")&amp;""</f>
        <v>OGC</v>
      </c>
      <c r="V613" s="29" t="s">
        <v>7</v>
      </c>
      <c r="W613" s="29" t="s">
        <v>163</v>
      </c>
      <c r="X613" s="29" t="s">
        <v>81</v>
      </c>
      <c r="Y613" s="36" t="s">
        <v>83</v>
      </c>
      <c r="Z613" s="36" t="s">
        <v>157</v>
      </c>
      <c r="AA613" s="36" t="s">
        <v>1159</v>
      </c>
      <c r="AB613" s="36"/>
      <c r="AC613" s="36"/>
      <c r="AD613" s="29" t="s">
        <v>119</v>
      </c>
      <c r="AE613" s="36" t="str">
        <f>_xlfn.XLOOKUP(表格1[[#This Row],[唯一識別碼]],API清冊0707!B:B,API清冊0707!T:T,"")&amp;""</f>
        <v>無下拉選單</v>
      </c>
    </row>
    <row r="614" spans="1:31" ht="204.75" customHeight="1" x14ac:dyDescent="0.4">
      <c r="A614" s="29" t="s">
        <v>2604</v>
      </c>
      <c r="B614" s="29"/>
      <c r="C614" s="29"/>
      <c r="D614" s="29" t="s">
        <v>2605</v>
      </c>
      <c r="E614" s="29" t="s">
        <v>2606</v>
      </c>
      <c r="F614" s="29" t="s">
        <v>2607</v>
      </c>
      <c r="G614" s="35"/>
      <c r="H614" s="35" t="s">
        <v>151</v>
      </c>
      <c r="I614" s="29" t="s">
        <v>2604</v>
      </c>
      <c r="J614" s="37"/>
      <c r="K614" s="38"/>
      <c r="L614" s="38"/>
      <c r="M614" s="36" t="s">
        <v>60</v>
      </c>
      <c r="N614" s="15" t="s">
        <v>152</v>
      </c>
      <c r="O614" s="36" t="s">
        <v>162</v>
      </c>
      <c r="P614" s="36" t="str">
        <f t="shared" si="18"/>
        <v>WMTS_1/1000地形圖_南投縣南投都市計畫(南崗(94-98年)</v>
      </c>
      <c r="Q614" s="29" t="s">
        <v>2607</v>
      </c>
      <c r="R614" s="29" t="str">
        <f t="shared" si="19"/>
        <v>2dms_wmts_v1_TOPO01K_M04</v>
      </c>
      <c r="S614" s="39" t="s">
        <v>155</v>
      </c>
      <c r="U614" s="27" t="str">
        <f>_xlfn.XLOOKUP(表格1[[#This Row],[服務類別(英)]],參考2_服務標準對照!$B:$B,參考2_服務標準對照!$C:$C,"")&amp;""</f>
        <v>OGC</v>
      </c>
      <c r="V614" s="29" t="s">
        <v>7</v>
      </c>
      <c r="W614" s="29" t="s">
        <v>163</v>
      </c>
      <c r="X614" s="29" t="s">
        <v>81</v>
      </c>
      <c r="Y614" s="36" t="s">
        <v>83</v>
      </c>
      <c r="Z614" s="36" t="s">
        <v>157</v>
      </c>
      <c r="AA614" s="36" t="s">
        <v>1159</v>
      </c>
      <c r="AB614" s="36"/>
      <c r="AC614" s="36"/>
      <c r="AD614" s="29" t="s">
        <v>119</v>
      </c>
      <c r="AE614" s="36" t="str">
        <f>_xlfn.XLOOKUP(表格1[[#This Row],[唯一識別碼]],API清冊0707!B:B,API清冊0707!T:T,"")&amp;""</f>
        <v>無下拉選單</v>
      </c>
    </row>
    <row r="615" spans="1:31" ht="204.75" customHeight="1" x14ac:dyDescent="0.4">
      <c r="A615" s="29" t="s">
        <v>2608</v>
      </c>
      <c r="B615" s="29"/>
      <c r="C615" s="29"/>
      <c r="D615" s="29" t="s">
        <v>2609</v>
      </c>
      <c r="E615" s="29" t="s">
        <v>2610</v>
      </c>
      <c r="F615" s="29" t="s">
        <v>2611</v>
      </c>
      <c r="G615" s="35"/>
      <c r="H615" s="35" t="s">
        <v>151</v>
      </c>
      <c r="I615" s="29" t="s">
        <v>2608</v>
      </c>
      <c r="J615" s="37"/>
      <c r="K615" s="38"/>
      <c r="L615" s="38"/>
      <c r="M615" s="36" t="s">
        <v>60</v>
      </c>
      <c r="N615" s="15" t="s">
        <v>152</v>
      </c>
      <c r="O615" s="36" t="s">
        <v>162</v>
      </c>
      <c r="P615" s="36" t="str">
        <f t="shared" si="18"/>
        <v>WMTS_1/1000地形圖_南投縣八卦山脈風景特定區計畫(93-98年)</v>
      </c>
      <c r="Q615" s="29" t="s">
        <v>2611</v>
      </c>
      <c r="R615" s="29" t="str">
        <f t="shared" si="19"/>
        <v>2dms_wmts_v1_TOPO01K_M03</v>
      </c>
      <c r="S615" s="39" t="s">
        <v>155</v>
      </c>
      <c r="U615" s="27" t="str">
        <f>_xlfn.XLOOKUP(表格1[[#This Row],[服務類別(英)]],參考2_服務標準對照!$B:$B,參考2_服務標準對照!$C:$C,"")&amp;""</f>
        <v>OGC</v>
      </c>
      <c r="V615" s="29" t="s">
        <v>7</v>
      </c>
      <c r="W615" s="29" t="s">
        <v>163</v>
      </c>
      <c r="X615" s="29" t="s">
        <v>81</v>
      </c>
      <c r="Y615" s="36" t="s">
        <v>83</v>
      </c>
      <c r="Z615" s="36" t="s">
        <v>157</v>
      </c>
      <c r="AA615" s="36" t="s">
        <v>1159</v>
      </c>
      <c r="AB615" s="36"/>
      <c r="AC615" s="36"/>
      <c r="AD615" s="29" t="s">
        <v>119</v>
      </c>
      <c r="AE615" s="36" t="str">
        <f>_xlfn.XLOOKUP(表格1[[#This Row],[唯一識別碼]],API清冊0707!B:B,API清冊0707!T:T,"")&amp;""</f>
        <v>無下拉選單</v>
      </c>
    </row>
    <row r="616" spans="1:31" ht="204.75" customHeight="1" x14ac:dyDescent="0.4">
      <c r="A616" s="29" t="s">
        <v>2612</v>
      </c>
      <c r="B616" s="29"/>
      <c r="C616" s="29"/>
      <c r="D616" s="29" t="s">
        <v>2613</v>
      </c>
      <c r="E616" s="29" t="s">
        <v>2614</v>
      </c>
      <c r="F616" s="29" t="s">
        <v>2615</v>
      </c>
      <c r="G616" s="35"/>
      <c r="H616" s="35" t="s">
        <v>151</v>
      </c>
      <c r="I616" s="29" t="s">
        <v>2612</v>
      </c>
      <c r="J616" s="37"/>
      <c r="K616" s="38"/>
      <c r="L616" s="38"/>
      <c r="M616" s="36" t="s">
        <v>60</v>
      </c>
      <c r="N616" s="15" t="s">
        <v>152</v>
      </c>
      <c r="O616" s="36" t="s">
        <v>162</v>
      </c>
      <c r="P616" s="36" t="str">
        <f t="shared" si="18"/>
        <v>WMTS_1/1000地形圖_南投縣中興新村都市計畫(102年)</v>
      </c>
      <c r="Q616" s="29" t="s">
        <v>2615</v>
      </c>
      <c r="R616" s="29" t="str">
        <f t="shared" si="19"/>
        <v>2dms_wmts_v1_TOPO01K_M02</v>
      </c>
      <c r="S616" s="39" t="s">
        <v>155</v>
      </c>
      <c r="U616" s="27" t="str">
        <f>_xlfn.XLOOKUP(表格1[[#This Row],[服務類別(英)]],參考2_服務標準對照!$B:$B,參考2_服務標準對照!$C:$C,"")&amp;""</f>
        <v>OGC</v>
      </c>
      <c r="V616" s="29" t="s">
        <v>7</v>
      </c>
      <c r="W616" s="29" t="s">
        <v>163</v>
      </c>
      <c r="X616" s="29" t="s">
        <v>81</v>
      </c>
      <c r="Y616" s="36" t="s">
        <v>83</v>
      </c>
      <c r="Z616" s="36" t="s">
        <v>157</v>
      </c>
      <c r="AA616" s="36" t="s">
        <v>1159</v>
      </c>
      <c r="AB616" s="36"/>
      <c r="AC616" s="36"/>
      <c r="AD616" s="29" t="s">
        <v>119</v>
      </c>
      <c r="AE616" s="36" t="str">
        <f>_xlfn.XLOOKUP(表格1[[#This Row],[唯一識別碼]],API清冊0707!B:B,API清冊0707!T:T,"")&amp;""</f>
        <v>無下拉選單</v>
      </c>
    </row>
    <row r="617" spans="1:31" ht="204.75" customHeight="1" x14ac:dyDescent="0.4">
      <c r="A617" s="29" t="s">
        <v>2616</v>
      </c>
      <c r="B617" s="29"/>
      <c r="C617" s="29"/>
      <c r="D617" s="29" t="s">
        <v>2617</v>
      </c>
      <c r="E617" s="29" t="s">
        <v>2618</v>
      </c>
      <c r="F617" s="29" t="s">
        <v>2619</v>
      </c>
      <c r="G617" s="35"/>
      <c r="H617" s="35" t="s">
        <v>151</v>
      </c>
      <c r="I617" s="29" t="s">
        <v>2616</v>
      </c>
      <c r="J617" s="37"/>
      <c r="K617" s="38"/>
      <c r="L617" s="38"/>
      <c r="M617" s="36" t="s">
        <v>60</v>
      </c>
      <c r="N617" s="15" t="s">
        <v>152</v>
      </c>
      <c r="O617" s="36" t="s">
        <v>162</v>
      </c>
      <c r="P617" s="36" t="str">
        <f t="shared" si="18"/>
        <v>WMTS_1/1000地形圖_南投縣中寮都市計畫(95-98年)</v>
      </c>
      <c r="Q617" s="29" t="s">
        <v>2619</v>
      </c>
      <c r="R617" s="29" t="str">
        <f t="shared" si="19"/>
        <v>2dms_wmts_v1_TOPO01K_M01</v>
      </c>
      <c r="S617" s="39" t="s">
        <v>155</v>
      </c>
      <c r="U617" s="27" t="str">
        <f>_xlfn.XLOOKUP(表格1[[#This Row],[服務類別(英)]],參考2_服務標準對照!$B:$B,參考2_服務標準對照!$C:$C,"")&amp;""</f>
        <v>OGC</v>
      </c>
      <c r="V617" s="29" t="s">
        <v>7</v>
      </c>
      <c r="W617" s="29" t="s">
        <v>163</v>
      </c>
      <c r="X617" s="29" t="s">
        <v>81</v>
      </c>
      <c r="Y617" s="36" t="s">
        <v>83</v>
      </c>
      <c r="Z617" s="36" t="s">
        <v>157</v>
      </c>
      <c r="AA617" s="36" t="s">
        <v>1159</v>
      </c>
      <c r="AB617" s="36"/>
      <c r="AC617" s="36"/>
      <c r="AD617" s="29" t="s">
        <v>119</v>
      </c>
      <c r="AE617" s="36" t="str">
        <f>_xlfn.XLOOKUP(表格1[[#This Row],[唯一識別碼]],API清冊0707!B:B,API清冊0707!T:T,"")&amp;""</f>
        <v>無下拉選單</v>
      </c>
    </row>
    <row r="618" spans="1:31" ht="204.75" customHeight="1" x14ac:dyDescent="0.4">
      <c r="A618" s="29" t="s">
        <v>2620</v>
      </c>
      <c r="B618" s="29"/>
      <c r="C618" s="29"/>
      <c r="D618" s="29" t="s">
        <v>2621</v>
      </c>
      <c r="E618" s="29" t="s">
        <v>2622</v>
      </c>
      <c r="F618" s="29" t="s">
        <v>2623</v>
      </c>
      <c r="G618" s="35"/>
      <c r="H618" s="35" t="s">
        <v>151</v>
      </c>
      <c r="I618" s="29" t="s">
        <v>2620</v>
      </c>
      <c r="J618" s="37"/>
      <c r="K618" s="38"/>
      <c r="L618" s="38"/>
      <c r="M618" s="36" t="s">
        <v>60</v>
      </c>
      <c r="N618" s="15" t="s">
        <v>152</v>
      </c>
      <c r="O618" s="36" t="s">
        <v>162</v>
      </c>
      <c r="P618" s="36" t="str">
        <f t="shared" si="18"/>
        <v>WMTS_1/1000地形圖_苗栗縣高速鐵路苗栗車站特定區計畫(92年)</v>
      </c>
      <c r="Q618" s="29" t="s">
        <v>2623</v>
      </c>
      <c r="R618" s="29" t="str">
        <f t="shared" si="19"/>
        <v>2dms_wmts_v1_TOPO01K_K18</v>
      </c>
      <c r="S618" s="39" t="s">
        <v>155</v>
      </c>
      <c r="U618" s="27" t="str">
        <f>_xlfn.XLOOKUP(表格1[[#This Row],[服務類別(英)]],參考2_服務標準對照!$B:$B,參考2_服務標準對照!$C:$C,"")&amp;""</f>
        <v>OGC</v>
      </c>
      <c r="V618" s="29" t="s">
        <v>7</v>
      </c>
      <c r="W618" s="29" t="s">
        <v>163</v>
      </c>
      <c r="X618" s="29" t="s">
        <v>81</v>
      </c>
      <c r="Y618" s="36" t="s">
        <v>83</v>
      </c>
      <c r="Z618" s="36" t="s">
        <v>157</v>
      </c>
      <c r="AA618" s="36" t="s">
        <v>1159</v>
      </c>
      <c r="AB618" s="36"/>
      <c r="AC618" s="36"/>
      <c r="AD618" s="29" t="s">
        <v>119</v>
      </c>
      <c r="AE618" s="36" t="str">
        <f>_xlfn.XLOOKUP(表格1[[#This Row],[唯一識別碼]],API清冊0707!B:B,API清冊0707!T:T,"")&amp;""</f>
        <v>無下拉選單</v>
      </c>
    </row>
    <row r="619" spans="1:31" ht="204.75" customHeight="1" x14ac:dyDescent="0.4">
      <c r="A619" s="29" t="s">
        <v>2624</v>
      </c>
      <c r="B619" s="29"/>
      <c r="C619" s="29"/>
      <c r="D619" s="29" t="s">
        <v>2625</v>
      </c>
      <c r="E619" s="29" t="s">
        <v>2626</v>
      </c>
      <c r="F619" s="29" t="s">
        <v>2627</v>
      </c>
      <c r="G619" s="35"/>
      <c r="H619" s="35" t="s">
        <v>151</v>
      </c>
      <c r="I619" s="29" t="s">
        <v>2624</v>
      </c>
      <c r="J619" s="37"/>
      <c r="K619" s="38"/>
      <c r="L619" s="38"/>
      <c r="M619" s="36" t="s">
        <v>60</v>
      </c>
      <c r="N619" s="15" t="s">
        <v>152</v>
      </c>
      <c r="O619" s="36" t="s">
        <v>162</v>
      </c>
      <c r="P619" s="36" t="str">
        <f t="shared" si="18"/>
        <v>WMTS_1/1000地形圖_苗栗縣造橋都市計畫(97年)</v>
      </c>
      <c r="Q619" s="29" t="s">
        <v>2627</v>
      </c>
      <c r="R619" s="29" t="str">
        <f t="shared" si="19"/>
        <v>2dms_wmts_v1_TOPO01K_K17</v>
      </c>
      <c r="S619" s="39" t="s">
        <v>155</v>
      </c>
      <c r="U619" s="27" t="str">
        <f>_xlfn.XLOOKUP(表格1[[#This Row],[服務類別(英)]],參考2_服務標準對照!$B:$B,參考2_服務標準對照!$C:$C,"")&amp;""</f>
        <v>OGC</v>
      </c>
      <c r="V619" s="29" t="s">
        <v>7</v>
      </c>
      <c r="W619" s="29" t="s">
        <v>163</v>
      </c>
      <c r="X619" s="29" t="s">
        <v>81</v>
      </c>
      <c r="Y619" s="36" t="s">
        <v>83</v>
      </c>
      <c r="Z619" s="36" t="s">
        <v>157</v>
      </c>
      <c r="AA619" s="36" t="s">
        <v>1159</v>
      </c>
      <c r="AB619" s="36"/>
      <c r="AC619" s="36"/>
      <c r="AD619" s="29" t="s">
        <v>119</v>
      </c>
      <c r="AE619" s="36" t="str">
        <f>_xlfn.XLOOKUP(表格1[[#This Row],[唯一識別碼]],API清冊0707!B:B,API清冊0707!T:T,"")&amp;""</f>
        <v>無下拉選單</v>
      </c>
    </row>
    <row r="620" spans="1:31" ht="204.75" customHeight="1" x14ac:dyDescent="0.4">
      <c r="A620" s="29" t="s">
        <v>2628</v>
      </c>
      <c r="B620" s="29"/>
      <c r="C620" s="29"/>
      <c r="D620" s="29" t="s">
        <v>2629</v>
      </c>
      <c r="E620" s="29" t="s">
        <v>2630</v>
      </c>
      <c r="F620" s="29" t="s">
        <v>2631</v>
      </c>
      <c r="G620" s="35"/>
      <c r="H620" s="35" t="s">
        <v>151</v>
      </c>
      <c r="I620" s="29" t="s">
        <v>2628</v>
      </c>
      <c r="J620" s="37"/>
      <c r="K620" s="38"/>
      <c r="L620" s="38"/>
      <c r="M620" s="36" t="s">
        <v>60</v>
      </c>
      <c r="N620" s="15" t="s">
        <v>152</v>
      </c>
      <c r="O620" s="36" t="s">
        <v>162</v>
      </c>
      <c r="P620" s="36" t="str">
        <f t="shared" si="18"/>
        <v>WMTS_1/1000地形圖_苗栗縣苗栗都市計畫(93年)</v>
      </c>
      <c r="Q620" s="29" t="s">
        <v>2631</v>
      </c>
      <c r="R620" s="29" t="str">
        <f t="shared" si="19"/>
        <v>2dms_wmts_v1_TOPO01K_K16</v>
      </c>
      <c r="S620" s="39" t="s">
        <v>155</v>
      </c>
      <c r="U620" s="27" t="str">
        <f>_xlfn.XLOOKUP(表格1[[#This Row],[服務類別(英)]],參考2_服務標準對照!$B:$B,參考2_服務標準對照!$C:$C,"")&amp;""</f>
        <v>OGC</v>
      </c>
      <c r="V620" s="29" t="s">
        <v>7</v>
      </c>
      <c r="W620" s="29" t="s">
        <v>163</v>
      </c>
      <c r="X620" s="29" t="s">
        <v>81</v>
      </c>
      <c r="Y620" s="36" t="s">
        <v>83</v>
      </c>
      <c r="Z620" s="36" t="s">
        <v>157</v>
      </c>
      <c r="AA620" s="36" t="s">
        <v>1159</v>
      </c>
      <c r="AB620" s="36"/>
      <c r="AC620" s="36"/>
      <c r="AD620" s="29" t="s">
        <v>119</v>
      </c>
      <c r="AE620" s="36" t="str">
        <f>_xlfn.XLOOKUP(表格1[[#This Row],[唯一識別碼]],API清冊0707!B:B,API清冊0707!T:T,"")&amp;""</f>
        <v>無下拉選單</v>
      </c>
    </row>
    <row r="621" spans="1:31" ht="204.75" customHeight="1" x14ac:dyDescent="0.4">
      <c r="A621" s="29" t="s">
        <v>2632</v>
      </c>
      <c r="B621" s="29"/>
      <c r="C621" s="29"/>
      <c r="D621" s="29" t="s">
        <v>2633</v>
      </c>
      <c r="E621" s="29" t="s">
        <v>2634</v>
      </c>
      <c r="F621" s="29" t="s">
        <v>2635</v>
      </c>
      <c r="G621" s="35"/>
      <c r="H621" s="35" t="s">
        <v>151</v>
      </c>
      <c r="I621" s="29" t="s">
        <v>2632</v>
      </c>
      <c r="J621" s="37"/>
      <c r="K621" s="38"/>
      <c r="L621" s="38"/>
      <c r="M621" s="36" t="s">
        <v>60</v>
      </c>
      <c r="N621" s="15" t="s">
        <v>152</v>
      </c>
      <c r="O621" s="36" t="s">
        <v>162</v>
      </c>
      <c r="P621" s="36" t="str">
        <f t="shared" si="18"/>
        <v>WMTS_1/1000地形圖_苗栗縣頭屋都市計畫(98年)</v>
      </c>
      <c r="Q621" s="29" t="s">
        <v>2635</v>
      </c>
      <c r="R621" s="29" t="str">
        <f t="shared" si="19"/>
        <v>2dms_wmts_v1_TOPO01K_K15</v>
      </c>
      <c r="S621" s="39" t="s">
        <v>155</v>
      </c>
      <c r="U621" s="27" t="str">
        <f>_xlfn.XLOOKUP(表格1[[#This Row],[服務類別(英)]],參考2_服務標準對照!$B:$B,參考2_服務標準對照!$C:$C,"")&amp;""</f>
        <v>OGC</v>
      </c>
      <c r="V621" s="29" t="s">
        <v>7</v>
      </c>
      <c r="W621" s="29" t="s">
        <v>163</v>
      </c>
      <c r="X621" s="29" t="s">
        <v>81</v>
      </c>
      <c r="Y621" s="36" t="s">
        <v>83</v>
      </c>
      <c r="Z621" s="36" t="s">
        <v>157</v>
      </c>
      <c r="AA621" s="36" t="s">
        <v>1159</v>
      </c>
      <c r="AB621" s="36"/>
      <c r="AC621" s="36"/>
      <c r="AD621" s="29" t="s">
        <v>119</v>
      </c>
      <c r="AE621" s="36" t="str">
        <f>_xlfn.XLOOKUP(表格1[[#This Row],[唯一識別碼]],API清冊0707!B:B,API清冊0707!T:T,"")&amp;""</f>
        <v>無下拉選單</v>
      </c>
    </row>
    <row r="622" spans="1:31" ht="204.75" customHeight="1" x14ac:dyDescent="0.4">
      <c r="A622" s="29" t="s">
        <v>2636</v>
      </c>
      <c r="B622" s="29"/>
      <c r="C622" s="29"/>
      <c r="D622" s="29" t="s">
        <v>2637</v>
      </c>
      <c r="E622" s="29" t="s">
        <v>2638</v>
      </c>
      <c r="F622" s="29" t="s">
        <v>2639</v>
      </c>
      <c r="G622" s="35"/>
      <c r="H622" s="35" t="s">
        <v>151</v>
      </c>
      <c r="I622" s="29" t="s">
        <v>2636</v>
      </c>
      <c r="J622" s="37"/>
      <c r="K622" s="38"/>
      <c r="L622" s="38"/>
      <c r="M622" s="36" t="s">
        <v>60</v>
      </c>
      <c r="N622" s="15" t="s">
        <v>152</v>
      </c>
      <c r="O622" s="36" t="s">
        <v>162</v>
      </c>
      <c r="P622" s="36" t="str">
        <f t="shared" si="18"/>
        <v>WMTS_1/1000地形圖_苗栗縣頭份交流道特定區計畫(96年)</v>
      </c>
      <c r="Q622" s="29" t="s">
        <v>2639</v>
      </c>
      <c r="R622" s="29" t="str">
        <f t="shared" si="19"/>
        <v>2dms_wmts_v1_TOPO01K_K14</v>
      </c>
      <c r="S622" s="39" t="s">
        <v>155</v>
      </c>
      <c r="U622" s="27" t="str">
        <f>_xlfn.XLOOKUP(表格1[[#This Row],[服務類別(英)]],參考2_服務標準對照!$B:$B,參考2_服務標準對照!$C:$C,"")&amp;""</f>
        <v>OGC</v>
      </c>
      <c r="V622" s="29" t="s">
        <v>7</v>
      </c>
      <c r="W622" s="29" t="s">
        <v>163</v>
      </c>
      <c r="X622" s="29" t="s">
        <v>81</v>
      </c>
      <c r="Y622" s="36" t="s">
        <v>83</v>
      </c>
      <c r="Z622" s="36" t="s">
        <v>157</v>
      </c>
      <c r="AA622" s="36" t="s">
        <v>1159</v>
      </c>
      <c r="AB622" s="36"/>
      <c r="AC622" s="36"/>
      <c r="AD622" s="29" t="s">
        <v>119</v>
      </c>
      <c r="AE622" s="36" t="str">
        <f>_xlfn.XLOOKUP(表格1[[#This Row],[唯一識別碼]],API清冊0707!B:B,API清冊0707!T:T,"")&amp;""</f>
        <v>無下拉選單</v>
      </c>
    </row>
    <row r="623" spans="1:31" ht="204.75" customHeight="1" x14ac:dyDescent="0.4">
      <c r="A623" s="29" t="s">
        <v>2640</v>
      </c>
      <c r="B623" s="29"/>
      <c r="C623" s="29"/>
      <c r="D623" s="29" t="s">
        <v>2641</v>
      </c>
      <c r="E623" s="29" t="s">
        <v>2642</v>
      </c>
      <c r="F623" s="29" t="s">
        <v>2643</v>
      </c>
      <c r="G623" s="35"/>
      <c r="H623" s="35" t="s">
        <v>151</v>
      </c>
      <c r="I623" s="29" t="s">
        <v>2640</v>
      </c>
      <c r="J623" s="37"/>
      <c r="K623" s="38"/>
      <c r="L623" s="38"/>
      <c r="M623" s="36" t="s">
        <v>60</v>
      </c>
      <c r="N623" s="15" t="s">
        <v>152</v>
      </c>
      <c r="O623" s="36" t="s">
        <v>162</v>
      </c>
      <c r="P623" s="36" t="str">
        <f t="shared" si="18"/>
        <v>WMTS_1/1000地形圖_苗栗縣銅鑼都市計畫(98年)</v>
      </c>
      <c r="Q623" s="29" t="s">
        <v>2643</v>
      </c>
      <c r="R623" s="29" t="str">
        <f t="shared" si="19"/>
        <v>2dms_wmts_v1_TOPO01K_K13</v>
      </c>
      <c r="S623" s="39" t="s">
        <v>155</v>
      </c>
      <c r="U623" s="27" t="str">
        <f>_xlfn.XLOOKUP(表格1[[#This Row],[服務類別(英)]],參考2_服務標準對照!$B:$B,參考2_服務標準對照!$C:$C,"")&amp;""</f>
        <v>OGC</v>
      </c>
      <c r="V623" s="29" t="s">
        <v>7</v>
      </c>
      <c r="W623" s="29" t="s">
        <v>163</v>
      </c>
      <c r="X623" s="29" t="s">
        <v>81</v>
      </c>
      <c r="Y623" s="36" t="s">
        <v>83</v>
      </c>
      <c r="Z623" s="36" t="s">
        <v>157</v>
      </c>
      <c r="AA623" s="36" t="s">
        <v>1159</v>
      </c>
      <c r="AB623" s="36"/>
      <c r="AC623" s="36"/>
      <c r="AD623" s="29" t="s">
        <v>119</v>
      </c>
      <c r="AE623" s="36" t="str">
        <f>_xlfn.XLOOKUP(表格1[[#This Row],[唯一識別碼]],API清冊0707!B:B,API清冊0707!T:T,"")&amp;""</f>
        <v>無下拉選單</v>
      </c>
    </row>
    <row r="624" spans="1:31" ht="204.75" customHeight="1" x14ac:dyDescent="0.4">
      <c r="A624" s="29" t="s">
        <v>2644</v>
      </c>
      <c r="B624" s="29"/>
      <c r="C624" s="29"/>
      <c r="D624" s="29" t="s">
        <v>2645</v>
      </c>
      <c r="E624" s="29" t="s">
        <v>2646</v>
      </c>
      <c r="F624" s="29" t="s">
        <v>2647</v>
      </c>
      <c r="G624" s="35"/>
      <c r="H624" s="35" t="s">
        <v>151</v>
      </c>
      <c r="I624" s="29" t="s">
        <v>2644</v>
      </c>
      <c r="J624" s="37"/>
      <c r="K624" s="38"/>
      <c r="L624" s="38"/>
      <c r="M624" s="36" t="s">
        <v>60</v>
      </c>
      <c r="N624" s="15" t="s">
        <v>152</v>
      </c>
      <c r="O624" s="36" t="s">
        <v>162</v>
      </c>
      <c r="P624" s="36" t="str">
        <f t="shared" si="18"/>
        <v>WMTS_1/1000地形圖_苗栗縣通霄都市計畫(98年)</v>
      </c>
      <c r="Q624" s="29" t="s">
        <v>2647</v>
      </c>
      <c r="R624" s="29" t="str">
        <f t="shared" si="19"/>
        <v>2dms_wmts_v1_TOPO01K_K12</v>
      </c>
      <c r="S624" s="39" t="s">
        <v>155</v>
      </c>
      <c r="U624" s="27" t="str">
        <f>_xlfn.XLOOKUP(表格1[[#This Row],[服務類別(英)]],參考2_服務標準對照!$B:$B,參考2_服務標準對照!$C:$C,"")&amp;""</f>
        <v>OGC</v>
      </c>
      <c r="V624" s="29" t="s">
        <v>7</v>
      </c>
      <c r="W624" s="29" t="s">
        <v>163</v>
      </c>
      <c r="X624" s="29" t="s">
        <v>81</v>
      </c>
      <c r="Y624" s="36" t="s">
        <v>83</v>
      </c>
      <c r="Z624" s="36" t="s">
        <v>157</v>
      </c>
      <c r="AA624" s="36" t="s">
        <v>1159</v>
      </c>
      <c r="AB624" s="36"/>
      <c r="AC624" s="36"/>
      <c r="AD624" s="29" t="s">
        <v>119</v>
      </c>
      <c r="AE624" s="36" t="str">
        <f>_xlfn.XLOOKUP(表格1[[#This Row],[唯一識別碼]],API清冊0707!B:B,API清冊0707!T:T,"")&amp;""</f>
        <v>無下拉選單</v>
      </c>
    </row>
    <row r="625" spans="1:31" ht="204.75" customHeight="1" x14ac:dyDescent="0.4">
      <c r="A625" s="29" t="s">
        <v>2648</v>
      </c>
      <c r="B625" s="29"/>
      <c r="C625" s="29"/>
      <c r="D625" s="29" t="s">
        <v>2649</v>
      </c>
      <c r="E625" s="29" t="s">
        <v>2650</v>
      </c>
      <c r="F625" s="29" t="s">
        <v>2651</v>
      </c>
      <c r="G625" s="35"/>
      <c r="H625" s="35" t="s">
        <v>151</v>
      </c>
      <c r="I625" s="29" t="s">
        <v>2648</v>
      </c>
      <c r="J625" s="37"/>
      <c r="K625" s="38"/>
      <c r="L625" s="38"/>
      <c r="M625" s="36" t="s">
        <v>60</v>
      </c>
      <c r="N625" s="15" t="s">
        <v>152</v>
      </c>
      <c r="O625" s="36" t="s">
        <v>162</v>
      </c>
      <c r="P625" s="36" t="str">
        <f t="shared" si="18"/>
        <v>WMTS_1/1000地形圖_苗栗縣苑裡都市計畫(98年)</v>
      </c>
      <c r="Q625" s="29" t="s">
        <v>2651</v>
      </c>
      <c r="R625" s="29" t="str">
        <f t="shared" si="19"/>
        <v>2dms_wmts_v1_TOPO01K_K11</v>
      </c>
      <c r="S625" s="39" t="s">
        <v>155</v>
      </c>
      <c r="U625" s="27" t="str">
        <f>_xlfn.XLOOKUP(表格1[[#This Row],[服務類別(英)]],參考2_服務標準對照!$B:$B,參考2_服務標準對照!$C:$C,"")&amp;""</f>
        <v>OGC</v>
      </c>
      <c r="V625" s="29" t="s">
        <v>7</v>
      </c>
      <c r="W625" s="29" t="s">
        <v>163</v>
      </c>
      <c r="X625" s="29" t="s">
        <v>81</v>
      </c>
      <c r="Y625" s="36" t="s">
        <v>83</v>
      </c>
      <c r="Z625" s="36" t="s">
        <v>157</v>
      </c>
      <c r="AA625" s="36" t="s">
        <v>1159</v>
      </c>
      <c r="AB625" s="36"/>
      <c r="AC625" s="36"/>
      <c r="AD625" s="29" t="s">
        <v>119</v>
      </c>
      <c r="AE625" s="36" t="str">
        <f>_xlfn.XLOOKUP(表格1[[#This Row],[唯一識別碼]],API清冊0707!B:B,API清冊0707!T:T,"")&amp;""</f>
        <v>無下拉選單</v>
      </c>
    </row>
    <row r="626" spans="1:31" ht="204.75" customHeight="1" x14ac:dyDescent="0.4">
      <c r="A626" s="29" t="s">
        <v>2652</v>
      </c>
      <c r="B626" s="29"/>
      <c r="C626" s="29"/>
      <c r="D626" s="29" t="s">
        <v>2653</v>
      </c>
      <c r="E626" s="29" t="s">
        <v>2654</v>
      </c>
      <c r="F626" s="29" t="s">
        <v>2655</v>
      </c>
      <c r="G626" s="35"/>
      <c r="H626" s="35" t="s">
        <v>151</v>
      </c>
      <c r="I626" s="29" t="s">
        <v>2652</v>
      </c>
      <c r="J626" s="37"/>
      <c r="K626" s="38"/>
      <c r="L626" s="38"/>
      <c r="M626" s="36" t="s">
        <v>60</v>
      </c>
      <c r="N626" s="15" t="s">
        <v>152</v>
      </c>
      <c r="O626" s="36" t="s">
        <v>162</v>
      </c>
      <c r="P626" s="36" t="str">
        <f t="shared" si="18"/>
        <v>WMTS_1/1000地形圖_苗栗縣竹南頭份都市計畫(94年)</v>
      </c>
      <c r="Q626" s="29" t="s">
        <v>2655</v>
      </c>
      <c r="R626" s="29" t="str">
        <f t="shared" si="19"/>
        <v>2dms_wmts_v1_TOPO01K_K10</v>
      </c>
      <c r="S626" s="39" t="s">
        <v>155</v>
      </c>
      <c r="U626" s="27" t="str">
        <f>_xlfn.XLOOKUP(表格1[[#This Row],[服務類別(英)]],參考2_服務標準對照!$B:$B,參考2_服務標準對照!$C:$C,"")&amp;""</f>
        <v>OGC</v>
      </c>
      <c r="V626" s="29" t="s">
        <v>7</v>
      </c>
      <c r="W626" s="29" t="s">
        <v>163</v>
      </c>
      <c r="X626" s="29" t="s">
        <v>81</v>
      </c>
      <c r="Y626" s="36" t="s">
        <v>83</v>
      </c>
      <c r="Z626" s="36" t="s">
        <v>157</v>
      </c>
      <c r="AA626" s="36" t="s">
        <v>1159</v>
      </c>
      <c r="AB626" s="36"/>
      <c r="AC626" s="36"/>
      <c r="AD626" s="29" t="s">
        <v>119</v>
      </c>
      <c r="AE626" s="36" t="str">
        <f>_xlfn.XLOOKUP(表格1[[#This Row],[唯一識別碼]],API清冊0707!B:B,API清冊0707!T:T,"")&amp;""</f>
        <v>無下拉選單</v>
      </c>
    </row>
    <row r="627" spans="1:31" ht="204.75" customHeight="1" x14ac:dyDescent="0.4">
      <c r="A627" s="29" t="s">
        <v>2656</v>
      </c>
      <c r="B627" s="29"/>
      <c r="C627" s="29"/>
      <c r="D627" s="29" t="s">
        <v>2657</v>
      </c>
      <c r="E627" s="29" t="s">
        <v>2658</v>
      </c>
      <c r="F627" s="29" t="s">
        <v>2659</v>
      </c>
      <c r="G627" s="35"/>
      <c r="H627" s="35" t="s">
        <v>151</v>
      </c>
      <c r="I627" s="29" t="s">
        <v>2656</v>
      </c>
      <c r="J627" s="37"/>
      <c r="K627" s="38"/>
      <c r="L627" s="38"/>
      <c r="M627" s="36" t="s">
        <v>60</v>
      </c>
      <c r="N627" s="15" t="s">
        <v>152</v>
      </c>
      <c r="O627" s="36" t="s">
        <v>162</v>
      </c>
      <c r="P627" s="36" t="str">
        <f t="shared" si="18"/>
        <v>WMTS_1/1000地形圖_苗栗縣明德水庫特定區計畫(93年)</v>
      </c>
      <c r="Q627" s="29" t="s">
        <v>2659</v>
      </c>
      <c r="R627" s="29" t="str">
        <f t="shared" si="19"/>
        <v>2dms_wmts_v1_TOPO01K_K09</v>
      </c>
      <c r="S627" s="39" t="s">
        <v>155</v>
      </c>
      <c r="U627" s="27" t="str">
        <f>_xlfn.XLOOKUP(表格1[[#This Row],[服務類別(英)]],參考2_服務標準對照!$B:$B,參考2_服務標準對照!$C:$C,"")&amp;""</f>
        <v>OGC</v>
      </c>
      <c r="V627" s="29" t="s">
        <v>7</v>
      </c>
      <c r="W627" s="29" t="s">
        <v>163</v>
      </c>
      <c r="X627" s="29" t="s">
        <v>81</v>
      </c>
      <c r="Y627" s="36" t="s">
        <v>83</v>
      </c>
      <c r="Z627" s="36" t="s">
        <v>157</v>
      </c>
      <c r="AA627" s="36" t="s">
        <v>1159</v>
      </c>
      <c r="AB627" s="36"/>
      <c r="AC627" s="36"/>
      <c r="AD627" s="29" t="s">
        <v>119</v>
      </c>
      <c r="AE627" s="36" t="str">
        <f>_xlfn.XLOOKUP(表格1[[#This Row],[唯一識別碼]],API清冊0707!B:B,API清冊0707!T:T,"")&amp;""</f>
        <v>無下拉選單</v>
      </c>
    </row>
    <row r="628" spans="1:31" ht="204.75" customHeight="1" x14ac:dyDescent="0.4">
      <c r="A628" s="29" t="s">
        <v>2660</v>
      </c>
      <c r="B628" s="29"/>
      <c r="C628" s="29"/>
      <c r="D628" s="29" t="s">
        <v>2661</v>
      </c>
      <c r="E628" s="29" t="s">
        <v>2662</v>
      </c>
      <c r="F628" s="29" t="s">
        <v>2663</v>
      </c>
      <c r="G628" s="35"/>
      <c r="H628" s="35" t="s">
        <v>151</v>
      </c>
      <c r="I628" s="29" t="s">
        <v>2660</v>
      </c>
      <c r="J628" s="37"/>
      <c r="K628" s="38"/>
      <c r="L628" s="38"/>
      <c r="M628" s="36" t="s">
        <v>60</v>
      </c>
      <c r="N628" s="15" t="s">
        <v>152</v>
      </c>
      <c r="O628" s="36" t="s">
        <v>162</v>
      </c>
      <c r="P628" s="36" t="str">
        <f t="shared" si="18"/>
        <v>WMTS_1/1000地形圖_苗栗縣新竹科學園區竹南基地特定區計畫(95年)</v>
      </c>
      <c r="Q628" s="29" t="s">
        <v>2663</v>
      </c>
      <c r="R628" s="29" t="str">
        <f t="shared" si="19"/>
        <v>2dms_wmts_v1_TOPO01K_K08</v>
      </c>
      <c r="S628" s="39" t="s">
        <v>155</v>
      </c>
      <c r="U628" s="27" t="str">
        <f>_xlfn.XLOOKUP(表格1[[#This Row],[服務類別(英)]],參考2_服務標準對照!$B:$B,參考2_服務標準對照!$C:$C,"")&amp;""</f>
        <v>OGC</v>
      </c>
      <c r="V628" s="29" t="s">
        <v>7</v>
      </c>
      <c r="W628" s="29" t="s">
        <v>163</v>
      </c>
      <c r="X628" s="29" t="s">
        <v>81</v>
      </c>
      <c r="Y628" s="36" t="s">
        <v>83</v>
      </c>
      <c r="Z628" s="36" t="s">
        <v>157</v>
      </c>
      <c r="AA628" s="36" t="s">
        <v>1159</v>
      </c>
      <c r="AB628" s="36"/>
      <c r="AC628" s="36"/>
      <c r="AD628" s="29" t="s">
        <v>119</v>
      </c>
      <c r="AE628" s="36" t="str">
        <f>_xlfn.XLOOKUP(表格1[[#This Row],[唯一識別碼]],API清冊0707!B:B,API清冊0707!T:T,"")&amp;""</f>
        <v>無下拉選單</v>
      </c>
    </row>
    <row r="629" spans="1:31" ht="204.75" customHeight="1" x14ac:dyDescent="0.4">
      <c r="A629" s="29" t="s">
        <v>2664</v>
      </c>
      <c r="B629" s="29"/>
      <c r="C629" s="29"/>
      <c r="D629" s="29" t="s">
        <v>2665</v>
      </c>
      <c r="E629" s="29" t="s">
        <v>2666</v>
      </c>
      <c r="F629" s="29" t="s">
        <v>2667</v>
      </c>
      <c r="G629" s="35"/>
      <c r="H629" s="35" t="s">
        <v>151</v>
      </c>
      <c r="I629" s="29" t="s">
        <v>2664</v>
      </c>
      <c r="J629" s="37"/>
      <c r="K629" s="38"/>
      <c r="L629" s="38"/>
      <c r="M629" s="36" t="s">
        <v>60</v>
      </c>
      <c r="N629" s="15" t="s">
        <v>152</v>
      </c>
      <c r="O629" s="36" t="s">
        <v>162</v>
      </c>
      <c r="P629" s="36" t="str">
        <f t="shared" si="18"/>
        <v>WMTS_1/1000地形圖_苗栗縣後龍都市計畫(97年)</v>
      </c>
      <c r="Q629" s="29" t="s">
        <v>2667</v>
      </c>
      <c r="R629" s="29" t="str">
        <f t="shared" si="19"/>
        <v>2dms_wmts_v1_TOPO01K_K07</v>
      </c>
      <c r="S629" s="39" t="s">
        <v>155</v>
      </c>
      <c r="U629" s="27" t="str">
        <f>_xlfn.XLOOKUP(表格1[[#This Row],[服務類別(英)]],參考2_服務標準對照!$B:$B,參考2_服務標準對照!$C:$C,"")&amp;""</f>
        <v>OGC</v>
      </c>
      <c r="V629" s="29" t="s">
        <v>7</v>
      </c>
      <c r="W629" s="29" t="s">
        <v>163</v>
      </c>
      <c r="X629" s="29" t="s">
        <v>81</v>
      </c>
      <c r="Y629" s="36" t="s">
        <v>83</v>
      </c>
      <c r="Z629" s="36" t="s">
        <v>157</v>
      </c>
      <c r="AA629" s="36" t="s">
        <v>1159</v>
      </c>
      <c r="AB629" s="36"/>
      <c r="AC629" s="36"/>
      <c r="AD629" s="29" t="s">
        <v>119</v>
      </c>
      <c r="AE629" s="36" t="str">
        <f>_xlfn.XLOOKUP(表格1[[#This Row],[唯一識別碼]],API清冊0707!B:B,API清冊0707!T:T,"")&amp;""</f>
        <v>無下拉選單</v>
      </c>
    </row>
    <row r="630" spans="1:31" ht="204.75" customHeight="1" x14ac:dyDescent="0.4">
      <c r="A630" s="29" t="s">
        <v>2668</v>
      </c>
      <c r="B630" s="29"/>
      <c r="C630" s="29"/>
      <c r="D630" s="29" t="s">
        <v>2669</v>
      </c>
      <c r="E630" s="29" t="s">
        <v>2670</v>
      </c>
      <c r="F630" s="29" t="s">
        <v>2671</v>
      </c>
      <c r="G630" s="35"/>
      <c r="H630" s="35" t="s">
        <v>151</v>
      </c>
      <c r="I630" s="29" t="s">
        <v>2668</v>
      </c>
      <c r="J630" s="37"/>
      <c r="K630" s="38"/>
      <c r="L630" s="38"/>
      <c r="M630" s="36" t="s">
        <v>60</v>
      </c>
      <c r="N630" s="15" t="s">
        <v>152</v>
      </c>
      <c r="O630" s="36" t="s">
        <v>162</v>
      </c>
      <c r="P630" s="36" t="str">
        <f t="shared" si="18"/>
        <v>WMTS_1/1000地形圖_苗栗縣後龍外埔漁港特定區計畫(95年)</v>
      </c>
      <c r="Q630" s="29" t="s">
        <v>2671</v>
      </c>
      <c r="R630" s="29" t="str">
        <f t="shared" si="19"/>
        <v>2dms_wmts_v1_TOPO01K_K06</v>
      </c>
      <c r="S630" s="39" t="s">
        <v>155</v>
      </c>
      <c r="U630" s="27" t="str">
        <f>_xlfn.XLOOKUP(表格1[[#This Row],[服務類別(英)]],參考2_服務標準對照!$B:$B,參考2_服務標準對照!$C:$C,"")&amp;""</f>
        <v>OGC</v>
      </c>
      <c r="V630" s="29" t="s">
        <v>7</v>
      </c>
      <c r="W630" s="29" t="s">
        <v>163</v>
      </c>
      <c r="X630" s="29" t="s">
        <v>81</v>
      </c>
      <c r="Y630" s="36" t="s">
        <v>83</v>
      </c>
      <c r="Z630" s="36" t="s">
        <v>157</v>
      </c>
      <c r="AA630" s="36" t="s">
        <v>1159</v>
      </c>
      <c r="AB630" s="36"/>
      <c r="AC630" s="36"/>
      <c r="AD630" s="29" t="s">
        <v>119</v>
      </c>
      <c r="AE630" s="36" t="str">
        <f>_xlfn.XLOOKUP(表格1[[#This Row],[唯一識別碼]],API清冊0707!B:B,API清冊0707!T:T,"")&amp;""</f>
        <v>無下拉選單</v>
      </c>
    </row>
    <row r="631" spans="1:31" ht="204.75" customHeight="1" x14ac:dyDescent="0.4">
      <c r="A631" s="29" t="s">
        <v>2672</v>
      </c>
      <c r="B631" s="29"/>
      <c r="C631" s="29"/>
      <c r="D631" s="29" t="s">
        <v>2673</v>
      </c>
      <c r="E631" s="29" t="s">
        <v>2674</v>
      </c>
      <c r="F631" s="29" t="s">
        <v>2675</v>
      </c>
      <c r="G631" s="35"/>
      <c r="H631" s="35" t="s">
        <v>151</v>
      </c>
      <c r="I631" s="29" t="s">
        <v>2672</v>
      </c>
      <c r="J631" s="37"/>
      <c r="K631" s="38"/>
      <c r="L631" s="38"/>
      <c r="M631" s="36" t="s">
        <v>60</v>
      </c>
      <c r="N631" s="15" t="s">
        <v>152</v>
      </c>
      <c r="O631" s="36" t="s">
        <v>162</v>
      </c>
      <c r="P631" s="36" t="str">
        <f t="shared" ref="P631:P694" si="20">IF(LEN(TRIM(F631))&gt;0,F631,E631)</f>
        <v>WMTS_1/1000地形圖_苗栗縣大湖都市計畫(95年)</v>
      </c>
      <c r="Q631" s="29" t="s">
        <v>2675</v>
      </c>
      <c r="R631" s="29" t="str">
        <f t="shared" ref="R631:R694" si="21">D631</f>
        <v>2dms_wmts_v1_TOPO01K_K05</v>
      </c>
      <c r="S631" s="39" t="s">
        <v>155</v>
      </c>
      <c r="U631" s="27" t="str">
        <f>_xlfn.XLOOKUP(表格1[[#This Row],[服務類別(英)]],參考2_服務標準對照!$B:$B,參考2_服務標準對照!$C:$C,"")&amp;""</f>
        <v>OGC</v>
      </c>
      <c r="V631" s="29" t="s">
        <v>7</v>
      </c>
      <c r="W631" s="29" t="s">
        <v>163</v>
      </c>
      <c r="X631" s="29" t="s">
        <v>81</v>
      </c>
      <c r="Y631" s="36" t="s">
        <v>83</v>
      </c>
      <c r="Z631" s="36" t="s">
        <v>157</v>
      </c>
      <c r="AA631" s="36" t="s">
        <v>1159</v>
      </c>
      <c r="AB631" s="36"/>
      <c r="AC631" s="36"/>
      <c r="AD631" s="29" t="s">
        <v>119</v>
      </c>
      <c r="AE631" s="36" t="str">
        <f>_xlfn.XLOOKUP(表格1[[#This Row],[唯一識別碼]],API清冊0707!B:B,API清冊0707!T:T,"")&amp;""</f>
        <v>無下拉選單</v>
      </c>
    </row>
    <row r="632" spans="1:31" ht="204.75" customHeight="1" x14ac:dyDescent="0.4">
      <c r="A632" s="29" t="s">
        <v>2676</v>
      </c>
      <c r="B632" s="29"/>
      <c r="C632" s="29"/>
      <c r="D632" s="29" t="s">
        <v>2677</v>
      </c>
      <c r="E632" s="29" t="s">
        <v>2678</v>
      </c>
      <c r="F632" s="29" t="s">
        <v>2679</v>
      </c>
      <c r="G632" s="35"/>
      <c r="H632" s="35" t="s">
        <v>151</v>
      </c>
      <c r="I632" s="29" t="s">
        <v>2676</v>
      </c>
      <c r="J632" s="37"/>
      <c r="K632" s="38"/>
      <c r="L632" s="38"/>
      <c r="M632" s="36" t="s">
        <v>60</v>
      </c>
      <c r="N632" s="15" t="s">
        <v>152</v>
      </c>
      <c r="O632" s="36" t="s">
        <v>162</v>
      </c>
      <c r="P632" s="36" t="str">
        <f t="shared" si="20"/>
        <v>WMTS_1/1000地形圖_苗栗縣南庄都市計畫(98年)</v>
      </c>
      <c r="Q632" s="29" t="s">
        <v>2679</v>
      </c>
      <c r="R632" s="29" t="str">
        <f t="shared" si="21"/>
        <v>2dms_wmts_v1_TOPO01K_K04</v>
      </c>
      <c r="S632" s="39" t="s">
        <v>155</v>
      </c>
      <c r="U632" s="27" t="str">
        <f>_xlfn.XLOOKUP(表格1[[#This Row],[服務類別(英)]],參考2_服務標準對照!$B:$B,參考2_服務標準對照!$C:$C,"")&amp;""</f>
        <v>OGC</v>
      </c>
      <c r="V632" s="29" t="s">
        <v>7</v>
      </c>
      <c r="W632" s="29" t="s">
        <v>163</v>
      </c>
      <c r="X632" s="29" t="s">
        <v>81</v>
      </c>
      <c r="Y632" s="36" t="s">
        <v>83</v>
      </c>
      <c r="Z632" s="36" t="s">
        <v>157</v>
      </c>
      <c r="AA632" s="36" t="s">
        <v>1159</v>
      </c>
      <c r="AB632" s="36"/>
      <c r="AC632" s="36"/>
      <c r="AD632" s="29" t="s">
        <v>119</v>
      </c>
      <c r="AE632" s="36" t="str">
        <f>_xlfn.XLOOKUP(表格1[[#This Row],[唯一識別碼]],API清冊0707!B:B,API清冊0707!T:T,"")&amp;""</f>
        <v>無下拉選單</v>
      </c>
    </row>
    <row r="633" spans="1:31" ht="204.75" customHeight="1" x14ac:dyDescent="0.4">
      <c r="A633" s="29" t="s">
        <v>2680</v>
      </c>
      <c r="B633" s="29"/>
      <c r="C633" s="29"/>
      <c r="D633" s="29" t="s">
        <v>2681</v>
      </c>
      <c r="E633" s="29" t="s">
        <v>2682</v>
      </c>
      <c r="F633" s="29" t="s">
        <v>2683</v>
      </c>
      <c r="G633" s="35"/>
      <c r="H633" s="35" t="s">
        <v>151</v>
      </c>
      <c r="I633" s="29" t="s">
        <v>2680</v>
      </c>
      <c r="J633" s="37"/>
      <c r="K633" s="38"/>
      <c r="L633" s="38"/>
      <c r="M633" s="36" t="s">
        <v>60</v>
      </c>
      <c r="N633" s="15" t="s">
        <v>152</v>
      </c>
      <c r="O633" s="36" t="s">
        <v>162</v>
      </c>
      <c r="P633" s="36" t="str">
        <f t="shared" si="20"/>
        <v>WMTS_1/1000地形圖_苗栗縣卓蘭都市計畫(89年)</v>
      </c>
      <c r="Q633" s="29" t="s">
        <v>2683</v>
      </c>
      <c r="R633" s="29" t="str">
        <f t="shared" si="21"/>
        <v>2dms_wmts_v1_TOPO01K_K03</v>
      </c>
      <c r="S633" s="39" t="s">
        <v>155</v>
      </c>
      <c r="U633" s="27" t="str">
        <f>_xlfn.XLOOKUP(表格1[[#This Row],[服務類別(英)]],參考2_服務標準對照!$B:$B,參考2_服務標準對照!$C:$C,"")&amp;""</f>
        <v>OGC</v>
      </c>
      <c r="V633" s="29" t="s">
        <v>7</v>
      </c>
      <c r="W633" s="29" t="s">
        <v>163</v>
      </c>
      <c r="X633" s="29" t="s">
        <v>81</v>
      </c>
      <c r="Y633" s="36" t="s">
        <v>83</v>
      </c>
      <c r="Z633" s="36" t="s">
        <v>157</v>
      </c>
      <c r="AA633" s="36" t="s">
        <v>1159</v>
      </c>
      <c r="AB633" s="36"/>
      <c r="AC633" s="36"/>
      <c r="AD633" s="29" t="s">
        <v>119</v>
      </c>
      <c r="AE633" s="36" t="str">
        <f>_xlfn.XLOOKUP(表格1[[#This Row],[唯一識別碼]],API清冊0707!B:B,API清冊0707!T:T,"")&amp;""</f>
        <v>無下拉選單</v>
      </c>
    </row>
    <row r="634" spans="1:31" ht="204.75" customHeight="1" x14ac:dyDescent="0.4">
      <c r="A634" s="29" t="s">
        <v>2684</v>
      </c>
      <c r="B634" s="29"/>
      <c r="C634" s="29"/>
      <c r="D634" s="29" t="s">
        <v>2685</v>
      </c>
      <c r="E634" s="29" t="s">
        <v>2686</v>
      </c>
      <c r="F634" s="29" t="s">
        <v>2687</v>
      </c>
      <c r="G634" s="35"/>
      <c r="H634" s="35" t="s">
        <v>151</v>
      </c>
      <c r="I634" s="29" t="s">
        <v>2684</v>
      </c>
      <c r="J634" s="37"/>
      <c r="K634" s="38"/>
      <c r="L634" s="38"/>
      <c r="M634" s="36" t="s">
        <v>60</v>
      </c>
      <c r="N634" s="15" t="s">
        <v>152</v>
      </c>
      <c r="O634" s="36" t="s">
        <v>162</v>
      </c>
      <c r="P634" s="36" t="str">
        <f t="shared" si="20"/>
        <v>WMTS_1/1000地形圖_苗栗縣公館都市計畫(98年)</v>
      </c>
      <c r="Q634" s="29" t="s">
        <v>2687</v>
      </c>
      <c r="R634" s="29" t="str">
        <f t="shared" si="21"/>
        <v>2dms_wmts_v1_TOPO01K_K02</v>
      </c>
      <c r="S634" s="39" t="s">
        <v>155</v>
      </c>
      <c r="U634" s="27" t="str">
        <f>_xlfn.XLOOKUP(表格1[[#This Row],[服務類別(英)]],參考2_服務標準對照!$B:$B,參考2_服務標準對照!$C:$C,"")&amp;""</f>
        <v>OGC</v>
      </c>
      <c r="V634" s="29" t="s">
        <v>7</v>
      </c>
      <c r="W634" s="29" t="s">
        <v>163</v>
      </c>
      <c r="X634" s="29" t="s">
        <v>81</v>
      </c>
      <c r="Y634" s="36" t="s">
        <v>83</v>
      </c>
      <c r="Z634" s="36" t="s">
        <v>157</v>
      </c>
      <c r="AA634" s="36" t="s">
        <v>1159</v>
      </c>
      <c r="AB634" s="36"/>
      <c r="AC634" s="36"/>
      <c r="AD634" s="29" t="s">
        <v>119</v>
      </c>
      <c r="AE634" s="36" t="str">
        <f>_xlfn.XLOOKUP(表格1[[#This Row],[唯一識別碼]],API清冊0707!B:B,API清冊0707!T:T,"")&amp;""</f>
        <v>無下拉選單</v>
      </c>
    </row>
    <row r="635" spans="1:31" ht="204.75" customHeight="1" x14ac:dyDescent="0.4">
      <c r="A635" s="29" t="s">
        <v>2688</v>
      </c>
      <c r="B635" s="29"/>
      <c r="C635" s="29"/>
      <c r="D635" s="29" t="s">
        <v>2689</v>
      </c>
      <c r="E635" s="29" t="s">
        <v>2690</v>
      </c>
      <c r="F635" s="29" t="s">
        <v>2691</v>
      </c>
      <c r="G635" s="35"/>
      <c r="H635" s="35" t="s">
        <v>151</v>
      </c>
      <c r="I635" s="29" t="s">
        <v>2688</v>
      </c>
      <c r="J635" s="37"/>
      <c r="K635" s="38"/>
      <c r="L635" s="38"/>
      <c r="M635" s="36" t="s">
        <v>60</v>
      </c>
      <c r="N635" s="15" t="s">
        <v>152</v>
      </c>
      <c r="O635" s="36" t="s">
        <v>162</v>
      </c>
      <c r="P635" s="36" t="str">
        <f t="shared" si="20"/>
        <v>WMTS_1/1000地形圖_苗栗縣三義都市計畫(97年)</v>
      </c>
      <c r="Q635" s="29" t="s">
        <v>2691</v>
      </c>
      <c r="R635" s="29" t="str">
        <f t="shared" si="21"/>
        <v>2dms_wmts_v1_TOPO01K_K01</v>
      </c>
      <c r="S635" s="39" t="s">
        <v>155</v>
      </c>
      <c r="U635" s="27" t="str">
        <f>_xlfn.XLOOKUP(表格1[[#This Row],[服務類別(英)]],參考2_服務標準對照!$B:$B,參考2_服務標準對照!$C:$C,"")&amp;""</f>
        <v>OGC</v>
      </c>
      <c r="V635" s="29" t="s">
        <v>7</v>
      </c>
      <c r="W635" s="29" t="s">
        <v>163</v>
      </c>
      <c r="X635" s="29" t="s">
        <v>81</v>
      </c>
      <c r="Y635" s="36" t="s">
        <v>83</v>
      </c>
      <c r="Z635" s="36" t="s">
        <v>157</v>
      </c>
      <c r="AA635" s="36" t="s">
        <v>1159</v>
      </c>
      <c r="AB635" s="36"/>
      <c r="AC635" s="36"/>
      <c r="AD635" s="29" t="s">
        <v>119</v>
      </c>
      <c r="AE635" s="36" t="str">
        <f>_xlfn.XLOOKUP(表格1[[#This Row],[唯一識別碼]],API清冊0707!B:B,API清冊0707!T:T,"")&amp;""</f>
        <v>無下拉選單</v>
      </c>
    </row>
    <row r="636" spans="1:31" ht="204.75" customHeight="1" x14ac:dyDescent="0.4">
      <c r="A636" s="29" t="s">
        <v>2692</v>
      </c>
      <c r="B636" s="29"/>
      <c r="C636" s="29"/>
      <c r="D636" s="29" t="s">
        <v>2693</v>
      </c>
      <c r="E636" s="29" t="s">
        <v>2694</v>
      </c>
      <c r="F636" s="29" t="s">
        <v>2695</v>
      </c>
      <c r="G636" s="35"/>
      <c r="H636" s="35" t="s">
        <v>151</v>
      </c>
      <c r="I636" s="29" t="s">
        <v>2692</v>
      </c>
      <c r="J636" s="37"/>
      <c r="K636" s="38"/>
      <c r="L636" s="38"/>
      <c r="M636" s="36" t="s">
        <v>60</v>
      </c>
      <c r="N636" s="15" t="s">
        <v>152</v>
      </c>
      <c r="O636" s="36" t="s">
        <v>162</v>
      </c>
      <c r="P636" s="36" t="str">
        <f t="shared" si="20"/>
        <v>WMTS_1/1000地形圖_關西都市計畫(94年)</v>
      </c>
      <c r="Q636" s="29" t="s">
        <v>2695</v>
      </c>
      <c r="R636" s="29" t="str">
        <f t="shared" si="21"/>
        <v>2dms_wmts_v1_TOPO01K_J10</v>
      </c>
      <c r="S636" s="39" t="s">
        <v>155</v>
      </c>
      <c r="U636" s="27" t="str">
        <f>_xlfn.XLOOKUP(表格1[[#This Row],[服務類別(英)]],參考2_服務標準對照!$B:$B,參考2_服務標準對照!$C:$C,"")&amp;""</f>
        <v>OGC</v>
      </c>
      <c r="V636" s="29" t="s">
        <v>7</v>
      </c>
      <c r="W636" s="29" t="s">
        <v>163</v>
      </c>
      <c r="X636" s="29" t="s">
        <v>81</v>
      </c>
      <c r="Y636" s="36" t="s">
        <v>83</v>
      </c>
      <c r="Z636" s="36" t="s">
        <v>157</v>
      </c>
      <c r="AA636" s="36" t="s">
        <v>1159</v>
      </c>
      <c r="AB636" s="36"/>
      <c r="AC636" s="36"/>
      <c r="AD636" s="29" t="s">
        <v>119</v>
      </c>
      <c r="AE636" s="36" t="str">
        <f>_xlfn.XLOOKUP(表格1[[#This Row],[唯一識別碼]],API清冊0707!B:B,API清冊0707!T:T,"")&amp;""</f>
        <v>無下拉選單</v>
      </c>
    </row>
    <row r="637" spans="1:31" ht="204.75" customHeight="1" x14ac:dyDescent="0.4">
      <c r="A637" s="29" t="s">
        <v>2696</v>
      </c>
      <c r="B637" s="29"/>
      <c r="C637" s="29"/>
      <c r="D637" s="29" t="s">
        <v>2697</v>
      </c>
      <c r="E637" s="29" t="s">
        <v>2698</v>
      </c>
      <c r="F637" s="29" t="s">
        <v>2699</v>
      </c>
      <c r="G637" s="35"/>
      <c r="H637" s="35" t="s">
        <v>151</v>
      </c>
      <c r="I637" s="29" t="s">
        <v>2696</v>
      </c>
      <c r="J637" s="37"/>
      <c r="K637" s="38"/>
      <c r="L637" s="38"/>
      <c r="M637" s="36" t="s">
        <v>60</v>
      </c>
      <c r="N637" s="15" t="s">
        <v>152</v>
      </c>
      <c r="O637" s="36" t="s">
        <v>162</v>
      </c>
      <c r="P637" s="36" t="str">
        <f t="shared" si="20"/>
        <v>WMTS_1/1000地形圖_芎林都市計畫(93年)</v>
      </c>
      <c r="Q637" s="29" t="s">
        <v>2699</v>
      </c>
      <c r="R637" s="29" t="str">
        <f t="shared" si="21"/>
        <v>2dms_wmts_v1_TOPO01K_J09</v>
      </c>
      <c r="S637" s="39" t="s">
        <v>155</v>
      </c>
      <c r="U637" s="27" t="str">
        <f>_xlfn.XLOOKUP(表格1[[#This Row],[服務類別(英)]],參考2_服務標準對照!$B:$B,參考2_服務標準對照!$C:$C,"")&amp;""</f>
        <v>OGC</v>
      </c>
      <c r="V637" s="29" t="s">
        <v>7</v>
      </c>
      <c r="W637" s="29" t="s">
        <v>163</v>
      </c>
      <c r="X637" s="29" t="s">
        <v>81</v>
      </c>
      <c r="Y637" s="36" t="s">
        <v>83</v>
      </c>
      <c r="Z637" s="36" t="s">
        <v>157</v>
      </c>
      <c r="AA637" s="36" t="s">
        <v>1159</v>
      </c>
      <c r="AB637" s="36"/>
      <c r="AC637" s="36"/>
      <c r="AD637" s="29" t="s">
        <v>119</v>
      </c>
      <c r="AE637" s="36" t="str">
        <f>_xlfn.XLOOKUP(表格1[[#This Row],[唯一識別碼]],API清冊0707!B:B,API清冊0707!T:T,"")&amp;""</f>
        <v>無下拉選單</v>
      </c>
    </row>
    <row r="638" spans="1:31" ht="204.75" customHeight="1" x14ac:dyDescent="0.4">
      <c r="A638" s="29" t="s">
        <v>2700</v>
      </c>
      <c r="B638" s="29"/>
      <c r="C638" s="29"/>
      <c r="D638" s="29" t="s">
        <v>2701</v>
      </c>
      <c r="E638" s="29" t="s">
        <v>2702</v>
      </c>
      <c r="F638" s="29" t="s">
        <v>2703</v>
      </c>
      <c r="G638" s="35"/>
      <c r="H638" s="35" t="s">
        <v>151</v>
      </c>
      <c r="I638" s="29" t="s">
        <v>2700</v>
      </c>
      <c r="J638" s="37"/>
      <c r="K638" s="38"/>
      <c r="L638" s="38"/>
      <c r="M638" s="36" t="s">
        <v>60</v>
      </c>
      <c r="N638" s="15" t="s">
        <v>152</v>
      </c>
      <c r="O638" s="36" t="s">
        <v>162</v>
      </c>
      <c r="P638" s="36" t="str">
        <f t="shared" si="20"/>
        <v>WMTS_1/1000地形圖_竹東都市計畫(93-94年)</v>
      </c>
      <c r="Q638" s="29" t="s">
        <v>2703</v>
      </c>
      <c r="R638" s="29" t="str">
        <f t="shared" si="21"/>
        <v>2dms_wmts_v1_TOPO01K_J08</v>
      </c>
      <c r="S638" s="39" t="s">
        <v>155</v>
      </c>
      <c r="U638" s="27" t="str">
        <f>_xlfn.XLOOKUP(表格1[[#This Row],[服務類別(英)]],參考2_服務標準對照!$B:$B,參考2_服務標準對照!$C:$C,"")&amp;""</f>
        <v>OGC</v>
      </c>
      <c r="V638" s="29" t="s">
        <v>7</v>
      </c>
      <c r="W638" s="29" t="s">
        <v>163</v>
      </c>
      <c r="X638" s="29" t="s">
        <v>81</v>
      </c>
      <c r="Y638" s="36" t="s">
        <v>83</v>
      </c>
      <c r="Z638" s="36" t="s">
        <v>157</v>
      </c>
      <c r="AA638" s="36" t="s">
        <v>1159</v>
      </c>
      <c r="AB638" s="36"/>
      <c r="AC638" s="36"/>
      <c r="AD638" s="29" t="s">
        <v>119</v>
      </c>
      <c r="AE638" s="36" t="str">
        <f>_xlfn.XLOOKUP(表格1[[#This Row],[唯一識別碼]],API清冊0707!B:B,API清冊0707!T:T,"")&amp;""</f>
        <v>無下拉選單</v>
      </c>
    </row>
    <row r="639" spans="1:31" ht="204.75" customHeight="1" x14ac:dyDescent="0.4">
      <c r="A639" s="29" t="s">
        <v>2704</v>
      </c>
      <c r="B639" s="29"/>
      <c r="C639" s="29"/>
      <c r="D639" s="29" t="s">
        <v>2705</v>
      </c>
      <c r="E639" s="29" t="s">
        <v>2706</v>
      </c>
      <c r="F639" s="29" t="s">
        <v>2707</v>
      </c>
      <c r="G639" s="35"/>
      <c r="H639" s="35" t="s">
        <v>151</v>
      </c>
      <c r="I639" s="29" t="s">
        <v>2704</v>
      </c>
      <c r="J639" s="37"/>
      <c r="K639" s="38"/>
      <c r="L639" s="38"/>
      <c r="M639" s="36" t="s">
        <v>60</v>
      </c>
      <c r="N639" s="15" t="s">
        <v>152</v>
      </c>
      <c r="O639" s="36" t="s">
        <v>162</v>
      </c>
      <c r="P639" s="36" t="str">
        <f t="shared" si="20"/>
        <v>WMTS_1/1000地形圖_竹北都市計畫(93年)</v>
      </c>
      <c r="Q639" s="29" t="s">
        <v>2707</v>
      </c>
      <c r="R639" s="29" t="str">
        <f t="shared" si="21"/>
        <v>2dms_wmts_v1_TOPO01K_J07</v>
      </c>
      <c r="S639" s="39" t="s">
        <v>155</v>
      </c>
      <c r="U639" s="27" t="str">
        <f>_xlfn.XLOOKUP(表格1[[#This Row],[服務類別(英)]],參考2_服務標準對照!$B:$B,參考2_服務標準對照!$C:$C,"")&amp;""</f>
        <v>OGC</v>
      </c>
      <c r="V639" s="29" t="s">
        <v>7</v>
      </c>
      <c r="W639" s="29" t="s">
        <v>163</v>
      </c>
      <c r="X639" s="29" t="s">
        <v>81</v>
      </c>
      <c r="Y639" s="36" t="s">
        <v>83</v>
      </c>
      <c r="Z639" s="36" t="s">
        <v>157</v>
      </c>
      <c r="AA639" s="36" t="s">
        <v>1159</v>
      </c>
      <c r="AB639" s="36"/>
      <c r="AC639" s="36"/>
      <c r="AD639" s="29" t="s">
        <v>119</v>
      </c>
      <c r="AE639" s="36" t="str">
        <f>_xlfn.XLOOKUP(表格1[[#This Row],[唯一識別碼]],API清冊0707!B:B,API清冊0707!T:T,"")&amp;""</f>
        <v>無下拉選單</v>
      </c>
    </row>
    <row r="640" spans="1:31" ht="204.75" customHeight="1" x14ac:dyDescent="0.4">
      <c r="A640" s="29" t="s">
        <v>2708</v>
      </c>
      <c r="B640" s="29"/>
      <c r="C640" s="29"/>
      <c r="D640" s="29" t="s">
        <v>2709</v>
      </c>
      <c r="E640" s="29" t="s">
        <v>2710</v>
      </c>
      <c r="F640" s="29" t="s">
        <v>2711</v>
      </c>
      <c r="G640" s="35"/>
      <c r="H640" s="35" t="s">
        <v>151</v>
      </c>
      <c r="I640" s="29" t="s">
        <v>2708</v>
      </c>
      <c r="J640" s="37"/>
      <c r="K640" s="38"/>
      <c r="L640" s="38"/>
      <c r="M640" s="36" t="s">
        <v>60</v>
      </c>
      <c r="N640" s="15" t="s">
        <v>152</v>
      </c>
      <c r="O640" s="36" t="s">
        <v>162</v>
      </c>
      <c r="P640" s="36" t="str">
        <f t="shared" si="20"/>
        <v>WMTS_1/1000地形圖_湖口都市計畫(94年)</v>
      </c>
      <c r="Q640" s="29" t="s">
        <v>2711</v>
      </c>
      <c r="R640" s="29" t="str">
        <f t="shared" si="21"/>
        <v>2dms_wmts_v1_TOPO01K_J06</v>
      </c>
      <c r="S640" s="39" t="s">
        <v>155</v>
      </c>
      <c r="U640" s="27" t="str">
        <f>_xlfn.XLOOKUP(表格1[[#This Row],[服務類別(英)]],參考2_服務標準對照!$B:$B,參考2_服務標準對照!$C:$C,"")&amp;""</f>
        <v>OGC</v>
      </c>
      <c r="V640" s="29" t="s">
        <v>7</v>
      </c>
      <c r="W640" s="29" t="s">
        <v>163</v>
      </c>
      <c r="X640" s="29" t="s">
        <v>81</v>
      </c>
      <c r="Y640" s="36" t="s">
        <v>83</v>
      </c>
      <c r="Z640" s="36" t="s">
        <v>157</v>
      </c>
      <c r="AA640" s="36" t="s">
        <v>1159</v>
      </c>
      <c r="AB640" s="36"/>
      <c r="AC640" s="36"/>
      <c r="AD640" s="29" t="s">
        <v>119</v>
      </c>
      <c r="AE640" s="36" t="str">
        <f>_xlfn.XLOOKUP(表格1[[#This Row],[唯一識別碼]],API清冊0707!B:B,API清冊0707!T:T,"")&amp;""</f>
        <v>無下拉選單</v>
      </c>
    </row>
    <row r="641" spans="1:31" ht="204.75" customHeight="1" x14ac:dyDescent="0.4">
      <c r="A641" s="29" t="s">
        <v>2712</v>
      </c>
      <c r="B641" s="29"/>
      <c r="C641" s="29"/>
      <c r="D641" s="29" t="s">
        <v>2713</v>
      </c>
      <c r="E641" s="29" t="s">
        <v>2714</v>
      </c>
      <c r="F641" s="29" t="s">
        <v>2715</v>
      </c>
      <c r="G641" s="35"/>
      <c r="H641" s="35" t="s">
        <v>151</v>
      </c>
      <c r="I641" s="29" t="s">
        <v>2712</v>
      </c>
      <c r="J641" s="37"/>
      <c r="K641" s="38"/>
      <c r="L641" s="38"/>
      <c r="M641" s="36" t="s">
        <v>60</v>
      </c>
      <c r="N641" s="15" t="s">
        <v>152</v>
      </c>
      <c r="O641" s="36" t="s">
        <v>162</v>
      </c>
      <c r="P641" s="36" t="str">
        <f t="shared" si="20"/>
        <v>WMTS_1/1000地形圖_新豐(新庄子地區(都市計畫(94年)</v>
      </c>
      <c r="Q641" s="29" t="s">
        <v>2715</v>
      </c>
      <c r="R641" s="29" t="str">
        <f t="shared" si="21"/>
        <v>2dms_wmts_v1_TOPO01K_J05</v>
      </c>
      <c r="S641" s="39" t="s">
        <v>155</v>
      </c>
      <c r="U641" s="27" t="str">
        <f>_xlfn.XLOOKUP(表格1[[#This Row],[服務類別(英)]],參考2_服務標準對照!$B:$B,參考2_服務標準對照!$C:$C,"")&amp;""</f>
        <v>OGC</v>
      </c>
      <c r="V641" s="29" t="s">
        <v>7</v>
      </c>
      <c r="W641" s="29" t="s">
        <v>163</v>
      </c>
      <c r="X641" s="29" t="s">
        <v>81</v>
      </c>
      <c r="Y641" s="36" t="s">
        <v>83</v>
      </c>
      <c r="Z641" s="36" t="s">
        <v>157</v>
      </c>
      <c r="AA641" s="36" t="s">
        <v>1159</v>
      </c>
      <c r="AB641" s="36"/>
      <c r="AC641" s="36"/>
      <c r="AD641" s="29" t="s">
        <v>119</v>
      </c>
      <c r="AE641" s="36" t="str">
        <f>_xlfn.XLOOKUP(表格1[[#This Row],[唯一識別碼]],API清冊0707!B:B,API清冊0707!T:T,"")&amp;""</f>
        <v>無下拉選單</v>
      </c>
    </row>
    <row r="642" spans="1:31" ht="204.75" customHeight="1" x14ac:dyDescent="0.4">
      <c r="A642" s="29" t="s">
        <v>2716</v>
      </c>
      <c r="B642" s="29"/>
      <c r="C642" s="29"/>
      <c r="D642" s="29" t="s">
        <v>2717</v>
      </c>
      <c r="E642" s="29" t="s">
        <v>2718</v>
      </c>
      <c r="F642" s="29" t="s">
        <v>2719</v>
      </c>
      <c r="G642" s="35"/>
      <c r="H642" s="35" t="s">
        <v>151</v>
      </c>
      <c r="I642" s="29" t="s">
        <v>2716</v>
      </c>
      <c r="J642" s="37"/>
      <c r="K642" s="38"/>
      <c r="L642" s="38"/>
      <c r="M642" s="36" t="s">
        <v>60</v>
      </c>
      <c r="N642" s="15" t="s">
        <v>152</v>
      </c>
      <c r="O642" s="36" t="s">
        <v>162</v>
      </c>
      <c r="P642" s="36" t="str">
        <f t="shared" si="20"/>
        <v>WMTS_1/1000地形圖_新豐(山崎仔地區(都市計畫(94年)</v>
      </c>
      <c r="Q642" s="29" t="s">
        <v>2719</v>
      </c>
      <c r="R642" s="29" t="str">
        <f t="shared" si="21"/>
        <v>2dms_wmts_v1_TOPO01K_J04</v>
      </c>
      <c r="S642" s="39" t="s">
        <v>155</v>
      </c>
      <c r="U642" s="27" t="str">
        <f>_xlfn.XLOOKUP(表格1[[#This Row],[服務類別(英)]],參考2_服務標準對照!$B:$B,參考2_服務標準對照!$C:$C,"")&amp;""</f>
        <v>OGC</v>
      </c>
      <c r="V642" s="29" t="s">
        <v>7</v>
      </c>
      <c r="W642" s="29" t="s">
        <v>163</v>
      </c>
      <c r="X642" s="29" t="s">
        <v>81</v>
      </c>
      <c r="Y642" s="36" t="s">
        <v>83</v>
      </c>
      <c r="Z642" s="36" t="s">
        <v>157</v>
      </c>
      <c r="AA642" s="36" t="s">
        <v>1159</v>
      </c>
      <c r="AB642" s="36"/>
      <c r="AC642" s="36"/>
      <c r="AD642" s="29" t="s">
        <v>119</v>
      </c>
      <c r="AE642" s="36" t="str">
        <f>_xlfn.XLOOKUP(表格1[[#This Row],[唯一識別碼]],API清冊0707!B:B,API清冊0707!T:T,"")&amp;""</f>
        <v>無下拉選單</v>
      </c>
    </row>
    <row r="643" spans="1:31" ht="204.75" customHeight="1" x14ac:dyDescent="0.4">
      <c r="A643" s="29" t="s">
        <v>2720</v>
      </c>
      <c r="B643" s="29"/>
      <c r="C643" s="29"/>
      <c r="D643" s="29" t="s">
        <v>2721</v>
      </c>
      <c r="E643" s="29" t="s">
        <v>2722</v>
      </c>
      <c r="F643" s="29" t="s">
        <v>2723</v>
      </c>
      <c r="G643" s="35"/>
      <c r="H643" s="35" t="s">
        <v>151</v>
      </c>
      <c r="I643" s="29" t="s">
        <v>2720</v>
      </c>
      <c r="J643" s="37"/>
      <c r="K643" s="38"/>
      <c r="L643" s="38"/>
      <c r="M643" s="36" t="s">
        <v>60</v>
      </c>
      <c r="N643" s="15" t="s">
        <v>152</v>
      </c>
      <c r="O643" s="36" t="s">
        <v>162</v>
      </c>
      <c r="P643" s="36" t="str">
        <f t="shared" si="20"/>
        <v>WMTS_1/1000地形圖_新埔都市計畫(94年)</v>
      </c>
      <c r="Q643" s="29" t="s">
        <v>2723</v>
      </c>
      <c r="R643" s="29" t="str">
        <f t="shared" si="21"/>
        <v>2dms_wmts_v1_TOPO01K_J03</v>
      </c>
      <c r="S643" s="39" t="s">
        <v>155</v>
      </c>
      <c r="U643" s="27" t="str">
        <f>_xlfn.XLOOKUP(表格1[[#This Row],[服務類別(英)]],參考2_服務標準對照!$B:$B,參考2_服務標準對照!$C:$C,"")&amp;""</f>
        <v>OGC</v>
      </c>
      <c r="V643" s="29" t="s">
        <v>7</v>
      </c>
      <c r="W643" s="29" t="s">
        <v>163</v>
      </c>
      <c r="X643" s="29" t="s">
        <v>81</v>
      </c>
      <c r="Y643" s="36" t="s">
        <v>83</v>
      </c>
      <c r="Z643" s="36" t="s">
        <v>157</v>
      </c>
      <c r="AA643" s="36" t="s">
        <v>1159</v>
      </c>
      <c r="AB643" s="36"/>
      <c r="AC643" s="36"/>
      <c r="AD643" s="29" t="s">
        <v>119</v>
      </c>
      <c r="AE643" s="36" t="str">
        <f>_xlfn.XLOOKUP(表格1[[#This Row],[唯一識別碼]],API清冊0707!B:B,API清冊0707!T:T,"")&amp;""</f>
        <v>無下拉選單</v>
      </c>
    </row>
    <row r="644" spans="1:31" ht="204.75" customHeight="1" x14ac:dyDescent="0.4">
      <c r="A644" s="29" t="s">
        <v>2724</v>
      </c>
      <c r="B644" s="29"/>
      <c r="C644" s="29"/>
      <c r="D644" s="29" t="s">
        <v>2725</v>
      </c>
      <c r="E644" s="29" t="s">
        <v>2726</v>
      </c>
      <c r="F644" s="29" t="s">
        <v>2727</v>
      </c>
      <c r="G644" s="35"/>
      <c r="H644" s="35" t="s">
        <v>151</v>
      </c>
      <c r="I644" s="29" t="s">
        <v>2724</v>
      </c>
      <c r="J644" s="37"/>
      <c r="K644" s="38"/>
      <c r="L644" s="38"/>
      <c r="M644" s="36" t="s">
        <v>60</v>
      </c>
      <c r="N644" s="15" t="s">
        <v>152</v>
      </c>
      <c r="O644" s="36" t="s">
        <v>162</v>
      </c>
      <c r="P644" s="36" t="str">
        <f t="shared" si="20"/>
        <v>WMTS_1/1000地形圖_寶山都市計畫(93-94年)</v>
      </c>
      <c r="Q644" s="29" t="s">
        <v>2727</v>
      </c>
      <c r="R644" s="29" t="str">
        <f t="shared" si="21"/>
        <v>2dms_wmts_v1_TOPO01K_J02</v>
      </c>
      <c r="S644" s="39" t="s">
        <v>155</v>
      </c>
      <c r="U644" s="27" t="str">
        <f>_xlfn.XLOOKUP(表格1[[#This Row],[服務類別(英)]],參考2_服務標準對照!$B:$B,參考2_服務標準對照!$C:$C,"")&amp;""</f>
        <v>OGC</v>
      </c>
      <c r="V644" s="29" t="s">
        <v>7</v>
      </c>
      <c r="W644" s="29" t="s">
        <v>163</v>
      </c>
      <c r="X644" s="29" t="s">
        <v>81</v>
      </c>
      <c r="Y644" s="36" t="s">
        <v>83</v>
      </c>
      <c r="Z644" s="36" t="s">
        <v>157</v>
      </c>
      <c r="AA644" s="36" t="s">
        <v>1159</v>
      </c>
      <c r="AB644" s="36"/>
      <c r="AC644" s="36"/>
      <c r="AD644" s="29" t="s">
        <v>119</v>
      </c>
      <c r="AE644" s="36" t="str">
        <f>_xlfn.XLOOKUP(表格1[[#This Row],[唯一識別碼]],API清冊0707!B:B,API清冊0707!T:T,"")&amp;""</f>
        <v>無下拉選單</v>
      </c>
    </row>
    <row r="645" spans="1:31" ht="204.75" customHeight="1" x14ac:dyDescent="0.4">
      <c r="A645" s="29" t="s">
        <v>2728</v>
      </c>
      <c r="B645" s="29"/>
      <c r="C645" s="29"/>
      <c r="D645" s="29" t="s">
        <v>2729</v>
      </c>
      <c r="E645" s="29" t="s">
        <v>2730</v>
      </c>
      <c r="F645" s="29" t="s">
        <v>2731</v>
      </c>
      <c r="G645" s="35"/>
      <c r="H645" s="35" t="s">
        <v>151</v>
      </c>
      <c r="I645" s="29" t="s">
        <v>2728</v>
      </c>
      <c r="J645" s="37"/>
      <c r="K645" s="38"/>
      <c r="L645" s="38"/>
      <c r="M645" s="36" t="s">
        <v>60</v>
      </c>
      <c r="N645" s="15" t="s">
        <v>152</v>
      </c>
      <c r="O645" s="36" t="s">
        <v>162</v>
      </c>
      <c r="P645" s="36" t="str">
        <f t="shared" si="20"/>
        <v>WMTS_1/1000地形圖_北埔都市計畫(97年)</v>
      </c>
      <c r="Q645" s="29" t="s">
        <v>2731</v>
      </c>
      <c r="R645" s="29" t="str">
        <f t="shared" si="21"/>
        <v>2dms_wmts_v1_TOPO01K_J01</v>
      </c>
      <c r="S645" s="39" t="s">
        <v>155</v>
      </c>
      <c r="U645" s="27" t="str">
        <f>_xlfn.XLOOKUP(表格1[[#This Row],[服務類別(英)]],參考2_服務標準對照!$B:$B,參考2_服務標準對照!$C:$C,"")&amp;""</f>
        <v>OGC</v>
      </c>
      <c r="V645" s="29" t="s">
        <v>7</v>
      </c>
      <c r="W645" s="29" t="s">
        <v>163</v>
      </c>
      <c r="X645" s="29" t="s">
        <v>81</v>
      </c>
      <c r="Y645" s="36" t="s">
        <v>83</v>
      </c>
      <c r="Z645" s="36" t="s">
        <v>157</v>
      </c>
      <c r="AA645" s="36" t="s">
        <v>1159</v>
      </c>
      <c r="AB645" s="36"/>
      <c r="AC645" s="36"/>
      <c r="AD645" s="29" t="s">
        <v>119</v>
      </c>
      <c r="AE645" s="36" t="str">
        <f>_xlfn.XLOOKUP(表格1[[#This Row],[唯一識別碼]],API清冊0707!B:B,API清冊0707!T:T,"")&amp;""</f>
        <v>無下拉選單</v>
      </c>
    </row>
    <row r="646" spans="1:31" ht="204.75" customHeight="1" x14ac:dyDescent="0.4">
      <c r="A646" s="29" t="s">
        <v>2732</v>
      </c>
      <c r="B646" s="29"/>
      <c r="C646" s="29"/>
      <c r="D646" s="29" t="s">
        <v>2733</v>
      </c>
      <c r="E646" s="29" t="s">
        <v>2734</v>
      </c>
      <c r="F646" s="29" t="s">
        <v>2735</v>
      </c>
      <c r="G646" s="35"/>
      <c r="H646" s="35" t="s">
        <v>151</v>
      </c>
      <c r="I646" s="29" t="s">
        <v>2732</v>
      </c>
      <c r="J646" s="37"/>
      <c r="K646" s="38"/>
      <c r="L646" s="38"/>
      <c r="M646" s="36" t="s">
        <v>60</v>
      </c>
      <c r="N646" s="15" t="s">
        <v>152</v>
      </c>
      <c r="O646" s="36" t="s">
        <v>162</v>
      </c>
      <c r="P646" s="36" t="str">
        <f t="shared" si="20"/>
        <v>WMTS_1/1000地形圖_桃園市航空城特定區計畫(110年)</v>
      </c>
      <c r="Q646" s="29" t="s">
        <v>2735</v>
      </c>
      <c r="R646" s="29" t="str">
        <f t="shared" si="21"/>
        <v>2dms_wmts_v1_TOPO01K_H44</v>
      </c>
      <c r="S646" s="39" t="s">
        <v>155</v>
      </c>
      <c r="U646" s="27" t="str">
        <f>_xlfn.XLOOKUP(表格1[[#This Row],[服務類別(英)]],參考2_服務標準對照!$B:$B,參考2_服務標準對照!$C:$C,"")&amp;""</f>
        <v>OGC</v>
      </c>
      <c r="V646" s="29" t="s">
        <v>7</v>
      </c>
      <c r="W646" s="29" t="s">
        <v>163</v>
      </c>
      <c r="X646" s="29" t="s">
        <v>81</v>
      </c>
      <c r="Y646" s="36" t="s">
        <v>83</v>
      </c>
      <c r="Z646" s="36" t="s">
        <v>157</v>
      </c>
      <c r="AA646" s="36" t="s">
        <v>1159</v>
      </c>
      <c r="AB646" s="36"/>
      <c r="AC646" s="36"/>
      <c r="AD646" s="29" t="s">
        <v>119</v>
      </c>
      <c r="AE646" s="36" t="str">
        <f>_xlfn.XLOOKUP(表格1[[#This Row],[唯一識別碼]],API清冊0707!B:B,API清冊0707!T:T,"")&amp;""</f>
        <v>無下拉選單</v>
      </c>
    </row>
    <row r="647" spans="1:31" ht="204.75" customHeight="1" x14ac:dyDescent="0.4">
      <c r="A647" s="29" t="s">
        <v>2736</v>
      </c>
      <c r="B647" s="29"/>
      <c r="C647" s="29"/>
      <c r="D647" s="29" t="s">
        <v>2737</v>
      </c>
      <c r="E647" s="29" t="s">
        <v>2738</v>
      </c>
      <c r="F647" s="29" t="s">
        <v>2739</v>
      </c>
      <c r="G647" s="35"/>
      <c r="H647" s="35" t="s">
        <v>151</v>
      </c>
      <c r="I647" s="29" t="s">
        <v>2736</v>
      </c>
      <c r="J647" s="37"/>
      <c r="K647" s="38"/>
      <c r="L647" s="38"/>
      <c r="M647" s="36" t="s">
        <v>60</v>
      </c>
      <c r="N647" s="15" t="s">
        <v>152</v>
      </c>
      <c r="O647" s="36" t="s">
        <v>162</v>
      </c>
      <c r="P647" s="36" t="str">
        <f t="shared" si="20"/>
        <v>WMTS_1/1000地形圖_桃園市高鐵特定區計畫(105年)</v>
      </c>
      <c r="Q647" s="29" t="s">
        <v>2739</v>
      </c>
      <c r="R647" s="29" t="str">
        <f t="shared" si="21"/>
        <v>2dms_wmts_v1_TOPO01K_H40</v>
      </c>
      <c r="S647" s="39" t="s">
        <v>155</v>
      </c>
      <c r="U647" s="27" t="str">
        <f>_xlfn.XLOOKUP(表格1[[#This Row],[服務類別(英)]],參考2_服務標準對照!$B:$B,參考2_服務標準對照!$C:$C,"")&amp;""</f>
        <v>OGC</v>
      </c>
      <c r="V647" s="29" t="s">
        <v>7</v>
      </c>
      <c r="W647" s="29" t="s">
        <v>163</v>
      </c>
      <c r="X647" s="29" t="s">
        <v>81</v>
      </c>
      <c r="Y647" s="36" t="s">
        <v>83</v>
      </c>
      <c r="Z647" s="36" t="s">
        <v>157</v>
      </c>
      <c r="AA647" s="36" t="s">
        <v>1159</v>
      </c>
      <c r="AB647" s="36"/>
      <c r="AC647" s="36"/>
      <c r="AD647" s="29" t="s">
        <v>119</v>
      </c>
      <c r="AE647" s="36" t="str">
        <f>_xlfn.XLOOKUP(表格1[[#This Row],[唯一識別碼]],API清冊0707!B:B,API清冊0707!T:T,"")&amp;""</f>
        <v>無下拉選單</v>
      </c>
    </row>
    <row r="648" spans="1:31" ht="204.75" customHeight="1" x14ac:dyDescent="0.4">
      <c r="A648" s="29" t="s">
        <v>2740</v>
      </c>
      <c r="B648" s="29"/>
      <c r="C648" s="29"/>
      <c r="D648" s="29" t="s">
        <v>2741</v>
      </c>
      <c r="E648" s="29" t="s">
        <v>2742</v>
      </c>
      <c r="F648" s="29" t="s">
        <v>2743</v>
      </c>
      <c r="G648" s="35"/>
      <c r="H648" s="35" t="s">
        <v>151</v>
      </c>
      <c r="I648" s="29" t="s">
        <v>2740</v>
      </c>
      <c r="J648" s="37"/>
      <c r="K648" s="38"/>
      <c r="L648" s="38"/>
      <c r="M648" s="36" t="s">
        <v>60</v>
      </c>
      <c r="N648" s="15" t="s">
        <v>152</v>
      </c>
      <c r="O648" s="36" t="s">
        <v>162</v>
      </c>
      <c r="P648" s="36" t="str">
        <f t="shared" si="20"/>
        <v>WMTS_1/1000地形圖_桃園市南崁都市計畫(107年)</v>
      </c>
      <c r="Q648" s="29" t="s">
        <v>2743</v>
      </c>
      <c r="R648" s="29" t="str">
        <f t="shared" si="21"/>
        <v>2dms_wmts_v1_TOPO01K_H39</v>
      </c>
      <c r="S648" s="39" t="s">
        <v>155</v>
      </c>
      <c r="U648" s="27" t="str">
        <f>_xlfn.XLOOKUP(表格1[[#This Row],[服務類別(英)]],參考2_服務標準對照!$B:$B,參考2_服務標準對照!$C:$C,"")&amp;""</f>
        <v>OGC</v>
      </c>
      <c r="V648" s="29" t="s">
        <v>7</v>
      </c>
      <c r="W648" s="29" t="s">
        <v>163</v>
      </c>
      <c r="X648" s="29" t="s">
        <v>81</v>
      </c>
      <c r="Y648" s="36" t="s">
        <v>83</v>
      </c>
      <c r="Z648" s="36" t="s">
        <v>157</v>
      </c>
      <c r="AA648" s="36" t="s">
        <v>1159</v>
      </c>
      <c r="AB648" s="36"/>
      <c r="AC648" s="36"/>
      <c r="AD648" s="29" t="s">
        <v>119</v>
      </c>
      <c r="AE648" s="36" t="str">
        <f>_xlfn.XLOOKUP(表格1[[#This Row],[唯一識別碼]],API清冊0707!B:B,API清冊0707!T:T,"")&amp;""</f>
        <v>無下拉選單</v>
      </c>
    </row>
    <row r="649" spans="1:31" ht="204.75" customHeight="1" x14ac:dyDescent="0.4">
      <c r="A649" s="29" t="s">
        <v>2744</v>
      </c>
      <c r="B649" s="29"/>
      <c r="C649" s="29"/>
      <c r="D649" s="29" t="s">
        <v>2745</v>
      </c>
      <c r="E649" s="29" t="s">
        <v>2746</v>
      </c>
      <c r="F649" s="29" t="s">
        <v>2747</v>
      </c>
      <c r="G649" s="35"/>
      <c r="H649" s="35" t="s">
        <v>151</v>
      </c>
      <c r="I649" s="29" t="s">
        <v>2744</v>
      </c>
      <c r="J649" s="37"/>
      <c r="K649" s="38"/>
      <c r="L649" s="38"/>
      <c r="M649" s="36" t="s">
        <v>60</v>
      </c>
      <c r="N649" s="15" t="s">
        <v>152</v>
      </c>
      <c r="O649" s="36" t="s">
        <v>162</v>
      </c>
      <c r="P649" s="36" t="str">
        <f t="shared" si="20"/>
        <v>WMTS_1/1000地形圖_桃園市中壢平鎮都市計畫(111年)</v>
      </c>
      <c r="Q649" s="29" t="s">
        <v>2747</v>
      </c>
      <c r="R649" s="29" t="str">
        <f t="shared" si="21"/>
        <v>2dms_wmts_v1_TOPO01K_H38</v>
      </c>
      <c r="S649" s="39" t="s">
        <v>155</v>
      </c>
      <c r="U649" s="27" t="str">
        <f>_xlfn.XLOOKUP(表格1[[#This Row],[服務類別(英)]],參考2_服務標準對照!$B:$B,參考2_服務標準對照!$C:$C,"")&amp;""</f>
        <v>OGC</v>
      </c>
      <c r="V649" s="29" t="s">
        <v>7</v>
      </c>
      <c r="W649" s="29" t="s">
        <v>163</v>
      </c>
      <c r="X649" s="29" t="s">
        <v>81</v>
      </c>
      <c r="Y649" s="36" t="s">
        <v>83</v>
      </c>
      <c r="Z649" s="36" t="s">
        <v>157</v>
      </c>
      <c r="AA649" s="36" t="s">
        <v>1159</v>
      </c>
      <c r="AB649" s="36"/>
      <c r="AC649" s="36"/>
      <c r="AD649" s="29" t="s">
        <v>119</v>
      </c>
      <c r="AE649" s="36" t="str">
        <f>_xlfn.XLOOKUP(表格1[[#This Row],[唯一識別碼]],API清冊0707!B:B,API清冊0707!T:T,"")&amp;""</f>
        <v>無下拉選單</v>
      </c>
    </row>
    <row r="650" spans="1:31" ht="204.75" customHeight="1" x14ac:dyDescent="0.4">
      <c r="A650" s="29" t="s">
        <v>2748</v>
      </c>
      <c r="B650" s="29"/>
      <c r="C650" s="29"/>
      <c r="D650" s="29" t="s">
        <v>2749</v>
      </c>
      <c r="E650" s="29" t="s">
        <v>2750</v>
      </c>
      <c r="F650" s="29" t="s">
        <v>2751</v>
      </c>
      <c r="G650" s="35"/>
      <c r="H650" s="35" t="s">
        <v>151</v>
      </c>
      <c r="I650" s="29" t="s">
        <v>2748</v>
      </c>
      <c r="J650" s="37"/>
      <c r="K650" s="38"/>
      <c r="L650" s="38"/>
      <c r="M650" s="36" t="s">
        <v>60</v>
      </c>
      <c r="N650" s="15" t="s">
        <v>152</v>
      </c>
      <c r="O650" s="36" t="s">
        <v>162</v>
      </c>
      <c r="P650" s="36" t="str">
        <f t="shared" si="20"/>
        <v>WMTS_1/1000地形圖_桃園市中壢(龍岡地區)都市計畫(111年)</v>
      </c>
      <c r="Q650" s="29" t="s">
        <v>2751</v>
      </c>
      <c r="R650" s="29" t="str">
        <f t="shared" si="21"/>
        <v>2dms_wmts_v1_TOPO01K_H37</v>
      </c>
      <c r="S650" s="39" t="s">
        <v>155</v>
      </c>
      <c r="U650" s="27" t="str">
        <f>_xlfn.XLOOKUP(表格1[[#This Row],[服務類別(英)]],參考2_服務標準對照!$B:$B,參考2_服務標準對照!$C:$C,"")&amp;""</f>
        <v>OGC</v>
      </c>
      <c r="V650" s="29" t="s">
        <v>7</v>
      </c>
      <c r="W650" s="29" t="s">
        <v>163</v>
      </c>
      <c r="X650" s="29" t="s">
        <v>81</v>
      </c>
      <c r="Y650" s="36" t="s">
        <v>83</v>
      </c>
      <c r="Z650" s="36" t="s">
        <v>157</v>
      </c>
      <c r="AA650" s="36" t="s">
        <v>1159</v>
      </c>
      <c r="AB650" s="36"/>
      <c r="AC650" s="36"/>
      <c r="AD650" s="29" t="s">
        <v>119</v>
      </c>
      <c r="AE650" s="36" t="str">
        <f>_xlfn.XLOOKUP(表格1[[#This Row],[唯一識別碼]],API清冊0707!B:B,API清冊0707!T:T,"")&amp;""</f>
        <v>無下拉選單</v>
      </c>
    </row>
    <row r="651" spans="1:31" ht="204.75" customHeight="1" x14ac:dyDescent="0.4">
      <c r="A651" s="29" t="s">
        <v>2752</v>
      </c>
      <c r="B651" s="29"/>
      <c r="C651" s="29"/>
      <c r="D651" s="29" t="s">
        <v>2753</v>
      </c>
      <c r="E651" s="29" t="s">
        <v>2754</v>
      </c>
      <c r="F651" s="29" t="s">
        <v>2755</v>
      </c>
      <c r="G651" s="35"/>
      <c r="H651" s="35" t="s">
        <v>151</v>
      </c>
      <c r="I651" s="29" t="s">
        <v>2752</v>
      </c>
      <c r="J651" s="37"/>
      <c r="K651" s="38"/>
      <c r="L651" s="38"/>
      <c r="M651" s="36" t="s">
        <v>60</v>
      </c>
      <c r="N651" s="15" t="s">
        <v>152</v>
      </c>
      <c r="O651" s="36" t="s">
        <v>162</v>
      </c>
      <c r="P651" s="36" t="str">
        <f t="shared" si="20"/>
        <v>WMTS_1/1000地形圖_桃園市大溪(埔頂地區)都市計畫(111年)</v>
      </c>
      <c r="Q651" s="29" t="s">
        <v>2755</v>
      </c>
      <c r="R651" s="29" t="str">
        <f t="shared" si="21"/>
        <v>2dms_wmts_v1_TOPO01K_H36</v>
      </c>
      <c r="S651" s="39" t="s">
        <v>155</v>
      </c>
      <c r="U651" s="27" t="str">
        <f>_xlfn.XLOOKUP(表格1[[#This Row],[服務類別(英)]],參考2_服務標準對照!$B:$B,參考2_服務標準對照!$C:$C,"")&amp;""</f>
        <v>OGC</v>
      </c>
      <c r="V651" s="29" t="s">
        <v>7</v>
      </c>
      <c r="W651" s="29" t="s">
        <v>163</v>
      </c>
      <c r="X651" s="29" t="s">
        <v>81</v>
      </c>
      <c r="Y651" s="36" t="s">
        <v>83</v>
      </c>
      <c r="Z651" s="36" t="s">
        <v>157</v>
      </c>
      <c r="AA651" s="36" t="s">
        <v>1159</v>
      </c>
      <c r="AB651" s="36"/>
      <c r="AC651" s="36"/>
      <c r="AD651" s="29" t="s">
        <v>119</v>
      </c>
      <c r="AE651" s="36" t="str">
        <f>_xlfn.XLOOKUP(表格1[[#This Row],[唯一識別碼]],API清冊0707!B:B,API清冊0707!T:T,"")&amp;""</f>
        <v>無下拉選單</v>
      </c>
    </row>
    <row r="652" spans="1:31" ht="204.75" customHeight="1" x14ac:dyDescent="0.4">
      <c r="A652" s="29" t="s">
        <v>2756</v>
      </c>
      <c r="B652" s="29"/>
      <c r="C652" s="29"/>
      <c r="D652" s="29" t="s">
        <v>2757</v>
      </c>
      <c r="E652" s="29" t="s">
        <v>2758</v>
      </c>
      <c r="F652" s="29" t="s">
        <v>2759</v>
      </c>
      <c r="G652" s="35"/>
      <c r="H652" s="35" t="s">
        <v>151</v>
      </c>
      <c r="I652" s="29" t="s">
        <v>2756</v>
      </c>
      <c r="J652" s="37"/>
      <c r="K652" s="38"/>
      <c r="L652" s="38"/>
      <c r="M652" s="36" t="s">
        <v>60</v>
      </c>
      <c r="N652" s="15" t="s">
        <v>152</v>
      </c>
      <c r="O652" s="36" t="s">
        <v>162</v>
      </c>
      <c r="P652" s="36" t="str">
        <f t="shared" si="20"/>
        <v>WMTS_1/1000地形圖_桃園市大園都市計畫(108年)</v>
      </c>
      <c r="Q652" s="29" t="s">
        <v>2759</v>
      </c>
      <c r="R652" s="29" t="str">
        <f t="shared" si="21"/>
        <v>2dms_wmts_v1_TOPO01K_H35</v>
      </c>
      <c r="S652" s="39" t="s">
        <v>155</v>
      </c>
      <c r="U652" s="27" t="str">
        <f>_xlfn.XLOOKUP(表格1[[#This Row],[服務類別(英)]],參考2_服務標準對照!$B:$B,參考2_服務標準對照!$C:$C,"")&amp;""</f>
        <v>OGC</v>
      </c>
      <c r="V652" s="29" t="s">
        <v>7</v>
      </c>
      <c r="W652" s="29" t="s">
        <v>163</v>
      </c>
      <c r="X652" s="29" t="s">
        <v>81</v>
      </c>
      <c r="Y652" s="36" t="s">
        <v>83</v>
      </c>
      <c r="Z652" s="36" t="s">
        <v>157</v>
      </c>
      <c r="AA652" s="36" t="s">
        <v>1159</v>
      </c>
      <c r="AB652" s="36"/>
      <c r="AC652" s="36"/>
      <c r="AD652" s="29" t="s">
        <v>119</v>
      </c>
      <c r="AE652" s="36" t="str">
        <f>_xlfn.XLOOKUP(表格1[[#This Row],[唯一識別碼]],API清冊0707!B:B,API清冊0707!T:T,"")&amp;""</f>
        <v>無下拉選單</v>
      </c>
    </row>
    <row r="653" spans="1:31" ht="204.75" customHeight="1" x14ac:dyDescent="0.4">
      <c r="A653" s="29" t="s">
        <v>2760</v>
      </c>
      <c r="B653" s="29"/>
      <c r="C653" s="29"/>
      <c r="D653" s="29" t="s">
        <v>2761</v>
      </c>
      <c r="E653" s="29" t="s">
        <v>2762</v>
      </c>
      <c r="F653" s="29" t="s">
        <v>2763</v>
      </c>
      <c r="G653" s="35"/>
      <c r="H653" s="35" t="s">
        <v>151</v>
      </c>
      <c r="I653" s="29" t="s">
        <v>2760</v>
      </c>
      <c r="J653" s="37"/>
      <c r="K653" s="38"/>
      <c r="L653" s="38"/>
      <c r="M653" s="36" t="s">
        <v>60</v>
      </c>
      <c r="N653" s="15" t="s">
        <v>152</v>
      </c>
      <c r="O653" s="36" t="s">
        <v>162</v>
      </c>
      <c r="P653" s="36" t="str">
        <f t="shared" si="20"/>
        <v>WMTS_1/1000地形圖_桃園市大園(菓林)都市計畫(107年)</v>
      </c>
      <c r="Q653" s="29" t="s">
        <v>2763</v>
      </c>
      <c r="R653" s="29" t="str">
        <f t="shared" si="21"/>
        <v>2dms_wmts_v1_TOPO01K_H34</v>
      </c>
      <c r="S653" s="39" t="s">
        <v>155</v>
      </c>
      <c r="U653" s="27" t="str">
        <f>_xlfn.XLOOKUP(表格1[[#This Row],[服務類別(英)]],參考2_服務標準對照!$B:$B,參考2_服務標準對照!$C:$C,"")&amp;""</f>
        <v>OGC</v>
      </c>
      <c r="V653" s="29" t="s">
        <v>7</v>
      </c>
      <c r="W653" s="29" t="s">
        <v>163</v>
      </c>
      <c r="X653" s="29" t="s">
        <v>81</v>
      </c>
      <c r="Y653" s="36" t="s">
        <v>83</v>
      </c>
      <c r="Z653" s="36" t="s">
        <v>157</v>
      </c>
      <c r="AA653" s="36" t="s">
        <v>1159</v>
      </c>
      <c r="AB653" s="36"/>
      <c r="AC653" s="36"/>
      <c r="AD653" s="29" t="s">
        <v>119</v>
      </c>
      <c r="AE653" s="36" t="str">
        <f>_xlfn.XLOOKUP(表格1[[#This Row],[唯一識別碼]],API清冊0707!B:B,API清冊0707!T:T,"")&amp;""</f>
        <v>無下拉選單</v>
      </c>
    </row>
    <row r="654" spans="1:31" ht="204.75" customHeight="1" x14ac:dyDescent="0.4">
      <c r="A654" s="29" t="s">
        <v>2764</v>
      </c>
      <c r="B654" s="29"/>
      <c r="C654" s="29"/>
      <c r="D654" s="29" t="s">
        <v>2765</v>
      </c>
      <c r="E654" s="29" t="s">
        <v>2766</v>
      </c>
      <c r="F654" s="29" t="s">
        <v>2767</v>
      </c>
      <c r="G654" s="35"/>
      <c r="H654" s="35" t="s">
        <v>151</v>
      </c>
      <c r="I654" s="29" t="s">
        <v>2764</v>
      </c>
      <c r="J654" s="37"/>
      <c r="K654" s="38"/>
      <c r="L654" s="38"/>
      <c r="M654" s="36" t="s">
        <v>60</v>
      </c>
      <c r="N654" s="15" t="s">
        <v>152</v>
      </c>
      <c r="O654" s="36" t="s">
        <v>162</v>
      </c>
      <c r="P654" s="36" t="str">
        <f t="shared" si="20"/>
        <v>WMTS_1/1000地形圖_桃園市八德(大湳地區)都市計畫(111年)</v>
      </c>
      <c r="Q654" s="29" t="s">
        <v>2767</v>
      </c>
      <c r="R654" s="29" t="str">
        <f t="shared" si="21"/>
        <v>2dms_wmts_v1_TOPO01K_H33</v>
      </c>
      <c r="S654" s="39" t="s">
        <v>155</v>
      </c>
      <c r="U654" s="27" t="str">
        <f>_xlfn.XLOOKUP(表格1[[#This Row],[服務類別(英)]],參考2_服務標準對照!$B:$B,參考2_服務標準對照!$C:$C,"")&amp;""</f>
        <v>OGC</v>
      </c>
      <c r="V654" s="29" t="s">
        <v>7</v>
      </c>
      <c r="W654" s="29" t="s">
        <v>163</v>
      </c>
      <c r="X654" s="29" t="s">
        <v>81</v>
      </c>
      <c r="Y654" s="36" t="s">
        <v>83</v>
      </c>
      <c r="Z654" s="36" t="s">
        <v>157</v>
      </c>
      <c r="AA654" s="36" t="s">
        <v>1159</v>
      </c>
      <c r="AB654" s="36"/>
      <c r="AC654" s="36"/>
      <c r="AD654" s="29" t="s">
        <v>119</v>
      </c>
      <c r="AE654" s="36" t="str">
        <f>_xlfn.XLOOKUP(表格1[[#This Row],[唯一識別碼]],API清冊0707!B:B,API清冊0707!T:T,"")&amp;""</f>
        <v>無下拉選單</v>
      </c>
    </row>
    <row r="655" spans="1:31" ht="204.75" customHeight="1" x14ac:dyDescent="0.4">
      <c r="A655" s="29" t="s">
        <v>2768</v>
      </c>
      <c r="B655" s="29"/>
      <c r="C655" s="29"/>
      <c r="D655" s="29" t="s">
        <v>2769</v>
      </c>
      <c r="E655" s="29" t="s">
        <v>2770</v>
      </c>
      <c r="F655" s="29" t="s">
        <v>2771</v>
      </c>
      <c r="G655" s="35"/>
      <c r="H655" s="35" t="s">
        <v>151</v>
      </c>
      <c r="I655" s="29" t="s">
        <v>2768</v>
      </c>
      <c r="J655" s="37"/>
      <c r="K655" s="38"/>
      <c r="L655" s="38"/>
      <c r="M655" s="36" t="s">
        <v>60</v>
      </c>
      <c r="N655" s="15" t="s">
        <v>152</v>
      </c>
      <c r="O655" s="36" t="s">
        <v>162</v>
      </c>
      <c r="P655" s="36" t="str">
        <f t="shared" si="20"/>
        <v>WMTS_1/1000地形圖_桃園市八德(八德地區)都市計畫(111年)</v>
      </c>
      <c r="Q655" s="29" t="s">
        <v>2771</v>
      </c>
      <c r="R655" s="29" t="str">
        <f t="shared" si="21"/>
        <v>2dms_wmts_v1_TOPO01K_H32</v>
      </c>
      <c r="S655" s="39" t="s">
        <v>155</v>
      </c>
      <c r="U655" s="27" t="str">
        <f>_xlfn.XLOOKUP(表格1[[#This Row],[服務類別(英)]],參考2_服務標準對照!$B:$B,參考2_服務標準對照!$C:$C,"")&amp;""</f>
        <v>OGC</v>
      </c>
      <c r="V655" s="29" t="s">
        <v>7</v>
      </c>
      <c r="W655" s="29" t="s">
        <v>163</v>
      </c>
      <c r="X655" s="29" t="s">
        <v>81</v>
      </c>
      <c r="Y655" s="36" t="s">
        <v>83</v>
      </c>
      <c r="Z655" s="36" t="s">
        <v>157</v>
      </c>
      <c r="AA655" s="36" t="s">
        <v>1159</v>
      </c>
      <c r="AB655" s="36"/>
      <c r="AC655" s="36"/>
      <c r="AD655" s="29" t="s">
        <v>119</v>
      </c>
      <c r="AE655" s="36" t="str">
        <f>_xlfn.XLOOKUP(表格1[[#This Row],[唯一識別碼]],API清冊0707!B:B,API清冊0707!T:T,"")&amp;""</f>
        <v>無下拉選單</v>
      </c>
    </row>
    <row r="656" spans="1:31" ht="204.75" customHeight="1" x14ac:dyDescent="0.4">
      <c r="A656" s="29" t="s">
        <v>2772</v>
      </c>
      <c r="B656" s="29"/>
      <c r="C656" s="29"/>
      <c r="D656" s="29" t="s">
        <v>2773</v>
      </c>
      <c r="E656" s="29" t="s">
        <v>2774</v>
      </c>
      <c r="F656" s="29" t="s">
        <v>2775</v>
      </c>
      <c r="G656" s="35"/>
      <c r="H656" s="35" t="s">
        <v>151</v>
      </c>
      <c r="I656" s="29" t="s">
        <v>2772</v>
      </c>
      <c r="J656" s="37"/>
      <c r="K656" s="38"/>
      <c r="L656" s="38"/>
      <c r="M656" s="36" t="s">
        <v>60</v>
      </c>
      <c r="N656" s="15" t="s">
        <v>152</v>
      </c>
      <c r="O656" s="36" t="s">
        <v>162</v>
      </c>
      <c r="P656" s="36" t="str">
        <f t="shared" si="20"/>
        <v>WMTS_1/1000地形圖_桃園市龜山都市計畫(98年)</v>
      </c>
      <c r="Q656" s="29" t="s">
        <v>2775</v>
      </c>
      <c r="R656" s="29" t="str">
        <f t="shared" si="21"/>
        <v>2dms_wmts_v1_TOPO01K_H31</v>
      </c>
      <c r="S656" s="39" t="s">
        <v>155</v>
      </c>
      <c r="U656" s="27" t="str">
        <f>_xlfn.XLOOKUP(表格1[[#This Row],[服務類別(英)]],參考2_服務標準對照!$B:$B,參考2_服務標準對照!$C:$C,"")&amp;""</f>
        <v>OGC</v>
      </c>
      <c r="V656" s="29" t="s">
        <v>7</v>
      </c>
      <c r="W656" s="29" t="s">
        <v>163</v>
      </c>
      <c r="X656" s="29" t="s">
        <v>81</v>
      </c>
      <c r="Y656" s="36" t="s">
        <v>83</v>
      </c>
      <c r="Z656" s="36" t="s">
        <v>157</v>
      </c>
      <c r="AA656" s="36" t="s">
        <v>1159</v>
      </c>
      <c r="AB656" s="36"/>
      <c r="AC656" s="36"/>
      <c r="AD656" s="29" t="s">
        <v>119</v>
      </c>
      <c r="AE656" s="36" t="str">
        <f>_xlfn.XLOOKUP(表格1[[#This Row],[唯一識別碼]],API清冊0707!B:B,API清冊0707!T:T,"")&amp;""</f>
        <v>無下拉選單</v>
      </c>
    </row>
    <row r="657" spans="1:31" ht="204.75" customHeight="1" x14ac:dyDescent="0.4">
      <c r="A657" s="29" t="s">
        <v>2776</v>
      </c>
      <c r="B657" s="29"/>
      <c r="C657" s="29"/>
      <c r="D657" s="29" t="s">
        <v>2777</v>
      </c>
      <c r="E657" s="29" t="s">
        <v>2778</v>
      </c>
      <c r="F657" s="29" t="s">
        <v>2779</v>
      </c>
      <c r="G657" s="35"/>
      <c r="H657" s="35" t="s">
        <v>151</v>
      </c>
      <c r="I657" s="29" t="s">
        <v>2776</v>
      </c>
      <c r="J657" s="37"/>
      <c r="K657" s="38"/>
      <c r="L657" s="38"/>
      <c r="M657" s="36" t="s">
        <v>60</v>
      </c>
      <c r="N657" s="15" t="s">
        <v>152</v>
      </c>
      <c r="O657" s="36" t="s">
        <v>162</v>
      </c>
      <c r="P657" s="36" t="str">
        <f t="shared" si="20"/>
        <v>WMTS_1/1000地形圖_桃園市龍潭都市計畫(97年)</v>
      </c>
      <c r="Q657" s="29" t="s">
        <v>2779</v>
      </c>
      <c r="R657" s="29" t="str">
        <f t="shared" si="21"/>
        <v>2dms_wmts_v1_TOPO01K_H30</v>
      </c>
      <c r="S657" s="39" t="s">
        <v>155</v>
      </c>
      <c r="U657" s="27" t="str">
        <f>_xlfn.XLOOKUP(表格1[[#This Row],[服務類別(英)]],參考2_服務標準對照!$B:$B,參考2_服務標準對照!$C:$C,"")&amp;""</f>
        <v>OGC</v>
      </c>
      <c r="V657" s="29" t="s">
        <v>7</v>
      </c>
      <c r="W657" s="29" t="s">
        <v>163</v>
      </c>
      <c r="X657" s="29" t="s">
        <v>81</v>
      </c>
      <c r="Y657" s="36" t="s">
        <v>83</v>
      </c>
      <c r="Z657" s="36" t="s">
        <v>157</v>
      </c>
      <c r="AA657" s="36" t="s">
        <v>1159</v>
      </c>
      <c r="AB657" s="36"/>
      <c r="AC657" s="36"/>
      <c r="AD657" s="29" t="s">
        <v>119</v>
      </c>
      <c r="AE657" s="36" t="str">
        <f>_xlfn.XLOOKUP(表格1[[#This Row],[唯一識別碼]],API清冊0707!B:B,API清冊0707!T:T,"")&amp;""</f>
        <v>無下拉選單</v>
      </c>
    </row>
    <row r="658" spans="1:31" ht="204.75" customHeight="1" x14ac:dyDescent="0.4">
      <c r="A658" s="29" t="s">
        <v>2780</v>
      </c>
      <c r="B658" s="29"/>
      <c r="C658" s="29"/>
      <c r="D658" s="29" t="s">
        <v>2781</v>
      </c>
      <c r="E658" s="29" t="s">
        <v>2782</v>
      </c>
      <c r="F658" s="29" t="s">
        <v>2783</v>
      </c>
      <c r="G658" s="35"/>
      <c r="H658" s="35" t="s">
        <v>151</v>
      </c>
      <c r="I658" s="29" t="s">
        <v>2780</v>
      </c>
      <c r="J658" s="37"/>
      <c r="K658" s="38"/>
      <c r="L658" s="38"/>
      <c r="M658" s="36" t="s">
        <v>60</v>
      </c>
      <c r="N658" s="15" t="s">
        <v>152</v>
      </c>
      <c r="O658" s="36" t="s">
        <v>162</v>
      </c>
      <c r="P658" s="36" t="str">
        <f t="shared" si="20"/>
        <v>WMTS_1/1000地形圖_桃園市龍壽迴龍都市計畫(98年)</v>
      </c>
      <c r="Q658" s="29" t="s">
        <v>2783</v>
      </c>
      <c r="R658" s="29" t="str">
        <f t="shared" si="21"/>
        <v>2dms_wmts_v1_TOPO01K_H29</v>
      </c>
      <c r="S658" s="39" t="s">
        <v>155</v>
      </c>
      <c r="U658" s="27" t="str">
        <f>_xlfn.XLOOKUP(表格1[[#This Row],[服務類別(英)]],參考2_服務標準對照!$B:$B,參考2_服務標準對照!$C:$C,"")&amp;""</f>
        <v>OGC</v>
      </c>
      <c r="V658" s="29" t="s">
        <v>7</v>
      </c>
      <c r="W658" s="29" t="s">
        <v>163</v>
      </c>
      <c r="X658" s="29" t="s">
        <v>81</v>
      </c>
      <c r="Y658" s="36" t="s">
        <v>83</v>
      </c>
      <c r="Z658" s="36" t="s">
        <v>157</v>
      </c>
      <c r="AA658" s="36" t="s">
        <v>1159</v>
      </c>
      <c r="AB658" s="36"/>
      <c r="AC658" s="36"/>
      <c r="AD658" s="29" t="s">
        <v>119</v>
      </c>
      <c r="AE658" s="36" t="str">
        <f>_xlfn.XLOOKUP(表格1[[#This Row],[唯一識別碼]],API清冊0707!B:B,API清冊0707!T:T,"")&amp;""</f>
        <v>無下拉選單</v>
      </c>
    </row>
    <row r="659" spans="1:31" ht="204.75" customHeight="1" x14ac:dyDescent="0.4">
      <c r="A659" s="29" t="s">
        <v>2784</v>
      </c>
      <c r="B659" s="29"/>
      <c r="C659" s="29"/>
      <c r="D659" s="29" t="s">
        <v>2785</v>
      </c>
      <c r="E659" s="29" t="s">
        <v>2786</v>
      </c>
      <c r="F659" s="29" t="s">
        <v>2787</v>
      </c>
      <c r="G659" s="35"/>
      <c r="H659" s="35" t="s">
        <v>151</v>
      </c>
      <c r="I659" s="29" t="s">
        <v>2784</v>
      </c>
      <c r="J659" s="37"/>
      <c r="K659" s="38"/>
      <c r="L659" s="38"/>
      <c r="M659" s="36" t="s">
        <v>60</v>
      </c>
      <c r="N659" s="15" t="s">
        <v>152</v>
      </c>
      <c r="O659" s="36" t="s">
        <v>162</v>
      </c>
      <c r="P659" s="36" t="str">
        <f t="shared" si="20"/>
        <v>WMTS_1/1000地形圖_桃園市高鐵桃園車站特定區計畫(98年)</v>
      </c>
      <c r="Q659" s="29" t="s">
        <v>2787</v>
      </c>
      <c r="R659" s="29" t="str">
        <f t="shared" si="21"/>
        <v>2dms_wmts_v1_TOPO01K_H28</v>
      </c>
      <c r="S659" s="39" t="s">
        <v>155</v>
      </c>
      <c r="U659" s="27" t="str">
        <f>_xlfn.XLOOKUP(表格1[[#This Row],[服務類別(英)]],參考2_服務標準對照!$B:$B,參考2_服務標準對照!$C:$C,"")&amp;""</f>
        <v>OGC</v>
      </c>
      <c r="V659" s="29" t="s">
        <v>7</v>
      </c>
      <c r="W659" s="29" t="s">
        <v>163</v>
      </c>
      <c r="X659" s="29" t="s">
        <v>81</v>
      </c>
      <c r="Y659" s="36" t="s">
        <v>83</v>
      </c>
      <c r="Z659" s="36" t="s">
        <v>157</v>
      </c>
      <c r="AA659" s="36" t="s">
        <v>1159</v>
      </c>
      <c r="AB659" s="36"/>
      <c r="AC659" s="36"/>
      <c r="AD659" s="29" t="s">
        <v>119</v>
      </c>
      <c r="AE659" s="36" t="str">
        <f>_xlfn.XLOOKUP(表格1[[#This Row],[唯一識別碼]],API清冊0707!B:B,API清冊0707!T:T,"")&amp;""</f>
        <v>無下拉選單</v>
      </c>
    </row>
    <row r="660" spans="1:31" ht="204.75" customHeight="1" x14ac:dyDescent="0.4">
      <c r="A660" s="29" t="s">
        <v>2788</v>
      </c>
      <c r="B660" s="29"/>
      <c r="C660" s="29"/>
      <c r="D660" s="29" t="s">
        <v>2789</v>
      </c>
      <c r="E660" s="29" t="s">
        <v>2790</v>
      </c>
      <c r="F660" s="29" t="s">
        <v>2791</v>
      </c>
      <c r="G660" s="35"/>
      <c r="H660" s="35" t="s">
        <v>151</v>
      </c>
      <c r="I660" s="29" t="s">
        <v>2788</v>
      </c>
      <c r="J660" s="37"/>
      <c r="K660" s="38"/>
      <c r="L660" s="38"/>
      <c r="M660" s="36" t="s">
        <v>60</v>
      </c>
      <c r="N660" s="15" t="s">
        <v>152</v>
      </c>
      <c r="O660" s="36" t="s">
        <v>162</v>
      </c>
      <c r="P660" s="36" t="str">
        <f t="shared" si="20"/>
        <v>WMTS_1/1000地形圖_桃園市中壢及內壢交流道特定區計畫(100年)</v>
      </c>
      <c r="Q660" s="29" t="s">
        <v>2791</v>
      </c>
      <c r="R660" s="29" t="str">
        <f t="shared" si="21"/>
        <v>2dms_wmts_v1_TOPO01K_H27</v>
      </c>
      <c r="S660" s="39" t="s">
        <v>155</v>
      </c>
      <c r="U660" s="27" t="str">
        <f>_xlfn.XLOOKUP(表格1[[#This Row],[服務類別(英)]],參考2_服務標準對照!$B:$B,參考2_服務標準對照!$C:$C,"")&amp;""</f>
        <v>OGC</v>
      </c>
      <c r="V660" s="29" t="s">
        <v>7</v>
      </c>
      <c r="W660" s="29" t="s">
        <v>163</v>
      </c>
      <c r="X660" s="29" t="s">
        <v>81</v>
      </c>
      <c r="Y660" s="36" t="s">
        <v>83</v>
      </c>
      <c r="Z660" s="36" t="s">
        <v>157</v>
      </c>
      <c r="AA660" s="36" t="s">
        <v>1159</v>
      </c>
      <c r="AB660" s="36"/>
      <c r="AC660" s="36"/>
      <c r="AD660" s="29" t="s">
        <v>119</v>
      </c>
      <c r="AE660" s="36" t="str">
        <f>_xlfn.XLOOKUP(表格1[[#This Row],[唯一識別碼]],API清冊0707!B:B,API清冊0707!T:T,"")&amp;""</f>
        <v>無下拉選單</v>
      </c>
    </row>
    <row r="661" spans="1:31" ht="204.75" customHeight="1" x14ac:dyDescent="0.4">
      <c r="A661" s="29" t="s">
        <v>2792</v>
      </c>
      <c r="B661" s="29"/>
      <c r="C661" s="29"/>
      <c r="D661" s="29" t="s">
        <v>2793</v>
      </c>
      <c r="E661" s="29" t="s">
        <v>2794</v>
      </c>
      <c r="F661" s="29" t="s">
        <v>2795</v>
      </c>
      <c r="G661" s="35"/>
      <c r="H661" s="35" t="s">
        <v>151</v>
      </c>
      <c r="I661" s="29" t="s">
        <v>2792</v>
      </c>
      <c r="J661" s="37"/>
      <c r="K661" s="38"/>
      <c r="L661" s="38"/>
      <c r="M661" s="36" t="s">
        <v>60</v>
      </c>
      <c r="N661" s="15" t="s">
        <v>152</v>
      </c>
      <c r="O661" s="36" t="s">
        <v>162</v>
      </c>
      <c r="P661" s="36" t="str">
        <f t="shared" si="20"/>
        <v>WMTS_1/1000地形圖_桃園市觀音都市計畫(94年)</v>
      </c>
      <c r="Q661" s="29" t="s">
        <v>2795</v>
      </c>
      <c r="R661" s="29" t="str">
        <f t="shared" si="21"/>
        <v>2dms_wmts_v1_TOPO01K_H26</v>
      </c>
      <c r="S661" s="39" t="s">
        <v>155</v>
      </c>
      <c r="U661" s="27" t="str">
        <f>_xlfn.XLOOKUP(表格1[[#This Row],[服務類別(英)]],參考2_服務標準對照!$B:$B,參考2_服務標準對照!$C:$C,"")&amp;""</f>
        <v>OGC</v>
      </c>
      <c r="V661" s="29" t="s">
        <v>7</v>
      </c>
      <c r="W661" s="29" t="s">
        <v>163</v>
      </c>
      <c r="X661" s="29" t="s">
        <v>81</v>
      </c>
      <c r="Y661" s="36" t="s">
        <v>83</v>
      </c>
      <c r="Z661" s="36" t="s">
        <v>157</v>
      </c>
      <c r="AA661" s="36" t="s">
        <v>1159</v>
      </c>
      <c r="AB661" s="36"/>
      <c r="AC661" s="36"/>
      <c r="AD661" s="29" t="s">
        <v>119</v>
      </c>
      <c r="AE661" s="36" t="str">
        <f>_xlfn.XLOOKUP(表格1[[#This Row],[唯一識別碼]],API清冊0707!B:B,API清冊0707!T:T,"")&amp;""</f>
        <v>無下拉選單</v>
      </c>
    </row>
    <row r="662" spans="1:31" ht="204.75" customHeight="1" x14ac:dyDescent="0.4">
      <c r="A662" s="29" t="s">
        <v>2796</v>
      </c>
      <c r="B662" s="29"/>
      <c r="C662" s="29"/>
      <c r="D662" s="29" t="s">
        <v>2797</v>
      </c>
      <c r="E662" s="29" t="s">
        <v>2798</v>
      </c>
      <c r="F662" s="29" t="s">
        <v>2799</v>
      </c>
      <c r="G662" s="35"/>
      <c r="H662" s="35" t="s">
        <v>151</v>
      </c>
      <c r="I662" s="29" t="s">
        <v>2796</v>
      </c>
      <c r="J662" s="37"/>
      <c r="K662" s="38"/>
      <c r="L662" s="38"/>
      <c r="M662" s="36" t="s">
        <v>60</v>
      </c>
      <c r="N662" s="15" t="s">
        <v>152</v>
      </c>
      <c r="O662" s="36" t="s">
        <v>162</v>
      </c>
      <c r="P662" s="36" t="str">
        <f t="shared" si="20"/>
        <v>WMTS_1/1000地形圖_桃園市觀音草漯都市計畫(100年)</v>
      </c>
      <c r="Q662" s="29" t="s">
        <v>2799</v>
      </c>
      <c r="R662" s="29" t="str">
        <f t="shared" si="21"/>
        <v>2dms_wmts_v1_TOPO01K_H25</v>
      </c>
      <c r="S662" s="39" t="s">
        <v>155</v>
      </c>
      <c r="U662" s="27" t="str">
        <f>_xlfn.XLOOKUP(表格1[[#This Row],[服務類別(英)]],參考2_服務標準對照!$B:$B,參考2_服務標準對照!$C:$C,"")&amp;""</f>
        <v>OGC</v>
      </c>
      <c r="V662" s="29" t="s">
        <v>7</v>
      </c>
      <c r="W662" s="29" t="s">
        <v>163</v>
      </c>
      <c r="X662" s="29" t="s">
        <v>81</v>
      </c>
      <c r="Y662" s="36" t="s">
        <v>83</v>
      </c>
      <c r="Z662" s="36" t="s">
        <v>157</v>
      </c>
      <c r="AA662" s="36" t="s">
        <v>1159</v>
      </c>
      <c r="AB662" s="36"/>
      <c r="AC662" s="36"/>
      <c r="AD662" s="29" t="s">
        <v>119</v>
      </c>
      <c r="AE662" s="36" t="str">
        <f>_xlfn.XLOOKUP(表格1[[#This Row],[唯一識別碼]],API清冊0707!B:B,API清冊0707!T:T,"")&amp;""</f>
        <v>無下拉選單</v>
      </c>
    </row>
    <row r="663" spans="1:31" ht="204.75" customHeight="1" x14ac:dyDescent="0.4">
      <c r="A663" s="29" t="s">
        <v>2800</v>
      </c>
      <c r="B663" s="29"/>
      <c r="C663" s="29"/>
      <c r="D663" s="29" t="s">
        <v>2801</v>
      </c>
      <c r="E663" s="29" t="s">
        <v>2802</v>
      </c>
      <c r="F663" s="29" t="s">
        <v>2803</v>
      </c>
      <c r="G663" s="35"/>
      <c r="H663" s="35" t="s">
        <v>151</v>
      </c>
      <c r="I663" s="29" t="s">
        <v>2800</v>
      </c>
      <c r="J663" s="37"/>
      <c r="K663" s="38"/>
      <c r="L663" s="38"/>
      <c r="M663" s="36" t="s">
        <v>60</v>
      </c>
      <c r="N663" s="15" t="s">
        <v>152</v>
      </c>
      <c r="O663" s="36" t="s">
        <v>162</v>
      </c>
      <c r="P663" s="36" t="str">
        <f t="shared" si="20"/>
        <v>WMTS_1/1000地形圖_桃園市觀音新坡都市計畫(94年)</v>
      </c>
      <c r="Q663" s="29" t="s">
        <v>2803</v>
      </c>
      <c r="R663" s="29" t="str">
        <f t="shared" si="21"/>
        <v>2dms_wmts_v1_TOPO01K_H24</v>
      </c>
      <c r="S663" s="39" t="s">
        <v>155</v>
      </c>
      <c r="U663" s="27" t="str">
        <f>_xlfn.XLOOKUP(表格1[[#This Row],[服務類別(英)]],參考2_服務標準對照!$B:$B,參考2_服務標準對照!$C:$C,"")&amp;""</f>
        <v>OGC</v>
      </c>
      <c r="V663" s="29" t="s">
        <v>7</v>
      </c>
      <c r="W663" s="29" t="s">
        <v>163</v>
      </c>
      <c r="X663" s="29" t="s">
        <v>81</v>
      </c>
      <c r="Y663" s="36" t="s">
        <v>83</v>
      </c>
      <c r="Z663" s="36" t="s">
        <v>157</v>
      </c>
      <c r="AA663" s="36" t="s">
        <v>1159</v>
      </c>
      <c r="AB663" s="36"/>
      <c r="AC663" s="36"/>
      <c r="AD663" s="29" t="s">
        <v>119</v>
      </c>
      <c r="AE663" s="36" t="str">
        <f>_xlfn.XLOOKUP(表格1[[#This Row],[唯一識別碼]],API清冊0707!B:B,API清冊0707!T:T,"")&amp;""</f>
        <v>無下拉選單</v>
      </c>
    </row>
    <row r="664" spans="1:31" ht="204.75" customHeight="1" x14ac:dyDescent="0.4">
      <c r="A664" s="29" t="s">
        <v>2804</v>
      </c>
      <c r="B664" s="29"/>
      <c r="C664" s="29"/>
      <c r="D664" s="29" t="s">
        <v>2805</v>
      </c>
      <c r="E664" s="29" t="s">
        <v>2806</v>
      </c>
      <c r="F664" s="29" t="s">
        <v>2807</v>
      </c>
      <c r="G664" s="35"/>
      <c r="H664" s="35" t="s">
        <v>151</v>
      </c>
      <c r="I664" s="29" t="s">
        <v>2804</v>
      </c>
      <c r="J664" s="37"/>
      <c r="K664" s="38"/>
      <c r="L664" s="38"/>
      <c r="M664" s="36" t="s">
        <v>60</v>
      </c>
      <c r="N664" s="15" t="s">
        <v>152</v>
      </c>
      <c r="O664" s="36" t="s">
        <v>162</v>
      </c>
      <c r="P664" s="36" t="str">
        <f t="shared" si="20"/>
        <v>WMTS_1/1000地形圖_桃園市蘆竹大竹都市計畫(98年)</v>
      </c>
      <c r="Q664" s="29" t="s">
        <v>2807</v>
      </c>
      <c r="R664" s="29" t="str">
        <f t="shared" si="21"/>
        <v>2dms_wmts_v1_TOPO01K_H23</v>
      </c>
      <c r="S664" s="39" t="s">
        <v>155</v>
      </c>
      <c r="U664" s="27" t="str">
        <f>_xlfn.XLOOKUP(表格1[[#This Row],[服務類別(英)]],參考2_服務標準對照!$B:$B,參考2_服務標準對照!$C:$C,"")&amp;""</f>
        <v>OGC</v>
      </c>
      <c r="V664" s="29" t="s">
        <v>7</v>
      </c>
      <c r="W664" s="29" t="s">
        <v>163</v>
      </c>
      <c r="X664" s="29" t="s">
        <v>81</v>
      </c>
      <c r="Y664" s="36" t="s">
        <v>83</v>
      </c>
      <c r="Z664" s="36" t="s">
        <v>157</v>
      </c>
      <c r="AA664" s="36" t="s">
        <v>1159</v>
      </c>
      <c r="AB664" s="36"/>
      <c r="AC664" s="36"/>
      <c r="AD664" s="29" t="s">
        <v>119</v>
      </c>
      <c r="AE664" s="36" t="str">
        <f>_xlfn.XLOOKUP(表格1[[#This Row],[唯一識別碼]],API清冊0707!B:B,API清冊0707!T:T,"")&amp;""</f>
        <v>無下拉選單</v>
      </c>
    </row>
    <row r="665" spans="1:31" ht="204.75" customHeight="1" x14ac:dyDescent="0.4">
      <c r="A665" s="29" t="s">
        <v>2808</v>
      </c>
      <c r="B665" s="29"/>
      <c r="C665" s="29"/>
      <c r="D665" s="29" t="s">
        <v>2809</v>
      </c>
      <c r="E665" s="29" t="s">
        <v>2810</v>
      </c>
      <c r="F665" s="29" t="s">
        <v>2811</v>
      </c>
      <c r="G665" s="35"/>
      <c r="H665" s="35" t="s">
        <v>151</v>
      </c>
      <c r="I665" s="29" t="s">
        <v>2808</v>
      </c>
      <c r="J665" s="37"/>
      <c r="K665" s="38"/>
      <c r="L665" s="38"/>
      <c r="M665" s="36" t="s">
        <v>60</v>
      </c>
      <c r="N665" s="15" t="s">
        <v>152</v>
      </c>
      <c r="O665" s="36" t="s">
        <v>162</v>
      </c>
      <c r="P665" s="36" t="str">
        <f t="shared" si="20"/>
        <v>WMTS_1/1000地形圖_桃園市航空城(大園南港特定區)計畫(98年)</v>
      </c>
      <c r="Q665" s="29" t="s">
        <v>2811</v>
      </c>
      <c r="R665" s="29" t="str">
        <f t="shared" si="21"/>
        <v>2dms_wmts_v1_TOPO01K_H22</v>
      </c>
      <c r="S665" s="39" t="s">
        <v>155</v>
      </c>
      <c r="U665" s="27" t="str">
        <f>_xlfn.XLOOKUP(表格1[[#This Row],[服務類別(英)]],參考2_服務標準對照!$B:$B,參考2_服務標準對照!$C:$C,"")&amp;""</f>
        <v>OGC</v>
      </c>
      <c r="V665" s="29" t="s">
        <v>7</v>
      </c>
      <c r="W665" s="29" t="s">
        <v>163</v>
      </c>
      <c r="X665" s="29" t="s">
        <v>81</v>
      </c>
      <c r="Y665" s="36" t="s">
        <v>83</v>
      </c>
      <c r="Z665" s="36" t="s">
        <v>157</v>
      </c>
      <c r="AA665" s="36" t="s">
        <v>1159</v>
      </c>
      <c r="AB665" s="36"/>
      <c r="AC665" s="36"/>
      <c r="AD665" s="29" t="s">
        <v>119</v>
      </c>
      <c r="AE665" s="36" t="str">
        <f>_xlfn.XLOOKUP(表格1[[#This Row],[唯一識別碼]],API清冊0707!B:B,API清冊0707!T:T,"")&amp;""</f>
        <v>無下拉選單</v>
      </c>
    </row>
    <row r="666" spans="1:31" ht="204.75" customHeight="1" x14ac:dyDescent="0.4">
      <c r="A666" s="29" t="s">
        <v>2812</v>
      </c>
      <c r="B666" s="29"/>
      <c r="C666" s="29"/>
      <c r="D666" s="29" t="s">
        <v>2813</v>
      </c>
      <c r="E666" s="29" t="s">
        <v>2814</v>
      </c>
      <c r="F666" s="29" t="s">
        <v>2815</v>
      </c>
      <c r="G666" s="35"/>
      <c r="H666" s="35" t="s">
        <v>151</v>
      </c>
      <c r="I666" s="29" t="s">
        <v>2812</v>
      </c>
      <c r="J666" s="37"/>
      <c r="K666" s="38"/>
      <c r="L666" s="38"/>
      <c r="M666" s="36" t="s">
        <v>60</v>
      </c>
      <c r="N666" s="15" t="s">
        <v>152</v>
      </c>
      <c r="O666" s="36" t="s">
        <v>162</v>
      </c>
      <c r="P666" s="36" t="str">
        <f t="shared" si="20"/>
        <v>WMTS_1/1000地形圖_桃園市縱貫公路內壢間都市計畫(100年)</v>
      </c>
      <c r="Q666" s="29" t="s">
        <v>2815</v>
      </c>
      <c r="R666" s="29" t="str">
        <f t="shared" si="21"/>
        <v>2dms_wmts_v1_TOPO01K_H21</v>
      </c>
      <c r="S666" s="39" t="s">
        <v>155</v>
      </c>
      <c r="U666" s="27" t="str">
        <f>_xlfn.XLOOKUP(表格1[[#This Row],[服務類別(英)]],參考2_服務標準對照!$B:$B,參考2_服務標準對照!$C:$C,"")&amp;""</f>
        <v>OGC</v>
      </c>
      <c r="V666" s="29" t="s">
        <v>7</v>
      </c>
      <c r="W666" s="29" t="s">
        <v>163</v>
      </c>
      <c r="X666" s="29" t="s">
        <v>81</v>
      </c>
      <c r="Y666" s="36" t="s">
        <v>83</v>
      </c>
      <c r="Z666" s="36" t="s">
        <v>157</v>
      </c>
      <c r="AA666" s="36" t="s">
        <v>1159</v>
      </c>
      <c r="AB666" s="36"/>
      <c r="AC666" s="36"/>
      <c r="AD666" s="29" t="s">
        <v>119</v>
      </c>
      <c r="AE666" s="36" t="str">
        <f>_xlfn.XLOOKUP(表格1[[#This Row],[唯一識別碼]],API清冊0707!B:B,API清冊0707!T:T,"")&amp;""</f>
        <v>無下拉選單</v>
      </c>
    </row>
    <row r="667" spans="1:31" ht="204.75" customHeight="1" x14ac:dyDescent="0.4">
      <c r="A667" s="29" t="s">
        <v>2816</v>
      </c>
      <c r="B667" s="29"/>
      <c r="C667" s="29"/>
      <c r="D667" s="29" t="s">
        <v>2817</v>
      </c>
      <c r="E667" s="29" t="s">
        <v>2818</v>
      </c>
      <c r="F667" s="29" t="s">
        <v>2819</v>
      </c>
      <c r="G667" s="35"/>
      <c r="H667" s="35" t="s">
        <v>151</v>
      </c>
      <c r="I667" s="29" t="s">
        <v>2816</v>
      </c>
      <c r="J667" s="37"/>
      <c r="K667" s="38"/>
      <c r="L667" s="38"/>
      <c r="M667" s="36" t="s">
        <v>60</v>
      </c>
      <c r="N667" s="15" t="s">
        <v>152</v>
      </c>
      <c r="O667" s="36" t="s">
        <v>162</v>
      </c>
      <c r="P667" s="36" t="str">
        <f t="shared" si="20"/>
        <v>WMTS_1/1000地形圖_桃園市石門都市計畫(102年)</v>
      </c>
      <c r="Q667" s="29" t="s">
        <v>2819</v>
      </c>
      <c r="R667" s="29" t="str">
        <f t="shared" si="21"/>
        <v>2dms_wmts_v1_TOPO01K_H20</v>
      </c>
      <c r="S667" s="39" t="s">
        <v>155</v>
      </c>
      <c r="U667" s="27" t="str">
        <f>_xlfn.XLOOKUP(表格1[[#This Row],[服務類別(英)]],參考2_服務標準對照!$B:$B,參考2_服務標準對照!$C:$C,"")&amp;""</f>
        <v>OGC</v>
      </c>
      <c r="V667" s="29" t="s">
        <v>7</v>
      </c>
      <c r="W667" s="29" t="s">
        <v>163</v>
      </c>
      <c r="X667" s="29" t="s">
        <v>81</v>
      </c>
      <c r="Y667" s="36" t="s">
        <v>83</v>
      </c>
      <c r="Z667" s="36" t="s">
        <v>157</v>
      </c>
      <c r="AA667" s="36" t="s">
        <v>1159</v>
      </c>
      <c r="AB667" s="36"/>
      <c r="AC667" s="36"/>
      <c r="AD667" s="29" t="s">
        <v>119</v>
      </c>
      <c r="AE667" s="36" t="str">
        <f>_xlfn.XLOOKUP(表格1[[#This Row],[唯一識別碼]],API清冊0707!B:B,API清冊0707!T:T,"")&amp;""</f>
        <v>無下拉選單</v>
      </c>
    </row>
    <row r="668" spans="1:31" ht="204.75" customHeight="1" x14ac:dyDescent="0.4">
      <c r="A668" s="29" t="s">
        <v>2820</v>
      </c>
      <c r="B668" s="29"/>
      <c r="C668" s="29"/>
      <c r="D668" s="29" t="s">
        <v>2821</v>
      </c>
      <c r="E668" s="29" t="s">
        <v>2822</v>
      </c>
      <c r="F668" s="29" t="s">
        <v>2823</v>
      </c>
      <c r="G668" s="35"/>
      <c r="H668" s="35" t="s">
        <v>151</v>
      </c>
      <c r="I668" s="29" t="s">
        <v>2820</v>
      </c>
      <c r="J668" s="37"/>
      <c r="K668" s="38"/>
      <c r="L668" s="38"/>
      <c r="M668" s="36" t="s">
        <v>60</v>
      </c>
      <c r="N668" s="15" t="s">
        <v>152</v>
      </c>
      <c r="O668" s="36" t="s">
        <v>162</v>
      </c>
      <c r="P668" s="36" t="str">
        <f t="shared" si="20"/>
        <v>WMTS_1/1000地形圖_桃園市石門水庫水源特定區計畫(100年)</v>
      </c>
      <c r="Q668" s="29" t="s">
        <v>2823</v>
      </c>
      <c r="R668" s="29" t="str">
        <f t="shared" si="21"/>
        <v>2dms_wmts_v1_TOPO01K_H19</v>
      </c>
      <c r="S668" s="39" t="s">
        <v>155</v>
      </c>
      <c r="U668" s="27" t="str">
        <f>_xlfn.XLOOKUP(表格1[[#This Row],[服務類別(英)]],參考2_服務標準對照!$B:$B,參考2_服務標準對照!$C:$C,"")&amp;""</f>
        <v>OGC</v>
      </c>
      <c r="V668" s="29" t="s">
        <v>7</v>
      </c>
      <c r="W668" s="29" t="s">
        <v>163</v>
      </c>
      <c r="X668" s="29" t="s">
        <v>81</v>
      </c>
      <c r="Y668" s="36" t="s">
        <v>83</v>
      </c>
      <c r="Z668" s="36" t="s">
        <v>157</v>
      </c>
      <c r="AA668" s="36" t="s">
        <v>1159</v>
      </c>
      <c r="AB668" s="36"/>
      <c r="AC668" s="36"/>
      <c r="AD668" s="29" t="s">
        <v>119</v>
      </c>
      <c r="AE668" s="36" t="str">
        <f>_xlfn.XLOOKUP(表格1[[#This Row],[唯一識別碼]],API清冊0707!B:B,API清冊0707!T:T,"")&amp;""</f>
        <v>無下拉選單</v>
      </c>
    </row>
    <row r="669" spans="1:31" ht="204.75" customHeight="1" x14ac:dyDescent="0.4">
      <c r="A669" s="29" t="s">
        <v>2824</v>
      </c>
      <c r="B669" s="29"/>
      <c r="C669" s="29"/>
      <c r="D669" s="29" t="s">
        <v>2825</v>
      </c>
      <c r="E669" s="29" t="s">
        <v>2826</v>
      </c>
      <c r="F669" s="29" t="s">
        <v>2827</v>
      </c>
      <c r="G669" s="35"/>
      <c r="H669" s="35" t="s">
        <v>151</v>
      </c>
      <c r="I669" s="29" t="s">
        <v>2824</v>
      </c>
      <c r="J669" s="37"/>
      <c r="K669" s="38"/>
      <c r="L669" s="38"/>
      <c r="M669" s="36" t="s">
        <v>60</v>
      </c>
      <c r="N669" s="15" t="s">
        <v>152</v>
      </c>
      <c r="O669" s="36" t="s">
        <v>162</v>
      </c>
      <c r="P669" s="36" t="str">
        <f t="shared" si="20"/>
        <v>WMTS_1/1000地形圖_桃園市楊梅都市計畫(102年)</v>
      </c>
      <c r="Q669" s="29" t="s">
        <v>2827</v>
      </c>
      <c r="R669" s="29" t="str">
        <f t="shared" si="21"/>
        <v>2dms_wmts_v1_TOPO01K_H18</v>
      </c>
      <c r="S669" s="39" t="s">
        <v>155</v>
      </c>
      <c r="U669" s="27" t="str">
        <f>_xlfn.XLOOKUP(表格1[[#This Row],[服務類別(英)]],參考2_服務標準對照!$B:$B,參考2_服務標準對照!$C:$C,"")&amp;""</f>
        <v>OGC</v>
      </c>
      <c r="V669" s="29" t="s">
        <v>7</v>
      </c>
      <c r="W669" s="29" t="s">
        <v>163</v>
      </c>
      <c r="X669" s="29" t="s">
        <v>81</v>
      </c>
      <c r="Y669" s="36" t="s">
        <v>83</v>
      </c>
      <c r="Z669" s="36" t="s">
        <v>157</v>
      </c>
      <c r="AA669" s="36" t="s">
        <v>1159</v>
      </c>
      <c r="AB669" s="36"/>
      <c r="AC669" s="36"/>
      <c r="AD669" s="29" t="s">
        <v>119</v>
      </c>
      <c r="AE669" s="36" t="str">
        <f>_xlfn.XLOOKUP(表格1[[#This Row],[唯一識別碼]],API清冊0707!B:B,API清冊0707!T:T,"")&amp;""</f>
        <v>無下拉選單</v>
      </c>
    </row>
    <row r="670" spans="1:31" ht="204.75" customHeight="1" x14ac:dyDescent="0.4">
      <c r="A670" s="29" t="s">
        <v>2828</v>
      </c>
      <c r="B670" s="29"/>
      <c r="C670" s="29"/>
      <c r="D670" s="29" t="s">
        <v>2829</v>
      </c>
      <c r="E670" s="29" t="s">
        <v>2830</v>
      </c>
      <c r="F670" s="29" t="s">
        <v>2831</v>
      </c>
      <c r="G670" s="35"/>
      <c r="H670" s="35" t="s">
        <v>151</v>
      </c>
      <c r="I670" s="29" t="s">
        <v>2828</v>
      </c>
      <c r="J670" s="37"/>
      <c r="K670" s="38"/>
      <c r="L670" s="38"/>
      <c r="M670" s="36" t="s">
        <v>60</v>
      </c>
      <c r="N670" s="15" t="s">
        <v>152</v>
      </c>
      <c r="O670" s="36" t="s">
        <v>162</v>
      </c>
      <c r="P670" s="36" t="str">
        <f t="shared" si="20"/>
        <v>WMTS_1/1000地形圖_桃園市楊梅富岡豐野都市計畫(100年)</v>
      </c>
      <c r="Q670" s="29" t="s">
        <v>2831</v>
      </c>
      <c r="R670" s="29" t="str">
        <f t="shared" si="21"/>
        <v>2dms_wmts_v1_TOPO01K_H17</v>
      </c>
      <c r="S670" s="39" t="s">
        <v>155</v>
      </c>
      <c r="U670" s="27" t="str">
        <f>_xlfn.XLOOKUP(表格1[[#This Row],[服務類別(英)]],參考2_服務標準對照!$B:$B,參考2_服務標準對照!$C:$C,"")&amp;""</f>
        <v>OGC</v>
      </c>
      <c r="V670" s="29" t="s">
        <v>7</v>
      </c>
      <c r="W670" s="29" t="s">
        <v>163</v>
      </c>
      <c r="X670" s="29" t="s">
        <v>81</v>
      </c>
      <c r="Y670" s="36" t="s">
        <v>83</v>
      </c>
      <c r="Z670" s="36" t="s">
        <v>157</v>
      </c>
      <c r="AA670" s="36" t="s">
        <v>1159</v>
      </c>
      <c r="AB670" s="36"/>
      <c r="AC670" s="36"/>
      <c r="AD670" s="29" t="s">
        <v>119</v>
      </c>
      <c r="AE670" s="36" t="str">
        <f>_xlfn.XLOOKUP(表格1[[#This Row],[唯一識別碼]],API清冊0707!B:B,API清冊0707!T:T,"")&amp;""</f>
        <v>無下拉選單</v>
      </c>
    </row>
    <row r="671" spans="1:31" ht="204.75" customHeight="1" x14ac:dyDescent="0.4">
      <c r="A671" s="29" t="s">
        <v>2832</v>
      </c>
      <c r="B671" s="29"/>
      <c r="C671" s="29"/>
      <c r="D671" s="29" t="s">
        <v>2833</v>
      </c>
      <c r="E671" s="29" t="s">
        <v>2834</v>
      </c>
      <c r="F671" s="29" t="s">
        <v>2835</v>
      </c>
      <c r="G671" s="35"/>
      <c r="H671" s="35" t="s">
        <v>151</v>
      </c>
      <c r="I671" s="29" t="s">
        <v>2832</v>
      </c>
      <c r="J671" s="37"/>
      <c r="K671" s="38"/>
      <c r="L671" s="38"/>
      <c r="M671" s="36" t="s">
        <v>60</v>
      </c>
      <c r="N671" s="15" t="s">
        <v>152</v>
      </c>
      <c r="O671" s="36" t="s">
        <v>162</v>
      </c>
      <c r="P671" s="36" t="str">
        <f t="shared" si="20"/>
        <v>WMTS_1/1000地形圖_桃園市桃園市都市計畫(103(105年)</v>
      </c>
      <c r="Q671" s="29" t="s">
        <v>2835</v>
      </c>
      <c r="R671" s="29" t="str">
        <f t="shared" si="21"/>
        <v>2dms_wmts_v1_TOPO01K_H16</v>
      </c>
      <c r="S671" s="39" t="s">
        <v>155</v>
      </c>
      <c r="U671" s="27" t="str">
        <f>_xlfn.XLOOKUP(表格1[[#This Row],[服務類別(英)]],參考2_服務標準對照!$B:$B,參考2_服務標準對照!$C:$C,"")&amp;""</f>
        <v>OGC</v>
      </c>
      <c r="V671" s="29" t="s">
        <v>7</v>
      </c>
      <c r="W671" s="29" t="s">
        <v>163</v>
      </c>
      <c r="X671" s="29" t="s">
        <v>81</v>
      </c>
      <c r="Y671" s="36" t="s">
        <v>83</v>
      </c>
      <c r="Z671" s="36" t="s">
        <v>157</v>
      </c>
      <c r="AA671" s="36" t="s">
        <v>1159</v>
      </c>
      <c r="AB671" s="36"/>
      <c r="AC671" s="36"/>
      <c r="AD671" s="29" t="s">
        <v>119</v>
      </c>
      <c r="AE671" s="36" t="str">
        <f>_xlfn.XLOOKUP(表格1[[#This Row],[唯一識別碼]],API清冊0707!B:B,API清冊0707!T:T,"")&amp;""</f>
        <v>無下拉選單</v>
      </c>
    </row>
    <row r="672" spans="1:31" ht="204.75" customHeight="1" x14ac:dyDescent="0.4">
      <c r="A672" s="29" t="s">
        <v>2836</v>
      </c>
      <c r="B672" s="29"/>
      <c r="C672" s="29"/>
      <c r="D672" s="29" t="s">
        <v>2837</v>
      </c>
      <c r="E672" s="29" t="s">
        <v>2838</v>
      </c>
      <c r="F672" s="29" t="s">
        <v>2839</v>
      </c>
      <c r="G672" s="35"/>
      <c r="H672" s="35" t="s">
        <v>151</v>
      </c>
      <c r="I672" s="29" t="s">
        <v>2836</v>
      </c>
      <c r="J672" s="37"/>
      <c r="K672" s="38"/>
      <c r="L672" s="38"/>
      <c r="M672" s="36" t="s">
        <v>60</v>
      </c>
      <c r="N672" s="15" t="s">
        <v>152</v>
      </c>
      <c r="O672" s="36" t="s">
        <v>162</v>
      </c>
      <c r="P672" s="36" t="str">
        <f t="shared" si="20"/>
        <v>WMTS_1/1000地形圖_桃園市林口特定區計畫(101年)</v>
      </c>
      <c r="Q672" s="29" t="s">
        <v>2839</v>
      </c>
      <c r="R672" s="29" t="str">
        <f t="shared" si="21"/>
        <v>2dms_wmts_v1_TOPO01K_H15</v>
      </c>
      <c r="S672" s="39" t="s">
        <v>155</v>
      </c>
      <c r="U672" s="27" t="str">
        <f>_xlfn.XLOOKUP(表格1[[#This Row],[服務類別(英)]],參考2_服務標準對照!$B:$B,參考2_服務標準對照!$C:$C,"")&amp;""</f>
        <v>OGC</v>
      </c>
      <c r="V672" s="29" t="s">
        <v>7</v>
      </c>
      <c r="W672" s="29" t="s">
        <v>163</v>
      </c>
      <c r="X672" s="29" t="s">
        <v>81</v>
      </c>
      <c r="Y672" s="36" t="s">
        <v>83</v>
      </c>
      <c r="Z672" s="36" t="s">
        <v>157</v>
      </c>
      <c r="AA672" s="36" t="s">
        <v>1159</v>
      </c>
      <c r="AB672" s="36"/>
      <c r="AC672" s="36"/>
      <c r="AD672" s="29" t="s">
        <v>119</v>
      </c>
      <c r="AE672" s="36" t="str">
        <f>_xlfn.XLOOKUP(表格1[[#This Row],[唯一識別碼]],API清冊0707!B:B,API清冊0707!T:T,"")&amp;""</f>
        <v>無下拉選單</v>
      </c>
    </row>
    <row r="673" spans="1:31" ht="204.75" customHeight="1" x14ac:dyDescent="0.4">
      <c r="A673" s="29" t="s">
        <v>2840</v>
      </c>
      <c r="B673" s="29"/>
      <c r="C673" s="29"/>
      <c r="D673" s="29" t="s">
        <v>2841</v>
      </c>
      <c r="E673" s="29" t="s">
        <v>2842</v>
      </c>
      <c r="F673" s="29" t="s">
        <v>2843</v>
      </c>
      <c r="G673" s="35"/>
      <c r="H673" s="35" t="s">
        <v>151</v>
      </c>
      <c r="I673" s="29" t="s">
        <v>2840</v>
      </c>
      <c r="J673" s="37"/>
      <c r="K673" s="38"/>
      <c r="L673" s="38"/>
      <c r="M673" s="36" t="s">
        <v>60</v>
      </c>
      <c r="N673" s="15" t="s">
        <v>152</v>
      </c>
      <c r="O673" s="36" t="s">
        <v>162</v>
      </c>
      <c r="P673" s="36" t="str">
        <f t="shared" si="20"/>
        <v>WMTS_1/1000地形圖_桃園市新屋都市計畫(100年)</v>
      </c>
      <c r="Q673" s="29" t="s">
        <v>2843</v>
      </c>
      <c r="R673" s="29" t="str">
        <f t="shared" si="21"/>
        <v>2dms_wmts_v1_TOPO01K_H14</v>
      </c>
      <c r="S673" s="39" t="s">
        <v>155</v>
      </c>
      <c r="U673" s="27" t="str">
        <f>_xlfn.XLOOKUP(表格1[[#This Row],[服務類別(英)]],參考2_服務標準對照!$B:$B,參考2_服務標準對照!$C:$C,"")&amp;""</f>
        <v>OGC</v>
      </c>
      <c r="V673" s="29" t="s">
        <v>7</v>
      </c>
      <c r="W673" s="29" t="s">
        <v>163</v>
      </c>
      <c r="X673" s="29" t="s">
        <v>81</v>
      </c>
      <c r="Y673" s="36" t="s">
        <v>83</v>
      </c>
      <c r="Z673" s="36" t="s">
        <v>157</v>
      </c>
      <c r="AA673" s="36" t="s">
        <v>1159</v>
      </c>
      <c r="AB673" s="36"/>
      <c r="AC673" s="36"/>
      <c r="AD673" s="29" t="s">
        <v>119</v>
      </c>
      <c r="AE673" s="36" t="str">
        <f>_xlfn.XLOOKUP(表格1[[#This Row],[唯一識別碼]],API清冊0707!B:B,API清冊0707!T:T,"")&amp;""</f>
        <v>無下拉選單</v>
      </c>
    </row>
    <row r="674" spans="1:31" ht="204.75" customHeight="1" x14ac:dyDescent="0.4">
      <c r="A674" s="29" t="s">
        <v>2844</v>
      </c>
      <c r="B674" s="29"/>
      <c r="C674" s="29"/>
      <c r="D674" s="29" t="s">
        <v>2845</v>
      </c>
      <c r="E674" s="29" t="s">
        <v>2846</v>
      </c>
      <c r="F674" s="29" t="s">
        <v>2847</v>
      </c>
      <c r="G674" s="35"/>
      <c r="H674" s="35" t="s">
        <v>151</v>
      </c>
      <c r="I674" s="29" t="s">
        <v>2844</v>
      </c>
      <c r="J674" s="37"/>
      <c r="K674" s="38"/>
      <c r="L674" s="38"/>
      <c r="M674" s="36" t="s">
        <v>60</v>
      </c>
      <c r="N674" s="15" t="s">
        <v>152</v>
      </c>
      <c r="O674" s="36" t="s">
        <v>162</v>
      </c>
      <c r="P674" s="36" t="str">
        <f t="shared" si="20"/>
        <v>WMTS_1/1000地形圖_桃園市復興都市計畫(94年)</v>
      </c>
      <c r="Q674" s="29" t="s">
        <v>2847</v>
      </c>
      <c r="R674" s="29" t="str">
        <f t="shared" si="21"/>
        <v>2dms_wmts_v1_TOPO01K_H13</v>
      </c>
      <c r="S674" s="39" t="s">
        <v>155</v>
      </c>
      <c r="U674" s="27" t="str">
        <f>_xlfn.XLOOKUP(表格1[[#This Row],[服務類別(英)]],參考2_服務標準對照!$B:$B,參考2_服務標準對照!$C:$C,"")&amp;""</f>
        <v>OGC</v>
      </c>
      <c r="V674" s="29" t="s">
        <v>7</v>
      </c>
      <c r="W674" s="29" t="s">
        <v>163</v>
      </c>
      <c r="X674" s="29" t="s">
        <v>81</v>
      </c>
      <c r="Y674" s="36" t="s">
        <v>83</v>
      </c>
      <c r="Z674" s="36" t="s">
        <v>157</v>
      </c>
      <c r="AA674" s="36" t="s">
        <v>1159</v>
      </c>
      <c r="AB674" s="36"/>
      <c r="AC674" s="36"/>
      <c r="AD674" s="29" t="s">
        <v>119</v>
      </c>
      <c r="AE674" s="36" t="str">
        <f>_xlfn.XLOOKUP(表格1[[#This Row],[唯一識別碼]],API清冊0707!B:B,API清冊0707!T:T,"")&amp;""</f>
        <v>無下拉選單</v>
      </c>
    </row>
    <row r="675" spans="1:31" ht="204.75" customHeight="1" x14ac:dyDescent="0.4">
      <c r="A675" s="29" t="s">
        <v>2848</v>
      </c>
      <c r="B675" s="29"/>
      <c r="C675" s="29"/>
      <c r="D675" s="29" t="s">
        <v>2849</v>
      </c>
      <c r="E675" s="29" t="s">
        <v>2850</v>
      </c>
      <c r="F675" s="29" t="s">
        <v>2851</v>
      </c>
      <c r="G675" s="35"/>
      <c r="H675" s="35" t="s">
        <v>151</v>
      </c>
      <c r="I675" s="29" t="s">
        <v>2848</v>
      </c>
      <c r="J675" s="37"/>
      <c r="K675" s="38"/>
      <c r="L675" s="38"/>
      <c r="M675" s="36" t="s">
        <v>60</v>
      </c>
      <c r="N675" s="15" t="s">
        <v>152</v>
      </c>
      <c r="O675" s="36" t="s">
        <v>162</v>
      </c>
      <c r="P675" s="36" t="str">
        <f t="shared" si="20"/>
        <v>WMTS_1/1000地形圖_桃園市平鎮山子頂都市計畫(96年)</v>
      </c>
      <c r="Q675" s="29" t="s">
        <v>2851</v>
      </c>
      <c r="R675" s="29" t="str">
        <f t="shared" si="21"/>
        <v>2dms_wmts_v1_TOPO01K_H12</v>
      </c>
      <c r="S675" s="39" t="s">
        <v>155</v>
      </c>
      <c r="U675" s="27" t="str">
        <f>_xlfn.XLOOKUP(表格1[[#This Row],[服務類別(英)]],參考2_服務標準對照!$B:$B,參考2_服務標準對照!$C:$C,"")&amp;""</f>
        <v>OGC</v>
      </c>
      <c r="V675" s="29" t="s">
        <v>7</v>
      </c>
      <c r="W675" s="29" t="s">
        <v>163</v>
      </c>
      <c r="X675" s="29" t="s">
        <v>81</v>
      </c>
      <c r="Y675" s="36" t="s">
        <v>83</v>
      </c>
      <c r="Z675" s="36" t="s">
        <v>157</v>
      </c>
      <c r="AA675" s="36" t="s">
        <v>1159</v>
      </c>
      <c r="AB675" s="36"/>
      <c r="AC675" s="36"/>
      <c r="AD675" s="29" t="s">
        <v>119</v>
      </c>
      <c r="AE675" s="36" t="str">
        <f>_xlfn.XLOOKUP(表格1[[#This Row],[唯一識別碼]],API清冊0707!B:B,API清冊0707!T:T,"")&amp;""</f>
        <v>無下拉選單</v>
      </c>
    </row>
    <row r="676" spans="1:31" ht="204.75" customHeight="1" x14ac:dyDescent="0.4">
      <c r="A676" s="29" t="s">
        <v>2852</v>
      </c>
      <c r="B676" s="29"/>
      <c r="C676" s="29"/>
      <c r="D676" s="29" t="s">
        <v>2853</v>
      </c>
      <c r="E676" s="29" t="s">
        <v>2854</v>
      </c>
      <c r="F676" s="29" t="s">
        <v>2855</v>
      </c>
      <c r="G676" s="35"/>
      <c r="H676" s="35" t="s">
        <v>151</v>
      </c>
      <c r="I676" s="29" t="s">
        <v>2852</v>
      </c>
      <c r="J676" s="37"/>
      <c r="K676" s="38"/>
      <c r="L676" s="38"/>
      <c r="M676" s="36" t="s">
        <v>60</v>
      </c>
      <c r="N676" s="15" t="s">
        <v>152</v>
      </c>
      <c r="O676" s="36" t="s">
        <v>162</v>
      </c>
      <c r="P676" s="36" t="str">
        <f t="shared" si="20"/>
        <v>WMTS_1/1000地形圖_桃園市巴陵達觀山風景特定區計畫(100年)</v>
      </c>
      <c r="Q676" s="29" t="s">
        <v>2855</v>
      </c>
      <c r="R676" s="29" t="str">
        <f t="shared" si="21"/>
        <v>2dms_wmts_v1_TOPO01K_H11</v>
      </c>
      <c r="S676" s="39" t="s">
        <v>155</v>
      </c>
      <c r="U676" s="27" t="str">
        <f>_xlfn.XLOOKUP(表格1[[#This Row],[服務類別(英)]],參考2_服務標準對照!$B:$B,參考2_服務標準對照!$C:$C,"")&amp;""</f>
        <v>OGC</v>
      </c>
      <c r="V676" s="29" t="s">
        <v>7</v>
      </c>
      <c r="W676" s="29" t="s">
        <v>163</v>
      </c>
      <c r="X676" s="29" t="s">
        <v>81</v>
      </c>
      <c r="Y676" s="36" t="s">
        <v>83</v>
      </c>
      <c r="Z676" s="36" t="s">
        <v>157</v>
      </c>
      <c r="AA676" s="36" t="s">
        <v>1159</v>
      </c>
      <c r="AB676" s="36"/>
      <c r="AC676" s="36"/>
      <c r="AD676" s="29" t="s">
        <v>119</v>
      </c>
      <c r="AE676" s="36" t="str">
        <f>_xlfn.XLOOKUP(表格1[[#This Row],[唯一識別碼]],API清冊0707!B:B,API清冊0707!T:T,"")&amp;""</f>
        <v>無下拉選單</v>
      </c>
    </row>
    <row r="677" spans="1:31" ht="204.75" customHeight="1" x14ac:dyDescent="0.4">
      <c r="A677" s="29" t="s">
        <v>2856</v>
      </c>
      <c r="B677" s="29"/>
      <c r="C677" s="29"/>
      <c r="D677" s="29" t="s">
        <v>2857</v>
      </c>
      <c r="E677" s="29" t="s">
        <v>2858</v>
      </c>
      <c r="F677" s="29" t="s">
        <v>2859</v>
      </c>
      <c r="G677" s="35"/>
      <c r="H677" s="35" t="s">
        <v>151</v>
      </c>
      <c r="I677" s="29" t="s">
        <v>2856</v>
      </c>
      <c r="J677" s="37"/>
      <c r="K677" s="38"/>
      <c r="L677" s="38"/>
      <c r="M677" s="36" t="s">
        <v>60</v>
      </c>
      <c r="N677" s="15" t="s">
        <v>152</v>
      </c>
      <c r="O677" s="36" t="s">
        <v>162</v>
      </c>
      <c r="P677" s="36" t="str">
        <f t="shared" si="20"/>
        <v>WMTS_1/1000地形圖_桃園市小烏來風景特定區計畫(100年)</v>
      </c>
      <c r="Q677" s="29" t="s">
        <v>2859</v>
      </c>
      <c r="R677" s="29" t="str">
        <f t="shared" si="21"/>
        <v>2dms_wmts_v1_TOPO01K_H10</v>
      </c>
      <c r="S677" s="39" t="s">
        <v>155</v>
      </c>
      <c r="U677" s="27" t="str">
        <f>_xlfn.XLOOKUP(表格1[[#This Row],[服務類別(英)]],參考2_服務標準對照!$B:$B,參考2_服務標準對照!$C:$C,"")&amp;""</f>
        <v>OGC</v>
      </c>
      <c r="V677" s="29" t="s">
        <v>7</v>
      </c>
      <c r="W677" s="29" t="s">
        <v>163</v>
      </c>
      <c r="X677" s="29" t="s">
        <v>81</v>
      </c>
      <c r="Y677" s="36" t="s">
        <v>83</v>
      </c>
      <c r="Z677" s="36" t="s">
        <v>157</v>
      </c>
      <c r="AA677" s="36" t="s">
        <v>1159</v>
      </c>
      <c r="AB677" s="36"/>
      <c r="AC677" s="36"/>
      <c r="AD677" s="29" t="s">
        <v>119</v>
      </c>
      <c r="AE677" s="36" t="str">
        <f>_xlfn.XLOOKUP(表格1[[#This Row],[唯一識別碼]],API清冊0707!B:B,API清冊0707!T:T,"")&amp;""</f>
        <v>無下拉選單</v>
      </c>
    </row>
    <row r="678" spans="1:31" ht="204.75" customHeight="1" x14ac:dyDescent="0.4">
      <c r="A678" s="29" t="s">
        <v>2860</v>
      </c>
      <c r="B678" s="29"/>
      <c r="C678" s="29"/>
      <c r="D678" s="29" t="s">
        <v>2861</v>
      </c>
      <c r="E678" s="29" t="s">
        <v>2862</v>
      </c>
      <c r="F678" s="29" t="s">
        <v>2863</v>
      </c>
      <c r="G678" s="35"/>
      <c r="H678" s="35" t="s">
        <v>151</v>
      </c>
      <c r="I678" s="29" t="s">
        <v>2860</v>
      </c>
      <c r="J678" s="37"/>
      <c r="K678" s="38"/>
      <c r="L678" s="38"/>
      <c r="M678" s="36" t="s">
        <v>60</v>
      </c>
      <c r="N678" s="15" t="s">
        <v>152</v>
      </c>
      <c r="O678" s="36" t="s">
        <v>162</v>
      </c>
      <c r="P678" s="36" t="str">
        <f t="shared" si="20"/>
        <v>WMTS_1/1000地形圖_桃園市大溪都市計畫(93年)</v>
      </c>
      <c r="Q678" s="29" t="s">
        <v>2863</v>
      </c>
      <c r="R678" s="29" t="str">
        <f t="shared" si="21"/>
        <v>2dms_wmts_v1_TOPO01K_H09</v>
      </c>
      <c r="S678" s="39" t="s">
        <v>155</v>
      </c>
      <c r="U678" s="27" t="str">
        <f>_xlfn.XLOOKUP(表格1[[#This Row],[服務類別(英)]],參考2_服務標準對照!$B:$B,參考2_服務標準對照!$C:$C,"")&amp;""</f>
        <v>OGC</v>
      </c>
      <c r="V678" s="29" t="s">
        <v>7</v>
      </c>
      <c r="W678" s="29" t="s">
        <v>163</v>
      </c>
      <c r="X678" s="29" t="s">
        <v>81</v>
      </c>
      <c r="Y678" s="36" t="s">
        <v>83</v>
      </c>
      <c r="Z678" s="36" t="s">
        <v>157</v>
      </c>
      <c r="AA678" s="36" t="s">
        <v>1159</v>
      </c>
      <c r="AB678" s="36"/>
      <c r="AC678" s="36"/>
      <c r="AD678" s="29" t="s">
        <v>119</v>
      </c>
      <c r="AE678" s="36" t="str">
        <f>_xlfn.XLOOKUP(表格1[[#This Row],[唯一識別碼]],API清冊0707!B:B,API清冊0707!T:T,"")&amp;""</f>
        <v>無下拉選單</v>
      </c>
    </row>
    <row r="679" spans="1:31" ht="204.75" customHeight="1" x14ac:dyDescent="0.4">
      <c r="A679" s="29" t="s">
        <v>2864</v>
      </c>
      <c r="B679" s="29"/>
      <c r="C679" s="29"/>
      <c r="D679" s="29" t="s">
        <v>2865</v>
      </c>
      <c r="E679" s="29" t="s">
        <v>2866</v>
      </c>
      <c r="F679" s="29" t="s">
        <v>2867</v>
      </c>
      <c r="G679" s="35"/>
      <c r="H679" s="35" t="s">
        <v>151</v>
      </c>
      <c r="I679" s="29" t="s">
        <v>2864</v>
      </c>
      <c r="J679" s="37"/>
      <c r="K679" s="38"/>
      <c r="L679" s="38"/>
      <c r="M679" s="36" t="s">
        <v>60</v>
      </c>
      <c r="N679" s="15" t="s">
        <v>152</v>
      </c>
      <c r="O679" s="36" t="s">
        <v>162</v>
      </c>
      <c r="P679" s="36" t="str">
        <f t="shared" si="20"/>
        <v>WMTS_1/1000地形圖_桃園市大溪埔頂都市計畫(102年)</v>
      </c>
      <c r="Q679" s="29" t="s">
        <v>2867</v>
      </c>
      <c r="R679" s="29" t="str">
        <f t="shared" si="21"/>
        <v>2dms_wmts_v1_TOPO01K_H08</v>
      </c>
      <c r="S679" s="39" t="s">
        <v>155</v>
      </c>
      <c r="U679" s="27" t="str">
        <f>_xlfn.XLOOKUP(表格1[[#This Row],[服務類別(英)]],參考2_服務標準對照!$B:$B,參考2_服務標準對照!$C:$C,"")&amp;""</f>
        <v>OGC</v>
      </c>
      <c r="V679" s="29" t="s">
        <v>7</v>
      </c>
      <c r="W679" s="29" t="s">
        <v>163</v>
      </c>
      <c r="X679" s="29" t="s">
        <v>81</v>
      </c>
      <c r="Y679" s="36" t="s">
        <v>83</v>
      </c>
      <c r="Z679" s="36" t="s">
        <v>157</v>
      </c>
      <c r="AA679" s="36" t="s">
        <v>1159</v>
      </c>
      <c r="AB679" s="36"/>
      <c r="AC679" s="36"/>
      <c r="AD679" s="29" t="s">
        <v>119</v>
      </c>
      <c r="AE679" s="36" t="str">
        <f>_xlfn.XLOOKUP(表格1[[#This Row],[唯一識別碼]],API清冊0707!B:B,API清冊0707!T:T,"")&amp;""</f>
        <v>無下拉選單</v>
      </c>
    </row>
    <row r="680" spans="1:31" ht="204.75" customHeight="1" x14ac:dyDescent="0.4">
      <c r="A680" s="29" t="s">
        <v>2868</v>
      </c>
      <c r="B680" s="29"/>
      <c r="C680" s="29"/>
      <c r="D680" s="29" t="s">
        <v>2869</v>
      </c>
      <c r="E680" s="29" t="s">
        <v>2870</v>
      </c>
      <c r="F680" s="29" t="s">
        <v>2871</v>
      </c>
      <c r="G680" s="35"/>
      <c r="H680" s="35" t="s">
        <v>151</v>
      </c>
      <c r="I680" s="29" t="s">
        <v>2868</v>
      </c>
      <c r="J680" s="37"/>
      <c r="K680" s="38"/>
      <c r="L680" s="38"/>
      <c r="M680" s="36" t="s">
        <v>60</v>
      </c>
      <c r="N680" s="15" t="s">
        <v>152</v>
      </c>
      <c r="O680" s="36" t="s">
        <v>162</v>
      </c>
      <c r="P680" s="36" t="str">
        <f t="shared" si="20"/>
        <v>WMTS_1/1000地形圖_桃園市大園都市計畫(98年)</v>
      </c>
      <c r="Q680" s="29" t="s">
        <v>2871</v>
      </c>
      <c r="R680" s="29" t="str">
        <f t="shared" si="21"/>
        <v>2dms_wmts_v1_TOPO01K_H07</v>
      </c>
      <c r="S680" s="39" t="s">
        <v>155</v>
      </c>
      <c r="U680" s="27" t="str">
        <f>_xlfn.XLOOKUP(表格1[[#This Row],[服務類別(英)]],參考2_服務標準對照!$B:$B,參考2_服務標準對照!$C:$C,"")&amp;""</f>
        <v>OGC</v>
      </c>
      <c r="V680" s="29" t="s">
        <v>7</v>
      </c>
      <c r="W680" s="29" t="s">
        <v>163</v>
      </c>
      <c r="X680" s="29" t="s">
        <v>81</v>
      </c>
      <c r="Y680" s="36" t="s">
        <v>83</v>
      </c>
      <c r="Z680" s="36" t="s">
        <v>157</v>
      </c>
      <c r="AA680" s="36" t="s">
        <v>1159</v>
      </c>
      <c r="AB680" s="36"/>
      <c r="AC680" s="36"/>
      <c r="AD680" s="29" t="s">
        <v>119</v>
      </c>
      <c r="AE680" s="36" t="str">
        <f>_xlfn.XLOOKUP(表格1[[#This Row],[唯一識別碼]],API清冊0707!B:B,API清冊0707!T:T,"")&amp;""</f>
        <v>無下拉選單</v>
      </c>
    </row>
    <row r="681" spans="1:31" ht="204.75" customHeight="1" x14ac:dyDescent="0.4">
      <c r="A681" s="29" t="s">
        <v>2872</v>
      </c>
      <c r="B681" s="29"/>
      <c r="C681" s="29"/>
      <c r="D681" s="29" t="s">
        <v>2873</v>
      </c>
      <c r="E681" s="29" t="s">
        <v>2874</v>
      </c>
      <c r="F681" s="29" t="s">
        <v>2875</v>
      </c>
      <c r="G681" s="35"/>
      <c r="H681" s="35" t="s">
        <v>151</v>
      </c>
      <c r="I681" s="29" t="s">
        <v>2872</v>
      </c>
      <c r="J681" s="37"/>
      <c r="K681" s="38"/>
      <c r="L681" s="38"/>
      <c r="M681" s="36" t="s">
        <v>60</v>
      </c>
      <c r="N681" s="15" t="s">
        <v>152</v>
      </c>
      <c r="O681" s="36" t="s">
        <v>162</v>
      </c>
      <c r="P681" s="36" t="str">
        <f t="shared" si="20"/>
        <v>WMTS_1/1000地形圖_桃園市大園果林都市計畫(98年)</v>
      </c>
      <c r="Q681" s="29" t="s">
        <v>2875</v>
      </c>
      <c r="R681" s="29" t="str">
        <f t="shared" si="21"/>
        <v>2dms_wmts_v1_TOPO01K_H06</v>
      </c>
      <c r="S681" s="39" t="s">
        <v>155</v>
      </c>
      <c r="U681" s="27" t="str">
        <f>_xlfn.XLOOKUP(表格1[[#This Row],[服務類別(英)]],參考2_服務標準對照!$B:$B,參考2_服務標準對照!$C:$C,"")&amp;""</f>
        <v>OGC</v>
      </c>
      <c r="V681" s="29" t="s">
        <v>7</v>
      </c>
      <c r="W681" s="29" t="s">
        <v>163</v>
      </c>
      <c r="X681" s="29" t="s">
        <v>81</v>
      </c>
      <c r="Y681" s="36" t="s">
        <v>83</v>
      </c>
      <c r="Z681" s="36" t="s">
        <v>157</v>
      </c>
      <c r="AA681" s="36" t="s">
        <v>1159</v>
      </c>
      <c r="AB681" s="36"/>
      <c r="AC681" s="36"/>
      <c r="AD681" s="29" t="s">
        <v>119</v>
      </c>
      <c r="AE681" s="36" t="str">
        <f>_xlfn.XLOOKUP(表格1[[#This Row],[唯一識別碼]],API清冊0707!B:B,API清冊0707!T:T,"")&amp;""</f>
        <v>無下拉選單</v>
      </c>
    </row>
    <row r="682" spans="1:31" ht="204.75" customHeight="1" x14ac:dyDescent="0.4">
      <c r="A682" s="29" t="s">
        <v>2876</v>
      </c>
      <c r="B682" s="29"/>
      <c r="C682" s="29"/>
      <c r="D682" s="29" t="s">
        <v>2877</v>
      </c>
      <c r="E682" s="29" t="s">
        <v>2878</v>
      </c>
      <c r="F682" s="29" t="s">
        <v>2879</v>
      </c>
      <c r="G682" s="35"/>
      <c r="H682" s="35" t="s">
        <v>151</v>
      </c>
      <c r="I682" s="29" t="s">
        <v>2876</v>
      </c>
      <c r="J682" s="37"/>
      <c r="K682" s="38"/>
      <c r="L682" s="38"/>
      <c r="M682" s="36" t="s">
        <v>60</v>
      </c>
      <c r="N682" s="15" t="s">
        <v>152</v>
      </c>
      <c r="O682" s="36" t="s">
        <v>162</v>
      </c>
      <c r="P682" s="36" t="str">
        <f t="shared" si="20"/>
        <v>WMTS_1/1000地形圖_桃園市南崁都市計畫(94年)</v>
      </c>
      <c r="Q682" s="29" t="s">
        <v>2879</v>
      </c>
      <c r="R682" s="29" t="str">
        <f t="shared" si="21"/>
        <v>2dms_wmts_v1_TOPO01K_H05</v>
      </c>
      <c r="S682" s="39" t="s">
        <v>155</v>
      </c>
      <c r="U682" s="27" t="str">
        <f>_xlfn.XLOOKUP(表格1[[#This Row],[服務類別(英)]],參考2_服務標準對照!$B:$B,參考2_服務標準對照!$C:$C,"")&amp;""</f>
        <v>OGC</v>
      </c>
      <c r="V682" s="29" t="s">
        <v>7</v>
      </c>
      <c r="W682" s="29" t="s">
        <v>163</v>
      </c>
      <c r="X682" s="29" t="s">
        <v>81</v>
      </c>
      <c r="Y682" s="36" t="s">
        <v>83</v>
      </c>
      <c r="Z682" s="36" t="s">
        <v>157</v>
      </c>
      <c r="AA682" s="36" t="s">
        <v>1159</v>
      </c>
      <c r="AB682" s="36"/>
      <c r="AC682" s="36"/>
      <c r="AD682" s="29" t="s">
        <v>119</v>
      </c>
      <c r="AE682" s="36" t="str">
        <f>_xlfn.XLOOKUP(表格1[[#This Row],[唯一識別碼]],API清冊0707!B:B,API清冊0707!T:T,"")&amp;""</f>
        <v>無下拉選單</v>
      </c>
    </row>
    <row r="683" spans="1:31" ht="204.75" customHeight="1" x14ac:dyDescent="0.4">
      <c r="A683" s="29" t="s">
        <v>2880</v>
      </c>
      <c r="B683" s="29"/>
      <c r="C683" s="29"/>
      <c r="D683" s="29" t="s">
        <v>2881</v>
      </c>
      <c r="E683" s="29" t="s">
        <v>2882</v>
      </c>
      <c r="F683" s="29" t="s">
        <v>2883</v>
      </c>
      <c r="G683" s="35"/>
      <c r="H683" s="35" t="s">
        <v>151</v>
      </c>
      <c r="I683" s="29" t="s">
        <v>2880</v>
      </c>
      <c r="J683" s="37"/>
      <c r="K683" s="38"/>
      <c r="L683" s="38"/>
      <c r="M683" s="36" t="s">
        <v>60</v>
      </c>
      <c r="N683" s="15" t="s">
        <v>152</v>
      </c>
      <c r="O683" s="36" t="s">
        <v>162</v>
      </c>
      <c r="P683" s="36" t="str">
        <f t="shared" si="20"/>
        <v>WMTS_1/1000地形圖_桃園市八德大湳都市計畫(92年)</v>
      </c>
      <c r="Q683" s="29" t="s">
        <v>2883</v>
      </c>
      <c r="R683" s="29" t="str">
        <f t="shared" si="21"/>
        <v>2dms_wmts_v1_TOPO01K_H04</v>
      </c>
      <c r="S683" s="39" t="s">
        <v>155</v>
      </c>
      <c r="U683" s="27" t="str">
        <f>_xlfn.XLOOKUP(表格1[[#This Row],[服務類別(英)]],參考2_服務標準對照!$B:$B,參考2_服務標準對照!$C:$C,"")&amp;""</f>
        <v>OGC</v>
      </c>
      <c r="V683" s="29" t="s">
        <v>7</v>
      </c>
      <c r="W683" s="29" t="s">
        <v>163</v>
      </c>
      <c r="X683" s="29" t="s">
        <v>81</v>
      </c>
      <c r="Y683" s="36" t="s">
        <v>83</v>
      </c>
      <c r="Z683" s="36" t="s">
        <v>157</v>
      </c>
      <c r="AA683" s="36" t="s">
        <v>1159</v>
      </c>
      <c r="AB683" s="36"/>
      <c r="AC683" s="36"/>
      <c r="AD683" s="29" t="s">
        <v>119</v>
      </c>
      <c r="AE683" s="36" t="str">
        <f>_xlfn.XLOOKUP(表格1[[#This Row],[唯一識別碼]],API清冊0707!B:B,API清冊0707!T:T,"")&amp;""</f>
        <v>無下拉選單</v>
      </c>
    </row>
    <row r="684" spans="1:31" ht="204.75" customHeight="1" x14ac:dyDescent="0.4">
      <c r="A684" s="29" t="s">
        <v>2884</v>
      </c>
      <c r="B684" s="29"/>
      <c r="C684" s="29"/>
      <c r="D684" s="29" t="s">
        <v>2885</v>
      </c>
      <c r="E684" s="29" t="s">
        <v>2886</v>
      </c>
      <c r="F684" s="29" t="s">
        <v>2887</v>
      </c>
      <c r="G684" s="35"/>
      <c r="H684" s="35" t="s">
        <v>151</v>
      </c>
      <c r="I684" s="29" t="s">
        <v>2884</v>
      </c>
      <c r="J684" s="37"/>
      <c r="K684" s="38"/>
      <c r="L684" s="38"/>
      <c r="M684" s="36" t="s">
        <v>60</v>
      </c>
      <c r="N684" s="15" t="s">
        <v>152</v>
      </c>
      <c r="O684" s="36" t="s">
        <v>162</v>
      </c>
      <c r="P684" s="36" t="str">
        <f t="shared" si="20"/>
        <v>WMTS_1/1000地形圖_桃園市中壢龍岡都市計畫(95年)</v>
      </c>
      <c r="Q684" s="29" t="s">
        <v>2887</v>
      </c>
      <c r="R684" s="29" t="str">
        <f t="shared" si="21"/>
        <v>2dms_wmts_v1_TOPO01K_H03</v>
      </c>
      <c r="S684" s="39" t="s">
        <v>155</v>
      </c>
      <c r="U684" s="27" t="str">
        <f>_xlfn.XLOOKUP(表格1[[#This Row],[服務類別(英)]],參考2_服務標準對照!$B:$B,參考2_服務標準對照!$C:$C,"")&amp;""</f>
        <v>OGC</v>
      </c>
      <c r="V684" s="29" t="s">
        <v>7</v>
      </c>
      <c r="W684" s="29" t="s">
        <v>163</v>
      </c>
      <c r="X684" s="29" t="s">
        <v>81</v>
      </c>
      <c r="Y684" s="36" t="s">
        <v>83</v>
      </c>
      <c r="Z684" s="36" t="s">
        <v>157</v>
      </c>
      <c r="AA684" s="36" t="s">
        <v>1159</v>
      </c>
      <c r="AB684" s="36"/>
      <c r="AC684" s="36"/>
      <c r="AD684" s="29" t="s">
        <v>119</v>
      </c>
      <c r="AE684" s="36" t="str">
        <f>_xlfn.XLOOKUP(表格1[[#This Row],[唯一識別碼]],API清冊0707!B:B,API清冊0707!T:T,"")&amp;""</f>
        <v>無下拉選單</v>
      </c>
    </row>
    <row r="685" spans="1:31" ht="204.75" customHeight="1" x14ac:dyDescent="0.4">
      <c r="A685" s="29" t="s">
        <v>2888</v>
      </c>
      <c r="B685" s="29"/>
      <c r="C685" s="29"/>
      <c r="D685" s="29" t="s">
        <v>2889</v>
      </c>
      <c r="E685" s="29" t="s">
        <v>2890</v>
      </c>
      <c r="F685" s="29" t="s">
        <v>2891</v>
      </c>
      <c r="G685" s="35"/>
      <c r="H685" s="35" t="s">
        <v>151</v>
      </c>
      <c r="I685" s="29" t="s">
        <v>2888</v>
      </c>
      <c r="J685" s="37"/>
      <c r="K685" s="38"/>
      <c r="L685" s="38"/>
      <c r="M685" s="36" t="s">
        <v>60</v>
      </c>
      <c r="N685" s="15" t="s">
        <v>152</v>
      </c>
      <c r="O685" s="36" t="s">
        <v>162</v>
      </c>
      <c r="P685" s="36" t="str">
        <f t="shared" si="20"/>
        <v>WMTS_1/1000地形圖_桃園市中壢過嶺地區等都市計畫(100年)</v>
      </c>
      <c r="Q685" s="29" t="s">
        <v>2891</v>
      </c>
      <c r="R685" s="29" t="str">
        <f t="shared" si="21"/>
        <v>2dms_wmts_v1_TOPO01K_H02</v>
      </c>
      <c r="S685" s="39" t="s">
        <v>155</v>
      </c>
      <c r="U685" s="27" t="str">
        <f>_xlfn.XLOOKUP(表格1[[#This Row],[服務類別(英)]],參考2_服務標準對照!$B:$B,參考2_服務標準對照!$C:$C,"")&amp;""</f>
        <v>OGC</v>
      </c>
      <c r="V685" s="29" t="s">
        <v>7</v>
      </c>
      <c r="W685" s="29" t="s">
        <v>163</v>
      </c>
      <c r="X685" s="29" t="s">
        <v>81</v>
      </c>
      <c r="Y685" s="36" t="s">
        <v>83</v>
      </c>
      <c r="Z685" s="36" t="s">
        <v>157</v>
      </c>
      <c r="AA685" s="36" t="s">
        <v>1159</v>
      </c>
      <c r="AB685" s="36"/>
      <c r="AC685" s="36"/>
      <c r="AD685" s="29" t="s">
        <v>119</v>
      </c>
      <c r="AE685" s="36" t="str">
        <f>_xlfn.XLOOKUP(表格1[[#This Row],[唯一識別碼]],API清冊0707!B:B,API清冊0707!T:T,"")&amp;""</f>
        <v>無下拉選單</v>
      </c>
    </row>
    <row r="686" spans="1:31" ht="204.75" customHeight="1" x14ac:dyDescent="0.4">
      <c r="A686" s="29" t="s">
        <v>2892</v>
      </c>
      <c r="B686" s="29"/>
      <c r="C686" s="29"/>
      <c r="D686" s="29" t="s">
        <v>2893</v>
      </c>
      <c r="E686" s="29" t="s">
        <v>2894</v>
      </c>
      <c r="F686" s="29" t="s">
        <v>2895</v>
      </c>
      <c r="G686" s="35"/>
      <c r="H686" s="35" t="s">
        <v>151</v>
      </c>
      <c r="I686" s="29" t="s">
        <v>2892</v>
      </c>
      <c r="J686" s="37"/>
      <c r="K686" s="38"/>
      <c r="L686" s="38"/>
      <c r="M686" s="36" t="s">
        <v>60</v>
      </c>
      <c r="N686" s="15" t="s">
        <v>152</v>
      </c>
      <c r="O686" s="36" t="s">
        <v>162</v>
      </c>
      <c r="P686" s="36" t="str">
        <f t="shared" si="20"/>
        <v>WMTS_1/1000地形圖_桃園市中壢平鎮都市計畫(100年)</v>
      </c>
      <c r="Q686" s="29" t="s">
        <v>2895</v>
      </c>
      <c r="R686" s="29" t="str">
        <f t="shared" si="21"/>
        <v>2dms_wmts_v1_TOPO01K_H01</v>
      </c>
      <c r="S686" s="39" t="s">
        <v>155</v>
      </c>
      <c r="U686" s="27" t="str">
        <f>_xlfn.XLOOKUP(表格1[[#This Row],[服務類別(英)]],參考2_服務標準對照!$B:$B,參考2_服務標準對照!$C:$C,"")&amp;""</f>
        <v>OGC</v>
      </c>
      <c r="V686" s="29" t="s">
        <v>7</v>
      </c>
      <c r="W686" s="29" t="s">
        <v>163</v>
      </c>
      <c r="X686" s="29" t="s">
        <v>81</v>
      </c>
      <c r="Y686" s="36" t="s">
        <v>83</v>
      </c>
      <c r="Z686" s="36" t="s">
        <v>157</v>
      </c>
      <c r="AA686" s="36" t="s">
        <v>1159</v>
      </c>
      <c r="AB686" s="36"/>
      <c r="AC686" s="36"/>
      <c r="AD686" s="29" t="s">
        <v>119</v>
      </c>
      <c r="AE686" s="36" t="str">
        <f>_xlfn.XLOOKUP(表格1[[#This Row],[唯一識別碼]],API清冊0707!B:B,API清冊0707!T:T,"")&amp;""</f>
        <v>無下拉選單</v>
      </c>
    </row>
    <row r="687" spans="1:31" ht="204.75" customHeight="1" x14ac:dyDescent="0.4">
      <c r="A687" s="29" t="s">
        <v>2896</v>
      </c>
      <c r="B687" s="29"/>
      <c r="C687" s="29"/>
      <c r="D687" s="29" t="s">
        <v>2897</v>
      </c>
      <c r="E687" s="29" t="s">
        <v>2898</v>
      </c>
      <c r="F687" s="29" t="s">
        <v>2899</v>
      </c>
      <c r="G687" s="35"/>
      <c r="H687" s="35" t="s">
        <v>151</v>
      </c>
      <c r="I687" s="29" t="s">
        <v>2896</v>
      </c>
      <c r="J687" s="37"/>
      <c r="K687" s="38"/>
      <c r="L687" s="38"/>
      <c r="M687" s="36" t="s">
        <v>60</v>
      </c>
      <c r="N687" s="15" t="s">
        <v>152</v>
      </c>
      <c r="O687" s="36" t="s">
        <v>162</v>
      </c>
      <c r="P687" s="36" t="str">
        <f t="shared" si="20"/>
        <v>WMTS_1/1000地形圖_宜蘭縣龍潭湖風景特定區計畫及四城地區(97年)</v>
      </c>
      <c r="Q687" s="29" t="s">
        <v>2899</v>
      </c>
      <c r="R687" s="29" t="str">
        <f t="shared" si="21"/>
        <v>2dms_wmts_v1_TOPO01K_G15</v>
      </c>
      <c r="S687" s="39" t="s">
        <v>155</v>
      </c>
      <c r="U687" s="27" t="str">
        <f>_xlfn.XLOOKUP(表格1[[#This Row],[服務類別(英)]],參考2_服務標準對照!$B:$B,參考2_服務標準對照!$C:$C,"")&amp;""</f>
        <v>OGC</v>
      </c>
      <c r="V687" s="29" t="s">
        <v>7</v>
      </c>
      <c r="W687" s="29" t="s">
        <v>163</v>
      </c>
      <c r="X687" s="29" t="s">
        <v>81</v>
      </c>
      <c r="Y687" s="36" t="s">
        <v>83</v>
      </c>
      <c r="Z687" s="36" t="s">
        <v>157</v>
      </c>
      <c r="AA687" s="36" t="s">
        <v>1159</v>
      </c>
      <c r="AB687" s="36"/>
      <c r="AC687" s="36"/>
      <c r="AD687" s="29" t="s">
        <v>119</v>
      </c>
      <c r="AE687" s="36" t="str">
        <f>_xlfn.XLOOKUP(表格1[[#This Row],[唯一識別碼]],API清冊0707!B:B,API清冊0707!T:T,"")&amp;""</f>
        <v>無下拉選單</v>
      </c>
    </row>
    <row r="688" spans="1:31" ht="204.75" customHeight="1" x14ac:dyDescent="0.4">
      <c r="A688" s="29" t="s">
        <v>2900</v>
      </c>
      <c r="B688" s="29"/>
      <c r="C688" s="29"/>
      <c r="D688" s="29" t="s">
        <v>2901</v>
      </c>
      <c r="E688" s="29" t="s">
        <v>2902</v>
      </c>
      <c r="F688" s="29" t="s">
        <v>2903</v>
      </c>
      <c r="G688" s="35"/>
      <c r="H688" s="35" t="s">
        <v>151</v>
      </c>
      <c r="I688" s="29" t="s">
        <v>2900</v>
      </c>
      <c r="J688" s="37"/>
      <c r="K688" s="38"/>
      <c r="L688" s="38"/>
      <c r="M688" s="36" t="s">
        <v>60</v>
      </c>
      <c r="N688" s="15" t="s">
        <v>152</v>
      </c>
      <c r="O688" s="36" t="s">
        <v>162</v>
      </c>
      <c r="P688" s="36" t="str">
        <f t="shared" si="20"/>
        <v>WMTS_1/1000地形圖_宜蘭縣頭城都市計畫(97年)</v>
      </c>
      <c r="Q688" s="29" t="s">
        <v>2903</v>
      </c>
      <c r="R688" s="29" t="str">
        <f t="shared" si="21"/>
        <v>2dms_wmts_v1_TOPO01K_G14</v>
      </c>
      <c r="S688" s="39" t="s">
        <v>155</v>
      </c>
      <c r="U688" s="27" t="str">
        <f>_xlfn.XLOOKUP(表格1[[#This Row],[服務類別(英)]],參考2_服務標準對照!$B:$B,參考2_服務標準對照!$C:$C,"")&amp;""</f>
        <v>OGC</v>
      </c>
      <c r="V688" s="29" t="s">
        <v>7</v>
      </c>
      <c r="W688" s="29" t="s">
        <v>163</v>
      </c>
      <c r="X688" s="29" t="s">
        <v>81</v>
      </c>
      <c r="Y688" s="36" t="s">
        <v>83</v>
      </c>
      <c r="Z688" s="36" t="s">
        <v>157</v>
      </c>
      <c r="AA688" s="36" t="s">
        <v>1159</v>
      </c>
      <c r="AB688" s="36"/>
      <c r="AC688" s="36"/>
      <c r="AD688" s="29" t="s">
        <v>119</v>
      </c>
      <c r="AE688" s="36" t="str">
        <f>_xlfn.XLOOKUP(表格1[[#This Row],[唯一識別碼]],API清冊0707!B:B,API清冊0707!T:T,"")&amp;""</f>
        <v>無下拉選單</v>
      </c>
    </row>
    <row r="689" spans="1:31" ht="204.75" customHeight="1" x14ac:dyDescent="0.4">
      <c r="A689" s="29" t="s">
        <v>2904</v>
      </c>
      <c r="B689" s="29"/>
      <c r="C689" s="29"/>
      <c r="D689" s="29" t="s">
        <v>2905</v>
      </c>
      <c r="E689" s="29" t="s">
        <v>2906</v>
      </c>
      <c r="F689" s="29" t="s">
        <v>2907</v>
      </c>
      <c r="G689" s="35"/>
      <c r="H689" s="35" t="s">
        <v>151</v>
      </c>
      <c r="I689" s="29" t="s">
        <v>2904</v>
      </c>
      <c r="J689" s="37"/>
      <c r="K689" s="38"/>
      <c r="L689" s="38"/>
      <c r="M689" s="36" t="s">
        <v>60</v>
      </c>
      <c r="N689" s="15" t="s">
        <v>152</v>
      </c>
      <c r="O689" s="36" t="s">
        <v>162</v>
      </c>
      <c r="P689" s="36" t="str">
        <f t="shared" si="20"/>
        <v>WMTS_1/1000地形圖_宜蘭縣羅東都市計畫(100年)</v>
      </c>
      <c r="Q689" s="29" t="s">
        <v>2907</v>
      </c>
      <c r="R689" s="29" t="str">
        <f t="shared" si="21"/>
        <v>2dms_wmts_v1_TOPO01K_G13</v>
      </c>
      <c r="S689" s="39" t="s">
        <v>155</v>
      </c>
      <c r="U689" s="27" t="str">
        <f>_xlfn.XLOOKUP(表格1[[#This Row],[服務類別(英)]],參考2_服務標準對照!$B:$B,參考2_服務標準對照!$C:$C,"")&amp;""</f>
        <v>OGC</v>
      </c>
      <c r="V689" s="29" t="s">
        <v>7</v>
      </c>
      <c r="W689" s="29" t="s">
        <v>163</v>
      </c>
      <c r="X689" s="29" t="s">
        <v>81</v>
      </c>
      <c r="Y689" s="36" t="s">
        <v>83</v>
      </c>
      <c r="Z689" s="36" t="s">
        <v>157</v>
      </c>
      <c r="AA689" s="36" t="s">
        <v>1159</v>
      </c>
      <c r="AB689" s="36"/>
      <c r="AC689" s="36"/>
      <c r="AD689" s="29" t="s">
        <v>119</v>
      </c>
      <c r="AE689" s="36" t="str">
        <f>_xlfn.XLOOKUP(表格1[[#This Row],[唯一識別碼]],API清冊0707!B:B,API清冊0707!T:T,"")&amp;""</f>
        <v>無下拉選單</v>
      </c>
    </row>
    <row r="690" spans="1:31" ht="204.75" customHeight="1" x14ac:dyDescent="0.4">
      <c r="A690" s="29" t="s">
        <v>2908</v>
      </c>
      <c r="B690" s="29"/>
      <c r="C690" s="29"/>
      <c r="D690" s="29" t="s">
        <v>2909</v>
      </c>
      <c r="E690" s="29" t="s">
        <v>2910</v>
      </c>
      <c r="F690" s="29" t="s">
        <v>2911</v>
      </c>
      <c r="G690" s="35"/>
      <c r="H690" s="35" t="s">
        <v>151</v>
      </c>
      <c r="I690" s="29" t="s">
        <v>2908</v>
      </c>
      <c r="J690" s="37"/>
      <c r="K690" s="38"/>
      <c r="L690" s="38"/>
      <c r="M690" s="36" t="s">
        <v>60</v>
      </c>
      <c r="N690" s="15" t="s">
        <v>152</v>
      </c>
      <c r="O690" s="36" t="s">
        <v>162</v>
      </c>
      <c r="P690" s="36" t="str">
        <f t="shared" si="20"/>
        <v>WMTS_1/1000地形圖_宜蘭縣梅花湖風景特定區計畫(98年)</v>
      </c>
      <c r="Q690" s="29" t="s">
        <v>2911</v>
      </c>
      <c r="R690" s="29" t="str">
        <f t="shared" si="21"/>
        <v>2dms_wmts_v1_TOPO01K_G12</v>
      </c>
      <c r="S690" s="39" t="s">
        <v>155</v>
      </c>
      <c r="U690" s="27" t="str">
        <f>_xlfn.XLOOKUP(表格1[[#This Row],[服務類別(英)]],參考2_服務標準對照!$B:$B,參考2_服務標準對照!$C:$C,"")&amp;""</f>
        <v>OGC</v>
      </c>
      <c r="V690" s="29" t="s">
        <v>7</v>
      </c>
      <c r="W690" s="29" t="s">
        <v>163</v>
      </c>
      <c r="X690" s="29" t="s">
        <v>81</v>
      </c>
      <c r="Y690" s="36" t="s">
        <v>83</v>
      </c>
      <c r="Z690" s="36" t="s">
        <v>157</v>
      </c>
      <c r="AA690" s="36" t="s">
        <v>1159</v>
      </c>
      <c r="AB690" s="36"/>
      <c r="AC690" s="36"/>
      <c r="AD690" s="29" t="s">
        <v>119</v>
      </c>
      <c r="AE690" s="36" t="str">
        <f>_xlfn.XLOOKUP(表格1[[#This Row],[唯一識別碼]],API清冊0707!B:B,API清冊0707!T:T,"")&amp;""</f>
        <v>無下拉選單</v>
      </c>
    </row>
    <row r="691" spans="1:31" ht="204.75" customHeight="1" x14ac:dyDescent="0.4">
      <c r="A691" s="29" t="s">
        <v>2912</v>
      </c>
      <c r="B691" s="29"/>
      <c r="C691" s="29"/>
      <c r="D691" s="29" t="s">
        <v>2913</v>
      </c>
      <c r="E691" s="29" t="s">
        <v>2914</v>
      </c>
      <c r="F691" s="29" t="s">
        <v>2915</v>
      </c>
      <c r="G691" s="35"/>
      <c r="H691" s="35" t="s">
        <v>151</v>
      </c>
      <c r="I691" s="29" t="s">
        <v>2912</v>
      </c>
      <c r="J691" s="37"/>
      <c r="K691" s="38"/>
      <c r="L691" s="38"/>
      <c r="M691" s="36" t="s">
        <v>60</v>
      </c>
      <c r="N691" s="15" t="s">
        <v>152</v>
      </c>
      <c r="O691" s="36" t="s">
        <v>162</v>
      </c>
      <c r="P691" s="36" t="str">
        <f t="shared" si="20"/>
        <v>WMTS_1/1000地形圖_宜蘭縣東北角暨宜蘭海岸國家風景區(100年)</v>
      </c>
      <c r="Q691" s="29" t="s">
        <v>2915</v>
      </c>
      <c r="R691" s="29" t="str">
        <f t="shared" si="21"/>
        <v>2dms_wmts_v1_TOPO01K_G11</v>
      </c>
      <c r="S691" s="39" t="s">
        <v>155</v>
      </c>
      <c r="U691" s="27" t="str">
        <f>_xlfn.XLOOKUP(表格1[[#This Row],[服務類別(英)]],參考2_服務標準對照!$B:$B,參考2_服務標準對照!$C:$C,"")&amp;""</f>
        <v>OGC</v>
      </c>
      <c r="V691" s="29" t="s">
        <v>7</v>
      </c>
      <c r="W691" s="29" t="s">
        <v>163</v>
      </c>
      <c r="X691" s="29" t="s">
        <v>81</v>
      </c>
      <c r="Y691" s="36" t="s">
        <v>83</v>
      </c>
      <c r="Z691" s="36" t="s">
        <v>157</v>
      </c>
      <c r="AA691" s="36" t="s">
        <v>1159</v>
      </c>
      <c r="AB691" s="36"/>
      <c r="AC691" s="36"/>
      <c r="AD691" s="29" t="s">
        <v>119</v>
      </c>
      <c r="AE691" s="36" t="str">
        <f>_xlfn.XLOOKUP(表格1[[#This Row],[唯一識別碼]],API清冊0707!B:B,API清冊0707!T:T,"")&amp;""</f>
        <v>無下拉選單</v>
      </c>
    </row>
    <row r="692" spans="1:31" ht="204.75" customHeight="1" x14ac:dyDescent="0.4">
      <c r="A692" s="29" t="s">
        <v>2916</v>
      </c>
      <c r="B692" s="29"/>
      <c r="C692" s="29"/>
      <c r="D692" s="29" t="s">
        <v>2917</v>
      </c>
      <c r="E692" s="29" t="s">
        <v>2918</v>
      </c>
      <c r="F692" s="29" t="s">
        <v>2919</v>
      </c>
      <c r="G692" s="35"/>
      <c r="H692" s="35" t="s">
        <v>151</v>
      </c>
      <c r="I692" s="29" t="s">
        <v>2916</v>
      </c>
      <c r="J692" s="37"/>
      <c r="K692" s="38"/>
      <c r="L692" s="38"/>
      <c r="M692" s="36" t="s">
        <v>60</v>
      </c>
      <c r="N692" s="15" t="s">
        <v>152</v>
      </c>
      <c r="O692" s="36" t="s">
        <v>162</v>
      </c>
      <c r="P692" s="36" t="str">
        <f t="shared" si="20"/>
        <v>WMTS_1/1000地形圖_宜蘭縣宜蘭市(100年)</v>
      </c>
      <c r="Q692" s="29" t="s">
        <v>2919</v>
      </c>
      <c r="R692" s="29" t="str">
        <f t="shared" si="21"/>
        <v>2dms_wmts_v1_TOPO01K_G10</v>
      </c>
      <c r="S692" s="39" t="s">
        <v>155</v>
      </c>
      <c r="U692" s="27" t="str">
        <f>_xlfn.XLOOKUP(表格1[[#This Row],[服務類別(英)]],參考2_服務標準對照!$B:$B,參考2_服務標準對照!$C:$C,"")&amp;""</f>
        <v>OGC</v>
      </c>
      <c r="V692" s="29" t="s">
        <v>7</v>
      </c>
      <c r="W692" s="29" t="s">
        <v>163</v>
      </c>
      <c r="X692" s="29" t="s">
        <v>81</v>
      </c>
      <c r="Y692" s="36" t="s">
        <v>83</v>
      </c>
      <c r="Z692" s="36" t="s">
        <v>157</v>
      </c>
      <c r="AA692" s="36" t="s">
        <v>1159</v>
      </c>
      <c r="AB692" s="36"/>
      <c r="AC692" s="36"/>
      <c r="AD692" s="29" t="s">
        <v>119</v>
      </c>
      <c r="AE692" s="36" t="str">
        <f>_xlfn.XLOOKUP(表格1[[#This Row],[唯一識別碼]],API清冊0707!B:B,API清冊0707!T:T,"")&amp;""</f>
        <v>無下拉選單</v>
      </c>
    </row>
    <row r="693" spans="1:31" ht="204.75" customHeight="1" x14ac:dyDescent="0.4">
      <c r="A693" s="29" t="s">
        <v>2920</v>
      </c>
      <c r="B693" s="29"/>
      <c r="C693" s="29"/>
      <c r="D693" s="29" t="s">
        <v>2921</v>
      </c>
      <c r="E693" s="29" t="s">
        <v>2922</v>
      </c>
      <c r="F693" s="29" t="s">
        <v>2923</v>
      </c>
      <c r="G693" s="35"/>
      <c r="H693" s="35" t="s">
        <v>151</v>
      </c>
      <c r="I693" s="29" t="s">
        <v>2920</v>
      </c>
      <c r="J693" s="37"/>
      <c r="K693" s="38"/>
      <c r="L693" s="38"/>
      <c r="M693" s="36" t="s">
        <v>60</v>
      </c>
      <c r="N693" s="15" t="s">
        <v>152</v>
      </c>
      <c r="O693" s="36" t="s">
        <v>162</v>
      </c>
      <c r="P693" s="36" t="str">
        <f t="shared" si="20"/>
        <v>WMTS_1/1000地形圖_宜蘭縣大湖風景特定區計畫(97年)</v>
      </c>
      <c r="Q693" s="29" t="s">
        <v>2923</v>
      </c>
      <c r="R693" s="29" t="str">
        <f t="shared" si="21"/>
        <v>2dms_wmts_v1_TOPO01K_G09</v>
      </c>
      <c r="S693" s="39" t="s">
        <v>155</v>
      </c>
      <c r="U693" s="27" t="str">
        <f>_xlfn.XLOOKUP(表格1[[#This Row],[服務類別(英)]],參考2_服務標準對照!$B:$B,參考2_服務標準對照!$C:$C,"")&amp;""</f>
        <v>OGC</v>
      </c>
      <c r="V693" s="29" t="s">
        <v>7</v>
      </c>
      <c r="W693" s="29" t="s">
        <v>163</v>
      </c>
      <c r="X693" s="29" t="s">
        <v>81</v>
      </c>
      <c r="Y693" s="36" t="s">
        <v>83</v>
      </c>
      <c r="Z693" s="36" t="s">
        <v>157</v>
      </c>
      <c r="AA693" s="36" t="s">
        <v>1159</v>
      </c>
      <c r="AB693" s="36"/>
      <c r="AC693" s="36"/>
      <c r="AD693" s="29" t="s">
        <v>119</v>
      </c>
      <c r="AE693" s="36" t="str">
        <f>_xlfn.XLOOKUP(表格1[[#This Row],[唯一識別碼]],API清冊0707!B:B,API清冊0707!T:T,"")&amp;""</f>
        <v>無下拉選單</v>
      </c>
    </row>
    <row r="694" spans="1:31" ht="204.75" customHeight="1" x14ac:dyDescent="0.4">
      <c r="A694" s="29" t="s">
        <v>2924</v>
      </c>
      <c r="B694" s="29"/>
      <c r="C694" s="29"/>
      <c r="D694" s="29" t="s">
        <v>2925</v>
      </c>
      <c r="E694" s="29" t="s">
        <v>2926</v>
      </c>
      <c r="F694" s="29" t="s">
        <v>2927</v>
      </c>
      <c r="G694" s="35"/>
      <c r="H694" s="35" t="s">
        <v>151</v>
      </c>
      <c r="I694" s="29" t="s">
        <v>2924</v>
      </c>
      <c r="J694" s="37"/>
      <c r="K694" s="38"/>
      <c r="L694" s="38"/>
      <c r="M694" s="36" t="s">
        <v>60</v>
      </c>
      <c r="N694" s="15" t="s">
        <v>152</v>
      </c>
      <c r="O694" s="36" t="s">
        <v>162</v>
      </c>
      <c r="P694" s="36" t="str">
        <f t="shared" si="20"/>
        <v>WMTS_1/1000地形圖_宜蘭縣壯圍都市計畫(97年)</v>
      </c>
      <c r="Q694" s="29" t="s">
        <v>2927</v>
      </c>
      <c r="R694" s="29" t="str">
        <f t="shared" si="21"/>
        <v>2dms_wmts_v1_TOPO01K_G08</v>
      </c>
      <c r="S694" s="39" t="s">
        <v>155</v>
      </c>
      <c r="U694" s="27" t="str">
        <f>_xlfn.XLOOKUP(表格1[[#This Row],[服務類別(英)]],參考2_服務標準對照!$B:$B,參考2_服務標準對照!$C:$C,"")&amp;""</f>
        <v>OGC</v>
      </c>
      <c r="V694" s="29" t="s">
        <v>7</v>
      </c>
      <c r="W694" s="29" t="s">
        <v>163</v>
      </c>
      <c r="X694" s="29" t="s">
        <v>81</v>
      </c>
      <c r="Y694" s="36" t="s">
        <v>83</v>
      </c>
      <c r="Z694" s="36" t="s">
        <v>157</v>
      </c>
      <c r="AA694" s="36" t="s">
        <v>1159</v>
      </c>
      <c r="AB694" s="36"/>
      <c r="AC694" s="36"/>
      <c r="AD694" s="29" t="s">
        <v>119</v>
      </c>
      <c r="AE694" s="36" t="str">
        <f>_xlfn.XLOOKUP(表格1[[#This Row],[唯一識別碼]],API清冊0707!B:B,API清冊0707!T:T,"")&amp;""</f>
        <v>無下拉選單</v>
      </c>
    </row>
    <row r="695" spans="1:31" ht="204.75" customHeight="1" x14ac:dyDescent="0.4">
      <c r="A695" s="29" t="s">
        <v>2928</v>
      </c>
      <c r="B695" s="29"/>
      <c r="C695" s="29"/>
      <c r="D695" s="29" t="s">
        <v>2929</v>
      </c>
      <c r="E695" s="29" t="s">
        <v>2930</v>
      </c>
      <c r="F695" s="29" t="s">
        <v>2931</v>
      </c>
      <c r="G695" s="35"/>
      <c r="H695" s="35" t="s">
        <v>151</v>
      </c>
      <c r="I695" s="29" t="s">
        <v>2928</v>
      </c>
      <c r="J695" s="37"/>
      <c r="K695" s="38"/>
      <c r="L695" s="38"/>
      <c r="M695" s="36" t="s">
        <v>60</v>
      </c>
      <c r="N695" s="15" t="s">
        <v>152</v>
      </c>
      <c r="O695" s="36" t="s">
        <v>162</v>
      </c>
      <c r="P695" s="36" t="str">
        <f t="shared" ref="P695:P758" si="22">IF(LEN(TRIM(F695))&gt;0,F695,E695)</f>
        <v>WMTS_1/1000地形圖_宜蘭縣員山都市計畫(97年)</v>
      </c>
      <c r="Q695" s="29" t="s">
        <v>2931</v>
      </c>
      <c r="R695" s="29" t="str">
        <f t="shared" ref="R695:R758" si="23">D695</f>
        <v>2dms_wmts_v1_TOPO01K_G07</v>
      </c>
      <c r="S695" s="39" t="s">
        <v>155</v>
      </c>
      <c r="U695" s="27" t="str">
        <f>_xlfn.XLOOKUP(表格1[[#This Row],[服務類別(英)]],參考2_服務標準對照!$B:$B,參考2_服務標準對照!$C:$C,"")&amp;""</f>
        <v>OGC</v>
      </c>
      <c r="V695" s="29" t="s">
        <v>7</v>
      </c>
      <c r="W695" s="29" t="s">
        <v>163</v>
      </c>
      <c r="X695" s="29" t="s">
        <v>81</v>
      </c>
      <c r="Y695" s="36" t="s">
        <v>83</v>
      </c>
      <c r="Z695" s="36" t="s">
        <v>157</v>
      </c>
      <c r="AA695" s="36" t="s">
        <v>1159</v>
      </c>
      <c r="AB695" s="36"/>
      <c r="AC695" s="36"/>
      <c r="AD695" s="29" t="s">
        <v>119</v>
      </c>
      <c r="AE695" s="36" t="str">
        <f>_xlfn.XLOOKUP(表格1[[#This Row],[唯一識別碼]],API清冊0707!B:B,API清冊0707!T:T,"")&amp;""</f>
        <v>無下拉選單</v>
      </c>
    </row>
    <row r="696" spans="1:31" ht="204.75" customHeight="1" x14ac:dyDescent="0.4">
      <c r="A696" s="29" t="s">
        <v>2932</v>
      </c>
      <c r="B696" s="29"/>
      <c r="C696" s="29"/>
      <c r="D696" s="29" t="s">
        <v>2933</v>
      </c>
      <c r="E696" s="29" t="s">
        <v>2934</v>
      </c>
      <c r="F696" s="29" t="s">
        <v>2935</v>
      </c>
      <c r="G696" s="35"/>
      <c r="H696" s="35" t="s">
        <v>151</v>
      </c>
      <c r="I696" s="29" t="s">
        <v>2932</v>
      </c>
      <c r="J696" s="37"/>
      <c r="K696" s="38"/>
      <c r="L696" s="38"/>
      <c r="M696" s="36" t="s">
        <v>60</v>
      </c>
      <c r="N696" s="15" t="s">
        <v>152</v>
      </c>
      <c r="O696" s="36" t="s">
        <v>162</v>
      </c>
      <c r="P696" s="36" t="str">
        <f t="shared" si="22"/>
        <v>WMTS_1/1000地形圖_宜蘭縣南澳南強都市計畫(98年)</v>
      </c>
      <c r="Q696" s="29" t="s">
        <v>2935</v>
      </c>
      <c r="R696" s="29" t="str">
        <f t="shared" si="23"/>
        <v>2dms_wmts_v1_TOPO01K_G06</v>
      </c>
      <c r="S696" s="39" t="s">
        <v>155</v>
      </c>
      <c r="U696" s="27" t="str">
        <f>_xlfn.XLOOKUP(表格1[[#This Row],[服務類別(英)]],參考2_服務標準對照!$B:$B,參考2_服務標準對照!$C:$C,"")&amp;""</f>
        <v>OGC</v>
      </c>
      <c r="V696" s="29" t="s">
        <v>7</v>
      </c>
      <c r="W696" s="29" t="s">
        <v>163</v>
      </c>
      <c r="X696" s="29" t="s">
        <v>81</v>
      </c>
      <c r="Y696" s="36" t="s">
        <v>83</v>
      </c>
      <c r="Z696" s="36" t="s">
        <v>157</v>
      </c>
      <c r="AA696" s="36" t="s">
        <v>1159</v>
      </c>
      <c r="AB696" s="36"/>
      <c r="AC696" s="36"/>
      <c r="AD696" s="29" t="s">
        <v>119</v>
      </c>
      <c r="AE696" s="36" t="str">
        <f>_xlfn.XLOOKUP(表格1[[#This Row],[唯一識別碼]],API清冊0707!B:B,API清冊0707!T:T,"")&amp;""</f>
        <v>無下拉選單</v>
      </c>
    </row>
    <row r="697" spans="1:31" ht="204.75" customHeight="1" x14ac:dyDescent="0.4">
      <c r="A697" s="29" t="s">
        <v>2936</v>
      </c>
      <c r="B697" s="29"/>
      <c r="C697" s="29"/>
      <c r="D697" s="29" t="s">
        <v>2937</v>
      </c>
      <c r="E697" s="29" t="s">
        <v>2938</v>
      </c>
      <c r="F697" s="29" t="s">
        <v>2939</v>
      </c>
      <c r="G697" s="35"/>
      <c r="H697" s="35" t="s">
        <v>151</v>
      </c>
      <c r="I697" s="29" t="s">
        <v>2936</v>
      </c>
      <c r="J697" s="37"/>
      <c r="K697" s="38"/>
      <c r="L697" s="38"/>
      <c r="M697" s="36" t="s">
        <v>60</v>
      </c>
      <c r="N697" s="15" t="s">
        <v>152</v>
      </c>
      <c r="O697" s="36" t="s">
        <v>162</v>
      </c>
      <c r="P697" s="36" t="str">
        <f t="shared" si="22"/>
        <v>WMTS_1/1000地形圖_宜蘭縣冬山及蘇澳(含新馬)都市計畫(98年)</v>
      </c>
      <c r="Q697" s="29" t="s">
        <v>2939</v>
      </c>
      <c r="R697" s="29" t="str">
        <f t="shared" si="23"/>
        <v>2dms_wmts_v1_TOPO01K_G05</v>
      </c>
      <c r="S697" s="39" t="s">
        <v>155</v>
      </c>
      <c r="U697" s="27" t="str">
        <f>_xlfn.XLOOKUP(表格1[[#This Row],[服務類別(英)]],參考2_服務標準對照!$B:$B,參考2_服務標準對照!$C:$C,"")&amp;""</f>
        <v>OGC</v>
      </c>
      <c r="V697" s="29" t="s">
        <v>7</v>
      </c>
      <c r="W697" s="29" t="s">
        <v>163</v>
      </c>
      <c r="X697" s="29" t="s">
        <v>81</v>
      </c>
      <c r="Y697" s="36" t="s">
        <v>83</v>
      </c>
      <c r="Z697" s="36" t="s">
        <v>157</v>
      </c>
      <c r="AA697" s="36" t="s">
        <v>1159</v>
      </c>
      <c r="AB697" s="36"/>
      <c r="AC697" s="36"/>
      <c r="AD697" s="29" t="s">
        <v>119</v>
      </c>
      <c r="AE697" s="36" t="str">
        <f>_xlfn.XLOOKUP(表格1[[#This Row],[唯一識別碼]],API清冊0707!B:B,API清冊0707!T:T,"")&amp;""</f>
        <v>無下拉選單</v>
      </c>
    </row>
    <row r="698" spans="1:31" ht="204.75" customHeight="1" x14ac:dyDescent="0.4">
      <c r="A698" s="29" t="s">
        <v>2940</v>
      </c>
      <c r="B698" s="29"/>
      <c r="C698" s="29"/>
      <c r="D698" s="29" t="s">
        <v>2941</v>
      </c>
      <c r="E698" s="29" t="s">
        <v>2942</v>
      </c>
      <c r="F698" s="29" t="s">
        <v>2943</v>
      </c>
      <c r="G698" s="35"/>
      <c r="H698" s="35" t="s">
        <v>151</v>
      </c>
      <c r="I698" s="29" t="s">
        <v>2940</v>
      </c>
      <c r="J698" s="37"/>
      <c r="K698" s="38"/>
      <c r="L698" s="38"/>
      <c r="M698" s="36" t="s">
        <v>60</v>
      </c>
      <c r="N698" s="15" t="s">
        <v>152</v>
      </c>
      <c r="O698" s="36" t="s">
        <v>162</v>
      </c>
      <c r="P698" s="36" t="str">
        <f t="shared" si="22"/>
        <v>WMTS_1/1000地形圖_宜蘭縣冬山(順安地區)都市計畫(98年)</v>
      </c>
      <c r="Q698" s="29" t="s">
        <v>2943</v>
      </c>
      <c r="R698" s="29" t="str">
        <f t="shared" si="23"/>
        <v>2dms_wmts_v1_TOPO01K_G04</v>
      </c>
      <c r="S698" s="39" t="s">
        <v>155</v>
      </c>
      <c r="U698" s="27" t="str">
        <f>_xlfn.XLOOKUP(表格1[[#This Row],[服務類別(英)]],參考2_服務標準對照!$B:$B,參考2_服務標準對照!$C:$C,"")&amp;""</f>
        <v>OGC</v>
      </c>
      <c r="V698" s="29" t="s">
        <v>7</v>
      </c>
      <c r="W698" s="29" t="s">
        <v>163</v>
      </c>
      <c r="X698" s="29" t="s">
        <v>81</v>
      </c>
      <c r="Y698" s="36" t="s">
        <v>83</v>
      </c>
      <c r="Z698" s="36" t="s">
        <v>157</v>
      </c>
      <c r="AA698" s="36" t="s">
        <v>1159</v>
      </c>
      <c r="AB698" s="36"/>
      <c r="AC698" s="36"/>
      <c r="AD698" s="29" t="s">
        <v>119</v>
      </c>
      <c r="AE698" s="36" t="str">
        <f>_xlfn.XLOOKUP(表格1[[#This Row],[唯一識別碼]],API清冊0707!B:B,API清冊0707!T:T,"")&amp;""</f>
        <v>無下拉選單</v>
      </c>
    </row>
    <row r="699" spans="1:31" ht="204.75" customHeight="1" x14ac:dyDescent="0.4">
      <c r="A699" s="29" t="s">
        <v>2944</v>
      </c>
      <c r="B699" s="29"/>
      <c r="C699" s="29"/>
      <c r="D699" s="29" t="s">
        <v>2945</v>
      </c>
      <c r="E699" s="29" t="s">
        <v>2946</v>
      </c>
      <c r="F699" s="29" t="s">
        <v>2947</v>
      </c>
      <c r="G699" s="35"/>
      <c r="H699" s="35" t="s">
        <v>151</v>
      </c>
      <c r="I699" s="29" t="s">
        <v>2944</v>
      </c>
      <c r="J699" s="37"/>
      <c r="K699" s="38"/>
      <c r="L699" s="38"/>
      <c r="M699" s="36" t="s">
        <v>60</v>
      </c>
      <c r="N699" s="15" t="s">
        <v>152</v>
      </c>
      <c r="O699" s="36" t="s">
        <v>162</v>
      </c>
      <c r="P699" s="36" t="str">
        <f t="shared" si="22"/>
        <v>WMTS_1/1000地形圖_宜蘭縣五結(學進地區)都市計畫(97年)</v>
      </c>
      <c r="Q699" s="29" t="s">
        <v>2947</v>
      </c>
      <c r="R699" s="29" t="str">
        <f t="shared" si="23"/>
        <v>2dms_wmts_v1_TOPO01K_G03</v>
      </c>
      <c r="S699" s="39" t="s">
        <v>155</v>
      </c>
      <c r="U699" s="27" t="str">
        <f>_xlfn.XLOOKUP(表格1[[#This Row],[服務類別(英)]],參考2_服務標準對照!$B:$B,參考2_服務標準對照!$C:$C,"")&amp;""</f>
        <v>OGC</v>
      </c>
      <c r="V699" s="29" t="s">
        <v>7</v>
      </c>
      <c r="W699" s="29" t="s">
        <v>163</v>
      </c>
      <c r="X699" s="29" t="s">
        <v>81</v>
      </c>
      <c r="Y699" s="36" t="s">
        <v>83</v>
      </c>
      <c r="Z699" s="36" t="s">
        <v>157</v>
      </c>
      <c r="AA699" s="36" t="s">
        <v>1159</v>
      </c>
      <c r="AB699" s="36"/>
      <c r="AC699" s="36"/>
      <c r="AD699" s="29" t="s">
        <v>119</v>
      </c>
      <c r="AE699" s="36" t="str">
        <f>_xlfn.XLOOKUP(表格1[[#This Row],[唯一識別碼]],API清冊0707!B:B,API清冊0707!T:T,"")&amp;""</f>
        <v>無下拉選單</v>
      </c>
    </row>
    <row r="700" spans="1:31" ht="204.75" customHeight="1" x14ac:dyDescent="0.4">
      <c r="A700" s="29" t="s">
        <v>2948</v>
      </c>
      <c r="B700" s="29"/>
      <c r="C700" s="29"/>
      <c r="D700" s="29" t="s">
        <v>2949</v>
      </c>
      <c r="E700" s="29" t="s">
        <v>2950</v>
      </c>
      <c r="F700" s="29" t="s">
        <v>2951</v>
      </c>
      <c r="G700" s="35"/>
      <c r="H700" s="35" t="s">
        <v>151</v>
      </c>
      <c r="I700" s="29" t="s">
        <v>2948</v>
      </c>
      <c r="J700" s="37"/>
      <c r="K700" s="38"/>
      <c r="L700" s="38"/>
      <c r="M700" s="36" t="s">
        <v>60</v>
      </c>
      <c r="N700" s="15" t="s">
        <v>152</v>
      </c>
      <c r="O700" s="36" t="s">
        <v>162</v>
      </c>
      <c r="P700" s="36" t="str">
        <f t="shared" si="22"/>
        <v>WMTS_1/1000地形圖_宜蘭縣五峰旗風景特定區計畫及礁溪都市計畫(97年)</v>
      </c>
      <c r="Q700" s="29" t="s">
        <v>2951</v>
      </c>
      <c r="R700" s="29" t="str">
        <f t="shared" si="23"/>
        <v>2dms_wmts_v1_TOPO01K_G02</v>
      </c>
      <c r="S700" s="39" t="s">
        <v>155</v>
      </c>
      <c r="U700" s="27" t="str">
        <f>_xlfn.XLOOKUP(表格1[[#This Row],[服務類別(英)]],參考2_服務標準對照!$B:$B,參考2_服務標準對照!$C:$C,"")&amp;""</f>
        <v>OGC</v>
      </c>
      <c r="V700" s="29" t="s">
        <v>7</v>
      </c>
      <c r="W700" s="29" t="s">
        <v>163</v>
      </c>
      <c r="X700" s="29" t="s">
        <v>81</v>
      </c>
      <c r="Y700" s="36" t="s">
        <v>83</v>
      </c>
      <c r="Z700" s="36" t="s">
        <v>157</v>
      </c>
      <c r="AA700" s="36" t="s">
        <v>1159</v>
      </c>
      <c r="AB700" s="36"/>
      <c r="AC700" s="36"/>
      <c r="AD700" s="29" t="s">
        <v>119</v>
      </c>
      <c r="AE700" s="36" t="str">
        <f>_xlfn.XLOOKUP(表格1[[#This Row],[唯一識別碼]],API清冊0707!B:B,API清冊0707!T:T,"")&amp;""</f>
        <v>無下拉選單</v>
      </c>
    </row>
    <row r="701" spans="1:31" ht="204.75" customHeight="1" x14ac:dyDescent="0.4">
      <c r="A701" s="29" t="s">
        <v>2952</v>
      </c>
      <c r="B701" s="29"/>
      <c r="C701" s="29"/>
      <c r="D701" s="29" t="s">
        <v>2953</v>
      </c>
      <c r="E701" s="29" t="s">
        <v>2954</v>
      </c>
      <c r="F701" s="29" t="s">
        <v>2955</v>
      </c>
      <c r="G701" s="35"/>
      <c r="H701" s="35" t="s">
        <v>151</v>
      </c>
      <c r="I701" s="29" t="s">
        <v>2952</v>
      </c>
      <c r="J701" s="37"/>
      <c r="K701" s="38"/>
      <c r="L701" s="38"/>
      <c r="M701" s="36" t="s">
        <v>60</v>
      </c>
      <c r="N701" s="15" t="s">
        <v>152</v>
      </c>
      <c r="O701" s="36" t="s">
        <v>162</v>
      </c>
      <c r="P701" s="36" t="str">
        <f t="shared" si="22"/>
        <v>WMTS_1/1000地形圖_宜蘭縣三星都市計畫(98年)</v>
      </c>
      <c r="Q701" s="29" t="s">
        <v>2955</v>
      </c>
      <c r="R701" s="29" t="str">
        <f t="shared" si="23"/>
        <v>2dms_wmts_v1_TOPO01K_G01</v>
      </c>
      <c r="S701" s="39" t="s">
        <v>155</v>
      </c>
      <c r="U701" s="27" t="str">
        <f>_xlfn.XLOOKUP(表格1[[#This Row],[服務類別(英)]],參考2_服務標準對照!$B:$B,參考2_服務標準對照!$C:$C,"")&amp;""</f>
        <v>OGC</v>
      </c>
      <c r="V701" s="29" t="s">
        <v>7</v>
      </c>
      <c r="W701" s="29" t="s">
        <v>163</v>
      </c>
      <c r="X701" s="29" t="s">
        <v>81</v>
      </c>
      <c r="Y701" s="36" t="s">
        <v>83</v>
      </c>
      <c r="Z701" s="36" t="s">
        <v>157</v>
      </c>
      <c r="AA701" s="36" t="s">
        <v>1159</v>
      </c>
      <c r="AB701" s="36"/>
      <c r="AC701" s="36"/>
      <c r="AD701" s="29" t="s">
        <v>119</v>
      </c>
      <c r="AE701" s="36" t="str">
        <f>_xlfn.XLOOKUP(表格1[[#This Row],[唯一識別碼]],API清冊0707!B:B,API清冊0707!T:T,"")&amp;""</f>
        <v>無下拉選單</v>
      </c>
    </row>
    <row r="702" spans="1:31" ht="204.75" customHeight="1" x14ac:dyDescent="0.4">
      <c r="A702" s="29" t="s">
        <v>2956</v>
      </c>
      <c r="B702" s="29"/>
      <c r="C702" s="29"/>
      <c r="D702" s="29" t="s">
        <v>2957</v>
      </c>
      <c r="E702" s="29" t="s">
        <v>2958</v>
      </c>
      <c r="F702" s="29" t="s">
        <v>2959</v>
      </c>
      <c r="G702" s="35"/>
      <c r="H702" s="35" t="s">
        <v>151</v>
      </c>
      <c r="I702" s="29" t="s">
        <v>2956</v>
      </c>
      <c r="J702" s="37"/>
      <c r="K702" s="38"/>
      <c r="L702" s="38"/>
      <c r="M702" s="36" t="s">
        <v>60</v>
      </c>
      <c r="N702" s="15" t="s">
        <v>152</v>
      </c>
      <c r="O702" s="36" t="s">
        <v>162</v>
      </c>
      <c r="P702" s="36" t="str">
        <f t="shared" si="22"/>
        <v>WMTS_1/1000地形圖_新北市鶯歌都市計畫(111年)</v>
      </c>
      <c r="Q702" s="29" t="s">
        <v>2959</v>
      </c>
      <c r="R702" s="29" t="str">
        <f t="shared" si="23"/>
        <v>2dms_wmts_v1_TOPO01K_F56</v>
      </c>
      <c r="S702" s="39" t="s">
        <v>155</v>
      </c>
      <c r="U702" s="27" t="str">
        <f>_xlfn.XLOOKUP(表格1[[#This Row],[服務類別(英)]],參考2_服務標準對照!$B:$B,參考2_服務標準對照!$C:$C,"")&amp;""</f>
        <v>OGC</v>
      </c>
      <c r="V702" s="29" t="s">
        <v>7</v>
      </c>
      <c r="W702" s="29" t="s">
        <v>163</v>
      </c>
      <c r="X702" s="29" t="s">
        <v>81</v>
      </c>
      <c r="Y702" s="36" t="s">
        <v>83</v>
      </c>
      <c r="Z702" s="36" t="s">
        <v>157</v>
      </c>
      <c r="AA702" s="36" t="s">
        <v>1159</v>
      </c>
      <c r="AB702" s="36"/>
      <c r="AC702" s="36"/>
      <c r="AD702" s="29" t="s">
        <v>119</v>
      </c>
      <c r="AE702" s="36" t="str">
        <f>_xlfn.XLOOKUP(表格1[[#This Row],[唯一識別碼]],API清冊0707!B:B,API清冊0707!T:T,"")&amp;""</f>
        <v>無下拉選單</v>
      </c>
    </row>
    <row r="703" spans="1:31" ht="204.75" customHeight="1" x14ac:dyDescent="0.4">
      <c r="A703" s="29" t="s">
        <v>2960</v>
      </c>
      <c r="B703" s="29"/>
      <c r="C703" s="29"/>
      <c r="D703" s="29" t="s">
        <v>2961</v>
      </c>
      <c r="E703" s="29" t="s">
        <v>2962</v>
      </c>
      <c r="F703" s="29" t="s">
        <v>2963</v>
      </c>
      <c r="G703" s="35"/>
      <c r="H703" s="35" t="s">
        <v>151</v>
      </c>
      <c r="I703" s="29" t="s">
        <v>2960</v>
      </c>
      <c r="J703" s="37"/>
      <c r="K703" s="38"/>
      <c r="L703" s="38"/>
      <c r="M703" s="36" t="s">
        <v>60</v>
      </c>
      <c r="N703" s="15" t="s">
        <v>152</v>
      </c>
      <c r="O703" s="36" t="s">
        <v>162</v>
      </c>
      <c r="P703" s="36" t="str">
        <f t="shared" si="22"/>
        <v>WMTS_1/1000地形圖_新北市蘆洲都市計畫(110年)</v>
      </c>
      <c r="Q703" s="29" t="s">
        <v>2963</v>
      </c>
      <c r="R703" s="29" t="str">
        <f t="shared" si="23"/>
        <v>2dms_wmts_v1_TOPO01K_F55</v>
      </c>
      <c r="S703" s="39" t="s">
        <v>155</v>
      </c>
      <c r="U703" s="27" t="str">
        <f>_xlfn.XLOOKUP(表格1[[#This Row],[服務類別(英)]],參考2_服務標準對照!$B:$B,參考2_服務標準對照!$C:$C,"")&amp;""</f>
        <v>OGC</v>
      </c>
      <c r="V703" s="29" t="s">
        <v>7</v>
      </c>
      <c r="W703" s="29" t="s">
        <v>163</v>
      </c>
      <c r="X703" s="29" t="s">
        <v>81</v>
      </c>
      <c r="Y703" s="36" t="s">
        <v>83</v>
      </c>
      <c r="Z703" s="36" t="s">
        <v>157</v>
      </c>
      <c r="AA703" s="36" t="s">
        <v>1159</v>
      </c>
      <c r="AB703" s="36"/>
      <c r="AC703" s="36"/>
      <c r="AD703" s="29" t="s">
        <v>119</v>
      </c>
      <c r="AE703" s="36" t="str">
        <f>_xlfn.XLOOKUP(表格1[[#This Row],[唯一識別碼]],API清冊0707!B:B,API清冊0707!T:T,"")&amp;""</f>
        <v>無下拉選單</v>
      </c>
    </row>
    <row r="704" spans="1:31" ht="204.75" customHeight="1" x14ac:dyDescent="0.4">
      <c r="A704" s="29" t="s">
        <v>2964</v>
      </c>
      <c r="B704" s="29"/>
      <c r="C704" s="29"/>
      <c r="D704" s="29" t="s">
        <v>2965</v>
      </c>
      <c r="E704" s="29" t="s">
        <v>2966</v>
      </c>
      <c r="F704" s="29" t="s">
        <v>2967</v>
      </c>
      <c r="G704" s="35"/>
      <c r="H704" s="35" t="s">
        <v>151</v>
      </c>
      <c r="I704" s="29" t="s">
        <v>2964</v>
      </c>
      <c r="J704" s="37"/>
      <c r="K704" s="38"/>
      <c r="L704" s="38"/>
      <c r="M704" s="36" t="s">
        <v>60</v>
      </c>
      <c r="N704" s="15" t="s">
        <v>152</v>
      </c>
      <c r="O704" s="36" t="s">
        <v>162</v>
      </c>
      <c r="P704" s="36" t="str">
        <f t="shared" si="22"/>
        <v>WMTS_1/1000地形圖_新北市雙溪都市計畫(112年)</v>
      </c>
      <c r="Q704" s="29" t="s">
        <v>2967</v>
      </c>
      <c r="R704" s="29" t="str">
        <f t="shared" si="23"/>
        <v>2dms_wmts_v1_TOPO01K_F54</v>
      </c>
      <c r="S704" s="39" t="s">
        <v>155</v>
      </c>
      <c r="U704" s="27" t="str">
        <f>_xlfn.XLOOKUP(表格1[[#This Row],[服務類別(英)]],參考2_服務標準對照!$B:$B,參考2_服務標準對照!$C:$C,"")&amp;""</f>
        <v>OGC</v>
      </c>
      <c r="V704" s="29" t="s">
        <v>7</v>
      </c>
      <c r="W704" s="29" t="s">
        <v>163</v>
      </c>
      <c r="X704" s="29" t="s">
        <v>81</v>
      </c>
      <c r="Y704" s="36" t="s">
        <v>83</v>
      </c>
      <c r="Z704" s="36" t="s">
        <v>157</v>
      </c>
      <c r="AA704" s="36" t="s">
        <v>1159</v>
      </c>
      <c r="AB704" s="36"/>
      <c r="AC704" s="36"/>
      <c r="AD704" s="29" t="s">
        <v>119</v>
      </c>
      <c r="AE704" s="36" t="str">
        <f>_xlfn.XLOOKUP(表格1[[#This Row],[唯一識別碼]],API清冊0707!B:B,API清冊0707!T:T,"")&amp;""</f>
        <v>無下拉選單</v>
      </c>
    </row>
    <row r="705" spans="1:31" ht="204.75" customHeight="1" x14ac:dyDescent="0.4">
      <c r="A705" s="29" t="s">
        <v>2968</v>
      </c>
      <c r="B705" s="29"/>
      <c r="C705" s="29"/>
      <c r="D705" s="29" t="s">
        <v>2969</v>
      </c>
      <c r="E705" s="29" t="s">
        <v>2970</v>
      </c>
      <c r="F705" s="29" t="s">
        <v>2971</v>
      </c>
      <c r="G705" s="35"/>
      <c r="H705" s="35" t="s">
        <v>151</v>
      </c>
      <c r="I705" s="29" t="s">
        <v>2968</v>
      </c>
      <c r="J705" s="37"/>
      <c r="K705" s="38"/>
      <c r="L705" s="38"/>
      <c r="M705" s="36" t="s">
        <v>60</v>
      </c>
      <c r="N705" s="15" t="s">
        <v>152</v>
      </c>
      <c r="O705" s="36" t="s">
        <v>162</v>
      </c>
      <c r="P705" s="36" t="str">
        <f t="shared" si="22"/>
        <v>WMTS_1/1000地形圖_新北市萬里都市計畫(109年)</v>
      </c>
      <c r="Q705" s="29" t="s">
        <v>2971</v>
      </c>
      <c r="R705" s="29" t="str">
        <f t="shared" si="23"/>
        <v>2dms_wmts_v1_TOPO01K_F53</v>
      </c>
      <c r="S705" s="39" t="s">
        <v>155</v>
      </c>
      <c r="U705" s="27" t="str">
        <f>_xlfn.XLOOKUP(表格1[[#This Row],[服務類別(英)]],參考2_服務標準對照!$B:$B,參考2_服務標準對照!$C:$C,"")&amp;""</f>
        <v>OGC</v>
      </c>
      <c r="V705" s="29" t="s">
        <v>7</v>
      </c>
      <c r="W705" s="29" t="s">
        <v>163</v>
      </c>
      <c r="X705" s="29" t="s">
        <v>81</v>
      </c>
      <c r="Y705" s="36" t="s">
        <v>83</v>
      </c>
      <c r="Z705" s="36" t="s">
        <v>157</v>
      </c>
      <c r="AA705" s="36" t="s">
        <v>1159</v>
      </c>
      <c r="AB705" s="36"/>
      <c r="AC705" s="36"/>
      <c r="AD705" s="29" t="s">
        <v>119</v>
      </c>
      <c r="AE705" s="36" t="str">
        <f>_xlfn.XLOOKUP(表格1[[#This Row],[唯一識別碼]],API清冊0707!B:B,API清冊0707!T:T,"")&amp;""</f>
        <v>無下拉選單</v>
      </c>
    </row>
    <row r="706" spans="1:31" ht="204.75" customHeight="1" x14ac:dyDescent="0.4">
      <c r="A706" s="29" t="s">
        <v>2972</v>
      </c>
      <c r="B706" s="29"/>
      <c r="C706" s="29"/>
      <c r="D706" s="29" t="s">
        <v>2973</v>
      </c>
      <c r="E706" s="29" t="s">
        <v>2974</v>
      </c>
      <c r="F706" s="29" t="s">
        <v>2975</v>
      </c>
      <c r="G706" s="35"/>
      <c r="H706" s="35" t="s">
        <v>151</v>
      </c>
      <c r="I706" s="29" t="s">
        <v>2972</v>
      </c>
      <c r="J706" s="37"/>
      <c r="K706" s="38"/>
      <c r="L706" s="38"/>
      <c r="M706" s="36" t="s">
        <v>60</v>
      </c>
      <c r="N706" s="15" t="s">
        <v>152</v>
      </c>
      <c r="O706" s="36" t="s">
        <v>162</v>
      </c>
      <c r="P706" s="36" t="str">
        <f t="shared" si="22"/>
        <v>WMTS_1/1000地形圖_新北市瑞芳都市計畫(111年)</v>
      </c>
      <c r="Q706" s="29" t="s">
        <v>2975</v>
      </c>
      <c r="R706" s="29" t="str">
        <f t="shared" si="23"/>
        <v>2dms_wmts_v1_TOPO01K_F52</v>
      </c>
      <c r="S706" s="39" t="s">
        <v>155</v>
      </c>
      <c r="U706" s="27" t="str">
        <f>_xlfn.XLOOKUP(表格1[[#This Row],[服務類別(英)]],參考2_服務標準對照!$B:$B,參考2_服務標準對照!$C:$C,"")&amp;""</f>
        <v>OGC</v>
      </c>
      <c r="V706" s="29" t="s">
        <v>7</v>
      </c>
      <c r="W706" s="29" t="s">
        <v>163</v>
      </c>
      <c r="X706" s="29" t="s">
        <v>81</v>
      </c>
      <c r="Y706" s="36" t="s">
        <v>83</v>
      </c>
      <c r="Z706" s="36" t="s">
        <v>157</v>
      </c>
      <c r="AA706" s="36" t="s">
        <v>1159</v>
      </c>
      <c r="AB706" s="36"/>
      <c r="AC706" s="36"/>
      <c r="AD706" s="29" t="s">
        <v>119</v>
      </c>
      <c r="AE706" s="36" t="str">
        <f>_xlfn.XLOOKUP(表格1[[#This Row],[唯一識別碼]],API清冊0707!B:B,API清冊0707!T:T,"")&amp;""</f>
        <v>無下拉選單</v>
      </c>
    </row>
    <row r="707" spans="1:31" ht="204.75" customHeight="1" x14ac:dyDescent="0.4">
      <c r="A707" s="29" t="s">
        <v>2976</v>
      </c>
      <c r="B707" s="29"/>
      <c r="C707" s="29"/>
      <c r="D707" s="29" t="s">
        <v>2977</v>
      </c>
      <c r="E707" s="29" t="s">
        <v>2978</v>
      </c>
      <c r="F707" s="29" t="s">
        <v>2979</v>
      </c>
      <c r="G707" s="35"/>
      <c r="H707" s="35" t="s">
        <v>151</v>
      </c>
      <c r="I707" s="29" t="s">
        <v>2976</v>
      </c>
      <c r="J707" s="37"/>
      <c r="K707" s="38"/>
      <c r="L707" s="38"/>
      <c r="M707" s="36" t="s">
        <v>60</v>
      </c>
      <c r="N707" s="15" t="s">
        <v>152</v>
      </c>
      <c r="O707" s="36" t="s">
        <v>162</v>
      </c>
      <c r="P707" s="36" t="str">
        <f t="shared" si="22"/>
        <v>WMTS_1/1000地形圖_新北市新店都市計畫(111年)</v>
      </c>
      <c r="Q707" s="29" t="s">
        <v>2979</v>
      </c>
      <c r="R707" s="29" t="str">
        <f t="shared" si="23"/>
        <v>2dms_wmts_v1_TOPO01K_F51</v>
      </c>
      <c r="S707" s="39" t="s">
        <v>155</v>
      </c>
      <c r="U707" s="27" t="str">
        <f>_xlfn.XLOOKUP(表格1[[#This Row],[服務類別(英)]],參考2_服務標準對照!$B:$B,參考2_服務標準對照!$C:$C,"")&amp;""</f>
        <v>OGC</v>
      </c>
      <c r="V707" s="29" t="s">
        <v>7</v>
      </c>
      <c r="W707" s="29" t="s">
        <v>163</v>
      </c>
      <c r="X707" s="29" t="s">
        <v>81</v>
      </c>
      <c r="Y707" s="36" t="s">
        <v>83</v>
      </c>
      <c r="Z707" s="36" t="s">
        <v>157</v>
      </c>
      <c r="AA707" s="36" t="s">
        <v>1159</v>
      </c>
      <c r="AB707" s="36"/>
      <c r="AC707" s="36"/>
      <c r="AD707" s="29" t="s">
        <v>119</v>
      </c>
      <c r="AE707" s="36" t="str">
        <f>_xlfn.XLOOKUP(表格1[[#This Row],[唯一識別碼]],API清冊0707!B:B,API清冊0707!T:T,"")&amp;""</f>
        <v>無下拉選單</v>
      </c>
    </row>
    <row r="708" spans="1:31" ht="204.75" customHeight="1" x14ac:dyDescent="0.4">
      <c r="A708" s="29" t="s">
        <v>2980</v>
      </c>
      <c r="B708" s="29"/>
      <c r="C708" s="29"/>
      <c r="D708" s="29" t="s">
        <v>2981</v>
      </c>
      <c r="E708" s="29" t="s">
        <v>2982</v>
      </c>
      <c r="F708" s="29" t="s">
        <v>2983</v>
      </c>
      <c r="G708" s="35"/>
      <c r="H708" s="35" t="s">
        <v>151</v>
      </c>
      <c r="I708" s="29" t="s">
        <v>2980</v>
      </c>
      <c r="J708" s="37"/>
      <c r="K708" s="38"/>
      <c r="L708" s="38"/>
      <c r="M708" s="36" t="s">
        <v>60</v>
      </c>
      <c r="N708" s="15" t="s">
        <v>152</v>
      </c>
      <c r="O708" s="36" t="s">
        <v>162</v>
      </c>
      <c r="P708" s="36" t="str">
        <f t="shared" si="22"/>
        <v>WMTS_1/1000地形圖_新北市深坑都市計畫(110年)</v>
      </c>
      <c r="Q708" s="29" t="s">
        <v>2983</v>
      </c>
      <c r="R708" s="29" t="str">
        <f t="shared" si="23"/>
        <v>2dms_wmts_v1_TOPO01K_F50</v>
      </c>
      <c r="S708" s="39" t="s">
        <v>155</v>
      </c>
      <c r="U708" s="27" t="str">
        <f>_xlfn.XLOOKUP(表格1[[#This Row],[服務類別(英)]],參考2_服務標準對照!$B:$B,參考2_服務標準對照!$C:$C,"")&amp;""</f>
        <v>OGC</v>
      </c>
      <c r="V708" s="29" t="s">
        <v>7</v>
      </c>
      <c r="W708" s="29" t="s">
        <v>163</v>
      </c>
      <c r="X708" s="29" t="s">
        <v>81</v>
      </c>
      <c r="Y708" s="36" t="s">
        <v>83</v>
      </c>
      <c r="Z708" s="36" t="s">
        <v>157</v>
      </c>
      <c r="AA708" s="36" t="s">
        <v>1159</v>
      </c>
      <c r="AB708" s="36"/>
      <c r="AC708" s="36"/>
      <c r="AD708" s="29" t="s">
        <v>119</v>
      </c>
      <c r="AE708" s="36" t="str">
        <f>_xlfn.XLOOKUP(表格1[[#This Row],[唯一識別碼]],API清冊0707!B:B,API清冊0707!T:T,"")&amp;""</f>
        <v>無下拉選單</v>
      </c>
    </row>
    <row r="709" spans="1:31" ht="204.75" customHeight="1" x14ac:dyDescent="0.4">
      <c r="A709" s="29" t="s">
        <v>2984</v>
      </c>
      <c r="B709" s="29"/>
      <c r="C709" s="29"/>
      <c r="D709" s="29" t="s">
        <v>2985</v>
      </c>
      <c r="E709" s="29" t="s">
        <v>2986</v>
      </c>
      <c r="F709" s="29" t="s">
        <v>2987</v>
      </c>
      <c r="G709" s="35"/>
      <c r="H709" s="35" t="s">
        <v>151</v>
      </c>
      <c r="I709" s="29" t="s">
        <v>2984</v>
      </c>
      <c r="J709" s="37"/>
      <c r="K709" s="38"/>
      <c r="L709" s="38"/>
      <c r="M709" s="36" t="s">
        <v>60</v>
      </c>
      <c r="N709" s="15" t="s">
        <v>152</v>
      </c>
      <c r="O709" s="36" t="s">
        <v>162</v>
      </c>
      <c r="P709" s="36" t="str">
        <f t="shared" si="22"/>
        <v>WMTS_1/1000地形圖_新北市淡水都市計畫(110年)</v>
      </c>
      <c r="Q709" s="29" t="s">
        <v>2987</v>
      </c>
      <c r="R709" s="29" t="str">
        <f t="shared" si="23"/>
        <v>2dms_wmts_v1_TOPO01K_F49</v>
      </c>
      <c r="S709" s="39" t="s">
        <v>155</v>
      </c>
      <c r="U709" s="27" t="str">
        <f>_xlfn.XLOOKUP(表格1[[#This Row],[服務類別(英)]],參考2_服務標準對照!$B:$B,參考2_服務標準對照!$C:$C,"")&amp;""</f>
        <v>OGC</v>
      </c>
      <c r="V709" s="29" t="s">
        <v>7</v>
      </c>
      <c r="W709" s="29" t="s">
        <v>163</v>
      </c>
      <c r="X709" s="29" t="s">
        <v>81</v>
      </c>
      <c r="Y709" s="36" t="s">
        <v>83</v>
      </c>
      <c r="Z709" s="36" t="s">
        <v>157</v>
      </c>
      <c r="AA709" s="36" t="s">
        <v>1159</v>
      </c>
      <c r="AB709" s="36"/>
      <c r="AC709" s="36"/>
      <c r="AD709" s="29" t="s">
        <v>119</v>
      </c>
      <c r="AE709" s="36" t="str">
        <f>_xlfn.XLOOKUP(表格1[[#This Row],[唯一識別碼]],API清冊0707!B:B,API清冊0707!T:T,"")&amp;""</f>
        <v>無下拉選單</v>
      </c>
    </row>
    <row r="710" spans="1:31" ht="204.75" customHeight="1" x14ac:dyDescent="0.4">
      <c r="A710" s="29" t="s">
        <v>2988</v>
      </c>
      <c r="B710" s="29"/>
      <c r="C710" s="29"/>
      <c r="D710" s="29" t="s">
        <v>2989</v>
      </c>
      <c r="E710" s="29" t="s">
        <v>2990</v>
      </c>
      <c r="F710" s="29" t="s">
        <v>2991</v>
      </c>
      <c r="G710" s="35"/>
      <c r="H710" s="35" t="s">
        <v>151</v>
      </c>
      <c r="I710" s="29" t="s">
        <v>2988</v>
      </c>
      <c r="J710" s="37"/>
      <c r="K710" s="38"/>
      <c r="L710" s="38"/>
      <c r="M710" s="36" t="s">
        <v>60</v>
      </c>
      <c r="N710" s="15" t="s">
        <v>152</v>
      </c>
      <c r="O710" s="36" t="s">
        <v>162</v>
      </c>
      <c r="P710" s="36" t="str">
        <f t="shared" si="22"/>
        <v>WMTS_1/1000地形圖_新北市貢寮都市計畫(112年)</v>
      </c>
      <c r="Q710" s="29" t="s">
        <v>2991</v>
      </c>
      <c r="R710" s="29" t="str">
        <f t="shared" si="23"/>
        <v>2dms_wmts_v1_TOPO01K_F48</v>
      </c>
      <c r="S710" s="39" t="s">
        <v>155</v>
      </c>
      <c r="U710" s="27" t="str">
        <f>_xlfn.XLOOKUP(表格1[[#This Row],[服務類別(英)]],參考2_服務標準對照!$B:$B,參考2_服務標準對照!$C:$C,"")&amp;""</f>
        <v>OGC</v>
      </c>
      <c r="V710" s="29" t="s">
        <v>7</v>
      </c>
      <c r="W710" s="29" t="s">
        <v>163</v>
      </c>
      <c r="X710" s="29" t="s">
        <v>81</v>
      </c>
      <c r="Y710" s="36" t="s">
        <v>83</v>
      </c>
      <c r="Z710" s="36" t="s">
        <v>157</v>
      </c>
      <c r="AA710" s="36" t="s">
        <v>1159</v>
      </c>
      <c r="AB710" s="36"/>
      <c r="AC710" s="36"/>
      <c r="AD710" s="29" t="s">
        <v>119</v>
      </c>
      <c r="AE710" s="36" t="str">
        <f>_xlfn.XLOOKUP(表格1[[#This Row],[唯一識別碼]],API清冊0707!B:B,API清冊0707!T:T,"")&amp;""</f>
        <v>無下拉選單</v>
      </c>
    </row>
    <row r="711" spans="1:31" ht="204.75" customHeight="1" x14ac:dyDescent="0.4">
      <c r="A711" s="29" t="s">
        <v>2992</v>
      </c>
      <c r="B711" s="29"/>
      <c r="C711" s="29"/>
      <c r="D711" s="29" t="s">
        <v>2993</v>
      </c>
      <c r="E711" s="29" t="s">
        <v>2994</v>
      </c>
      <c r="F711" s="29" t="s">
        <v>2995</v>
      </c>
      <c r="G711" s="35"/>
      <c r="H711" s="35" t="s">
        <v>151</v>
      </c>
      <c r="I711" s="29" t="s">
        <v>2992</v>
      </c>
      <c r="J711" s="37"/>
      <c r="K711" s="38"/>
      <c r="L711" s="38"/>
      <c r="M711" s="36" t="s">
        <v>60</v>
      </c>
      <c r="N711" s="15" t="s">
        <v>152</v>
      </c>
      <c r="O711" s="36" t="s">
        <v>162</v>
      </c>
      <c r="P711" s="36" t="str">
        <f t="shared" si="22"/>
        <v>WMTS_1/1000地形圖_新北市貢寮都市計畫(108年)</v>
      </c>
      <c r="Q711" s="29" t="s">
        <v>2995</v>
      </c>
      <c r="R711" s="29" t="str">
        <f t="shared" si="23"/>
        <v>2dms_wmts_v1_TOPO01K_F47</v>
      </c>
      <c r="S711" s="39" t="s">
        <v>155</v>
      </c>
      <c r="U711" s="27" t="str">
        <f>_xlfn.XLOOKUP(表格1[[#This Row],[服務類別(英)]],參考2_服務標準對照!$B:$B,參考2_服務標準對照!$C:$C,"")&amp;""</f>
        <v>OGC</v>
      </c>
      <c r="V711" s="29" t="s">
        <v>7</v>
      </c>
      <c r="W711" s="29" t="s">
        <v>163</v>
      </c>
      <c r="X711" s="29" t="s">
        <v>81</v>
      </c>
      <c r="Y711" s="36" t="s">
        <v>83</v>
      </c>
      <c r="Z711" s="36" t="s">
        <v>157</v>
      </c>
      <c r="AA711" s="36" t="s">
        <v>1159</v>
      </c>
      <c r="AB711" s="36"/>
      <c r="AC711" s="36"/>
      <c r="AD711" s="29" t="s">
        <v>119</v>
      </c>
      <c r="AE711" s="36" t="str">
        <f>_xlfn.XLOOKUP(表格1[[#This Row],[唯一識別碼]],API清冊0707!B:B,API清冊0707!T:T,"")&amp;""</f>
        <v>無下拉選單</v>
      </c>
    </row>
    <row r="712" spans="1:31" ht="204.75" customHeight="1" x14ac:dyDescent="0.4">
      <c r="A712" s="29" t="s">
        <v>2996</v>
      </c>
      <c r="B712" s="29"/>
      <c r="C712" s="29"/>
      <c r="D712" s="29" t="s">
        <v>2997</v>
      </c>
      <c r="E712" s="29" t="s">
        <v>2998</v>
      </c>
      <c r="F712" s="29" t="s">
        <v>2999</v>
      </c>
      <c r="G712" s="35"/>
      <c r="H712" s="35" t="s">
        <v>151</v>
      </c>
      <c r="I712" s="29" t="s">
        <v>2996</v>
      </c>
      <c r="J712" s="37"/>
      <c r="K712" s="38"/>
      <c r="L712" s="38"/>
      <c r="M712" s="36" t="s">
        <v>60</v>
      </c>
      <c r="N712" s="15" t="s">
        <v>152</v>
      </c>
      <c r="O712" s="36" t="s">
        <v>162</v>
      </c>
      <c r="P712" s="36" t="str">
        <f t="shared" si="22"/>
        <v>WMTS_1/1000地形圖_新北市烏來都市計畫(112年)</v>
      </c>
      <c r="Q712" s="29" t="s">
        <v>2999</v>
      </c>
      <c r="R712" s="29" t="str">
        <f t="shared" si="23"/>
        <v>2dms_wmts_v1_TOPO01K_F46</v>
      </c>
      <c r="S712" s="39" t="s">
        <v>155</v>
      </c>
      <c r="U712" s="27" t="str">
        <f>_xlfn.XLOOKUP(表格1[[#This Row],[服務類別(英)]],參考2_服務標準對照!$B:$B,參考2_服務標準對照!$C:$C,"")&amp;""</f>
        <v>OGC</v>
      </c>
      <c r="V712" s="29" t="s">
        <v>7</v>
      </c>
      <c r="W712" s="29" t="s">
        <v>163</v>
      </c>
      <c r="X712" s="29" t="s">
        <v>81</v>
      </c>
      <c r="Y712" s="36" t="s">
        <v>83</v>
      </c>
      <c r="Z712" s="36" t="s">
        <v>157</v>
      </c>
      <c r="AA712" s="36" t="s">
        <v>1159</v>
      </c>
      <c r="AB712" s="36"/>
      <c r="AC712" s="36"/>
      <c r="AD712" s="29" t="s">
        <v>119</v>
      </c>
      <c r="AE712" s="36" t="str">
        <f>_xlfn.XLOOKUP(表格1[[#This Row],[唯一識別碼]],API清冊0707!B:B,API清冊0707!T:T,"")&amp;""</f>
        <v>無下拉選單</v>
      </c>
    </row>
    <row r="713" spans="1:31" ht="204.75" customHeight="1" x14ac:dyDescent="0.4">
      <c r="A713" s="29" t="s">
        <v>3000</v>
      </c>
      <c r="B713" s="29"/>
      <c r="C713" s="29"/>
      <c r="D713" s="29" t="s">
        <v>3001</v>
      </c>
      <c r="E713" s="29" t="s">
        <v>3002</v>
      </c>
      <c r="F713" s="29" t="s">
        <v>3003</v>
      </c>
      <c r="G713" s="35"/>
      <c r="H713" s="35" t="s">
        <v>151</v>
      </c>
      <c r="I713" s="29" t="s">
        <v>3000</v>
      </c>
      <c r="J713" s="37"/>
      <c r="K713" s="38"/>
      <c r="L713" s="38"/>
      <c r="M713" s="36" t="s">
        <v>60</v>
      </c>
      <c r="N713" s="15" t="s">
        <v>152</v>
      </c>
      <c r="O713" s="36" t="s">
        <v>162</v>
      </c>
      <c r="P713" s="36" t="str">
        <f t="shared" si="22"/>
        <v>WMTS_1/1000地形圖_新北市金山都市計畫(109年)</v>
      </c>
      <c r="Q713" s="29" t="s">
        <v>3003</v>
      </c>
      <c r="R713" s="29" t="str">
        <f t="shared" si="23"/>
        <v>2dms_wmts_v1_TOPO01K_F45</v>
      </c>
      <c r="S713" s="39" t="s">
        <v>155</v>
      </c>
      <c r="U713" s="27" t="str">
        <f>_xlfn.XLOOKUP(表格1[[#This Row],[服務類別(英)]],參考2_服務標準對照!$B:$B,參考2_服務標準對照!$C:$C,"")&amp;""</f>
        <v>OGC</v>
      </c>
      <c r="V713" s="29" t="s">
        <v>7</v>
      </c>
      <c r="W713" s="29" t="s">
        <v>163</v>
      </c>
      <c r="X713" s="29" t="s">
        <v>81</v>
      </c>
      <c r="Y713" s="36" t="s">
        <v>83</v>
      </c>
      <c r="Z713" s="36" t="s">
        <v>157</v>
      </c>
      <c r="AA713" s="36" t="s">
        <v>1159</v>
      </c>
      <c r="AB713" s="36"/>
      <c r="AC713" s="36"/>
      <c r="AD713" s="29" t="s">
        <v>119</v>
      </c>
      <c r="AE713" s="36" t="str">
        <f>_xlfn.XLOOKUP(表格1[[#This Row],[唯一識別碼]],API清冊0707!B:B,API清冊0707!T:T,"")&amp;""</f>
        <v>無下拉選單</v>
      </c>
    </row>
    <row r="714" spans="1:31" ht="204.75" customHeight="1" x14ac:dyDescent="0.4">
      <c r="A714" s="29" t="s">
        <v>3004</v>
      </c>
      <c r="B714" s="29"/>
      <c r="C714" s="29"/>
      <c r="D714" s="29" t="s">
        <v>3005</v>
      </c>
      <c r="E714" s="29" t="s">
        <v>3006</v>
      </c>
      <c r="F714" s="29" t="s">
        <v>3007</v>
      </c>
      <c r="G714" s="35"/>
      <c r="H714" s="35" t="s">
        <v>151</v>
      </c>
      <c r="I714" s="29" t="s">
        <v>3004</v>
      </c>
      <c r="J714" s="37"/>
      <c r="K714" s="38"/>
      <c r="L714" s="38"/>
      <c r="M714" s="36" t="s">
        <v>60</v>
      </c>
      <c r="N714" s="15" t="s">
        <v>152</v>
      </c>
      <c r="O714" s="36" t="s">
        <v>162</v>
      </c>
      <c r="P714" s="36" t="str">
        <f t="shared" si="22"/>
        <v>WMTS_1/1000地形圖_新北市林口都市計畫(107年)</v>
      </c>
      <c r="Q714" s="29" t="s">
        <v>3007</v>
      </c>
      <c r="R714" s="29" t="str">
        <f t="shared" si="23"/>
        <v>2dms_wmts_v1_TOPO01K_F44</v>
      </c>
      <c r="S714" s="39" t="s">
        <v>155</v>
      </c>
      <c r="U714" s="27" t="str">
        <f>_xlfn.XLOOKUP(表格1[[#This Row],[服務類別(英)]],參考2_服務標準對照!$B:$B,參考2_服務標準對照!$C:$C,"")&amp;""</f>
        <v>OGC</v>
      </c>
      <c r="V714" s="29" t="s">
        <v>7</v>
      </c>
      <c r="W714" s="29" t="s">
        <v>163</v>
      </c>
      <c r="X714" s="29" t="s">
        <v>81</v>
      </c>
      <c r="Y714" s="36" t="s">
        <v>83</v>
      </c>
      <c r="Z714" s="36" t="s">
        <v>157</v>
      </c>
      <c r="AA714" s="36" t="s">
        <v>1159</v>
      </c>
      <c r="AB714" s="36"/>
      <c r="AC714" s="36"/>
      <c r="AD714" s="29" t="s">
        <v>119</v>
      </c>
      <c r="AE714" s="36" t="str">
        <f>_xlfn.XLOOKUP(表格1[[#This Row],[唯一識別碼]],API清冊0707!B:B,API清冊0707!T:T,"")&amp;""</f>
        <v>無下拉選單</v>
      </c>
    </row>
    <row r="715" spans="1:31" ht="204.75" customHeight="1" x14ac:dyDescent="0.4">
      <c r="A715" s="29" t="s">
        <v>3008</v>
      </c>
      <c r="B715" s="29"/>
      <c r="C715" s="29"/>
      <c r="D715" s="29" t="s">
        <v>3009</v>
      </c>
      <c r="E715" s="29" t="s">
        <v>3010</v>
      </c>
      <c r="F715" s="29" t="s">
        <v>3011</v>
      </c>
      <c r="G715" s="35"/>
      <c r="H715" s="35" t="s">
        <v>151</v>
      </c>
      <c r="I715" s="29" t="s">
        <v>3008</v>
      </c>
      <c r="J715" s="37"/>
      <c r="K715" s="38"/>
      <c r="L715" s="38"/>
      <c r="M715" s="36" t="s">
        <v>60</v>
      </c>
      <c r="N715" s="15" t="s">
        <v>152</v>
      </c>
      <c r="O715" s="36" t="s">
        <v>162</v>
      </c>
      <c r="P715" s="36" t="str">
        <f t="shared" si="22"/>
        <v>WMTS_1/1000地形圖_新北市板橋都市計畫(109年)</v>
      </c>
      <c r="Q715" s="29" t="s">
        <v>3011</v>
      </c>
      <c r="R715" s="29" t="str">
        <f t="shared" si="23"/>
        <v>2dms_wmts_v1_TOPO01K_F43</v>
      </c>
      <c r="S715" s="39" t="s">
        <v>155</v>
      </c>
      <c r="U715" s="27" t="str">
        <f>_xlfn.XLOOKUP(表格1[[#This Row],[服務類別(英)]],參考2_服務標準對照!$B:$B,參考2_服務標準對照!$C:$C,"")&amp;""</f>
        <v>OGC</v>
      </c>
      <c r="V715" s="29" t="s">
        <v>7</v>
      </c>
      <c r="W715" s="29" t="s">
        <v>163</v>
      </c>
      <c r="X715" s="29" t="s">
        <v>81</v>
      </c>
      <c r="Y715" s="36" t="s">
        <v>83</v>
      </c>
      <c r="Z715" s="36" t="s">
        <v>157</v>
      </c>
      <c r="AA715" s="36" t="s">
        <v>1159</v>
      </c>
      <c r="AB715" s="36"/>
      <c r="AC715" s="36"/>
      <c r="AD715" s="29" t="s">
        <v>119</v>
      </c>
      <c r="AE715" s="36" t="str">
        <f>_xlfn.XLOOKUP(表格1[[#This Row],[唯一識別碼]],API清冊0707!B:B,API清冊0707!T:T,"")&amp;""</f>
        <v>無下拉選單</v>
      </c>
    </row>
    <row r="716" spans="1:31" ht="204.75" customHeight="1" x14ac:dyDescent="0.4">
      <c r="A716" s="29" t="s">
        <v>3012</v>
      </c>
      <c r="B716" s="29"/>
      <c r="C716" s="29"/>
      <c r="D716" s="29" t="s">
        <v>3013</v>
      </c>
      <c r="E716" s="29" t="s">
        <v>3014</v>
      </c>
      <c r="F716" s="29" t="s">
        <v>3015</v>
      </c>
      <c r="G716" s="35"/>
      <c r="H716" s="35" t="s">
        <v>151</v>
      </c>
      <c r="I716" s="29" t="s">
        <v>3012</v>
      </c>
      <c r="J716" s="37"/>
      <c r="K716" s="38"/>
      <c r="L716" s="38"/>
      <c r="M716" s="36" t="s">
        <v>60</v>
      </c>
      <c r="N716" s="15" t="s">
        <v>152</v>
      </c>
      <c r="O716" s="36" t="s">
        <v>162</v>
      </c>
      <c r="P716" s="36" t="str">
        <f t="shared" si="22"/>
        <v>WMTS_1/1000地形圖_新北市坪林都市計畫(110年)</v>
      </c>
      <c r="Q716" s="29" t="s">
        <v>3015</v>
      </c>
      <c r="R716" s="29" t="str">
        <f t="shared" si="23"/>
        <v>2dms_wmts_v1_TOPO01K_F42</v>
      </c>
      <c r="S716" s="39" t="s">
        <v>155</v>
      </c>
      <c r="U716" s="27" t="str">
        <f>_xlfn.XLOOKUP(表格1[[#This Row],[服務類別(英)]],參考2_服務標準對照!$B:$B,參考2_服務標準對照!$C:$C,"")&amp;""</f>
        <v>OGC</v>
      </c>
      <c r="V716" s="29" t="s">
        <v>7</v>
      </c>
      <c r="W716" s="29" t="s">
        <v>163</v>
      </c>
      <c r="X716" s="29" t="s">
        <v>81</v>
      </c>
      <c r="Y716" s="36" t="s">
        <v>83</v>
      </c>
      <c r="Z716" s="36" t="s">
        <v>157</v>
      </c>
      <c r="AA716" s="36" t="s">
        <v>1159</v>
      </c>
      <c r="AB716" s="36"/>
      <c r="AC716" s="36"/>
      <c r="AD716" s="29" t="s">
        <v>119</v>
      </c>
      <c r="AE716" s="36" t="str">
        <f>_xlfn.XLOOKUP(表格1[[#This Row],[唯一識別碼]],API清冊0707!B:B,API清冊0707!T:T,"")&amp;""</f>
        <v>無下拉選單</v>
      </c>
    </row>
    <row r="717" spans="1:31" ht="204.75" customHeight="1" x14ac:dyDescent="0.4">
      <c r="A717" s="29" t="s">
        <v>3016</v>
      </c>
      <c r="B717" s="29"/>
      <c r="C717" s="29"/>
      <c r="D717" s="29" t="s">
        <v>3017</v>
      </c>
      <c r="E717" s="29" t="s">
        <v>3018</v>
      </c>
      <c r="F717" s="29" t="s">
        <v>3019</v>
      </c>
      <c r="G717" s="35"/>
      <c r="H717" s="35" t="s">
        <v>151</v>
      </c>
      <c r="I717" s="29" t="s">
        <v>3016</v>
      </c>
      <c r="J717" s="37"/>
      <c r="K717" s="38"/>
      <c r="L717" s="38"/>
      <c r="M717" s="36" t="s">
        <v>60</v>
      </c>
      <c r="N717" s="15" t="s">
        <v>152</v>
      </c>
      <c r="O717" s="36" t="s">
        <v>162</v>
      </c>
      <c r="P717" s="36" t="str">
        <f t="shared" si="22"/>
        <v>WMTS_1/1000地形圖_新北市汐止都市計畫(108年)</v>
      </c>
      <c r="Q717" s="29" t="s">
        <v>3019</v>
      </c>
      <c r="R717" s="29" t="str">
        <f t="shared" si="23"/>
        <v>2dms_wmts_v1_TOPO01K_F41</v>
      </c>
      <c r="S717" s="39" t="s">
        <v>155</v>
      </c>
      <c r="U717" s="27" t="str">
        <f>_xlfn.XLOOKUP(表格1[[#This Row],[服務類別(英)]],參考2_服務標準對照!$B:$B,參考2_服務標準對照!$C:$C,"")&amp;""</f>
        <v>OGC</v>
      </c>
      <c r="V717" s="29" t="s">
        <v>7</v>
      </c>
      <c r="W717" s="29" t="s">
        <v>163</v>
      </c>
      <c r="X717" s="29" t="s">
        <v>81</v>
      </c>
      <c r="Y717" s="36" t="s">
        <v>83</v>
      </c>
      <c r="Z717" s="36" t="s">
        <v>157</v>
      </c>
      <c r="AA717" s="36" t="s">
        <v>1159</v>
      </c>
      <c r="AB717" s="36"/>
      <c r="AC717" s="36"/>
      <c r="AD717" s="29" t="s">
        <v>119</v>
      </c>
      <c r="AE717" s="36" t="str">
        <f>_xlfn.XLOOKUP(表格1[[#This Row],[唯一識別碼]],API清冊0707!B:B,API清冊0707!T:T,"")&amp;""</f>
        <v>無下拉選單</v>
      </c>
    </row>
    <row r="718" spans="1:31" ht="204.75" customHeight="1" x14ac:dyDescent="0.4">
      <c r="A718" s="29" t="s">
        <v>3020</v>
      </c>
      <c r="B718" s="29"/>
      <c r="C718" s="29"/>
      <c r="D718" s="29" t="s">
        <v>3021</v>
      </c>
      <c r="E718" s="29" t="s">
        <v>3022</v>
      </c>
      <c r="F718" s="29" t="s">
        <v>3023</v>
      </c>
      <c r="G718" s="35"/>
      <c r="H718" s="35" t="s">
        <v>151</v>
      </c>
      <c r="I718" s="29" t="s">
        <v>3020</v>
      </c>
      <c r="J718" s="37"/>
      <c r="K718" s="38"/>
      <c r="L718" s="38"/>
      <c r="M718" s="36" t="s">
        <v>60</v>
      </c>
      <c r="N718" s="15" t="s">
        <v>152</v>
      </c>
      <c r="O718" s="36" t="s">
        <v>162</v>
      </c>
      <c r="P718" s="36" t="str">
        <f t="shared" si="22"/>
        <v>WMTS_1/1000地形圖_新北市石碇都市計畫(110年)</v>
      </c>
      <c r="Q718" s="29" t="s">
        <v>3023</v>
      </c>
      <c r="R718" s="29" t="str">
        <f t="shared" si="23"/>
        <v>2dms_wmts_v1_TOPO01K_F40</v>
      </c>
      <c r="S718" s="39" t="s">
        <v>155</v>
      </c>
      <c r="U718" s="27" t="str">
        <f>_xlfn.XLOOKUP(表格1[[#This Row],[服務類別(英)]],參考2_服務標準對照!$B:$B,參考2_服務標準對照!$C:$C,"")&amp;""</f>
        <v>OGC</v>
      </c>
      <c r="V718" s="29" t="s">
        <v>7</v>
      </c>
      <c r="W718" s="29" t="s">
        <v>163</v>
      </c>
      <c r="X718" s="29" t="s">
        <v>81</v>
      </c>
      <c r="Y718" s="36" t="s">
        <v>83</v>
      </c>
      <c r="Z718" s="36" t="s">
        <v>157</v>
      </c>
      <c r="AA718" s="36" t="s">
        <v>1159</v>
      </c>
      <c r="AB718" s="36"/>
      <c r="AC718" s="36"/>
      <c r="AD718" s="29" t="s">
        <v>119</v>
      </c>
      <c r="AE718" s="36" t="str">
        <f>_xlfn.XLOOKUP(表格1[[#This Row],[唯一識別碼]],API清冊0707!B:B,API清冊0707!T:T,"")&amp;""</f>
        <v>無下拉選單</v>
      </c>
    </row>
    <row r="719" spans="1:31" ht="204.75" customHeight="1" x14ac:dyDescent="0.4">
      <c r="A719" s="29" t="s">
        <v>3024</v>
      </c>
      <c r="B719" s="29"/>
      <c r="C719" s="29"/>
      <c r="D719" s="29" t="s">
        <v>3025</v>
      </c>
      <c r="E719" s="29" t="s">
        <v>3026</v>
      </c>
      <c r="F719" s="29" t="s">
        <v>3027</v>
      </c>
      <c r="G719" s="35"/>
      <c r="H719" s="35" t="s">
        <v>151</v>
      </c>
      <c r="I719" s="29" t="s">
        <v>3024</v>
      </c>
      <c r="J719" s="37"/>
      <c r="K719" s="38"/>
      <c r="L719" s="38"/>
      <c r="M719" s="36" t="s">
        <v>60</v>
      </c>
      <c r="N719" s="15" t="s">
        <v>152</v>
      </c>
      <c r="O719" s="36" t="s">
        <v>162</v>
      </c>
      <c r="P719" s="36" t="str">
        <f t="shared" si="22"/>
        <v>WMTS_1/1000地形圖_新北市石門都市計畫(110年)</v>
      </c>
      <c r="Q719" s="29" t="s">
        <v>3027</v>
      </c>
      <c r="R719" s="29" t="str">
        <f t="shared" si="23"/>
        <v>2dms_wmts_v1_TOPO01K_F39</v>
      </c>
      <c r="S719" s="39" t="s">
        <v>155</v>
      </c>
      <c r="U719" s="27" t="str">
        <f>_xlfn.XLOOKUP(表格1[[#This Row],[服務類別(英)]],參考2_服務標準對照!$B:$B,參考2_服務標準對照!$C:$C,"")&amp;""</f>
        <v>OGC</v>
      </c>
      <c r="V719" s="29" t="s">
        <v>7</v>
      </c>
      <c r="W719" s="29" t="s">
        <v>163</v>
      </c>
      <c r="X719" s="29" t="s">
        <v>81</v>
      </c>
      <c r="Y719" s="36" t="s">
        <v>83</v>
      </c>
      <c r="Z719" s="36" t="s">
        <v>157</v>
      </c>
      <c r="AA719" s="36" t="s">
        <v>1159</v>
      </c>
      <c r="AB719" s="36"/>
      <c r="AC719" s="36"/>
      <c r="AD719" s="29" t="s">
        <v>119</v>
      </c>
      <c r="AE719" s="36" t="str">
        <f>_xlfn.XLOOKUP(表格1[[#This Row],[唯一識別碼]],API清冊0707!B:B,API清冊0707!T:T,"")&amp;""</f>
        <v>無下拉選單</v>
      </c>
    </row>
    <row r="720" spans="1:31" ht="204.75" customHeight="1" x14ac:dyDescent="0.4">
      <c r="A720" s="29" t="s">
        <v>3028</v>
      </c>
      <c r="B720" s="29"/>
      <c r="C720" s="29"/>
      <c r="D720" s="29" t="s">
        <v>3029</v>
      </c>
      <c r="E720" s="29" t="s">
        <v>3030</v>
      </c>
      <c r="F720" s="29" t="s">
        <v>3031</v>
      </c>
      <c r="G720" s="35"/>
      <c r="H720" s="35" t="s">
        <v>151</v>
      </c>
      <c r="I720" s="29" t="s">
        <v>3028</v>
      </c>
      <c r="J720" s="37"/>
      <c r="K720" s="38"/>
      <c r="L720" s="38"/>
      <c r="M720" s="36" t="s">
        <v>60</v>
      </c>
      <c r="N720" s="15" t="s">
        <v>152</v>
      </c>
      <c r="O720" s="36" t="s">
        <v>162</v>
      </c>
      <c r="P720" s="36" t="str">
        <f t="shared" si="22"/>
        <v>WMTS_1/1000地形圖_新北市永和都市計畫(112年)</v>
      </c>
      <c r="Q720" s="29" t="s">
        <v>3031</v>
      </c>
      <c r="R720" s="29" t="str">
        <f t="shared" si="23"/>
        <v>2dms_wmts_v1_TOPO01K_F38</v>
      </c>
      <c r="S720" s="39" t="s">
        <v>155</v>
      </c>
      <c r="U720" s="27" t="str">
        <f>_xlfn.XLOOKUP(表格1[[#This Row],[服務類別(英)]],參考2_服務標準對照!$B:$B,參考2_服務標準對照!$C:$C,"")&amp;""</f>
        <v>OGC</v>
      </c>
      <c r="V720" s="29" t="s">
        <v>7</v>
      </c>
      <c r="W720" s="29" t="s">
        <v>163</v>
      </c>
      <c r="X720" s="29" t="s">
        <v>81</v>
      </c>
      <c r="Y720" s="36" t="s">
        <v>83</v>
      </c>
      <c r="Z720" s="36" t="s">
        <v>157</v>
      </c>
      <c r="AA720" s="36" t="s">
        <v>1159</v>
      </c>
      <c r="AB720" s="36"/>
      <c r="AC720" s="36"/>
      <c r="AD720" s="29" t="s">
        <v>119</v>
      </c>
      <c r="AE720" s="36" t="str">
        <f>_xlfn.XLOOKUP(表格1[[#This Row],[唯一識別碼]],API清冊0707!B:B,API清冊0707!T:T,"")&amp;""</f>
        <v>無下拉選單</v>
      </c>
    </row>
    <row r="721" spans="1:31" ht="204.75" customHeight="1" x14ac:dyDescent="0.4">
      <c r="A721" s="29" t="s">
        <v>3032</v>
      </c>
      <c r="B721" s="29"/>
      <c r="C721" s="29"/>
      <c r="D721" s="29" t="s">
        <v>3033</v>
      </c>
      <c r="E721" s="29" t="s">
        <v>3034</v>
      </c>
      <c r="F721" s="29" t="s">
        <v>3035</v>
      </c>
      <c r="G721" s="35"/>
      <c r="H721" s="35" t="s">
        <v>151</v>
      </c>
      <c r="I721" s="29" t="s">
        <v>3032</v>
      </c>
      <c r="J721" s="37"/>
      <c r="K721" s="38"/>
      <c r="L721" s="38"/>
      <c r="M721" s="36" t="s">
        <v>60</v>
      </c>
      <c r="N721" s="15" t="s">
        <v>152</v>
      </c>
      <c r="O721" s="36" t="s">
        <v>162</v>
      </c>
      <c r="P721" s="36" t="str">
        <f t="shared" si="22"/>
        <v>WMTS_1/1000地形圖_新北市平溪都市計畫(110年)</v>
      </c>
      <c r="Q721" s="29" t="s">
        <v>3035</v>
      </c>
      <c r="R721" s="29" t="str">
        <f t="shared" si="23"/>
        <v>2dms_wmts_v1_TOPO01K_F37</v>
      </c>
      <c r="S721" s="39" t="s">
        <v>155</v>
      </c>
      <c r="U721" s="27" t="str">
        <f>_xlfn.XLOOKUP(表格1[[#This Row],[服務類別(英)]],參考2_服務標準對照!$B:$B,參考2_服務標準對照!$C:$C,"")&amp;""</f>
        <v>OGC</v>
      </c>
      <c r="V721" s="29" t="s">
        <v>7</v>
      </c>
      <c r="W721" s="29" t="s">
        <v>163</v>
      </c>
      <c r="X721" s="29" t="s">
        <v>81</v>
      </c>
      <c r="Y721" s="36" t="s">
        <v>83</v>
      </c>
      <c r="Z721" s="36" t="s">
        <v>157</v>
      </c>
      <c r="AA721" s="36" t="s">
        <v>1159</v>
      </c>
      <c r="AB721" s="36"/>
      <c r="AC721" s="36"/>
      <c r="AD721" s="29" t="s">
        <v>119</v>
      </c>
      <c r="AE721" s="36" t="str">
        <f>_xlfn.XLOOKUP(表格1[[#This Row],[唯一識別碼]],API清冊0707!B:B,API清冊0707!T:T,"")&amp;""</f>
        <v>無下拉選單</v>
      </c>
    </row>
    <row r="722" spans="1:31" ht="204.75" customHeight="1" x14ac:dyDescent="0.4">
      <c r="A722" s="29" t="s">
        <v>3036</v>
      </c>
      <c r="B722" s="29"/>
      <c r="C722" s="29"/>
      <c r="D722" s="29" t="s">
        <v>3037</v>
      </c>
      <c r="E722" s="29" t="s">
        <v>3038</v>
      </c>
      <c r="F722" s="29" t="s">
        <v>3039</v>
      </c>
      <c r="G722" s="35"/>
      <c r="H722" s="35" t="s">
        <v>151</v>
      </c>
      <c r="I722" s="29" t="s">
        <v>3036</v>
      </c>
      <c r="J722" s="37"/>
      <c r="K722" s="38"/>
      <c r="L722" s="38"/>
      <c r="M722" s="36" t="s">
        <v>60</v>
      </c>
      <c r="N722" s="15" t="s">
        <v>152</v>
      </c>
      <c r="O722" s="36" t="s">
        <v>162</v>
      </c>
      <c r="P722" s="36" t="str">
        <f t="shared" si="22"/>
        <v>WMTS_1/1000地形圖_新北市五股都市計畫(107年)</v>
      </c>
      <c r="Q722" s="29" t="s">
        <v>3039</v>
      </c>
      <c r="R722" s="29" t="str">
        <f t="shared" si="23"/>
        <v>2dms_wmts_v1_TOPO01K_F36</v>
      </c>
      <c r="S722" s="39" t="s">
        <v>155</v>
      </c>
      <c r="U722" s="27" t="str">
        <f>_xlfn.XLOOKUP(表格1[[#This Row],[服務類別(英)]],參考2_服務標準對照!$B:$B,參考2_服務標準對照!$C:$C,"")&amp;""</f>
        <v>OGC</v>
      </c>
      <c r="V722" s="29" t="s">
        <v>7</v>
      </c>
      <c r="W722" s="29" t="s">
        <v>163</v>
      </c>
      <c r="X722" s="29" t="s">
        <v>81</v>
      </c>
      <c r="Y722" s="36" t="s">
        <v>83</v>
      </c>
      <c r="Z722" s="36" t="s">
        <v>157</v>
      </c>
      <c r="AA722" s="36" t="s">
        <v>1159</v>
      </c>
      <c r="AB722" s="36"/>
      <c r="AC722" s="36"/>
      <c r="AD722" s="29" t="s">
        <v>119</v>
      </c>
      <c r="AE722" s="36" t="str">
        <f>_xlfn.XLOOKUP(表格1[[#This Row],[唯一識別碼]],API清冊0707!B:B,API清冊0707!T:T,"")&amp;""</f>
        <v>無下拉選單</v>
      </c>
    </row>
    <row r="723" spans="1:31" ht="204.75" customHeight="1" x14ac:dyDescent="0.4">
      <c r="A723" s="29" t="s">
        <v>3040</v>
      </c>
      <c r="B723" s="29"/>
      <c r="C723" s="29"/>
      <c r="D723" s="29" t="s">
        <v>3041</v>
      </c>
      <c r="E723" s="29" t="s">
        <v>3042</v>
      </c>
      <c r="F723" s="29" t="s">
        <v>3043</v>
      </c>
      <c r="G723" s="35"/>
      <c r="H723" s="35" t="s">
        <v>151</v>
      </c>
      <c r="I723" s="29" t="s">
        <v>3040</v>
      </c>
      <c r="J723" s="37"/>
      <c r="K723" s="38"/>
      <c r="L723" s="38"/>
      <c r="M723" s="36" t="s">
        <v>60</v>
      </c>
      <c r="N723" s="15" t="s">
        <v>152</v>
      </c>
      <c r="O723" s="36" t="s">
        <v>162</v>
      </c>
      <c r="P723" s="36" t="str">
        <f t="shared" si="22"/>
        <v>WMTS_1/1000地形圖_新北市中和都市計畫(112年)</v>
      </c>
      <c r="Q723" s="29" t="s">
        <v>3043</v>
      </c>
      <c r="R723" s="29" t="str">
        <f t="shared" si="23"/>
        <v>2dms_wmts_v1_TOPO01K_F35</v>
      </c>
      <c r="S723" s="39" t="s">
        <v>155</v>
      </c>
      <c r="U723" s="27" t="str">
        <f>_xlfn.XLOOKUP(表格1[[#This Row],[服務類別(英)]],參考2_服務標準對照!$B:$B,參考2_服務標準對照!$C:$C,"")&amp;""</f>
        <v>OGC</v>
      </c>
      <c r="V723" s="29" t="s">
        <v>7</v>
      </c>
      <c r="W723" s="29" t="s">
        <v>163</v>
      </c>
      <c r="X723" s="29" t="s">
        <v>81</v>
      </c>
      <c r="Y723" s="36" t="s">
        <v>83</v>
      </c>
      <c r="Z723" s="36" t="s">
        <v>157</v>
      </c>
      <c r="AA723" s="36" t="s">
        <v>1159</v>
      </c>
      <c r="AB723" s="36"/>
      <c r="AC723" s="36"/>
      <c r="AD723" s="29" t="s">
        <v>119</v>
      </c>
      <c r="AE723" s="36" t="str">
        <f>_xlfn.XLOOKUP(表格1[[#This Row],[唯一識別碼]],API清冊0707!B:B,API清冊0707!T:T,"")&amp;""</f>
        <v>無下拉選單</v>
      </c>
    </row>
    <row r="724" spans="1:31" ht="204.75" customHeight="1" x14ac:dyDescent="0.4">
      <c r="A724" s="29" t="s">
        <v>3044</v>
      </c>
      <c r="B724" s="29"/>
      <c r="C724" s="29"/>
      <c r="D724" s="29" t="s">
        <v>3045</v>
      </c>
      <c r="E724" s="29" t="s">
        <v>3046</v>
      </c>
      <c r="F724" s="29" t="s">
        <v>3047</v>
      </c>
      <c r="G724" s="35"/>
      <c r="H724" s="35" t="s">
        <v>151</v>
      </c>
      <c r="I724" s="29" t="s">
        <v>3044</v>
      </c>
      <c r="J724" s="37"/>
      <c r="K724" s="38"/>
      <c r="L724" s="38"/>
      <c r="M724" s="36" t="s">
        <v>60</v>
      </c>
      <c r="N724" s="15" t="s">
        <v>152</v>
      </c>
      <c r="O724" s="36" t="s">
        <v>162</v>
      </c>
      <c r="P724" s="36" t="str">
        <f t="shared" si="22"/>
        <v>WMTS_1/1000地形圖_新北市土城都市計畫(109年)</v>
      </c>
      <c r="Q724" s="29" t="s">
        <v>3047</v>
      </c>
      <c r="R724" s="29" t="str">
        <f t="shared" si="23"/>
        <v>2dms_wmts_v1_TOPO01K_F34</v>
      </c>
      <c r="S724" s="39" t="s">
        <v>155</v>
      </c>
      <c r="U724" s="27" t="str">
        <f>_xlfn.XLOOKUP(表格1[[#This Row],[服務類別(英)]],參考2_服務標準對照!$B:$B,參考2_服務標準對照!$C:$C,"")&amp;""</f>
        <v>OGC</v>
      </c>
      <c r="V724" s="29" t="s">
        <v>7</v>
      </c>
      <c r="W724" s="29" t="s">
        <v>163</v>
      </c>
      <c r="X724" s="29" t="s">
        <v>81</v>
      </c>
      <c r="Y724" s="36" t="s">
        <v>83</v>
      </c>
      <c r="Z724" s="36" t="s">
        <v>157</v>
      </c>
      <c r="AA724" s="36" t="s">
        <v>1159</v>
      </c>
      <c r="AB724" s="36"/>
      <c r="AC724" s="36"/>
      <c r="AD724" s="29" t="s">
        <v>119</v>
      </c>
      <c r="AE724" s="36" t="str">
        <f>_xlfn.XLOOKUP(表格1[[#This Row],[唯一識別碼]],API清冊0707!B:B,API清冊0707!T:T,"")&amp;""</f>
        <v>無下拉選單</v>
      </c>
    </row>
    <row r="725" spans="1:31" ht="204.75" customHeight="1" x14ac:dyDescent="0.4">
      <c r="A725" s="29" t="s">
        <v>3048</v>
      </c>
      <c r="B725" s="29"/>
      <c r="C725" s="29"/>
      <c r="D725" s="29" t="s">
        <v>3049</v>
      </c>
      <c r="E725" s="29" t="s">
        <v>3050</v>
      </c>
      <c r="F725" s="29" t="s">
        <v>3051</v>
      </c>
      <c r="G725" s="35"/>
      <c r="H725" s="35" t="s">
        <v>151</v>
      </c>
      <c r="I725" s="29" t="s">
        <v>3048</v>
      </c>
      <c r="J725" s="37"/>
      <c r="K725" s="38"/>
      <c r="L725" s="38"/>
      <c r="M725" s="36" t="s">
        <v>60</v>
      </c>
      <c r="N725" s="15" t="s">
        <v>152</v>
      </c>
      <c r="O725" s="36" t="s">
        <v>162</v>
      </c>
      <c r="P725" s="36" t="str">
        <f t="shared" si="22"/>
        <v>WMTS_1/1000地形圖_新北市三峽都市計畫(111年)</v>
      </c>
      <c r="Q725" s="29" t="s">
        <v>3051</v>
      </c>
      <c r="R725" s="29" t="str">
        <f t="shared" si="23"/>
        <v>2dms_wmts_v1_TOPO01K_F33</v>
      </c>
      <c r="S725" s="39" t="s">
        <v>155</v>
      </c>
      <c r="U725" s="27" t="str">
        <f>_xlfn.XLOOKUP(表格1[[#This Row],[服務類別(英)]],參考2_服務標準對照!$B:$B,參考2_服務標準對照!$C:$C,"")&amp;""</f>
        <v>OGC</v>
      </c>
      <c r="V725" s="29" t="s">
        <v>7</v>
      </c>
      <c r="W725" s="29" t="s">
        <v>163</v>
      </c>
      <c r="X725" s="29" t="s">
        <v>81</v>
      </c>
      <c r="Y725" s="36" t="s">
        <v>83</v>
      </c>
      <c r="Z725" s="36" t="s">
        <v>157</v>
      </c>
      <c r="AA725" s="36" t="s">
        <v>1159</v>
      </c>
      <c r="AB725" s="36"/>
      <c r="AC725" s="36"/>
      <c r="AD725" s="29" t="s">
        <v>119</v>
      </c>
      <c r="AE725" s="36" t="str">
        <f>_xlfn.XLOOKUP(表格1[[#This Row],[唯一識別碼]],API清冊0707!B:B,API清冊0707!T:T,"")&amp;""</f>
        <v>無下拉選單</v>
      </c>
    </row>
    <row r="726" spans="1:31" ht="204.75" customHeight="1" x14ac:dyDescent="0.4">
      <c r="A726" s="29" t="s">
        <v>3052</v>
      </c>
      <c r="B726" s="29"/>
      <c r="C726" s="29"/>
      <c r="D726" s="29" t="s">
        <v>3053</v>
      </c>
      <c r="E726" s="29" t="s">
        <v>3054</v>
      </c>
      <c r="F726" s="29" t="s">
        <v>3055</v>
      </c>
      <c r="G726" s="35"/>
      <c r="H726" s="35" t="s">
        <v>151</v>
      </c>
      <c r="I726" s="29" t="s">
        <v>3052</v>
      </c>
      <c r="J726" s="37"/>
      <c r="K726" s="38"/>
      <c r="L726" s="38"/>
      <c r="M726" s="36" t="s">
        <v>60</v>
      </c>
      <c r="N726" s="15" t="s">
        <v>152</v>
      </c>
      <c r="O726" s="36" t="s">
        <v>162</v>
      </c>
      <c r="P726" s="36" t="str">
        <f t="shared" si="22"/>
        <v>WMTS_1/1000地形圖_新北市三重都市計畫(110年)</v>
      </c>
      <c r="Q726" s="29" t="s">
        <v>3055</v>
      </c>
      <c r="R726" s="29" t="str">
        <f t="shared" si="23"/>
        <v>2dms_wmts_v1_TOPO01K_F32</v>
      </c>
      <c r="S726" s="39" t="s">
        <v>155</v>
      </c>
      <c r="U726" s="27" t="str">
        <f>_xlfn.XLOOKUP(表格1[[#This Row],[服務類別(英)]],參考2_服務標準對照!$B:$B,參考2_服務標準對照!$C:$C,"")&amp;""</f>
        <v>OGC</v>
      </c>
      <c r="V726" s="29" t="s">
        <v>7</v>
      </c>
      <c r="W726" s="29" t="s">
        <v>163</v>
      </c>
      <c r="X726" s="29" t="s">
        <v>81</v>
      </c>
      <c r="Y726" s="36" t="s">
        <v>83</v>
      </c>
      <c r="Z726" s="36" t="s">
        <v>157</v>
      </c>
      <c r="AA726" s="36" t="s">
        <v>1159</v>
      </c>
      <c r="AB726" s="36"/>
      <c r="AC726" s="36"/>
      <c r="AD726" s="29" t="s">
        <v>119</v>
      </c>
      <c r="AE726" s="36" t="str">
        <f>_xlfn.XLOOKUP(表格1[[#This Row],[唯一識別碼]],API清冊0707!B:B,API清冊0707!T:T,"")&amp;""</f>
        <v>無下拉選單</v>
      </c>
    </row>
    <row r="727" spans="1:31" ht="204.75" customHeight="1" x14ac:dyDescent="0.4">
      <c r="A727" s="29" t="s">
        <v>3056</v>
      </c>
      <c r="B727" s="29"/>
      <c r="C727" s="29"/>
      <c r="D727" s="29" t="s">
        <v>3057</v>
      </c>
      <c r="E727" s="29" t="s">
        <v>3058</v>
      </c>
      <c r="F727" s="29" t="s">
        <v>3059</v>
      </c>
      <c r="G727" s="35"/>
      <c r="H727" s="35" t="s">
        <v>151</v>
      </c>
      <c r="I727" s="29" t="s">
        <v>3056</v>
      </c>
      <c r="J727" s="37"/>
      <c r="K727" s="38"/>
      <c r="L727" s="38"/>
      <c r="M727" s="36" t="s">
        <v>60</v>
      </c>
      <c r="N727" s="15" t="s">
        <v>152</v>
      </c>
      <c r="O727" s="36" t="s">
        <v>162</v>
      </c>
      <c r="P727" s="36" t="str">
        <f t="shared" si="22"/>
        <v>WMTS_1/1000地形圖_新北市三芝都市計畫(109年)</v>
      </c>
      <c r="Q727" s="29" t="s">
        <v>3059</v>
      </c>
      <c r="R727" s="29" t="str">
        <f t="shared" si="23"/>
        <v>2dms_wmts_v1_TOPO01K_F31</v>
      </c>
      <c r="S727" s="39" t="s">
        <v>155</v>
      </c>
      <c r="U727" s="27" t="str">
        <f>_xlfn.XLOOKUP(表格1[[#This Row],[服務類別(英)]],參考2_服務標準對照!$B:$B,參考2_服務標準對照!$C:$C,"")&amp;""</f>
        <v>OGC</v>
      </c>
      <c r="V727" s="29" t="s">
        <v>7</v>
      </c>
      <c r="W727" s="29" t="s">
        <v>163</v>
      </c>
      <c r="X727" s="29" t="s">
        <v>81</v>
      </c>
      <c r="Y727" s="36" t="s">
        <v>83</v>
      </c>
      <c r="Z727" s="36" t="s">
        <v>157</v>
      </c>
      <c r="AA727" s="36" t="s">
        <v>1159</v>
      </c>
      <c r="AB727" s="36"/>
      <c r="AC727" s="36"/>
      <c r="AD727" s="29" t="s">
        <v>119</v>
      </c>
      <c r="AE727" s="36" t="str">
        <f>_xlfn.XLOOKUP(表格1[[#This Row],[唯一識別碼]],API清冊0707!B:B,API清冊0707!T:T,"")&amp;""</f>
        <v>無下拉選單</v>
      </c>
    </row>
    <row r="728" spans="1:31" ht="204.75" customHeight="1" x14ac:dyDescent="0.4">
      <c r="A728" s="29" t="s">
        <v>3060</v>
      </c>
      <c r="B728" s="29"/>
      <c r="C728" s="29"/>
      <c r="D728" s="29" t="s">
        <v>3061</v>
      </c>
      <c r="E728" s="29" t="s">
        <v>3062</v>
      </c>
      <c r="F728" s="29" t="s">
        <v>3063</v>
      </c>
      <c r="G728" s="35"/>
      <c r="H728" s="35" t="s">
        <v>151</v>
      </c>
      <c r="I728" s="29" t="s">
        <v>3060</v>
      </c>
      <c r="J728" s="37"/>
      <c r="K728" s="38"/>
      <c r="L728" s="38"/>
      <c r="M728" s="36" t="s">
        <v>60</v>
      </c>
      <c r="N728" s="15" t="s">
        <v>152</v>
      </c>
      <c r="O728" s="36" t="s">
        <v>162</v>
      </c>
      <c r="P728" s="36" t="str">
        <f t="shared" si="22"/>
        <v>WMTS_1/1000地形圖_新北市八里都市計畫(107年)</v>
      </c>
      <c r="Q728" s="29" t="s">
        <v>3063</v>
      </c>
      <c r="R728" s="29" t="str">
        <f t="shared" si="23"/>
        <v>2dms_wmts_v1_TOPO01K_F30</v>
      </c>
      <c r="S728" s="39" t="s">
        <v>155</v>
      </c>
      <c r="U728" s="27" t="str">
        <f>_xlfn.XLOOKUP(表格1[[#This Row],[服務類別(英)]],參考2_服務標準對照!$B:$B,參考2_服務標準對照!$C:$C,"")&amp;""</f>
        <v>OGC</v>
      </c>
      <c r="V728" s="29" t="s">
        <v>7</v>
      </c>
      <c r="W728" s="29" t="s">
        <v>163</v>
      </c>
      <c r="X728" s="29" t="s">
        <v>81</v>
      </c>
      <c r="Y728" s="36" t="s">
        <v>83</v>
      </c>
      <c r="Z728" s="36" t="s">
        <v>157</v>
      </c>
      <c r="AA728" s="36" t="s">
        <v>1159</v>
      </c>
      <c r="AB728" s="36"/>
      <c r="AC728" s="36"/>
      <c r="AD728" s="29" t="s">
        <v>119</v>
      </c>
      <c r="AE728" s="36" t="str">
        <f>_xlfn.XLOOKUP(表格1[[#This Row],[唯一識別碼]],API清冊0707!B:B,API清冊0707!T:T,"")&amp;""</f>
        <v>無下拉選單</v>
      </c>
    </row>
    <row r="729" spans="1:31" ht="204.75" customHeight="1" x14ac:dyDescent="0.4">
      <c r="A729" s="29" t="s">
        <v>3064</v>
      </c>
      <c r="B729" s="29"/>
      <c r="C729" s="29"/>
      <c r="D729" s="29" t="s">
        <v>3065</v>
      </c>
      <c r="E729" s="29" t="s">
        <v>3066</v>
      </c>
      <c r="F729" s="29" t="s">
        <v>3067</v>
      </c>
      <c r="G729" s="35"/>
      <c r="H729" s="35" t="s">
        <v>151</v>
      </c>
      <c r="I729" s="29" t="s">
        <v>3064</v>
      </c>
      <c r="J729" s="37"/>
      <c r="K729" s="38"/>
      <c r="L729" s="38"/>
      <c r="M729" s="36" t="s">
        <v>60</v>
      </c>
      <c r="N729" s="15" t="s">
        <v>152</v>
      </c>
      <c r="O729" s="36" t="s">
        <v>162</v>
      </c>
      <c r="P729" s="36" t="str">
        <f t="shared" si="22"/>
        <v>WMTS_1/1000地形圖_新北市鶯歌都市計畫(105年)</v>
      </c>
      <c r="Q729" s="29" t="s">
        <v>3067</v>
      </c>
      <c r="R729" s="29" t="str">
        <f t="shared" si="23"/>
        <v>2dms_wmts_v1_TOPO01K_F29</v>
      </c>
      <c r="S729" s="39" t="s">
        <v>155</v>
      </c>
      <c r="U729" s="27" t="str">
        <f>_xlfn.XLOOKUP(表格1[[#This Row],[服務類別(英)]],參考2_服務標準對照!$B:$B,參考2_服務標準對照!$C:$C,"")&amp;""</f>
        <v>OGC</v>
      </c>
      <c r="V729" s="29" t="s">
        <v>7</v>
      </c>
      <c r="W729" s="29" t="s">
        <v>163</v>
      </c>
      <c r="X729" s="29" t="s">
        <v>81</v>
      </c>
      <c r="Y729" s="36" t="s">
        <v>83</v>
      </c>
      <c r="Z729" s="36" t="s">
        <v>157</v>
      </c>
      <c r="AA729" s="36" t="s">
        <v>1159</v>
      </c>
      <c r="AB729" s="36"/>
      <c r="AC729" s="36"/>
      <c r="AD729" s="29" t="s">
        <v>119</v>
      </c>
      <c r="AE729" s="36" t="str">
        <f>_xlfn.XLOOKUP(表格1[[#This Row],[唯一識別碼]],API清冊0707!B:B,API清冊0707!T:T,"")&amp;""</f>
        <v>無下拉選單</v>
      </c>
    </row>
    <row r="730" spans="1:31" ht="204.75" customHeight="1" x14ac:dyDescent="0.4">
      <c r="A730" s="29" t="s">
        <v>3068</v>
      </c>
      <c r="B730" s="29"/>
      <c r="C730" s="29"/>
      <c r="D730" s="29" t="s">
        <v>3069</v>
      </c>
      <c r="E730" s="29" t="s">
        <v>3070</v>
      </c>
      <c r="F730" s="29" t="s">
        <v>3071</v>
      </c>
      <c r="G730" s="35"/>
      <c r="H730" s="35" t="s">
        <v>151</v>
      </c>
      <c r="I730" s="29" t="s">
        <v>3068</v>
      </c>
      <c r="J730" s="37"/>
      <c r="K730" s="38"/>
      <c r="L730" s="38"/>
      <c r="M730" s="36" t="s">
        <v>60</v>
      </c>
      <c r="N730" s="15" t="s">
        <v>152</v>
      </c>
      <c r="O730" s="36" t="s">
        <v>162</v>
      </c>
      <c r="P730" s="36" t="str">
        <f t="shared" si="22"/>
        <v>WMTS_1/1000地形圖_新北市雙溪都市計畫(103年)</v>
      </c>
      <c r="Q730" s="29" t="s">
        <v>3071</v>
      </c>
      <c r="R730" s="29" t="str">
        <f t="shared" si="23"/>
        <v>2dms_wmts_v1_TOPO01K_F28</v>
      </c>
      <c r="S730" s="39" t="s">
        <v>155</v>
      </c>
      <c r="U730" s="27" t="str">
        <f>_xlfn.XLOOKUP(表格1[[#This Row],[服務類別(英)]],參考2_服務標準對照!$B:$B,參考2_服務標準對照!$C:$C,"")&amp;""</f>
        <v>OGC</v>
      </c>
      <c r="V730" s="29" t="s">
        <v>7</v>
      </c>
      <c r="W730" s="29" t="s">
        <v>163</v>
      </c>
      <c r="X730" s="29" t="s">
        <v>81</v>
      </c>
      <c r="Y730" s="36" t="s">
        <v>83</v>
      </c>
      <c r="Z730" s="36" t="s">
        <v>157</v>
      </c>
      <c r="AA730" s="36" t="s">
        <v>1159</v>
      </c>
      <c r="AB730" s="36"/>
      <c r="AC730" s="36"/>
      <c r="AD730" s="29" t="s">
        <v>119</v>
      </c>
      <c r="AE730" s="36" t="str">
        <f>_xlfn.XLOOKUP(表格1[[#This Row],[唯一識別碼]],API清冊0707!B:B,API清冊0707!T:T,"")&amp;""</f>
        <v>無下拉選單</v>
      </c>
    </row>
    <row r="731" spans="1:31" ht="204.75" customHeight="1" x14ac:dyDescent="0.4">
      <c r="A731" s="29" t="s">
        <v>3072</v>
      </c>
      <c r="B731" s="29"/>
      <c r="C731" s="29"/>
      <c r="D731" s="29" t="s">
        <v>3073</v>
      </c>
      <c r="E731" s="29" t="s">
        <v>3074</v>
      </c>
      <c r="F731" s="29" t="s">
        <v>3075</v>
      </c>
      <c r="G731" s="35"/>
      <c r="H731" s="35" t="s">
        <v>151</v>
      </c>
      <c r="I731" s="29" t="s">
        <v>3072</v>
      </c>
      <c r="J731" s="37"/>
      <c r="K731" s="38"/>
      <c r="L731" s="38"/>
      <c r="M731" s="36" t="s">
        <v>60</v>
      </c>
      <c r="N731" s="15" t="s">
        <v>152</v>
      </c>
      <c r="O731" s="36" t="s">
        <v>162</v>
      </c>
      <c r="P731" s="36" t="str">
        <f t="shared" si="22"/>
        <v>WMTS_1/1000地形圖_新北市金山都市計畫(103年)</v>
      </c>
      <c r="Q731" s="29" t="s">
        <v>3075</v>
      </c>
      <c r="R731" s="29" t="str">
        <f t="shared" si="23"/>
        <v>2dms_wmts_v1_TOPO01K_F27</v>
      </c>
      <c r="S731" s="39" t="s">
        <v>155</v>
      </c>
      <c r="U731" s="27" t="str">
        <f>_xlfn.XLOOKUP(表格1[[#This Row],[服務類別(英)]],參考2_服務標準對照!$B:$B,參考2_服務標準對照!$C:$C,"")&amp;""</f>
        <v>OGC</v>
      </c>
      <c r="V731" s="29" t="s">
        <v>7</v>
      </c>
      <c r="W731" s="29" t="s">
        <v>163</v>
      </c>
      <c r="X731" s="29" t="s">
        <v>81</v>
      </c>
      <c r="Y731" s="36" t="s">
        <v>83</v>
      </c>
      <c r="Z731" s="36" t="s">
        <v>157</v>
      </c>
      <c r="AA731" s="36" t="s">
        <v>1159</v>
      </c>
      <c r="AB731" s="36"/>
      <c r="AC731" s="36"/>
      <c r="AD731" s="29" t="s">
        <v>119</v>
      </c>
      <c r="AE731" s="36" t="str">
        <f>_xlfn.XLOOKUP(表格1[[#This Row],[唯一識別碼]],API清冊0707!B:B,API清冊0707!T:T,"")&amp;""</f>
        <v>無下拉選單</v>
      </c>
    </row>
    <row r="732" spans="1:31" ht="204.75" customHeight="1" x14ac:dyDescent="0.4">
      <c r="A732" s="29" t="s">
        <v>3076</v>
      </c>
      <c r="B732" s="29"/>
      <c r="C732" s="29"/>
      <c r="D732" s="29" t="s">
        <v>3077</v>
      </c>
      <c r="E732" s="29" t="s">
        <v>3078</v>
      </c>
      <c r="F732" s="29" t="s">
        <v>3079</v>
      </c>
      <c r="G732" s="35"/>
      <c r="H732" s="35" t="s">
        <v>151</v>
      </c>
      <c r="I732" s="29" t="s">
        <v>3076</v>
      </c>
      <c r="J732" s="37"/>
      <c r="K732" s="38"/>
      <c r="L732" s="38"/>
      <c r="M732" s="36" t="s">
        <v>60</v>
      </c>
      <c r="N732" s="15" t="s">
        <v>152</v>
      </c>
      <c r="O732" s="36" t="s">
        <v>162</v>
      </c>
      <c r="P732" s="36" t="str">
        <f t="shared" si="22"/>
        <v>WMTS_1/1000地形圖_新北市貢寮都市計畫(100年)</v>
      </c>
      <c r="Q732" s="29" t="s">
        <v>3079</v>
      </c>
      <c r="R732" s="29" t="str">
        <f t="shared" si="23"/>
        <v>2dms_wmts_v1_TOPO01K_F26</v>
      </c>
      <c r="S732" s="39" t="s">
        <v>155</v>
      </c>
      <c r="U732" s="27" t="str">
        <f>_xlfn.XLOOKUP(表格1[[#This Row],[服務類別(英)]],參考2_服務標準對照!$B:$B,參考2_服務標準對照!$C:$C,"")&amp;""</f>
        <v>OGC</v>
      </c>
      <c r="V732" s="29" t="s">
        <v>7</v>
      </c>
      <c r="W732" s="29" t="s">
        <v>163</v>
      </c>
      <c r="X732" s="29" t="s">
        <v>81</v>
      </c>
      <c r="Y732" s="36" t="s">
        <v>83</v>
      </c>
      <c r="Z732" s="36" t="s">
        <v>157</v>
      </c>
      <c r="AA732" s="36" t="s">
        <v>1159</v>
      </c>
      <c r="AB732" s="36"/>
      <c r="AC732" s="36"/>
      <c r="AD732" s="29" t="s">
        <v>119</v>
      </c>
      <c r="AE732" s="36" t="str">
        <f>_xlfn.XLOOKUP(表格1[[#This Row],[唯一識別碼]],API清冊0707!B:B,API清冊0707!T:T,"")&amp;""</f>
        <v>無下拉選單</v>
      </c>
    </row>
    <row r="733" spans="1:31" ht="204.75" customHeight="1" x14ac:dyDescent="0.4">
      <c r="A733" s="29" t="s">
        <v>3080</v>
      </c>
      <c r="B733" s="29"/>
      <c r="C733" s="29"/>
      <c r="D733" s="29" t="s">
        <v>3081</v>
      </c>
      <c r="E733" s="29" t="s">
        <v>3082</v>
      </c>
      <c r="F733" s="29" t="s">
        <v>3083</v>
      </c>
      <c r="G733" s="35"/>
      <c r="H733" s="35" t="s">
        <v>151</v>
      </c>
      <c r="I733" s="29" t="s">
        <v>3080</v>
      </c>
      <c r="J733" s="37"/>
      <c r="K733" s="38"/>
      <c r="L733" s="38"/>
      <c r="M733" s="36" t="s">
        <v>60</v>
      </c>
      <c r="N733" s="15" t="s">
        <v>152</v>
      </c>
      <c r="O733" s="36" t="s">
        <v>162</v>
      </c>
      <c r="P733" s="36" t="str">
        <f t="shared" si="22"/>
        <v>WMTS_1/1000地形圖_新北市蘆洲都市計畫(104年)</v>
      </c>
      <c r="Q733" s="29" t="s">
        <v>3083</v>
      </c>
      <c r="R733" s="29" t="str">
        <f t="shared" si="23"/>
        <v>2dms_wmts_v1_TOPO01K_F25</v>
      </c>
      <c r="S733" s="39" t="s">
        <v>155</v>
      </c>
      <c r="U733" s="27" t="str">
        <f>_xlfn.XLOOKUP(表格1[[#This Row],[服務類別(英)]],參考2_服務標準對照!$B:$B,參考2_服務標準對照!$C:$C,"")&amp;""</f>
        <v>OGC</v>
      </c>
      <c r="V733" s="29" t="s">
        <v>7</v>
      </c>
      <c r="W733" s="29" t="s">
        <v>163</v>
      </c>
      <c r="X733" s="29" t="s">
        <v>81</v>
      </c>
      <c r="Y733" s="36" t="s">
        <v>83</v>
      </c>
      <c r="Z733" s="36" t="s">
        <v>157</v>
      </c>
      <c r="AA733" s="36" t="s">
        <v>1159</v>
      </c>
      <c r="AB733" s="36"/>
      <c r="AC733" s="36"/>
      <c r="AD733" s="29" t="s">
        <v>119</v>
      </c>
      <c r="AE733" s="36" t="str">
        <f>_xlfn.XLOOKUP(表格1[[#This Row],[唯一識別碼]],API清冊0707!B:B,API清冊0707!T:T,"")&amp;""</f>
        <v>無下拉選單</v>
      </c>
    </row>
    <row r="734" spans="1:31" ht="204.75" customHeight="1" x14ac:dyDescent="0.4">
      <c r="A734" s="29" t="s">
        <v>3084</v>
      </c>
      <c r="B734" s="29"/>
      <c r="C734" s="29"/>
      <c r="D734" s="29" t="s">
        <v>3085</v>
      </c>
      <c r="E734" s="29" t="s">
        <v>3086</v>
      </c>
      <c r="F734" s="29" t="s">
        <v>3087</v>
      </c>
      <c r="G734" s="35"/>
      <c r="H734" s="35" t="s">
        <v>151</v>
      </c>
      <c r="I734" s="29" t="s">
        <v>3084</v>
      </c>
      <c r="J734" s="37"/>
      <c r="K734" s="38"/>
      <c r="L734" s="38"/>
      <c r="M734" s="36" t="s">
        <v>60</v>
      </c>
      <c r="N734" s="15" t="s">
        <v>152</v>
      </c>
      <c r="O734" s="36" t="s">
        <v>162</v>
      </c>
      <c r="P734" s="36" t="str">
        <f t="shared" si="22"/>
        <v>WMTS_1/1000地形圖_新北市萬里都市計畫(103年)</v>
      </c>
      <c r="Q734" s="29" t="s">
        <v>3087</v>
      </c>
      <c r="R734" s="29" t="str">
        <f t="shared" si="23"/>
        <v>2dms_wmts_v1_TOPO01K_F24</v>
      </c>
      <c r="S734" s="39" t="s">
        <v>155</v>
      </c>
      <c r="U734" s="27" t="str">
        <f>_xlfn.XLOOKUP(表格1[[#This Row],[服務類別(英)]],參考2_服務標準對照!$B:$B,參考2_服務標準對照!$C:$C,"")&amp;""</f>
        <v>OGC</v>
      </c>
      <c r="V734" s="29" t="s">
        <v>7</v>
      </c>
      <c r="W734" s="29" t="s">
        <v>163</v>
      </c>
      <c r="X734" s="29" t="s">
        <v>81</v>
      </c>
      <c r="Y734" s="36" t="s">
        <v>83</v>
      </c>
      <c r="Z734" s="36" t="s">
        <v>157</v>
      </c>
      <c r="AA734" s="36" t="s">
        <v>1159</v>
      </c>
      <c r="AB734" s="36"/>
      <c r="AC734" s="36"/>
      <c r="AD734" s="29" t="s">
        <v>119</v>
      </c>
      <c r="AE734" s="36" t="str">
        <f>_xlfn.XLOOKUP(表格1[[#This Row],[唯一識別碼]],API清冊0707!B:B,API清冊0707!T:T,"")&amp;""</f>
        <v>無下拉選單</v>
      </c>
    </row>
    <row r="735" spans="1:31" ht="204.75" customHeight="1" x14ac:dyDescent="0.4">
      <c r="A735" s="29" t="s">
        <v>3088</v>
      </c>
      <c r="B735" s="29"/>
      <c r="C735" s="29"/>
      <c r="D735" s="29" t="s">
        <v>3089</v>
      </c>
      <c r="E735" s="29" t="s">
        <v>3090</v>
      </c>
      <c r="F735" s="29" t="s">
        <v>3091</v>
      </c>
      <c r="G735" s="35"/>
      <c r="H735" s="35" t="s">
        <v>151</v>
      </c>
      <c r="I735" s="29" t="s">
        <v>3088</v>
      </c>
      <c r="J735" s="37"/>
      <c r="K735" s="38"/>
      <c r="L735" s="38"/>
      <c r="M735" s="36" t="s">
        <v>60</v>
      </c>
      <c r="N735" s="15" t="s">
        <v>152</v>
      </c>
      <c r="O735" s="36" t="s">
        <v>162</v>
      </c>
      <c r="P735" s="36" t="str">
        <f t="shared" si="22"/>
        <v>WMTS_1/1000地形圖_新北市石門都市計畫(104年)</v>
      </c>
      <c r="Q735" s="29" t="s">
        <v>3091</v>
      </c>
      <c r="R735" s="29" t="str">
        <f t="shared" si="23"/>
        <v>2dms_wmts_v1_TOPO01K_F23</v>
      </c>
      <c r="S735" s="39" t="s">
        <v>155</v>
      </c>
      <c r="U735" s="27" t="str">
        <f>_xlfn.XLOOKUP(表格1[[#This Row],[服務類別(英)]],參考2_服務標準對照!$B:$B,參考2_服務標準對照!$C:$C,"")&amp;""</f>
        <v>OGC</v>
      </c>
      <c r="V735" s="29" t="s">
        <v>7</v>
      </c>
      <c r="W735" s="29" t="s">
        <v>163</v>
      </c>
      <c r="X735" s="29" t="s">
        <v>81</v>
      </c>
      <c r="Y735" s="36" t="s">
        <v>83</v>
      </c>
      <c r="Z735" s="36" t="s">
        <v>157</v>
      </c>
      <c r="AA735" s="36" t="s">
        <v>1159</v>
      </c>
      <c r="AB735" s="36"/>
      <c r="AC735" s="36"/>
      <c r="AD735" s="29" t="s">
        <v>119</v>
      </c>
      <c r="AE735" s="36" t="str">
        <f>_xlfn.XLOOKUP(表格1[[#This Row],[唯一識別碼]],API清冊0707!B:B,API清冊0707!T:T,"")&amp;""</f>
        <v>無下拉選單</v>
      </c>
    </row>
    <row r="736" spans="1:31" ht="204.75" customHeight="1" x14ac:dyDescent="0.4">
      <c r="A736" s="29" t="s">
        <v>3092</v>
      </c>
      <c r="B736" s="29"/>
      <c r="C736" s="29"/>
      <c r="D736" s="29" t="s">
        <v>3093</v>
      </c>
      <c r="E736" s="29" t="s">
        <v>3094</v>
      </c>
      <c r="F736" s="29" t="s">
        <v>3095</v>
      </c>
      <c r="G736" s="35"/>
      <c r="H736" s="35" t="s">
        <v>151</v>
      </c>
      <c r="I736" s="29" t="s">
        <v>3092</v>
      </c>
      <c r="J736" s="37"/>
      <c r="K736" s="38"/>
      <c r="L736" s="38"/>
      <c r="M736" s="36" t="s">
        <v>60</v>
      </c>
      <c r="N736" s="15" t="s">
        <v>152</v>
      </c>
      <c r="O736" s="36" t="s">
        <v>162</v>
      </c>
      <c r="P736" s="36" t="str">
        <f t="shared" si="22"/>
        <v>WMTS_1/1000地形圖_新北市石碇都市計畫(104年)</v>
      </c>
      <c r="Q736" s="29" t="s">
        <v>3095</v>
      </c>
      <c r="R736" s="29" t="str">
        <f t="shared" si="23"/>
        <v>2dms_wmts_v1_TOPO01K_F22</v>
      </c>
      <c r="S736" s="39" t="s">
        <v>155</v>
      </c>
      <c r="U736" s="27" t="str">
        <f>_xlfn.XLOOKUP(表格1[[#This Row],[服務類別(英)]],參考2_服務標準對照!$B:$B,參考2_服務標準對照!$C:$C,"")&amp;""</f>
        <v>OGC</v>
      </c>
      <c r="V736" s="29" t="s">
        <v>7</v>
      </c>
      <c r="W736" s="29" t="s">
        <v>163</v>
      </c>
      <c r="X736" s="29" t="s">
        <v>81</v>
      </c>
      <c r="Y736" s="36" t="s">
        <v>83</v>
      </c>
      <c r="Z736" s="36" t="s">
        <v>157</v>
      </c>
      <c r="AA736" s="36" t="s">
        <v>1159</v>
      </c>
      <c r="AB736" s="36"/>
      <c r="AC736" s="36"/>
      <c r="AD736" s="29" t="s">
        <v>119</v>
      </c>
      <c r="AE736" s="36" t="str">
        <f>_xlfn.XLOOKUP(表格1[[#This Row],[唯一識別碼]],API清冊0707!B:B,API清冊0707!T:T,"")&amp;""</f>
        <v>無下拉選單</v>
      </c>
    </row>
    <row r="737" spans="1:31" ht="204.75" customHeight="1" x14ac:dyDescent="0.4">
      <c r="A737" s="29" t="s">
        <v>3096</v>
      </c>
      <c r="B737" s="29"/>
      <c r="C737" s="29"/>
      <c r="D737" s="29" t="s">
        <v>3097</v>
      </c>
      <c r="E737" s="29" t="s">
        <v>3098</v>
      </c>
      <c r="F737" s="29" t="s">
        <v>3099</v>
      </c>
      <c r="G737" s="35"/>
      <c r="H737" s="35" t="s">
        <v>151</v>
      </c>
      <c r="I737" s="29" t="s">
        <v>3096</v>
      </c>
      <c r="J737" s="37"/>
      <c r="K737" s="38"/>
      <c r="L737" s="38"/>
      <c r="M737" s="36" t="s">
        <v>60</v>
      </c>
      <c r="N737" s="15" t="s">
        <v>152</v>
      </c>
      <c r="O737" s="36" t="s">
        <v>162</v>
      </c>
      <c r="P737" s="36" t="str">
        <f t="shared" si="22"/>
        <v>WMTS_1/1000地形圖_新北市瑞芳都市計畫(105年)</v>
      </c>
      <c r="Q737" s="29" t="s">
        <v>3099</v>
      </c>
      <c r="R737" s="29" t="str">
        <f t="shared" si="23"/>
        <v>2dms_wmts_v1_TOPO01K_F21</v>
      </c>
      <c r="S737" s="39" t="s">
        <v>155</v>
      </c>
      <c r="U737" s="27" t="str">
        <f>_xlfn.XLOOKUP(表格1[[#This Row],[服務類別(英)]],參考2_服務標準對照!$B:$B,參考2_服務標準對照!$C:$C,"")&amp;""</f>
        <v>OGC</v>
      </c>
      <c r="V737" s="29" t="s">
        <v>7</v>
      </c>
      <c r="W737" s="29" t="s">
        <v>163</v>
      </c>
      <c r="X737" s="29" t="s">
        <v>81</v>
      </c>
      <c r="Y737" s="36" t="s">
        <v>83</v>
      </c>
      <c r="Z737" s="36" t="s">
        <v>157</v>
      </c>
      <c r="AA737" s="36" t="s">
        <v>1159</v>
      </c>
      <c r="AB737" s="36"/>
      <c r="AC737" s="36"/>
      <c r="AD737" s="29" t="s">
        <v>119</v>
      </c>
      <c r="AE737" s="36" t="str">
        <f>_xlfn.XLOOKUP(表格1[[#This Row],[唯一識別碼]],API清冊0707!B:B,API清冊0707!T:T,"")&amp;""</f>
        <v>無下拉選單</v>
      </c>
    </row>
    <row r="738" spans="1:31" ht="204.75" customHeight="1" x14ac:dyDescent="0.4">
      <c r="A738" s="29" t="s">
        <v>3100</v>
      </c>
      <c r="B738" s="29"/>
      <c r="C738" s="29"/>
      <c r="D738" s="29" t="s">
        <v>3101</v>
      </c>
      <c r="E738" s="29" t="s">
        <v>3102</v>
      </c>
      <c r="F738" s="29" t="s">
        <v>3103</v>
      </c>
      <c r="G738" s="35"/>
      <c r="H738" s="35" t="s">
        <v>151</v>
      </c>
      <c r="I738" s="29" t="s">
        <v>3100</v>
      </c>
      <c r="J738" s="37"/>
      <c r="K738" s="38"/>
      <c r="L738" s="38"/>
      <c r="M738" s="36" t="s">
        <v>60</v>
      </c>
      <c r="N738" s="15" t="s">
        <v>152</v>
      </c>
      <c r="O738" s="36" t="s">
        <v>162</v>
      </c>
      <c r="P738" s="36" t="str">
        <f t="shared" si="22"/>
        <v>WMTS_1/1000地形圖_新北市烏來都市計畫(104年)</v>
      </c>
      <c r="Q738" s="29" t="s">
        <v>3103</v>
      </c>
      <c r="R738" s="29" t="str">
        <f t="shared" si="23"/>
        <v>2dms_wmts_v1_TOPO01K_F20</v>
      </c>
      <c r="S738" s="39" t="s">
        <v>155</v>
      </c>
      <c r="U738" s="27" t="str">
        <f>_xlfn.XLOOKUP(表格1[[#This Row],[服務類別(英)]],參考2_服務標準對照!$B:$B,參考2_服務標準對照!$C:$C,"")&amp;""</f>
        <v>OGC</v>
      </c>
      <c r="V738" s="29" t="s">
        <v>7</v>
      </c>
      <c r="W738" s="29" t="s">
        <v>163</v>
      </c>
      <c r="X738" s="29" t="s">
        <v>81</v>
      </c>
      <c r="Y738" s="36" t="s">
        <v>83</v>
      </c>
      <c r="Z738" s="36" t="s">
        <v>157</v>
      </c>
      <c r="AA738" s="36" t="s">
        <v>1159</v>
      </c>
      <c r="AB738" s="36"/>
      <c r="AC738" s="36"/>
      <c r="AD738" s="29" t="s">
        <v>119</v>
      </c>
      <c r="AE738" s="36" t="str">
        <f>_xlfn.XLOOKUP(表格1[[#This Row],[唯一識別碼]],API清冊0707!B:B,API清冊0707!T:T,"")&amp;""</f>
        <v>無下拉選單</v>
      </c>
    </row>
    <row r="739" spans="1:31" ht="204.75" customHeight="1" x14ac:dyDescent="0.4">
      <c r="A739" s="29" t="s">
        <v>3104</v>
      </c>
      <c r="B739" s="29"/>
      <c r="C739" s="29"/>
      <c r="D739" s="29" t="s">
        <v>3105</v>
      </c>
      <c r="E739" s="29" t="s">
        <v>3106</v>
      </c>
      <c r="F739" s="29" t="s">
        <v>3107</v>
      </c>
      <c r="G739" s="35"/>
      <c r="H739" s="35" t="s">
        <v>151</v>
      </c>
      <c r="I739" s="29" t="s">
        <v>3104</v>
      </c>
      <c r="J739" s="37"/>
      <c r="K739" s="38"/>
      <c r="L739" s="38"/>
      <c r="M739" s="36" t="s">
        <v>60</v>
      </c>
      <c r="N739" s="15" t="s">
        <v>152</v>
      </c>
      <c r="O739" s="36" t="s">
        <v>162</v>
      </c>
      <c r="P739" s="36" t="str">
        <f t="shared" si="22"/>
        <v>WMTS_1/1000地形圖_新北市深坑都市計畫(104年)</v>
      </c>
      <c r="Q739" s="29" t="s">
        <v>3107</v>
      </c>
      <c r="R739" s="29" t="str">
        <f t="shared" si="23"/>
        <v>2dms_wmts_v1_TOPO01K_F19</v>
      </c>
      <c r="S739" s="39" t="s">
        <v>155</v>
      </c>
      <c r="U739" s="27" t="str">
        <f>_xlfn.XLOOKUP(表格1[[#This Row],[服務類別(英)]],參考2_服務標準對照!$B:$B,參考2_服務標準對照!$C:$C,"")&amp;""</f>
        <v>OGC</v>
      </c>
      <c r="V739" s="29" t="s">
        <v>7</v>
      </c>
      <c r="W739" s="29" t="s">
        <v>163</v>
      </c>
      <c r="X739" s="29" t="s">
        <v>81</v>
      </c>
      <c r="Y739" s="36" t="s">
        <v>83</v>
      </c>
      <c r="Z739" s="36" t="s">
        <v>157</v>
      </c>
      <c r="AA739" s="36" t="s">
        <v>1159</v>
      </c>
      <c r="AB739" s="36"/>
      <c r="AC739" s="36"/>
      <c r="AD739" s="29" t="s">
        <v>119</v>
      </c>
      <c r="AE739" s="36" t="str">
        <f>_xlfn.XLOOKUP(表格1[[#This Row],[唯一識別碼]],API清冊0707!B:B,API清冊0707!T:T,"")&amp;""</f>
        <v>無下拉選單</v>
      </c>
    </row>
    <row r="740" spans="1:31" ht="204.75" customHeight="1" x14ac:dyDescent="0.4">
      <c r="A740" s="29" t="s">
        <v>3108</v>
      </c>
      <c r="B740" s="29"/>
      <c r="C740" s="29"/>
      <c r="D740" s="29" t="s">
        <v>3109</v>
      </c>
      <c r="E740" s="29" t="s">
        <v>3110</v>
      </c>
      <c r="F740" s="29" t="s">
        <v>3111</v>
      </c>
      <c r="G740" s="35"/>
      <c r="H740" s="35" t="s">
        <v>151</v>
      </c>
      <c r="I740" s="29" t="s">
        <v>3108</v>
      </c>
      <c r="J740" s="37"/>
      <c r="K740" s="38"/>
      <c r="L740" s="38"/>
      <c r="M740" s="36" t="s">
        <v>60</v>
      </c>
      <c r="N740" s="15" t="s">
        <v>152</v>
      </c>
      <c r="O740" s="36" t="s">
        <v>162</v>
      </c>
      <c r="P740" s="36" t="str">
        <f t="shared" si="22"/>
        <v>WMTS_1/1000地形圖_新北市淡水都市計畫(105年)</v>
      </c>
      <c r="Q740" s="29" t="s">
        <v>3111</v>
      </c>
      <c r="R740" s="29" t="str">
        <f t="shared" si="23"/>
        <v>2dms_wmts_v1_TOPO01K_F18</v>
      </c>
      <c r="S740" s="39" t="s">
        <v>155</v>
      </c>
      <c r="U740" s="27" t="str">
        <f>_xlfn.XLOOKUP(表格1[[#This Row],[服務類別(英)]],參考2_服務標準對照!$B:$B,參考2_服務標準對照!$C:$C,"")&amp;""</f>
        <v>OGC</v>
      </c>
      <c r="V740" s="29" t="s">
        <v>7</v>
      </c>
      <c r="W740" s="29" t="s">
        <v>163</v>
      </c>
      <c r="X740" s="29" t="s">
        <v>81</v>
      </c>
      <c r="Y740" s="36" t="s">
        <v>83</v>
      </c>
      <c r="Z740" s="36" t="s">
        <v>157</v>
      </c>
      <c r="AA740" s="36" t="s">
        <v>1159</v>
      </c>
      <c r="AB740" s="36"/>
      <c r="AC740" s="36"/>
      <c r="AD740" s="29" t="s">
        <v>119</v>
      </c>
      <c r="AE740" s="36" t="str">
        <f>_xlfn.XLOOKUP(表格1[[#This Row],[唯一識別碼]],API清冊0707!B:B,API清冊0707!T:T,"")&amp;""</f>
        <v>無下拉選單</v>
      </c>
    </row>
    <row r="741" spans="1:31" ht="204.75" customHeight="1" x14ac:dyDescent="0.4">
      <c r="A741" s="29" t="s">
        <v>3112</v>
      </c>
      <c r="B741" s="29"/>
      <c r="C741" s="29"/>
      <c r="D741" s="29" t="s">
        <v>3113</v>
      </c>
      <c r="E741" s="29" t="s">
        <v>3114</v>
      </c>
      <c r="F741" s="29" t="s">
        <v>3115</v>
      </c>
      <c r="G741" s="35"/>
      <c r="H741" s="35" t="s">
        <v>151</v>
      </c>
      <c r="I741" s="29" t="s">
        <v>3112</v>
      </c>
      <c r="J741" s="37"/>
      <c r="K741" s="38"/>
      <c r="L741" s="38"/>
      <c r="M741" s="36" t="s">
        <v>60</v>
      </c>
      <c r="N741" s="15" t="s">
        <v>152</v>
      </c>
      <c r="O741" s="36" t="s">
        <v>162</v>
      </c>
      <c r="P741" s="36" t="str">
        <f t="shared" si="22"/>
        <v>WMTS_1/1000地形圖_新北市泰山都市計畫(105年)</v>
      </c>
      <c r="Q741" s="29" t="s">
        <v>3115</v>
      </c>
      <c r="R741" s="29" t="str">
        <f t="shared" si="23"/>
        <v>2dms_wmts_v1_TOPO01K_F17</v>
      </c>
      <c r="S741" s="39" t="s">
        <v>155</v>
      </c>
      <c r="U741" s="27" t="str">
        <f>_xlfn.XLOOKUP(表格1[[#This Row],[服務類別(英)]],參考2_服務標準對照!$B:$B,參考2_服務標準對照!$C:$C,"")&amp;""</f>
        <v>OGC</v>
      </c>
      <c r="V741" s="29" t="s">
        <v>7</v>
      </c>
      <c r="W741" s="29" t="s">
        <v>163</v>
      </c>
      <c r="X741" s="29" t="s">
        <v>81</v>
      </c>
      <c r="Y741" s="36" t="s">
        <v>83</v>
      </c>
      <c r="Z741" s="36" t="s">
        <v>157</v>
      </c>
      <c r="AA741" s="36" t="s">
        <v>1159</v>
      </c>
      <c r="AB741" s="36"/>
      <c r="AC741" s="36"/>
      <c r="AD741" s="29" t="s">
        <v>119</v>
      </c>
      <c r="AE741" s="36" t="str">
        <f>_xlfn.XLOOKUP(表格1[[#This Row],[唯一識別碼]],API清冊0707!B:B,API清冊0707!T:T,"")&amp;""</f>
        <v>無下拉選單</v>
      </c>
    </row>
    <row r="742" spans="1:31" ht="204.75" customHeight="1" x14ac:dyDescent="0.4">
      <c r="A742" s="29" t="s">
        <v>3116</v>
      </c>
      <c r="B742" s="29"/>
      <c r="C742" s="29"/>
      <c r="D742" s="29" t="s">
        <v>3117</v>
      </c>
      <c r="E742" s="29" t="s">
        <v>3118</v>
      </c>
      <c r="F742" s="29" t="s">
        <v>3119</v>
      </c>
      <c r="G742" s="35"/>
      <c r="H742" s="35" t="s">
        <v>151</v>
      </c>
      <c r="I742" s="29" t="s">
        <v>3116</v>
      </c>
      <c r="J742" s="37"/>
      <c r="K742" s="38"/>
      <c r="L742" s="38"/>
      <c r="M742" s="36" t="s">
        <v>60</v>
      </c>
      <c r="N742" s="15" t="s">
        <v>152</v>
      </c>
      <c r="O742" s="36" t="s">
        <v>162</v>
      </c>
      <c r="P742" s="36" t="str">
        <f t="shared" si="22"/>
        <v>WMTS_1/1000地形圖_新北市汐止都市計畫(102年)</v>
      </c>
      <c r="Q742" s="29" t="s">
        <v>3119</v>
      </c>
      <c r="R742" s="29" t="str">
        <f t="shared" si="23"/>
        <v>2dms_wmts_v1_TOPO01K_F16</v>
      </c>
      <c r="S742" s="39" t="s">
        <v>155</v>
      </c>
      <c r="U742" s="27" t="str">
        <f>_xlfn.XLOOKUP(表格1[[#This Row],[服務類別(英)]],參考2_服務標準對照!$B:$B,參考2_服務標準對照!$C:$C,"")&amp;""</f>
        <v>OGC</v>
      </c>
      <c r="V742" s="29" t="s">
        <v>7</v>
      </c>
      <c r="W742" s="29" t="s">
        <v>163</v>
      </c>
      <c r="X742" s="29" t="s">
        <v>81</v>
      </c>
      <c r="Y742" s="36" t="s">
        <v>83</v>
      </c>
      <c r="Z742" s="36" t="s">
        <v>157</v>
      </c>
      <c r="AA742" s="36" t="s">
        <v>1159</v>
      </c>
      <c r="AB742" s="36"/>
      <c r="AC742" s="36"/>
      <c r="AD742" s="29" t="s">
        <v>119</v>
      </c>
      <c r="AE742" s="36" t="str">
        <f>_xlfn.XLOOKUP(表格1[[#This Row],[唯一識別碼]],API清冊0707!B:B,API清冊0707!T:T,"")&amp;""</f>
        <v>無下拉選單</v>
      </c>
    </row>
    <row r="743" spans="1:31" ht="204.75" customHeight="1" x14ac:dyDescent="0.4">
      <c r="A743" s="29" t="s">
        <v>3120</v>
      </c>
      <c r="B743" s="29"/>
      <c r="C743" s="29"/>
      <c r="D743" s="29" t="s">
        <v>3121</v>
      </c>
      <c r="E743" s="29" t="s">
        <v>3122</v>
      </c>
      <c r="F743" s="29" t="s">
        <v>3123</v>
      </c>
      <c r="G743" s="35"/>
      <c r="H743" s="35" t="s">
        <v>151</v>
      </c>
      <c r="I743" s="29" t="s">
        <v>3120</v>
      </c>
      <c r="J743" s="37"/>
      <c r="K743" s="38"/>
      <c r="L743" s="38"/>
      <c r="M743" s="36" t="s">
        <v>60</v>
      </c>
      <c r="N743" s="15" t="s">
        <v>152</v>
      </c>
      <c r="O743" s="36" t="s">
        <v>162</v>
      </c>
      <c r="P743" s="36" t="str">
        <f t="shared" si="22"/>
        <v>WMTS_1/1000地形圖_新北市永和都市計畫(104年)</v>
      </c>
      <c r="Q743" s="29" t="s">
        <v>3123</v>
      </c>
      <c r="R743" s="29" t="str">
        <f t="shared" si="23"/>
        <v>2dms_wmts_v1_TOPO01K_F15</v>
      </c>
      <c r="S743" s="39" t="s">
        <v>155</v>
      </c>
      <c r="U743" s="27" t="str">
        <f>_xlfn.XLOOKUP(表格1[[#This Row],[服務類別(英)]],參考2_服務標準對照!$B:$B,參考2_服務標準對照!$C:$C,"")&amp;""</f>
        <v>OGC</v>
      </c>
      <c r="V743" s="29" t="s">
        <v>7</v>
      </c>
      <c r="W743" s="29" t="s">
        <v>163</v>
      </c>
      <c r="X743" s="29" t="s">
        <v>81</v>
      </c>
      <c r="Y743" s="36" t="s">
        <v>83</v>
      </c>
      <c r="Z743" s="36" t="s">
        <v>157</v>
      </c>
      <c r="AA743" s="36" t="s">
        <v>1159</v>
      </c>
      <c r="AB743" s="36"/>
      <c r="AC743" s="36"/>
      <c r="AD743" s="29" t="s">
        <v>119</v>
      </c>
      <c r="AE743" s="36" t="str">
        <f>_xlfn.XLOOKUP(表格1[[#This Row],[唯一識別碼]],API清冊0707!B:B,API清冊0707!T:T,"")&amp;""</f>
        <v>無下拉選單</v>
      </c>
    </row>
    <row r="744" spans="1:31" ht="204.75" customHeight="1" x14ac:dyDescent="0.4">
      <c r="A744" s="29" t="s">
        <v>3124</v>
      </c>
      <c r="B744" s="29"/>
      <c r="C744" s="29"/>
      <c r="D744" s="29" t="s">
        <v>3125</v>
      </c>
      <c r="E744" s="29" t="s">
        <v>3126</v>
      </c>
      <c r="F744" s="29" t="s">
        <v>3127</v>
      </c>
      <c r="G744" s="35"/>
      <c r="H744" s="35" t="s">
        <v>151</v>
      </c>
      <c r="I744" s="29" t="s">
        <v>3124</v>
      </c>
      <c r="J744" s="37"/>
      <c r="K744" s="38"/>
      <c r="L744" s="38"/>
      <c r="M744" s="36" t="s">
        <v>60</v>
      </c>
      <c r="N744" s="15" t="s">
        <v>152</v>
      </c>
      <c r="O744" s="36" t="s">
        <v>162</v>
      </c>
      <c r="P744" s="36" t="str">
        <f t="shared" si="22"/>
        <v>WMTS_1/1000地形圖_新北市樹林都市計畫(105年)</v>
      </c>
      <c r="Q744" s="29" t="s">
        <v>3127</v>
      </c>
      <c r="R744" s="29" t="str">
        <f t="shared" si="23"/>
        <v>2dms_wmts_v1_TOPO01K_F14</v>
      </c>
      <c r="S744" s="39" t="s">
        <v>155</v>
      </c>
      <c r="U744" s="27" t="str">
        <f>_xlfn.XLOOKUP(表格1[[#This Row],[服務類別(英)]],參考2_服務標準對照!$B:$B,參考2_服務標準對照!$C:$C,"")&amp;""</f>
        <v>OGC</v>
      </c>
      <c r="V744" s="29" t="s">
        <v>7</v>
      </c>
      <c r="W744" s="29" t="s">
        <v>163</v>
      </c>
      <c r="X744" s="29" t="s">
        <v>81</v>
      </c>
      <c r="Y744" s="36" t="s">
        <v>83</v>
      </c>
      <c r="Z744" s="36" t="s">
        <v>157</v>
      </c>
      <c r="AA744" s="36" t="s">
        <v>1159</v>
      </c>
      <c r="AB744" s="36"/>
      <c r="AC744" s="36"/>
      <c r="AD744" s="29" t="s">
        <v>119</v>
      </c>
      <c r="AE744" s="36" t="str">
        <f>_xlfn.XLOOKUP(表格1[[#This Row],[唯一識別碼]],API清冊0707!B:B,API清冊0707!T:T,"")&amp;""</f>
        <v>無下拉選單</v>
      </c>
    </row>
    <row r="745" spans="1:31" ht="204.75" customHeight="1" x14ac:dyDescent="0.4">
      <c r="A745" s="29" t="s">
        <v>3128</v>
      </c>
      <c r="B745" s="29"/>
      <c r="C745" s="29"/>
      <c r="D745" s="29" t="s">
        <v>3129</v>
      </c>
      <c r="E745" s="29" t="s">
        <v>3130</v>
      </c>
      <c r="F745" s="29" t="s">
        <v>3131</v>
      </c>
      <c r="G745" s="35"/>
      <c r="H745" s="35" t="s">
        <v>151</v>
      </c>
      <c r="I745" s="29" t="s">
        <v>3128</v>
      </c>
      <c r="J745" s="37"/>
      <c r="K745" s="38"/>
      <c r="L745" s="38"/>
      <c r="M745" s="36" t="s">
        <v>60</v>
      </c>
      <c r="N745" s="15" t="s">
        <v>152</v>
      </c>
      <c r="O745" s="36" t="s">
        <v>162</v>
      </c>
      <c r="P745" s="36" t="str">
        <f t="shared" si="22"/>
        <v>WMTS_1/1000地形圖_新北市林口都市計畫(101年)</v>
      </c>
      <c r="Q745" s="29" t="s">
        <v>3131</v>
      </c>
      <c r="R745" s="29" t="str">
        <f t="shared" si="23"/>
        <v>2dms_wmts_v1_TOPO01K_F13</v>
      </c>
      <c r="S745" s="39" t="s">
        <v>155</v>
      </c>
      <c r="U745" s="27" t="str">
        <f>_xlfn.XLOOKUP(表格1[[#This Row],[服務類別(英)]],參考2_服務標準對照!$B:$B,參考2_服務標準對照!$C:$C,"")&amp;""</f>
        <v>OGC</v>
      </c>
      <c r="V745" s="29" t="s">
        <v>7</v>
      </c>
      <c r="W745" s="29" t="s">
        <v>163</v>
      </c>
      <c r="X745" s="29" t="s">
        <v>81</v>
      </c>
      <c r="Y745" s="36" t="s">
        <v>83</v>
      </c>
      <c r="Z745" s="36" t="s">
        <v>157</v>
      </c>
      <c r="AA745" s="36" t="s">
        <v>1159</v>
      </c>
      <c r="AB745" s="36"/>
      <c r="AC745" s="36"/>
      <c r="AD745" s="29" t="s">
        <v>119</v>
      </c>
      <c r="AE745" s="36" t="str">
        <f>_xlfn.XLOOKUP(表格1[[#This Row],[唯一識別碼]],API清冊0707!B:B,API清冊0707!T:T,"")&amp;""</f>
        <v>無下拉選單</v>
      </c>
    </row>
    <row r="746" spans="1:31" ht="204.75" customHeight="1" x14ac:dyDescent="0.4">
      <c r="A746" s="29" t="s">
        <v>3132</v>
      </c>
      <c r="B746" s="29"/>
      <c r="C746" s="29"/>
      <c r="D746" s="29" t="s">
        <v>3133</v>
      </c>
      <c r="E746" s="29" t="s">
        <v>3134</v>
      </c>
      <c r="F746" s="29" t="s">
        <v>3135</v>
      </c>
      <c r="G746" s="35"/>
      <c r="H746" s="35" t="s">
        <v>151</v>
      </c>
      <c r="I746" s="29" t="s">
        <v>3132</v>
      </c>
      <c r="J746" s="37"/>
      <c r="K746" s="38"/>
      <c r="L746" s="38"/>
      <c r="M746" s="36" t="s">
        <v>60</v>
      </c>
      <c r="N746" s="15" t="s">
        <v>152</v>
      </c>
      <c r="O746" s="36" t="s">
        <v>162</v>
      </c>
      <c r="P746" s="36" t="str">
        <f t="shared" si="22"/>
        <v>WMTS_1/1000地形圖_新北市板橋都市計畫(103年)</v>
      </c>
      <c r="Q746" s="29" t="s">
        <v>3135</v>
      </c>
      <c r="R746" s="29" t="str">
        <f t="shared" si="23"/>
        <v>2dms_wmts_v1_TOPO01K_F12</v>
      </c>
      <c r="S746" s="39" t="s">
        <v>155</v>
      </c>
      <c r="U746" s="27" t="str">
        <f>_xlfn.XLOOKUP(表格1[[#This Row],[服務類別(英)]],參考2_服務標準對照!$B:$B,參考2_服務標準對照!$C:$C,"")&amp;""</f>
        <v>OGC</v>
      </c>
      <c r="V746" s="29" t="s">
        <v>7</v>
      </c>
      <c r="W746" s="29" t="s">
        <v>163</v>
      </c>
      <c r="X746" s="29" t="s">
        <v>81</v>
      </c>
      <c r="Y746" s="36" t="s">
        <v>83</v>
      </c>
      <c r="Z746" s="36" t="s">
        <v>157</v>
      </c>
      <c r="AA746" s="36" t="s">
        <v>1159</v>
      </c>
      <c r="AB746" s="36"/>
      <c r="AC746" s="36"/>
      <c r="AD746" s="29" t="s">
        <v>119</v>
      </c>
      <c r="AE746" s="36" t="str">
        <f>_xlfn.XLOOKUP(表格1[[#This Row],[唯一識別碼]],API清冊0707!B:B,API清冊0707!T:T,"")&amp;""</f>
        <v>無下拉選單</v>
      </c>
    </row>
    <row r="747" spans="1:31" ht="204.75" customHeight="1" x14ac:dyDescent="0.4">
      <c r="A747" s="29" t="s">
        <v>3136</v>
      </c>
      <c r="B747" s="29"/>
      <c r="C747" s="29"/>
      <c r="D747" s="29" t="s">
        <v>3137</v>
      </c>
      <c r="E747" s="29" t="s">
        <v>3138</v>
      </c>
      <c r="F747" s="29" t="s">
        <v>3139</v>
      </c>
      <c r="G747" s="35"/>
      <c r="H747" s="35" t="s">
        <v>151</v>
      </c>
      <c r="I747" s="29" t="s">
        <v>3136</v>
      </c>
      <c r="J747" s="37"/>
      <c r="K747" s="38"/>
      <c r="L747" s="38"/>
      <c r="M747" s="36" t="s">
        <v>60</v>
      </c>
      <c r="N747" s="15" t="s">
        <v>152</v>
      </c>
      <c r="O747" s="36" t="s">
        <v>162</v>
      </c>
      <c r="P747" s="36" t="str">
        <f t="shared" si="22"/>
        <v>WMTS_1/1000地形圖_新北市新莊都市計畫(105年)</v>
      </c>
      <c r="Q747" s="29" t="s">
        <v>3139</v>
      </c>
      <c r="R747" s="29" t="str">
        <f t="shared" si="23"/>
        <v>2dms_wmts_v1_TOPO01K_F11</v>
      </c>
      <c r="S747" s="39" t="s">
        <v>155</v>
      </c>
      <c r="U747" s="27" t="str">
        <f>_xlfn.XLOOKUP(表格1[[#This Row],[服務類別(英)]],參考2_服務標準對照!$B:$B,參考2_服務標準對照!$C:$C,"")&amp;""</f>
        <v>OGC</v>
      </c>
      <c r="V747" s="29" t="s">
        <v>7</v>
      </c>
      <c r="W747" s="29" t="s">
        <v>163</v>
      </c>
      <c r="X747" s="29" t="s">
        <v>81</v>
      </c>
      <c r="Y747" s="36" t="s">
        <v>83</v>
      </c>
      <c r="Z747" s="36" t="s">
        <v>157</v>
      </c>
      <c r="AA747" s="36" t="s">
        <v>1159</v>
      </c>
      <c r="AB747" s="36"/>
      <c r="AC747" s="36"/>
      <c r="AD747" s="29" t="s">
        <v>119</v>
      </c>
      <c r="AE747" s="36" t="str">
        <f>_xlfn.XLOOKUP(表格1[[#This Row],[唯一識別碼]],API清冊0707!B:B,API清冊0707!T:T,"")&amp;""</f>
        <v>無下拉選單</v>
      </c>
    </row>
    <row r="748" spans="1:31" ht="204.75" customHeight="1" x14ac:dyDescent="0.4">
      <c r="A748" s="29" t="s">
        <v>3140</v>
      </c>
      <c r="B748" s="29"/>
      <c r="C748" s="29"/>
      <c r="D748" s="29" t="s">
        <v>3141</v>
      </c>
      <c r="E748" s="29" t="s">
        <v>3142</v>
      </c>
      <c r="F748" s="29" t="s">
        <v>3143</v>
      </c>
      <c r="G748" s="35"/>
      <c r="H748" s="35" t="s">
        <v>151</v>
      </c>
      <c r="I748" s="29" t="s">
        <v>3140</v>
      </c>
      <c r="J748" s="37"/>
      <c r="K748" s="38"/>
      <c r="L748" s="38"/>
      <c r="M748" s="36" t="s">
        <v>60</v>
      </c>
      <c r="N748" s="15" t="s">
        <v>152</v>
      </c>
      <c r="O748" s="36" t="s">
        <v>162</v>
      </c>
      <c r="P748" s="36" t="str">
        <f t="shared" si="22"/>
        <v>WMTS_1/1000地形圖_新北市新店都市計畫(104年)</v>
      </c>
      <c r="Q748" s="29" t="s">
        <v>3143</v>
      </c>
      <c r="R748" s="29" t="str">
        <f t="shared" si="23"/>
        <v>2dms_wmts_v1_TOPO01K_F10</v>
      </c>
      <c r="S748" s="39" t="s">
        <v>155</v>
      </c>
      <c r="U748" s="27" t="str">
        <f>_xlfn.XLOOKUP(表格1[[#This Row],[服務類別(英)]],參考2_服務標準對照!$B:$B,參考2_服務標準對照!$C:$C,"")&amp;""</f>
        <v>OGC</v>
      </c>
      <c r="V748" s="29" t="s">
        <v>7</v>
      </c>
      <c r="W748" s="29" t="s">
        <v>163</v>
      </c>
      <c r="X748" s="29" t="s">
        <v>81</v>
      </c>
      <c r="Y748" s="36" t="s">
        <v>83</v>
      </c>
      <c r="Z748" s="36" t="s">
        <v>157</v>
      </c>
      <c r="AA748" s="36" t="s">
        <v>1159</v>
      </c>
      <c r="AB748" s="36"/>
      <c r="AC748" s="36"/>
      <c r="AD748" s="29" t="s">
        <v>119</v>
      </c>
      <c r="AE748" s="36" t="str">
        <f>_xlfn.XLOOKUP(表格1[[#This Row],[唯一識別碼]],API清冊0707!B:B,API清冊0707!T:T,"")&amp;""</f>
        <v>無下拉選單</v>
      </c>
    </row>
    <row r="749" spans="1:31" ht="204.75" customHeight="1" x14ac:dyDescent="0.4">
      <c r="A749" s="29" t="s">
        <v>3144</v>
      </c>
      <c r="B749" s="29"/>
      <c r="C749" s="29"/>
      <c r="D749" s="29" t="s">
        <v>3145</v>
      </c>
      <c r="E749" s="29" t="s">
        <v>3146</v>
      </c>
      <c r="F749" s="29" t="s">
        <v>3147</v>
      </c>
      <c r="G749" s="35"/>
      <c r="H749" s="35" t="s">
        <v>151</v>
      </c>
      <c r="I749" s="29" t="s">
        <v>3144</v>
      </c>
      <c r="J749" s="37"/>
      <c r="K749" s="38"/>
      <c r="L749" s="38"/>
      <c r="M749" s="36" t="s">
        <v>60</v>
      </c>
      <c r="N749" s="15" t="s">
        <v>152</v>
      </c>
      <c r="O749" s="36" t="s">
        <v>162</v>
      </c>
      <c r="P749" s="36" t="str">
        <f t="shared" si="22"/>
        <v>WMTS_1/1000地形圖_新北市平溪都市計畫(103年)</v>
      </c>
      <c r="Q749" s="29" t="s">
        <v>3147</v>
      </c>
      <c r="R749" s="29" t="str">
        <f t="shared" si="23"/>
        <v>2dms_wmts_v1_TOPO01K_F09</v>
      </c>
      <c r="S749" s="39" t="s">
        <v>155</v>
      </c>
      <c r="U749" s="27" t="str">
        <f>_xlfn.XLOOKUP(表格1[[#This Row],[服務類別(英)]],參考2_服務標準對照!$B:$B,參考2_服務標準對照!$C:$C,"")&amp;""</f>
        <v>OGC</v>
      </c>
      <c r="V749" s="29" t="s">
        <v>7</v>
      </c>
      <c r="W749" s="29" t="s">
        <v>163</v>
      </c>
      <c r="X749" s="29" t="s">
        <v>81</v>
      </c>
      <c r="Y749" s="36" t="s">
        <v>83</v>
      </c>
      <c r="Z749" s="36" t="s">
        <v>157</v>
      </c>
      <c r="AA749" s="36" t="s">
        <v>1159</v>
      </c>
      <c r="AB749" s="36"/>
      <c r="AC749" s="36"/>
      <c r="AD749" s="29" t="s">
        <v>119</v>
      </c>
      <c r="AE749" s="36" t="str">
        <f>_xlfn.XLOOKUP(表格1[[#This Row],[唯一識別碼]],API清冊0707!B:B,API清冊0707!T:T,"")&amp;""</f>
        <v>無下拉選單</v>
      </c>
    </row>
    <row r="750" spans="1:31" ht="204.75" customHeight="1" x14ac:dyDescent="0.4">
      <c r="A750" s="29" t="s">
        <v>3148</v>
      </c>
      <c r="B750" s="29"/>
      <c r="C750" s="29"/>
      <c r="D750" s="29" t="s">
        <v>3149</v>
      </c>
      <c r="E750" s="29" t="s">
        <v>3150</v>
      </c>
      <c r="F750" s="29" t="s">
        <v>3151</v>
      </c>
      <c r="G750" s="35"/>
      <c r="H750" s="35" t="s">
        <v>151</v>
      </c>
      <c r="I750" s="29" t="s">
        <v>3148</v>
      </c>
      <c r="J750" s="37"/>
      <c r="K750" s="38"/>
      <c r="L750" s="38"/>
      <c r="M750" s="36" t="s">
        <v>60</v>
      </c>
      <c r="N750" s="15" t="s">
        <v>152</v>
      </c>
      <c r="O750" s="36" t="s">
        <v>162</v>
      </c>
      <c r="P750" s="36" t="str">
        <f t="shared" si="22"/>
        <v>WMTS_1/1000地形圖_新北市坪林都市計畫(104年)</v>
      </c>
      <c r="Q750" s="29" t="s">
        <v>3151</v>
      </c>
      <c r="R750" s="29" t="str">
        <f t="shared" si="23"/>
        <v>2dms_wmts_v1_TOPO01K_F08</v>
      </c>
      <c r="S750" s="39" t="s">
        <v>155</v>
      </c>
      <c r="U750" s="27" t="str">
        <f>_xlfn.XLOOKUP(表格1[[#This Row],[服務類別(英)]],參考2_服務標準對照!$B:$B,參考2_服務標準對照!$C:$C,"")&amp;""</f>
        <v>OGC</v>
      </c>
      <c r="V750" s="29" t="s">
        <v>7</v>
      </c>
      <c r="W750" s="29" t="s">
        <v>163</v>
      </c>
      <c r="X750" s="29" t="s">
        <v>81</v>
      </c>
      <c r="Y750" s="36" t="s">
        <v>83</v>
      </c>
      <c r="Z750" s="36" t="s">
        <v>157</v>
      </c>
      <c r="AA750" s="36" t="s">
        <v>1159</v>
      </c>
      <c r="AB750" s="36"/>
      <c r="AC750" s="36"/>
      <c r="AD750" s="29" t="s">
        <v>119</v>
      </c>
      <c r="AE750" s="36" t="str">
        <f>_xlfn.XLOOKUP(表格1[[#This Row],[唯一識別碼]],API清冊0707!B:B,API清冊0707!T:T,"")&amp;""</f>
        <v>無下拉選單</v>
      </c>
    </row>
    <row r="751" spans="1:31" ht="204.75" customHeight="1" x14ac:dyDescent="0.4">
      <c r="A751" s="29" t="s">
        <v>3152</v>
      </c>
      <c r="B751" s="29"/>
      <c r="C751" s="29"/>
      <c r="D751" s="29" t="s">
        <v>3153</v>
      </c>
      <c r="E751" s="29" t="s">
        <v>3154</v>
      </c>
      <c r="F751" s="29" t="s">
        <v>3155</v>
      </c>
      <c r="G751" s="35"/>
      <c r="H751" s="35" t="s">
        <v>151</v>
      </c>
      <c r="I751" s="29" t="s">
        <v>3152</v>
      </c>
      <c r="J751" s="37"/>
      <c r="K751" s="38"/>
      <c r="L751" s="38"/>
      <c r="M751" s="36" t="s">
        <v>60</v>
      </c>
      <c r="N751" s="15" t="s">
        <v>152</v>
      </c>
      <c r="O751" s="36" t="s">
        <v>162</v>
      </c>
      <c r="P751" s="36" t="str">
        <f t="shared" si="22"/>
        <v>WMTS_1/1000地形圖_新北市土城都市計畫(103年)</v>
      </c>
      <c r="Q751" s="29" t="s">
        <v>3155</v>
      </c>
      <c r="R751" s="29" t="str">
        <f t="shared" si="23"/>
        <v>2dms_wmts_v1_TOPO01K_F07</v>
      </c>
      <c r="S751" s="39" t="s">
        <v>155</v>
      </c>
      <c r="U751" s="27" t="str">
        <f>_xlfn.XLOOKUP(表格1[[#This Row],[服務類別(英)]],參考2_服務標準對照!$B:$B,參考2_服務標準對照!$C:$C,"")&amp;""</f>
        <v>OGC</v>
      </c>
      <c r="V751" s="29" t="s">
        <v>7</v>
      </c>
      <c r="W751" s="29" t="s">
        <v>163</v>
      </c>
      <c r="X751" s="29" t="s">
        <v>81</v>
      </c>
      <c r="Y751" s="36" t="s">
        <v>83</v>
      </c>
      <c r="Z751" s="36" t="s">
        <v>157</v>
      </c>
      <c r="AA751" s="36" t="s">
        <v>1159</v>
      </c>
      <c r="AB751" s="36"/>
      <c r="AC751" s="36"/>
      <c r="AD751" s="29" t="s">
        <v>119</v>
      </c>
      <c r="AE751" s="36" t="str">
        <f>_xlfn.XLOOKUP(表格1[[#This Row],[唯一識別碼]],API清冊0707!B:B,API清冊0707!T:T,"")&amp;""</f>
        <v>無下拉選單</v>
      </c>
    </row>
    <row r="752" spans="1:31" ht="204.75" customHeight="1" x14ac:dyDescent="0.4">
      <c r="A752" s="29" t="s">
        <v>3156</v>
      </c>
      <c r="B752" s="29"/>
      <c r="C752" s="29"/>
      <c r="D752" s="29" t="s">
        <v>3157</v>
      </c>
      <c r="E752" s="29" t="s">
        <v>3158</v>
      </c>
      <c r="F752" s="29" t="s">
        <v>3159</v>
      </c>
      <c r="G752" s="35"/>
      <c r="H752" s="35" t="s">
        <v>151</v>
      </c>
      <c r="I752" s="29" t="s">
        <v>3156</v>
      </c>
      <c r="J752" s="37"/>
      <c r="K752" s="38"/>
      <c r="L752" s="38"/>
      <c r="M752" s="36" t="s">
        <v>60</v>
      </c>
      <c r="N752" s="15" t="s">
        <v>152</v>
      </c>
      <c r="O752" s="36" t="s">
        <v>162</v>
      </c>
      <c r="P752" s="36" t="str">
        <f t="shared" si="22"/>
        <v>WMTS_1/1000地形圖_新北市八里都市計畫(101年)</v>
      </c>
      <c r="Q752" s="29" t="s">
        <v>3159</v>
      </c>
      <c r="R752" s="29" t="str">
        <f t="shared" si="23"/>
        <v>2dms_wmts_v1_TOPO01K_F06</v>
      </c>
      <c r="S752" s="39" t="s">
        <v>155</v>
      </c>
      <c r="U752" s="27" t="str">
        <f>_xlfn.XLOOKUP(表格1[[#This Row],[服務類別(英)]],參考2_服務標準對照!$B:$B,參考2_服務標準對照!$C:$C,"")&amp;""</f>
        <v>OGC</v>
      </c>
      <c r="V752" s="29" t="s">
        <v>7</v>
      </c>
      <c r="W752" s="29" t="s">
        <v>163</v>
      </c>
      <c r="X752" s="29" t="s">
        <v>81</v>
      </c>
      <c r="Y752" s="36" t="s">
        <v>83</v>
      </c>
      <c r="Z752" s="36" t="s">
        <v>157</v>
      </c>
      <c r="AA752" s="36" t="s">
        <v>1159</v>
      </c>
      <c r="AB752" s="36"/>
      <c r="AC752" s="36"/>
      <c r="AD752" s="29" t="s">
        <v>119</v>
      </c>
      <c r="AE752" s="36" t="str">
        <f>_xlfn.XLOOKUP(表格1[[#This Row],[唯一識別碼]],API清冊0707!B:B,API清冊0707!T:T,"")&amp;""</f>
        <v>無下拉選單</v>
      </c>
    </row>
    <row r="753" spans="1:31" ht="204.75" customHeight="1" x14ac:dyDescent="0.4">
      <c r="A753" s="29" t="s">
        <v>3160</v>
      </c>
      <c r="B753" s="29"/>
      <c r="C753" s="29"/>
      <c r="D753" s="29" t="s">
        <v>3161</v>
      </c>
      <c r="E753" s="29" t="s">
        <v>3162</v>
      </c>
      <c r="F753" s="29" t="s">
        <v>3163</v>
      </c>
      <c r="G753" s="35"/>
      <c r="H753" s="35" t="s">
        <v>151</v>
      </c>
      <c r="I753" s="29" t="s">
        <v>3160</v>
      </c>
      <c r="J753" s="37"/>
      <c r="K753" s="38"/>
      <c r="L753" s="38"/>
      <c r="M753" s="36" t="s">
        <v>60</v>
      </c>
      <c r="N753" s="15" t="s">
        <v>152</v>
      </c>
      <c r="O753" s="36" t="s">
        <v>162</v>
      </c>
      <c r="P753" s="36" t="str">
        <f t="shared" si="22"/>
        <v>WMTS_1/1000地形圖_新北市五股都市計畫(101年)</v>
      </c>
      <c r="Q753" s="29" t="s">
        <v>3163</v>
      </c>
      <c r="R753" s="29" t="str">
        <f t="shared" si="23"/>
        <v>2dms_wmts_v1_TOPO01K_F05</v>
      </c>
      <c r="S753" s="39" t="s">
        <v>155</v>
      </c>
      <c r="U753" s="27" t="str">
        <f>_xlfn.XLOOKUP(表格1[[#This Row],[服務類別(英)]],參考2_服務標準對照!$B:$B,參考2_服務標準對照!$C:$C,"")&amp;""</f>
        <v>OGC</v>
      </c>
      <c r="V753" s="29" t="s">
        <v>7</v>
      </c>
      <c r="W753" s="29" t="s">
        <v>163</v>
      </c>
      <c r="X753" s="29" t="s">
        <v>81</v>
      </c>
      <c r="Y753" s="36" t="s">
        <v>83</v>
      </c>
      <c r="Z753" s="36" t="s">
        <v>157</v>
      </c>
      <c r="AA753" s="36" t="s">
        <v>1159</v>
      </c>
      <c r="AB753" s="36"/>
      <c r="AC753" s="36"/>
      <c r="AD753" s="29" t="s">
        <v>119</v>
      </c>
      <c r="AE753" s="36" t="str">
        <f>_xlfn.XLOOKUP(表格1[[#This Row],[唯一識別碼]],API清冊0707!B:B,API清冊0707!T:T,"")&amp;""</f>
        <v>無下拉選單</v>
      </c>
    </row>
    <row r="754" spans="1:31" ht="204.75" customHeight="1" x14ac:dyDescent="0.4">
      <c r="A754" s="29" t="s">
        <v>3164</v>
      </c>
      <c r="B754" s="29"/>
      <c r="C754" s="29"/>
      <c r="D754" s="29" t="s">
        <v>3165</v>
      </c>
      <c r="E754" s="29" t="s">
        <v>3166</v>
      </c>
      <c r="F754" s="29" t="s">
        <v>3167</v>
      </c>
      <c r="G754" s="35"/>
      <c r="H754" s="35" t="s">
        <v>151</v>
      </c>
      <c r="I754" s="29" t="s">
        <v>3164</v>
      </c>
      <c r="J754" s="37"/>
      <c r="K754" s="38"/>
      <c r="L754" s="38"/>
      <c r="M754" s="36" t="s">
        <v>60</v>
      </c>
      <c r="N754" s="15" t="s">
        <v>152</v>
      </c>
      <c r="O754" s="36" t="s">
        <v>162</v>
      </c>
      <c r="P754" s="36" t="str">
        <f t="shared" si="22"/>
        <v>WMTS_1/1000地形圖_新北市中和都市計畫(104年)</v>
      </c>
      <c r="Q754" s="29" t="s">
        <v>3167</v>
      </c>
      <c r="R754" s="29" t="str">
        <f t="shared" si="23"/>
        <v>2dms_wmts_v1_TOPO01K_F04</v>
      </c>
      <c r="S754" s="39" t="s">
        <v>155</v>
      </c>
      <c r="U754" s="27" t="str">
        <f>_xlfn.XLOOKUP(表格1[[#This Row],[服務類別(英)]],參考2_服務標準對照!$B:$B,參考2_服務標準對照!$C:$C,"")&amp;""</f>
        <v>OGC</v>
      </c>
      <c r="V754" s="29" t="s">
        <v>7</v>
      </c>
      <c r="W754" s="29" t="s">
        <v>163</v>
      </c>
      <c r="X754" s="29" t="s">
        <v>81</v>
      </c>
      <c r="Y754" s="36" t="s">
        <v>83</v>
      </c>
      <c r="Z754" s="36" t="s">
        <v>157</v>
      </c>
      <c r="AA754" s="36" t="s">
        <v>1159</v>
      </c>
      <c r="AB754" s="36"/>
      <c r="AC754" s="36"/>
      <c r="AD754" s="29" t="s">
        <v>119</v>
      </c>
      <c r="AE754" s="36" t="str">
        <f>_xlfn.XLOOKUP(表格1[[#This Row],[唯一識別碼]],API清冊0707!B:B,API清冊0707!T:T,"")&amp;""</f>
        <v>無下拉選單</v>
      </c>
    </row>
    <row r="755" spans="1:31" ht="204.75" customHeight="1" x14ac:dyDescent="0.4">
      <c r="A755" s="29" t="s">
        <v>3168</v>
      </c>
      <c r="B755" s="29"/>
      <c r="C755" s="29"/>
      <c r="D755" s="29" t="s">
        <v>3169</v>
      </c>
      <c r="E755" s="29" t="s">
        <v>3170</v>
      </c>
      <c r="F755" s="29" t="s">
        <v>3171</v>
      </c>
      <c r="G755" s="35"/>
      <c r="H755" s="35" t="s">
        <v>151</v>
      </c>
      <c r="I755" s="29" t="s">
        <v>3168</v>
      </c>
      <c r="J755" s="37"/>
      <c r="K755" s="38"/>
      <c r="L755" s="38"/>
      <c r="M755" s="36" t="s">
        <v>60</v>
      </c>
      <c r="N755" s="15" t="s">
        <v>152</v>
      </c>
      <c r="O755" s="36" t="s">
        <v>162</v>
      </c>
      <c r="P755" s="36" t="str">
        <f t="shared" si="22"/>
        <v>WMTS_1/1000地形圖_新北市三重都市計畫(103年)</v>
      </c>
      <c r="Q755" s="29" t="s">
        <v>3171</v>
      </c>
      <c r="R755" s="29" t="str">
        <f t="shared" si="23"/>
        <v>2dms_wmts_v1_TOPO01K_F03</v>
      </c>
      <c r="S755" s="39" t="s">
        <v>155</v>
      </c>
      <c r="U755" s="27" t="str">
        <f>_xlfn.XLOOKUP(表格1[[#This Row],[服務類別(英)]],參考2_服務標準對照!$B:$B,參考2_服務標準對照!$C:$C,"")&amp;""</f>
        <v>OGC</v>
      </c>
      <c r="V755" s="29" t="s">
        <v>7</v>
      </c>
      <c r="W755" s="29" t="s">
        <v>163</v>
      </c>
      <c r="X755" s="29" t="s">
        <v>81</v>
      </c>
      <c r="Y755" s="36" t="s">
        <v>83</v>
      </c>
      <c r="Z755" s="36" t="s">
        <v>157</v>
      </c>
      <c r="AA755" s="36" t="s">
        <v>1159</v>
      </c>
      <c r="AB755" s="36"/>
      <c r="AC755" s="36"/>
      <c r="AD755" s="29" t="s">
        <v>119</v>
      </c>
      <c r="AE755" s="36" t="str">
        <f>_xlfn.XLOOKUP(表格1[[#This Row],[唯一識別碼]],API清冊0707!B:B,API清冊0707!T:T,"")&amp;""</f>
        <v>無下拉選單</v>
      </c>
    </row>
    <row r="756" spans="1:31" ht="204.75" customHeight="1" x14ac:dyDescent="0.4">
      <c r="A756" s="29" t="s">
        <v>3172</v>
      </c>
      <c r="B756" s="29"/>
      <c r="C756" s="29"/>
      <c r="D756" s="29" t="s">
        <v>3173</v>
      </c>
      <c r="E756" s="29" t="s">
        <v>3174</v>
      </c>
      <c r="F756" s="29" t="s">
        <v>3175</v>
      </c>
      <c r="G756" s="35"/>
      <c r="H756" s="35" t="s">
        <v>151</v>
      </c>
      <c r="I756" s="29" t="s">
        <v>3172</v>
      </c>
      <c r="J756" s="37"/>
      <c r="K756" s="38"/>
      <c r="L756" s="38"/>
      <c r="M756" s="36" t="s">
        <v>60</v>
      </c>
      <c r="N756" s="15" t="s">
        <v>152</v>
      </c>
      <c r="O756" s="36" t="s">
        <v>162</v>
      </c>
      <c r="P756" s="36" t="str">
        <f t="shared" si="22"/>
        <v>WMTS_1/1000地形圖_新北市三芝都市計畫(104年)</v>
      </c>
      <c r="Q756" s="29" t="s">
        <v>3175</v>
      </c>
      <c r="R756" s="29" t="str">
        <f t="shared" si="23"/>
        <v>2dms_wmts_v1_TOPO01K_F02</v>
      </c>
      <c r="S756" s="39" t="s">
        <v>155</v>
      </c>
      <c r="U756" s="27" t="str">
        <f>_xlfn.XLOOKUP(表格1[[#This Row],[服務類別(英)]],參考2_服務標準對照!$B:$B,參考2_服務標準對照!$C:$C,"")&amp;""</f>
        <v>OGC</v>
      </c>
      <c r="V756" s="29" t="s">
        <v>7</v>
      </c>
      <c r="W756" s="29" t="s">
        <v>163</v>
      </c>
      <c r="X756" s="29" t="s">
        <v>81</v>
      </c>
      <c r="Y756" s="36" t="s">
        <v>83</v>
      </c>
      <c r="Z756" s="36" t="s">
        <v>157</v>
      </c>
      <c r="AA756" s="36" t="s">
        <v>1159</v>
      </c>
      <c r="AB756" s="36"/>
      <c r="AC756" s="36"/>
      <c r="AD756" s="29" t="s">
        <v>119</v>
      </c>
      <c r="AE756" s="36" t="str">
        <f>_xlfn.XLOOKUP(表格1[[#This Row],[唯一識別碼]],API清冊0707!B:B,API清冊0707!T:T,"")&amp;""</f>
        <v>無下拉選單</v>
      </c>
    </row>
    <row r="757" spans="1:31" ht="204.75" customHeight="1" x14ac:dyDescent="0.4">
      <c r="A757" s="29" t="s">
        <v>3176</v>
      </c>
      <c r="B757" s="29"/>
      <c r="C757" s="29"/>
      <c r="D757" s="29" t="s">
        <v>3177</v>
      </c>
      <c r="E757" s="29" t="s">
        <v>3178</v>
      </c>
      <c r="F757" s="29" t="s">
        <v>3179</v>
      </c>
      <c r="G757" s="35"/>
      <c r="H757" s="35" t="s">
        <v>151</v>
      </c>
      <c r="I757" s="29" t="s">
        <v>3176</v>
      </c>
      <c r="J757" s="37"/>
      <c r="K757" s="38"/>
      <c r="L757" s="38"/>
      <c r="M757" s="36" t="s">
        <v>60</v>
      </c>
      <c r="N757" s="15" t="s">
        <v>152</v>
      </c>
      <c r="O757" s="36" t="s">
        <v>162</v>
      </c>
      <c r="P757" s="36" t="str">
        <f t="shared" si="22"/>
        <v>WMTS_1/1000地形圖_新北市三峽都市計畫(105年)</v>
      </c>
      <c r="Q757" s="29" t="s">
        <v>3179</v>
      </c>
      <c r="R757" s="29" t="str">
        <f t="shared" si="23"/>
        <v>2dms_wmts_v1_TOPO01K_F01</v>
      </c>
      <c r="S757" s="39" t="s">
        <v>155</v>
      </c>
      <c r="U757" s="27" t="str">
        <f>_xlfn.XLOOKUP(表格1[[#This Row],[服務類別(英)]],參考2_服務標準對照!$B:$B,參考2_服務標準對照!$C:$C,"")&amp;""</f>
        <v>OGC</v>
      </c>
      <c r="V757" s="29" t="s">
        <v>7</v>
      </c>
      <c r="W757" s="29" t="s">
        <v>163</v>
      </c>
      <c r="X757" s="29" t="s">
        <v>81</v>
      </c>
      <c r="Y757" s="36" t="s">
        <v>83</v>
      </c>
      <c r="Z757" s="36" t="s">
        <v>157</v>
      </c>
      <c r="AA757" s="36" t="s">
        <v>1159</v>
      </c>
      <c r="AB757" s="36"/>
      <c r="AC757" s="36"/>
      <c r="AD757" s="29" t="s">
        <v>119</v>
      </c>
      <c r="AE757" s="36" t="str">
        <f>_xlfn.XLOOKUP(表格1[[#This Row],[唯一識別碼]],API清冊0707!B:B,API清冊0707!T:T,"")&amp;""</f>
        <v>無下拉選單</v>
      </c>
    </row>
    <row r="758" spans="1:31" ht="204.75" customHeight="1" x14ac:dyDescent="0.4">
      <c r="A758" s="29" t="s">
        <v>3180</v>
      </c>
      <c r="B758" s="29"/>
      <c r="C758" s="29"/>
      <c r="D758" s="29" t="s">
        <v>3181</v>
      </c>
      <c r="E758" s="29" t="s">
        <v>3182</v>
      </c>
      <c r="F758" s="29" t="s">
        <v>3183</v>
      </c>
      <c r="G758" s="35"/>
      <c r="H758" s="35" t="s">
        <v>151</v>
      </c>
      <c r="I758" s="29" t="s">
        <v>3180</v>
      </c>
      <c r="J758" s="37"/>
      <c r="K758" s="38"/>
      <c r="L758" s="38"/>
      <c r="M758" s="36" t="s">
        <v>60</v>
      </c>
      <c r="N758" s="15" t="s">
        <v>152</v>
      </c>
      <c r="O758" s="36" t="s">
        <v>162</v>
      </c>
      <c r="P758" s="36" t="str">
        <f t="shared" si="22"/>
        <v>WMTS_1/1000地形圖_高雄市興達港漁業特定區計畫(109年)</v>
      </c>
      <c r="Q758" s="29" t="s">
        <v>3183</v>
      </c>
      <c r="R758" s="29" t="str">
        <f t="shared" si="23"/>
        <v>2dms_wmts_v1_TOPO01K_E38</v>
      </c>
      <c r="S758" s="39" t="s">
        <v>155</v>
      </c>
      <c r="U758" s="27" t="str">
        <f>_xlfn.XLOOKUP(表格1[[#This Row],[服務類別(英)]],參考2_服務標準對照!$B:$B,參考2_服務標準對照!$C:$C,"")&amp;""</f>
        <v>OGC</v>
      </c>
      <c r="V758" s="29" t="s">
        <v>7</v>
      </c>
      <c r="W758" s="29" t="s">
        <v>163</v>
      </c>
      <c r="X758" s="29" t="s">
        <v>81</v>
      </c>
      <c r="Y758" s="36" t="s">
        <v>83</v>
      </c>
      <c r="Z758" s="36" t="s">
        <v>157</v>
      </c>
      <c r="AA758" s="36" t="s">
        <v>1159</v>
      </c>
      <c r="AB758" s="36"/>
      <c r="AC758" s="36"/>
      <c r="AD758" s="29" t="s">
        <v>119</v>
      </c>
      <c r="AE758" s="36" t="str">
        <f>_xlfn.XLOOKUP(表格1[[#This Row],[唯一識別碼]],API清冊0707!B:B,API清冊0707!T:T,"")&amp;""</f>
        <v>無下拉選單</v>
      </c>
    </row>
    <row r="759" spans="1:31" ht="204.75" customHeight="1" x14ac:dyDescent="0.4">
      <c r="A759" s="29" t="s">
        <v>3184</v>
      </c>
      <c r="B759" s="29"/>
      <c r="C759" s="29"/>
      <c r="D759" s="29" t="s">
        <v>3185</v>
      </c>
      <c r="E759" s="29" t="s">
        <v>3186</v>
      </c>
      <c r="F759" s="29" t="s">
        <v>3187</v>
      </c>
      <c r="G759" s="35"/>
      <c r="H759" s="35" t="s">
        <v>151</v>
      </c>
      <c r="I759" s="29" t="s">
        <v>3184</v>
      </c>
      <c r="J759" s="37"/>
      <c r="K759" s="38"/>
      <c r="L759" s="38"/>
      <c r="M759" s="36" t="s">
        <v>60</v>
      </c>
      <c r="N759" s="15" t="s">
        <v>152</v>
      </c>
      <c r="O759" s="36" t="s">
        <v>162</v>
      </c>
      <c r="P759" s="36" t="str">
        <f t="shared" ref="P759:P822" si="24">IF(LEN(TRIM(F759))&gt;0,F759,E759)</f>
        <v>WMTS_1/1000地形圖_高雄市楠梓計畫(113年)</v>
      </c>
      <c r="Q759" s="29" t="s">
        <v>3187</v>
      </c>
      <c r="R759" s="29" t="str">
        <f t="shared" ref="R759:R822" si="25">D759</f>
        <v>2dms_wmts_v1_TOPO01K_E37</v>
      </c>
      <c r="S759" s="39" t="s">
        <v>155</v>
      </c>
      <c r="U759" s="27" t="str">
        <f>_xlfn.XLOOKUP(表格1[[#This Row],[服務類別(英)]],參考2_服務標準對照!$B:$B,參考2_服務標準對照!$C:$C,"")&amp;""</f>
        <v>OGC</v>
      </c>
      <c r="V759" s="29" t="s">
        <v>7</v>
      </c>
      <c r="W759" s="29" t="s">
        <v>163</v>
      </c>
      <c r="X759" s="29" t="s">
        <v>81</v>
      </c>
      <c r="Y759" s="36" t="s">
        <v>83</v>
      </c>
      <c r="Z759" s="36" t="s">
        <v>157</v>
      </c>
      <c r="AA759" s="36" t="s">
        <v>1159</v>
      </c>
      <c r="AB759" s="36"/>
      <c r="AC759" s="36"/>
      <c r="AD759" s="29" t="s">
        <v>119</v>
      </c>
      <c r="AE759" s="36" t="str">
        <f>_xlfn.XLOOKUP(表格1[[#This Row],[唯一識別碼]],API清冊0707!B:B,API清冊0707!T:T,"")&amp;""</f>
        <v>無下拉選單</v>
      </c>
    </row>
    <row r="760" spans="1:31" ht="204.75" customHeight="1" x14ac:dyDescent="0.4">
      <c r="A760" s="29" t="s">
        <v>3188</v>
      </c>
      <c r="B760" s="29"/>
      <c r="C760" s="29"/>
      <c r="D760" s="29" t="s">
        <v>3189</v>
      </c>
      <c r="E760" s="29" t="s">
        <v>3190</v>
      </c>
      <c r="F760" s="29" t="s">
        <v>3191</v>
      </c>
      <c r="G760" s="35"/>
      <c r="H760" s="35" t="s">
        <v>151</v>
      </c>
      <c r="I760" s="29" t="s">
        <v>3188</v>
      </c>
      <c r="J760" s="37"/>
      <c r="K760" s="38"/>
      <c r="L760" s="38"/>
      <c r="M760" s="36" t="s">
        <v>60</v>
      </c>
      <c r="N760" s="15" t="s">
        <v>152</v>
      </c>
      <c r="O760" s="36" t="s">
        <v>162</v>
      </c>
      <c r="P760" s="36" t="str">
        <f t="shared" si="24"/>
        <v>WMTS_1/1000地形圖_高雄市新市鎮特定區計畫(102年)</v>
      </c>
      <c r="Q760" s="29" t="s">
        <v>3191</v>
      </c>
      <c r="R760" s="29" t="str">
        <f t="shared" si="25"/>
        <v>2dms_wmts_v1_TOPO01K_E36</v>
      </c>
      <c r="S760" s="39" t="s">
        <v>155</v>
      </c>
      <c r="U760" s="27" t="str">
        <f>_xlfn.XLOOKUP(表格1[[#This Row],[服務類別(英)]],參考2_服務標準對照!$B:$B,參考2_服務標準對照!$C:$C,"")&amp;""</f>
        <v>OGC</v>
      </c>
      <c r="V760" s="29" t="s">
        <v>7</v>
      </c>
      <c r="W760" s="29" t="s">
        <v>163</v>
      </c>
      <c r="X760" s="29" t="s">
        <v>81</v>
      </c>
      <c r="Y760" s="36" t="s">
        <v>83</v>
      </c>
      <c r="Z760" s="36" t="s">
        <v>157</v>
      </c>
      <c r="AA760" s="36" t="s">
        <v>1159</v>
      </c>
      <c r="AB760" s="36"/>
      <c r="AC760" s="36"/>
      <c r="AD760" s="29" t="s">
        <v>119</v>
      </c>
      <c r="AE760" s="36" t="str">
        <f>_xlfn.XLOOKUP(表格1[[#This Row],[唯一識別碼]],API清冊0707!B:B,API清冊0707!T:T,"")&amp;""</f>
        <v>無下拉選單</v>
      </c>
    </row>
    <row r="761" spans="1:31" ht="204.75" customHeight="1" x14ac:dyDescent="0.4">
      <c r="A761" s="29" t="s">
        <v>3192</v>
      </c>
      <c r="B761" s="29"/>
      <c r="C761" s="29"/>
      <c r="D761" s="29" t="s">
        <v>3193</v>
      </c>
      <c r="E761" s="29" t="s">
        <v>3194</v>
      </c>
      <c r="F761" s="29" t="s">
        <v>3195</v>
      </c>
      <c r="G761" s="35"/>
      <c r="H761" s="35" t="s">
        <v>151</v>
      </c>
      <c r="I761" s="29" t="s">
        <v>3192</v>
      </c>
      <c r="J761" s="37"/>
      <c r="K761" s="38"/>
      <c r="L761" s="38"/>
      <c r="M761" s="36" t="s">
        <v>60</v>
      </c>
      <c r="N761" s="15" t="s">
        <v>152</v>
      </c>
      <c r="O761" s="36" t="s">
        <v>162</v>
      </c>
      <c r="P761" s="36" t="str">
        <f t="shared" si="24"/>
        <v>WMTS_1/1000地形圖_高雄市鳥松仁美地區都市計畫(108年)</v>
      </c>
      <c r="Q761" s="29" t="s">
        <v>3195</v>
      </c>
      <c r="R761" s="29" t="str">
        <f t="shared" si="25"/>
        <v>2dms_wmts_v1_TOPO01K_E35</v>
      </c>
      <c r="S761" s="39" t="s">
        <v>155</v>
      </c>
      <c r="U761" s="27" t="str">
        <f>_xlfn.XLOOKUP(表格1[[#This Row],[服務類別(英)]],參考2_服務標準對照!$B:$B,參考2_服務標準對照!$C:$C,"")&amp;""</f>
        <v>OGC</v>
      </c>
      <c r="V761" s="29" t="s">
        <v>7</v>
      </c>
      <c r="W761" s="29" t="s">
        <v>163</v>
      </c>
      <c r="X761" s="29" t="s">
        <v>81</v>
      </c>
      <c r="Y761" s="36" t="s">
        <v>83</v>
      </c>
      <c r="Z761" s="36" t="s">
        <v>157</v>
      </c>
      <c r="AA761" s="36" t="s">
        <v>1159</v>
      </c>
      <c r="AB761" s="36"/>
      <c r="AC761" s="36"/>
      <c r="AD761" s="29" t="s">
        <v>119</v>
      </c>
      <c r="AE761" s="36" t="str">
        <f>_xlfn.XLOOKUP(表格1[[#This Row],[唯一識別碼]],API清冊0707!B:B,API清冊0707!T:T,"")&amp;""</f>
        <v>無下拉選單</v>
      </c>
    </row>
    <row r="762" spans="1:31" ht="204.75" customHeight="1" x14ac:dyDescent="0.4">
      <c r="A762" s="29" t="s">
        <v>3196</v>
      </c>
      <c r="B762" s="29"/>
      <c r="C762" s="29"/>
      <c r="D762" s="29" t="s">
        <v>3197</v>
      </c>
      <c r="E762" s="29" t="s">
        <v>3198</v>
      </c>
      <c r="F762" s="29" t="s">
        <v>3199</v>
      </c>
      <c r="G762" s="35"/>
      <c r="H762" s="35" t="s">
        <v>151</v>
      </c>
      <c r="I762" s="29" t="s">
        <v>3196</v>
      </c>
      <c r="J762" s="37"/>
      <c r="K762" s="38"/>
      <c r="L762" s="38"/>
      <c r="M762" s="36" t="s">
        <v>60</v>
      </c>
      <c r="N762" s="15" t="s">
        <v>152</v>
      </c>
      <c r="O762" s="36" t="s">
        <v>162</v>
      </c>
      <c r="P762" s="36" t="str">
        <f t="shared" si="24"/>
        <v>WMTS_1/1000地形圖_高雄市梓官都市計畫(109年)</v>
      </c>
      <c r="Q762" s="29" t="s">
        <v>3199</v>
      </c>
      <c r="R762" s="29" t="str">
        <f t="shared" si="25"/>
        <v>2dms_wmts_v1_TOPO01K_E34</v>
      </c>
      <c r="S762" s="39" t="s">
        <v>155</v>
      </c>
      <c r="U762" s="27" t="str">
        <f>_xlfn.XLOOKUP(表格1[[#This Row],[服務類別(英)]],參考2_服務標準對照!$B:$B,參考2_服務標準對照!$C:$C,"")&amp;""</f>
        <v>OGC</v>
      </c>
      <c r="V762" s="29" t="s">
        <v>7</v>
      </c>
      <c r="W762" s="29" t="s">
        <v>163</v>
      </c>
      <c r="X762" s="29" t="s">
        <v>81</v>
      </c>
      <c r="Y762" s="36" t="s">
        <v>83</v>
      </c>
      <c r="Z762" s="36" t="s">
        <v>157</v>
      </c>
      <c r="AA762" s="36" t="s">
        <v>1159</v>
      </c>
      <c r="AB762" s="36"/>
      <c r="AC762" s="36"/>
      <c r="AD762" s="29" t="s">
        <v>119</v>
      </c>
      <c r="AE762" s="36" t="str">
        <f>_xlfn.XLOOKUP(表格1[[#This Row],[唯一識別碼]],API清冊0707!B:B,API清冊0707!T:T,"")&amp;""</f>
        <v>無下拉選單</v>
      </c>
    </row>
    <row r="763" spans="1:31" ht="204.75" customHeight="1" x14ac:dyDescent="0.4">
      <c r="A763" s="29" t="s">
        <v>3200</v>
      </c>
      <c r="B763" s="29"/>
      <c r="C763" s="29"/>
      <c r="D763" s="29" t="s">
        <v>3201</v>
      </c>
      <c r="E763" s="29" t="s">
        <v>3202</v>
      </c>
      <c r="F763" s="29" t="s">
        <v>3203</v>
      </c>
      <c r="G763" s="35"/>
      <c r="H763" s="35" t="s">
        <v>151</v>
      </c>
      <c r="I763" s="29" t="s">
        <v>3200</v>
      </c>
      <c r="J763" s="37"/>
      <c r="K763" s="38"/>
      <c r="L763" s="38"/>
      <c r="M763" s="36" t="s">
        <v>60</v>
      </c>
      <c r="N763" s="15" t="s">
        <v>152</v>
      </c>
      <c r="O763" s="36" t="s">
        <v>162</v>
      </c>
      <c r="P763" s="36" t="str">
        <f t="shared" si="24"/>
        <v>WMTS_1/1000地形圖_高雄市左營鼓山都市計畫(113年)</v>
      </c>
      <c r="Q763" s="29" t="s">
        <v>3203</v>
      </c>
      <c r="R763" s="29" t="str">
        <f t="shared" si="25"/>
        <v>2dms_wmts_v1_TOPO01K_E32</v>
      </c>
      <c r="S763" s="39" t="s">
        <v>155</v>
      </c>
      <c r="U763" s="27" t="str">
        <f>_xlfn.XLOOKUP(表格1[[#This Row],[服務類別(英)]],參考2_服務標準對照!$B:$B,參考2_服務標準對照!$C:$C,"")&amp;""</f>
        <v>OGC</v>
      </c>
      <c r="V763" s="29" t="s">
        <v>7</v>
      </c>
      <c r="W763" s="29" t="s">
        <v>163</v>
      </c>
      <c r="X763" s="29" t="s">
        <v>81</v>
      </c>
      <c r="Y763" s="36" t="s">
        <v>83</v>
      </c>
      <c r="Z763" s="36" t="s">
        <v>157</v>
      </c>
      <c r="AA763" s="36" t="s">
        <v>1159</v>
      </c>
      <c r="AB763" s="36"/>
      <c r="AC763" s="36"/>
      <c r="AD763" s="29" t="s">
        <v>119</v>
      </c>
      <c r="AE763" s="36" t="str">
        <f>_xlfn.XLOOKUP(表格1[[#This Row],[唯一識別碼]],API清冊0707!B:B,API清冊0707!T:T,"")&amp;""</f>
        <v>無下拉選單</v>
      </c>
    </row>
    <row r="764" spans="1:31" ht="204.75" customHeight="1" x14ac:dyDescent="0.4">
      <c r="A764" s="29" t="s">
        <v>3204</v>
      </c>
      <c r="B764" s="29"/>
      <c r="C764" s="29"/>
      <c r="D764" s="29" t="s">
        <v>3205</v>
      </c>
      <c r="E764" s="29" t="s">
        <v>3206</v>
      </c>
      <c r="F764" s="29" t="s">
        <v>3207</v>
      </c>
      <c r="G764" s="35"/>
      <c r="H764" s="35" t="s">
        <v>151</v>
      </c>
      <c r="I764" s="29" t="s">
        <v>3204</v>
      </c>
      <c r="J764" s="37"/>
      <c r="K764" s="38"/>
      <c r="L764" s="38"/>
      <c r="M764" s="36" t="s">
        <v>60</v>
      </c>
      <c r="N764" s="15" t="s">
        <v>152</v>
      </c>
      <c r="O764" s="36" t="s">
        <v>162</v>
      </c>
      <c r="P764" s="36" t="str">
        <f t="shared" si="24"/>
        <v>WMTS_1/1000地形圖_高雄市大樹都市計畫(107年)</v>
      </c>
      <c r="Q764" s="29" t="s">
        <v>3207</v>
      </c>
      <c r="R764" s="29" t="str">
        <f t="shared" si="25"/>
        <v>2dms_wmts_v1_TOPO01K_E31</v>
      </c>
      <c r="S764" s="39" t="s">
        <v>155</v>
      </c>
      <c r="U764" s="27" t="str">
        <f>_xlfn.XLOOKUP(表格1[[#This Row],[服務類別(英)]],參考2_服務標準對照!$B:$B,參考2_服務標準對照!$C:$C,"")&amp;""</f>
        <v>OGC</v>
      </c>
      <c r="V764" s="29" t="s">
        <v>7</v>
      </c>
      <c r="W764" s="29" t="s">
        <v>163</v>
      </c>
      <c r="X764" s="29" t="s">
        <v>81</v>
      </c>
      <c r="Y764" s="36" t="s">
        <v>83</v>
      </c>
      <c r="Z764" s="36" t="s">
        <v>157</v>
      </c>
      <c r="AA764" s="36" t="s">
        <v>1159</v>
      </c>
      <c r="AB764" s="36"/>
      <c r="AC764" s="36"/>
      <c r="AD764" s="29" t="s">
        <v>119</v>
      </c>
      <c r="AE764" s="36" t="str">
        <f>_xlfn.XLOOKUP(表格1[[#This Row],[唯一識別碼]],API清冊0707!B:B,API清冊0707!T:T,"")&amp;""</f>
        <v>無下拉選單</v>
      </c>
    </row>
    <row r="765" spans="1:31" ht="204.75" customHeight="1" x14ac:dyDescent="0.4">
      <c r="A765" s="29" t="s">
        <v>3208</v>
      </c>
      <c r="B765" s="29"/>
      <c r="C765" s="29"/>
      <c r="D765" s="29" t="s">
        <v>3209</v>
      </c>
      <c r="E765" s="29" t="s">
        <v>3210</v>
      </c>
      <c r="F765" s="29" t="s">
        <v>3211</v>
      </c>
      <c r="G765" s="35"/>
      <c r="H765" s="35" t="s">
        <v>151</v>
      </c>
      <c r="I765" s="29" t="s">
        <v>3208</v>
      </c>
      <c r="J765" s="37"/>
      <c r="K765" s="38"/>
      <c r="L765" s="38"/>
      <c r="M765" s="36" t="s">
        <v>60</v>
      </c>
      <c r="N765" s="15" t="s">
        <v>152</v>
      </c>
      <c r="O765" s="36" t="s">
        <v>162</v>
      </c>
      <c r="P765" s="36" t="str">
        <f t="shared" si="24"/>
        <v>WMTS_1/1000地形圖_高雄市鳳山都市計畫(100年)</v>
      </c>
      <c r="Q765" s="29" t="s">
        <v>3211</v>
      </c>
      <c r="R765" s="29" t="str">
        <f t="shared" si="25"/>
        <v>2dms_wmts_v1_TOPO01K_E30</v>
      </c>
      <c r="S765" s="39" t="s">
        <v>155</v>
      </c>
      <c r="U765" s="27" t="str">
        <f>_xlfn.XLOOKUP(表格1[[#This Row],[服務類別(英)]],參考2_服務標準對照!$B:$B,參考2_服務標準對照!$C:$C,"")&amp;""</f>
        <v>OGC</v>
      </c>
      <c r="V765" s="29" t="s">
        <v>7</v>
      </c>
      <c r="W765" s="29" t="s">
        <v>163</v>
      </c>
      <c r="X765" s="29" t="s">
        <v>81</v>
      </c>
      <c r="Y765" s="36" t="s">
        <v>83</v>
      </c>
      <c r="Z765" s="36" t="s">
        <v>157</v>
      </c>
      <c r="AA765" s="36" t="s">
        <v>1159</v>
      </c>
      <c r="AB765" s="36"/>
      <c r="AC765" s="36"/>
      <c r="AD765" s="29" t="s">
        <v>119</v>
      </c>
      <c r="AE765" s="36" t="str">
        <f>_xlfn.XLOOKUP(表格1[[#This Row],[唯一識別碼]],API清冊0707!B:B,API清冊0707!T:T,"")&amp;""</f>
        <v>無下拉選單</v>
      </c>
    </row>
    <row r="766" spans="1:31" ht="204.75" customHeight="1" x14ac:dyDescent="0.4">
      <c r="A766" s="29" t="s">
        <v>3212</v>
      </c>
      <c r="B766" s="29"/>
      <c r="C766" s="29"/>
      <c r="D766" s="29" t="s">
        <v>3213</v>
      </c>
      <c r="E766" s="29" t="s">
        <v>3214</v>
      </c>
      <c r="F766" s="29" t="s">
        <v>3215</v>
      </c>
      <c r="G766" s="35"/>
      <c r="H766" s="35" t="s">
        <v>151</v>
      </c>
      <c r="I766" s="29" t="s">
        <v>3212</v>
      </c>
      <c r="J766" s="37"/>
      <c r="K766" s="38"/>
      <c r="L766" s="38"/>
      <c r="M766" s="36" t="s">
        <v>60</v>
      </c>
      <c r="N766" s="15" t="s">
        <v>152</v>
      </c>
      <c r="O766" s="36" t="s">
        <v>162</v>
      </c>
      <c r="P766" s="36" t="str">
        <f t="shared" si="24"/>
        <v>WMTS_1/1000地形圖_高雄市鳥松仁美地區都市計畫(101年)</v>
      </c>
      <c r="Q766" s="29" t="s">
        <v>3215</v>
      </c>
      <c r="R766" s="29" t="str">
        <f t="shared" si="25"/>
        <v>2dms_wmts_v1_TOPO01K_E29</v>
      </c>
      <c r="S766" s="39" t="s">
        <v>155</v>
      </c>
      <c r="U766" s="27" t="str">
        <f>_xlfn.XLOOKUP(表格1[[#This Row],[服務類別(英)]],參考2_服務標準對照!$B:$B,參考2_服務標準對照!$C:$C,"")&amp;""</f>
        <v>OGC</v>
      </c>
      <c r="V766" s="29" t="s">
        <v>7</v>
      </c>
      <c r="W766" s="29" t="s">
        <v>163</v>
      </c>
      <c r="X766" s="29" t="s">
        <v>81</v>
      </c>
      <c r="Y766" s="36" t="s">
        <v>83</v>
      </c>
      <c r="Z766" s="36" t="s">
        <v>157</v>
      </c>
      <c r="AA766" s="36" t="s">
        <v>1159</v>
      </c>
      <c r="AB766" s="36"/>
      <c r="AC766" s="36"/>
      <c r="AD766" s="29" t="s">
        <v>119</v>
      </c>
      <c r="AE766" s="36" t="str">
        <f>_xlfn.XLOOKUP(表格1[[#This Row],[唯一識別碼]],API清冊0707!B:B,API清冊0707!T:T,"")&amp;""</f>
        <v>無下拉選單</v>
      </c>
    </row>
    <row r="767" spans="1:31" ht="204.75" customHeight="1" x14ac:dyDescent="0.4">
      <c r="A767" s="29" t="s">
        <v>3216</v>
      </c>
      <c r="B767" s="29"/>
      <c r="C767" s="29"/>
      <c r="D767" s="29" t="s">
        <v>3217</v>
      </c>
      <c r="E767" s="29" t="s">
        <v>3218</v>
      </c>
      <c r="F767" s="29" t="s">
        <v>3219</v>
      </c>
      <c r="G767" s="35"/>
      <c r="H767" s="35" t="s">
        <v>151</v>
      </c>
      <c r="I767" s="29" t="s">
        <v>3216</v>
      </c>
      <c r="J767" s="37"/>
      <c r="K767" s="38"/>
      <c r="L767" s="38"/>
      <c r="M767" s="36" t="s">
        <v>60</v>
      </c>
      <c r="N767" s="15" t="s">
        <v>152</v>
      </c>
      <c r="O767" s="36" t="s">
        <v>162</v>
      </c>
      <c r="P767" s="36" t="str">
        <f t="shared" si="24"/>
        <v>WMTS_1/1000地形圖_高雄市新市鎮特定區計畫(97年)</v>
      </c>
      <c r="Q767" s="29" t="s">
        <v>3219</v>
      </c>
      <c r="R767" s="29" t="str">
        <f t="shared" si="25"/>
        <v>2dms_wmts_v1_TOPO01K_E28</v>
      </c>
      <c r="S767" s="39" t="s">
        <v>155</v>
      </c>
      <c r="U767" s="27" t="str">
        <f>_xlfn.XLOOKUP(表格1[[#This Row],[服務類別(英)]],參考2_服務標準對照!$B:$B,參考2_服務標準對照!$C:$C,"")&amp;""</f>
        <v>OGC</v>
      </c>
      <c r="V767" s="29" t="s">
        <v>7</v>
      </c>
      <c r="W767" s="29" t="s">
        <v>163</v>
      </c>
      <c r="X767" s="29" t="s">
        <v>81</v>
      </c>
      <c r="Y767" s="36" t="s">
        <v>83</v>
      </c>
      <c r="Z767" s="36" t="s">
        <v>157</v>
      </c>
      <c r="AA767" s="36" t="s">
        <v>1159</v>
      </c>
      <c r="AB767" s="36"/>
      <c r="AC767" s="36"/>
      <c r="AD767" s="29" t="s">
        <v>119</v>
      </c>
      <c r="AE767" s="36" t="str">
        <f>_xlfn.XLOOKUP(表格1[[#This Row],[唯一識別碼]],API清冊0707!B:B,API清冊0707!T:T,"")&amp;""</f>
        <v>無下拉選單</v>
      </c>
    </row>
    <row r="768" spans="1:31" ht="204.75" customHeight="1" x14ac:dyDescent="0.4">
      <c r="A768" s="29" t="s">
        <v>3220</v>
      </c>
      <c r="B768" s="29"/>
      <c r="C768" s="29"/>
      <c r="D768" s="29" t="s">
        <v>3221</v>
      </c>
      <c r="E768" s="29" t="s">
        <v>3222</v>
      </c>
      <c r="F768" s="29" t="s">
        <v>3223</v>
      </c>
      <c r="G768" s="35"/>
      <c r="H768" s="35" t="s">
        <v>151</v>
      </c>
      <c r="I768" s="29" t="s">
        <v>3220</v>
      </c>
      <c r="J768" s="37"/>
      <c r="K768" s="38"/>
      <c r="L768" s="38"/>
      <c r="M768" s="36" t="s">
        <v>60</v>
      </c>
      <c r="N768" s="15" t="s">
        <v>152</v>
      </c>
      <c r="O768" s="36" t="s">
        <v>162</v>
      </c>
      <c r="P768" s="36" t="str">
        <f t="shared" si="24"/>
        <v>WMTS_1/1000地形圖_高雄市都市計畫(102年)</v>
      </c>
      <c r="Q768" s="29" t="s">
        <v>3223</v>
      </c>
      <c r="R768" s="29" t="str">
        <f t="shared" si="25"/>
        <v>2dms_wmts_v1_TOPO01K_E27</v>
      </c>
      <c r="S768" s="39" t="s">
        <v>155</v>
      </c>
      <c r="U768" s="27" t="str">
        <f>_xlfn.XLOOKUP(表格1[[#This Row],[服務類別(英)]],參考2_服務標準對照!$B:$B,參考2_服務標準對照!$C:$C,"")&amp;""</f>
        <v>OGC</v>
      </c>
      <c r="V768" s="29" t="s">
        <v>7</v>
      </c>
      <c r="W768" s="29" t="s">
        <v>163</v>
      </c>
      <c r="X768" s="29" t="s">
        <v>81</v>
      </c>
      <c r="Y768" s="36" t="s">
        <v>83</v>
      </c>
      <c r="Z768" s="36" t="s">
        <v>157</v>
      </c>
      <c r="AA768" s="36" t="s">
        <v>1159</v>
      </c>
      <c r="AB768" s="36"/>
      <c r="AC768" s="36"/>
      <c r="AD768" s="29" t="s">
        <v>119</v>
      </c>
      <c r="AE768" s="36" t="str">
        <f>_xlfn.XLOOKUP(表格1[[#This Row],[唯一識別碼]],API清冊0707!B:B,API清冊0707!T:T,"")&amp;""</f>
        <v>無下拉選單</v>
      </c>
    </row>
    <row r="769" spans="1:31" ht="204.75" customHeight="1" x14ac:dyDescent="0.4">
      <c r="A769" s="29" t="s">
        <v>3224</v>
      </c>
      <c r="B769" s="29"/>
      <c r="C769" s="29"/>
      <c r="D769" s="29" t="s">
        <v>3225</v>
      </c>
      <c r="E769" s="29" t="s">
        <v>3226</v>
      </c>
      <c r="F769" s="29" t="s">
        <v>3227</v>
      </c>
      <c r="G769" s="35"/>
      <c r="H769" s="35" t="s">
        <v>151</v>
      </c>
      <c r="I769" s="29" t="s">
        <v>3224</v>
      </c>
      <c r="J769" s="37"/>
      <c r="K769" s="38"/>
      <c r="L769" s="38"/>
      <c r="M769" s="36" t="s">
        <v>60</v>
      </c>
      <c r="N769" s="15" t="s">
        <v>152</v>
      </c>
      <c r="O769" s="36" t="s">
        <v>162</v>
      </c>
      <c r="P769" s="36" t="str">
        <f t="shared" si="24"/>
        <v>WMTS_1/1000地形圖_高雄市岡山交流道特定區計畫(99年)</v>
      </c>
      <c r="Q769" s="29" t="s">
        <v>3227</v>
      </c>
      <c r="R769" s="29" t="str">
        <f t="shared" si="25"/>
        <v>2dms_wmts_v1_TOPO01K_E26</v>
      </c>
      <c r="S769" s="39" t="s">
        <v>155</v>
      </c>
      <c r="U769" s="27" t="str">
        <f>_xlfn.XLOOKUP(表格1[[#This Row],[服務類別(英)]],參考2_服務標準對照!$B:$B,參考2_服務標準對照!$C:$C,"")&amp;""</f>
        <v>OGC</v>
      </c>
      <c r="V769" s="29" t="s">
        <v>7</v>
      </c>
      <c r="W769" s="29" t="s">
        <v>163</v>
      </c>
      <c r="X769" s="29" t="s">
        <v>81</v>
      </c>
      <c r="Y769" s="36" t="s">
        <v>83</v>
      </c>
      <c r="Z769" s="36" t="s">
        <v>157</v>
      </c>
      <c r="AA769" s="36" t="s">
        <v>1159</v>
      </c>
      <c r="AB769" s="36"/>
      <c r="AC769" s="36"/>
      <c r="AD769" s="29" t="s">
        <v>119</v>
      </c>
      <c r="AE769" s="36" t="str">
        <f>_xlfn.XLOOKUP(表格1[[#This Row],[唯一識別碼]],API清冊0707!B:B,API清冊0707!T:T,"")&amp;""</f>
        <v>無下拉選單</v>
      </c>
    </row>
    <row r="770" spans="1:31" ht="204.75" customHeight="1" x14ac:dyDescent="0.4">
      <c r="A770" s="29" t="s">
        <v>3228</v>
      </c>
      <c r="B770" s="29"/>
      <c r="C770" s="29"/>
      <c r="D770" s="29" t="s">
        <v>3229</v>
      </c>
      <c r="E770" s="29" t="s">
        <v>3230</v>
      </c>
      <c r="F770" s="29" t="s">
        <v>3231</v>
      </c>
      <c r="G770" s="35"/>
      <c r="H770" s="35" t="s">
        <v>151</v>
      </c>
      <c r="I770" s="29" t="s">
        <v>3228</v>
      </c>
      <c r="J770" s="37"/>
      <c r="K770" s="38"/>
      <c r="L770" s="38"/>
      <c r="M770" s="36" t="s">
        <v>60</v>
      </c>
      <c r="N770" s="15" t="s">
        <v>152</v>
      </c>
      <c r="O770" s="36" t="s">
        <v>162</v>
      </c>
      <c r="P770" s="36" t="str">
        <f t="shared" si="24"/>
        <v>WMTS_1/1000地形圖_高雄市阿蓮都市計畫(104年)</v>
      </c>
      <c r="Q770" s="29" t="s">
        <v>3231</v>
      </c>
      <c r="R770" s="29" t="str">
        <f t="shared" si="25"/>
        <v>2dms_wmts_v1_TOPO01K_E25</v>
      </c>
      <c r="S770" s="39" t="s">
        <v>155</v>
      </c>
      <c r="U770" s="27" t="str">
        <f>_xlfn.XLOOKUP(表格1[[#This Row],[服務類別(英)]],參考2_服務標準對照!$B:$B,參考2_服務標準對照!$C:$C,"")&amp;""</f>
        <v>OGC</v>
      </c>
      <c r="V770" s="29" t="s">
        <v>7</v>
      </c>
      <c r="W770" s="29" t="s">
        <v>163</v>
      </c>
      <c r="X770" s="29" t="s">
        <v>81</v>
      </c>
      <c r="Y770" s="36" t="s">
        <v>83</v>
      </c>
      <c r="Z770" s="36" t="s">
        <v>157</v>
      </c>
      <c r="AA770" s="36" t="s">
        <v>1159</v>
      </c>
      <c r="AB770" s="36"/>
      <c r="AC770" s="36"/>
      <c r="AD770" s="29" t="s">
        <v>119</v>
      </c>
      <c r="AE770" s="36" t="str">
        <f>_xlfn.XLOOKUP(表格1[[#This Row],[唯一識別碼]],API清冊0707!B:B,API清冊0707!T:T,"")&amp;""</f>
        <v>無下拉選單</v>
      </c>
    </row>
    <row r="771" spans="1:31" ht="204.75" customHeight="1" x14ac:dyDescent="0.4">
      <c r="A771" s="29" t="s">
        <v>3232</v>
      </c>
      <c r="B771" s="29"/>
      <c r="C771" s="29"/>
      <c r="D771" s="29" t="s">
        <v>3233</v>
      </c>
      <c r="E771" s="29" t="s">
        <v>3234</v>
      </c>
      <c r="F771" s="29" t="s">
        <v>3235</v>
      </c>
      <c r="G771" s="35"/>
      <c r="H771" s="35" t="s">
        <v>151</v>
      </c>
      <c r="I771" s="29" t="s">
        <v>3232</v>
      </c>
      <c r="J771" s="37"/>
      <c r="K771" s="38"/>
      <c r="L771" s="38"/>
      <c r="M771" s="36" t="s">
        <v>60</v>
      </c>
      <c r="N771" s="15" t="s">
        <v>152</v>
      </c>
      <c r="O771" s="36" t="s">
        <v>162</v>
      </c>
      <c r="P771" s="36" t="str">
        <f t="shared" si="24"/>
        <v>WMTS_1/1000地形圖_高雄市路竹都市計畫(106年)</v>
      </c>
      <c r="Q771" s="29" t="s">
        <v>3235</v>
      </c>
      <c r="R771" s="29" t="str">
        <f t="shared" si="25"/>
        <v>2dms_wmts_v1_TOPO01K_E24</v>
      </c>
      <c r="S771" s="39" t="s">
        <v>155</v>
      </c>
      <c r="U771" s="27" t="str">
        <f>_xlfn.XLOOKUP(表格1[[#This Row],[服務類別(英)]],參考2_服務標準對照!$B:$B,參考2_服務標準對照!$C:$C,"")&amp;""</f>
        <v>OGC</v>
      </c>
      <c r="V771" s="29" t="s">
        <v>7</v>
      </c>
      <c r="W771" s="29" t="s">
        <v>163</v>
      </c>
      <c r="X771" s="29" t="s">
        <v>81</v>
      </c>
      <c r="Y771" s="36" t="s">
        <v>83</v>
      </c>
      <c r="Z771" s="36" t="s">
        <v>157</v>
      </c>
      <c r="AA771" s="36" t="s">
        <v>1159</v>
      </c>
      <c r="AB771" s="36"/>
      <c r="AC771" s="36"/>
      <c r="AD771" s="29" t="s">
        <v>119</v>
      </c>
      <c r="AE771" s="36" t="str">
        <f>_xlfn.XLOOKUP(表格1[[#This Row],[唯一識別碼]],API清冊0707!B:B,API清冊0707!T:T,"")&amp;""</f>
        <v>無下拉選單</v>
      </c>
    </row>
    <row r="772" spans="1:31" ht="204.75" customHeight="1" x14ac:dyDescent="0.4">
      <c r="A772" s="29" t="s">
        <v>3236</v>
      </c>
      <c r="B772" s="29"/>
      <c r="C772" s="29"/>
      <c r="D772" s="29" t="s">
        <v>3237</v>
      </c>
      <c r="E772" s="29" t="s">
        <v>3238</v>
      </c>
      <c r="F772" s="29" t="s">
        <v>3239</v>
      </c>
      <c r="G772" s="35"/>
      <c r="H772" s="35" t="s">
        <v>151</v>
      </c>
      <c r="I772" s="29" t="s">
        <v>3236</v>
      </c>
      <c r="J772" s="37"/>
      <c r="K772" s="38"/>
      <c r="L772" s="38"/>
      <c r="M772" s="36" t="s">
        <v>60</v>
      </c>
      <c r="N772" s="15" t="s">
        <v>152</v>
      </c>
      <c r="O772" s="36" t="s">
        <v>162</v>
      </c>
      <c r="P772" s="36" t="str">
        <f t="shared" si="24"/>
        <v>WMTS_1/1000地形圖_高雄市蚵仔寮近海漁業特定區計畫(101年)</v>
      </c>
      <c r="Q772" s="29" t="s">
        <v>3239</v>
      </c>
      <c r="R772" s="29" t="str">
        <f t="shared" si="25"/>
        <v>2dms_wmts_v1_TOPO01K_E23</v>
      </c>
      <c r="S772" s="39" t="s">
        <v>155</v>
      </c>
      <c r="U772" s="27" t="str">
        <f>_xlfn.XLOOKUP(表格1[[#This Row],[服務類別(英)]],參考2_服務標準對照!$B:$B,參考2_服務標準對照!$C:$C,"")&amp;""</f>
        <v>OGC</v>
      </c>
      <c r="V772" s="29" t="s">
        <v>7</v>
      </c>
      <c r="W772" s="29" t="s">
        <v>163</v>
      </c>
      <c r="X772" s="29" t="s">
        <v>81</v>
      </c>
      <c r="Y772" s="36" t="s">
        <v>83</v>
      </c>
      <c r="Z772" s="36" t="s">
        <v>157</v>
      </c>
      <c r="AA772" s="36" t="s">
        <v>1159</v>
      </c>
      <c r="AB772" s="36"/>
      <c r="AC772" s="36"/>
      <c r="AD772" s="29" t="s">
        <v>119</v>
      </c>
      <c r="AE772" s="36" t="str">
        <f>_xlfn.XLOOKUP(表格1[[#This Row],[唯一識別碼]],API清冊0707!B:B,API清冊0707!T:T,"")&amp;""</f>
        <v>無下拉選單</v>
      </c>
    </row>
    <row r="773" spans="1:31" ht="204.75" customHeight="1" x14ac:dyDescent="0.4">
      <c r="A773" s="29" t="s">
        <v>3240</v>
      </c>
      <c r="B773" s="29"/>
      <c r="C773" s="29"/>
      <c r="D773" s="29" t="s">
        <v>3241</v>
      </c>
      <c r="E773" s="29" t="s">
        <v>3242</v>
      </c>
      <c r="F773" s="29" t="s">
        <v>3243</v>
      </c>
      <c r="G773" s="35"/>
      <c r="H773" s="35" t="s">
        <v>151</v>
      </c>
      <c r="I773" s="29" t="s">
        <v>3240</v>
      </c>
      <c r="J773" s="37"/>
      <c r="K773" s="38"/>
      <c r="L773" s="38"/>
      <c r="M773" s="36" t="s">
        <v>60</v>
      </c>
      <c r="N773" s="15" t="s">
        <v>152</v>
      </c>
      <c r="O773" s="36" t="s">
        <v>162</v>
      </c>
      <c r="P773" s="36" t="str">
        <f t="shared" si="24"/>
        <v>WMTS_1/1000地形圖_高雄市茄萣都市計畫及興達港漁業特定區計畫(101年)</v>
      </c>
      <c r="Q773" s="29" t="s">
        <v>3243</v>
      </c>
      <c r="R773" s="29" t="str">
        <f t="shared" si="25"/>
        <v>2dms_wmts_v1_TOPO01K_E22</v>
      </c>
      <c r="S773" s="39" t="s">
        <v>155</v>
      </c>
      <c r="U773" s="27" t="str">
        <f>_xlfn.XLOOKUP(表格1[[#This Row],[服務類別(英)]],參考2_服務標準對照!$B:$B,參考2_服務標準對照!$C:$C,"")&amp;""</f>
        <v>OGC</v>
      </c>
      <c r="V773" s="29" t="s">
        <v>7</v>
      </c>
      <c r="W773" s="29" t="s">
        <v>163</v>
      </c>
      <c r="X773" s="29" t="s">
        <v>81</v>
      </c>
      <c r="Y773" s="36" t="s">
        <v>83</v>
      </c>
      <c r="Z773" s="36" t="s">
        <v>157</v>
      </c>
      <c r="AA773" s="36" t="s">
        <v>1159</v>
      </c>
      <c r="AB773" s="36"/>
      <c r="AC773" s="36"/>
      <c r="AD773" s="29" t="s">
        <v>119</v>
      </c>
      <c r="AE773" s="36" t="str">
        <f>_xlfn.XLOOKUP(表格1[[#This Row],[唯一識別碼]],API清冊0707!B:B,API清冊0707!T:T,"")&amp;""</f>
        <v>無下拉選單</v>
      </c>
    </row>
    <row r="774" spans="1:31" ht="204.75" customHeight="1" x14ac:dyDescent="0.4">
      <c r="A774" s="29" t="s">
        <v>3244</v>
      </c>
      <c r="B774" s="29"/>
      <c r="C774" s="29"/>
      <c r="D774" s="29" t="s">
        <v>3245</v>
      </c>
      <c r="E774" s="29" t="s">
        <v>3246</v>
      </c>
      <c r="F774" s="29" t="s">
        <v>3247</v>
      </c>
      <c r="G774" s="35"/>
      <c r="H774" s="35" t="s">
        <v>151</v>
      </c>
      <c r="I774" s="29" t="s">
        <v>3244</v>
      </c>
      <c r="J774" s="37"/>
      <c r="K774" s="38"/>
      <c r="L774" s="38"/>
      <c r="M774" s="36" t="s">
        <v>60</v>
      </c>
      <c r="N774" s="15" t="s">
        <v>152</v>
      </c>
      <c r="O774" s="36" t="s">
        <v>162</v>
      </c>
      <c r="P774" s="36" t="str">
        <f t="shared" si="24"/>
        <v>WMTS_1/1000地形圖_高雄市美濃都市計畫(105年)</v>
      </c>
      <c r="Q774" s="29" t="s">
        <v>3247</v>
      </c>
      <c r="R774" s="29" t="str">
        <f t="shared" si="25"/>
        <v>2dms_wmts_v1_TOPO01K_E21</v>
      </c>
      <c r="S774" s="39" t="s">
        <v>155</v>
      </c>
      <c r="U774" s="27" t="str">
        <f>_xlfn.XLOOKUP(表格1[[#This Row],[服務類別(英)]],參考2_服務標準對照!$B:$B,參考2_服務標準對照!$C:$C,"")&amp;""</f>
        <v>OGC</v>
      </c>
      <c r="V774" s="29" t="s">
        <v>7</v>
      </c>
      <c r="W774" s="29" t="s">
        <v>163</v>
      </c>
      <c r="X774" s="29" t="s">
        <v>81</v>
      </c>
      <c r="Y774" s="36" t="s">
        <v>83</v>
      </c>
      <c r="Z774" s="36" t="s">
        <v>157</v>
      </c>
      <c r="AA774" s="36" t="s">
        <v>1159</v>
      </c>
      <c r="AB774" s="36"/>
      <c r="AC774" s="36"/>
      <c r="AD774" s="29" t="s">
        <v>119</v>
      </c>
      <c r="AE774" s="36" t="str">
        <f>_xlfn.XLOOKUP(表格1[[#This Row],[唯一識別碼]],API清冊0707!B:B,API清冊0707!T:T,"")&amp;""</f>
        <v>無下拉選單</v>
      </c>
    </row>
    <row r="775" spans="1:31" ht="204.75" customHeight="1" x14ac:dyDescent="0.4">
      <c r="A775" s="29" t="s">
        <v>3248</v>
      </c>
      <c r="B775" s="29"/>
      <c r="C775" s="29"/>
      <c r="D775" s="29" t="s">
        <v>3249</v>
      </c>
      <c r="E775" s="29" t="s">
        <v>3250</v>
      </c>
      <c r="F775" s="29" t="s">
        <v>3251</v>
      </c>
      <c r="G775" s="35"/>
      <c r="H775" s="35" t="s">
        <v>151</v>
      </c>
      <c r="I775" s="29" t="s">
        <v>3248</v>
      </c>
      <c r="J775" s="37"/>
      <c r="K775" s="38"/>
      <c r="L775" s="38"/>
      <c r="M775" s="36" t="s">
        <v>60</v>
      </c>
      <c r="N775" s="15" t="s">
        <v>152</v>
      </c>
      <c r="O775" s="36" t="s">
        <v>162</v>
      </c>
      <c r="P775" s="36" t="str">
        <f t="shared" si="24"/>
        <v>WMTS_1/1000地形圖_高雄市美濃中正湖風景特定區計畫(101年)</v>
      </c>
      <c r="Q775" s="29" t="s">
        <v>3251</v>
      </c>
      <c r="R775" s="29" t="str">
        <f t="shared" si="25"/>
        <v>2dms_wmts_v1_TOPO01K_E20</v>
      </c>
      <c r="S775" s="39" t="s">
        <v>155</v>
      </c>
      <c r="U775" s="27" t="str">
        <f>_xlfn.XLOOKUP(表格1[[#This Row],[服務類別(英)]],參考2_服務標準對照!$B:$B,參考2_服務標準對照!$C:$C,"")&amp;""</f>
        <v>OGC</v>
      </c>
      <c r="V775" s="29" t="s">
        <v>7</v>
      </c>
      <c r="W775" s="29" t="s">
        <v>163</v>
      </c>
      <c r="X775" s="29" t="s">
        <v>81</v>
      </c>
      <c r="Y775" s="36" t="s">
        <v>83</v>
      </c>
      <c r="Z775" s="36" t="s">
        <v>157</v>
      </c>
      <c r="AA775" s="36" t="s">
        <v>1159</v>
      </c>
      <c r="AB775" s="36"/>
      <c r="AC775" s="36"/>
      <c r="AD775" s="29" t="s">
        <v>119</v>
      </c>
      <c r="AE775" s="36" t="str">
        <f>_xlfn.XLOOKUP(表格1[[#This Row],[唯一識別碼]],API清冊0707!B:B,API清冊0707!T:T,"")&amp;""</f>
        <v>無下拉選單</v>
      </c>
    </row>
    <row r="776" spans="1:31" ht="204.75" customHeight="1" x14ac:dyDescent="0.4">
      <c r="A776" s="29" t="s">
        <v>3252</v>
      </c>
      <c r="B776" s="29"/>
      <c r="C776" s="29"/>
      <c r="D776" s="29" t="s">
        <v>3253</v>
      </c>
      <c r="E776" s="29" t="s">
        <v>3254</v>
      </c>
      <c r="F776" s="29" t="s">
        <v>3255</v>
      </c>
      <c r="G776" s="35"/>
      <c r="H776" s="35" t="s">
        <v>151</v>
      </c>
      <c r="I776" s="29" t="s">
        <v>3252</v>
      </c>
      <c r="J776" s="37"/>
      <c r="K776" s="38"/>
      <c r="L776" s="38"/>
      <c r="M776" s="36" t="s">
        <v>60</v>
      </c>
      <c r="N776" s="15" t="s">
        <v>152</v>
      </c>
      <c r="O776" s="36" t="s">
        <v>162</v>
      </c>
      <c r="P776" s="36" t="str">
        <f t="shared" si="24"/>
        <v>WMTS_1/1000地形圖_高雄市甲仙都市計畫(99年)</v>
      </c>
      <c r="Q776" s="29" t="s">
        <v>3255</v>
      </c>
      <c r="R776" s="29" t="str">
        <f t="shared" si="25"/>
        <v>2dms_wmts_v1_TOPO01K_E19</v>
      </c>
      <c r="S776" s="39" t="s">
        <v>155</v>
      </c>
      <c r="U776" s="27" t="str">
        <f>_xlfn.XLOOKUP(表格1[[#This Row],[服務類別(英)]],參考2_服務標準對照!$B:$B,參考2_服務標準對照!$C:$C,"")&amp;""</f>
        <v>OGC</v>
      </c>
      <c r="V776" s="29" t="s">
        <v>7</v>
      </c>
      <c r="W776" s="29" t="s">
        <v>163</v>
      </c>
      <c r="X776" s="29" t="s">
        <v>81</v>
      </c>
      <c r="Y776" s="36" t="s">
        <v>83</v>
      </c>
      <c r="Z776" s="36" t="s">
        <v>157</v>
      </c>
      <c r="AA776" s="36" t="s">
        <v>1159</v>
      </c>
      <c r="AB776" s="36"/>
      <c r="AC776" s="36"/>
      <c r="AD776" s="29" t="s">
        <v>119</v>
      </c>
      <c r="AE776" s="36" t="str">
        <f>_xlfn.XLOOKUP(表格1[[#This Row],[唯一識別碼]],API清冊0707!B:B,API清冊0707!T:T,"")&amp;""</f>
        <v>無下拉選單</v>
      </c>
    </row>
    <row r="777" spans="1:31" ht="204.75" customHeight="1" x14ac:dyDescent="0.4">
      <c r="A777" s="29" t="s">
        <v>3256</v>
      </c>
      <c r="B777" s="29"/>
      <c r="C777" s="29"/>
      <c r="D777" s="29" t="s">
        <v>3257</v>
      </c>
      <c r="E777" s="29" t="s">
        <v>3258</v>
      </c>
      <c r="F777" s="29" t="s">
        <v>3259</v>
      </c>
      <c r="G777" s="35"/>
      <c r="H777" s="35" t="s">
        <v>151</v>
      </c>
      <c r="I777" s="29" t="s">
        <v>3256</v>
      </c>
      <c r="J777" s="37"/>
      <c r="K777" s="38"/>
      <c r="L777" s="38"/>
      <c r="M777" s="36" t="s">
        <v>60</v>
      </c>
      <c r="N777" s="15" t="s">
        <v>152</v>
      </c>
      <c r="O777" s="36" t="s">
        <v>162</v>
      </c>
      <c r="P777" s="36" t="str">
        <f t="shared" si="24"/>
        <v>WMTS_1/1000地形圖_高雄市燕巢都市計畫(104年)</v>
      </c>
      <c r="Q777" s="29" t="s">
        <v>3259</v>
      </c>
      <c r="R777" s="29" t="str">
        <f t="shared" si="25"/>
        <v>2dms_wmts_v1_TOPO01K_E18</v>
      </c>
      <c r="S777" s="39" t="s">
        <v>155</v>
      </c>
      <c r="U777" s="27" t="str">
        <f>_xlfn.XLOOKUP(表格1[[#This Row],[服務類別(英)]],參考2_服務標準對照!$B:$B,參考2_服務標準對照!$C:$C,"")&amp;""</f>
        <v>OGC</v>
      </c>
      <c r="V777" s="29" t="s">
        <v>7</v>
      </c>
      <c r="W777" s="29" t="s">
        <v>163</v>
      </c>
      <c r="X777" s="29" t="s">
        <v>81</v>
      </c>
      <c r="Y777" s="36" t="s">
        <v>83</v>
      </c>
      <c r="Z777" s="36" t="s">
        <v>157</v>
      </c>
      <c r="AA777" s="36" t="s">
        <v>1159</v>
      </c>
      <c r="AB777" s="36"/>
      <c r="AC777" s="36"/>
      <c r="AD777" s="29" t="s">
        <v>119</v>
      </c>
      <c r="AE777" s="36" t="str">
        <f>_xlfn.XLOOKUP(表格1[[#This Row],[唯一識別碼]],API清冊0707!B:B,API清冊0707!T:T,"")&amp;""</f>
        <v>無下拉選單</v>
      </c>
    </row>
    <row r="778" spans="1:31" ht="204.75" customHeight="1" x14ac:dyDescent="0.4">
      <c r="A778" s="29" t="s">
        <v>3260</v>
      </c>
      <c r="B778" s="29"/>
      <c r="C778" s="29"/>
      <c r="D778" s="29" t="s">
        <v>3261</v>
      </c>
      <c r="E778" s="29" t="s">
        <v>3262</v>
      </c>
      <c r="F778" s="29" t="s">
        <v>3263</v>
      </c>
      <c r="G778" s="35"/>
      <c r="H778" s="35" t="s">
        <v>151</v>
      </c>
      <c r="I778" s="29" t="s">
        <v>3260</v>
      </c>
      <c r="J778" s="37"/>
      <c r="K778" s="38"/>
      <c r="L778" s="38"/>
      <c r="M778" s="36" t="s">
        <v>60</v>
      </c>
      <c r="N778" s="15" t="s">
        <v>152</v>
      </c>
      <c r="O778" s="36" t="s">
        <v>162</v>
      </c>
      <c r="P778" s="36" t="str">
        <f t="shared" si="24"/>
        <v>WMTS_1/1000地形圖_高雄市湖內含大湖都市計畫(101年)</v>
      </c>
      <c r="Q778" s="29" t="s">
        <v>3263</v>
      </c>
      <c r="R778" s="29" t="str">
        <f t="shared" si="25"/>
        <v>2dms_wmts_v1_TOPO01K_E17</v>
      </c>
      <c r="S778" s="39" t="s">
        <v>155</v>
      </c>
      <c r="U778" s="27" t="str">
        <f>_xlfn.XLOOKUP(表格1[[#This Row],[服務類別(英)]],參考2_服務標準對照!$B:$B,參考2_服務標準對照!$C:$C,"")&amp;""</f>
        <v>OGC</v>
      </c>
      <c r="V778" s="29" t="s">
        <v>7</v>
      </c>
      <c r="W778" s="29" t="s">
        <v>163</v>
      </c>
      <c r="X778" s="29" t="s">
        <v>81</v>
      </c>
      <c r="Y778" s="36" t="s">
        <v>83</v>
      </c>
      <c r="Z778" s="36" t="s">
        <v>157</v>
      </c>
      <c r="AA778" s="36" t="s">
        <v>1159</v>
      </c>
      <c r="AB778" s="36"/>
      <c r="AC778" s="36"/>
      <c r="AD778" s="29" t="s">
        <v>119</v>
      </c>
      <c r="AE778" s="36" t="str">
        <f>_xlfn.XLOOKUP(表格1[[#This Row],[唯一識別碼]],API清冊0707!B:B,API清冊0707!T:T,"")&amp;""</f>
        <v>無下拉選單</v>
      </c>
    </row>
    <row r="779" spans="1:31" ht="204.75" customHeight="1" x14ac:dyDescent="0.4">
      <c r="A779" s="29" t="s">
        <v>3264</v>
      </c>
      <c r="B779" s="29"/>
      <c r="C779" s="29"/>
      <c r="D779" s="29" t="s">
        <v>3265</v>
      </c>
      <c r="E779" s="29" t="s">
        <v>3266</v>
      </c>
      <c r="F779" s="29" t="s">
        <v>3267</v>
      </c>
      <c r="G779" s="35"/>
      <c r="H779" s="35" t="s">
        <v>151</v>
      </c>
      <c r="I779" s="29" t="s">
        <v>3264</v>
      </c>
      <c r="J779" s="37"/>
      <c r="K779" s="38"/>
      <c r="L779" s="38"/>
      <c r="M779" s="36" t="s">
        <v>60</v>
      </c>
      <c r="N779" s="15" t="s">
        <v>152</v>
      </c>
      <c r="O779" s="36" t="s">
        <v>162</v>
      </c>
      <c r="P779" s="36" t="str">
        <f t="shared" si="24"/>
        <v>WMTS_1/1000地形圖_高雄市楠梓交流道特定區計畫鳳山厝(106年)</v>
      </c>
      <c r="Q779" s="29" t="s">
        <v>3267</v>
      </c>
      <c r="R779" s="29" t="str">
        <f t="shared" si="25"/>
        <v>2dms_wmts_v1_TOPO01K_E16</v>
      </c>
      <c r="S779" s="39" t="s">
        <v>155</v>
      </c>
      <c r="U779" s="27" t="str">
        <f>_xlfn.XLOOKUP(表格1[[#This Row],[服務類別(英)]],參考2_服務標準對照!$B:$B,參考2_服務標準對照!$C:$C,"")&amp;""</f>
        <v>OGC</v>
      </c>
      <c r="V779" s="29" t="s">
        <v>7</v>
      </c>
      <c r="W779" s="29" t="s">
        <v>163</v>
      </c>
      <c r="X779" s="29" t="s">
        <v>81</v>
      </c>
      <c r="Y779" s="36" t="s">
        <v>83</v>
      </c>
      <c r="Z779" s="36" t="s">
        <v>157</v>
      </c>
      <c r="AA779" s="36" t="s">
        <v>1159</v>
      </c>
      <c r="AB779" s="36"/>
      <c r="AC779" s="36"/>
      <c r="AD779" s="29" t="s">
        <v>119</v>
      </c>
      <c r="AE779" s="36" t="str">
        <f>_xlfn.XLOOKUP(表格1[[#This Row],[唯一識別碼]],API清冊0707!B:B,API清冊0707!T:T,"")&amp;""</f>
        <v>無下拉選單</v>
      </c>
    </row>
    <row r="780" spans="1:31" ht="204.75" customHeight="1" x14ac:dyDescent="0.4">
      <c r="A780" s="29" t="s">
        <v>3268</v>
      </c>
      <c r="B780" s="29"/>
      <c r="C780" s="29"/>
      <c r="D780" s="29" t="s">
        <v>3269</v>
      </c>
      <c r="E780" s="29" t="s">
        <v>3270</v>
      </c>
      <c r="F780" s="29" t="s">
        <v>3271</v>
      </c>
      <c r="G780" s="35"/>
      <c r="H780" s="35" t="s">
        <v>151</v>
      </c>
      <c r="I780" s="29" t="s">
        <v>3268</v>
      </c>
      <c r="J780" s="37"/>
      <c r="K780" s="38"/>
      <c r="L780" s="38"/>
      <c r="M780" s="36" t="s">
        <v>60</v>
      </c>
      <c r="N780" s="15" t="s">
        <v>152</v>
      </c>
      <c r="O780" s="36" t="s">
        <v>162</v>
      </c>
      <c r="P780" s="36" t="str">
        <f t="shared" si="24"/>
        <v>WMTS_1/1000地形圖_高雄市梓官都市計畫(101年)</v>
      </c>
      <c r="Q780" s="29" t="s">
        <v>3271</v>
      </c>
      <c r="R780" s="29" t="str">
        <f t="shared" si="25"/>
        <v>2dms_wmts_v1_TOPO01K_E15</v>
      </c>
      <c r="S780" s="39" t="s">
        <v>155</v>
      </c>
      <c r="U780" s="27" t="str">
        <f>_xlfn.XLOOKUP(表格1[[#This Row],[服務類別(英)]],參考2_服務標準對照!$B:$B,參考2_服務標準對照!$C:$C,"")&amp;""</f>
        <v>OGC</v>
      </c>
      <c r="V780" s="29" t="s">
        <v>7</v>
      </c>
      <c r="W780" s="29" t="s">
        <v>163</v>
      </c>
      <c r="X780" s="29" t="s">
        <v>81</v>
      </c>
      <c r="Y780" s="36" t="s">
        <v>83</v>
      </c>
      <c r="Z780" s="36" t="s">
        <v>157</v>
      </c>
      <c r="AA780" s="36" t="s">
        <v>1159</v>
      </c>
      <c r="AB780" s="36"/>
      <c r="AC780" s="36"/>
      <c r="AD780" s="29" t="s">
        <v>119</v>
      </c>
      <c r="AE780" s="36" t="str">
        <f>_xlfn.XLOOKUP(表格1[[#This Row],[唯一識別碼]],API清冊0707!B:B,API清冊0707!T:T,"")&amp;""</f>
        <v>無下拉選單</v>
      </c>
    </row>
    <row r="781" spans="1:31" ht="204.75" customHeight="1" x14ac:dyDescent="0.4">
      <c r="A781" s="29" t="s">
        <v>3272</v>
      </c>
      <c r="B781" s="29"/>
      <c r="C781" s="29"/>
      <c r="D781" s="29" t="s">
        <v>3273</v>
      </c>
      <c r="E781" s="29" t="s">
        <v>3274</v>
      </c>
      <c r="F781" s="29" t="s">
        <v>3275</v>
      </c>
      <c r="G781" s="35"/>
      <c r="H781" s="35" t="s">
        <v>151</v>
      </c>
      <c r="I781" s="29" t="s">
        <v>3272</v>
      </c>
      <c r="J781" s="37"/>
      <c r="K781" s="38"/>
      <c r="L781" s="38"/>
      <c r="M781" s="36" t="s">
        <v>60</v>
      </c>
      <c r="N781" s="15" t="s">
        <v>152</v>
      </c>
      <c r="O781" s="36" t="s">
        <v>162</v>
      </c>
      <c r="P781" s="36" t="str">
        <f t="shared" si="24"/>
        <v>WMTS_1/1000地形圖_高雄市月世界風景特定區計畫(99年)</v>
      </c>
      <c r="Q781" s="29" t="s">
        <v>3275</v>
      </c>
      <c r="R781" s="29" t="str">
        <f t="shared" si="25"/>
        <v>2dms_wmts_v1_TOPO01K_E14</v>
      </c>
      <c r="S781" s="39" t="s">
        <v>155</v>
      </c>
      <c r="U781" s="27" t="str">
        <f>_xlfn.XLOOKUP(表格1[[#This Row],[服務類別(英)]],參考2_服務標準對照!$B:$B,參考2_服務標準對照!$C:$C,"")&amp;""</f>
        <v>OGC</v>
      </c>
      <c r="V781" s="29" t="s">
        <v>7</v>
      </c>
      <c r="W781" s="29" t="s">
        <v>163</v>
      </c>
      <c r="X781" s="29" t="s">
        <v>81</v>
      </c>
      <c r="Y781" s="36" t="s">
        <v>83</v>
      </c>
      <c r="Z781" s="36" t="s">
        <v>157</v>
      </c>
      <c r="AA781" s="36" t="s">
        <v>1159</v>
      </c>
      <c r="AB781" s="36"/>
      <c r="AC781" s="36"/>
      <c r="AD781" s="29" t="s">
        <v>119</v>
      </c>
      <c r="AE781" s="36" t="str">
        <f>_xlfn.XLOOKUP(表格1[[#This Row],[唯一識別碼]],API清冊0707!B:B,API清冊0707!T:T,"")&amp;""</f>
        <v>無下拉選單</v>
      </c>
    </row>
    <row r="782" spans="1:31" ht="204.75" customHeight="1" x14ac:dyDescent="0.4">
      <c r="A782" s="29" t="s">
        <v>3276</v>
      </c>
      <c r="B782" s="29"/>
      <c r="C782" s="29"/>
      <c r="D782" s="29" t="s">
        <v>3277</v>
      </c>
      <c r="E782" s="29" t="s">
        <v>3278</v>
      </c>
      <c r="F782" s="29" t="s">
        <v>3279</v>
      </c>
      <c r="G782" s="35"/>
      <c r="H782" s="35" t="s">
        <v>151</v>
      </c>
      <c r="I782" s="29" t="s">
        <v>3276</v>
      </c>
      <c r="J782" s="37"/>
      <c r="K782" s="38"/>
      <c r="L782" s="38"/>
      <c r="M782" s="36" t="s">
        <v>60</v>
      </c>
      <c r="N782" s="15" t="s">
        <v>152</v>
      </c>
      <c r="O782" s="36" t="s">
        <v>162</v>
      </c>
      <c r="P782" s="36" t="str">
        <f t="shared" si="24"/>
        <v>WMTS_1/1000地形圖_高雄市旗山都市計畫(99年)</v>
      </c>
      <c r="Q782" s="29" t="s">
        <v>3279</v>
      </c>
      <c r="R782" s="29" t="str">
        <f t="shared" si="25"/>
        <v>2dms_wmts_v1_TOPO01K_E13</v>
      </c>
      <c r="S782" s="39" t="s">
        <v>155</v>
      </c>
      <c r="U782" s="27" t="str">
        <f>_xlfn.XLOOKUP(表格1[[#This Row],[服務類別(英)]],參考2_服務標準對照!$B:$B,參考2_服務標準對照!$C:$C,"")&amp;""</f>
        <v>OGC</v>
      </c>
      <c r="V782" s="29" t="s">
        <v>7</v>
      </c>
      <c r="W782" s="29" t="s">
        <v>163</v>
      </c>
      <c r="X782" s="29" t="s">
        <v>81</v>
      </c>
      <c r="Y782" s="36" t="s">
        <v>83</v>
      </c>
      <c r="Z782" s="36" t="s">
        <v>157</v>
      </c>
      <c r="AA782" s="36" t="s">
        <v>1159</v>
      </c>
      <c r="AB782" s="36"/>
      <c r="AC782" s="36"/>
      <c r="AD782" s="29" t="s">
        <v>119</v>
      </c>
      <c r="AE782" s="36" t="str">
        <f>_xlfn.XLOOKUP(表格1[[#This Row],[唯一識別碼]],API清冊0707!B:B,API清冊0707!T:T,"")&amp;""</f>
        <v>無下拉選單</v>
      </c>
    </row>
    <row r="783" spans="1:31" ht="204.75" customHeight="1" x14ac:dyDescent="0.4">
      <c r="A783" s="29" t="s">
        <v>3280</v>
      </c>
      <c r="B783" s="29"/>
      <c r="C783" s="29"/>
      <c r="D783" s="29" t="s">
        <v>3281</v>
      </c>
      <c r="E783" s="29" t="s">
        <v>3282</v>
      </c>
      <c r="F783" s="29" t="s">
        <v>3283</v>
      </c>
      <c r="G783" s="35"/>
      <c r="H783" s="35" t="s">
        <v>151</v>
      </c>
      <c r="I783" s="29" t="s">
        <v>3280</v>
      </c>
      <c r="J783" s="37"/>
      <c r="K783" s="38"/>
      <c r="L783" s="38"/>
      <c r="M783" s="36" t="s">
        <v>60</v>
      </c>
      <c r="N783" s="15" t="s">
        <v>152</v>
      </c>
      <c r="O783" s="36" t="s">
        <v>162</v>
      </c>
      <c r="P783" s="36" t="str">
        <f t="shared" si="24"/>
        <v>WMTS_1/1000地形圖_高雄市彌陀都市計畫(101年)</v>
      </c>
      <c r="Q783" s="29" t="s">
        <v>3283</v>
      </c>
      <c r="R783" s="29" t="str">
        <f t="shared" si="25"/>
        <v>2dms_wmts_v1_TOPO01K_E12</v>
      </c>
      <c r="S783" s="39" t="s">
        <v>155</v>
      </c>
      <c r="U783" s="27" t="str">
        <f>_xlfn.XLOOKUP(表格1[[#This Row],[服務類別(英)]],參考2_服務標準對照!$B:$B,參考2_服務標準對照!$C:$C,"")&amp;""</f>
        <v>OGC</v>
      </c>
      <c r="V783" s="29" t="s">
        <v>7</v>
      </c>
      <c r="W783" s="29" t="s">
        <v>163</v>
      </c>
      <c r="X783" s="29" t="s">
        <v>81</v>
      </c>
      <c r="Y783" s="36" t="s">
        <v>83</v>
      </c>
      <c r="Z783" s="36" t="s">
        <v>157</v>
      </c>
      <c r="AA783" s="36" t="s">
        <v>1159</v>
      </c>
      <c r="AB783" s="36"/>
      <c r="AC783" s="36"/>
      <c r="AD783" s="29" t="s">
        <v>119</v>
      </c>
      <c r="AE783" s="36" t="str">
        <f>_xlfn.XLOOKUP(表格1[[#This Row],[唯一識別碼]],API清冊0707!B:B,API清冊0707!T:T,"")&amp;""</f>
        <v>無下拉選單</v>
      </c>
    </row>
    <row r="784" spans="1:31" ht="204.75" customHeight="1" x14ac:dyDescent="0.4">
      <c r="A784" s="29" t="s">
        <v>3284</v>
      </c>
      <c r="B784" s="29"/>
      <c r="C784" s="29"/>
      <c r="D784" s="29" t="s">
        <v>3285</v>
      </c>
      <c r="E784" s="29" t="s">
        <v>3286</v>
      </c>
      <c r="F784" s="29" t="s">
        <v>3287</v>
      </c>
      <c r="G784" s="35"/>
      <c r="H784" s="35" t="s">
        <v>151</v>
      </c>
      <c r="I784" s="29" t="s">
        <v>3284</v>
      </c>
      <c r="J784" s="37"/>
      <c r="K784" s="38"/>
      <c r="L784" s="38"/>
      <c r="M784" s="36" t="s">
        <v>60</v>
      </c>
      <c r="N784" s="15" t="s">
        <v>152</v>
      </c>
      <c r="O784" s="36" t="s">
        <v>162</v>
      </c>
      <c r="P784" s="36" t="str">
        <f t="shared" si="24"/>
        <v>WMTS_1/1000地形圖_高雄市岡山都市計畫(98年)</v>
      </c>
      <c r="Q784" s="29" t="s">
        <v>3287</v>
      </c>
      <c r="R784" s="29" t="str">
        <f t="shared" si="25"/>
        <v>2dms_wmts_v1_TOPO01K_E11</v>
      </c>
      <c r="S784" s="39" t="s">
        <v>155</v>
      </c>
      <c r="U784" s="27" t="str">
        <f>_xlfn.XLOOKUP(表格1[[#This Row],[服務類別(英)]],參考2_服務標準對照!$B:$B,參考2_服務標準對照!$C:$C,"")&amp;""</f>
        <v>OGC</v>
      </c>
      <c r="V784" s="29" t="s">
        <v>7</v>
      </c>
      <c r="W784" s="29" t="s">
        <v>163</v>
      </c>
      <c r="X784" s="29" t="s">
        <v>81</v>
      </c>
      <c r="Y784" s="36" t="s">
        <v>83</v>
      </c>
      <c r="Z784" s="36" t="s">
        <v>157</v>
      </c>
      <c r="AA784" s="36" t="s">
        <v>1159</v>
      </c>
      <c r="AB784" s="36"/>
      <c r="AC784" s="36"/>
      <c r="AD784" s="29" t="s">
        <v>119</v>
      </c>
      <c r="AE784" s="36" t="str">
        <f>_xlfn.XLOOKUP(表格1[[#This Row],[唯一識別碼]],API清冊0707!B:B,API清冊0707!T:T,"")&amp;""</f>
        <v>無下拉選單</v>
      </c>
    </row>
    <row r="785" spans="1:31" ht="204.75" customHeight="1" x14ac:dyDescent="0.4">
      <c r="A785" s="29" t="s">
        <v>3288</v>
      </c>
      <c r="B785" s="29"/>
      <c r="C785" s="29"/>
      <c r="D785" s="29" t="s">
        <v>3289</v>
      </c>
      <c r="E785" s="29" t="s">
        <v>3290</v>
      </c>
      <c r="F785" s="29" t="s">
        <v>3291</v>
      </c>
      <c r="G785" s="35"/>
      <c r="H785" s="35" t="s">
        <v>151</v>
      </c>
      <c r="I785" s="29" t="s">
        <v>3288</v>
      </c>
      <c r="J785" s="37"/>
      <c r="K785" s="38"/>
      <c r="L785" s="38"/>
      <c r="M785" s="36" t="s">
        <v>60</v>
      </c>
      <c r="N785" s="15" t="s">
        <v>152</v>
      </c>
      <c r="O785" s="36" t="s">
        <v>162</v>
      </c>
      <c r="P785" s="36" t="str">
        <f t="shared" si="24"/>
        <v>WMTS_1/1000地形圖_高雄市大社都市計畫(105年)</v>
      </c>
      <c r="Q785" s="29" t="s">
        <v>3291</v>
      </c>
      <c r="R785" s="29" t="str">
        <f t="shared" si="25"/>
        <v>2dms_wmts_v1_TOPO01K_E10</v>
      </c>
      <c r="S785" s="39" t="s">
        <v>155</v>
      </c>
      <c r="U785" s="27" t="str">
        <f>_xlfn.XLOOKUP(表格1[[#This Row],[服務類別(英)]],參考2_服務標準對照!$B:$B,參考2_服務標準對照!$C:$C,"")&amp;""</f>
        <v>OGC</v>
      </c>
      <c r="V785" s="29" t="s">
        <v>7</v>
      </c>
      <c r="W785" s="29" t="s">
        <v>163</v>
      </c>
      <c r="X785" s="29" t="s">
        <v>81</v>
      </c>
      <c r="Y785" s="36" t="s">
        <v>83</v>
      </c>
      <c r="Z785" s="36" t="s">
        <v>157</v>
      </c>
      <c r="AA785" s="36" t="s">
        <v>1159</v>
      </c>
      <c r="AB785" s="36"/>
      <c r="AC785" s="36"/>
      <c r="AD785" s="29" t="s">
        <v>119</v>
      </c>
      <c r="AE785" s="36" t="str">
        <f>_xlfn.XLOOKUP(表格1[[#This Row],[唯一識別碼]],API清冊0707!B:B,API清冊0707!T:T,"")&amp;""</f>
        <v>無下拉選單</v>
      </c>
    </row>
    <row r="786" spans="1:31" ht="204.75" customHeight="1" x14ac:dyDescent="0.4">
      <c r="A786" s="29" t="s">
        <v>3292</v>
      </c>
      <c r="B786" s="29"/>
      <c r="C786" s="29"/>
      <c r="D786" s="29" t="s">
        <v>3293</v>
      </c>
      <c r="E786" s="29" t="s">
        <v>3294</v>
      </c>
      <c r="F786" s="29" t="s">
        <v>3295</v>
      </c>
      <c r="G786" s="35"/>
      <c r="H786" s="35" t="s">
        <v>151</v>
      </c>
      <c r="I786" s="29" t="s">
        <v>3292</v>
      </c>
      <c r="J786" s="37"/>
      <c r="K786" s="38"/>
      <c r="L786" s="38"/>
      <c r="M786" s="36" t="s">
        <v>60</v>
      </c>
      <c r="N786" s="15" t="s">
        <v>152</v>
      </c>
      <c r="O786" s="36" t="s">
        <v>162</v>
      </c>
      <c r="P786" s="36" t="str">
        <f t="shared" si="24"/>
        <v>WMTS_1/1000地形圖_高雄市大樹都市計畫(92年)</v>
      </c>
      <c r="Q786" s="29" t="s">
        <v>3295</v>
      </c>
      <c r="R786" s="29" t="str">
        <f t="shared" si="25"/>
        <v>2dms_wmts_v1_TOPO01K_E09</v>
      </c>
      <c r="S786" s="39" t="s">
        <v>155</v>
      </c>
      <c r="U786" s="27" t="str">
        <f>_xlfn.XLOOKUP(表格1[[#This Row],[服務類別(英)]],參考2_服務標準對照!$B:$B,參考2_服務標準對照!$C:$C,"")&amp;""</f>
        <v>OGC</v>
      </c>
      <c r="V786" s="29" t="s">
        <v>7</v>
      </c>
      <c r="W786" s="29" t="s">
        <v>163</v>
      </c>
      <c r="X786" s="29" t="s">
        <v>81</v>
      </c>
      <c r="Y786" s="36" t="s">
        <v>83</v>
      </c>
      <c r="Z786" s="36" t="s">
        <v>157</v>
      </c>
      <c r="AA786" s="36" t="s">
        <v>1159</v>
      </c>
      <c r="AB786" s="36"/>
      <c r="AC786" s="36"/>
      <c r="AD786" s="29" t="s">
        <v>119</v>
      </c>
      <c r="AE786" s="36" t="str">
        <f>_xlfn.XLOOKUP(表格1[[#This Row],[唯一識別碼]],API清冊0707!B:B,API清冊0707!T:T,"")&amp;""</f>
        <v>無下拉選單</v>
      </c>
    </row>
    <row r="787" spans="1:31" ht="204.75" customHeight="1" x14ac:dyDescent="0.4">
      <c r="A787" s="29" t="s">
        <v>3296</v>
      </c>
      <c r="B787" s="29"/>
      <c r="C787" s="29"/>
      <c r="D787" s="29" t="s">
        <v>3297</v>
      </c>
      <c r="E787" s="29" t="s">
        <v>3298</v>
      </c>
      <c r="F787" s="29" t="s">
        <v>3299</v>
      </c>
      <c r="G787" s="35"/>
      <c r="H787" s="35" t="s">
        <v>151</v>
      </c>
      <c r="I787" s="29" t="s">
        <v>3296</v>
      </c>
      <c r="J787" s="37"/>
      <c r="K787" s="38"/>
      <c r="L787" s="38"/>
      <c r="M787" s="36" t="s">
        <v>60</v>
      </c>
      <c r="N787" s="15" t="s">
        <v>152</v>
      </c>
      <c r="O787" s="36" t="s">
        <v>162</v>
      </c>
      <c r="P787" s="36" t="str">
        <f t="shared" si="24"/>
        <v>WMTS_1/1000地形圖_高雄市大樹九曲堂都市計畫(106年)</v>
      </c>
      <c r="Q787" s="29" t="s">
        <v>3299</v>
      </c>
      <c r="R787" s="29" t="str">
        <f t="shared" si="25"/>
        <v>2dms_wmts_v1_TOPO01K_E08</v>
      </c>
      <c r="S787" s="39" t="s">
        <v>155</v>
      </c>
      <c r="U787" s="27" t="str">
        <f>_xlfn.XLOOKUP(表格1[[#This Row],[服務類別(英)]],參考2_服務標準對照!$B:$B,參考2_服務標準對照!$C:$C,"")&amp;""</f>
        <v>OGC</v>
      </c>
      <c r="V787" s="29" t="s">
        <v>7</v>
      </c>
      <c r="W787" s="29" t="s">
        <v>163</v>
      </c>
      <c r="X787" s="29" t="s">
        <v>81</v>
      </c>
      <c r="Y787" s="36" t="s">
        <v>83</v>
      </c>
      <c r="Z787" s="36" t="s">
        <v>157</v>
      </c>
      <c r="AA787" s="36" t="s">
        <v>1159</v>
      </c>
      <c r="AB787" s="36"/>
      <c r="AC787" s="36"/>
      <c r="AD787" s="29" t="s">
        <v>119</v>
      </c>
      <c r="AE787" s="36" t="str">
        <f>_xlfn.XLOOKUP(表格1[[#This Row],[唯一識別碼]],API清冊0707!B:B,API清冊0707!T:T,"")&amp;""</f>
        <v>無下拉選單</v>
      </c>
    </row>
    <row r="788" spans="1:31" ht="204.75" customHeight="1" x14ac:dyDescent="0.4">
      <c r="A788" s="29" t="s">
        <v>3300</v>
      </c>
      <c r="B788" s="29"/>
      <c r="C788" s="29"/>
      <c r="D788" s="29" t="s">
        <v>3301</v>
      </c>
      <c r="E788" s="29" t="s">
        <v>3302</v>
      </c>
      <c r="F788" s="29" t="s">
        <v>3303</v>
      </c>
      <c r="G788" s="35"/>
      <c r="H788" s="35" t="s">
        <v>151</v>
      </c>
      <c r="I788" s="29" t="s">
        <v>3300</v>
      </c>
      <c r="J788" s="37"/>
      <c r="K788" s="38"/>
      <c r="L788" s="38"/>
      <c r="M788" s="36" t="s">
        <v>60</v>
      </c>
      <c r="N788" s="15" t="s">
        <v>152</v>
      </c>
      <c r="O788" s="36" t="s">
        <v>162</v>
      </c>
      <c r="P788" s="36" t="str">
        <f t="shared" si="24"/>
        <v>WMTS_1/1000地形圖_高雄市大寮都市計畫(105年)</v>
      </c>
      <c r="Q788" s="29" t="s">
        <v>3303</v>
      </c>
      <c r="R788" s="29" t="str">
        <f t="shared" si="25"/>
        <v>2dms_wmts_v1_TOPO01K_E07</v>
      </c>
      <c r="S788" s="39" t="s">
        <v>155</v>
      </c>
      <c r="U788" s="27" t="str">
        <f>_xlfn.XLOOKUP(表格1[[#This Row],[服務類別(英)]],參考2_服務標準對照!$B:$B,參考2_服務標準對照!$C:$C,"")&amp;""</f>
        <v>OGC</v>
      </c>
      <c r="V788" s="29" t="s">
        <v>7</v>
      </c>
      <c r="W788" s="29" t="s">
        <v>163</v>
      </c>
      <c r="X788" s="29" t="s">
        <v>81</v>
      </c>
      <c r="Y788" s="36" t="s">
        <v>83</v>
      </c>
      <c r="Z788" s="36" t="s">
        <v>157</v>
      </c>
      <c r="AA788" s="36" t="s">
        <v>1159</v>
      </c>
      <c r="AB788" s="36"/>
      <c r="AC788" s="36"/>
      <c r="AD788" s="29" t="s">
        <v>119</v>
      </c>
      <c r="AE788" s="36" t="str">
        <f>_xlfn.XLOOKUP(表格1[[#This Row],[唯一識別碼]],API清冊0707!B:B,API清冊0707!T:T,"")&amp;""</f>
        <v>無下拉選單</v>
      </c>
    </row>
    <row r="789" spans="1:31" ht="204.75" customHeight="1" x14ac:dyDescent="0.4">
      <c r="A789" s="29" t="s">
        <v>3304</v>
      </c>
      <c r="B789" s="29"/>
      <c r="C789" s="29"/>
      <c r="D789" s="29" t="s">
        <v>3305</v>
      </c>
      <c r="E789" s="29" t="s">
        <v>3306</v>
      </c>
      <c r="F789" s="29" t="s">
        <v>3307</v>
      </c>
      <c r="G789" s="35"/>
      <c r="H789" s="35" t="s">
        <v>151</v>
      </c>
      <c r="I789" s="29" t="s">
        <v>3304</v>
      </c>
      <c r="J789" s="37"/>
      <c r="K789" s="38"/>
      <c r="L789" s="38"/>
      <c r="M789" s="36" t="s">
        <v>60</v>
      </c>
      <c r="N789" s="15" t="s">
        <v>152</v>
      </c>
      <c r="O789" s="36" t="s">
        <v>162</v>
      </c>
      <c r="P789" s="36" t="str">
        <f t="shared" si="24"/>
        <v>WMTS_1/1000地形圖_高雄市大坪頂特定區計畫(99年)</v>
      </c>
      <c r="Q789" s="29" t="s">
        <v>3307</v>
      </c>
      <c r="R789" s="29" t="str">
        <f t="shared" si="25"/>
        <v>2dms_wmts_v1_TOPO01K_E06</v>
      </c>
      <c r="S789" s="39" t="s">
        <v>155</v>
      </c>
      <c r="U789" s="27" t="str">
        <f>_xlfn.XLOOKUP(表格1[[#This Row],[服務類別(英)]],參考2_服務標準對照!$B:$B,參考2_服務標準對照!$C:$C,"")&amp;""</f>
        <v>OGC</v>
      </c>
      <c r="V789" s="29" t="s">
        <v>7</v>
      </c>
      <c r="W789" s="29" t="s">
        <v>163</v>
      </c>
      <c r="X789" s="29" t="s">
        <v>81</v>
      </c>
      <c r="Y789" s="36" t="s">
        <v>83</v>
      </c>
      <c r="Z789" s="36" t="s">
        <v>157</v>
      </c>
      <c r="AA789" s="36" t="s">
        <v>1159</v>
      </c>
      <c r="AB789" s="36"/>
      <c r="AC789" s="36"/>
      <c r="AD789" s="29" t="s">
        <v>119</v>
      </c>
      <c r="AE789" s="36" t="str">
        <f>_xlfn.XLOOKUP(表格1[[#This Row],[唯一識別碼]],API清冊0707!B:B,API清冊0707!T:T,"")&amp;""</f>
        <v>無下拉選單</v>
      </c>
    </row>
    <row r="790" spans="1:31" ht="204.75" customHeight="1" x14ac:dyDescent="0.4">
      <c r="A790" s="29" t="s">
        <v>3308</v>
      </c>
      <c r="B790" s="29"/>
      <c r="C790" s="29"/>
      <c r="D790" s="29" t="s">
        <v>3309</v>
      </c>
      <c r="E790" s="29" t="s">
        <v>3310</v>
      </c>
      <c r="F790" s="29" t="s">
        <v>3311</v>
      </c>
      <c r="G790" s="35"/>
      <c r="H790" s="35" t="s">
        <v>151</v>
      </c>
      <c r="I790" s="29" t="s">
        <v>3308</v>
      </c>
      <c r="J790" s="37"/>
      <c r="K790" s="38"/>
      <c r="L790" s="38"/>
      <c r="M790" s="36" t="s">
        <v>60</v>
      </c>
      <c r="N790" s="15" t="s">
        <v>152</v>
      </c>
      <c r="O790" s="36" t="s">
        <v>162</v>
      </c>
      <c r="P790" s="36" t="str">
        <f t="shared" si="24"/>
        <v>WMTS_1/1000地形圖_高雄市大坪頂以東地區88以南(97年)</v>
      </c>
      <c r="Q790" s="29" t="s">
        <v>3311</v>
      </c>
      <c r="R790" s="29" t="str">
        <f t="shared" si="25"/>
        <v>2dms_wmts_v1_TOPO01K_E05</v>
      </c>
      <c r="S790" s="39" t="s">
        <v>155</v>
      </c>
      <c r="U790" s="27" t="str">
        <f>_xlfn.XLOOKUP(表格1[[#This Row],[服務類別(英)]],參考2_服務標準對照!$B:$B,參考2_服務標準對照!$C:$C,"")&amp;""</f>
        <v>OGC</v>
      </c>
      <c r="V790" s="29" t="s">
        <v>7</v>
      </c>
      <c r="W790" s="29" t="s">
        <v>163</v>
      </c>
      <c r="X790" s="29" t="s">
        <v>81</v>
      </c>
      <c r="Y790" s="36" t="s">
        <v>83</v>
      </c>
      <c r="Z790" s="36" t="s">
        <v>157</v>
      </c>
      <c r="AA790" s="36" t="s">
        <v>1159</v>
      </c>
      <c r="AB790" s="36"/>
      <c r="AC790" s="36"/>
      <c r="AD790" s="29" t="s">
        <v>119</v>
      </c>
      <c r="AE790" s="36" t="str">
        <f>_xlfn.XLOOKUP(表格1[[#This Row],[唯一識別碼]],API清冊0707!B:B,API清冊0707!T:T,"")&amp;""</f>
        <v>無下拉選單</v>
      </c>
    </row>
    <row r="791" spans="1:31" ht="204.75" customHeight="1" x14ac:dyDescent="0.4">
      <c r="A791" s="29" t="s">
        <v>3312</v>
      </c>
      <c r="B791" s="29"/>
      <c r="C791" s="29"/>
      <c r="D791" s="29" t="s">
        <v>3313</v>
      </c>
      <c r="E791" s="29" t="s">
        <v>3314</v>
      </c>
      <c r="F791" s="29" t="s">
        <v>3315</v>
      </c>
      <c r="G791" s="35"/>
      <c r="H791" s="35" t="s">
        <v>151</v>
      </c>
      <c r="I791" s="29" t="s">
        <v>3312</v>
      </c>
      <c r="J791" s="37"/>
      <c r="K791" s="38"/>
      <c r="L791" s="38"/>
      <c r="M791" s="36" t="s">
        <v>60</v>
      </c>
      <c r="N791" s="15" t="s">
        <v>152</v>
      </c>
      <c r="O791" s="36" t="s">
        <v>162</v>
      </c>
      <c r="P791" s="36" t="str">
        <f t="shared" si="24"/>
        <v>WMTS_1/1000地形圖_高雄市大坪頂以東地區88以北(94年)</v>
      </c>
      <c r="Q791" s="29" t="s">
        <v>3315</v>
      </c>
      <c r="R791" s="29" t="str">
        <f t="shared" si="25"/>
        <v>2dms_wmts_v1_TOPO01K_E04</v>
      </c>
      <c r="S791" s="39" t="s">
        <v>155</v>
      </c>
      <c r="U791" s="27" t="str">
        <f>_xlfn.XLOOKUP(表格1[[#This Row],[服務類別(英)]],參考2_服務標準對照!$B:$B,參考2_服務標準對照!$C:$C,"")&amp;""</f>
        <v>OGC</v>
      </c>
      <c r="V791" s="29" t="s">
        <v>7</v>
      </c>
      <c r="W791" s="29" t="s">
        <v>163</v>
      </c>
      <c r="X791" s="29" t="s">
        <v>81</v>
      </c>
      <c r="Y791" s="36" t="s">
        <v>83</v>
      </c>
      <c r="Z791" s="36" t="s">
        <v>157</v>
      </c>
      <c r="AA791" s="36" t="s">
        <v>1159</v>
      </c>
      <c r="AB791" s="36"/>
      <c r="AC791" s="36"/>
      <c r="AD791" s="29" t="s">
        <v>119</v>
      </c>
      <c r="AE791" s="36" t="str">
        <f>_xlfn.XLOOKUP(表格1[[#This Row],[唯一識別碼]],API清冊0707!B:B,API清冊0707!T:T,"")&amp;""</f>
        <v>無下拉選單</v>
      </c>
    </row>
    <row r="792" spans="1:31" ht="204.75" customHeight="1" x14ac:dyDescent="0.4">
      <c r="A792" s="29" t="s">
        <v>3316</v>
      </c>
      <c r="B792" s="29"/>
      <c r="C792" s="29"/>
      <c r="D792" s="29" t="s">
        <v>3317</v>
      </c>
      <c r="E792" s="29" t="s">
        <v>3318</v>
      </c>
      <c r="F792" s="29" t="s">
        <v>3319</v>
      </c>
      <c r="G792" s="35"/>
      <c r="H792" s="35" t="s">
        <v>151</v>
      </c>
      <c r="I792" s="29" t="s">
        <v>3316</v>
      </c>
      <c r="J792" s="37"/>
      <c r="K792" s="38"/>
      <c r="L792" s="38"/>
      <c r="M792" s="36" t="s">
        <v>60</v>
      </c>
      <c r="N792" s="15" t="s">
        <v>152</v>
      </c>
      <c r="O792" s="36" t="s">
        <v>162</v>
      </c>
      <c r="P792" s="36" t="str">
        <f t="shared" si="24"/>
        <v>WMTS_1/1000地形圖_高雄市大坪頂以東地區88以北(93年)</v>
      </c>
      <c r="Q792" s="29" t="s">
        <v>3319</v>
      </c>
      <c r="R792" s="29" t="str">
        <f t="shared" si="25"/>
        <v>2dms_wmts_v1_TOPO01K_E03</v>
      </c>
      <c r="S792" s="39" t="s">
        <v>155</v>
      </c>
      <c r="U792" s="27" t="str">
        <f>_xlfn.XLOOKUP(表格1[[#This Row],[服務類別(英)]],參考2_服務標準對照!$B:$B,參考2_服務標準對照!$C:$C,"")&amp;""</f>
        <v>OGC</v>
      </c>
      <c r="V792" s="29" t="s">
        <v>7</v>
      </c>
      <c r="W792" s="29" t="s">
        <v>163</v>
      </c>
      <c r="X792" s="29" t="s">
        <v>81</v>
      </c>
      <c r="Y792" s="36" t="s">
        <v>83</v>
      </c>
      <c r="Z792" s="36" t="s">
        <v>157</v>
      </c>
      <c r="AA792" s="36" t="s">
        <v>1159</v>
      </c>
      <c r="AB792" s="36"/>
      <c r="AC792" s="36"/>
      <c r="AD792" s="29" t="s">
        <v>119</v>
      </c>
      <c r="AE792" s="36" t="str">
        <f>_xlfn.XLOOKUP(表格1[[#This Row],[唯一識別碼]],API清冊0707!B:B,API清冊0707!T:T,"")&amp;""</f>
        <v>無下拉選單</v>
      </c>
    </row>
    <row r="793" spans="1:31" ht="204.75" customHeight="1" x14ac:dyDescent="0.4">
      <c r="A793" s="29" t="s">
        <v>3320</v>
      </c>
      <c r="B793" s="29"/>
      <c r="C793" s="29"/>
      <c r="D793" s="29" t="s">
        <v>3321</v>
      </c>
      <c r="E793" s="29" t="s">
        <v>3322</v>
      </c>
      <c r="F793" s="29" t="s">
        <v>3323</v>
      </c>
      <c r="G793" s="35"/>
      <c r="H793" s="35" t="s">
        <v>151</v>
      </c>
      <c r="I793" s="29" t="s">
        <v>3320</v>
      </c>
      <c r="J793" s="37"/>
      <c r="K793" s="38"/>
      <c r="L793" s="38"/>
      <c r="M793" s="36" t="s">
        <v>60</v>
      </c>
      <c r="N793" s="15" t="s">
        <v>152</v>
      </c>
      <c r="O793" s="36" t="s">
        <v>162</v>
      </c>
      <c r="P793" s="36" t="str">
        <f t="shared" si="24"/>
        <v>WMTS_1/1000地形圖_高雄市六龜彩蝶谷風景特定區計畫(99年)</v>
      </c>
      <c r="Q793" s="29" t="s">
        <v>3323</v>
      </c>
      <c r="R793" s="29" t="str">
        <f t="shared" si="25"/>
        <v>2dms_wmts_v1_TOPO01K_E02</v>
      </c>
      <c r="S793" s="39" t="s">
        <v>155</v>
      </c>
      <c r="U793" s="27" t="str">
        <f>_xlfn.XLOOKUP(表格1[[#This Row],[服務類別(英)]],參考2_服務標準對照!$B:$B,參考2_服務標準對照!$C:$C,"")&amp;""</f>
        <v>OGC</v>
      </c>
      <c r="V793" s="29" t="s">
        <v>7</v>
      </c>
      <c r="W793" s="29" t="s">
        <v>163</v>
      </c>
      <c r="X793" s="29" t="s">
        <v>81</v>
      </c>
      <c r="Y793" s="36" t="s">
        <v>83</v>
      </c>
      <c r="Z793" s="36" t="s">
        <v>157</v>
      </c>
      <c r="AA793" s="36" t="s">
        <v>1159</v>
      </c>
      <c r="AB793" s="36"/>
      <c r="AC793" s="36"/>
      <c r="AD793" s="29" t="s">
        <v>119</v>
      </c>
      <c r="AE793" s="36" t="str">
        <f>_xlfn.XLOOKUP(表格1[[#This Row],[唯一識別碼]],API清冊0707!B:B,API清冊0707!T:T,"")&amp;""</f>
        <v>無下拉選單</v>
      </c>
    </row>
    <row r="794" spans="1:31" ht="204.75" customHeight="1" x14ac:dyDescent="0.4">
      <c r="A794" s="29" t="s">
        <v>3324</v>
      </c>
      <c r="B794" s="29"/>
      <c r="C794" s="29"/>
      <c r="D794" s="29" t="s">
        <v>3325</v>
      </c>
      <c r="E794" s="29" t="s">
        <v>3326</v>
      </c>
      <c r="F794" s="29" t="s">
        <v>3327</v>
      </c>
      <c r="G794" s="35"/>
      <c r="H794" s="35" t="s">
        <v>151</v>
      </c>
      <c r="I794" s="29" t="s">
        <v>3324</v>
      </c>
      <c r="J794" s="37"/>
      <c r="K794" s="38"/>
      <c r="L794" s="38"/>
      <c r="M794" s="36" t="s">
        <v>60</v>
      </c>
      <c r="N794" s="15" t="s">
        <v>152</v>
      </c>
      <c r="O794" s="36" t="s">
        <v>162</v>
      </c>
      <c r="P794" s="36" t="str">
        <f t="shared" si="24"/>
        <v>WMTS_1/1000地形圖_高雄市仁武都市計畫(100年)</v>
      </c>
      <c r="Q794" s="29" t="s">
        <v>3327</v>
      </c>
      <c r="R794" s="29" t="str">
        <f t="shared" si="25"/>
        <v>2dms_wmts_v1_TOPO01K_E01</v>
      </c>
      <c r="S794" s="39" t="s">
        <v>155</v>
      </c>
      <c r="U794" s="27" t="str">
        <f>_xlfn.XLOOKUP(表格1[[#This Row],[服務類別(英)]],參考2_服務標準對照!$B:$B,參考2_服務標準對照!$C:$C,"")&amp;""</f>
        <v>OGC</v>
      </c>
      <c r="V794" s="29" t="s">
        <v>7</v>
      </c>
      <c r="W794" s="29" t="s">
        <v>163</v>
      </c>
      <c r="X794" s="29" t="s">
        <v>81</v>
      </c>
      <c r="Y794" s="36" t="s">
        <v>83</v>
      </c>
      <c r="Z794" s="36" t="s">
        <v>157</v>
      </c>
      <c r="AA794" s="36" t="s">
        <v>1159</v>
      </c>
      <c r="AB794" s="36"/>
      <c r="AC794" s="36"/>
      <c r="AD794" s="29" t="s">
        <v>119</v>
      </c>
      <c r="AE794" s="36" t="str">
        <f>_xlfn.XLOOKUP(表格1[[#This Row],[唯一識別碼]],API清冊0707!B:B,API清冊0707!T:T,"")&amp;""</f>
        <v>無下拉選單</v>
      </c>
    </row>
    <row r="795" spans="1:31" ht="204.75" customHeight="1" x14ac:dyDescent="0.4">
      <c r="A795" s="29" t="s">
        <v>3328</v>
      </c>
      <c r="B795" s="29"/>
      <c r="C795" s="29"/>
      <c r="D795" s="29" t="s">
        <v>3329</v>
      </c>
      <c r="E795" s="29" t="s">
        <v>3330</v>
      </c>
      <c r="F795" s="29" t="s">
        <v>3331</v>
      </c>
      <c r="G795" s="35"/>
      <c r="H795" s="35" t="s">
        <v>151</v>
      </c>
      <c r="I795" s="29" t="s">
        <v>3328</v>
      </c>
      <c r="J795" s="37"/>
      <c r="K795" s="38"/>
      <c r="L795" s="38"/>
      <c r="M795" s="36" t="s">
        <v>60</v>
      </c>
      <c r="N795" s="15" t="s">
        <v>152</v>
      </c>
      <c r="O795" s="36" t="s">
        <v>162</v>
      </c>
      <c r="P795" s="36" t="str">
        <f t="shared" si="24"/>
        <v>WMTS_1/1000地形圖_臺南市都市計畫(102年)</v>
      </c>
      <c r="Q795" s="29" t="s">
        <v>3331</v>
      </c>
      <c r="R795" s="29" t="str">
        <f t="shared" si="25"/>
        <v>2dms_wmts_v1_TOPO01K_DA2</v>
      </c>
      <c r="S795" s="39" t="s">
        <v>155</v>
      </c>
      <c r="U795" s="27" t="str">
        <f>_xlfn.XLOOKUP(表格1[[#This Row],[服務類別(英)]],參考2_服務標準對照!$B:$B,參考2_服務標準對照!$C:$C,"")&amp;""</f>
        <v>OGC</v>
      </c>
      <c r="V795" s="29" t="s">
        <v>7</v>
      </c>
      <c r="W795" s="29" t="s">
        <v>163</v>
      </c>
      <c r="X795" s="29" t="s">
        <v>81</v>
      </c>
      <c r="Y795" s="36" t="s">
        <v>83</v>
      </c>
      <c r="Z795" s="36" t="s">
        <v>157</v>
      </c>
      <c r="AA795" s="36" t="s">
        <v>1159</v>
      </c>
      <c r="AB795" s="36"/>
      <c r="AC795" s="36"/>
      <c r="AD795" s="29" t="s">
        <v>119</v>
      </c>
      <c r="AE795" s="36" t="str">
        <f>_xlfn.XLOOKUP(表格1[[#This Row],[唯一識別碼]],API清冊0707!B:B,API清冊0707!T:T,"")&amp;""</f>
        <v>無下拉選單</v>
      </c>
    </row>
    <row r="796" spans="1:31" ht="204.75" customHeight="1" x14ac:dyDescent="0.4">
      <c r="A796" s="29" t="s">
        <v>3332</v>
      </c>
      <c r="B796" s="29"/>
      <c r="C796" s="29"/>
      <c r="D796" s="29" t="s">
        <v>3333</v>
      </c>
      <c r="E796" s="29" t="s">
        <v>3334</v>
      </c>
      <c r="F796" s="29" t="s">
        <v>3335</v>
      </c>
      <c r="G796" s="35"/>
      <c r="H796" s="35" t="s">
        <v>151</v>
      </c>
      <c r="I796" s="29" t="s">
        <v>3332</v>
      </c>
      <c r="J796" s="37"/>
      <c r="K796" s="38"/>
      <c r="L796" s="38"/>
      <c r="M796" s="36" t="s">
        <v>60</v>
      </c>
      <c r="N796" s="15" t="s">
        <v>152</v>
      </c>
      <c r="O796" s="36" t="s">
        <v>162</v>
      </c>
      <c r="P796" s="36" t="str">
        <f t="shared" si="24"/>
        <v>WMTS_1/1000地形圖_臺南市都市計畫(101年)</v>
      </c>
      <c r="Q796" s="29" t="s">
        <v>3335</v>
      </c>
      <c r="R796" s="29" t="str">
        <f t="shared" si="25"/>
        <v>2dms_wmts_v1_TOPO01K_DA1</v>
      </c>
      <c r="S796" s="39" t="s">
        <v>155</v>
      </c>
      <c r="U796" s="27" t="str">
        <f>_xlfn.XLOOKUP(表格1[[#This Row],[服務類別(英)]],參考2_服務標準對照!$B:$B,參考2_服務標準對照!$C:$C,"")&amp;""</f>
        <v>OGC</v>
      </c>
      <c r="V796" s="29" t="s">
        <v>7</v>
      </c>
      <c r="W796" s="29" t="s">
        <v>163</v>
      </c>
      <c r="X796" s="29" t="s">
        <v>81</v>
      </c>
      <c r="Y796" s="36" t="s">
        <v>83</v>
      </c>
      <c r="Z796" s="36" t="s">
        <v>157</v>
      </c>
      <c r="AA796" s="36" t="s">
        <v>1159</v>
      </c>
      <c r="AB796" s="36"/>
      <c r="AC796" s="36"/>
      <c r="AD796" s="29" t="s">
        <v>119</v>
      </c>
      <c r="AE796" s="36" t="str">
        <f>_xlfn.XLOOKUP(表格1[[#This Row],[唯一識別碼]],API清冊0707!B:B,API清冊0707!T:T,"")&amp;""</f>
        <v>無下拉選單</v>
      </c>
    </row>
    <row r="797" spans="1:31" ht="204.75" customHeight="1" x14ac:dyDescent="0.4">
      <c r="A797" s="29" t="s">
        <v>3336</v>
      </c>
      <c r="B797" s="29"/>
      <c r="C797" s="29"/>
      <c r="D797" s="29" t="s">
        <v>3337</v>
      </c>
      <c r="E797" s="29" t="s">
        <v>3338</v>
      </c>
      <c r="F797" s="29" t="s">
        <v>3339</v>
      </c>
      <c r="G797" s="35"/>
      <c r="H797" s="35" t="s">
        <v>151</v>
      </c>
      <c r="I797" s="29" t="s">
        <v>3336</v>
      </c>
      <c r="J797" s="37"/>
      <c r="K797" s="38"/>
      <c r="L797" s="38"/>
      <c r="M797" s="36" t="s">
        <v>60</v>
      </c>
      <c r="N797" s="15" t="s">
        <v>152</v>
      </c>
      <c r="O797" s="36" t="s">
        <v>162</v>
      </c>
      <c r="P797" s="36" t="str">
        <f t="shared" si="24"/>
        <v>WMTS_1/1000地形圖_臺南市都市計畫(100年)</v>
      </c>
      <c r="Q797" s="29" t="s">
        <v>3339</v>
      </c>
      <c r="R797" s="29" t="str">
        <f t="shared" si="25"/>
        <v>2dms_wmts_v1_TOPO01K_DA0</v>
      </c>
      <c r="S797" s="39" t="s">
        <v>155</v>
      </c>
      <c r="U797" s="27" t="str">
        <f>_xlfn.XLOOKUP(表格1[[#This Row],[服務類別(英)]],參考2_服務標準對照!$B:$B,參考2_服務標準對照!$C:$C,"")&amp;""</f>
        <v>OGC</v>
      </c>
      <c r="V797" s="29" t="s">
        <v>7</v>
      </c>
      <c r="W797" s="29" t="s">
        <v>163</v>
      </c>
      <c r="X797" s="29" t="s">
        <v>81</v>
      </c>
      <c r="Y797" s="36" t="s">
        <v>83</v>
      </c>
      <c r="Z797" s="36" t="s">
        <v>157</v>
      </c>
      <c r="AA797" s="36" t="s">
        <v>1159</v>
      </c>
      <c r="AB797" s="36"/>
      <c r="AC797" s="36"/>
      <c r="AD797" s="29" t="s">
        <v>119</v>
      </c>
      <c r="AE797" s="36" t="str">
        <f>_xlfn.XLOOKUP(表格1[[#This Row],[唯一識別碼]],API清冊0707!B:B,API清冊0707!T:T,"")&amp;""</f>
        <v>無下拉選單</v>
      </c>
    </row>
    <row r="798" spans="1:31" ht="204.75" customHeight="1" x14ac:dyDescent="0.4">
      <c r="A798" s="29" t="s">
        <v>3340</v>
      </c>
      <c r="B798" s="29"/>
      <c r="C798" s="29"/>
      <c r="D798" s="29" t="s">
        <v>3341</v>
      </c>
      <c r="E798" s="29" t="s">
        <v>3342</v>
      </c>
      <c r="F798" s="29" t="s">
        <v>3343</v>
      </c>
      <c r="G798" s="35"/>
      <c r="H798" s="35" t="s">
        <v>151</v>
      </c>
      <c r="I798" s="29" t="s">
        <v>3340</v>
      </c>
      <c r="J798" s="37"/>
      <c r="K798" s="38"/>
      <c r="L798" s="38"/>
      <c r="M798" s="36" t="s">
        <v>60</v>
      </c>
      <c r="N798" s="15" t="s">
        <v>152</v>
      </c>
      <c r="O798" s="36" t="s">
        <v>162</v>
      </c>
      <c r="P798" s="36" t="str">
        <f t="shared" si="24"/>
        <v>WMTS_1/1000地形圖_臺南市都市計畫(99年)</v>
      </c>
      <c r="Q798" s="29" t="s">
        <v>3343</v>
      </c>
      <c r="R798" s="29" t="str">
        <f t="shared" si="25"/>
        <v>2dms_wmts_v1_TOPO01K_D99</v>
      </c>
      <c r="S798" s="39" t="s">
        <v>155</v>
      </c>
      <c r="U798" s="27" t="str">
        <f>_xlfn.XLOOKUP(表格1[[#This Row],[服務類別(英)]],參考2_服務標準對照!$B:$B,參考2_服務標準對照!$C:$C,"")&amp;""</f>
        <v>OGC</v>
      </c>
      <c r="V798" s="29" t="s">
        <v>7</v>
      </c>
      <c r="W798" s="29" t="s">
        <v>163</v>
      </c>
      <c r="X798" s="29" t="s">
        <v>81</v>
      </c>
      <c r="Y798" s="36" t="s">
        <v>83</v>
      </c>
      <c r="Z798" s="36" t="s">
        <v>157</v>
      </c>
      <c r="AA798" s="36" t="s">
        <v>1159</v>
      </c>
      <c r="AB798" s="36"/>
      <c r="AC798" s="36"/>
      <c r="AD798" s="29" t="s">
        <v>119</v>
      </c>
      <c r="AE798" s="36" t="str">
        <f>_xlfn.XLOOKUP(表格1[[#This Row],[唯一識別碼]],API清冊0707!B:B,API清冊0707!T:T,"")&amp;""</f>
        <v>無下拉選單</v>
      </c>
    </row>
    <row r="799" spans="1:31" ht="204.75" customHeight="1" x14ac:dyDescent="0.4">
      <c r="A799" s="29" t="s">
        <v>3344</v>
      </c>
      <c r="B799" s="29"/>
      <c r="C799" s="29"/>
      <c r="D799" s="29" t="s">
        <v>3345</v>
      </c>
      <c r="E799" s="29" t="s">
        <v>3346</v>
      </c>
      <c r="F799" s="29" t="s">
        <v>3347</v>
      </c>
      <c r="G799" s="35"/>
      <c r="H799" s="35" t="s">
        <v>151</v>
      </c>
      <c r="I799" s="29" t="s">
        <v>3344</v>
      </c>
      <c r="J799" s="37"/>
      <c r="K799" s="38"/>
      <c r="L799" s="38"/>
      <c r="M799" s="36" t="s">
        <v>60</v>
      </c>
      <c r="N799" s="15" t="s">
        <v>152</v>
      </c>
      <c r="O799" s="36" t="s">
        <v>162</v>
      </c>
      <c r="P799" s="36" t="str">
        <f t="shared" si="24"/>
        <v>WMTS_1/1000地形圖_臺南市永康區都市計畫(97年)</v>
      </c>
      <c r="Q799" s="29" t="s">
        <v>3347</v>
      </c>
      <c r="R799" s="29" t="str">
        <f t="shared" si="25"/>
        <v>2dms_wmts_v1_TOPO01K_D97</v>
      </c>
      <c r="S799" s="39" t="s">
        <v>155</v>
      </c>
      <c r="U799" s="27" t="str">
        <f>_xlfn.XLOOKUP(表格1[[#This Row],[服務類別(英)]],參考2_服務標準對照!$B:$B,參考2_服務標準對照!$C:$C,"")&amp;""</f>
        <v>OGC</v>
      </c>
      <c r="V799" s="29" t="s">
        <v>7</v>
      </c>
      <c r="W799" s="29" t="s">
        <v>163</v>
      </c>
      <c r="X799" s="29" t="s">
        <v>81</v>
      </c>
      <c r="Y799" s="36" t="s">
        <v>83</v>
      </c>
      <c r="Z799" s="36" t="s">
        <v>157</v>
      </c>
      <c r="AA799" s="36" t="s">
        <v>1159</v>
      </c>
      <c r="AB799" s="36"/>
      <c r="AC799" s="36"/>
      <c r="AD799" s="29" t="s">
        <v>119</v>
      </c>
      <c r="AE799" s="36" t="str">
        <f>_xlfn.XLOOKUP(表格1[[#This Row],[唯一識別碼]],API清冊0707!B:B,API清冊0707!T:T,"")&amp;""</f>
        <v>無下拉選單</v>
      </c>
    </row>
    <row r="800" spans="1:31" ht="204.75" customHeight="1" x14ac:dyDescent="0.4">
      <c r="A800" s="29" t="s">
        <v>3348</v>
      </c>
      <c r="B800" s="29"/>
      <c r="C800" s="29"/>
      <c r="D800" s="29" t="s">
        <v>3349</v>
      </c>
      <c r="E800" s="29" t="s">
        <v>3350</v>
      </c>
      <c r="F800" s="29" t="s">
        <v>3351</v>
      </c>
      <c r="G800" s="35"/>
      <c r="H800" s="35" t="s">
        <v>151</v>
      </c>
      <c r="I800" s="29" t="s">
        <v>3348</v>
      </c>
      <c r="J800" s="37"/>
      <c r="K800" s="38"/>
      <c r="L800" s="38"/>
      <c r="M800" s="36" t="s">
        <v>60</v>
      </c>
      <c r="N800" s="15" t="s">
        <v>152</v>
      </c>
      <c r="O800" s="36" t="s">
        <v>162</v>
      </c>
      <c r="P800" s="36" t="str">
        <f t="shared" si="24"/>
        <v>WMTS_1/1000地形圖_臺南市都市計畫(93年)</v>
      </c>
      <c r="Q800" s="29" t="s">
        <v>3351</v>
      </c>
      <c r="R800" s="29" t="str">
        <f t="shared" si="25"/>
        <v>2dms_wmts_v1_TOPO01K_D93</v>
      </c>
      <c r="S800" s="39" t="s">
        <v>155</v>
      </c>
      <c r="U800" s="27" t="str">
        <f>_xlfn.XLOOKUP(表格1[[#This Row],[服務類別(英)]],參考2_服務標準對照!$B:$B,參考2_服務標準對照!$C:$C,"")&amp;""</f>
        <v>OGC</v>
      </c>
      <c r="V800" s="29" t="s">
        <v>7</v>
      </c>
      <c r="W800" s="29" t="s">
        <v>163</v>
      </c>
      <c r="X800" s="29" t="s">
        <v>81</v>
      </c>
      <c r="Y800" s="36" t="s">
        <v>83</v>
      </c>
      <c r="Z800" s="36" t="s">
        <v>157</v>
      </c>
      <c r="AA800" s="36" t="s">
        <v>1159</v>
      </c>
      <c r="AB800" s="36"/>
      <c r="AC800" s="36"/>
      <c r="AD800" s="29" t="s">
        <v>119</v>
      </c>
      <c r="AE800" s="36" t="str">
        <f>_xlfn.XLOOKUP(表格1[[#This Row],[唯一識別碼]],API清冊0707!B:B,API清冊0707!T:T,"")&amp;""</f>
        <v>無下拉選單</v>
      </c>
    </row>
    <row r="801" spans="1:31" ht="204.75" customHeight="1" x14ac:dyDescent="0.4">
      <c r="A801" s="29" t="s">
        <v>3352</v>
      </c>
      <c r="B801" s="29"/>
      <c r="C801" s="29"/>
      <c r="D801" s="29" t="s">
        <v>3353</v>
      </c>
      <c r="E801" s="29" t="s">
        <v>3354</v>
      </c>
      <c r="F801" s="29" t="s">
        <v>3355</v>
      </c>
      <c r="G801" s="35"/>
      <c r="H801" s="35" t="s">
        <v>151</v>
      </c>
      <c r="I801" s="29" t="s">
        <v>3352</v>
      </c>
      <c r="J801" s="37"/>
      <c r="K801" s="38"/>
      <c r="L801" s="38"/>
      <c r="M801" s="36" t="s">
        <v>60</v>
      </c>
      <c r="N801" s="15" t="s">
        <v>152</v>
      </c>
      <c r="O801" s="36" t="s">
        <v>162</v>
      </c>
      <c r="P801" s="36" t="str">
        <f t="shared" si="24"/>
        <v>WMTS_1/1000地形圖_基隆市都市計畫(111年)</v>
      </c>
      <c r="Q801" s="29" t="s">
        <v>3355</v>
      </c>
      <c r="R801" s="29" t="str">
        <f t="shared" si="25"/>
        <v>2dms_wmts_v1_TOPO01K_C02</v>
      </c>
      <c r="S801" s="39" t="s">
        <v>155</v>
      </c>
      <c r="U801" s="27" t="str">
        <f>_xlfn.XLOOKUP(表格1[[#This Row],[服務類別(英)]],參考2_服務標準對照!$B:$B,參考2_服務標準對照!$C:$C,"")&amp;""</f>
        <v>OGC</v>
      </c>
      <c r="V801" s="29" t="s">
        <v>7</v>
      </c>
      <c r="W801" s="29" t="s">
        <v>163</v>
      </c>
      <c r="X801" s="29" t="s">
        <v>81</v>
      </c>
      <c r="Y801" s="36" t="s">
        <v>83</v>
      </c>
      <c r="Z801" s="36" t="s">
        <v>157</v>
      </c>
      <c r="AA801" s="36" t="s">
        <v>1159</v>
      </c>
      <c r="AB801" s="36"/>
      <c r="AC801" s="36"/>
      <c r="AD801" s="29" t="s">
        <v>119</v>
      </c>
      <c r="AE801" s="36" t="str">
        <f>_xlfn.XLOOKUP(表格1[[#This Row],[唯一識別碼]],API清冊0707!B:B,API清冊0707!T:T,"")&amp;""</f>
        <v>無下拉選單</v>
      </c>
    </row>
    <row r="802" spans="1:31" ht="204.75" customHeight="1" x14ac:dyDescent="0.4">
      <c r="A802" s="29" t="s">
        <v>3356</v>
      </c>
      <c r="B802" s="29"/>
      <c r="C802" s="29"/>
      <c r="D802" s="29" t="s">
        <v>3357</v>
      </c>
      <c r="E802" s="29" t="s">
        <v>3358</v>
      </c>
      <c r="F802" s="29" t="s">
        <v>3359</v>
      </c>
      <c r="G802" s="35"/>
      <c r="H802" s="35" t="s">
        <v>151</v>
      </c>
      <c r="I802" s="29" t="s">
        <v>3356</v>
      </c>
      <c r="J802" s="37"/>
      <c r="K802" s="38"/>
      <c r="L802" s="38"/>
      <c r="M802" s="36" t="s">
        <v>60</v>
      </c>
      <c r="N802" s="15" t="s">
        <v>152</v>
      </c>
      <c r="O802" s="36" t="s">
        <v>162</v>
      </c>
      <c r="P802" s="36" t="str">
        <f t="shared" si="24"/>
        <v>WMTS_1/1000地形圖_基隆市都市計畫(96年)</v>
      </c>
      <c r="Q802" s="29" t="s">
        <v>3359</v>
      </c>
      <c r="R802" s="29" t="str">
        <f t="shared" si="25"/>
        <v>2dms_wmts_v1_TOPO01K_C01</v>
      </c>
      <c r="S802" s="39" t="s">
        <v>155</v>
      </c>
      <c r="U802" s="27" t="str">
        <f>_xlfn.XLOOKUP(表格1[[#This Row],[服務類別(英)]],參考2_服務標準對照!$B:$B,參考2_服務標準對照!$C:$C,"")&amp;""</f>
        <v>OGC</v>
      </c>
      <c r="V802" s="29" t="s">
        <v>7</v>
      </c>
      <c r="W802" s="29" t="s">
        <v>163</v>
      </c>
      <c r="X802" s="29" t="s">
        <v>81</v>
      </c>
      <c r="Y802" s="36" t="s">
        <v>83</v>
      </c>
      <c r="Z802" s="36" t="s">
        <v>157</v>
      </c>
      <c r="AA802" s="36" t="s">
        <v>1159</v>
      </c>
      <c r="AB802" s="36"/>
      <c r="AC802" s="36"/>
      <c r="AD802" s="29" t="s">
        <v>119</v>
      </c>
      <c r="AE802" s="36" t="str">
        <f>_xlfn.XLOOKUP(表格1[[#This Row],[唯一識別碼]],API清冊0707!B:B,API清冊0707!T:T,"")&amp;""</f>
        <v>無下拉選單</v>
      </c>
    </row>
    <row r="803" spans="1:31" ht="204.75" customHeight="1" x14ac:dyDescent="0.4">
      <c r="A803" s="29" t="s">
        <v>3360</v>
      </c>
      <c r="B803" s="29"/>
      <c r="C803" s="29"/>
      <c r="D803" s="29" t="s">
        <v>3361</v>
      </c>
      <c r="E803" s="29" t="s">
        <v>3362</v>
      </c>
      <c r="F803" s="29" t="s">
        <v>3363</v>
      </c>
      <c r="G803" s="35"/>
      <c r="H803" s="35" t="s">
        <v>151</v>
      </c>
      <c r="I803" s="29" t="s">
        <v>3360</v>
      </c>
      <c r="J803" s="37"/>
      <c r="K803" s="38"/>
      <c r="L803" s="38"/>
      <c r="M803" s="36" t="s">
        <v>60</v>
      </c>
      <c r="N803" s="15" t="s">
        <v>152</v>
      </c>
      <c r="O803" s="36" t="s">
        <v>162</v>
      </c>
      <c r="P803" s="36" t="str">
        <f t="shared" si="24"/>
        <v>WMTS_1/1000地形圖_臺中市都市計畫(107年)</v>
      </c>
      <c r="Q803" s="29" t="s">
        <v>3363</v>
      </c>
      <c r="R803" s="29" t="str">
        <f t="shared" si="25"/>
        <v>2dms_wmts_v1_TOPO01K_B32</v>
      </c>
      <c r="S803" s="39" t="s">
        <v>155</v>
      </c>
      <c r="U803" s="27" t="str">
        <f>_xlfn.XLOOKUP(表格1[[#This Row],[服務類別(英)]],參考2_服務標準對照!$B:$B,參考2_服務標準對照!$C:$C,"")&amp;""</f>
        <v>OGC</v>
      </c>
      <c r="V803" s="29" t="s">
        <v>7</v>
      </c>
      <c r="W803" s="29" t="s">
        <v>163</v>
      </c>
      <c r="X803" s="29" t="s">
        <v>81</v>
      </c>
      <c r="Y803" s="36" t="s">
        <v>83</v>
      </c>
      <c r="Z803" s="36" t="s">
        <v>157</v>
      </c>
      <c r="AA803" s="36" t="s">
        <v>1159</v>
      </c>
      <c r="AB803" s="36"/>
      <c r="AC803" s="36"/>
      <c r="AD803" s="29" t="s">
        <v>119</v>
      </c>
      <c r="AE803" s="36" t="str">
        <f>_xlfn.XLOOKUP(表格1[[#This Row],[唯一識別碼]],API清冊0707!B:B,API清冊0707!T:T,"")&amp;""</f>
        <v>無下拉選單</v>
      </c>
    </row>
    <row r="804" spans="1:31" ht="208.5" customHeight="1" x14ac:dyDescent="0.4">
      <c r="A804" s="29" t="s">
        <v>3364</v>
      </c>
      <c r="B804" s="29"/>
      <c r="C804" s="29"/>
      <c r="D804" s="29" t="s">
        <v>3365</v>
      </c>
      <c r="E804" s="29" t="s">
        <v>3366</v>
      </c>
      <c r="F804" s="29" t="s">
        <v>3367</v>
      </c>
      <c r="G804" s="35"/>
      <c r="H804" s="35" t="s">
        <v>151</v>
      </c>
      <c r="I804" s="29" t="s">
        <v>3364</v>
      </c>
      <c r="J804" s="37"/>
      <c r="K804" s="38"/>
      <c r="L804" s="38"/>
      <c r="M804" s="36" t="s">
        <v>60</v>
      </c>
      <c r="N804" s="15" t="s">
        <v>152</v>
      </c>
      <c r="O804" s="36" t="s">
        <v>162</v>
      </c>
      <c r="P804" s="36" t="str">
        <f t="shared" si="24"/>
        <v>WMTS_1/1000地形圖_臺中市日南都市計畫(100年)</v>
      </c>
      <c r="Q804" s="29" t="s">
        <v>3367</v>
      </c>
      <c r="R804" s="29" t="str">
        <f t="shared" si="25"/>
        <v>2dms_wmts_v1_TOPO01K_B31</v>
      </c>
      <c r="S804" s="39" t="s">
        <v>155</v>
      </c>
      <c r="U804" s="27" t="str">
        <f>_xlfn.XLOOKUP(表格1[[#This Row],[服務類別(英)]],參考2_服務標準對照!$B:$B,參考2_服務標準對照!$C:$C,"")&amp;""</f>
        <v>OGC</v>
      </c>
      <c r="V804" s="29" t="s">
        <v>7</v>
      </c>
      <c r="W804" s="29" t="s">
        <v>163</v>
      </c>
      <c r="X804" s="29" t="s">
        <v>81</v>
      </c>
      <c r="Y804" s="36" t="s">
        <v>83</v>
      </c>
      <c r="Z804" s="36" t="s">
        <v>157</v>
      </c>
      <c r="AA804" s="36" t="s">
        <v>1159</v>
      </c>
      <c r="AB804" s="36"/>
      <c r="AC804" s="36"/>
      <c r="AD804" s="29" t="s">
        <v>119</v>
      </c>
      <c r="AE804" s="36" t="str">
        <f>_xlfn.XLOOKUP(表格1[[#This Row],[唯一識別碼]],API清冊0707!B:B,API清冊0707!T:T,"")&amp;""</f>
        <v>無下拉選單</v>
      </c>
    </row>
    <row r="805" spans="1:31" ht="204.75" customHeight="1" x14ac:dyDescent="0.4">
      <c r="A805" s="29" t="s">
        <v>3368</v>
      </c>
      <c r="B805" s="29"/>
      <c r="C805" s="29"/>
      <c r="D805" s="29" t="s">
        <v>3369</v>
      </c>
      <c r="E805" s="29" t="s">
        <v>3370</v>
      </c>
      <c r="F805" s="29" t="s">
        <v>3371</v>
      </c>
      <c r="G805" s="35"/>
      <c r="H805" s="35" t="s">
        <v>151</v>
      </c>
      <c r="I805" s="29" t="s">
        <v>3368</v>
      </c>
      <c r="J805" s="37"/>
      <c r="K805" s="38"/>
      <c r="L805" s="38"/>
      <c r="M805" s="36" t="s">
        <v>60</v>
      </c>
      <c r="N805" s="15" t="s">
        <v>152</v>
      </c>
      <c r="O805" s="36" t="s">
        <v>162</v>
      </c>
      <c r="P805" s="36" t="str">
        <f t="shared" si="24"/>
        <v>WMTS_1/1000地形圖_臺中市大甲(日南)都市計畫(100年)</v>
      </c>
      <c r="Q805" s="29" t="s">
        <v>3371</v>
      </c>
      <c r="R805" s="29" t="str">
        <f t="shared" si="25"/>
        <v>2dms_wmts_v1_TOPO01K_B30</v>
      </c>
      <c r="S805" s="39" t="s">
        <v>155</v>
      </c>
      <c r="U805" s="27" t="str">
        <f>_xlfn.XLOOKUP(表格1[[#This Row],[服務類別(英)]],參考2_服務標準對照!$B:$B,參考2_服務標準對照!$C:$C,"")&amp;""</f>
        <v>OGC</v>
      </c>
      <c r="V805" s="29" t="s">
        <v>7</v>
      </c>
      <c r="W805" s="29" t="s">
        <v>163</v>
      </c>
      <c r="X805" s="29" t="s">
        <v>81</v>
      </c>
      <c r="Y805" s="36" t="s">
        <v>83</v>
      </c>
      <c r="Z805" s="36" t="s">
        <v>157</v>
      </c>
      <c r="AA805" s="36" t="s">
        <v>1159</v>
      </c>
      <c r="AB805" s="36"/>
      <c r="AC805" s="36"/>
      <c r="AD805" s="29" t="s">
        <v>119</v>
      </c>
      <c r="AE805" s="36" t="str">
        <f>_xlfn.XLOOKUP(表格1[[#This Row],[唯一識別碼]],API清冊0707!B:B,API清冊0707!T:T,"")&amp;""</f>
        <v>無下拉選單</v>
      </c>
    </row>
    <row r="806" spans="1:31" ht="204.75" customHeight="1" x14ac:dyDescent="0.4">
      <c r="A806" s="29" t="s">
        <v>3372</v>
      </c>
      <c r="B806" s="29"/>
      <c r="C806" s="29"/>
      <c r="D806" s="29" t="s">
        <v>3373</v>
      </c>
      <c r="E806" s="29" t="s">
        <v>3374</v>
      </c>
      <c r="F806" s="29" t="s">
        <v>3375</v>
      </c>
      <c r="G806" s="35"/>
      <c r="H806" s="35" t="s">
        <v>151</v>
      </c>
      <c r="I806" s="29" t="s">
        <v>3372</v>
      </c>
      <c r="J806" s="37"/>
      <c r="K806" s="38"/>
      <c r="L806" s="38"/>
      <c r="M806" s="36" t="s">
        <v>60</v>
      </c>
      <c r="N806" s="15" t="s">
        <v>152</v>
      </c>
      <c r="O806" s="36" t="s">
        <v>162</v>
      </c>
      <c r="P806" s="36" t="str">
        <f t="shared" si="24"/>
        <v>WMTS_1/1000地形圖_臺中市大安都市計畫(100年)</v>
      </c>
      <c r="Q806" s="29" t="s">
        <v>3375</v>
      </c>
      <c r="R806" s="29" t="str">
        <f t="shared" si="25"/>
        <v>2dms_wmts_v1_TOPO01K_B29</v>
      </c>
      <c r="S806" s="39" t="s">
        <v>155</v>
      </c>
      <c r="U806" s="27" t="str">
        <f>_xlfn.XLOOKUP(表格1[[#This Row],[服務類別(英)]],參考2_服務標準對照!$B:$B,參考2_服務標準對照!$C:$C,"")&amp;""</f>
        <v>OGC</v>
      </c>
      <c r="V806" s="29" t="s">
        <v>7</v>
      </c>
      <c r="W806" s="29" t="s">
        <v>163</v>
      </c>
      <c r="X806" s="29" t="s">
        <v>81</v>
      </c>
      <c r="Y806" s="36" t="s">
        <v>83</v>
      </c>
      <c r="Z806" s="36" t="s">
        <v>157</v>
      </c>
      <c r="AA806" s="36" t="s">
        <v>1159</v>
      </c>
      <c r="AB806" s="36"/>
      <c r="AC806" s="36"/>
      <c r="AD806" s="29" t="s">
        <v>119</v>
      </c>
      <c r="AE806" s="36" t="str">
        <f>_xlfn.XLOOKUP(表格1[[#This Row],[唯一識別碼]],API清冊0707!B:B,API清冊0707!T:T,"")&amp;""</f>
        <v>無下拉選單</v>
      </c>
    </row>
    <row r="807" spans="1:31" ht="204.75" customHeight="1" x14ac:dyDescent="0.4">
      <c r="A807" s="29" t="s">
        <v>3376</v>
      </c>
      <c r="B807" s="29"/>
      <c r="C807" s="29"/>
      <c r="D807" s="29" t="s">
        <v>3377</v>
      </c>
      <c r="E807" s="29" t="s">
        <v>3378</v>
      </c>
      <c r="F807" s="29" t="s">
        <v>3379</v>
      </c>
      <c r="G807" s="35"/>
      <c r="H807" s="35" t="s">
        <v>151</v>
      </c>
      <c r="I807" s="29" t="s">
        <v>3376</v>
      </c>
      <c r="J807" s="37"/>
      <c r="K807" s="38"/>
      <c r="L807" s="38"/>
      <c r="M807" s="36" t="s">
        <v>60</v>
      </c>
      <c r="N807" s="15" t="s">
        <v>152</v>
      </c>
      <c r="O807" s="36" t="s">
        <v>162</v>
      </c>
      <c r="P807" s="36" t="str">
        <f t="shared" si="24"/>
        <v>WMTS_1/1000地形圖_臺中市外埔都市計畫(100年)</v>
      </c>
      <c r="Q807" s="29" t="s">
        <v>3379</v>
      </c>
      <c r="R807" s="29" t="str">
        <f t="shared" si="25"/>
        <v>2dms_wmts_v1_TOPO01K_B28</v>
      </c>
      <c r="S807" s="39" t="s">
        <v>155</v>
      </c>
      <c r="U807" s="27" t="str">
        <f>_xlfn.XLOOKUP(表格1[[#This Row],[服務類別(英)]],參考2_服務標準對照!$B:$B,參考2_服務標準對照!$C:$C,"")&amp;""</f>
        <v>OGC</v>
      </c>
      <c r="V807" s="29" t="s">
        <v>7</v>
      </c>
      <c r="W807" s="29" t="s">
        <v>163</v>
      </c>
      <c r="X807" s="29" t="s">
        <v>81</v>
      </c>
      <c r="Y807" s="36" t="s">
        <v>83</v>
      </c>
      <c r="Z807" s="36" t="s">
        <v>157</v>
      </c>
      <c r="AA807" s="36" t="s">
        <v>1159</v>
      </c>
      <c r="AB807" s="36"/>
      <c r="AC807" s="36"/>
      <c r="AD807" s="29" t="s">
        <v>119</v>
      </c>
      <c r="AE807" s="36" t="str">
        <f>_xlfn.XLOOKUP(表格1[[#This Row],[唯一識別碼]],API清冊0707!B:B,API清冊0707!T:T,"")&amp;""</f>
        <v>無下拉選單</v>
      </c>
    </row>
    <row r="808" spans="1:31" ht="204.75" customHeight="1" x14ac:dyDescent="0.4">
      <c r="A808" s="29" t="s">
        <v>3380</v>
      </c>
      <c r="B808" s="29"/>
      <c r="C808" s="29"/>
      <c r="D808" s="29" t="s">
        <v>3381</v>
      </c>
      <c r="E808" s="29" t="s">
        <v>3382</v>
      </c>
      <c r="F808" s="29" t="s">
        <v>3383</v>
      </c>
      <c r="G808" s="35"/>
      <c r="H808" s="35" t="s">
        <v>151</v>
      </c>
      <c r="I808" s="29" t="s">
        <v>3380</v>
      </c>
      <c r="J808" s="37"/>
      <c r="K808" s="38"/>
      <c r="L808" s="38"/>
      <c r="M808" s="36" t="s">
        <v>60</v>
      </c>
      <c r="N808" s="15" t="s">
        <v>152</v>
      </c>
      <c r="O808" s="36" t="s">
        <v>162</v>
      </c>
      <c r="P808" s="36" t="str">
        <f t="shared" si="24"/>
        <v>WMTS_1/1000地形圖_臺中市大肚都市計畫(98年)</v>
      </c>
      <c r="Q808" s="29" t="s">
        <v>3383</v>
      </c>
      <c r="R808" s="29" t="str">
        <f t="shared" si="25"/>
        <v>2dms_wmts_v1_TOPO01K_B27</v>
      </c>
      <c r="S808" s="39" t="s">
        <v>155</v>
      </c>
      <c r="U808" s="27" t="str">
        <f>_xlfn.XLOOKUP(表格1[[#This Row],[服務類別(英)]],參考2_服務標準對照!$B:$B,參考2_服務標準對照!$C:$C,"")&amp;""</f>
        <v>OGC</v>
      </c>
      <c r="V808" s="29" t="s">
        <v>7</v>
      </c>
      <c r="W808" s="29" t="s">
        <v>163</v>
      </c>
      <c r="X808" s="29" t="s">
        <v>81</v>
      </c>
      <c r="Y808" s="36" t="s">
        <v>83</v>
      </c>
      <c r="Z808" s="36" t="s">
        <v>157</v>
      </c>
      <c r="AA808" s="36" t="s">
        <v>1159</v>
      </c>
      <c r="AB808" s="36"/>
      <c r="AC808" s="36"/>
      <c r="AD808" s="29" t="s">
        <v>119</v>
      </c>
      <c r="AE808" s="36" t="str">
        <f>_xlfn.XLOOKUP(表格1[[#This Row],[唯一識別碼]],API清冊0707!B:B,API清冊0707!T:T,"")&amp;""</f>
        <v>無下拉選單</v>
      </c>
    </row>
    <row r="809" spans="1:31" ht="204.75" customHeight="1" x14ac:dyDescent="0.4">
      <c r="A809" s="29" t="s">
        <v>3384</v>
      </c>
      <c r="B809" s="29"/>
      <c r="C809" s="29"/>
      <c r="D809" s="29" t="s">
        <v>3385</v>
      </c>
      <c r="E809" s="29" t="s">
        <v>3386</v>
      </c>
      <c r="F809" s="29" t="s">
        <v>3387</v>
      </c>
      <c r="G809" s="35"/>
      <c r="H809" s="35" t="s">
        <v>151</v>
      </c>
      <c r="I809" s="29" t="s">
        <v>3384</v>
      </c>
      <c r="J809" s="37"/>
      <c r="K809" s="38"/>
      <c r="L809" s="38"/>
      <c r="M809" s="36" t="s">
        <v>60</v>
      </c>
      <c r="N809" s="15" t="s">
        <v>152</v>
      </c>
      <c r="O809" s="36" t="s">
        <v>162</v>
      </c>
      <c r="P809" s="36" t="str">
        <f t="shared" si="24"/>
        <v>WMTS_1/1000地形圖_臺中市大甲都市計畫(98年)</v>
      </c>
      <c r="Q809" s="29" t="s">
        <v>3387</v>
      </c>
      <c r="R809" s="29" t="str">
        <f t="shared" si="25"/>
        <v>2dms_wmts_v1_TOPO01K_B26</v>
      </c>
      <c r="S809" s="39" t="s">
        <v>155</v>
      </c>
      <c r="U809" s="27" t="str">
        <f>_xlfn.XLOOKUP(表格1[[#This Row],[服務類別(英)]],參考2_服務標準對照!$B:$B,參考2_服務標準對照!$C:$C,"")&amp;""</f>
        <v>OGC</v>
      </c>
      <c r="V809" s="29" t="s">
        <v>7</v>
      </c>
      <c r="W809" s="29" t="s">
        <v>163</v>
      </c>
      <c r="X809" s="29" t="s">
        <v>81</v>
      </c>
      <c r="Y809" s="36" t="s">
        <v>83</v>
      </c>
      <c r="Z809" s="36" t="s">
        <v>157</v>
      </c>
      <c r="AA809" s="36" t="s">
        <v>1159</v>
      </c>
      <c r="AB809" s="36"/>
      <c r="AC809" s="36"/>
      <c r="AD809" s="29" t="s">
        <v>119</v>
      </c>
      <c r="AE809" s="36" t="str">
        <f>_xlfn.XLOOKUP(表格1[[#This Row],[唯一識別碼]],API清冊0707!B:B,API清冊0707!T:T,"")&amp;""</f>
        <v>無下拉選單</v>
      </c>
    </row>
    <row r="810" spans="1:31" ht="204.75" customHeight="1" x14ac:dyDescent="0.4">
      <c r="A810" s="29" t="s">
        <v>3388</v>
      </c>
      <c r="B810" s="29"/>
      <c r="C810" s="29"/>
      <c r="D810" s="29" t="s">
        <v>3389</v>
      </c>
      <c r="E810" s="29" t="s">
        <v>3390</v>
      </c>
      <c r="F810" s="29" t="s">
        <v>3391</v>
      </c>
      <c r="G810" s="35"/>
      <c r="H810" s="35" t="s">
        <v>151</v>
      </c>
      <c r="I810" s="29" t="s">
        <v>3388</v>
      </c>
      <c r="J810" s="37"/>
      <c r="K810" s="38"/>
      <c r="L810" s="38"/>
      <c r="M810" s="36" t="s">
        <v>60</v>
      </c>
      <c r="N810" s="15" t="s">
        <v>152</v>
      </c>
      <c r="O810" s="36" t="s">
        <v>162</v>
      </c>
      <c r="P810" s="36" t="str">
        <f t="shared" si="24"/>
        <v>WMTS_1/1000地形圖_臺中市后里都市計畫(98年)</v>
      </c>
      <c r="Q810" s="29" t="s">
        <v>3391</v>
      </c>
      <c r="R810" s="29" t="str">
        <f t="shared" si="25"/>
        <v>2dms_wmts_v1_TOPO01K_B25</v>
      </c>
      <c r="S810" s="39" t="s">
        <v>155</v>
      </c>
      <c r="U810" s="27" t="str">
        <f>_xlfn.XLOOKUP(表格1[[#This Row],[服務類別(英)]],參考2_服務標準對照!$B:$B,參考2_服務標準對照!$C:$C,"")&amp;""</f>
        <v>OGC</v>
      </c>
      <c r="V810" s="29" t="s">
        <v>7</v>
      </c>
      <c r="W810" s="29" t="s">
        <v>163</v>
      </c>
      <c r="X810" s="29" t="s">
        <v>81</v>
      </c>
      <c r="Y810" s="36" t="s">
        <v>83</v>
      </c>
      <c r="Z810" s="36" t="s">
        <v>157</v>
      </c>
      <c r="AA810" s="36" t="s">
        <v>1159</v>
      </c>
      <c r="AB810" s="36"/>
      <c r="AC810" s="36"/>
      <c r="AD810" s="29" t="s">
        <v>119</v>
      </c>
      <c r="AE810" s="36" t="str">
        <f>_xlfn.XLOOKUP(表格1[[#This Row],[唯一識別碼]],API清冊0707!B:B,API清冊0707!T:T,"")&amp;""</f>
        <v>無下拉選單</v>
      </c>
    </row>
    <row r="811" spans="1:31" ht="204.75" customHeight="1" x14ac:dyDescent="0.4">
      <c r="A811" s="29" t="s">
        <v>3392</v>
      </c>
      <c r="B811" s="29"/>
      <c r="C811" s="29"/>
      <c r="D811" s="29" t="s">
        <v>3393</v>
      </c>
      <c r="E811" s="29" t="s">
        <v>3394</v>
      </c>
      <c r="F811" s="29" t="s">
        <v>3395</v>
      </c>
      <c r="G811" s="35"/>
      <c r="H811" s="35" t="s">
        <v>151</v>
      </c>
      <c r="I811" s="29" t="s">
        <v>3392</v>
      </c>
      <c r="J811" s="37"/>
      <c r="K811" s="38"/>
      <c r="L811" s="38"/>
      <c r="M811" s="36" t="s">
        <v>60</v>
      </c>
      <c r="N811" s="15" t="s">
        <v>152</v>
      </c>
      <c r="O811" s="36" t="s">
        <v>162</v>
      </c>
      <c r="P811" s="36" t="str">
        <f t="shared" si="24"/>
        <v>WMTS_1/1000地形圖_臺中市大雅都市計畫(97年)</v>
      </c>
      <c r="Q811" s="29" t="s">
        <v>3395</v>
      </c>
      <c r="R811" s="29" t="str">
        <f t="shared" si="25"/>
        <v>2dms_wmts_v1_TOPO01K_B24</v>
      </c>
      <c r="S811" s="39" t="s">
        <v>155</v>
      </c>
      <c r="U811" s="27" t="str">
        <f>_xlfn.XLOOKUP(表格1[[#This Row],[服務類別(英)]],參考2_服務標準對照!$B:$B,參考2_服務標準對照!$C:$C,"")&amp;""</f>
        <v>OGC</v>
      </c>
      <c r="V811" s="29" t="s">
        <v>7</v>
      </c>
      <c r="W811" s="29" t="s">
        <v>163</v>
      </c>
      <c r="X811" s="29" t="s">
        <v>81</v>
      </c>
      <c r="Y811" s="36" t="s">
        <v>83</v>
      </c>
      <c r="Z811" s="36" t="s">
        <v>157</v>
      </c>
      <c r="AA811" s="36" t="s">
        <v>1159</v>
      </c>
      <c r="AB811" s="36"/>
      <c r="AC811" s="36"/>
      <c r="AD811" s="29" t="s">
        <v>119</v>
      </c>
      <c r="AE811" s="36" t="str">
        <f>_xlfn.XLOOKUP(表格1[[#This Row],[唯一識別碼]],API清冊0707!B:B,API清冊0707!T:T,"")&amp;""</f>
        <v>無下拉選單</v>
      </c>
    </row>
    <row r="812" spans="1:31" ht="204.75" customHeight="1" x14ac:dyDescent="0.4">
      <c r="A812" s="29" t="s">
        <v>3396</v>
      </c>
      <c r="B812" s="29"/>
      <c r="C812" s="29"/>
      <c r="D812" s="29" t="s">
        <v>3397</v>
      </c>
      <c r="E812" s="29" t="s">
        <v>3398</v>
      </c>
      <c r="F812" s="29" t="s">
        <v>3399</v>
      </c>
      <c r="G812" s="35"/>
      <c r="H812" s="35" t="s">
        <v>151</v>
      </c>
      <c r="I812" s="29" t="s">
        <v>3396</v>
      </c>
      <c r="J812" s="37"/>
      <c r="K812" s="38"/>
      <c r="L812" s="38"/>
      <c r="M812" s="36" t="s">
        <v>60</v>
      </c>
      <c r="N812" s="15" t="s">
        <v>152</v>
      </c>
      <c r="O812" s="36" t="s">
        <v>162</v>
      </c>
      <c r="P812" s="36" t="str">
        <f t="shared" si="24"/>
        <v>WMTS_1/1000地形圖_臺中市谷關都市計畫(96年)</v>
      </c>
      <c r="Q812" s="29" t="s">
        <v>3399</v>
      </c>
      <c r="R812" s="29" t="str">
        <f t="shared" si="25"/>
        <v>2dms_wmts_v1_TOPO01K_B23</v>
      </c>
      <c r="S812" s="39" t="s">
        <v>155</v>
      </c>
      <c r="U812" s="27" t="str">
        <f>_xlfn.XLOOKUP(表格1[[#This Row],[服務類別(英)]],參考2_服務標準對照!$B:$B,參考2_服務標準對照!$C:$C,"")&amp;""</f>
        <v>OGC</v>
      </c>
      <c r="V812" s="29" t="s">
        <v>7</v>
      </c>
      <c r="W812" s="29" t="s">
        <v>163</v>
      </c>
      <c r="X812" s="29" t="s">
        <v>81</v>
      </c>
      <c r="Y812" s="36" t="s">
        <v>83</v>
      </c>
      <c r="Z812" s="36" t="s">
        <v>157</v>
      </c>
      <c r="AA812" s="36" t="s">
        <v>1159</v>
      </c>
      <c r="AB812" s="36"/>
      <c r="AC812" s="36"/>
      <c r="AD812" s="29" t="s">
        <v>119</v>
      </c>
      <c r="AE812" s="36" t="str">
        <f>_xlfn.XLOOKUP(表格1[[#This Row],[唯一識別碼]],API清冊0707!B:B,API清冊0707!T:T,"")&amp;""</f>
        <v>無下拉選單</v>
      </c>
    </row>
    <row r="813" spans="1:31" ht="204.75" customHeight="1" x14ac:dyDescent="0.4">
      <c r="A813" s="29" t="s">
        <v>3400</v>
      </c>
      <c r="B813" s="29"/>
      <c r="C813" s="29"/>
      <c r="D813" s="29" t="s">
        <v>3401</v>
      </c>
      <c r="E813" s="29" t="s">
        <v>3402</v>
      </c>
      <c r="F813" s="29" t="s">
        <v>3403</v>
      </c>
      <c r="G813" s="35"/>
      <c r="H813" s="35" t="s">
        <v>151</v>
      </c>
      <c r="I813" s="29" t="s">
        <v>3400</v>
      </c>
      <c r="J813" s="37"/>
      <c r="K813" s="38"/>
      <c r="L813" s="38"/>
      <c r="M813" s="36" t="s">
        <v>60</v>
      </c>
      <c r="N813" s="15" t="s">
        <v>152</v>
      </c>
      <c r="O813" s="36" t="s">
        <v>162</v>
      </c>
      <c r="P813" s="36" t="str">
        <f t="shared" si="24"/>
        <v>WMTS_1/1000地形圖_臺中市梨山都市計畫(96年)</v>
      </c>
      <c r="Q813" s="29" t="s">
        <v>3403</v>
      </c>
      <c r="R813" s="29" t="str">
        <f t="shared" si="25"/>
        <v>2dms_wmts_v1_TOPO01K_B22</v>
      </c>
      <c r="S813" s="39" t="s">
        <v>155</v>
      </c>
      <c r="U813" s="27" t="str">
        <f>_xlfn.XLOOKUP(表格1[[#This Row],[服務類別(英)]],參考2_服務標準對照!$B:$B,參考2_服務標準對照!$C:$C,"")&amp;""</f>
        <v>OGC</v>
      </c>
      <c r="V813" s="29" t="s">
        <v>7</v>
      </c>
      <c r="W813" s="29" t="s">
        <v>163</v>
      </c>
      <c r="X813" s="29" t="s">
        <v>81</v>
      </c>
      <c r="Y813" s="36" t="s">
        <v>83</v>
      </c>
      <c r="Z813" s="36" t="s">
        <v>157</v>
      </c>
      <c r="AA813" s="36" t="s">
        <v>1159</v>
      </c>
      <c r="AB813" s="36"/>
      <c r="AC813" s="36"/>
      <c r="AD813" s="29" t="s">
        <v>119</v>
      </c>
      <c r="AE813" s="36" t="str">
        <f>_xlfn.XLOOKUP(表格1[[#This Row],[唯一識別碼]],API清冊0707!B:B,API清冊0707!T:T,"")&amp;""</f>
        <v>無下拉選單</v>
      </c>
    </row>
    <row r="814" spans="1:31" ht="204.75" customHeight="1" x14ac:dyDescent="0.4">
      <c r="A814" s="29" t="s">
        <v>3404</v>
      </c>
      <c r="B814" s="29"/>
      <c r="C814" s="29"/>
      <c r="D814" s="29" t="s">
        <v>3405</v>
      </c>
      <c r="E814" s="29" t="s">
        <v>3406</v>
      </c>
      <c r="F814" s="29" t="s">
        <v>3407</v>
      </c>
      <c r="G814" s="35"/>
      <c r="H814" s="35" t="s">
        <v>151</v>
      </c>
      <c r="I814" s="29" t="s">
        <v>3404</v>
      </c>
      <c r="J814" s="37"/>
      <c r="K814" s="38"/>
      <c r="L814" s="38"/>
      <c r="M814" s="36" t="s">
        <v>60</v>
      </c>
      <c r="N814" s="15" t="s">
        <v>152</v>
      </c>
      <c r="O814" s="36" t="s">
        <v>162</v>
      </c>
      <c r="P814" s="36" t="str">
        <f t="shared" si="24"/>
        <v>WMTS_1/1000地形圖_臺中市梨山(環山)都市計畫(96年)</v>
      </c>
      <c r="Q814" s="29" t="s">
        <v>3407</v>
      </c>
      <c r="R814" s="29" t="str">
        <f t="shared" si="25"/>
        <v>2dms_wmts_v1_TOPO01K_B21</v>
      </c>
      <c r="S814" s="39" t="s">
        <v>155</v>
      </c>
      <c r="U814" s="27" t="str">
        <f>_xlfn.XLOOKUP(表格1[[#This Row],[服務類別(英)]],參考2_服務標準對照!$B:$B,參考2_服務標準對照!$C:$C,"")&amp;""</f>
        <v>OGC</v>
      </c>
      <c r="V814" s="29" t="s">
        <v>7</v>
      </c>
      <c r="W814" s="29" t="s">
        <v>163</v>
      </c>
      <c r="X814" s="29" t="s">
        <v>81</v>
      </c>
      <c r="Y814" s="36" t="s">
        <v>83</v>
      </c>
      <c r="Z814" s="36" t="s">
        <v>157</v>
      </c>
      <c r="AA814" s="36" t="s">
        <v>1159</v>
      </c>
      <c r="AB814" s="36"/>
      <c r="AC814" s="36"/>
      <c r="AD814" s="29" t="s">
        <v>119</v>
      </c>
      <c r="AE814" s="36" t="str">
        <f>_xlfn.XLOOKUP(表格1[[#This Row],[唯一識別碼]],API清冊0707!B:B,API清冊0707!T:T,"")&amp;""</f>
        <v>無下拉選單</v>
      </c>
    </row>
    <row r="815" spans="1:31" ht="204.75" customHeight="1" x14ac:dyDescent="0.4">
      <c r="A815" s="29" t="s">
        <v>3408</v>
      </c>
      <c r="B815" s="29"/>
      <c r="C815" s="29"/>
      <c r="D815" s="29" t="s">
        <v>3409</v>
      </c>
      <c r="E815" s="29" t="s">
        <v>3410</v>
      </c>
      <c r="F815" s="29" t="s">
        <v>3411</v>
      </c>
      <c r="G815" s="35"/>
      <c r="H815" s="35" t="s">
        <v>151</v>
      </c>
      <c r="I815" s="29" t="s">
        <v>3408</v>
      </c>
      <c r="J815" s="37"/>
      <c r="K815" s="38"/>
      <c r="L815" s="38"/>
      <c r="M815" s="36" t="s">
        <v>60</v>
      </c>
      <c r="N815" s="15" t="s">
        <v>152</v>
      </c>
      <c r="O815" s="36" t="s">
        <v>162</v>
      </c>
      <c r="P815" s="36" t="str">
        <f t="shared" si="24"/>
        <v>WMTS_1/1000地形圖_臺中市梨山(松茂)都市計畫(96年)</v>
      </c>
      <c r="Q815" s="29" t="s">
        <v>3411</v>
      </c>
      <c r="R815" s="29" t="str">
        <f t="shared" si="25"/>
        <v>2dms_wmts_v1_TOPO01K_B20</v>
      </c>
      <c r="S815" s="39" t="s">
        <v>155</v>
      </c>
      <c r="U815" s="27" t="str">
        <f>_xlfn.XLOOKUP(表格1[[#This Row],[服務類別(英)]],參考2_服務標準對照!$B:$B,參考2_服務標準對照!$C:$C,"")&amp;""</f>
        <v>OGC</v>
      </c>
      <c r="V815" s="29" t="s">
        <v>7</v>
      </c>
      <c r="W815" s="29" t="s">
        <v>163</v>
      </c>
      <c r="X815" s="29" t="s">
        <v>81</v>
      </c>
      <c r="Y815" s="36" t="s">
        <v>83</v>
      </c>
      <c r="Z815" s="36" t="s">
        <v>157</v>
      </c>
      <c r="AA815" s="36" t="s">
        <v>1159</v>
      </c>
      <c r="AB815" s="36"/>
      <c r="AC815" s="36"/>
      <c r="AD815" s="29" t="s">
        <v>119</v>
      </c>
      <c r="AE815" s="36" t="str">
        <f>_xlfn.XLOOKUP(表格1[[#This Row],[唯一識別碼]],API清冊0707!B:B,API清冊0707!T:T,"")&amp;""</f>
        <v>無下拉選單</v>
      </c>
    </row>
    <row r="816" spans="1:31" ht="204.75" customHeight="1" x14ac:dyDescent="0.4">
      <c r="A816" s="29" t="s">
        <v>3412</v>
      </c>
      <c r="B816" s="29"/>
      <c r="C816" s="29"/>
      <c r="D816" s="29" t="s">
        <v>3413</v>
      </c>
      <c r="E816" s="29" t="s">
        <v>3414</v>
      </c>
      <c r="F816" s="29" t="s">
        <v>3415</v>
      </c>
      <c r="G816" s="35"/>
      <c r="H816" s="35" t="s">
        <v>151</v>
      </c>
      <c r="I816" s="29" t="s">
        <v>3412</v>
      </c>
      <c r="J816" s="37"/>
      <c r="K816" s="38"/>
      <c r="L816" s="38"/>
      <c r="M816" s="36" t="s">
        <v>60</v>
      </c>
      <c r="N816" s="15" t="s">
        <v>152</v>
      </c>
      <c r="O816" s="36" t="s">
        <v>162</v>
      </c>
      <c r="P816" s="36" t="str">
        <f t="shared" si="24"/>
        <v>WMTS_1/1000地形圖_臺中市梨山(新佳陽)都市計畫(96年)</v>
      </c>
      <c r="Q816" s="29" t="s">
        <v>3415</v>
      </c>
      <c r="R816" s="29" t="str">
        <f t="shared" si="25"/>
        <v>2dms_wmts_v1_TOPO01K_B19</v>
      </c>
      <c r="S816" s="39" t="s">
        <v>155</v>
      </c>
      <c r="U816" s="27" t="str">
        <f>_xlfn.XLOOKUP(表格1[[#This Row],[服務類別(英)]],參考2_服務標準對照!$B:$B,參考2_服務標準對照!$C:$C,"")&amp;""</f>
        <v>OGC</v>
      </c>
      <c r="V816" s="29" t="s">
        <v>7</v>
      </c>
      <c r="W816" s="29" t="s">
        <v>163</v>
      </c>
      <c r="X816" s="29" t="s">
        <v>81</v>
      </c>
      <c r="Y816" s="36" t="s">
        <v>83</v>
      </c>
      <c r="Z816" s="36" t="s">
        <v>157</v>
      </c>
      <c r="AA816" s="36" t="s">
        <v>1159</v>
      </c>
      <c r="AB816" s="36"/>
      <c r="AC816" s="36"/>
      <c r="AD816" s="29" t="s">
        <v>119</v>
      </c>
      <c r="AE816" s="36" t="str">
        <f>_xlfn.XLOOKUP(表格1[[#This Row],[唯一識別碼]],API清冊0707!B:B,API清冊0707!T:T,"")&amp;""</f>
        <v>無下拉選單</v>
      </c>
    </row>
    <row r="817" spans="1:31" ht="204.75" customHeight="1" x14ac:dyDescent="0.4">
      <c r="A817" s="29" t="s">
        <v>3416</v>
      </c>
      <c r="B817" s="29"/>
      <c r="C817" s="29"/>
      <c r="D817" s="29" t="s">
        <v>3417</v>
      </c>
      <c r="E817" s="29" t="s">
        <v>3418</v>
      </c>
      <c r="F817" s="29" t="s">
        <v>3419</v>
      </c>
      <c r="G817" s="35"/>
      <c r="H817" s="35" t="s">
        <v>151</v>
      </c>
      <c r="I817" s="29" t="s">
        <v>3416</v>
      </c>
      <c r="J817" s="37"/>
      <c r="K817" s="38"/>
      <c r="L817" s="38"/>
      <c r="M817" s="36" t="s">
        <v>60</v>
      </c>
      <c r="N817" s="15" t="s">
        <v>152</v>
      </c>
      <c r="O817" s="36" t="s">
        <v>162</v>
      </c>
      <c r="P817" s="36" t="str">
        <f t="shared" si="24"/>
        <v>WMTS_1/1000地形圖_臺中市大里都市計畫(96年)</v>
      </c>
      <c r="Q817" s="29" t="s">
        <v>3419</v>
      </c>
      <c r="R817" s="29" t="str">
        <f t="shared" si="25"/>
        <v>2dms_wmts_v1_TOPO01K_B18</v>
      </c>
      <c r="S817" s="39" t="s">
        <v>155</v>
      </c>
      <c r="U817" s="27" t="str">
        <f>_xlfn.XLOOKUP(表格1[[#This Row],[服務類別(英)]],參考2_服務標準對照!$B:$B,參考2_服務標準對照!$C:$C,"")&amp;""</f>
        <v>OGC</v>
      </c>
      <c r="V817" s="29" t="s">
        <v>7</v>
      </c>
      <c r="W817" s="29" t="s">
        <v>163</v>
      </c>
      <c r="X817" s="29" t="s">
        <v>81</v>
      </c>
      <c r="Y817" s="36" t="s">
        <v>83</v>
      </c>
      <c r="Z817" s="36" t="s">
        <v>157</v>
      </c>
      <c r="AA817" s="36" t="s">
        <v>1159</v>
      </c>
      <c r="AB817" s="36"/>
      <c r="AC817" s="36"/>
      <c r="AD817" s="29" t="s">
        <v>119</v>
      </c>
      <c r="AE817" s="36" t="str">
        <f>_xlfn.XLOOKUP(表格1[[#This Row],[唯一識別碼]],API清冊0707!B:B,API清冊0707!T:T,"")&amp;""</f>
        <v>無下拉選單</v>
      </c>
    </row>
    <row r="818" spans="1:31" ht="204.75" customHeight="1" x14ac:dyDescent="0.4">
      <c r="A818" s="29" t="s">
        <v>3420</v>
      </c>
      <c r="B818" s="29"/>
      <c r="C818" s="29"/>
      <c r="D818" s="29" t="s">
        <v>3421</v>
      </c>
      <c r="E818" s="29" t="s">
        <v>3422</v>
      </c>
      <c r="F818" s="29" t="s">
        <v>3423</v>
      </c>
      <c r="G818" s="35"/>
      <c r="H818" s="35" t="s">
        <v>151</v>
      </c>
      <c r="I818" s="29" t="s">
        <v>3420</v>
      </c>
      <c r="J818" s="37"/>
      <c r="K818" s="38"/>
      <c r="L818" s="38"/>
      <c r="M818" s="36" t="s">
        <v>60</v>
      </c>
      <c r="N818" s="15" t="s">
        <v>152</v>
      </c>
      <c r="O818" s="36" t="s">
        <v>162</v>
      </c>
      <c r="P818" s="36" t="str">
        <f t="shared" si="24"/>
        <v>WMTS_1/1000地形圖_臺中市臺中港特定區計畫(95年)</v>
      </c>
      <c r="Q818" s="29" t="s">
        <v>3423</v>
      </c>
      <c r="R818" s="29" t="str">
        <f t="shared" si="25"/>
        <v>2dms_wmts_v1_TOPO01K_B17</v>
      </c>
      <c r="S818" s="39" t="s">
        <v>155</v>
      </c>
      <c r="U818" s="27" t="str">
        <f>_xlfn.XLOOKUP(表格1[[#This Row],[服務類別(英)]],參考2_服務標準對照!$B:$B,參考2_服務標準對照!$C:$C,"")&amp;""</f>
        <v>OGC</v>
      </c>
      <c r="V818" s="29" t="s">
        <v>7</v>
      </c>
      <c r="W818" s="29" t="s">
        <v>163</v>
      </c>
      <c r="X818" s="29" t="s">
        <v>81</v>
      </c>
      <c r="Y818" s="36" t="s">
        <v>83</v>
      </c>
      <c r="Z818" s="36" t="s">
        <v>157</v>
      </c>
      <c r="AA818" s="36" t="s">
        <v>1159</v>
      </c>
      <c r="AB818" s="36"/>
      <c r="AC818" s="36"/>
      <c r="AD818" s="29" t="s">
        <v>119</v>
      </c>
      <c r="AE818" s="36" t="str">
        <f>_xlfn.XLOOKUP(表格1[[#This Row],[唯一識別碼]],API清冊0707!B:B,API清冊0707!T:T,"")&amp;""</f>
        <v>無下拉選單</v>
      </c>
    </row>
    <row r="819" spans="1:31" ht="204.75" customHeight="1" x14ac:dyDescent="0.4">
      <c r="A819" s="29" t="s">
        <v>3424</v>
      </c>
      <c r="B819" s="29"/>
      <c r="C819" s="29"/>
      <c r="D819" s="29" t="s">
        <v>3425</v>
      </c>
      <c r="E819" s="29" t="s">
        <v>3426</v>
      </c>
      <c r="F819" s="29" t="s">
        <v>3427</v>
      </c>
      <c r="G819" s="35"/>
      <c r="H819" s="35" t="s">
        <v>151</v>
      </c>
      <c r="I819" s="29" t="s">
        <v>3424</v>
      </c>
      <c r="J819" s="37"/>
      <c r="K819" s="38"/>
      <c r="L819" s="38"/>
      <c r="M819" s="36" t="s">
        <v>60</v>
      </c>
      <c r="N819" s="15" t="s">
        <v>152</v>
      </c>
      <c r="O819" s="36" t="s">
        <v>162</v>
      </c>
      <c r="P819" s="36" t="str">
        <f t="shared" si="24"/>
        <v>WMTS_1/1000地形圖_臺中市王田交流道特定區計畫(95年)</v>
      </c>
      <c r="Q819" s="29" t="s">
        <v>3427</v>
      </c>
      <c r="R819" s="29" t="str">
        <f t="shared" si="25"/>
        <v>2dms_wmts_v1_TOPO01K_B16</v>
      </c>
      <c r="S819" s="39" t="s">
        <v>155</v>
      </c>
      <c r="U819" s="27" t="str">
        <f>_xlfn.XLOOKUP(表格1[[#This Row],[服務類別(英)]],參考2_服務標準對照!$B:$B,參考2_服務標準對照!$C:$C,"")&amp;""</f>
        <v>OGC</v>
      </c>
      <c r="V819" s="29" t="s">
        <v>7</v>
      </c>
      <c r="W819" s="29" t="s">
        <v>163</v>
      </c>
      <c r="X819" s="29" t="s">
        <v>81</v>
      </c>
      <c r="Y819" s="36" t="s">
        <v>83</v>
      </c>
      <c r="Z819" s="36" t="s">
        <v>157</v>
      </c>
      <c r="AA819" s="36" t="s">
        <v>1159</v>
      </c>
      <c r="AB819" s="36"/>
      <c r="AC819" s="36"/>
      <c r="AD819" s="29" t="s">
        <v>119</v>
      </c>
      <c r="AE819" s="36" t="str">
        <f>_xlfn.XLOOKUP(表格1[[#This Row],[唯一識別碼]],API清冊0707!B:B,API清冊0707!T:T,"")&amp;""</f>
        <v>無下拉選單</v>
      </c>
    </row>
    <row r="820" spans="1:31" ht="204.75" customHeight="1" x14ac:dyDescent="0.4">
      <c r="A820" s="29" t="s">
        <v>3428</v>
      </c>
      <c r="B820" s="29"/>
      <c r="C820" s="29"/>
      <c r="D820" s="29" t="s">
        <v>3429</v>
      </c>
      <c r="E820" s="29" t="s">
        <v>3430</v>
      </c>
      <c r="F820" s="29" t="s">
        <v>3431</v>
      </c>
      <c r="G820" s="35"/>
      <c r="H820" s="35" t="s">
        <v>151</v>
      </c>
      <c r="I820" s="29" t="s">
        <v>3428</v>
      </c>
      <c r="J820" s="37"/>
      <c r="K820" s="38"/>
      <c r="L820" s="38"/>
      <c r="M820" s="36" t="s">
        <v>60</v>
      </c>
      <c r="N820" s="15" t="s">
        <v>152</v>
      </c>
      <c r="O820" s="36" t="s">
        <v>162</v>
      </c>
      <c r="P820" s="36" t="str">
        <f t="shared" si="24"/>
        <v>WMTS_1/1000地形圖_臺中市豐原都市計畫(94年)</v>
      </c>
      <c r="Q820" s="29" t="s">
        <v>3431</v>
      </c>
      <c r="R820" s="29" t="str">
        <f t="shared" si="25"/>
        <v>2dms_wmts_v1_TOPO01K_B15</v>
      </c>
      <c r="S820" s="39" t="s">
        <v>155</v>
      </c>
      <c r="U820" s="27" t="str">
        <f>_xlfn.XLOOKUP(表格1[[#This Row],[服務類別(英)]],參考2_服務標準對照!$B:$B,參考2_服務標準對照!$C:$C,"")&amp;""</f>
        <v>OGC</v>
      </c>
      <c r="V820" s="29" t="s">
        <v>7</v>
      </c>
      <c r="W820" s="29" t="s">
        <v>163</v>
      </c>
      <c r="X820" s="29" t="s">
        <v>81</v>
      </c>
      <c r="Y820" s="36" t="s">
        <v>83</v>
      </c>
      <c r="Z820" s="36" t="s">
        <v>157</v>
      </c>
      <c r="AA820" s="36" t="s">
        <v>1159</v>
      </c>
      <c r="AB820" s="36"/>
      <c r="AC820" s="36"/>
      <c r="AD820" s="29" t="s">
        <v>119</v>
      </c>
      <c r="AE820" s="36" t="str">
        <f>_xlfn.XLOOKUP(表格1[[#This Row],[唯一識別碼]],API清冊0707!B:B,API清冊0707!T:T,"")&amp;""</f>
        <v>無下拉選單</v>
      </c>
    </row>
    <row r="821" spans="1:31" ht="204.75" customHeight="1" x14ac:dyDescent="0.4">
      <c r="A821" s="29" t="s">
        <v>3432</v>
      </c>
      <c r="B821" s="29"/>
      <c r="C821" s="29"/>
      <c r="D821" s="29" t="s">
        <v>3433</v>
      </c>
      <c r="E821" s="29" t="s">
        <v>3434</v>
      </c>
      <c r="F821" s="29" t="s">
        <v>3435</v>
      </c>
      <c r="G821" s="35"/>
      <c r="H821" s="35" t="s">
        <v>151</v>
      </c>
      <c r="I821" s="29" t="s">
        <v>3432</v>
      </c>
      <c r="J821" s="37"/>
      <c r="K821" s="38"/>
      <c r="L821" s="38"/>
      <c r="M821" s="36" t="s">
        <v>60</v>
      </c>
      <c r="N821" s="15" t="s">
        <v>152</v>
      </c>
      <c r="O821" s="36" t="s">
        <v>162</v>
      </c>
      <c r="P821" s="36" t="str">
        <f t="shared" si="24"/>
        <v>WMTS_1/1000地形圖_臺中市豐原交流道特定區計畫(94年)</v>
      </c>
      <c r="Q821" s="29" t="s">
        <v>3435</v>
      </c>
      <c r="R821" s="29" t="str">
        <f t="shared" si="25"/>
        <v>2dms_wmts_v1_TOPO01K_B14</v>
      </c>
      <c r="S821" s="39" t="s">
        <v>155</v>
      </c>
      <c r="U821" s="27" t="str">
        <f>_xlfn.XLOOKUP(表格1[[#This Row],[服務類別(英)]],參考2_服務標準對照!$B:$B,參考2_服務標準對照!$C:$C,"")&amp;""</f>
        <v>OGC</v>
      </c>
      <c r="V821" s="29" t="s">
        <v>7</v>
      </c>
      <c r="W821" s="29" t="s">
        <v>163</v>
      </c>
      <c r="X821" s="29" t="s">
        <v>81</v>
      </c>
      <c r="Y821" s="36" t="s">
        <v>83</v>
      </c>
      <c r="Z821" s="36" t="s">
        <v>157</v>
      </c>
      <c r="AA821" s="36" t="s">
        <v>1159</v>
      </c>
      <c r="AB821" s="36"/>
      <c r="AC821" s="36"/>
      <c r="AD821" s="29" t="s">
        <v>119</v>
      </c>
      <c r="AE821" s="36" t="str">
        <f>_xlfn.XLOOKUP(表格1[[#This Row],[唯一識別碼]],API清冊0707!B:B,API清冊0707!T:T,"")&amp;""</f>
        <v>無下拉選單</v>
      </c>
    </row>
    <row r="822" spans="1:31" ht="204.75" customHeight="1" x14ac:dyDescent="0.4">
      <c r="A822" s="29" t="s">
        <v>3436</v>
      </c>
      <c r="B822" s="29"/>
      <c r="C822" s="29"/>
      <c r="D822" s="29" t="s">
        <v>3437</v>
      </c>
      <c r="E822" s="29" t="s">
        <v>3438</v>
      </c>
      <c r="F822" s="29" t="s">
        <v>3439</v>
      </c>
      <c r="G822" s="35"/>
      <c r="H822" s="35" t="s">
        <v>151</v>
      </c>
      <c r="I822" s="29" t="s">
        <v>3436</v>
      </c>
      <c r="J822" s="37"/>
      <c r="K822" s="38"/>
      <c r="L822" s="38"/>
      <c r="M822" s="36" t="s">
        <v>60</v>
      </c>
      <c r="N822" s="15" t="s">
        <v>152</v>
      </c>
      <c r="O822" s="36" t="s">
        <v>162</v>
      </c>
      <c r="P822" s="36" t="str">
        <f t="shared" si="24"/>
        <v>WMTS_1/1000地形圖_臺中市潭子都市計畫(94年)</v>
      </c>
      <c r="Q822" s="29" t="s">
        <v>3439</v>
      </c>
      <c r="R822" s="29" t="str">
        <f t="shared" si="25"/>
        <v>2dms_wmts_v1_TOPO01K_B13</v>
      </c>
      <c r="S822" s="39" t="s">
        <v>155</v>
      </c>
      <c r="U822" s="27" t="str">
        <f>_xlfn.XLOOKUP(表格1[[#This Row],[服務類別(英)]],參考2_服務標準對照!$B:$B,參考2_服務標準對照!$C:$C,"")&amp;""</f>
        <v>OGC</v>
      </c>
      <c r="V822" s="29" t="s">
        <v>7</v>
      </c>
      <c r="W822" s="29" t="s">
        <v>163</v>
      </c>
      <c r="X822" s="29" t="s">
        <v>81</v>
      </c>
      <c r="Y822" s="36" t="s">
        <v>83</v>
      </c>
      <c r="Z822" s="36" t="s">
        <v>157</v>
      </c>
      <c r="AA822" s="36" t="s">
        <v>1159</v>
      </c>
      <c r="AB822" s="36"/>
      <c r="AC822" s="36"/>
      <c r="AD822" s="29" t="s">
        <v>119</v>
      </c>
      <c r="AE822" s="36" t="str">
        <f>_xlfn.XLOOKUP(表格1[[#This Row],[唯一識別碼]],API清冊0707!B:B,API清冊0707!T:T,"")&amp;""</f>
        <v>無下拉選單</v>
      </c>
    </row>
    <row r="823" spans="1:31" ht="204.75" customHeight="1" x14ac:dyDescent="0.4">
      <c r="A823" s="29" t="s">
        <v>3440</v>
      </c>
      <c r="B823" s="29"/>
      <c r="C823" s="29"/>
      <c r="D823" s="29" t="s">
        <v>3441</v>
      </c>
      <c r="E823" s="29" t="s">
        <v>3442</v>
      </c>
      <c r="F823" s="29" t="s">
        <v>3443</v>
      </c>
      <c r="G823" s="35"/>
      <c r="H823" s="35" t="s">
        <v>151</v>
      </c>
      <c r="I823" s="29" t="s">
        <v>3440</v>
      </c>
      <c r="J823" s="37"/>
      <c r="K823" s="38"/>
      <c r="L823" s="38"/>
      <c r="M823" s="36" t="s">
        <v>60</v>
      </c>
      <c r="N823" s="15" t="s">
        <v>152</v>
      </c>
      <c r="O823" s="36" t="s">
        <v>162</v>
      </c>
      <c r="P823" s="36" t="str">
        <f t="shared" ref="P823:P886" si="26">IF(LEN(TRIM(F823))&gt;0,F823,E823)</f>
        <v>WMTS_1/1000地形圖_臺中市鐵砧山風景特定區計畫(93年)</v>
      </c>
      <c r="Q823" s="29" t="s">
        <v>3443</v>
      </c>
      <c r="R823" s="29" t="str">
        <f t="shared" ref="R823:R886" si="27">D823</f>
        <v>2dms_wmts_v1_TOPO01K_B12</v>
      </c>
      <c r="S823" s="39" t="s">
        <v>155</v>
      </c>
      <c r="U823" s="27" t="str">
        <f>_xlfn.XLOOKUP(表格1[[#This Row],[服務類別(英)]],參考2_服務標準對照!$B:$B,參考2_服務標準對照!$C:$C,"")&amp;""</f>
        <v>OGC</v>
      </c>
      <c r="V823" s="29" t="s">
        <v>7</v>
      </c>
      <c r="W823" s="29" t="s">
        <v>163</v>
      </c>
      <c r="X823" s="29" t="s">
        <v>81</v>
      </c>
      <c r="Y823" s="36" t="s">
        <v>83</v>
      </c>
      <c r="Z823" s="36" t="s">
        <v>157</v>
      </c>
      <c r="AA823" s="36" t="s">
        <v>1159</v>
      </c>
      <c r="AB823" s="36"/>
      <c r="AC823" s="36"/>
      <c r="AD823" s="29" t="s">
        <v>119</v>
      </c>
      <c r="AE823" s="36" t="str">
        <f>_xlfn.XLOOKUP(表格1[[#This Row],[唯一識別碼]],API清冊0707!B:B,API清冊0707!T:T,"")&amp;""</f>
        <v>無下拉選單</v>
      </c>
    </row>
    <row r="824" spans="1:31" ht="208.5" customHeight="1" x14ac:dyDescent="0.4">
      <c r="A824" s="29" t="s">
        <v>3444</v>
      </c>
      <c r="B824" s="29"/>
      <c r="C824" s="29"/>
      <c r="D824" s="29" t="s">
        <v>3445</v>
      </c>
      <c r="E824" s="29" t="s">
        <v>3446</v>
      </c>
      <c r="F824" s="29" t="s">
        <v>3447</v>
      </c>
      <c r="G824" s="35"/>
      <c r="H824" s="35" t="s">
        <v>151</v>
      </c>
      <c r="I824" s="29" t="s">
        <v>3444</v>
      </c>
      <c r="J824" s="37"/>
      <c r="K824" s="38"/>
      <c r="L824" s="38"/>
      <c r="M824" s="36" t="s">
        <v>60</v>
      </c>
      <c r="N824" s="15" t="s">
        <v>152</v>
      </c>
      <c r="O824" s="36" t="s">
        <v>162</v>
      </c>
      <c r="P824" s="36" t="str">
        <f t="shared" si="26"/>
        <v>WMTS_1/1000地形圖_臺中市鐵砧山都市計畫(93年)</v>
      </c>
      <c r="Q824" s="29" t="s">
        <v>3447</v>
      </c>
      <c r="R824" s="29" t="str">
        <f t="shared" si="27"/>
        <v>2dms_wmts_v1_TOPO01K_B11</v>
      </c>
      <c r="S824" s="39" t="s">
        <v>155</v>
      </c>
      <c r="U824" s="27" t="str">
        <f>_xlfn.XLOOKUP(表格1[[#This Row],[服務類別(英)]],參考2_服務標準對照!$B:$B,參考2_服務標準對照!$C:$C,"")&amp;""</f>
        <v>OGC</v>
      </c>
      <c r="V824" s="29" t="s">
        <v>7</v>
      </c>
      <c r="W824" s="29" t="s">
        <v>163</v>
      </c>
      <c r="X824" s="29" t="s">
        <v>81</v>
      </c>
      <c r="Y824" s="36" t="s">
        <v>83</v>
      </c>
      <c r="Z824" s="36" t="s">
        <v>157</v>
      </c>
      <c r="AA824" s="36" t="s">
        <v>1159</v>
      </c>
      <c r="AB824" s="36"/>
      <c r="AC824" s="36"/>
      <c r="AD824" s="29" t="s">
        <v>119</v>
      </c>
      <c r="AE824" s="36" t="str">
        <f>_xlfn.XLOOKUP(表格1[[#This Row],[唯一識別碼]],API清冊0707!B:B,API清冊0707!T:T,"")&amp;""</f>
        <v>無下拉選單</v>
      </c>
    </row>
    <row r="825" spans="1:31" ht="204.75" customHeight="1" x14ac:dyDescent="0.4">
      <c r="A825" s="29" t="s">
        <v>3448</v>
      </c>
      <c r="B825" s="29"/>
      <c r="C825" s="29"/>
      <c r="D825" s="29" t="s">
        <v>3449</v>
      </c>
      <c r="E825" s="29" t="s">
        <v>3450</v>
      </c>
      <c r="F825" s="29" t="s">
        <v>3451</v>
      </c>
      <c r="G825" s="35"/>
      <c r="H825" s="35" t="s">
        <v>151</v>
      </c>
      <c r="I825" s="29" t="s">
        <v>3448</v>
      </c>
      <c r="J825" s="37"/>
      <c r="K825" s="38"/>
      <c r="L825" s="38"/>
      <c r="M825" s="36" t="s">
        <v>60</v>
      </c>
      <c r="N825" s="15" t="s">
        <v>152</v>
      </c>
      <c r="O825" s="36" t="s">
        <v>162</v>
      </c>
      <c r="P825" s="36" t="str">
        <f t="shared" si="26"/>
        <v>WMTS_1/1000地形圖_臺中市中部科學工業園區(93年)</v>
      </c>
      <c r="Q825" s="29" t="s">
        <v>3451</v>
      </c>
      <c r="R825" s="29" t="str">
        <f t="shared" si="27"/>
        <v>2dms_wmts_v1_TOPO01K_B10</v>
      </c>
      <c r="S825" s="39" t="s">
        <v>155</v>
      </c>
      <c r="U825" s="27" t="str">
        <f>_xlfn.XLOOKUP(表格1[[#This Row],[服務類別(英)]],參考2_服務標準對照!$B:$B,參考2_服務標準對照!$C:$C,"")&amp;""</f>
        <v>OGC</v>
      </c>
      <c r="V825" s="29" t="s">
        <v>7</v>
      </c>
      <c r="W825" s="29" t="s">
        <v>163</v>
      </c>
      <c r="X825" s="29" t="s">
        <v>81</v>
      </c>
      <c r="Y825" s="36" t="s">
        <v>83</v>
      </c>
      <c r="Z825" s="36" t="s">
        <v>157</v>
      </c>
      <c r="AA825" s="36" t="s">
        <v>1159</v>
      </c>
      <c r="AB825" s="36"/>
      <c r="AC825" s="36"/>
      <c r="AD825" s="29" t="s">
        <v>119</v>
      </c>
      <c r="AE825" s="36" t="str">
        <f>_xlfn.XLOOKUP(表格1[[#This Row],[唯一識別碼]],API清冊0707!B:B,API清冊0707!T:T,"")&amp;""</f>
        <v>無下拉選單</v>
      </c>
    </row>
    <row r="826" spans="1:31" ht="204.75" customHeight="1" x14ac:dyDescent="0.4">
      <c r="A826" s="29" t="s">
        <v>3452</v>
      </c>
      <c r="B826" s="29"/>
      <c r="C826" s="29"/>
      <c r="D826" s="29" t="s">
        <v>3453</v>
      </c>
      <c r="E826" s="29" t="s">
        <v>3454</v>
      </c>
      <c r="F826" s="29" t="s">
        <v>3455</v>
      </c>
      <c r="G826" s="35"/>
      <c r="H826" s="35" t="s">
        <v>151</v>
      </c>
      <c r="I826" s="29" t="s">
        <v>3452</v>
      </c>
      <c r="J826" s="37"/>
      <c r="K826" s="38"/>
      <c r="L826" s="38"/>
      <c r="M826" s="36" t="s">
        <v>60</v>
      </c>
      <c r="N826" s="15" t="s">
        <v>152</v>
      </c>
      <c r="O826" s="36" t="s">
        <v>162</v>
      </c>
      <c r="P826" s="36" t="str">
        <f t="shared" si="26"/>
        <v>WMTS_1/1000地形圖_臺中市霧峰都市計畫(92年)</v>
      </c>
      <c r="Q826" s="29" t="s">
        <v>3455</v>
      </c>
      <c r="R826" s="29" t="str">
        <f t="shared" si="27"/>
        <v>2dms_wmts_v1_TOPO01K_B09</v>
      </c>
      <c r="S826" s="39" t="s">
        <v>155</v>
      </c>
      <c r="U826" s="27" t="str">
        <f>_xlfn.XLOOKUP(表格1[[#This Row],[服務類別(英)]],參考2_服務標準對照!$B:$B,參考2_服務標準對照!$C:$C,"")&amp;""</f>
        <v>OGC</v>
      </c>
      <c r="V826" s="29" t="s">
        <v>7</v>
      </c>
      <c r="W826" s="29" t="s">
        <v>163</v>
      </c>
      <c r="X826" s="29" t="s">
        <v>81</v>
      </c>
      <c r="Y826" s="36" t="s">
        <v>83</v>
      </c>
      <c r="Z826" s="36" t="s">
        <v>157</v>
      </c>
      <c r="AA826" s="36" t="s">
        <v>1159</v>
      </c>
      <c r="AB826" s="36"/>
      <c r="AC826" s="36"/>
      <c r="AD826" s="29" t="s">
        <v>119</v>
      </c>
      <c r="AE826" s="36" t="str">
        <f>_xlfn.XLOOKUP(表格1[[#This Row],[唯一識別碼]],API清冊0707!B:B,API清冊0707!T:T,"")&amp;""</f>
        <v>無下拉選單</v>
      </c>
    </row>
    <row r="827" spans="1:31" ht="204.75" customHeight="1" x14ac:dyDescent="0.4">
      <c r="A827" s="29" t="s">
        <v>3456</v>
      </c>
      <c r="B827" s="29"/>
      <c r="C827" s="29"/>
      <c r="D827" s="29" t="s">
        <v>3457</v>
      </c>
      <c r="E827" s="29" t="s">
        <v>3458</v>
      </c>
      <c r="F827" s="29" t="s">
        <v>3459</v>
      </c>
      <c r="G827" s="35"/>
      <c r="H827" s="35" t="s">
        <v>151</v>
      </c>
      <c r="I827" s="29" t="s">
        <v>3456</v>
      </c>
      <c r="J827" s="37"/>
      <c r="K827" s="38"/>
      <c r="L827" s="38"/>
      <c r="M827" s="36" t="s">
        <v>60</v>
      </c>
      <c r="N827" s="15" t="s">
        <v>152</v>
      </c>
      <c r="O827" s="36" t="s">
        <v>162</v>
      </c>
      <c r="P827" s="36" t="str">
        <f t="shared" si="26"/>
        <v>WMTS_1/1000地形圖_臺中市石岡水壩都市計畫(91年)</v>
      </c>
      <c r="Q827" s="29" t="s">
        <v>3459</v>
      </c>
      <c r="R827" s="29" t="str">
        <f t="shared" si="27"/>
        <v>2dms_wmts_v1_TOPO01K_B08</v>
      </c>
      <c r="S827" s="39" t="s">
        <v>155</v>
      </c>
      <c r="U827" s="27" t="str">
        <f>_xlfn.XLOOKUP(表格1[[#This Row],[服務類別(英)]],參考2_服務標準對照!$B:$B,參考2_服務標準對照!$C:$C,"")&amp;""</f>
        <v>OGC</v>
      </c>
      <c r="V827" s="29" t="s">
        <v>7</v>
      </c>
      <c r="W827" s="29" t="s">
        <v>163</v>
      </c>
      <c r="X827" s="29" t="s">
        <v>81</v>
      </c>
      <c r="Y827" s="36" t="s">
        <v>83</v>
      </c>
      <c r="Z827" s="36" t="s">
        <v>157</v>
      </c>
      <c r="AA827" s="36" t="s">
        <v>1159</v>
      </c>
      <c r="AB827" s="36"/>
      <c r="AC827" s="36"/>
      <c r="AD827" s="29" t="s">
        <v>119</v>
      </c>
      <c r="AE827" s="36" t="str">
        <f>_xlfn.XLOOKUP(表格1[[#This Row],[唯一識別碼]],API清冊0707!B:B,API清冊0707!T:T,"")&amp;""</f>
        <v>無下拉選單</v>
      </c>
    </row>
    <row r="828" spans="1:31" ht="204.75" customHeight="1" x14ac:dyDescent="0.4">
      <c r="A828" s="29" t="s">
        <v>3460</v>
      </c>
      <c r="B828" s="29"/>
      <c r="C828" s="29"/>
      <c r="D828" s="29" t="s">
        <v>3461</v>
      </c>
      <c r="E828" s="29" t="s">
        <v>3462</v>
      </c>
      <c r="F828" s="29" t="s">
        <v>3463</v>
      </c>
      <c r="G828" s="35"/>
      <c r="H828" s="35" t="s">
        <v>151</v>
      </c>
      <c r="I828" s="29" t="s">
        <v>3460</v>
      </c>
      <c r="J828" s="37"/>
      <c r="K828" s="38"/>
      <c r="L828" s="38"/>
      <c r="M828" s="36" t="s">
        <v>60</v>
      </c>
      <c r="N828" s="15" t="s">
        <v>152</v>
      </c>
      <c r="O828" s="36" t="s">
        <v>162</v>
      </c>
      <c r="P828" s="36" t="str">
        <f t="shared" si="26"/>
        <v>WMTS_1/1000地形圖_臺中市烏日都市計畫(91年)</v>
      </c>
      <c r="Q828" s="29" t="s">
        <v>3463</v>
      </c>
      <c r="R828" s="29" t="str">
        <f t="shared" si="27"/>
        <v>2dms_wmts_v1_TOPO01K_B07</v>
      </c>
      <c r="S828" s="39" t="s">
        <v>155</v>
      </c>
      <c r="U828" s="27" t="str">
        <f>_xlfn.XLOOKUP(表格1[[#This Row],[服務類別(英)]],參考2_服務標準對照!$B:$B,參考2_服務標準對照!$C:$C,"")&amp;""</f>
        <v>OGC</v>
      </c>
      <c r="V828" s="29" t="s">
        <v>7</v>
      </c>
      <c r="W828" s="29" t="s">
        <v>163</v>
      </c>
      <c r="X828" s="29" t="s">
        <v>81</v>
      </c>
      <c r="Y828" s="36" t="s">
        <v>83</v>
      </c>
      <c r="Z828" s="36" t="s">
        <v>157</v>
      </c>
      <c r="AA828" s="36" t="s">
        <v>1159</v>
      </c>
      <c r="AB828" s="36"/>
      <c r="AC828" s="36"/>
      <c r="AD828" s="29" t="s">
        <v>119</v>
      </c>
      <c r="AE828" s="36" t="str">
        <f>_xlfn.XLOOKUP(表格1[[#This Row],[唯一識別碼]],API清冊0707!B:B,API清冊0707!T:T,"")&amp;""</f>
        <v>無下拉選單</v>
      </c>
    </row>
    <row r="829" spans="1:31" ht="204.75" customHeight="1" x14ac:dyDescent="0.4">
      <c r="A829" s="29" t="s">
        <v>3464</v>
      </c>
      <c r="B829" s="29"/>
      <c r="C829" s="29"/>
      <c r="D829" s="29" t="s">
        <v>3465</v>
      </c>
      <c r="E829" s="29" t="s">
        <v>3466</v>
      </c>
      <c r="F829" s="29" t="s">
        <v>3467</v>
      </c>
      <c r="G829" s="35"/>
      <c r="H829" s="35" t="s">
        <v>151</v>
      </c>
      <c r="I829" s="29" t="s">
        <v>3464</v>
      </c>
      <c r="J829" s="37"/>
      <c r="K829" s="38"/>
      <c r="L829" s="38"/>
      <c r="M829" s="36" t="s">
        <v>60</v>
      </c>
      <c r="N829" s="15" t="s">
        <v>152</v>
      </c>
      <c r="O829" s="36" t="s">
        <v>162</v>
      </c>
      <c r="P829" s="36" t="str">
        <f t="shared" si="26"/>
        <v>WMTS_1/1000地形圖_臺中市東勢都市計畫(91年)</v>
      </c>
      <c r="Q829" s="29" t="s">
        <v>3467</v>
      </c>
      <c r="R829" s="29" t="str">
        <f t="shared" si="27"/>
        <v>2dms_wmts_v1_TOPO01K_B06</v>
      </c>
      <c r="S829" s="39" t="s">
        <v>155</v>
      </c>
      <c r="U829" s="27" t="str">
        <f>_xlfn.XLOOKUP(表格1[[#This Row],[服務類別(英)]],參考2_服務標準對照!$B:$B,參考2_服務標準對照!$C:$C,"")&amp;""</f>
        <v>OGC</v>
      </c>
      <c r="V829" s="29" t="s">
        <v>7</v>
      </c>
      <c r="W829" s="29" t="s">
        <v>163</v>
      </c>
      <c r="X829" s="29" t="s">
        <v>81</v>
      </c>
      <c r="Y829" s="36" t="s">
        <v>83</v>
      </c>
      <c r="Z829" s="36" t="s">
        <v>157</v>
      </c>
      <c r="AA829" s="36" t="s">
        <v>1159</v>
      </c>
      <c r="AB829" s="36"/>
      <c r="AC829" s="36"/>
      <c r="AD829" s="29" t="s">
        <v>119</v>
      </c>
      <c r="AE829" s="36" t="str">
        <f>_xlfn.XLOOKUP(表格1[[#This Row],[唯一識別碼]],API清冊0707!B:B,API清冊0707!T:T,"")&amp;""</f>
        <v>無下拉選單</v>
      </c>
    </row>
    <row r="830" spans="1:31" ht="204.75" customHeight="1" x14ac:dyDescent="0.4">
      <c r="A830" s="29" t="s">
        <v>3468</v>
      </c>
      <c r="B830" s="29"/>
      <c r="C830" s="29"/>
      <c r="D830" s="29" t="s">
        <v>3469</v>
      </c>
      <c r="E830" s="29" t="s">
        <v>3470</v>
      </c>
      <c r="F830" s="29" t="s">
        <v>3471</v>
      </c>
      <c r="G830" s="35"/>
      <c r="H830" s="35" t="s">
        <v>151</v>
      </c>
      <c r="I830" s="29" t="s">
        <v>3468</v>
      </c>
      <c r="J830" s="37"/>
      <c r="K830" s="38"/>
      <c r="L830" s="38"/>
      <c r="M830" s="36" t="s">
        <v>60</v>
      </c>
      <c r="N830" s="15" t="s">
        <v>152</v>
      </c>
      <c r="O830" s="36" t="s">
        <v>162</v>
      </c>
      <c r="P830" s="36" t="str">
        <f t="shared" si="26"/>
        <v>WMTS_1/1000地形圖_臺中市新社都市計畫(91年)</v>
      </c>
      <c r="Q830" s="29" t="s">
        <v>3471</v>
      </c>
      <c r="R830" s="29" t="str">
        <f t="shared" si="27"/>
        <v>2dms_wmts_v1_TOPO01K_B05</v>
      </c>
      <c r="S830" s="39" t="s">
        <v>155</v>
      </c>
      <c r="U830" s="27" t="str">
        <f>_xlfn.XLOOKUP(表格1[[#This Row],[服務類別(英)]],參考2_服務標準對照!$B:$B,參考2_服務標準對照!$C:$C,"")&amp;""</f>
        <v>OGC</v>
      </c>
      <c r="V830" s="29" t="s">
        <v>7</v>
      </c>
      <c r="W830" s="29" t="s">
        <v>163</v>
      </c>
      <c r="X830" s="29" t="s">
        <v>81</v>
      </c>
      <c r="Y830" s="36" t="s">
        <v>83</v>
      </c>
      <c r="Z830" s="36" t="s">
        <v>157</v>
      </c>
      <c r="AA830" s="36" t="s">
        <v>1159</v>
      </c>
      <c r="AB830" s="36"/>
      <c r="AC830" s="36"/>
      <c r="AD830" s="29" t="s">
        <v>119</v>
      </c>
      <c r="AE830" s="36" t="str">
        <f>_xlfn.XLOOKUP(表格1[[#This Row],[唯一識別碼]],API清冊0707!B:B,API清冊0707!T:T,"")&amp;""</f>
        <v>無下拉選單</v>
      </c>
    </row>
    <row r="831" spans="1:31" ht="204.75" customHeight="1" x14ac:dyDescent="0.4">
      <c r="A831" s="29" t="s">
        <v>3472</v>
      </c>
      <c r="B831" s="29"/>
      <c r="C831" s="29"/>
      <c r="D831" s="29" t="s">
        <v>3473</v>
      </c>
      <c r="E831" s="29" t="s">
        <v>3474</v>
      </c>
      <c r="F831" s="29" t="s">
        <v>3475</v>
      </c>
      <c r="G831" s="35"/>
      <c r="H831" s="35" t="s">
        <v>151</v>
      </c>
      <c r="I831" s="29" t="s">
        <v>3472</v>
      </c>
      <c r="J831" s="37"/>
      <c r="K831" s="38"/>
      <c r="L831" s="38"/>
      <c r="M831" s="36" t="s">
        <v>60</v>
      </c>
      <c r="N831" s="15" t="s">
        <v>152</v>
      </c>
      <c r="O831" s="36" t="s">
        <v>162</v>
      </c>
      <c r="P831" s="36" t="str">
        <f t="shared" si="26"/>
        <v>WMTS_1/1000地形圖_臺中市大里(草湖)都市計畫(91年)</v>
      </c>
      <c r="Q831" s="29" t="s">
        <v>3475</v>
      </c>
      <c r="R831" s="29" t="str">
        <f t="shared" si="27"/>
        <v>2dms_wmts_v1_TOPO01K_B04</v>
      </c>
      <c r="S831" s="39" t="s">
        <v>155</v>
      </c>
      <c r="U831" s="27" t="str">
        <f>_xlfn.XLOOKUP(表格1[[#This Row],[服務類別(英)]],參考2_服務標準對照!$B:$B,參考2_服務標準對照!$C:$C,"")&amp;""</f>
        <v>OGC</v>
      </c>
      <c r="V831" s="29" t="s">
        <v>7</v>
      </c>
      <c r="W831" s="29" t="s">
        <v>163</v>
      </c>
      <c r="X831" s="29" t="s">
        <v>81</v>
      </c>
      <c r="Y831" s="36" t="s">
        <v>83</v>
      </c>
      <c r="Z831" s="36" t="s">
        <v>157</v>
      </c>
      <c r="AA831" s="36" t="s">
        <v>1159</v>
      </c>
      <c r="AB831" s="36"/>
      <c r="AC831" s="36"/>
      <c r="AD831" s="29" t="s">
        <v>119</v>
      </c>
      <c r="AE831" s="36" t="str">
        <f>_xlfn.XLOOKUP(表格1[[#This Row],[唯一識別碼]],API清冊0707!B:B,API清冊0707!T:T,"")&amp;""</f>
        <v>無下拉選單</v>
      </c>
    </row>
    <row r="832" spans="1:31" ht="208.5" customHeight="1" x14ac:dyDescent="0.4">
      <c r="A832" s="29" t="s">
        <v>3476</v>
      </c>
      <c r="B832" s="29"/>
      <c r="C832" s="29"/>
      <c r="D832" s="29" t="s">
        <v>3477</v>
      </c>
      <c r="E832" s="29" t="s">
        <v>3478</v>
      </c>
      <c r="F832" s="29" t="s">
        <v>3479</v>
      </c>
      <c r="G832" s="35"/>
      <c r="H832" s="35" t="s">
        <v>151</v>
      </c>
      <c r="I832" s="29" t="s">
        <v>3476</v>
      </c>
      <c r="J832" s="37"/>
      <c r="K832" s="38"/>
      <c r="L832" s="38"/>
      <c r="M832" s="36" t="s">
        <v>60</v>
      </c>
      <c r="N832" s="15" t="s">
        <v>152</v>
      </c>
      <c r="O832" s="36" t="s">
        <v>162</v>
      </c>
      <c r="P832" s="36" t="str">
        <f t="shared" si="26"/>
        <v>WMTS_1/1000地形圖_臺中市太平都市計畫(90年)</v>
      </c>
      <c r="Q832" s="29" t="s">
        <v>3479</v>
      </c>
      <c r="R832" s="29" t="str">
        <f t="shared" si="27"/>
        <v>2dms_wmts_v1_TOPO01K_B03</v>
      </c>
      <c r="S832" s="39" t="s">
        <v>155</v>
      </c>
      <c r="U832" s="27" t="str">
        <f>_xlfn.XLOOKUP(表格1[[#This Row],[服務類別(英)]],參考2_服務標準對照!$B:$B,參考2_服務標準對照!$C:$C,"")&amp;""</f>
        <v>OGC</v>
      </c>
      <c r="V832" s="29" t="s">
        <v>7</v>
      </c>
      <c r="W832" s="29" t="s">
        <v>163</v>
      </c>
      <c r="X832" s="29" t="s">
        <v>81</v>
      </c>
      <c r="Y832" s="36" t="s">
        <v>83</v>
      </c>
      <c r="Z832" s="36" t="s">
        <v>157</v>
      </c>
      <c r="AA832" s="36" t="s">
        <v>1159</v>
      </c>
      <c r="AB832" s="36"/>
      <c r="AC832" s="36"/>
      <c r="AD832" s="29" t="s">
        <v>119</v>
      </c>
      <c r="AE832" s="36" t="str">
        <f>_xlfn.XLOOKUP(表格1[[#This Row],[唯一識別碼]],API清冊0707!B:B,API清冊0707!T:T,"")&amp;""</f>
        <v>無下拉選單</v>
      </c>
    </row>
    <row r="833" spans="1:31" ht="208.5" customHeight="1" x14ac:dyDescent="0.4">
      <c r="A833" s="29" t="s">
        <v>3480</v>
      </c>
      <c r="B833" s="29"/>
      <c r="C833" s="29"/>
      <c r="D833" s="29" t="s">
        <v>3481</v>
      </c>
      <c r="E833" s="29" t="s">
        <v>3482</v>
      </c>
      <c r="F833" s="29" t="s">
        <v>3483</v>
      </c>
      <c r="G833" s="35"/>
      <c r="H833" s="35" t="s">
        <v>151</v>
      </c>
      <c r="I833" s="29" t="s">
        <v>3480</v>
      </c>
      <c r="J833" s="37"/>
      <c r="K833" s="38"/>
      <c r="L833" s="38"/>
      <c r="M833" s="36" t="s">
        <v>60</v>
      </c>
      <c r="N833" s="15" t="s">
        <v>152</v>
      </c>
      <c r="O833" s="36" t="s">
        <v>162</v>
      </c>
      <c r="P833" s="36" t="str">
        <f t="shared" si="26"/>
        <v>WMTS_1/1000地形圖_臺中市太平(新光)都市計畫(90年)</v>
      </c>
      <c r="Q833" s="29" t="s">
        <v>3483</v>
      </c>
      <c r="R833" s="29" t="str">
        <f t="shared" si="27"/>
        <v>2dms_wmts_v1_TOPO01K_B02</v>
      </c>
      <c r="S833" s="39" t="s">
        <v>155</v>
      </c>
      <c r="U833" s="27" t="str">
        <f>_xlfn.XLOOKUP(表格1[[#This Row],[服務類別(英)]],參考2_服務標準對照!$B:$B,參考2_服務標準對照!$C:$C,"")&amp;""</f>
        <v>OGC</v>
      </c>
      <c r="V833" s="29" t="s">
        <v>7</v>
      </c>
      <c r="W833" s="29" t="s">
        <v>163</v>
      </c>
      <c r="X833" s="29" t="s">
        <v>81</v>
      </c>
      <c r="Y833" s="36" t="s">
        <v>83</v>
      </c>
      <c r="Z833" s="36" t="s">
        <v>157</v>
      </c>
      <c r="AA833" s="36" t="s">
        <v>1159</v>
      </c>
      <c r="AB833" s="36"/>
      <c r="AC833" s="36"/>
      <c r="AD833" s="29" t="s">
        <v>119</v>
      </c>
      <c r="AE833" s="36" t="str">
        <f>_xlfn.XLOOKUP(表格1[[#This Row],[唯一識別碼]],API清冊0707!B:B,API清冊0707!T:T,"")&amp;""</f>
        <v>無下拉選單</v>
      </c>
    </row>
    <row r="834" spans="1:31" ht="204.75" customHeight="1" x14ac:dyDescent="0.4">
      <c r="A834" s="29" t="s">
        <v>3484</v>
      </c>
      <c r="B834" s="29"/>
      <c r="C834" s="29"/>
      <c r="D834" s="29" t="s">
        <v>3485</v>
      </c>
      <c r="E834" s="29" t="s">
        <v>3478</v>
      </c>
      <c r="F834" s="29" t="s">
        <v>3486</v>
      </c>
      <c r="G834" s="35"/>
      <c r="H834" s="35" t="s">
        <v>151</v>
      </c>
      <c r="I834" s="29" t="s">
        <v>3484</v>
      </c>
      <c r="J834" s="37"/>
      <c r="K834" s="38"/>
      <c r="L834" s="38"/>
      <c r="M834" s="36" t="s">
        <v>60</v>
      </c>
      <c r="N834" s="15" t="s">
        <v>152</v>
      </c>
      <c r="O834" s="36" t="s">
        <v>162</v>
      </c>
      <c r="P834" s="36" t="str">
        <f t="shared" si="26"/>
        <v>WMTS_1/1000地形圖_臺中市太平(中平)都市計畫(90年)</v>
      </c>
      <c r="Q834" s="29" t="s">
        <v>3486</v>
      </c>
      <c r="R834" s="29" t="str">
        <f t="shared" si="27"/>
        <v>2dms_wmts_v1_TOPO01K_B01</v>
      </c>
      <c r="S834" s="39" t="s">
        <v>155</v>
      </c>
      <c r="U834" s="27" t="str">
        <f>_xlfn.XLOOKUP(表格1[[#This Row],[服務類別(英)]],參考2_服務標準對照!$B:$B,參考2_服務標準對照!$C:$C,"")&amp;""</f>
        <v>OGC</v>
      </c>
      <c r="V834" s="29" t="s">
        <v>7</v>
      </c>
      <c r="W834" s="29" t="s">
        <v>163</v>
      </c>
      <c r="X834" s="29" t="s">
        <v>81</v>
      </c>
      <c r="Y834" s="36" t="s">
        <v>83</v>
      </c>
      <c r="Z834" s="36" t="s">
        <v>157</v>
      </c>
      <c r="AA834" s="36" t="s">
        <v>1159</v>
      </c>
      <c r="AB834" s="36"/>
      <c r="AC834" s="36"/>
      <c r="AD834" s="29" t="s">
        <v>119</v>
      </c>
      <c r="AE834" s="36" t="str">
        <f>_xlfn.XLOOKUP(表格1[[#This Row],[唯一識別碼]],API清冊0707!B:B,API清冊0707!T:T,"")&amp;""</f>
        <v>無下拉選單</v>
      </c>
    </row>
    <row r="835" spans="1:31" ht="204.75" customHeight="1" x14ac:dyDescent="0.4">
      <c r="A835" s="29" t="s">
        <v>3487</v>
      </c>
      <c r="B835" s="29"/>
      <c r="C835" s="29"/>
      <c r="D835" s="29" t="s">
        <v>3488</v>
      </c>
      <c r="E835" s="29" t="s">
        <v>3489</v>
      </c>
      <c r="F835" s="29" t="s">
        <v>3490</v>
      </c>
      <c r="G835" s="35"/>
      <c r="H835" s="35" t="s">
        <v>151</v>
      </c>
      <c r="I835" s="29" t="s">
        <v>3487</v>
      </c>
      <c r="J835" s="37"/>
      <c r="K835" s="38"/>
      <c r="L835" s="38"/>
      <c r="M835" s="36" t="s">
        <v>60</v>
      </c>
      <c r="N835" s="15" t="s">
        <v>152</v>
      </c>
      <c r="O835" s="36" t="s">
        <v>162</v>
      </c>
      <c r="P835" s="36" t="str">
        <f t="shared" si="26"/>
        <v>WMTS_土壤液化潛勢_中級</v>
      </c>
      <c r="Q835" s="29" t="s">
        <v>3491</v>
      </c>
      <c r="R835" s="29" t="str">
        <f t="shared" si="27"/>
        <v>2dms_wmts_v1_SoilLiquefaction2</v>
      </c>
      <c r="S835" s="39" t="s">
        <v>155</v>
      </c>
      <c r="U835" s="27" t="str">
        <f>_xlfn.XLOOKUP(表格1[[#This Row],[服務類別(英)]],參考2_服務標準對照!$B:$B,參考2_服務標準對照!$C:$C,"")&amp;""</f>
        <v>OGC</v>
      </c>
      <c r="V835" s="29" t="s">
        <v>7</v>
      </c>
      <c r="W835" s="29" t="s">
        <v>163</v>
      </c>
      <c r="X835" s="29" t="s">
        <v>81</v>
      </c>
      <c r="Y835" s="36" t="s">
        <v>83</v>
      </c>
      <c r="Z835" s="36" t="s">
        <v>157</v>
      </c>
      <c r="AA835" s="36" t="s">
        <v>7</v>
      </c>
      <c r="AB835" s="36"/>
      <c r="AC835" s="36"/>
      <c r="AD835" s="29" t="s">
        <v>119</v>
      </c>
      <c r="AE835" s="36" t="str">
        <f>_xlfn.XLOOKUP(表格1[[#This Row],[唯一識別碼]],API清冊0707!B:B,API清冊0707!T:T,"")&amp;""</f>
        <v>無下拉選單</v>
      </c>
    </row>
    <row r="836" spans="1:31" ht="204.75" customHeight="1" x14ac:dyDescent="0.4">
      <c r="A836" s="29" t="s">
        <v>3492</v>
      </c>
      <c r="B836" s="29"/>
      <c r="C836" s="29"/>
      <c r="D836" s="29" t="s">
        <v>3493</v>
      </c>
      <c r="E836" s="29" t="s">
        <v>3494</v>
      </c>
      <c r="F836" s="29" t="s">
        <v>3495</v>
      </c>
      <c r="G836" s="35"/>
      <c r="H836" s="35" t="s">
        <v>151</v>
      </c>
      <c r="I836" s="29" t="s">
        <v>3492</v>
      </c>
      <c r="J836" s="37"/>
      <c r="K836" s="38"/>
      <c r="L836" s="38"/>
      <c r="M836" s="36" t="s">
        <v>60</v>
      </c>
      <c r="N836" s="15" t="s">
        <v>152</v>
      </c>
      <c r="O836" s="36" t="s">
        <v>162</v>
      </c>
      <c r="P836" s="36" t="str">
        <f t="shared" si="26"/>
        <v>WMTS_土壤液化潛勢_初級</v>
      </c>
      <c r="Q836" s="29" t="s">
        <v>3496</v>
      </c>
      <c r="R836" s="29" t="str">
        <f t="shared" si="27"/>
        <v>2dms_wmts_v1_SoilLiquefaction</v>
      </c>
      <c r="S836" s="39" t="s">
        <v>155</v>
      </c>
      <c r="U836" s="27" t="str">
        <f>_xlfn.XLOOKUP(表格1[[#This Row],[服務類別(英)]],參考2_服務標準對照!$B:$B,參考2_服務標準對照!$C:$C,"")&amp;""</f>
        <v>OGC</v>
      </c>
      <c r="V836" s="29" t="s">
        <v>7</v>
      </c>
      <c r="W836" s="29" t="s">
        <v>163</v>
      </c>
      <c r="X836" s="29" t="s">
        <v>81</v>
      </c>
      <c r="Y836" s="36" t="s">
        <v>83</v>
      </c>
      <c r="Z836" s="36" t="s">
        <v>157</v>
      </c>
      <c r="AA836" s="36" t="s">
        <v>7</v>
      </c>
      <c r="AB836" s="36"/>
      <c r="AC836" s="36"/>
      <c r="AD836" s="29" t="s">
        <v>119</v>
      </c>
      <c r="AE836" s="36" t="str">
        <f>_xlfn.XLOOKUP(表格1[[#This Row],[唯一識別碼]],API清冊0707!B:B,API清冊0707!T:T,"")&amp;""</f>
        <v>無下拉選單</v>
      </c>
    </row>
    <row r="837" spans="1:31" ht="204.75" customHeight="1" x14ac:dyDescent="0.4">
      <c r="A837" s="29" t="s">
        <v>3497</v>
      </c>
      <c r="B837" s="29"/>
      <c r="C837" s="29"/>
      <c r="D837" s="29" t="s">
        <v>3498</v>
      </c>
      <c r="E837" s="29" t="s">
        <v>3499</v>
      </c>
      <c r="F837" s="29" t="s">
        <v>3500</v>
      </c>
      <c r="G837" s="35"/>
      <c r="H837" s="35" t="s">
        <v>151</v>
      </c>
      <c r="I837" s="29" t="s">
        <v>3497</v>
      </c>
      <c r="J837" s="37"/>
      <c r="K837" s="38"/>
      <c r="L837" s="38"/>
      <c r="M837" s="36" t="s">
        <v>60</v>
      </c>
      <c r="N837" s="15" t="s">
        <v>152</v>
      </c>
      <c r="O837" s="36" t="s">
        <v>162</v>
      </c>
      <c r="P837" s="36" t="str">
        <f t="shared" si="26"/>
        <v>WMTS_OPENDATA_避難收容所</v>
      </c>
      <c r="Q837" s="29" t="s">
        <v>3501</v>
      </c>
      <c r="R837" s="29" t="str">
        <f t="shared" si="27"/>
        <v>2dms_wmts_v1_SHELTERS</v>
      </c>
      <c r="S837" s="39" t="s">
        <v>155</v>
      </c>
      <c r="U837" s="27" t="str">
        <f>_xlfn.XLOOKUP(表格1[[#This Row],[服務類別(英)]],參考2_服務標準對照!$B:$B,參考2_服務標準對照!$C:$C,"")&amp;""</f>
        <v>OGC</v>
      </c>
      <c r="V837" s="29" t="s">
        <v>7</v>
      </c>
      <c r="W837" s="29" t="s">
        <v>163</v>
      </c>
      <c r="X837" s="29" t="s">
        <v>81</v>
      </c>
      <c r="Y837" s="36" t="s">
        <v>83</v>
      </c>
      <c r="Z837" s="36" t="s">
        <v>157</v>
      </c>
      <c r="AA837" s="36" t="s">
        <v>7</v>
      </c>
      <c r="AB837" s="36"/>
      <c r="AC837" s="36"/>
      <c r="AD837" s="29" t="s">
        <v>119</v>
      </c>
      <c r="AE837" s="36" t="str">
        <f>_xlfn.XLOOKUP(表格1[[#This Row],[唯一識別碼]],API清冊0707!B:B,API清冊0707!T:T,"")&amp;""</f>
        <v>無下拉選單</v>
      </c>
    </row>
    <row r="838" spans="1:31" ht="189" customHeight="1" x14ac:dyDescent="0.4">
      <c r="A838" s="29" t="s">
        <v>3502</v>
      </c>
      <c r="B838" s="29"/>
      <c r="C838" s="29"/>
      <c r="D838" s="29" t="s">
        <v>3503</v>
      </c>
      <c r="E838" s="29" t="s">
        <v>3504</v>
      </c>
      <c r="F838" s="29" t="s">
        <v>3505</v>
      </c>
      <c r="G838" s="35"/>
      <c r="H838" s="35" t="s">
        <v>151</v>
      </c>
      <c r="I838" s="29" t="s">
        <v>3502</v>
      </c>
      <c r="J838" s="37"/>
      <c r="K838" s="38"/>
      <c r="L838" s="38"/>
      <c r="M838" s="36" t="s">
        <v>60</v>
      </c>
      <c r="N838" s="15" t="s">
        <v>152</v>
      </c>
      <c r="O838" s="36" t="s">
        <v>162</v>
      </c>
      <c r="P838" s="36" t="str">
        <f t="shared" si="26"/>
        <v>WMTS_臺灣通用電子地圖_各級學校範圍圖</v>
      </c>
      <c r="Q838" s="29" t="s">
        <v>3506</v>
      </c>
      <c r="R838" s="29" t="str">
        <f t="shared" si="27"/>
        <v>2dms_wmts_v1_SCHOOL</v>
      </c>
      <c r="S838" s="39" t="s">
        <v>155</v>
      </c>
      <c r="T838" s="27" t="s">
        <v>3507</v>
      </c>
      <c r="U838" s="27" t="str">
        <f>_xlfn.XLOOKUP(表格1[[#This Row],[服務類別(英)]],參考2_服務標準對照!$B:$B,參考2_服務標準對照!$C:$C,"")&amp;""</f>
        <v>OGC</v>
      </c>
      <c r="V838" s="29" t="s">
        <v>7</v>
      </c>
      <c r="W838" s="29" t="s">
        <v>163</v>
      </c>
      <c r="X838" s="29" t="s">
        <v>81</v>
      </c>
      <c r="Y838" s="36" t="s">
        <v>83</v>
      </c>
      <c r="Z838" s="36" t="s">
        <v>157</v>
      </c>
      <c r="AA838" s="36" t="s">
        <v>7</v>
      </c>
      <c r="AB838" s="36"/>
      <c r="AC838" s="36"/>
      <c r="AD838" s="29" t="s">
        <v>119</v>
      </c>
      <c r="AE838" s="36" t="str">
        <f>_xlfn.XLOOKUP(表格1[[#This Row],[唯一識別碼]],API清冊0707!B:B,API清冊0707!T:T,"")&amp;""</f>
        <v>無下拉選單</v>
      </c>
    </row>
    <row r="839" spans="1:31" ht="189" customHeight="1" x14ac:dyDescent="0.4">
      <c r="A839" s="29" t="s">
        <v>3508</v>
      </c>
      <c r="B839" s="29"/>
      <c r="C839" s="29"/>
      <c r="D839" s="29" t="s">
        <v>3509</v>
      </c>
      <c r="E839" s="29" t="s">
        <v>3510</v>
      </c>
      <c r="F839" s="29" t="s">
        <v>3511</v>
      </c>
      <c r="G839" s="35"/>
      <c r="H839" s="35" t="s">
        <v>151</v>
      </c>
      <c r="I839" s="29" t="s">
        <v>3508</v>
      </c>
      <c r="J839" s="37"/>
      <c r="K839" s="38"/>
      <c r="L839" s="38"/>
      <c r="M839" s="36" t="s">
        <v>60</v>
      </c>
      <c r="N839" s="15" t="s">
        <v>152</v>
      </c>
      <c r="O839" s="36" t="s">
        <v>162</v>
      </c>
      <c r="P839" s="36" t="str">
        <f t="shared" si="26"/>
        <v>WMTS_臺灣通用電子地圖_道路圖層(無文字)</v>
      </c>
      <c r="Q839" s="29" t="s">
        <v>3512</v>
      </c>
      <c r="R839" s="29" t="str">
        <f t="shared" si="27"/>
        <v>2dms_wmts_v1_ROAD</v>
      </c>
      <c r="S839" s="39" t="s">
        <v>155</v>
      </c>
      <c r="U839" s="27" t="str">
        <f>_xlfn.XLOOKUP(表格1[[#This Row],[服務類別(英)]],參考2_服務標準對照!$B:$B,參考2_服務標準對照!$C:$C,"")&amp;""</f>
        <v>OGC</v>
      </c>
      <c r="V839" s="29" t="s">
        <v>7</v>
      </c>
      <c r="W839" s="29" t="s">
        <v>163</v>
      </c>
      <c r="X839" s="29" t="s">
        <v>81</v>
      </c>
      <c r="Y839" s="36" t="s">
        <v>83</v>
      </c>
      <c r="Z839" s="36" t="s">
        <v>157</v>
      </c>
      <c r="AA839" s="36" t="s">
        <v>3513</v>
      </c>
      <c r="AB839" s="36"/>
      <c r="AC839" s="36"/>
      <c r="AD839" s="29" t="s">
        <v>119</v>
      </c>
      <c r="AE839" s="36" t="str">
        <f>_xlfn.XLOOKUP(表格1[[#This Row],[唯一識別碼]],API清冊0707!B:B,API清冊0707!T:T,"")&amp;""</f>
        <v>無下拉選單</v>
      </c>
    </row>
    <row r="840" spans="1:31" ht="204.75" customHeight="1" x14ac:dyDescent="0.4">
      <c r="A840" s="29" t="s">
        <v>3514</v>
      </c>
      <c r="B840" s="29"/>
      <c r="C840" s="29"/>
      <c r="D840" s="29" t="s">
        <v>3515</v>
      </c>
      <c r="E840" s="29" t="s">
        <v>3516</v>
      </c>
      <c r="F840" s="29" t="s">
        <v>3517</v>
      </c>
      <c r="G840" s="35"/>
      <c r="H840" s="35" t="s">
        <v>151</v>
      </c>
      <c r="I840" s="29" t="s">
        <v>3514</v>
      </c>
      <c r="J840" s="37"/>
      <c r="K840" s="38"/>
      <c r="L840" s="38"/>
      <c r="M840" s="36" t="s">
        <v>60</v>
      </c>
      <c r="N840" s="15" t="s">
        <v>152</v>
      </c>
      <c r="O840" s="36" t="s">
        <v>162</v>
      </c>
      <c r="P840" s="36" t="str">
        <f t="shared" si="26"/>
        <v>WMTS_蘭嶼鄉正射影像(109年)</v>
      </c>
      <c r="Q840" s="29" t="s">
        <v>3518</v>
      </c>
      <c r="R840" s="29" t="str">
        <f t="shared" si="27"/>
        <v>2dms_wmts_v1_PhotoVA</v>
      </c>
      <c r="S840" s="39" t="s">
        <v>155</v>
      </c>
      <c r="U840" s="27" t="str">
        <f>_xlfn.XLOOKUP(表格1[[#This Row],[服務類別(英)]],參考2_服務標準對照!$B:$B,參考2_服務標準對照!$C:$C,"")&amp;""</f>
        <v>OGC</v>
      </c>
      <c r="V840" s="29" t="s">
        <v>7</v>
      </c>
      <c r="W840" s="29" t="s">
        <v>163</v>
      </c>
      <c r="X840" s="29" t="s">
        <v>81</v>
      </c>
      <c r="Y840" s="36" t="s">
        <v>83</v>
      </c>
      <c r="Z840" s="36" t="s">
        <v>157</v>
      </c>
      <c r="AA840" s="36" t="s">
        <v>173</v>
      </c>
      <c r="AB840" s="36"/>
      <c r="AC840" s="36"/>
      <c r="AD840" s="29" t="s">
        <v>119</v>
      </c>
      <c r="AE840" s="36" t="str">
        <f>_xlfn.XLOOKUP(表格1[[#This Row],[唯一識別碼]],API清冊0707!B:B,API清冊0707!T:T,"")&amp;""</f>
        <v>無下拉選單</v>
      </c>
    </row>
    <row r="841" spans="1:31" ht="204.75" customHeight="1" x14ac:dyDescent="0.4">
      <c r="A841" s="29" t="s">
        <v>3519</v>
      </c>
      <c r="B841" s="29"/>
      <c r="C841" s="29"/>
      <c r="D841" s="29" t="s">
        <v>3520</v>
      </c>
      <c r="E841" s="29" t="s">
        <v>3521</v>
      </c>
      <c r="F841" s="29" t="s">
        <v>3522</v>
      </c>
      <c r="G841" s="35"/>
      <c r="H841" s="35" t="s">
        <v>151</v>
      </c>
      <c r="I841" s="29" t="s">
        <v>3519</v>
      </c>
      <c r="J841" s="37"/>
      <c r="K841" s="38"/>
      <c r="L841" s="38"/>
      <c r="M841" s="36" t="s">
        <v>60</v>
      </c>
      <c r="N841" s="15" t="s">
        <v>152</v>
      </c>
      <c r="O841" s="36" t="s">
        <v>162</v>
      </c>
      <c r="P841" s="36" t="str">
        <f t="shared" si="26"/>
        <v>WMTS_正射影像(套疊交通路網)</v>
      </c>
      <c r="Q841" s="29" t="s">
        <v>3523</v>
      </c>
      <c r="R841" s="29" t="str">
        <f t="shared" si="27"/>
        <v>2dms_wmts_v1_PhotoMIX</v>
      </c>
      <c r="S841" s="39" t="s">
        <v>155</v>
      </c>
      <c r="U841" s="27" t="str">
        <f>_xlfn.XLOOKUP(表格1[[#This Row],[服務類別(英)]],參考2_服務標準對照!$B:$B,參考2_服務標準對照!$C:$C,"")&amp;""</f>
        <v>OGC</v>
      </c>
      <c r="V841" s="29" t="s">
        <v>7</v>
      </c>
      <c r="W841" s="29" t="s">
        <v>163</v>
      </c>
      <c r="X841" s="29" t="s">
        <v>81</v>
      </c>
      <c r="Y841" s="36" t="s">
        <v>83</v>
      </c>
      <c r="Z841" s="36" t="s">
        <v>157</v>
      </c>
      <c r="AA841" s="36" t="s">
        <v>173</v>
      </c>
      <c r="AB841" s="36"/>
      <c r="AC841" s="36"/>
      <c r="AD841" s="29" t="s">
        <v>119</v>
      </c>
      <c r="AE841" s="36" t="str">
        <f>_xlfn.XLOOKUP(表格1[[#This Row],[唯一識別碼]],API清冊0707!B:B,API清冊0707!T:T,"")&amp;""</f>
        <v>無下拉選單</v>
      </c>
    </row>
    <row r="842" spans="1:31" ht="220.5" customHeight="1" x14ac:dyDescent="0.4">
      <c r="A842" s="29" t="s">
        <v>3524</v>
      </c>
      <c r="B842" s="29"/>
      <c r="C842" s="29"/>
      <c r="D842" s="29" t="s">
        <v>3525</v>
      </c>
      <c r="E842" s="29" t="s">
        <v>3526</v>
      </c>
      <c r="F842" s="29" t="s">
        <v>3527</v>
      </c>
      <c r="G842" s="35"/>
      <c r="H842" s="35" t="s">
        <v>151</v>
      </c>
      <c r="I842" s="29" t="s">
        <v>3524</v>
      </c>
      <c r="J842" s="37"/>
      <c r="K842" s="38"/>
      <c r="L842" s="38"/>
      <c r="M842" s="36" t="s">
        <v>60</v>
      </c>
      <c r="N842" s="15" t="s">
        <v>152</v>
      </c>
      <c r="O842" s="36" t="s">
        <v>162</v>
      </c>
      <c r="P842" s="36" t="str">
        <f t="shared" si="26"/>
        <v>WMTS_正射影像圖TWD97/TM2 Zone 121</v>
      </c>
      <c r="Q842" s="29" t="s">
        <v>3527</v>
      </c>
      <c r="R842" s="29" t="str">
        <f t="shared" si="27"/>
        <v>2dms_wmts_v1_PHOTO3826</v>
      </c>
      <c r="S842" s="39" t="s">
        <v>3528</v>
      </c>
      <c r="U842" s="27" t="str">
        <f>_xlfn.XLOOKUP(表格1[[#This Row],[服務類別(英)]],參考2_服務標準對照!$B:$B,參考2_服務標準對照!$C:$C,"")&amp;""</f>
        <v>OGC</v>
      </c>
      <c r="V842" s="29" t="s">
        <v>7</v>
      </c>
      <c r="W842" s="29" t="s">
        <v>163</v>
      </c>
      <c r="X842" s="29" t="s">
        <v>81</v>
      </c>
      <c r="Y842" s="36" t="s">
        <v>83</v>
      </c>
      <c r="Z842" s="36" t="s">
        <v>157</v>
      </c>
      <c r="AA842" s="36" t="s">
        <v>173</v>
      </c>
      <c r="AB842" s="36"/>
      <c r="AC842" s="36"/>
      <c r="AD842" s="29" t="s">
        <v>119</v>
      </c>
      <c r="AE842" s="36" t="str">
        <f>_xlfn.XLOOKUP(表格1[[#This Row],[唯一識別碼]],API清冊0707!B:B,API清冊0707!T:T,"")&amp;""</f>
        <v>無下拉選單</v>
      </c>
    </row>
    <row r="843" spans="1:31" ht="204.75" customHeight="1" x14ac:dyDescent="0.4">
      <c r="A843" s="29" t="s">
        <v>3529</v>
      </c>
      <c r="B843" s="29"/>
      <c r="C843" s="29"/>
      <c r="D843" s="29" t="s">
        <v>3530</v>
      </c>
      <c r="E843" s="29" t="s">
        <v>3531</v>
      </c>
      <c r="F843" s="29" t="s">
        <v>3532</v>
      </c>
      <c r="G843" s="35"/>
      <c r="H843" s="35" t="s">
        <v>151</v>
      </c>
      <c r="I843" s="29" t="s">
        <v>3529</v>
      </c>
      <c r="J843" s="37"/>
      <c r="K843" s="38"/>
      <c r="L843" s="38"/>
      <c r="M843" s="36" t="s">
        <v>60</v>
      </c>
      <c r="N843" s="15" t="s">
        <v>152</v>
      </c>
      <c r="O843" s="36" t="s">
        <v>162</v>
      </c>
      <c r="P843" s="36" t="str">
        <f t="shared" si="26"/>
        <v>WMTS_正射影像圖(114年更新區)</v>
      </c>
      <c r="Q843" s="29" t="s">
        <v>3532</v>
      </c>
      <c r="R843" s="29" t="str">
        <f t="shared" si="27"/>
        <v>2dms_wmts_v1_PHOTO2025</v>
      </c>
      <c r="S843" s="39" t="s">
        <v>155</v>
      </c>
      <c r="U843" s="27" t="str">
        <f>_xlfn.XLOOKUP(表格1[[#This Row],[服務類別(英)]],參考2_服務標準對照!$B:$B,參考2_服務標準對照!$C:$C,"")&amp;""</f>
        <v>OGC</v>
      </c>
      <c r="V843" s="29" t="s">
        <v>7</v>
      </c>
      <c r="W843" s="29" t="s">
        <v>163</v>
      </c>
      <c r="X843" s="29" t="s">
        <v>81</v>
      </c>
      <c r="Y843" s="36" t="s">
        <v>83</v>
      </c>
      <c r="Z843" s="36" t="s">
        <v>157</v>
      </c>
      <c r="AA843" s="36" t="s">
        <v>173</v>
      </c>
      <c r="AB843" s="36"/>
      <c r="AC843" s="36"/>
      <c r="AD843" s="29" t="s">
        <v>119</v>
      </c>
      <c r="AE843" s="36" t="str">
        <f>_xlfn.XLOOKUP(表格1[[#This Row],[唯一識別碼]],API清冊0707!B:B,API清冊0707!T:T,"")&amp;""</f>
        <v>無下拉選單</v>
      </c>
    </row>
    <row r="844" spans="1:31" ht="204.75" customHeight="1" x14ac:dyDescent="0.4">
      <c r="A844" s="29" t="s">
        <v>3533</v>
      </c>
      <c r="B844" s="29"/>
      <c r="C844" s="29"/>
      <c r="D844" s="29" t="s">
        <v>3534</v>
      </c>
      <c r="E844" s="29" t="s">
        <v>3535</v>
      </c>
      <c r="F844" s="29" t="s">
        <v>3536</v>
      </c>
      <c r="G844" s="35"/>
      <c r="H844" s="35" t="s">
        <v>151</v>
      </c>
      <c r="I844" s="29" t="s">
        <v>3533</v>
      </c>
      <c r="J844" s="37"/>
      <c r="K844" s="38"/>
      <c r="L844" s="38"/>
      <c r="M844" s="36" t="s">
        <v>60</v>
      </c>
      <c r="N844" s="15" t="s">
        <v>152</v>
      </c>
      <c r="O844" s="36" t="s">
        <v>162</v>
      </c>
      <c r="P844" s="36" t="str">
        <f t="shared" si="26"/>
        <v>WMTS_正射影像圖(113年更新區)</v>
      </c>
      <c r="Q844" s="29" t="s">
        <v>3536</v>
      </c>
      <c r="R844" s="29" t="str">
        <f t="shared" si="27"/>
        <v>2dms_wmts_v1_PHOTO2024</v>
      </c>
      <c r="S844" s="39" t="s">
        <v>155</v>
      </c>
      <c r="U844" s="27" t="str">
        <f>_xlfn.XLOOKUP(表格1[[#This Row],[服務類別(英)]],參考2_服務標準對照!$B:$B,參考2_服務標準對照!$C:$C,"")&amp;""</f>
        <v>OGC</v>
      </c>
      <c r="V844" s="29" t="s">
        <v>7</v>
      </c>
      <c r="W844" s="29" t="s">
        <v>163</v>
      </c>
      <c r="X844" s="29" t="s">
        <v>81</v>
      </c>
      <c r="Y844" s="36" t="s">
        <v>83</v>
      </c>
      <c r="Z844" s="36" t="s">
        <v>157</v>
      </c>
      <c r="AA844" s="36" t="s">
        <v>173</v>
      </c>
      <c r="AB844" s="36"/>
      <c r="AC844" s="36"/>
      <c r="AD844" s="29" t="s">
        <v>119</v>
      </c>
      <c r="AE844" s="36" t="str">
        <f>_xlfn.XLOOKUP(表格1[[#This Row],[唯一識別碼]],API清冊0707!B:B,API清冊0707!T:T,"")&amp;""</f>
        <v>無下拉選單</v>
      </c>
    </row>
    <row r="845" spans="1:31" ht="204.75" customHeight="1" x14ac:dyDescent="0.4">
      <c r="A845" s="29" t="s">
        <v>3537</v>
      </c>
      <c r="B845" s="29"/>
      <c r="C845" s="29"/>
      <c r="D845" s="29" t="s">
        <v>3538</v>
      </c>
      <c r="E845" s="29" t="s">
        <v>3539</v>
      </c>
      <c r="F845" s="29" t="s">
        <v>3540</v>
      </c>
      <c r="G845" s="35"/>
      <c r="H845" s="35" t="s">
        <v>151</v>
      </c>
      <c r="I845" s="29" t="s">
        <v>3537</v>
      </c>
      <c r="J845" s="37"/>
      <c r="K845" s="38"/>
      <c r="L845" s="38"/>
      <c r="M845" s="36" t="s">
        <v>60</v>
      </c>
      <c r="N845" s="15" t="s">
        <v>152</v>
      </c>
      <c r="O845" s="36" t="s">
        <v>162</v>
      </c>
      <c r="P845" s="36" t="str">
        <f t="shared" si="26"/>
        <v>WMTS_正射影像圖(112年更新區)</v>
      </c>
      <c r="Q845" s="29" t="s">
        <v>3540</v>
      </c>
      <c r="R845" s="29" t="str">
        <f t="shared" si="27"/>
        <v>2dms_wmts_v1_PHOTO2023</v>
      </c>
      <c r="S845" s="39" t="s">
        <v>155</v>
      </c>
      <c r="U845" s="27" t="str">
        <f>_xlfn.XLOOKUP(表格1[[#This Row],[服務類別(英)]],參考2_服務標準對照!$B:$B,參考2_服務標準對照!$C:$C,"")&amp;""</f>
        <v>OGC</v>
      </c>
      <c r="V845" s="29" t="s">
        <v>7</v>
      </c>
      <c r="W845" s="29" t="s">
        <v>163</v>
      </c>
      <c r="X845" s="29" t="s">
        <v>81</v>
      </c>
      <c r="Y845" s="36" t="s">
        <v>83</v>
      </c>
      <c r="Z845" s="36" t="s">
        <v>157</v>
      </c>
      <c r="AA845" s="36" t="s">
        <v>173</v>
      </c>
      <c r="AB845" s="36"/>
      <c r="AC845" s="36"/>
      <c r="AD845" s="29" t="s">
        <v>119</v>
      </c>
      <c r="AE845" s="36" t="str">
        <f>_xlfn.XLOOKUP(表格1[[#This Row],[唯一識別碼]],API清冊0707!B:B,API清冊0707!T:T,"")&amp;""</f>
        <v>無下拉選單</v>
      </c>
    </row>
    <row r="846" spans="1:31" ht="204.75" customHeight="1" x14ac:dyDescent="0.4">
      <c r="A846" s="29" t="s">
        <v>3541</v>
      </c>
      <c r="B846" s="29"/>
      <c r="C846" s="29"/>
      <c r="D846" s="29" t="s">
        <v>3542</v>
      </c>
      <c r="E846" s="29" t="s">
        <v>3543</v>
      </c>
      <c r="F846" s="29" t="s">
        <v>3544</v>
      </c>
      <c r="G846" s="35"/>
      <c r="H846" s="35" t="s">
        <v>151</v>
      </c>
      <c r="I846" s="29" t="s">
        <v>3541</v>
      </c>
      <c r="J846" s="37"/>
      <c r="K846" s="38"/>
      <c r="L846" s="38"/>
      <c r="M846" s="36" t="s">
        <v>60</v>
      </c>
      <c r="N846" s="15" t="s">
        <v>152</v>
      </c>
      <c r="O846" s="36" t="s">
        <v>162</v>
      </c>
      <c r="P846" s="36" t="str">
        <f t="shared" si="26"/>
        <v>WMTS_正射影像圖(111年更新區)</v>
      </c>
      <c r="Q846" s="29" t="s">
        <v>3544</v>
      </c>
      <c r="R846" s="29" t="str">
        <f t="shared" si="27"/>
        <v>2dms_wmts_v1_PHOTO2022</v>
      </c>
      <c r="S846" s="39" t="s">
        <v>155</v>
      </c>
      <c r="U846" s="27" t="str">
        <f>_xlfn.XLOOKUP(表格1[[#This Row],[服務類別(英)]],參考2_服務標準對照!$B:$B,參考2_服務標準對照!$C:$C,"")&amp;""</f>
        <v>OGC</v>
      </c>
      <c r="V846" s="29" t="s">
        <v>7</v>
      </c>
      <c r="W846" s="29" t="s">
        <v>163</v>
      </c>
      <c r="X846" s="29" t="s">
        <v>81</v>
      </c>
      <c r="Y846" s="36" t="s">
        <v>83</v>
      </c>
      <c r="Z846" s="36" t="s">
        <v>157</v>
      </c>
      <c r="AA846" s="36" t="s">
        <v>173</v>
      </c>
      <c r="AB846" s="36"/>
      <c r="AC846" s="36"/>
      <c r="AD846" s="29" t="s">
        <v>119</v>
      </c>
      <c r="AE846" s="36" t="str">
        <f>_xlfn.XLOOKUP(表格1[[#This Row],[唯一識別碼]],API清冊0707!B:B,API清冊0707!T:T,"")&amp;""</f>
        <v>無下拉選單</v>
      </c>
    </row>
    <row r="847" spans="1:31" ht="204.75" customHeight="1" x14ac:dyDescent="0.4">
      <c r="A847" s="29" t="s">
        <v>3545</v>
      </c>
      <c r="B847" s="29"/>
      <c r="C847" s="29"/>
      <c r="D847" s="29" t="s">
        <v>3546</v>
      </c>
      <c r="E847" s="29" t="s">
        <v>3547</v>
      </c>
      <c r="F847" s="29" t="s">
        <v>3548</v>
      </c>
      <c r="G847" s="35"/>
      <c r="H847" s="35" t="s">
        <v>151</v>
      </c>
      <c r="I847" s="29" t="s">
        <v>3545</v>
      </c>
      <c r="J847" s="37"/>
      <c r="K847" s="38"/>
      <c r="L847" s="38"/>
      <c r="M847" s="36" t="s">
        <v>60</v>
      </c>
      <c r="N847" s="15" t="s">
        <v>152</v>
      </c>
      <c r="O847" s="36" t="s">
        <v>162</v>
      </c>
      <c r="P847" s="36" t="str">
        <f t="shared" si="26"/>
        <v>WMTS_正射影像圖(110年更新區)</v>
      </c>
      <c r="Q847" s="29" t="s">
        <v>3548</v>
      </c>
      <c r="R847" s="29" t="str">
        <f t="shared" si="27"/>
        <v>2dms_wmts_v1_PHOTO2021</v>
      </c>
      <c r="S847" s="39" t="s">
        <v>155</v>
      </c>
      <c r="U847" s="27" t="str">
        <f>_xlfn.XLOOKUP(表格1[[#This Row],[服務類別(英)]],參考2_服務標準對照!$B:$B,參考2_服務標準對照!$C:$C,"")&amp;""</f>
        <v>OGC</v>
      </c>
      <c r="V847" s="29" t="s">
        <v>7</v>
      </c>
      <c r="W847" s="29" t="s">
        <v>163</v>
      </c>
      <c r="X847" s="29" t="s">
        <v>81</v>
      </c>
      <c r="Y847" s="36" t="s">
        <v>83</v>
      </c>
      <c r="Z847" s="36" t="s">
        <v>157</v>
      </c>
      <c r="AA847" s="36" t="s">
        <v>173</v>
      </c>
      <c r="AB847" s="36"/>
      <c r="AC847" s="36"/>
      <c r="AD847" s="29" t="s">
        <v>119</v>
      </c>
      <c r="AE847" s="36" t="str">
        <f>_xlfn.XLOOKUP(表格1[[#This Row],[唯一識別碼]],API清冊0707!B:B,API清冊0707!T:T,"")&amp;""</f>
        <v>無下拉選單</v>
      </c>
    </row>
    <row r="848" spans="1:31" ht="204.75" customHeight="1" x14ac:dyDescent="0.4">
      <c r="A848" s="29" t="s">
        <v>3549</v>
      </c>
      <c r="B848" s="29"/>
      <c r="C848" s="29"/>
      <c r="D848" s="29" t="s">
        <v>3550</v>
      </c>
      <c r="E848" s="29" t="s">
        <v>3551</v>
      </c>
      <c r="F848" s="29" t="s">
        <v>3552</v>
      </c>
      <c r="G848" s="35"/>
      <c r="H848" s="35" t="s">
        <v>151</v>
      </c>
      <c r="I848" s="29" t="s">
        <v>3549</v>
      </c>
      <c r="J848" s="37"/>
      <c r="K848" s="38"/>
      <c r="L848" s="38"/>
      <c r="M848" s="36" t="s">
        <v>60</v>
      </c>
      <c r="N848" s="15" t="s">
        <v>152</v>
      </c>
      <c r="O848" s="36" t="s">
        <v>162</v>
      </c>
      <c r="P848" s="36" t="str">
        <f t="shared" si="26"/>
        <v>WMTS_正射影像圖(109年更新區)</v>
      </c>
      <c r="Q848" s="29" t="s">
        <v>3552</v>
      </c>
      <c r="R848" s="29" t="str">
        <f t="shared" si="27"/>
        <v>2dms_wmts_v1_PHOTO2020</v>
      </c>
      <c r="S848" s="39" t="s">
        <v>155</v>
      </c>
      <c r="U848" s="27" t="str">
        <f>_xlfn.XLOOKUP(表格1[[#This Row],[服務類別(英)]],參考2_服務標準對照!$B:$B,參考2_服務標準對照!$C:$C,"")&amp;""</f>
        <v>OGC</v>
      </c>
      <c r="V848" s="29" t="s">
        <v>7</v>
      </c>
      <c r="W848" s="29" t="s">
        <v>163</v>
      </c>
      <c r="X848" s="29" t="s">
        <v>81</v>
      </c>
      <c r="Y848" s="36" t="s">
        <v>83</v>
      </c>
      <c r="Z848" s="36" t="s">
        <v>157</v>
      </c>
      <c r="AA848" s="36" t="s">
        <v>173</v>
      </c>
      <c r="AB848" s="36"/>
      <c r="AC848" s="36"/>
      <c r="AD848" s="29" t="s">
        <v>119</v>
      </c>
      <c r="AE848" s="36" t="str">
        <f>_xlfn.XLOOKUP(表格1[[#This Row],[唯一識別碼]],API清冊0707!B:B,API清冊0707!T:T,"")&amp;""</f>
        <v>無下拉選單</v>
      </c>
    </row>
    <row r="849" spans="1:31" ht="204.75" customHeight="1" x14ac:dyDescent="0.4">
      <c r="A849" s="29" t="s">
        <v>3553</v>
      </c>
      <c r="B849" s="29"/>
      <c r="C849" s="29"/>
      <c r="D849" s="29" t="s">
        <v>3554</v>
      </c>
      <c r="E849" s="29" t="s">
        <v>3555</v>
      </c>
      <c r="F849" s="29" t="s">
        <v>3556</v>
      </c>
      <c r="G849" s="35"/>
      <c r="H849" s="35" t="s">
        <v>151</v>
      </c>
      <c r="I849" s="29" t="s">
        <v>3553</v>
      </c>
      <c r="J849" s="37"/>
      <c r="K849" s="38"/>
      <c r="L849" s="38"/>
      <c r="M849" s="36" t="s">
        <v>60</v>
      </c>
      <c r="N849" s="15" t="s">
        <v>152</v>
      </c>
      <c r="O849" s="36" t="s">
        <v>162</v>
      </c>
      <c r="P849" s="36" t="str">
        <f t="shared" si="26"/>
        <v>WMTS_正射影像圖(108年更新區)</v>
      </c>
      <c r="Q849" s="29" t="s">
        <v>3556</v>
      </c>
      <c r="R849" s="29" t="str">
        <f t="shared" si="27"/>
        <v>2dms_wmts_v1_PHOTO2019</v>
      </c>
      <c r="S849" s="39" t="s">
        <v>155</v>
      </c>
      <c r="U849" s="27" t="str">
        <f>_xlfn.XLOOKUP(表格1[[#This Row],[服務類別(英)]],參考2_服務標準對照!$B:$B,參考2_服務標準對照!$C:$C,"")&amp;""</f>
        <v>OGC</v>
      </c>
      <c r="V849" s="29" t="s">
        <v>7</v>
      </c>
      <c r="W849" s="29" t="s">
        <v>163</v>
      </c>
      <c r="X849" s="29" t="s">
        <v>81</v>
      </c>
      <c r="Y849" s="36" t="s">
        <v>83</v>
      </c>
      <c r="Z849" s="36" t="s">
        <v>157</v>
      </c>
      <c r="AA849" s="36" t="s">
        <v>173</v>
      </c>
      <c r="AB849" s="36"/>
      <c r="AC849" s="36"/>
      <c r="AD849" s="29" t="s">
        <v>119</v>
      </c>
      <c r="AE849" s="36" t="str">
        <f>_xlfn.XLOOKUP(表格1[[#This Row],[唯一識別碼]],API清冊0707!B:B,API清冊0707!T:T,"")&amp;""</f>
        <v>無下拉選單</v>
      </c>
    </row>
    <row r="850" spans="1:31" ht="204.75" customHeight="1" x14ac:dyDescent="0.4">
      <c r="A850" s="29" t="s">
        <v>3557</v>
      </c>
      <c r="B850" s="29"/>
      <c r="C850" s="29"/>
      <c r="D850" s="29" t="s">
        <v>3558</v>
      </c>
      <c r="E850" s="29" t="s">
        <v>3559</v>
      </c>
      <c r="F850" s="29" t="s">
        <v>3560</v>
      </c>
      <c r="G850" s="35"/>
      <c r="H850" s="35" t="s">
        <v>151</v>
      </c>
      <c r="I850" s="29" t="s">
        <v>3557</v>
      </c>
      <c r="J850" s="37"/>
      <c r="K850" s="38"/>
      <c r="L850" s="38"/>
      <c r="M850" s="36" t="s">
        <v>60</v>
      </c>
      <c r="N850" s="15" t="s">
        <v>152</v>
      </c>
      <c r="O850" s="36" t="s">
        <v>162</v>
      </c>
      <c r="P850" s="36" t="str">
        <f t="shared" si="26"/>
        <v>WMTS_正射影像圖(107年更新區)</v>
      </c>
      <c r="Q850" s="29" t="s">
        <v>3560</v>
      </c>
      <c r="R850" s="29" t="str">
        <f t="shared" si="27"/>
        <v>2dms_wmts_v1_PHOTO2018</v>
      </c>
      <c r="S850" s="39" t="s">
        <v>155</v>
      </c>
      <c r="U850" s="27" t="str">
        <f>_xlfn.XLOOKUP(表格1[[#This Row],[服務類別(英)]],參考2_服務標準對照!$B:$B,參考2_服務標準對照!$C:$C,"")&amp;""</f>
        <v>OGC</v>
      </c>
      <c r="V850" s="29" t="s">
        <v>7</v>
      </c>
      <c r="W850" s="29" t="s">
        <v>163</v>
      </c>
      <c r="X850" s="29" t="s">
        <v>81</v>
      </c>
      <c r="Y850" s="36" t="s">
        <v>83</v>
      </c>
      <c r="Z850" s="36" t="s">
        <v>157</v>
      </c>
      <c r="AA850" s="36" t="s">
        <v>173</v>
      </c>
      <c r="AB850" s="36"/>
      <c r="AC850" s="36"/>
      <c r="AD850" s="29" t="s">
        <v>119</v>
      </c>
      <c r="AE850" s="36" t="str">
        <f>_xlfn.XLOOKUP(表格1[[#This Row],[唯一識別碼]],API清冊0707!B:B,API清冊0707!T:T,"")&amp;""</f>
        <v>無下拉選單</v>
      </c>
    </row>
    <row r="851" spans="1:31" ht="204.75" customHeight="1" x14ac:dyDescent="0.4">
      <c r="A851" s="29" t="s">
        <v>3561</v>
      </c>
      <c r="B851" s="29"/>
      <c r="C851" s="29"/>
      <c r="D851" s="29" t="s">
        <v>3562</v>
      </c>
      <c r="E851" s="29" t="s">
        <v>3563</v>
      </c>
      <c r="F851" s="29" t="s">
        <v>3564</v>
      </c>
      <c r="G851" s="35"/>
      <c r="H851" s="35" t="s">
        <v>151</v>
      </c>
      <c r="I851" s="29" t="s">
        <v>3561</v>
      </c>
      <c r="J851" s="37"/>
      <c r="K851" s="38"/>
      <c r="L851" s="38"/>
      <c r="M851" s="36" t="s">
        <v>60</v>
      </c>
      <c r="N851" s="15" t="s">
        <v>152</v>
      </c>
      <c r="O851" s="36" t="s">
        <v>162</v>
      </c>
      <c r="P851" s="36" t="str">
        <f t="shared" si="26"/>
        <v>WMTS_正射影像圖(106年更新區)</v>
      </c>
      <c r="Q851" s="29" t="s">
        <v>3564</v>
      </c>
      <c r="R851" s="29" t="str">
        <f t="shared" si="27"/>
        <v>2dms_wmts_v1_PHOTO2017</v>
      </c>
      <c r="S851" s="39" t="s">
        <v>155</v>
      </c>
      <c r="U851" s="27" t="str">
        <f>_xlfn.XLOOKUP(表格1[[#This Row],[服務類別(英)]],參考2_服務標準對照!$B:$B,參考2_服務標準對照!$C:$C,"")&amp;""</f>
        <v>OGC</v>
      </c>
      <c r="V851" s="29" t="s">
        <v>7</v>
      </c>
      <c r="W851" s="29" t="s">
        <v>163</v>
      </c>
      <c r="X851" s="29" t="s">
        <v>81</v>
      </c>
      <c r="Y851" s="36" t="s">
        <v>83</v>
      </c>
      <c r="Z851" s="36" t="s">
        <v>157</v>
      </c>
      <c r="AA851" s="36" t="s">
        <v>173</v>
      </c>
      <c r="AB851" s="36"/>
      <c r="AC851" s="36"/>
      <c r="AD851" s="29" t="s">
        <v>119</v>
      </c>
      <c r="AE851" s="36" t="str">
        <f>_xlfn.XLOOKUP(表格1[[#This Row],[唯一識別碼]],API清冊0707!B:B,API清冊0707!T:T,"")&amp;""</f>
        <v>無下拉選單</v>
      </c>
    </row>
    <row r="852" spans="1:31" ht="204.75" customHeight="1" x14ac:dyDescent="0.4">
      <c r="A852" s="29" t="s">
        <v>3565</v>
      </c>
      <c r="B852" s="29"/>
      <c r="C852" s="29"/>
      <c r="D852" s="29" t="s">
        <v>3566</v>
      </c>
      <c r="E852" s="29" t="s">
        <v>3567</v>
      </c>
      <c r="F852" s="29" t="s">
        <v>3568</v>
      </c>
      <c r="G852" s="35"/>
      <c r="H852" s="35" t="s">
        <v>151</v>
      </c>
      <c r="I852" s="29" t="s">
        <v>3565</v>
      </c>
      <c r="J852" s="37"/>
      <c r="K852" s="38"/>
      <c r="L852" s="38"/>
      <c r="M852" s="36" t="s">
        <v>60</v>
      </c>
      <c r="N852" s="15" t="s">
        <v>152</v>
      </c>
      <c r="O852" s="36" t="s">
        <v>162</v>
      </c>
      <c r="P852" s="36" t="str">
        <f t="shared" si="26"/>
        <v>WMTS_正射影像圖(105年更新區)</v>
      </c>
      <c r="Q852" s="29" t="s">
        <v>3568</v>
      </c>
      <c r="R852" s="29" t="str">
        <f t="shared" si="27"/>
        <v>2dms_wmts_v1_PHOTO2016</v>
      </c>
      <c r="S852" s="39" t="s">
        <v>155</v>
      </c>
      <c r="U852" s="27" t="str">
        <f>_xlfn.XLOOKUP(表格1[[#This Row],[服務類別(英)]],參考2_服務標準對照!$B:$B,參考2_服務標準對照!$C:$C,"")&amp;""</f>
        <v>OGC</v>
      </c>
      <c r="V852" s="29" t="s">
        <v>7</v>
      </c>
      <c r="W852" s="29" t="s">
        <v>163</v>
      </c>
      <c r="X852" s="29" t="s">
        <v>81</v>
      </c>
      <c r="Y852" s="36" t="s">
        <v>83</v>
      </c>
      <c r="Z852" s="36" t="s">
        <v>157</v>
      </c>
      <c r="AA852" s="36" t="s">
        <v>173</v>
      </c>
      <c r="AB852" s="36"/>
      <c r="AC852" s="36"/>
      <c r="AD852" s="29" t="s">
        <v>119</v>
      </c>
      <c r="AE852" s="36" t="str">
        <f>_xlfn.XLOOKUP(表格1[[#This Row],[唯一識別碼]],API清冊0707!B:B,API清冊0707!T:T,"")&amp;""</f>
        <v>無下拉選單</v>
      </c>
    </row>
    <row r="853" spans="1:31" ht="204.75" customHeight="1" x14ac:dyDescent="0.4">
      <c r="A853" s="29" t="s">
        <v>3569</v>
      </c>
      <c r="B853" s="29"/>
      <c r="C853" s="29"/>
      <c r="D853" s="29" t="s">
        <v>3570</v>
      </c>
      <c r="E853" s="29" t="s">
        <v>3571</v>
      </c>
      <c r="F853" s="29" t="s">
        <v>3572</v>
      </c>
      <c r="G853" s="35"/>
      <c r="H853" s="35" t="s">
        <v>151</v>
      </c>
      <c r="I853" s="29" t="s">
        <v>3569</v>
      </c>
      <c r="J853" s="37"/>
      <c r="K853" s="38"/>
      <c r="L853" s="38"/>
      <c r="M853" s="36" t="s">
        <v>60</v>
      </c>
      <c r="N853" s="15" t="s">
        <v>152</v>
      </c>
      <c r="O853" s="36" t="s">
        <v>162</v>
      </c>
      <c r="P853" s="36" t="str">
        <f t="shared" si="26"/>
        <v>WMTS_正射影像圖(104年更新區)</v>
      </c>
      <c r="Q853" s="29" t="s">
        <v>3572</v>
      </c>
      <c r="R853" s="29" t="str">
        <f t="shared" si="27"/>
        <v>2dms_wmts_v1_PHOTO2015</v>
      </c>
      <c r="S853" s="39" t="s">
        <v>155</v>
      </c>
      <c r="U853" s="27" t="str">
        <f>_xlfn.XLOOKUP(表格1[[#This Row],[服務類別(英)]],參考2_服務標準對照!$B:$B,參考2_服務標準對照!$C:$C,"")&amp;""</f>
        <v>OGC</v>
      </c>
      <c r="V853" s="29" t="s">
        <v>7</v>
      </c>
      <c r="W853" s="29" t="s">
        <v>163</v>
      </c>
      <c r="X853" s="29" t="s">
        <v>81</v>
      </c>
      <c r="Y853" s="36" t="s">
        <v>83</v>
      </c>
      <c r="Z853" s="36" t="s">
        <v>157</v>
      </c>
      <c r="AA853" s="36" t="s">
        <v>173</v>
      </c>
      <c r="AB853" s="36"/>
      <c r="AC853" s="36"/>
      <c r="AD853" s="29" t="s">
        <v>119</v>
      </c>
      <c r="AE853" s="36" t="str">
        <f>_xlfn.XLOOKUP(表格1[[#This Row],[唯一識別碼]],API清冊0707!B:B,API清冊0707!T:T,"")&amp;""</f>
        <v>無下拉選單</v>
      </c>
    </row>
    <row r="854" spans="1:31" ht="204.75" customHeight="1" x14ac:dyDescent="0.4">
      <c r="A854" s="29" t="s">
        <v>3573</v>
      </c>
      <c r="B854" s="29"/>
      <c r="C854" s="29"/>
      <c r="D854" s="29" t="s">
        <v>3574</v>
      </c>
      <c r="E854" s="29" t="s">
        <v>3575</v>
      </c>
      <c r="F854" s="29" t="s">
        <v>3576</v>
      </c>
      <c r="G854" s="35"/>
      <c r="H854" s="35" t="s">
        <v>151</v>
      </c>
      <c r="I854" s="29" t="s">
        <v>3573</v>
      </c>
      <c r="J854" s="37"/>
      <c r="K854" s="38"/>
      <c r="L854" s="38"/>
      <c r="M854" s="36" t="s">
        <v>60</v>
      </c>
      <c r="N854" s="15" t="s">
        <v>152</v>
      </c>
      <c r="O854" s="36" t="s">
        <v>162</v>
      </c>
      <c r="P854" s="36" t="str">
        <f t="shared" si="26"/>
        <v>WMTS_正射影像圖(103年更新區)</v>
      </c>
      <c r="Q854" s="29" t="s">
        <v>3576</v>
      </c>
      <c r="R854" s="29" t="str">
        <f t="shared" si="27"/>
        <v>2dms_wmts_v1_PHOTO2014</v>
      </c>
      <c r="S854" s="39" t="s">
        <v>155</v>
      </c>
      <c r="U854" s="27" t="str">
        <f>_xlfn.XLOOKUP(表格1[[#This Row],[服務類別(英)]],參考2_服務標準對照!$B:$B,參考2_服務標準對照!$C:$C,"")&amp;""</f>
        <v>OGC</v>
      </c>
      <c r="V854" s="29" t="s">
        <v>7</v>
      </c>
      <c r="W854" s="29" t="s">
        <v>163</v>
      </c>
      <c r="X854" s="29" t="s">
        <v>81</v>
      </c>
      <c r="Y854" s="36" t="s">
        <v>83</v>
      </c>
      <c r="Z854" s="36" t="s">
        <v>157</v>
      </c>
      <c r="AA854" s="36" t="s">
        <v>173</v>
      </c>
      <c r="AB854" s="36"/>
      <c r="AC854" s="36"/>
      <c r="AD854" s="29" t="s">
        <v>119</v>
      </c>
      <c r="AE854" s="36" t="str">
        <f>_xlfn.XLOOKUP(表格1[[#This Row],[唯一識別碼]],API清冊0707!B:B,API清冊0707!T:T,"")&amp;""</f>
        <v>無下拉選單</v>
      </c>
    </row>
    <row r="855" spans="1:31" ht="189" customHeight="1" x14ac:dyDescent="0.4">
      <c r="A855" s="29" t="s">
        <v>3577</v>
      </c>
      <c r="B855" s="29"/>
      <c r="C855" s="29"/>
      <c r="D855" s="29" t="s">
        <v>3578</v>
      </c>
      <c r="E855" s="29" t="s">
        <v>3579</v>
      </c>
      <c r="F855" s="29" t="s">
        <v>3580</v>
      </c>
      <c r="G855" s="35"/>
      <c r="H855" s="35" t="s">
        <v>151</v>
      </c>
      <c r="I855" s="29" t="s">
        <v>3577</v>
      </c>
      <c r="J855" s="37"/>
      <c r="K855" s="38"/>
      <c r="L855" s="38"/>
      <c r="M855" s="36" t="s">
        <v>60</v>
      </c>
      <c r="N855" s="15" t="s">
        <v>152</v>
      </c>
      <c r="O855" s="36" t="s">
        <v>162</v>
      </c>
      <c r="P855" s="36" t="str">
        <f t="shared" si="26"/>
        <v>WMTS_正射影像圖(最新成果)</v>
      </c>
      <c r="Q855" s="29" t="s">
        <v>3580</v>
      </c>
      <c r="R855" s="29" t="str">
        <f t="shared" si="27"/>
        <v>2dms_wmts_v1_PHOTO2</v>
      </c>
      <c r="S855" s="39" t="s">
        <v>155</v>
      </c>
      <c r="U855" s="27" t="str">
        <f>_xlfn.XLOOKUP(表格1[[#This Row],[服務類別(英)]],參考2_服務標準對照!$B:$B,參考2_服務標準對照!$C:$C,"")&amp;""</f>
        <v>OGC</v>
      </c>
      <c r="V855" s="29" t="s">
        <v>7</v>
      </c>
      <c r="W855" s="29" t="s">
        <v>163</v>
      </c>
      <c r="X855" s="29" t="s">
        <v>81</v>
      </c>
      <c r="Y855" s="36" t="s">
        <v>83</v>
      </c>
      <c r="Z855" s="36" t="s">
        <v>157</v>
      </c>
      <c r="AA855" s="36" t="s">
        <v>173</v>
      </c>
      <c r="AB855" s="36"/>
      <c r="AC855" s="36"/>
      <c r="AD855" s="29" t="s">
        <v>119</v>
      </c>
      <c r="AE855" s="36" t="str">
        <f>_xlfn.XLOOKUP(表格1[[#This Row],[唯一識別碼]],API清冊0707!B:B,API清冊0707!T:T,"")&amp;""</f>
        <v>無下拉選單</v>
      </c>
    </row>
    <row r="856" spans="1:31" ht="189" customHeight="1" x14ac:dyDescent="0.4">
      <c r="A856" s="29" t="s">
        <v>3581</v>
      </c>
      <c r="B856" s="29"/>
      <c r="C856" s="29"/>
      <c r="D856" s="29" t="s">
        <v>3582</v>
      </c>
      <c r="E856" s="29" t="s">
        <v>3583</v>
      </c>
      <c r="F856" s="29" t="s">
        <v>3584</v>
      </c>
      <c r="G856" s="35"/>
      <c r="H856" s="35" t="s">
        <v>151</v>
      </c>
      <c r="I856" s="29" t="s">
        <v>3581</v>
      </c>
      <c r="J856" s="37"/>
      <c r="K856" s="38"/>
      <c r="L856" s="38"/>
      <c r="M856" s="36" t="s">
        <v>60</v>
      </c>
      <c r="N856" s="15" t="s">
        <v>152</v>
      </c>
      <c r="O856" s="36" t="s">
        <v>162</v>
      </c>
      <c r="P856" s="36" t="str">
        <f t="shared" si="26"/>
        <v>WMTS_正射影像圖(92-94年成果)</v>
      </c>
      <c r="Q856" s="29" t="s">
        <v>3584</v>
      </c>
      <c r="R856" s="29" t="str">
        <f t="shared" si="27"/>
        <v>2dms_wmts_v1_PHOTO1</v>
      </c>
      <c r="S856" s="39" t="s">
        <v>155</v>
      </c>
      <c r="U856" s="27" t="str">
        <f>_xlfn.XLOOKUP(表格1[[#This Row],[服務類別(英)]],參考2_服務標準對照!$B:$B,參考2_服務標準對照!$C:$C,"")&amp;""</f>
        <v>OGC</v>
      </c>
      <c r="V856" s="29" t="s">
        <v>7</v>
      </c>
      <c r="W856" s="29" t="s">
        <v>163</v>
      </c>
      <c r="X856" s="29" t="s">
        <v>81</v>
      </c>
      <c r="Y856" s="36" t="s">
        <v>83</v>
      </c>
      <c r="Z856" s="36" t="s">
        <v>157</v>
      </c>
      <c r="AA856" s="36" t="s">
        <v>173</v>
      </c>
      <c r="AB856" s="36"/>
      <c r="AC856" s="36"/>
      <c r="AD856" s="29" t="s">
        <v>119</v>
      </c>
      <c r="AE856" s="36" t="str">
        <f>_xlfn.XLOOKUP(表格1[[#This Row],[唯一識別碼]],API清冊0707!B:B,API清冊0707!T:T,"")&amp;""</f>
        <v>無下拉選單</v>
      </c>
    </row>
    <row r="857" spans="1:31" ht="204.75" customHeight="1" x14ac:dyDescent="0.4">
      <c r="A857" s="29" t="s">
        <v>3585</v>
      </c>
      <c r="B857" s="29"/>
      <c r="C857" s="29"/>
      <c r="D857" s="29" t="s">
        <v>3586</v>
      </c>
      <c r="E857" s="29" t="s">
        <v>3587</v>
      </c>
      <c r="F857" s="29" t="s">
        <v>3588</v>
      </c>
      <c r="G857" s="35"/>
      <c r="H857" s="35" t="s">
        <v>151</v>
      </c>
      <c r="I857" s="29" t="s">
        <v>3585</v>
      </c>
      <c r="J857" s="37"/>
      <c r="K857" s="38"/>
      <c r="L857" s="38"/>
      <c r="M857" s="36" t="s">
        <v>60</v>
      </c>
      <c r="N857" s="15" t="s">
        <v>152</v>
      </c>
      <c r="O857" s="36" t="s">
        <v>162</v>
      </c>
      <c r="P857" s="36" t="str">
        <f t="shared" si="26"/>
        <v>WMTS_非都市土地使用地類別圖</v>
      </c>
      <c r="Q857" s="29" t="s">
        <v>3588</v>
      </c>
      <c r="R857" s="29" t="str">
        <f t="shared" si="27"/>
        <v>2dms_wmts_v1_nURBAN2</v>
      </c>
      <c r="S857" s="39" t="s">
        <v>155</v>
      </c>
      <c r="T857" s="27" t="s">
        <v>3589</v>
      </c>
      <c r="U857" s="27" t="str">
        <f>_xlfn.XLOOKUP(表格1[[#This Row],[服務類別(英)]],參考2_服務標準對照!$B:$B,參考2_服務標準對照!$C:$C,"")&amp;""</f>
        <v>OGC</v>
      </c>
      <c r="V857" s="29" t="s">
        <v>7</v>
      </c>
      <c r="W857" s="29" t="s">
        <v>163</v>
      </c>
      <c r="X857" s="29" t="s">
        <v>81</v>
      </c>
      <c r="Y857" s="36" t="s">
        <v>83</v>
      </c>
      <c r="Z857" s="36" t="s">
        <v>157</v>
      </c>
      <c r="AA857" s="36" t="s">
        <v>7</v>
      </c>
      <c r="AB857" s="36"/>
      <c r="AC857" s="36"/>
      <c r="AD857" s="29" t="s">
        <v>119</v>
      </c>
      <c r="AE857" s="36" t="str">
        <f>_xlfn.XLOOKUP(表格1[[#This Row],[唯一識別碼]],API清冊0707!B:B,API清冊0707!T:T,"")&amp;""</f>
        <v>無下拉選單</v>
      </c>
    </row>
    <row r="858" spans="1:31" ht="204.75" customHeight="1" x14ac:dyDescent="0.4">
      <c r="A858" s="29" t="s">
        <v>3590</v>
      </c>
      <c r="B858" s="29"/>
      <c r="C858" s="29"/>
      <c r="D858" s="29" t="s">
        <v>3591</v>
      </c>
      <c r="E858" s="29" t="s">
        <v>3592</v>
      </c>
      <c r="F858" s="29" t="s">
        <v>3593</v>
      </c>
      <c r="G858" s="35"/>
      <c r="H858" s="35" t="s">
        <v>151</v>
      </c>
      <c r="I858" s="29" t="s">
        <v>3590</v>
      </c>
      <c r="J858" s="37"/>
      <c r="K858" s="38"/>
      <c r="L858" s="38"/>
      <c r="M858" s="36" t="s">
        <v>60</v>
      </c>
      <c r="N858" s="15" t="s">
        <v>152</v>
      </c>
      <c r="O858" s="36" t="s">
        <v>162</v>
      </c>
      <c r="P858" s="36" t="str">
        <f t="shared" si="26"/>
        <v>WMTS_非都市土地使用分區圖</v>
      </c>
      <c r="Q858" s="29" t="s">
        <v>3593</v>
      </c>
      <c r="R858" s="29" t="str">
        <f t="shared" si="27"/>
        <v>2dms_wmts_v1_nURBAN1</v>
      </c>
      <c r="S858" s="39" t="s">
        <v>155</v>
      </c>
      <c r="T858" s="27" t="s">
        <v>3594</v>
      </c>
      <c r="U858" s="27" t="str">
        <f>_xlfn.XLOOKUP(表格1[[#This Row],[服務類別(英)]],參考2_服務標準對照!$B:$B,參考2_服務標準對照!$C:$C,"")&amp;""</f>
        <v>OGC</v>
      </c>
      <c r="V858" s="29" t="s">
        <v>7</v>
      </c>
      <c r="W858" s="29" t="s">
        <v>163</v>
      </c>
      <c r="X858" s="29" t="s">
        <v>81</v>
      </c>
      <c r="Y858" s="36" t="s">
        <v>83</v>
      </c>
      <c r="Z858" s="36" t="s">
        <v>157</v>
      </c>
      <c r="AA858" s="36" t="s">
        <v>7</v>
      </c>
      <c r="AB858" s="36"/>
      <c r="AC858" s="36"/>
      <c r="AD858" s="29" t="s">
        <v>119</v>
      </c>
      <c r="AE858" s="36" t="str">
        <f>_xlfn.XLOOKUP(表格1[[#This Row],[唯一識別碼]],API清冊0707!B:B,API清冊0707!T:T,"")&amp;""</f>
        <v>無下拉選單</v>
      </c>
    </row>
    <row r="859" spans="1:31" ht="220.5" customHeight="1" x14ac:dyDescent="0.4">
      <c r="A859" s="29" t="s">
        <v>3595</v>
      </c>
      <c r="B859" s="29"/>
      <c r="C859" s="29"/>
      <c r="D859" s="29" t="s">
        <v>3596</v>
      </c>
      <c r="E859" s="29" t="s">
        <v>3597</v>
      </c>
      <c r="F859" s="29" t="s">
        <v>3598</v>
      </c>
      <c r="G859" s="35"/>
      <c r="H859" s="35" t="s">
        <v>151</v>
      </c>
      <c r="I859" s="29" t="s">
        <v>3595</v>
      </c>
      <c r="J859" s="37"/>
      <c r="K859" s="38"/>
      <c r="L859" s="38"/>
      <c r="M859" s="36" t="s">
        <v>60</v>
      </c>
      <c r="N859" s="15" t="s">
        <v>152</v>
      </c>
      <c r="O859" s="36" t="s">
        <v>162</v>
      </c>
      <c r="P859" s="36" t="str">
        <f t="shared" si="26"/>
        <v>WMTS_坡度圖-7級(2010-2015年20公尺DEM成果產製)</v>
      </c>
      <c r="Q859" s="29" t="s">
        <v>3599</v>
      </c>
      <c r="R859" s="29" t="str">
        <f t="shared" si="27"/>
        <v>2dms_wmts_v1_MoiSlopepLV72</v>
      </c>
      <c r="S859" s="39" t="s">
        <v>155</v>
      </c>
      <c r="T859" s="27" t="s">
        <v>3600</v>
      </c>
      <c r="U859" s="27" t="str">
        <f>_xlfn.XLOOKUP(表格1[[#This Row],[服務類別(英)]],參考2_服務標準對照!$B:$B,參考2_服務標準對照!$C:$C,"")&amp;""</f>
        <v>OGC</v>
      </c>
      <c r="V859" s="29" t="s">
        <v>7</v>
      </c>
      <c r="W859" s="29" t="s">
        <v>163</v>
      </c>
      <c r="X859" s="29" t="s">
        <v>81</v>
      </c>
      <c r="Y859" s="36" t="s">
        <v>83</v>
      </c>
      <c r="Z859" s="36" t="s">
        <v>157</v>
      </c>
      <c r="AA859" s="36" t="s">
        <v>7</v>
      </c>
      <c r="AB859" s="36"/>
      <c r="AC859" s="36"/>
      <c r="AD859" s="29" t="s">
        <v>119</v>
      </c>
      <c r="AE859" s="36" t="str">
        <f>_xlfn.XLOOKUP(表格1[[#This Row],[唯一識別碼]],API清冊0707!B:B,API清冊0707!T:T,"")&amp;""</f>
        <v>無下拉選單</v>
      </c>
    </row>
    <row r="860" spans="1:31" ht="204.75" customHeight="1" x14ac:dyDescent="0.4">
      <c r="A860" s="29" t="s">
        <v>3601</v>
      </c>
      <c r="B860" s="29"/>
      <c r="C860" s="29"/>
      <c r="D860" s="29" t="s">
        <v>3602</v>
      </c>
      <c r="E860" s="29" t="s">
        <v>3603</v>
      </c>
      <c r="F860" s="29" t="s">
        <v>3604</v>
      </c>
      <c r="G860" s="35"/>
      <c r="H860" s="35" t="s">
        <v>151</v>
      </c>
      <c r="I860" s="29" t="s">
        <v>3601</v>
      </c>
      <c r="J860" s="37"/>
      <c r="K860" s="38"/>
      <c r="L860" s="38"/>
      <c r="M860" s="36" t="s">
        <v>60</v>
      </c>
      <c r="N860" s="15" t="s">
        <v>152</v>
      </c>
      <c r="O860" s="36" t="s">
        <v>162</v>
      </c>
      <c r="P860" s="36" t="str">
        <f t="shared" si="26"/>
        <v>WMTS_坡度圖-7級(2003-2005年20公尺DEM成果產製)</v>
      </c>
      <c r="Q860" s="29" t="s">
        <v>3605</v>
      </c>
      <c r="R860" s="29" t="str">
        <f t="shared" si="27"/>
        <v>2dms_wmts_v1_MoiSlopepLV7</v>
      </c>
      <c r="S860" s="39" t="s">
        <v>155</v>
      </c>
      <c r="T860" s="27" t="s">
        <v>3600</v>
      </c>
      <c r="U860" s="27" t="str">
        <f>_xlfn.XLOOKUP(表格1[[#This Row],[服務類別(英)]],參考2_服務標準對照!$B:$B,參考2_服務標準對照!$C:$C,"")&amp;""</f>
        <v>OGC</v>
      </c>
      <c r="V860" s="29" t="s">
        <v>7</v>
      </c>
      <c r="W860" s="29" t="s">
        <v>163</v>
      </c>
      <c r="X860" s="29" t="s">
        <v>81</v>
      </c>
      <c r="Y860" s="36" t="s">
        <v>83</v>
      </c>
      <c r="Z860" s="36" t="s">
        <v>157</v>
      </c>
      <c r="AA860" s="36" t="s">
        <v>7</v>
      </c>
      <c r="AB860" s="36"/>
      <c r="AC860" s="36"/>
      <c r="AD860" s="29" t="s">
        <v>119</v>
      </c>
      <c r="AE860" s="36" t="str">
        <f>_xlfn.XLOOKUP(表格1[[#This Row],[唯一識別碼]],API清冊0707!B:B,API清冊0707!T:T,"")&amp;""</f>
        <v>無下拉選單</v>
      </c>
    </row>
    <row r="861" spans="1:31" ht="220.5" customHeight="1" x14ac:dyDescent="0.4">
      <c r="A861" s="29" t="s">
        <v>3606</v>
      </c>
      <c r="B861" s="29"/>
      <c r="C861" s="29"/>
      <c r="D861" s="29" t="s">
        <v>3607</v>
      </c>
      <c r="E861" s="29" t="s">
        <v>3608</v>
      </c>
      <c r="F861" s="29" t="s">
        <v>3609</v>
      </c>
      <c r="G861" s="35"/>
      <c r="H861" s="35" t="s">
        <v>151</v>
      </c>
      <c r="I861" s="29" t="s">
        <v>3606</v>
      </c>
      <c r="J861" s="37"/>
      <c r="K861" s="38"/>
      <c r="L861" s="38"/>
      <c r="M861" s="36" t="s">
        <v>60</v>
      </c>
      <c r="N861" s="15" t="s">
        <v>152</v>
      </c>
      <c r="O861" s="36" t="s">
        <v>162</v>
      </c>
      <c r="P861" s="36" t="str">
        <f t="shared" si="26"/>
        <v>WMTS_坡度圖-30%坡(2003-2005年20公尺DEM成果產製)</v>
      </c>
      <c r="Q861" s="29" t="s">
        <v>3610</v>
      </c>
      <c r="R861" s="29" t="str">
        <f t="shared" si="27"/>
        <v>2dms_wmts_v1_MoiSlopepGT302</v>
      </c>
      <c r="S861" s="39" t="s">
        <v>155</v>
      </c>
      <c r="U861" s="27" t="str">
        <f>_xlfn.XLOOKUP(表格1[[#This Row],[服務類別(英)]],參考2_服務標準對照!$B:$B,參考2_服務標準對照!$C:$C,"")&amp;""</f>
        <v>OGC</v>
      </c>
      <c r="V861" s="29" t="s">
        <v>7</v>
      </c>
      <c r="W861" s="29" t="s">
        <v>163</v>
      </c>
      <c r="X861" s="29" t="s">
        <v>81</v>
      </c>
      <c r="Y861" s="36" t="s">
        <v>83</v>
      </c>
      <c r="Z861" s="36" t="s">
        <v>157</v>
      </c>
      <c r="AA861" s="36" t="s">
        <v>7</v>
      </c>
      <c r="AB861" s="36"/>
      <c r="AC861" s="36"/>
      <c r="AD861" s="29" t="s">
        <v>119</v>
      </c>
      <c r="AE861" s="36" t="str">
        <f>_xlfn.XLOOKUP(表格1[[#This Row],[唯一識別碼]],API清冊0707!B:B,API清冊0707!T:T,"")&amp;""</f>
        <v>無下拉選單</v>
      </c>
    </row>
    <row r="862" spans="1:31" ht="220.5" customHeight="1" x14ac:dyDescent="0.4">
      <c r="A862" s="29" t="s">
        <v>3611</v>
      </c>
      <c r="B862" s="29"/>
      <c r="C862" s="29"/>
      <c r="D862" s="29" t="s">
        <v>3612</v>
      </c>
      <c r="E862" s="29" t="s">
        <v>3613</v>
      </c>
      <c r="F862" s="29" t="s">
        <v>3609</v>
      </c>
      <c r="G862" s="35"/>
      <c r="H862" s="35" t="s">
        <v>151</v>
      </c>
      <c r="I862" s="29" t="s">
        <v>3611</v>
      </c>
      <c r="J862" s="37"/>
      <c r="K862" s="38"/>
      <c r="L862" s="38"/>
      <c r="M862" s="36" t="s">
        <v>60</v>
      </c>
      <c r="N862" s="15" t="s">
        <v>152</v>
      </c>
      <c r="O862" s="36" t="s">
        <v>162</v>
      </c>
      <c r="P862" s="36" t="str">
        <f t="shared" si="26"/>
        <v>WMTS_坡度圖-30%坡(2003-2005年20公尺DEM成果產製)</v>
      </c>
      <c r="Q862" s="29" t="s">
        <v>3610</v>
      </c>
      <c r="R862" s="29" t="str">
        <f t="shared" si="27"/>
        <v>2dms_wmts_v1_MoiSlopepGT30</v>
      </c>
      <c r="S862" s="39" t="s">
        <v>155</v>
      </c>
      <c r="U862" s="27" t="str">
        <f>_xlfn.XLOOKUP(表格1[[#This Row],[服務類別(英)]],參考2_服務標準對照!$B:$B,參考2_服務標準對照!$C:$C,"")&amp;""</f>
        <v>OGC</v>
      </c>
      <c r="V862" s="29" t="s">
        <v>7</v>
      </c>
      <c r="W862" s="29" t="s">
        <v>163</v>
      </c>
      <c r="X862" s="29" t="s">
        <v>81</v>
      </c>
      <c r="Y862" s="36" t="s">
        <v>83</v>
      </c>
      <c r="Z862" s="36" t="s">
        <v>157</v>
      </c>
      <c r="AA862" s="36" t="s">
        <v>7</v>
      </c>
      <c r="AB862" s="36"/>
      <c r="AC862" s="36"/>
      <c r="AD862" s="29" t="s">
        <v>119</v>
      </c>
      <c r="AE862" s="36" t="str">
        <f>_xlfn.XLOOKUP(表格1[[#This Row],[唯一識別碼]],API清冊0707!B:B,API清冊0707!T:T,"")&amp;""</f>
        <v>無下拉選單</v>
      </c>
    </row>
    <row r="863" spans="1:31" ht="204.75" customHeight="1" x14ac:dyDescent="0.4">
      <c r="A863" s="29" t="s">
        <v>3614</v>
      </c>
      <c r="B863" s="29"/>
      <c r="C863" s="29"/>
      <c r="D863" s="29" t="s">
        <v>3615</v>
      </c>
      <c r="E863" s="29" t="s">
        <v>3616</v>
      </c>
      <c r="F863" s="29" t="s">
        <v>3617</v>
      </c>
      <c r="G863" s="35"/>
      <c r="H863" s="35" t="s">
        <v>151</v>
      </c>
      <c r="I863" s="29" t="s">
        <v>3614</v>
      </c>
      <c r="J863" s="37"/>
      <c r="K863" s="38"/>
      <c r="L863" s="38"/>
      <c r="M863" s="36" t="s">
        <v>60</v>
      </c>
      <c r="N863" s="15" t="s">
        <v>152</v>
      </c>
      <c r="O863" s="36" t="s">
        <v>162</v>
      </c>
      <c r="P863" s="36" t="str">
        <f t="shared" si="26"/>
        <v>WMTS_渲染圖(20公尺DEM產製)</v>
      </c>
      <c r="Q863" s="29" t="s">
        <v>3618</v>
      </c>
      <c r="R863" s="29" t="str">
        <f t="shared" si="27"/>
        <v>2dms_wmts_v1_MoiShadermap</v>
      </c>
      <c r="S863" s="39" t="s">
        <v>155</v>
      </c>
      <c r="U863" s="27" t="str">
        <f>_xlfn.XLOOKUP(表格1[[#This Row],[服務類別(英)]],參考2_服務標準對照!$B:$B,參考2_服務標準對照!$C:$C,"")&amp;""</f>
        <v>OGC</v>
      </c>
      <c r="V863" s="29" t="s">
        <v>7</v>
      </c>
      <c r="W863" s="29" t="s">
        <v>163</v>
      </c>
      <c r="X863" s="29" t="s">
        <v>81</v>
      </c>
      <c r="Y863" s="36" t="s">
        <v>83</v>
      </c>
      <c r="Z863" s="36" t="s">
        <v>157</v>
      </c>
      <c r="AA863" s="36" t="s">
        <v>7</v>
      </c>
      <c r="AB863" s="36"/>
      <c r="AC863" s="36"/>
      <c r="AD863" s="29" t="s">
        <v>119</v>
      </c>
      <c r="AE863" s="36" t="str">
        <f>_xlfn.XLOOKUP(表格1[[#This Row],[唯一識別碼]],API清冊0707!B:B,API清冊0707!T:T,"")&amp;""</f>
        <v>無下拉選單</v>
      </c>
    </row>
    <row r="864" spans="1:31" ht="204.75" customHeight="1" x14ac:dyDescent="0.4">
      <c r="A864" s="29" t="s">
        <v>3619</v>
      </c>
      <c r="B864" s="29"/>
      <c r="C864" s="29"/>
      <c r="D864" s="29" t="s">
        <v>3620</v>
      </c>
      <c r="E864" s="29" t="s">
        <v>3621</v>
      </c>
      <c r="F864" s="29" t="s">
        <v>3622</v>
      </c>
      <c r="G864" s="35"/>
      <c r="H864" s="35" t="s">
        <v>151</v>
      </c>
      <c r="I864" s="29" t="s">
        <v>3619</v>
      </c>
      <c r="J864" s="37"/>
      <c r="K864" s="38"/>
      <c r="L864" s="38"/>
      <c r="M864" s="36" t="s">
        <v>60</v>
      </c>
      <c r="N864" s="15" t="s">
        <v>152</v>
      </c>
      <c r="O864" s="36" t="s">
        <v>162</v>
      </c>
      <c r="P864" s="36" t="str">
        <f t="shared" si="26"/>
        <v>WMTS_陰影圖(20公尺DEM產製)</v>
      </c>
      <c r="Q864" s="29" t="s">
        <v>3623</v>
      </c>
      <c r="R864" s="29" t="str">
        <f t="shared" si="27"/>
        <v>2dms_wmts_v1_MoiHillshade</v>
      </c>
      <c r="S864" s="39" t="s">
        <v>155</v>
      </c>
      <c r="U864" s="27" t="str">
        <f>_xlfn.XLOOKUP(表格1[[#This Row],[服務類別(英)]],參考2_服務標準對照!$B:$B,參考2_服務標準對照!$C:$C,"")&amp;""</f>
        <v>OGC</v>
      </c>
      <c r="V864" s="29" t="s">
        <v>7</v>
      </c>
      <c r="W864" s="29" t="s">
        <v>163</v>
      </c>
      <c r="X864" s="29" t="s">
        <v>81</v>
      </c>
      <c r="Y864" s="36" t="s">
        <v>83</v>
      </c>
      <c r="Z864" s="36" t="s">
        <v>157</v>
      </c>
      <c r="AA864" s="36" t="s">
        <v>7</v>
      </c>
      <c r="AB864" s="36"/>
      <c r="AC864" s="36"/>
      <c r="AD864" s="29" t="s">
        <v>119</v>
      </c>
      <c r="AE864" s="36" t="str">
        <f>_xlfn.XLOOKUP(表格1[[#This Row],[唯一識別碼]],API清冊0707!B:B,API清冊0707!T:T,"")&amp;""</f>
        <v>無下拉選單</v>
      </c>
    </row>
    <row r="865" spans="1:31" ht="204.75" customHeight="1" x14ac:dyDescent="0.4">
      <c r="A865" s="29" t="s">
        <v>3624</v>
      </c>
      <c r="B865" s="29"/>
      <c r="C865" s="29"/>
      <c r="D865" s="29" t="s">
        <v>3625</v>
      </c>
      <c r="E865" s="29" t="s">
        <v>3626</v>
      </c>
      <c r="F865" s="29" t="s">
        <v>3627</v>
      </c>
      <c r="G865" s="35"/>
      <c r="H865" s="35" t="s">
        <v>151</v>
      </c>
      <c r="I865" s="29" t="s">
        <v>3624</v>
      </c>
      <c r="J865" s="37"/>
      <c r="K865" s="38"/>
      <c r="L865" s="38"/>
      <c r="M865" s="36" t="s">
        <v>60</v>
      </c>
      <c r="N865" s="15" t="s">
        <v>152</v>
      </c>
      <c r="O865" s="36" t="s">
        <v>162</v>
      </c>
      <c r="P865" s="36" t="str">
        <f t="shared" si="26"/>
        <v>WMTS_等高線圖(2010-2015年20公尺DEM產製)</v>
      </c>
      <c r="Q865" s="29" t="s">
        <v>3628</v>
      </c>
      <c r="R865" s="29" t="str">
        <f t="shared" si="27"/>
        <v>2dms_wmts_v1_MoiContour2</v>
      </c>
      <c r="S865" s="39" t="s">
        <v>155</v>
      </c>
      <c r="U865" s="27" t="str">
        <f>_xlfn.XLOOKUP(表格1[[#This Row],[服務類別(英)]],參考2_服務標準對照!$B:$B,參考2_服務標準對照!$C:$C,"")&amp;""</f>
        <v>OGC</v>
      </c>
      <c r="V865" s="29" t="s">
        <v>7</v>
      </c>
      <c r="W865" s="29" t="s">
        <v>163</v>
      </c>
      <c r="X865" s="29" t="s">
        <v>81</v>
      </c>
      <c r="Y865" s="36" t="s">
        <v>83</v>
      </c>
      <c r="Z865" s="36" t="s">
        <v>157</v>
      </c>
      <c r="AA865" s="36" t="s">
        <v>7</v>
      </c>
      <c r="AB865" s="36"/>
      <c r="AC865" s="36"/>
      <c r="AD865" s="29" t="s">
        <v>119</v>
      </c>
      <c r="AE865" s="36" t="str">
        <f>_xlfn.XLOOKUP(表格1[[#This Row],[唯一識別碼]],API清冊0707!B:B,API清冊0707!T:T,"")&amp;""</f>
        <v>無下拉選單</v>
      </c>
    </row>
    <row r="866" spans="1:31" ht="204.75" customHeight="1" x14ac:dyDescent="0.4">
      <c r="A866" s="29" t="s">
        <v>3629</v>
      </c>
      <c r="B866" s="29"/>
      <c r="C866" s="29"/>
      <c r="D866" s="29" t="s">
        <v>3630</v>
      </c>
      <c r="E866" s="29" t="s">
        <v>3631</v>
      </c>
      <c r="F866" s="29" t="s">
        <v>3632</v>
      </c>
      <c r="G866" s="35"/>
      <c r="H866" s="35" t="s">
        <v>151</v>
      </c>
      <c r="I866" s="29" t="s">
        <v>3629</v>
      </c>
      <c r="J866" s="37"/>
      <c r="K866" s="38"/>
      <c r="L866" s="38"/>
      <c r="M866" s="36" t="s">
        <v>60</v>
      </c>
      <c r="N866" s="15" t="s">
        <v>152</v>
      </c>
      <c r="O866" s="36" t="s">
        <v>162</v>
      </c>
      <c r="P866" s="36" t="str">
        <f t="shared" si="26"/>
        <v>WMTS_等高線圖(2003-2005年20公尺DEM產製)</v>
      </c>
      <c r="Q866" s="29" t="s">
        <v>3633</v>
      </c>
      <c r="R866" s="29" t="str">
        <f t="shared" si="27"/>
        <v>2dms_wmts_v1_MoiContour</v>
      </c>
      <c r="S866" s="39" t="s">
        <v>155</v>
      </c>
      <c r="U866" s="27" t="str">
        <f>_xlfn.XLOOKUP(表格1[[#This Row],[服務類別(英)]],參考2_服務標準對照!$B:$B,參考2_服務標準對照!$C:$C,"")&amp;""</f>
        <v>OGC</v>
      </c>
      <c r="V866" s="29" t="s">
        <v>7</v>
      </c>
      <c r="W866" s="29" t="s">
        <v>163</v>
      </c>
      <c r="X866" s="29" t="s">
        <v>81</v>
      </c>
      <c r="Y866" s="36" t="s">
        <v>83</v>
      </c>
      <c r="Z866" s="36" t="s">
        <v>157</v>
      </c>
      <c r="AA866" s="36" t="s">
        <v>7</v>
      </c>
      <c r="AB866" s="36"/>
      <c r="AC866" s="36"/>
      <c r="AD866" s="29" t="s">
        <v>119</v>
      </c>
      <c r="AE866" s="36" t="str">
        <f>_xlfn.XLOOKUP(表格1[[#This Row],[唯一識別碼]],API清冊0707!B:B,API清冊0707!T:T,"")&amp;""</f>
        <v>無下拉選單</v>
      </c>
    </row>
    <row r="867" spans="1:31" ht="204.75" customHeight="1" x14ac:dyDescent="0.4">
      <c r="A867" s="29" t="s">
        <v>3634</v>
      </c>
      <c r="B867" s="29"/>
      <c r="C867" s="29"/>
      <c r="D867" s="29" t="s">
        <v>3635</v>
      </c>
      <c r="E867" s="29" t="s">
        <v>3636</v>
      </c>
      <c r="F867" s="29" t="s">
        <v>3637</v>
      </c>
      <c r="G867" s="35"/>
      <c r="H867" s="35" t="s">
        <v>151</v>
      </c>
      <c r="I867" s="29" t="s">
        <v>3634</v>
      </c>
      <c r="J867" s="37"/>
      <c r="K867" s="38"/>
      <c r="L867" s="38"/>
      <c r="M867" s="36" t="s">
        <v>60</v>
      </c>
      <c r="N867" s="15" t="s">
        <v>152</v>
      </c>
      <c r="O867" s="36" t="s">
        <v>162</v>
      </c>
      <c r="P867" s="36" t="str">
        <f t="shared" si="26"/>
        <v>WMTS_坡向圖(20公尺DEM產製)</v>
      </c>
      <c r="Q867" s="29" t="s">
        <v>3638</v>
      </c>
      <c r="R867" s="29" t="str">
        <f t="shared" si="27"/>
        <v>2dms_wmts_v1_MoiAspect</v>
      </c>
      <c r="S867" s="39" t="s">
        <v>155</v>
      </c>
      <c r="T867" s="27" t="s">
        <v>3639</v>
      </c>
      <c r="U867" s="27" t="str">
        <f>_xlfn.XLOOKUP(表格1[[#This Row],[服務類別(英)]],參考2_服務標準對照!$B:$B,參考2_服務標準對照!$C:$C,"")&amp;""</f>
        <v>OGC</v>
      </c>
      <c r="V867" s="29" t="s">
        <v>7</v>
      </c>
      <c r="W867" s="29" t="s">
        <v>163</v>
      </c>
      <c r="X867" s="29" t="s">
        <v>81</v>
      </c>
      <c r="Y867" s="36" t="s">
        <v>83</v>
      </c>
      <c r="Z867" s="36" t="s">
        <v>157</v>
      </c>
      <c r="AA867" s="36" t="s">
        <v>7</v>
      </c>
      <c r="AB867" s="36"/>
      <c r="AC867" s="36"/>
      <c r="AD867" s="29" t="s">
        <v>119</v>
      </c>
      <c r="AE867" s="36" t="str">
        <f>_xlfn.XLOOKUP(表格1[[#This Row],[唯一識別碼]],API清冊0707!B:B,API清冊0707!T:T,"")&amp;""</f>
        <v>無下拉選單</v>
      </c>
    </row>
    <row r="868" spans="1:31" ht="189" customHeight="1" x14ac:dyDescent="0.4">
      <c r="A868" s="29" t="s">
        <v>3640</v>
      </c>
      <c r="B868" s="29"/>
      <c r="C868" s="29"/>
      <c r="D868" s="29" t="s">
        <v>3641</v>
      </c>
      <c r="E868" s="29" t="s">
        <v>3642</v>
      </c>
      <c r="F868" s="29" t="s">
        <v>3643</v>
      </c>
      <c r="G868" s="35"/>
      <c r="H868" s="35" t="s">
        <v>151</v>
      </c>
      <c r="I868" s="29" t="s">
        <v>3640</v>
      </c>
      <c r="J868" s="37"/>
      <c r="K868" s="38"/>
      <c r="L868" s="38"/>
      <c r="M868" s="36" t="s">
        <v>60</v>
      </c>
      <c r="N868" s="15" t="s">
        <v>152</v>
      </c>
      <c r="O868" s="36" t="s">
        <v>162</v>
      </c>
      <c r="P868" s="36" t="str">
        <f t="shared" si="26"/>
        <v>WMTS_1/5000圖幅框</v>
      </c>
      <c r="Q868" s="29" t="s">
        <v>3643</v>
      </c>
      <c r="R868" s="29" t="str">
        <f t="shared" si="27"/>
        <v>2dms_wmts_v1_MB5000</v>
      </c>
      <c r="S868" s="39" t="s">
        <v>155</v>
      </c>
      <c r="U868" s="27" t="str">
        <f>_xlfn.XLOOKUP(表格1[[#This Row],[服務類別(英)]],參考2_服務標準對照!$B:$B,參考2_服務標準對照!$C:$C,"")&amp;""</f>
        <v>OGC</v>
      </c>
      <c r="V868" s="29" t="s">
        <v>7</v>
      </c>
      <c r="W868" s="29" t="s">
        <v>163</v>
      </c>
      <c r="X868" s="29" t="s">
        <v>81</v>
      </c>
      <c r="Y868" s="36" t="s">
        <v>83</v>
      </c>
      <c r="Z868" s="36" t="s">
        <v>157</v>
      </c>
      <c r="AA868" s="36" t="s">
        <v>7</v>
      </c>
      <c r="AB868" s="36"/>
      <c r="AC868" s="36"/>
      <c r="AD868" s="29" t="s">
        <v>119</v>
      </c>
      <c r="AE868" s="36" t="str">
        <f>_xlfn.XLOOKUP(表格1[[#This Row],[唯一識別碼]],API清冊0707!B:B,API清冊0707!T:T,"")&amp;""</f>
        <v>無下拉選單</v>
      </c>
    </row>
    <row r="869" spans="1:31" ht="204.75" customHeight="1" x14ac:dyDescent="0.4">
      <c r="A869" s="29" t="s">
        <v>3644</v>
      </c>
      <c r="B869" s="29"/>
      <c r="C869" s="29"/>
      <c r="D869" s="29" t="s">
        <v>3645</v>
      </c>
      <c r="E869" s="29" t="s">
        <v>3646</v>
      </c>
      <c r="F869" s="29" t="s">
        <v>3647</v>
      </c>
      <c r="G869" s="35"/>
      <c r="H869" s="35" t="s">
        <v>151</v>
      </c>
      <c r="I869" s="29" t="s">
        <v>3644</v>
      </c>
      <c r="J869" s="37"/>
      <c r="K869" s="38"/>
      <c r="L869" s="38"/>
      <c r="M869" s="36" t="s">
        <v>60</v>
      </c>
      <c r="N869" s="15" t="s">
        <v>152</v>
      </c>
      <c r="O869" s="36" t="s">
        <v>162</v>
      </c>
      <c r="P869" s="36" t="str">
        <f t="shared" si="26"/>
        <v>WMTS_國土利用現況調查成果圖(99年更新區)</v>
      </c>
      <c r="Q869" s="29" t="s">
        <v>3647</v>
      </c>
      <c r="R869" s="29" t="str">
        <f t="shared" si="27"/>
        <v>2dms_wmts_v1_LUIMAP99</v>
      </c>
      <c r="S869" s="39" t="s">
        <v>155</v>
      </c>
      <c r="T869" s="27" t="s">
        <v>3648</v>
      </c>
      <c r="U869" s="27" t="str">
        <f>_xlfn.XLOOKUP(表格1[[#This Row],[服務類別(英)]],參考2_服務標準對照!$B:$B,參考2_服務標準對照!$C:$C,"")&amp;""</f>
        <v>OGC</v>
      </c>
      <c r="V869" s="29" t="s">
        <v>7</v>
      </c>
      <c r="W869" s="29" t="s">
        <v>163</v>
      </c>
      <c r="X869" s="29" t="s">
        <v>81</v>
      </c>
      <c r="Y869" s="36" t="s">
        <v>83</v>
      </c>
      <c r="Z869" s="36" t="s">
        <v>157</v>
      </c>
      <c r="AA869" s="36" t="s">
        <v>3649</v>
      </c>
      <c r="AB869" s="36"/>
      <c r="AC869" s="36"/>
      <c r="AD869" s="29" t="s">
        <v>119</v>
      </c>
      <c r="AE869" s="36" t="str">
        <f>_xlfn.XLOOKUP(表格1[[#This Row],[唯一識別碼]],API清冊0707!B:B,API清冊0707!T:T,"")&amp;""</f>
        <v>無下拉選單</v>
      </c>
    </row>
    <row r="870" spans="1:31" ht="204.75" customHeight="1" x14ac:dyDescent="0.4">
      <c r="A870" s="29" t="s">
        <v>3650</v>
      </c>
      <c r="B870" s="29"/>
      <c r="C870" s="29"/>
      <c r="D870" s="29" t="s">
        <v>3651</v>
      </c>
      <c r="E870" s="29" t="s">
        <v>3652</v>
      </c>
      <c r="F870" s="29" t="s">
        <v>3653</v>
      </c>
      <c r="G870" s="35"/>
      <c r="H870" s="35" t="s">
        <v>151</v>
      </c>
      <c r="I870" s="29" t="s">
        <v>3650</v>
      </c>
      <c r="J870" s="37"/>
      <c r="K870" s="38"/>
      <c r="L870" s="38"/>
      <c r="M870" s="36" t="s">
        <v>60</v>
      </c>
      <c r="N870" s="15" t="s">
        <v>152</v>
      </c>
      <c r="O870" s="36" t="s">
        <v>162</v>
      </c>
      <c r="P870" s="36" t="str">
        <f t="shared" si="26"/>
        <v>WMTS_國土利用現況調查成果圖(98年更新區)</v>
      </c>
      <c r="Q870" s="29" t="s">
        <v>3653</v>
      </c>
      <c r="R870" s="29" t="str">
        <f t="shared" si="27"/>
        <v>2dms_wmts_v1_LUIMAP98</v>
      </c>
      <c r="S870" s="39" t="s">
        <v>155</v>
      </c>
      <c r="T870" s="27" t="s">
        <v>3648</v>
      </c>
      <c r="U870" s="27" t="str">
        <f>_xlfn.XLOOKUP(表格1[[#This Row],[服務類別(英)]],參考2_服務標準對照!$B:$B,參考2_服務標準對照!$C:$C,"")&amp;""</f>
        <v>OGC</v>
      </c>
      <c r="V870" s="29" t="s">
        <v>7</v>
      </c>
      <c r="W870" s="29" t="s">
        <v>163</v>
      </c>
      <c r="X870" s="29" t="s">
        <v>81</v>
      </c>
      <c r="Y870" s="36" t="s">
        <v>83</v>
      </c>
      <c r="Z870" s="36" t="s">
        <v>157</v>
      </c>
      <c r="AA870" s="36" t="s">
        <v>3649</v>
      </c>
      <c r="AB870" s="36"/>
      <c r="AC870" s="36"/>
      <c r="AD870" s="29" t="s">
        <v>119</v>
      </c>
      <c r="AE870" s="36" t="str">
        <f>_xlfn.XLOOKUP(表格1[[#This Row],[唯一識別碼]],API清冊0707!B:B,API清冊0707!T:T,"")&amp;""</f>
        <v>無下拉選單</v>
      </c>
    </row>
    <row r="871" spans="1:31" ht="204.75" customHeight="1" x14ac:dyDescent="0.4">
      <c r="A871" s="29" t="s">
        <v>3654</v>
      </c>
      <c r="B871" s="29"/>
      <c r="C871" s="29"/>
      <c r="D871" s="29" t="s">
        <v>3655</v>
      </c>
      <c r="E871" s="29" t="s">
        <v>3656</v>
      </c>
      <c r="F871" s="29" t="s">
        <v>3657</v>
      </c>
      <c r="G871" s="35"/>
      <c r="H871" s="35" t="s">
        <v>151</v>
      </c>
      <c r="I871" s="29" t="s">
        <v>3654</v>
      </c>
      <c r="J871" s="37"/>
      <c r="K871" s="38"/>
      <c r="L871" s="38"/>
      <c r="M871" s="36" t="s">
        <v>60</v>
      </c>
      <c r="N871" s="15" t="s">
        <v>152</v>
      </c>
      <c r="O871" s="36" t="s">
        <v>162</v>
      </c>
      <c r="P871" s="36" t="str">
        <f t="shared" si="26"/>
        <v>WMTS_國土利用現況調查成果圖(95-97年成果)</v>
      </c>
      <c r="Q871" s="29" t="s">
        <v>3657</v>
      </c>
      <c r="R871" s="29" t="str">
        <f t="shared" si="27"/>
        <v>2dms_wmts_v1_LUIMAP95</v>
      </c>
      <c r="S871" s="39" t="s">
        <v>155</v>
      </c>
      <c r="T871" s="27" t="s">
        <v>3648</v>
      </c>
      <c r="U871" s="27" t="str">
        <f>_xlfn.XLOOKUP(表格1[[#This Row],[服務類別(英)]],參考2_服務標準對照!$B:$B,參考2_服務標準對照!$C:$C,"")&amp;""</f>
        <v>OGC</v>
      </c>
      <c r="V871" s="29" t="s">
        <v>7</v>
      </c>
      <c r="W871" s="29" t="s">
        <v>163</v>
      </c>
      <c r="X871" s="29" t="s">
        <v>81</v>
      </c>
      <c r="Y871" s="36" t="s">
        <v>83</v>
      </c>
      <c r="Z871" s="36" t="s">
        <v>157</v>
      </c>
      <c r="AA871" s="36" t="s">
        <v>3649</v>
      </c>
      <c r="AB871" s="36"/>
      <c r="AC871" s="36"/>
      <c r="AD871" s="29" t="s">
        <v>119</v>
      </c>
      <c r="AE871" s="36" t="str">
        <f>_xlfn.XLOOKUP(表格1[[#This Row],[唯一識別碼]],API清冊0707!B:B,API清冊0707!T:T,"")&amp;""</f>
        <v>無下拉選單</v>
      </c>
    </row>
    <row r="872" spans="1:31" ht="204.75" customHeight="1" x14ac:dyDescent="0.4">
      <c r="A872" s="29" t="s">
        <v>3658</v>
      </c>
      <c r="B872" s="29"/>
      <c r="C872" s="29"/>
      <c r="D872" s="29" t="s">
        <v>3659</v>
      </c>
      <c r="E872" s="29" t="s">
        <v>3660</v>
      </c>
      <c r="F872" s="29" t="s">
        <v>3661</v>
      </c>
      <c r="G872" s="35"/>
      <c r="H872" s="35" t="s">
        <v>151</v>
      </c>
      <c r="I872" s="29" t="s">
        <v>3658</v>
      </c>
      <c r="J872" s="37"/>
      <c r="K872" s="38"/>
      <c r="L872" s="38"/>
      <c r="M872" s="36" t="s">
        <v>60</v>
      </c>
      <c r="N872" s="15" t="s">
        <v>152</v>
      </c>
      <c r="O872" s="36" t="s">
        <v>162</v>
      </c>
      <c r="P872" s="36" t="str">
        <f t="shared" si="26"/>
        <v>WMTS_國土利用現況調查成果圖(82-84年成果)</v>
      </c>
      <c r="Q872" s="29" t="s">
        <v>3661</v>
      </c>
      <c r="R872" s="29" t="str">
        <f t="shared" si="27"/>
        <v>2dms_wmts_v1_LUIMAP82</v>
      </c>
      <c r="S872" s="39" t="s">
        <v>155</v>
      </c>
      <c r="T872" s="27" t="s">
        <v>3648</v>
      </c>
      <c r="U872" s="27" t="str">
        <f>_xlfn.XLOOKUP(表格1[[#This Row],[服務類別(英)]],參考2_服務標準對照!$B:$B,參考2_服務標準對照!$C:$C,"")&amp;""</f>
        <v>OGC</v>
      </c>
      <c r="V872" s="29" t="s">
        <v>7</v>
      </c>
      <c r="W872" s="29" t="s">
        <v>163</v>
      </c>
      <c r="X872" s="29" t="s">
        <v>81</v>
      </c>
      <c r="Y872" s="36" t="s">
        <v>83</v>
      </c>
      <c r="Z872" s="36" t="s">
        <v>157</v>
      </c>
      <c r="AA872" s="36" t="s">
        <v>3649</v>
      </c>
      <c r="AB872" s="36"/>
      <c r="AC872" s="36"/>
      <c r="AD872" s="29" t="s">
        <v>119</v>
      </c>
      <c r="AE872" s="36" t="str">
        <f>_xlfn.XLOOKUP(表格1[[#This Row],[唯一識別碼]],API清冊0707!B:B,API清冊0707!T:T,"")&amp;""</f>
        <v>無下拉選單</v>
      </c>
    </row>
    <row r="873" spans="1:31" ht="204.75" customHeight="1" x14ac:dyDescent="0.4">
      <c r="A873" s="29" t="s">
        <v>3662</v>
      </c>
      <c r="B873" s="29"/>
      <c r="C873" s="29"/>
      <c r="D873" s="29" t="s">
        <v>3663</v>
      </c>
      <c r="E873" s="29" t="s">
        <v>3664</v>
      </c>
      <c r="F873" s="29" t="s">
        <v>3665</v>
      </c>
      <c r="G873" s="35"/>
      <c r="H873" s="35" t="s">
        <v>151</v>
      </c>
      <c r="I873" s="29" t="s">
        <v>3662</v>
      </c>
      <c r="J873" s="37"/>
      <c r="K873" s="38"/>
      <c r="L873" s="38"/>
      <c r="M873" s="36" t="s">
        <v>60</v>
      </c>
      <c r="N873" s="15" t="s">
        <v>152</v>
      </c>
      <c r="O873" s="36" t="s">
        <v>162</v>
      </c>
      <c r="P873" s="36" t="str">
        <f t="shared" si="26"/>
        <v>WMTS_國土利用現況調查成果圖(114年更新區)</v>
      </c>
      <c r="Q873" s="29" t="s">
        <v>3665</v>
      </c>
      <c r="R873" s="29" t="str">
        <f t="shared" si="27"/>
        <v>2dms_wmts_v1_LUIMAP114</v>
      </c>
      <c r="S873" s="39" t="s">
        <v>155</v>
      </c>
      <c r="T873" s="27" t="s">
        <v>3666</v>
      </c>
      <c r="U873" s="27" t="str">
        <f>_xlfn.XLOOKUP(表格1[[#This Row],[服務類別(英)]],參考2_服務標準對照!$B:$B,參考2_服務標準對照!$C:$C,"")&amp;""</f>
        <v>OGC</v>
      </c>
      <c r="V873" s="29" t="s">
        <v>7</v>
      </c>
      <c r="W873" s="29" t="s">
        <v>163</v>
      </c>
      <c r="X873" s="29" t="s">
        <v>81</v>
      </c>
      <c r="Y873" s="36" t="s">
        <v>83</v>
      </c>
      <c r="Z873" s="36" t="s">
        <v>157</v>
      </c>
      <c r="AA873" s="36" t="s">
        <v>3649</v>
      </c>
      <c r="AB873" s="36"/>
      <c r="AC873" s="36"/>
      <c r="AD873" s="29" t="s">
        <v>119</v>
      </c>
      <c r="AE873" s="36" t="str">
        <f>_xlfn.XLOOKUP(表格1[[#This Row],[唯一識別碼]],API清冊0707!B:B,API清冊0707!T:T,"")&amp;""</f>
        <v>無下拉選單</v>
      </c>
    </row>
    <row r="874" spans="1:31" ht="204.75" customHeight="1" x14ac:dyDescent="0.4">
      <c r="A874" s="29" t="s">
        <v>3667</v>
      </c>
      <c r="B874" s="29"/>
      <c r="C874" s="29"/>
      <c r="D874" s="29" t="s">
        <v>3668</v>
      </c>
      <c r="E874" s="29" t="s">
        <v>3669</v>
      </c>
      <c r="F874" s="29" t="s">
        <v>3670</v>
      </c>
      <c r="G874" s="35"/>
      <c r="H874" s="35" t="s">
        <v>151</v>
      </c>
      <c r="I874" s="29" t="s">
        <v>3667</v>
      </c>
      <c r="J874" s="37"/>
      <c r="K874" s="38"/>
      <c r="L874" s="38"/>
      <c r="M874" s="36" t="s">
        <v>60</v>
      </c>
      <c r="N874" s="15" t="s">
        <v>152</v>
      </c>
      <c r="O874" s="36" t="s">
        <v>162</v>
      </c>
      <c r="P874" s="36" t="str">
        <f t="shared" si="26"/>
        <v>WMTS_國土利用現況調查成果圖(113年更新區)</v>
      </c>
      <c r="Q874" s="29" t="s">
        <v>3670</v>
      </c>
      <c r="R874" s="29" t="str">
        <f t="shared" si="27"/>
        <v>2dms_wmts_v1_LUIMAP113</v>
      </c>
      <c r="S874" s="39" t="s">
        <v>155</v>
      </c>
      <c r="T874" s="27" t="s">
        <v>3666</v>
      </c>
      <c r="U874" s="27" t="str">
        <f>_xlfn.XLOOKUP(表格1[[#This Row],[服務類別(英)]],參考2_服務標準對照!$B:$B,參考2_服務標準對照!$C:$C,"")&amp;""</f>
        <v>OGC</v>
      </c>
      <c r="V874" s="29" t="s">
        <v>7</v>
      </c>
      <c r="W874" s="29" t="s">
        <v>163</v>
      </c>
      <c r="X874" s="29" t="s">
        <v>81</v>
      </c>
      <c r="Y874" s="36" t="s">
        <v>83</v>
      </c>
      <c r="Z874" s="36" t="s">
        <v>157</v>
      </c>
      <c r="AA874" s="36" t="s">
        <v>3649</v>
      </c>
      <c r="AB874" s="36"/>
      <c r="AC874" s="36"/>
      <c r="AD874" s="29" t="s">
        <v>119</v>
      </c>
      <c r="AE874" s="36" t="str">
        <f>_xlfn.XLOOKUP(表格1[[#This Row],[唯一識別碼]],API清冊0707!B:B,API清冊0707!T:T,"")&amp;""</f>
        <v>無下拉選單</v>
      </c>
    </row>
    <row r="875" spans="1:31" ht="204.75" customHeight="1" x14ac:dyDescent="0.4">
      <c r="A875" s="29" t="s">
        <v>3671</v>
      </c>
      <c r="B875" s="29"/>
      <c r="C875" s="29"/>
      <c r="D875" s="29" t="s">
        <v>3672</v>
      </c>
      <c r="E875" s="29" t="s">
        <v>3673</v>
      </c>
      <c r="F875" s="29" t="s">
        <v>3674</v>
      </c>
      <c r="G875" s="35"/>
      <c r="H875" s="35" t="s">
        <v>151</v>
      </c>
      <c r="I875" s="29" t="s">
        <v>3671</v>
      </c>
      <c r="J875" s="37"/>
      <c r="K875" s="38"/>
      <c r="L875" s="38"/>
      <c r="M875" s="36" t="s">
        <v>60</v>
      </c>
      <c r="N875" s="15" t="s">
        <v>152</v>
      </c>
      <c r="O875" s="36" t="s">
        <v>162</v>
      </c>
      <c r="P875" s="36" t="str">
        <f t="shared" si="26"/>
        <v>WMTS_國土利用現況調查成果圖(112年更新區)</v>
      </c>
      <c r="Q875" s="29" t="s">
        <v>3674</v>
      </c>
      <c r="R875" s="29" t="str">
        <f t="shared" si="27"/>
        <v>2dms_wmts_v1_LUIMAP112</v>
      </c>
      <c r="S875" s="39" t="s">
        <v>155</v>
      </c>
      <c r="T875" s="27" t="s">
        <v>3666</v>
      </c>
      <c r="U875" s="27" t="str">
        <f>_xlfn.XLOOKUP(表格1[[#This Row],[服務類別(英)]],參考2_服務標準對照!$B:$B,參考2_服務標準對照!$C:$C,"")&amp;""</f>
        <v>OGC</v>
      </c>
      <c r="V875" s="29" t="s">
        <v>7</v>
      </c>
      <c r="W875" s="29" t="s">
        <v>163</v>
      </c>
      <c r="X875" s="29" t="s">
        <v>81</v>
      </c>
      <c r="Y875" s="36" t="s">
        <v>83</v>
      </c>
      <c r="Z875" s="36" t="s">
        <v>157</v>
      </c>
      <c r="AA875" s="36" t="s">
        <v>3649</v>
      </c>
      <c r="AB875" s="36"/>
      <c r="AC875" s="36"/>
      <c r="AD875" s="29" t="s">
        <v>119</v>
      </c>
      <c r="AE875" s="36" t="str">
        <f>_xlfn.XLOOKUP(表格1[[#This Row],[唯一識別碼]],API清冊0707!B:B,API清冊0707!T:T,"")&amp;""</f>
        <v>無下拉選單</v>
      </c>
    </row>
    <row r="876" spans="1:31" ht="204.75" customHeight="1" x14ac:dyDescent="0.4">
      <c r="A876" s="29" t="s">
        <v>3675</v>
      </c>
      <c r="B876" s="29"/>
      <c r="C876" s="29"/>
      <c r="D876" s="29" t="s">
        <v>3676</v>
      </c>
      <c r="E876" s="29" t="s">
        <v>3677</v>
      </c>
      <c r="F876" s="29" t="s">
        <v>3678</v>
      </c>
      <c r="G876" s="35"/>
      <c r="H876" s="35" t="s">
        <v>151</v>
      </c>
      <c r="I876" s="29" t="s">
        <v>3675</v>
      </c>
      <c r="J876" s="37"/>
      <c r="K876" s="38"/>
      <c r="L876" s="38"/>
      <c r="M876" s="36" t="s">
        <v>60</v>
      </c>
      <c r="N876" s="15" t="s">
        <v>152</v>
      </c>
      <c r="O876" s="36" t="s">
        <v>162</v>
      </c>
      <c r="P876" s="36" t="str">
        <f t="shared" si="26"/>
        <v>WMTS_國土利用現況調查成果圖(111年更新區)</v>
      </c>
      <c r="Q876" s="29" t="s">
        <v>3678</v>
      </c>
      <c r="R876" s="29" t="str">
        <f t="shared" si="27"/>
        <v>2dms_wmts_v1_LUIMAP111</v>
      </c>
      <c r="S876" s="39" t="s">
        <v>155</v>
      </c>
      <c r="T876" s="27" t="s">
        <v>3666</v>
      </c>
      <c r="U876" s="27" t="str">
        <f>_xlfn.XLOOKUP(表格1[[#This Row],[服務類別(英)]],參考2_服務標準對照!$B:$B,參考2_服務標準對照!$C:$C,"")&amp;""</f>
        <v>OGC</v>
      </c>
      <c r="V876" s="29" t="s">
        <v>7</v>
      </c>
      <c r="W876" s="29" t="s">
        <v>163</v>
      </c>
      <c r="X876" s="29" t="s">
        <v>81</v>
      </c>
      <c r="Y876" s="36" t="s">
        <v>83</v>
      </c>
      <c r="Z876" s="36" t="s">
        <v>157</v>
      </c>
      <c r="AA876" s="36" t="s">
        <v>3649</v>
      </c>
      <c r="AB876" s="36"/>
      <c r="AC876" s="36"/>
      <c r="AD876" s="29" t="s">
        <v>119</v>
      </c>
      <c r="AE876" s="36" t="str">
        <f>_xlfn.XLOOKUP(表格1[[#This Row],[唯一識別碼]],API清冊0707!B:B,API清冊0707!T:T,"")&amp;""</f>
        <v>無下拉選單</v>
      </c>
    </row>
    <row r="877" spans="1:31" ht="204.75" customHeight="1" x14ac:dyDescent="0.4">
      <c r="A877" s="29" t="s">
        <v>3679</v>
      </c>
      <c r="B877" s="29"/>
      <c r="C877" s="29"/>
      <c r="D877" s="29" t="s">
        <v>3680</v>
      </c>
      <c r="E877" s="29" t="s">
        <v>3681</v>
      </c>
      <c r="F877" s="29" t="s">
        <v>3682</v>
      </c>
      <c r="G877" s="35"/>
      <c r="H877" s="35" t="s">
        <v>151</v>
      </c>
      <c r="I877" s="29" t="s">
        <v>3679</v>
      </c>
      <c r="J877" s="37"/>
      <c r="K877" s="38"/>
      <c r="L877" s="38"/>
      <c r="M877" s="36" t="s">
        <v>60</v>
      </c>
      <c r="N877" s="15" t="s">
        <v>152</v>
      </c>
      <c r="O877" s="36" t="s">
        <v>162</v>
      </c>
      <c r="P877" s="36" t="str">
        <f t="shared" si="26"/>
        <v>WMTS_國土利用現況調查成果圖(110年更新區)</v>
      </c>
      <c r="Q877" s="29" t="s">
        <v>3682</v>
      </c>
      <c r="R877" s="29" t="str">
        <f t="shared" si="27"/>
        <v>2dms_wmts_v1_LUIMAP110</v>
      </c>
      <c r="S877" s="39" t="s">
        <v>155</v>
      </c>
      <c r="T877" s="27" t="s">
        <v>3666</v>
      </c>
      <c r="U877" s="27" t="str">
        <f>_xlfn.XLOOKUP(表格1[[#This Row],[服務類別(英)]],參考2_服務標準對照!$B:$B,參考2_服務標準對照!$C:$C,"")&amp;""</f>
        <v>OGC</v>
      </c>
      <c r="V877" s="29" t="s">
        <v>7</v>
      </c>
      <c r="W877" s="29" t="s">
        <v>163</v>
      </c>
      <c r="X877" s="29" t="s">
        <v>81</v>
      </c>
      <c r="Y877" s="36" t="s">
        <v>83</v>
      </c>
      <c r="Z877" s="36" t="s">
        <v>157</v>
      </c>
      <c r="AA877" s="36" t="s">
        <v>3649</v>
      </c>
      <c r="AB877" s="36"/>
      <c r="AC877" s="36"/>
      <c r="AD877" s="29" t="s">
        <v>119</v>
      </c>
      <c r="AE877" s="36" t="str">
        <f>_xlfn.XLOOKUP(表格1[[#This Row],[唯一識別碼]],API清冊0707!B:B,API清冊0707!T:T,"")&amp;""</f>
        <v>無下拉選單</v>
      </c>
    </row>
    <row r="878" spans="1:31" ht="204.75" customHeight="1" x14ac:dyDescent="0.4">
      <c r="A878" s="29" t="s">
        <v>3683</v>
      </c>
      <c r="B878" s="29"/>
      <c r="C878" s="29"/>
      <c r="D878" s="29" t="s">
        <v>3684</v>
      </c>
      <c r="E878" s="29" t="s">
        <v>3685</v>
      </c>
      <c r="F878" s="29" t="s">
        <v>3686</v>
      </c>
      <c r="G878" s="35"/>
      <c r="H878" s="35" t="s">
        <v>151</v>
      </c>
      <c r="I878" s="29" t="s">
        <v>3683</v>
      </c>
      <c r="J878" s="37"/>
      <c r="K878" s="38"/>
      <c r="L878" s="38"/>
      <c r="M878" s="36" t="s">
        <v>60</v>
      </c>
      <c r="N878" s="15" t="s">
        <v>152</v>
      </c>
      <c r="O878" s="36" t="s">
        <v>162</v>
      </c>
      <c r="P878" s="36" t="str">
        <f t="shared" si="26"/>
        <v>WMTS_國土利用現況調查成果圖(109年更新區)</v>
      </c>
      <c r="Q878" s="29" t="s">
        <v>3686</v>
      </c>
      <c r="R878" s="29" t="str">
        <f t="shared" si="27"/>
        <v>2dms_wmts_v1_LUIMAP109</v>
      </c>
      <c r="S878" s="39" t="s">
        <v>155</v>
      </c>
      <c r="T878" s="27" t="s">
        <v>3666</v>
      </c>
      <c r="U878" s="27" t="str">
        <f>_xlfn.XLOOKUP(表格1[[#This Row],[服務類別(英)]],參考2_服務標準對照!$B:$B,參考2_服務標準對照!$C:$C,"")&amp;""</f>
        <v>OGC</v>
      </c>
      <c r="V878" s="29" t="s">
        <v>7</v>
      </c>
      <c r="W878" s="29" t="s">
        <v>163</v>
      </c>
      <c r="X878" s="29" t="s">
        <v>81</v>
      </c>
      <c r="Y878" s="36" t="s">
        <v>83</v>
      </c>
      <c r="Z878" s="36" t="s">
        <v>157</v>
      </c>
      <c r="AA878" s="36" t="s">
        <v>3649</v>
      </c>
      <c r="AB878" s="36"/>
      <c r="AC878" s="36"/>
      <c r="AD878" s="29" t="s">
        <v>119</v>
      </c>
      <c r="AE878" s="36" t="str">
        <f>_xlfn.XLOOKUP(表格1[[#This Row],[唯一識別碼]],API清冊0707!B:B,API清冊0707!T:T,"")&amp;""</f>
        <v>無下拉選單</v>
      </c>
    </row>
    <row r="879" spans="1:31" ht="204.75" customHeight="1" x14ac:dyDescent="0.4">
      <c r="A879" s="29" t="s">
        <v>3687</v>
      </c>
      <c r="B879" s="29"/>
      <c r="C879" s="29"/>
      <c r="D879" s="29" t="s">
        <v>3688</v>
      </c>
      <c r="E879" s="29" t="s">
        <v>3689</v>
      </c>
      <c r="F879" s="29" t="s">
        <v>3690</v>
      </c>
      <c r="G879" s="35"/>
      <c r="H879" s="35" t="s">
        <v>151</v>
      </c>
      <c r="I879" s="29" t="s">
        <v>3687</v>
      </c>
      <c r="J879" s="37"/>
      <c r="K879" s="38"/>
      <c r="L879" s="38"/>
      <c r="M879" s="36" t="s">
        <v>60</v>
      </c>
      <c r="N879" s="15" t="s">
        <v>152</v>
      </c>
      <c r="O879" s="36" t="s">
        <v>162</v>
      </c>
      <c r="P879" s="36" t="str">
        <f t="shared" si="26"/>
        <v>WMTS_國土利用現況調查成果圖(108年更新區)</v>
      </c>
      <c r="Q879" s="29" t="s">
        <v>3690</v>
      </c>
      <c r="R879" s="29" t="str">
        <f t="shared" si="27"/>
        <v>2dms_wmts_v1_LUIMAP108</v>
      </c>
      <c r="S879" s="39" t="s">
        <v>155</v>
      </c>
      <c r="T879" s="27" t="s">
        <v>3691</v>
      </c>
      <c r="U879" s="27" t="str">
        <f>_xlfn.XLOOKUP(表格1[[#This Row],[服務類別(英)]],參考2_服務標準對照!$B:$B,參考2_服務標準對照!$C:$C,"")&amp;""</f>
        <v>OGC</v>
      </c>
      <c r="V879" s="29" t="s">
        <v>7</v>
      </c>
      <c r="W879" s="29" t="s">
        <v>163</v>
      </c>
      <c r="X879" s="29" t="s">
        <v>81</v>
      </c>
      <c r="Y879" s="36" t="s">
        <v>83</v>
      </c>
      <c r="Z879" s="36" t="s">
        <v>157</v>
      </c>
      <c r="AA879" s="36" t="s">
        <v>3649</v>
      </c>
      <c r="AB879" s="36"/>
      <c r="AC879" s="36"/>
      <c r="AD879" s="29" t="s">
        <v>119</v>
      </c>
      <c r="AE879" s="36" t="str">
        <f>_xlfn.XLOOKUP(表格1[[#This Row],[唯一識別碼]],API清冊0707!B:B,API清冊0707!T:T,"")&amp;""</f>
        <v>無下拉選單</v>
      </c>
    </row>
    <row r="880" spans="1:31" ht="204.75" customHeight="1" x14ac:dyDescent="0.4">
      <c r="A880" s="29" t="s">
        <v>3692</v>
      </c>
      <c r="B880" s="29"/>
      <c r="C880" s="29"/>
      <c r="D880" s="29" t="s">
        <v>3693</v>
      </c>
      <c r="E880" s="29" t="s">
        <v>3694</v>
      </c>
      <c r="F880" s="29" t="s">
        <v>3695</v>
      </c>
      <c r="G880" s="35"/>
      <c r="H880" s="35" t="s">
        <v>151</v>
      </c>
      <c r="I880" s="29" t="s">
        <v>3692</v>
      </c>
      <c r="J880" s="37"/>
      <c r="K880" s="38"/>
      <c r="L880" s="38"/>
      <c r="M880" s="36" t="s">
        <v>60</v>
      </c>
      <c r="N880" s="15" t="s">
        <v>152</v>
      </c>
      <c r="O880" s="36" t="s">
        <v>162</v>
      </c>
      <c r="P880" s="36" t="str">
        <f t="shared" si="26"/>
        <v>WMTS_國土利用現況調查成果圖(107年更新區)</v>
      </c>
      <c r="Q880" s="29" t="s">
        <v>3695</v>
      </c>
      <c r="R880" s="29" t="str">
        <f t="shared" si="27"/>
        <v>2dms_wmts_v1_LUIMAP107</v>
      </c>
      <c r="S880" s="39" t="s">
        <v>155</v>
      </c>
      <c r="T880" s="27" t="s">
        <v>3691</v>
      </c>
      <c r="U880" s="27" t="str">
        <f>_xlfn.XLOOKUP(表格1[[#This Row],[服務類別(英)]],參考2_服務標準對照!$B:$B,參考2_服務標準對照!$C:$C,"")&amp;""</f>
        <v>OGC</v>
      </c>
      <c r="V880" s="29" t="s">
        <v>7</v>
      </c>
      <c r="W880" s="29" t="s">
        <v>163</v>
      </c>
      <c r="X880" s="29" t="s">
        <v>81</v>
      </c>
      <c r="Y880" s="36" t="s">
        <v>83</v>
      </c>
      <c r="Z880" s="36" t="s">
        <v>157</v>
      </c>
      <c r="AA880" s="36" t="s">
        <v>3649</v>
      </c>
      <c r="AB880" s="36"/>
      <c r="AC880" s="36"/>
      <c r="AD880" s="29" t="s">
        <v>119</v>
      </c>
      <c r="AE880" s="36" t="str">
        <f>_xlfn.XLOOKUP(表格1[[#This Row],[唯一識別碼]],API清冊0707!B:B,API清冊0707!T:T,"")&amp;""</f>
        <v>無下拉選單</v>
      </c>
    </row>
    <row r="881" spans="1:31" ht="204.75" customHeight="1" x14ac:dyDescent="0.4">
      <c r="A881" s="29" t="s">
        <v>3696</v>
      </c>
      <c r="B881" s="29"/>
      <c r="C881" s="29"/>
      <c r="D881" s="29" t="s">
        <v>3697</v>
      </c>
      <c r="E881" s="29" t="s">
        <v>3698</v>
      </c>
      <c r="F881" s="29" t="s">
        <v>3699</v>
      </c>
      <c r="G881" s="35"/>
      <c r="H881" s="35" t="s">
        <v>151</v>
      </c>
      <c r="I881" s="29" t="s">
        <v>3696</v>
      </c>
      <c r="J881" s="37"/>
      <c r="K881" s="38"/>
      <c r="L881" s="38"/>
      <c r="M881" s="36" t="s">
        <v>60</v>
      </c>
      <c r="N881" s="15" t="s">
        <v>152</v>
      </c>
      <c r="O881" s="36" t="s">
        <v>162</v>
      </c>
      <c r="P881" s="36" t="str">
        <f t="shared" si="26"/>
        <v>WMTS_國土利用現況調查成果圖(106年更新區)</v>
      </c>
      <c r="Q881" s="29" t="s">
        <v>3699</v>
      </c>
      <c r="R881" s="29" t="str">
        <f t="shared" si="27"/>
        <v>2dms_wmts_v1_LUIMAP106</v>
      </c>
      <c r="S881" s="39" t="s">
        <v>155</v>
      </c>
      <c r="T881" s="27" t="s">
        <v>3691</v>
      </c>
      <c r="U881" s="27" t="str">
        <f>_xlfn.XLOOKUP(表格1[[#This Row],[服務類別(英)]],參考2_服務標準對照!$B:$B,參考2_服務標準對照!$C:$C,"")&amp;""</f>
        <v>OGC</v>
      </c>
      <c r="V881" s="29" t="s">
        <v>7</v>
      </c>
      <c r="W881" s="29" t="s">
        <v>163</v>
      </c>
      <c r="X881" s="29" t="s">
        <v>81</v>
      </c>
      <c r="Y881" s="36" t="s">
        <v>83</v>
      </c>
      <c r="Z881" s="36" t="s">
        <v>157</v>
      </c>
      <c r="AA881" s="36" t="s">
        <v>3649</v>
      </c>
      <c r="AB881" s="36"/>
      <c r="AC881" s="36"/>
      <c r="AD881" s="29" t="s">
        <v>119</v>
      </c>
      <c r="AE881" s="36" t="str">
        <f>_xlfn.XLOOKUP(表格1[[#This Row],[唯一識別碼]],API清冊0707!B:B,API清冊0707!T:T,"")&amp;""</f>
        <v>無下拉選單</v>
      </c>
    </row>
    <row r="882" spans="1:31" ht="204.75" customHeight="1" x14ac:dyDescent="0.4">
      <c r="A882" s="29" t="s">
        <v>3700</v>
      </c>
      <c r="B882" s="29"/>
      <c r="C882" s="29"/>
      <c r="D882" s="29" t="s">
        <v>3701</v>
      </c>
      <c r="E882" s="29" t="s">
        <v>3702</v>
      </c>
      <c r="F882" s="29" t="s">
        <v>3703</v>
      </c>
      <c r="G882" s="35"/>
      <c r="H882" s="35" t="s">
        <v>151</v>
      </c>
      <c r="I882" s="29" t="s">
        <v>3700</v>
      </c>
      <c r="J882" s="37"/>
      <c r="K882" s="38"/>
      <c r="L882" s="38"/>
      <c r="M882" s="36" t="s">
        <v>60</v>
      </c>
      <c r="N882" s="15" t="s">
        <v>152</v>
      </c>
      <c r="O882" s="36" t="s">
        <v>162</v>
      </c>
      <c r="P882" s="36" t="str">
        <f t="shared" si="26"/>
        <v>WMTS_國土利用現況調查成果圖(105年更新區)</v>
      </c>
      <c r="Q882" s="29" t="s">
        <v>3703</v>
      </c>
      <c r="R882" s="29" t="str">
        <f t="shared" si="27"/>
        <v>2dms_wmts_v1_LUIMAP105</v>
      </c>
      <c r="S882" s="39" t="s">
        <v>155</v>
      </c>
      <c r="T882" s="27" t="s">
        <v>3691</v>
      </c>
      <c r="U882" s="27" t="str">
        <f>_xlfn.XLOOKUP(表格1[[#This Row],[服務類別(英)]],參考2_服務標準對照!$B:$B,參考2_服務標準對照!$C:$C,"")&amp;""</f>
        <v>OGC</v>
      </c>
      <c r="V882" s="29" t="s">
        <v>7</v>
      </c>
      <c r="W882" s="29" t="s">
        <v>163</v>
      </c>
      <c r="X882" s="29" t="s">
        <v>81</v>
      </c>
      <c r="Y882" s="36" t="s">
        <v>83</v>
      </c>
      <c r="Z882" s="36" t="s">
        <v>157</v>
      </c>
      <c r="AA882" s="36" t="s">
        <v>3649</v>
      </c>
      <c r="AB882" s="36"/>
      <c r="AC882" s="36"/>
      <c r="AD882" s="29" t="s">
        <v>119</v>
      </c>
      <c r="AE882" s="36" t="str">
        <f>_xlfn.XLOOKUP(表格1[[#This Row],[唯一識別碼]],API清冊0707!B:B,API清冊0707!T:T,"")&amp;""</f>
        <v>無下拉選單</v>
      </c>
    </row>
    <row r="883" spans="1:31" ht="204.75" customHeight="1" x14ac:dyDescent="0.4">
      <c r="A883" s="29" t="s">
        <v>3704</v>
      </c>
      <c r="B883" s="29"/>
      <c r="C883" s="29"/>
      <c r="D883" s="29" t="s">
        <v>3705</v>
      </c>
      <c r="E883" s="29" t="s">
        <v>3706</v>
      </c>
      <c r="F883" s="29" t="s">
        <v>3707</v>
      </c>
      <c r="G883" s="35"/>
      <c r="H883" s="35" t="s">
        <v>151</v>
      </c>
      <c r="I883" s="29" t="s">
        <v>3704</v>
      </c>
      <c r="J883" s="37"/>
      <c r="K883" s="38"/>
      <c r="L883" s="38"/>
      <c r="M883" s="36" t="s">
        <v>60</v>
      </c>
      <c r="N883" s="15" t="s">
        <v>152</v>
      </c>
      <c r="O883" s="36" t="s">
        <v>162</v>
      </c>
      <c r="P883" s="36" t="str">
        <f t="shared" si="26"/>
        <v>WMTS_國土利用現況調查成果圖(104年更新區)</v>
      </c>
      <c r="Q883" s="29" t="s">
        <v>3707</v>
      </c>
      <c r="R883" s="29" t="str">
        <f t="shared" si="27"/>
        <v>2dms_wmts_v1_LUIMAP104</v>
      </c>
      <c r="S883" s="39" t="s">
        <v>155</v>
      </c>
      <c r="T883" s="27" t="s">
        <v>3648</v>
      </c>
      <c r="U883" s="27" t="str">
        <f>_xlfn.XLOOKUP(表格1[[#This Row],[服務類別(英)]],參考2_服務標準對照!$B:$B,參考2_服務標準對照!$C:$C,"")&amp;""</f>
        <v>OGC</v>
      </c>
      <c r="V883" s="29" t="s">
        <v>7</v>
      </c>
      <c r="W883" s="29" t="s">
        <v>163</v>
      </c>
      <c r="X883" s="29" t="s">
        <v>81</v>
      </c>
      <c r="Y883" s="36" t="s">
        <v>83</v>
      </c>
      <c r="Z883" s="36" t="s">
        <v>157</v>
      </c>
      <c r="AA883" s="36" t="s">
        <v>3649</v>
      </c>
      <c r="AB883" s="36"/>
      <c r="AC883" s="36"/>
      <c r="AD883" s="29" t="s">
        <v>119</v>
      </c>
      <c r="AE883" s="36" t="str">
        <f>_xlfn.XLOOKUP(表格1[[#This Row],[唯一識別碼]],API清冊0707!B:B,API清冊0707!T:T,"")&amp;""</f>
        <v>無下拉選單</v>
      </c>
    </row>
    <row r="884" spans="1:31" ht="204.75" customHeight="1" x14ac:dyDescent="0.4">
      <c r="A884" s="29" t="s">
        <v>3708</v>
      </c>
      <c r="B884" s="29"/>
      <c r="C884" s="29"/>
      <c r="D884" s="29" t="s">
        <v>3709</v>
      </c>
      <c r="E884" s="29" t="s">
        <v>3710</v>
      </c>
      <c r="F884" s="29" t="s">
        <v>3711</v>
      </c>
      <c r="G884" s="35"/>
      <c r="H884" s="35" t="s">
        <v>151</v>
      </c>
      <c r="I884" s="29" t="s">
        <v>3708</v>
      </c>
      <c r="J884" s="37"/>
      <c r="K884" s="38"/>
      <c r="L884" s="38"/>
      <c r="M884" s="36" t="s">
        <v>60</v>
      </c>
      <c r="N884" s="15" t="s">
        <v>152</v>
      </c>
      <c r="O884" s="36" t="s">
        <v>162</v>
      </c>
      <c r="P884" s="36" t="str">
        <f t="shared" si="26"/>
        <v>WMTS_國土利用現況調查成果圖(103年更新區)</v>
      </c>
      <c r="Q884" s="29" t="s">
        <v>3711</v>
      </c>
      <c r="R884" s="29" t="str">
        <f t="shared" si="27"/>
        <v>2dms_wmts_v1_LUIMAP103</v>
      </c>
      <c r="S884" s="39" t="s">
        <v>155</v>
      </c>
      <c r="T884" s="27" t="s">
        <v>3648</v>
      </c>
      <c r="U884" s="27" t="str">
        <f>_xlfn.XLOOKUP(表格1[[#This Row],[服務類別(英)]],參考2_服務標準對照!$B:$B,參考2_服務標準對照!$C:$C,"")&amp;""</f>
        <v>OGC</v>
      </c>
      <c r="V884" s="29" t="s">
        <v>7</v>
      </c>
      <c r="W884" s="29" t="s">
        <v>163</v>
      </c>
      <c r="X884" s="29" t="s">
        <v>81</v>
      </c>
      <c r="Y884" s="36" t="s">
        <v>83</v>
      </c>
      <c r="Z884" s="36" t="s">
        <v>157</v>
      </c>
      <c r="AA884" s="36" t="s">
        <v>3649</v>
      </c>
      <c r="AB884" s="36"/>
      <c r="AC884" s="36"/>
      <c r="AD884" s="29" t="s">
        <v>119</v>
      </c>
      <c r="AE884" s="36" t="str">
        <f>_xlfn.XLOOKUP(表格1[[#This Row],[唯一識別碼]],API清冊0707!B:B,API清冊0707!T:T,"")&amp;""</f>
        <v>無下拉選單</v>
      </c>
    </row>
    <row r="885" spans="1:31" ht="204.75" customHeight="1" x14ac:dyDescent="0.4">
      <c r="A885" s="29" t="s">
        <v>3712</v>
      </c>
      <c r="B885" s="29"/>
      <c r="C885" s="29"/>
      <c r="D885" s="29" t="s">
        <v>3713</v>
      </c>
      <c r="E885" s="29" t="s">
        <v>3714</v>
      </c>
      <c r="F885" s="29" t="s">
        <v>3715</v>
      </c>
      <c r="G885" s="35"/>
      <c r="H885" s="35" t="s">
        <v>151</v>
      </c>
      <c r="I885" s="29" t="s">
        <v>3712</v>
      </c>
      <c r="J885" s="37"/>
      <c r="K885" s="38"/>
      <c r="L885" s="38"/>
      <c r="M885" s="36" t="s">
        <v>60</v>
      </c>
      <c r="N885" s="15" t="s">
        <v>152</v>
      </c>
      <c r="O885" s="36" t="s">
        <v>162</v>
      </c>
      <c r="P885" s="36" t="str">
        <f t="shared" si="26"/>
        <v>WMTS_國土利用現況調查成果圖(102年更新區)</v>
      </c>
      <c r="Q885" s="29" t="s">
        <v>3715</v>
      </c>
      <c r="R885" s="29" t="str">
        <f t="shared" si="27"/>
        <v>2dms_wmts_v1_LUIMAP102</v>
      </c>
      <c r="S885" s="39" t="s">
        <v>155</v>
      </c>
      <c r="T885" s="27" t="s">
        <v>3648</v>
      </c>
      <c r="U885" s="27" t="str">
        <f>_xlfn.XLOOKUP(表格1[[#This Row],[服務類別(英)]],參考2_服務標準對照!$B:$B,參考2_服務標準對照!$C:$C,"")&amp;""</f>
        <v>OGC</v>
      </c>
      <c r="V885" s="29" t="s">
        <v>7</v>
      </c>
      <c r="W885" s="29" t="s">
        <v>163</v>
      </c>
      <c r="X885" s="29" t="s">
        <v>81</v>
      </c>
      <c r="Y885" s="36" t="s">
        <v>83</v>
      </c>
      <c r="Z885" s="36" t="s">
        <v>157</v>
      </c>
      <c r="AA885" s="36" t="s">
        <v>3649</v>
      </c>
      <c r="AB885" s="36"/>
      <c r="AC885" s="36"/>
      <c r="AD885" s="29" t="s">
        <v>119</v>
      </c>
      <c r="AE885" s="36" t="str">
        <f>_xlfn.XLOOKUP(表格1[[#This Row],[唯一識別碼]],API清冊0707!B:B,API清冊0707!T:T,"")&amp;""</f>
        <v>無下拉選單</v>
      </c>
    </row>
    <row r="886" spans="1:31" ht="204.75" customHeight="1" x14ac:dyDescent="0.4">
      <c r="A886" s="29" t="s">
        <v>3716</v>
      </c>
      <c r="B886" s="29"/>
      <c r="C886" s="29"/>
      <c r="D886" s="29" t="s">
        <v>3717</v>
      </c>
      <c r="E886" s="29" t="s">
        <v>3718</v>
      </c>
      <c r="F886" s="29" t="s">
        <v>3719</v>
      </c>
      <c r="G886" s="35"/>
      <c r="H886" s="35" t="s">
        <v>151</v>
      </c>
      <c r="I886" s="29" t="s">
        <v>3716</v>
      </c>
      <c r="J886" s="37"/>
      <c r="K886" s="38"/>
      <c r="L886" s="38"/>
      <c r="M886" s="36" t="s">
        <v>60</v>
      </c>
      <c r="N886" s="15" t="s">
        <v>152</v>
      </c>
      <c r="O886" s="36" t="s">
        <v>162</v>
      </c>
      <c r="P886" s="36" t="str">
        <f t="shared" si="26"/>
        <v>WMTS_國土利用現況調查成果圖(101年更新區)</v>
      </c>
      <c r="Q886" s="29" t="s">
        <v>3719</v>
      </c>
      <c r="R886" s="29" t="str">
        <f t="shared" si="27"/>
        <v>2dms_wmts_v1_LUIMAP101</v>
      </c>
      <c r="S886" s="39" t="s">
        <v>155</v>
      </c>
      <c r="T886" s="27" t="s">
        <v>3648</v>
      </c>
      <c r="U886" s="27" t="str">
        <f>_xlfn.XLOOKUP(表格1[[#This Row],[服務類別(英)]],參考2_服務標準對照!$B:$B,參考2_服務標準對照!$C:$C,"")&amp;""</f>
        <v>OGC</v>
      </c>
      <c r="V886" s="29" t="s">
        <v>7</v>
      </c>
      <c r="W886" s="29" t="s">
        <v>163</v>
      </c>
      <c r="X886" s="29" t="s">
        <v>81</v>
      </c>
      <c r="Y886" s="36" t="s">
        <v>83</v>
      </c>
      <c r="Z886" s="36" t="s">
        <v>157</v>
      </c>
      <c r="AA886" s="36" t="s">
        <v>3649</v>
      </c>
      <c r="AB886" s="36"/>
      <c r="AC886" s="36"/>
      <c r="AD886" s="29" t="s">
        <v>119</v>
      </c>
      <c r="AE886" s="36" t="str">
        <f>_xlfn.XLOOKUP(表格1[[#This Row],[唯一識別碼]],API清冊0707!B:B,API清冊0707!T:T,"")&amp;""</f>
        <v>無下拉選單</v>
      </c>
    </row>
    <row r="887" spans="1:31" ht="204.75" customHeight="1" x14ac:dyDescent="0.4">
      <c r="A887" s="29" t="s">
        <v>3720</v>
      </c>
      <c r="B887" s="29"/>
      <c r="C887" s="29"/>
      <c r="D887" s="29" t="s">
        <v>3721</v>
      </c>
      <c r="E887" s="29" t="s">
        <v>3722</v>
      </c>
      <c r="F887" s="29" t="s">
        <v>3723</v>
      </c>
      <c r="G887" s="35"/>
      <c r="H887" s="35" t="s">
        <v>151</v>
      </c>
      <c r="I887" s="29" t="s">
        <v>3720</v>
      </c>
      <c r="J887" s="37"/>
      <c r="K887" s="38"/>
      <c r="L887" s="38"/>
      <c r="M887" s="36" t="s">
        <v>60</v>
      </c>
      <c r="N887" s="15" t="s">
        <v>152</v>
      </c>
      <c r="O887" s="36" t="s">
        <v>162</v>
      </c>
      <c r="P887" s="36" t="str">
        <f t="shared" ref="P887:P950" si="28">IF(LEN(TRIM(F887))&gt;0,F887,E887)</f>
        <v>WMTS_國土利用現況調查成果圖(100年更新區)</v>
      </c>
      <c r="Q887" s="29" t="s">
        <v>3723</v>
      </c>
      <c r="R887" s="29" t="str">
        <f t="shared" ref="R887:R950" si="29">D887</f>
        <v>2dms_wmts_v1_LUIMAP100</v>
      </c>
      <c r="S887" s="39" t="s">
        <v>155</v>
      </c>
      <c r="T887" s="27" t="s">
        <v>3648</v>
      </c>
      <c r="U887" s="27" t="str">
        <f>_xlfn.XLOOKUP(表格1[[#This Row],[服務類別(英)]],參考2_服務標準對照!$B:$B,參考2_服務標準對照!$C:$C,"")&amp;""</f>
        <v>OGC</v>
      </c>
      <c r="V887" s="29" t="s">
        <v>7</v>
      </c>
      <c r="W887" s="29" t="s">
        <v>163</v>
      </c>
      <c r="X887" s="29" t="s">
        <v>81</v>
      </c>
      <c r="Y887" s="36" t="s">
        <v>83</v>
      </c>
      <c r="Z887" s="36" t="s">
        <v>157</v>
      </c>
      <c r="AA887" s="36" t="s">
        <v>3649</v>
      </c>
      <c r="AB887" s="36"/>
      <c r="AC887" s="36"/>
      <c r="AD887" s="29" t="s">
        <v>119</v>
      </c>
      <c r="AE887" s="36" t="str">
        <f>_xlfn.XLOOKUP(表格1[[#This Row],[唯一識別碼]],API清冊0707!B:B,API清冊0707!T:T,"")&amp;""</f>
        <v>無下拉選單</v>
      </c>
    </row>
    <row r="888" spans="1:31" ht="204.75" customHeight="1" x14ac:dyDescent="0.4">
      <c r="A888" s="29" t="s">
        <v>3724</v>
      </c>
      <c r="B888" s="29"/>
      <c r="C888" s="29"/>
      <c r="D888" s="29" t="s">
        <v>3725</v>
      </c>
      <c r="E888" s="29" t="s">
        <v>3726</v>
      </c>
      <c r="F888" s="29" t="s">
        <v>3727</v>
      </c>
      <c r="G888" s="35"/>
      <c r="H888" s="35" t="s">
        <v>151</v>
      </c>
      <c r="I888" s="29" t="s">
        <v>3724</v>
      </c>
      <c r="J888" s="37"/>
      <c r="K888" s="38"/>
      <c r="L888" s="38"/>
      <c r="M888" s="36" t="s">
        <v>60</v>
      </c>
      <c r="N888" s="15" t="s">
        <v>152</v>
      </c>
      <c r="O888" s="36" t="s">
        <v>162</v>
      </c>
      <c r="P888" s="36" t="str">
        <f t="shared" si="28"/>
        <v>WMTS_國土利用現況調查成果圖_9類其他</v>
      </c>
      <c r="Q888" s="29" t="s">
        <v>3727</v>
      </c>
      <c r="R888" s="29" t="str">
        <f t="shared" si="29"/>
        <v>2dms_wmts_v1_LUIMAP09</v>
      </c>
      <c r="S888" s="39" t="s">
        <v>155</v>
      </c>
      <c r="T888" s="27" t="s">
        <v>3666</v>
      </c>
      <c r="U888" s="27" t="str">
        <f>_xlfn.XLOOKUP(表格1[[#This Row],[服務類別(英)]],參考2_服務標準對照!$B:$B,參考2_服務標準對照!$C:$C,"")&amp;""</f>
        <v>OGC</v>
      </c>
      <c r="V888" s="29" t="s">
        <v>7</v>
      </c>
      <c r="W888" s="29" t="s">
        <v>163</v>
      </c>
      <c r="X888" s="29" t="s">
        <v>81</v>
      </c>
      <c r="Y888" s="36" t="s">
        <v>83</v>
      </c>
      <c r="Z888" s="36" t="s">
        <v>157</v>
      </c>
      <c r="AA888" s="36" t="s">
        <v>3649</v>
      </c>
      <c r="AB888" s="36"/>
      <c r="AC888" s="36"/>
      <c r="AD888" s="29" t="s">
        <v>119</v>
      </c>
      <c r="AE888" s="36" t="str">
        <f>_xlfn.XLOOKUP(表格1[[#This Row],[唯一識別碼]],API清冊0707!B:B,API清冊0707!T:T,"")&amp;""</f>
        <v>無下拉選單</v>
      </c>
    </row>
    <row r="889" spans="1:31" ht="204.75" customHeight="1" x14ac:dyDescent="0.4">
      <c r="A889" s="29" t="s">
        <v>3728</v>
      </c>
      <c r="B889" s="29"/>
      <c r="C889" s="29"/>
      <c r="D889" s="29" t="s">
        <v>3729</v>
      </c>
      <c r="E889" s="29" t="s">
        <v>3730</v>
      </c>
      <c r="F889" s="29" t="s">
        <v>3731</v>
      </c>
      <c r="G889" s="35"/>
      <c r="H889" s="35" t="s">
        <v>151</v>
      </c>
      <c r="I889" s="29" t="s">
        <v>3728</v>
      </c>
      <c r="J889" s="37"/>
      <c r="K889" s="38"/>
      <c r="L889" s="38"/>
      <c r="M889" s="36" t="s">
        <v>60</v>
      </c>
      <c r="N889" s="15" t="s">
        <v>152</v>
      </c>
      <c r="O889" s="36" t="s">
        <v>162</v>
      </c>
      <c r="P889" s="36" t="str">
        <f t="shared" si="28"/>
        <v>WMTS_國土利用現況調查成果圖_8類礦鹽</v>
      </c>
      <c r="Q889" s="29" t="s">
        <v>3731</v>
      </c>
      <c r="R889" s="29" t="str">
        <f t="shared" si="29"/>
        <v>2dms_wmts_v1_LUIMAP08</v>
      </c>
      <c r="S889" s="39" t="s">
        <v>155</v>
      </c>
      <c r="T889" s="27" t="s">
        <v>3666</v>
      </c>
      <c r="U889" s="27" t="str">
        <f>_xlfn.XLOOKUP(表格1[[#This Row],[服務類別(英)]],參考2_服務標準對照!$B:$B,參考2_服務標準對照!$C:$C,"")&amp;""</f>
        <v>OGC</v>
      </c>
      <c r="V889" s="29" t="s">
        <v>7</v>
      </c>
      <c r="W889" s="29" t="s">
        <v>163</v>
      </c>
      <c r="X889" s="29" t="s">
        <v>81</v>
      </c>
      <c r="Y889" s="36" t="s">
        <v>83</v>
      </c>
      <c r="Z889" s="36" t="s">
        <v>157</v>
      </c>
      <c r="AA889" s="36" t="s">
        <v>3649</v>
      </c>
      <c r="AB889" s="36"/>
      <c r="AC889" s="36"/>
      <c r="AD889" s="29" t="s">
        <v>119</v>
      </c>
      <c r="AE889" s="36" t="str">
        <f>_xlfn.XLOOKUP(表格1[[#This Row],[唯一識別碼]],API清冊0707!B:B,API清冊0707!T:T,"")&amp;""</f>
        <v>無下拉選單</v>
      </c>
    </row>
    <row r="890" spans="1:31" ht="204.75" customHeight="1" x14ac:dyDescent="0.4">
      <c r="A890" s="29" t="s">
        <v>3732</v>
      </c>
      <c r="B890" s="29"/>
      <c r="C890" s="29"/>
      <c r="D890" s="29" t="s">
        <v>3733</v>
      </c>
      <c r="E890" s="29" t="s">
        <v>3734</v>
      </c>
      <c r="F890" s="29" t="s">
        <v>3735</v>
      </c>
      <c r="G890" s="35"/>
      <c r="H890" s="35" t="s">
        <v>151</v>
      </c>
      <c r="I890" s="29" t="s">
        <v>3732</v>
      </c>
      <c r="J890" s="37"/>
      <c r="K890" s="38"/>
      <c r="L890" s="38"/>
      <c r="M890" s="36" t="s">
        <v>60</v>
      </c>
      <c r="N890" s="15" t="s">
        <v>152</v>
      </c>
      <c r="O890" s="36" t="s">
        <v>162</v>
      </c>
      <c r="P890" s="36" t="str">
        <f t="shared" si="28"/>
        <v>WMTS_國土利用現況調查成果圖_7類遊憩</v>
      </c>
      <c r="Q890" s="29" t="s">
        <v>3735</v>
      </c>
      <c r="R890" s="29" t="str">
        <f t="shared" si="29"/>
        <v>2dms_wmts_v1_LUIMAP07</v>
      </c>
      <c r="S890" s="39" t="s">
        <v>155</v>
      </c>
      <c r="T890" s="27" t="s">
        <v>3666</v>
      </c>
      <c r="U890" s="27" t="str">
        <f>_xlfn.XLOOKUP(表格1[[#This Row],[服務類別(英)]],參考2_服務標準對照!$B:$B,參考2_服務標準對照!$C:$C,"")&amp;""</f>
        <v>OGC</v>
      </c>
      <c r="V890" s="29" t="s">
        <v>7</v>
      </c>
      <c r="W890" s="29" t="s">
        <v>163</v>
      </c>
      <c r="X890" s="29" t="s">
        <v>81</v>
      </c>
      <c r="Y890" s="36" t="s">
        <v>83</v>
      </c>
      <c r="Z890" s="36" t="s">
        <v>157</v>
      </c>
      <c r="AA890" s="36" t="s">
        <v>3649</v>
      </c>
      <c r="AB890" s="36"/>
      <c r="AC890" s="36"/>
      <c r="AD890" s="29" t="s">
        <v>119</v>
      </c>
      <c r="AE890" s="36" t="str">
        <f>_xlfn.XLOOKUP(表格1[[#This Row],[唯一識別碼]],API清冊0707!B:B,API清冊0707!T:T,"")&amp;""</f>
        <v>無下拉選單</v>
      </c>
    </row>
    <row r="891" spans="1:31" ht="204.75" customHeight="1" x14ac:dyDescent="0.4">
      <c r="A891" s="29" t="s">
        <v>3736</v>
      </c>
      <c r="B891" s="29"/>
      <c r="C891" s="29"/>
      <c r="D891" s="29" t="s">
        <v>3737</v>
      </c>
      <c r="E891" s="29" t="s">
        <v>3738</v>
      </c>
      <c r="F891" s="29" t="s">
        <v>3739</v>
      </c>
      <c r="G891" s="35"/>
      <c r="H891" s="35" t="s">
        <v>151</v>
      </c>
      <c r="I891" s="29" t="s">
        <v>3736</v>
      </c>
      <c r="J891" s="37"/>
      <c r="K891" s="38"/>
      <c r="L891" s="38"/>
      <c r="M891" s="36" t="s">
        <v>60</v>
      </c>
      <c r="N891" s="15" t="s">
        <v>152</v>
      </c>
      <c r="O891" s="36" t="s">
        <v>162</v>
      </c>
      <c r="P891" s="36" t="str">
        <f t="shared" si="28"/>
        <v>WMTS_國土利用現況調查成果圖_6類公共</v>
      </c>
      <c r="Q891" s="29" t="s">
        <v>3739</v>
      </c>
      <c r="R891" s="29" t="str">
        <f t="shared" si="29"/>
        <v>2dms_wmts_v1_LUIMAP06</v>
      </c>
      <c r="S891" s="39" t="s">
        <v>155</v>
      </c>
      <c r="T891" s="27" t="s">
        <v>3666</v>
      </c>
      <c r="U891" s="27" t="str">
        <f>_xlfn.XLOOKUP(表格1[[#This Row],[服務類別(英)]],參考2_服務標準對照!$B:$B,參考2_服務標準對照!$C:$C,"")&amp;""</f>
        <v>OGC</v>
      </c>
      <c r="V891" s="29" t="s">
        <v>7</v>
      </c>
      <c r="W891" s="29" t="s">
        <v>163</v>
      </c>
      <c r="X891" s="29" t="s">
        <v>81</v>
      </c>
      <c r="Y891" s="36" t="s">
        <v>83</v>
      </c>
      <c r="Z891" s="36" t="s">
        <v>157</v>
      </c>
      <c r="AA891" s="36" t="s">
        <v>3649</v>
      </c>
      <c r="AB891" s="36"/>
      <c r="AC891" s="36"/>
      <c r="AD891" s="29" t="s">
        <v>119</v>
      </c>
      <c r="AE891" s="36" t="str">
        <f>_xlfn.XLOOKUP(表格1[[#This Row],[唯一識別碼]],API清冊0707!B:B,API清冊0707!T:T,"")&amp;""</f>
        <v>無下拉選單</v>
      </c>
    </row>
    <row r="892" spans="1:31" ht="204.75" customHeight="1" x14ac:dyDescent="0.4">
      <c r="A892" s="29" t="s">
        <v>3740</v>
      </c>
      <c r="B892" s="29"/>
      <c r="C892" s="29"/>
      <c r="D892" s="29" t="s">
        <v>3741</v>
      </c>
      <c r="E892" s="29" t="s">
        <v>3742</v>
      </c>
      <c r="F892" s="29" t="s">
        <v>3743</v>
      </c>
      <c r="G892" s="35"/>
      <c r="H892" s="35" t="s">
        <v>151</v>
      </c>
      <c r="I892" s="29" t="s">
        <v>3740</v>
      </c>
      <c r="J892" s="37"/>
      <c r="K892" s="38"/>
      <c r="L892" s="38"/>
      <c r="M892" s="36" t="s">
        <v>60</v>
      </c>
      <c r="N892" s="15" t="s">
        <v>152</v>
      </c>
      <c r="O892" s="36" t="s">
        <v>162</v>
      </c>
      <c r="P892" s="36" t="str">
        <f t="shared" si="28"/>
        <v>WMTS_國土利用現況調查成果圖_5類建築</v>
      </c>
      <c r="Q892" s="29" t="s">
        <v>3743</v>
      </c>
      <c r="R892" s="29" t="str">
        <f t="shared" si="29"/>
        <v>2dms_wmts_v1_LUIMAP05</v>
      </c>
      <c r="S892" s="39" t="s">
        <v>155</v>
      </c>
      <c r="T892" s="27" t="s">
        <v>3666</v>
      </c>
      <c r="U892" s="27" t="str">
        <f>_xlfn.XLOOKUP(表格1[[#This Row],[服務類別(英)]],參考2_服務標準對照!$B:$B,參考2_服務標準對照!$C:$C,"")&amp;""</f>
        <v>OGC</v>
      </c>
      <c r="V892" s="29" t="s">
        <v>7</v>
      </c>
      <c r="W892" s="29" t="s">
        <v>163</v>
      </c>
      <c r="X892" s="29" t="s">
        <v>81</v>
      </c>
      <c r="Y892" s="36" t="s">
        <v>83</v>
      </c>
      <c r="Z892" s="36" t="s">
        <v>157</v>
      </c>
      <c r="AA892" s="36" t="s">
        <v>3649</v>
      </c>
      <c r="AB892" s="36"/>
      <c r="AC892" s="36"/>
      <c r="AD892" s="29" t="s">
        <v>119</v>
      </c>
      <c r="AE892" s="36" t="str">
        <f>_xlfn.XLOOKUP(表格1[[#This Row],[唯一識別碼]],API清冊0707!B:B,API清冊0707!T:T,"")&amp;""</f>
        <v>無下拉選單</v>
      </c>
    </row>
    <row r="893" spans="1:31" ht="204.75" customHeight="1" x14ac:dyDescent="0.4">
      <c r="A893" s="29" t="s">
        <v>3744</v>
      </c>
      <c r="B893" s="29"/>
      <c r="C893" s="29"/>
      <c r="D893" s="29" t="s">
        <v>3745</v>
      </c>
      <c r="E893" s="29" t="s">
        <v>3746</v>
      </c>
      <c r="F893" s="29" t="s">
        <v>3747</v>
      </c>
      <c r="G893" s="35"/>
      <c r="H893" s="35" t="s">
        <v>151</v>
      </c>
      <c r="I893" s="29" t="s">
        <v>3744</v>
      </c>
      <c r="J893" s="37"/>
      <c r="K893" s="38"/>
      <c r="L893" s="38"/>
      <c r="M893" s="36" t="s">
        <v>60</v>
      </c>
      <c r="N893" s="15" t="s">
        <v>152</v>
      </c>
      <c r="O893" s="36" t="s">
        <v>162</v>
      </c>
      <c r="P893" s="36" t="str">
        <f t="shared" si="28"/>
        <v>WMTS_國土利用現況調查成果圖_4類水利</v>
      </c>
      <c r="Q893" s="29" t="s">
        <v>3747</v>
      </c>
      <c r="R893" s="29" t="str">
        <f t="shared" si="29"/>
        <v>2dms_wmts_v1_LUIMAP04</v>
      </c>
      <c r="S893" s="39" t="s">
        <v>155</v>
      </c>
      <c r="T893" s="27" t="s">
        <v>3666</v>
      </c>
      <c r="U893" s="27" t="str">
        <f>_xlfn.XLOOKUP(表格1[[#This Row],[服務類別(英)]],參考2_服務標準對照!$B:$B,參考2_服務標準對照!$C:$C,"")&amp;""</f>
        <v>OGC</v>
      </c>
      <c r="V893" s="29" t="s">
        <v>7</v>
      </c>
      <c r="W893" s="29" t="s">
        <v>163</v>
      </c>
      <c r="X893" s="29" t="s">
        <v>81</v>
      </c>
      <c r="Y893" s="36" t="s">
        <v>83</v>
      </c>
      <c r="Z893" s="36" t="s">
        <v>157</v>
      </c>
      <c r="AA893" s="36" t="s">
        <v>3649</v>
      </c>
      <c r="AB893" s="36"/>
      <c r="AC893" s="36"/>
      <c r="AD893" s="29" t="s">
        <v>119</v>
      </c>
      <c r="AE893" s="36" t="str">
        <f>_xlfn.XLOOKUP(表格1[[#This Row],[唯一識別碼]],API清冊0707!B:B,API清冊0707!T:T,"")&amp;""</f>
        <v>無下拉選單</v>
      </c>
    </row>
    <row r="894" spans="1:31" ht="204.75" customHeight="1" x14ac:dyDescent="0.4">
      <c r="A894" s="29" t="s">
        <v>3748</v>
      </c>
      <c r="B894" s="29"/>
      <c r="C894" s="29"/>
      <c r="D894" s="29" t="s">
        <v>3749</v>
      </c>
      <c r="E894" s="29" t="s">
        <v>3750</v>
      </c>
      <c r="F894" s="29" t="s">
        <v>3751</v>
      </c>
      <c r="G894" s="35"/>
      <c r="H894" s="35" t="s">
        <v>151</v>
      </c>
      <c r="I894" s="29" t="s">
        <v>3748</v>
      </c>
      <c r="J894" s="37"/>
      <c r="K894" s="38"/>
      <c r="L894" s="38"/>
      <c r="M894" s="36" t="s">
        <v>60</v>
      </c>
      <c r="N894" s="15" t="s">
        <v>152</v>
      </c>
      <c r="O894" s="36" t="s">
        <v>162</v>
      </c>
      <c r="P894" s="36" t="str">
        <f t="shared" si="28"/>
        <v>WMTS_國土利用現況調查成果圖_3類交通</v>
      </c>
      <c r="Q894" s="29" t="s">
        <v>3751</v>
      </c>
      <c r="R894" s="29" t="str">
        <f t="shared" si="29"/>
        <v>2dms_wmts_v1_LUIMAP03</v>
      </c>
      <c r="S894" s="39" t="s">
        <v>155</v>
      </c>
      <c r="T894" s="27" t="s">
        <v>3666</v>
      </c>
      <c r="U894" s="27" t="str">
        <f>_xlfn.XLOOKUP(表格1[[#This Row],[服務類別(英)]],參考2_服務標準對照!$B:$B,參考2_服務標準對照!$C:$C,"")&amp;""</f>
        <v>OGC</v>
      </c>
      <c r="V894" s="29" t="s">
        <v>7</v>
      </c>
      <c r="W894" s="29" t="s">
        <v>163</v>
      </c>
      <c r="X894" s="29" t="s">
        <v>81</v>
      </c>
      <c r="Y894" s="36" t="s">
        <v>83</v>
      </c>
      <c r="Z894" s="36" t="s">
        <v>157</v>
      </c>
      <c r="AA894" s="36" t="s">
        <v>3649</v>
      </c>
      <c r="AB894" s="36"/>
      <c r="AC894" s="36"/>
      <c r="AD894" s="29" t="s">
        <v>119</v>
      </c>
      <c r="AE894" s="36" t="str">
        <f>_xlfn.XLOOKUP(表格1[[#This Row],[唯一識別碼]],API清冊0707!B:B,API清冊0707!T:T,"")&amp;""</f>
        <v>無下拉選單</v>
      </c>
    </row>
    <row r="895" spans="1:31" ht="204.75" customHeight="1" x14ac:dyDescent="0.4">
      <c r="A895" s="29" t="s">
        <v>3752</v>
      </c>
      <c r="B895" s="29"/>
      <c r="C895" s="29"/>
      <c r="D895" s="29" t="s">
        <v>3753</v>
      </c>
      <c r="E895" s="29" t="s">
        <v>3754</v>
      </c>
      <c r="F895" s="29" t="s">
        <v>3755</v>
      </c>
      <c r="G895" s="35"/>
      <c r="H895" s="35" t="s">
        <v>151</v>
      </c>
      <c r="I895" s="29" t="s">
        <v>3752</v>
      </c>
      <c r="J895" s="37"/>
      <c r="K895" s="38"/>
      <c r="L895" s="38"/>
      <c r="M895" s="36" t="s">
        <v>60</v>
      </c>
      <c r="N895" s="15" t="s">
        <v>152</v>
      </c>
      <c r="O895" s="36" t="s">
        <v>162</v>
      </c>
      <c r="P895" s="36" t="str">
        <f t="shared" si="28"/>
        <v>WMTS_國土利用現況調查成果圖_2類森林</v>
      </c>
      <c r="Q895" s="29" t="s">
        <v>3755</v>
      </c>
      <c r="R895" s="29" t="str">
        <f t="shared" si="29"/>
        <v>2dms_wmts_v1_LUIMAP02</v>
      </c>
      <c r="S895" s="39" t="s">
        <v>155</v>
      </c>
      <c r="T895" s="27" t="s">
        <v>3666</v>
      </c>
      <c r="U895" s="27" t="str">
        <f>_xlfn.XLOOKUP(表格1[[#This Row],[服務類別(英)]],參考2_服務標準對照!$B:$B,參考2_服務標準對照!$C:$C,"")&amp;""</f>
        <v>OGC</v>
      </c>
      <c r="V895" s="29" t="s">
        <v>7</v>
      </c>
      <c r="W895" s="29" t="s">
        <v>163</v>
      </c>
      <c r="X895" s="29" t="s">
        <v>81</v>
      </c>
      <c r="Y895" s="36" t="s">
        <v>83</v>
      </c>
      <c r="Z895" s="36" t="s">
        <v>157</v>
      </c>
      <c r="AA895" s="36" t="s">
        <v>3649</v>
      </c>
      <c r="AB895" s="36"/>
      <c r="AC895" s="36"/>
      <c r="AD895" s="29" t="s">
        <v>119</v>
      </c>
      <c r="AE895" s="36" t="str">
        <f>_xlfn.XLOOKUP(表格1[[#This Row],[唯一識別碼]],API清冊0707!B:B,API清冊0707!T:T,"")&amp;""</f>
        <v>無下拉選單</v>
      </c>
    </row>
    <row r="896" spans="1:31" ht="204.75" customHeight="1" x14ac:dyDescent="0.4">
      <c r="A896" s="29" t="s">
        <v>3756</v>
      </c>
      <c r="B896" s="29"/>
      <c r="C896" s="29"/>
      <c r="D896" s="29" t="s">
        <v>3757</v>
      </c>
      <c r="E896" s="29" t="s">
        <v>3758</v>
      </c>
      <c r="F896" s="29" t="s">
        <v>3759</v>
      </c>
      <c r="G896" s="35"/>
      <c r="H896" s="35" t="s">
        <v>151</v>
      </c>
      <c r="I896" s="29" t="s">
        <v>3756</v>
      </c>
      <c r="J896" s="37"/>
      <c r="K896" s="38"/>
      <c r="L896" s="38"/>
      <c r="M896" s="36" t="s">
        <v>60</v>
      </c>
      <c r="N896" s="15" t="s">
        <v>152</v>
      </c>
      <c r="O896" s="36" t="s">
        <v>162</v>
      </c>
      <c r="P896" s="36" t="str">
        <f t="shared" si="28"/>
        <v>WMTS_國土利用現況調查成果圖_1類農業</v>
      </c>
      <c r="Q896" s="29" t="s">
        <v>3759</v>
      </c>
      <c r="R896" s="29" t="str">
        <f t="shared" si="29"/>
        <v>2dms_wmts_v1_LUIMAP01</v>
      </c>
      <c r="S896" s="39" t="s">
        <v>155</v>
      </c>
      <c r="T896" s="27" t="s">
        <v>3666</v>
      </c>
      <c r="U896" s="27" t="str">
        <f>_xlfn.XLOOKUP(表格1[[#This Row],[服務類別(英)]],參考2_服務標準對照!$B:$B,參考2_服務標準對照!$C:$C,"")&amp;""</f>
        <v>OGC</v>
      </c>
      <c r="V896" s="29" t="s">
        <v>7</v>
      </c>
      <c r="W896" s="29" t="s">
        <v>163</v>
      </c>
      <c r="X896" s="29" t="s">
        <v>81</v>
      </c>
      <c r="Y896" s="36" t="s">
        <v>83</v>
      </c>
      <c r="Z896" s="36" t="s">
        <v>157</v>
      </c>
      <c r="AA896" s="36" t="s">
        <v>3649</v>
      </c>
      <c r="AB896" s="36"/>
      <c r="AC896" s="36"/>
      <c r="AD896" s="29" t="s">
        <v>119</v>
      </c>
      <c r="AE896" s="36" t="str">
        <f>_xlfn.XLOOKUP(表格1[[#This Row],[唯一識別碼]],API清冊0707!B:B,API清冊0707!T:T,"")&amp;""</f>
        <v>無下拉選單</v>
      </c>
    </row>
    <row r="897" spans="1:31" ht="204" customHeight="1" x14ac:dyDescent="0.4">
      <c r="A897" s="29" t="s">
        <v>3760</v>
      </c>
      <c r="B897" s="29"/>
      <c r="C897" s="29"/>
      <c r="D897" s="29" t="s">
        <v>3761</v>
      </c>
      <c r="E897" s="29" t="s">
        <v>3762</v>
      </c>
      <c r="F897" s="29" t="s">
        <v>3763</v>
      </c>
      <c r="G897" s="35"/>
      <c r="H897" s="35" t="s">
        <v>151</v>
      </c>
      <c r="I897" s="29" t="s">
        <v>3760</v>
      </c>
      <c r="J897" s="37"/>
      <c r="K897" s="38"/>
      <c r="L897" s="38"/>
      <c r="M897" s="36" t="s">
        <v>60</v>
      </c>
      <c r="N897" s="15" t="s">
        <v>152</v>
      </c>
      <c r="O897" s="36" t="s">
        <v>162</v>
      </c>
      <c r="P897" s="36" t="str">
        <f t="shared" si="28"/>
        <v>WMTS_國土利用現況調查成果圖(最新成果)</v>
      </c>
      <c r="Q897" s="29" t="s">
        <v>3763</v>
      </c>
      <c r="R897" s="29" t="str">
        <f t="shared" si="29"/>
        <v>2dms_wmts_v1_LUIMAP</v>
      </c>
      <c r="S897" s="39" t="s">
        <v>155</v>
      </c>
      <c r="T897" s="27" t="s">
        <v>3764</v>
      </c>
      <c r="U897" s="27" t="str">
        <f>_xlfn.XLOOKUP(表格1[[#This Row],[服務類別(英)]],參考2_服務標準對照!$B:$B,參考2_服務標準對照!$C:$C,"")&amp;""</f>
        <v>OGC</v>
      </c>
      <c r="V897" s="29" t="s">
        <v>7</v>
      </c>
      <c r="W897" s="29" t="s">
        <v>163</v>
      </c>
      <c r="X897" s="29" t="s">
        <v>81</v>
      </c>
      <c r="Y897" s="36" t="s">
        <v>83</v>
      </c>
      <c r="Z897" s="36" t="s">
        <v>157</v>
      </c>
      <c r="AA897" s="36" t="s">
        <v>3649</v>
      </c>
      <c r="AB897" s="36"/>
      <c r="AC897" s="36"/>
      <c r="AD897" s="29" t="s">
        <v>119</v>
      </c>
      <c r="AE897" s="36" t="str">
        <f>_xlfn.XLOOKUP(表格1[[#This Row],[唯一識別碼]],API清冊0707!B:B,API清冊0707!T:T,"")&amp;""</f>
        <v>無下拉選單</v>
      </c>
    </row>
    <row r="898" spans="1:31" ht="204.75" customHeight="1" x14ac:dyDescent="0.4">
      <c r="A898" s="29" t="s">
        <v>3765</v>
      </c>
      <c r="B898" s="29"/>
      <c r="C898" s="29"/>
      <c r="D898" s="29" t="s">
        <v>3766</v>
      </c>
      <c r="E898" s="29" t="s">
        <v>3767</v>
      </c>
      <c r="F898" s="29" t="s">
        <v>3768</v>
      </c>
      <c r="G898" s="35"/>
      <c r="H898" s="35" t="s">
        <v>151</v>
      </c>
      <c r="I898" s="29" t="s">
        <v>3765</v>
      </c>
      <c r="J898" s="37"/>
      <c r="K898" s="38"/>
      <c r="L898" s="38"/>
      <c r="M898" s="36" t="s">
        <v>60</v>
      </c>
      <c r="N898" s="15" t="s">
        <v>152</v>
      </c>
      <c r="O898" s="36" t="s">
        <v>162</v>
      </c>
      <c r="P898" s="36" t="str">
        <f t="shared" si="28"/>
        <v>WMTS_地段外圍圖(段籍圖,區分測量類別)</v>
      </c>
      <c r="Q898" s="29" t="s">
        <v>3768</v>
      </c>
      <c r="R898" s="29" t="str">
        <f t="shared" si="29"/>
        <v>2dms_wmts_v1_LANDSECT2</v>
      </c>
      <c r="S898" s="39" t="s">
        <v>155</v>
      </c>
      <c r="U898" s="27" t="str">
        <f>_xlfn.XLOOKUP(表格1[[#This Row],[服務類別(英)]],參考2_服務標準對照!$B:$B,參考2_服務標準對照!$C:$C,"")&amp;""</f>
        <v>OGC</v>
      </c>
      <c r="V898" s="29" t="s">
        <v>7</v>
      </c>
      <c r="W898" s="29" t="s">
        <v>163</v>
      </c>
      <c r="X898" s="29" t="s">
        <v>81</v>
      </c>
      <c r="Y898" s="36" t="s">
        <v>83</v>
      </c>
      <c r="Z898" s="36" t="s">
        <v>157</v>
      </c>
      <c r="AA898" s="36" t="s">
        <v>3769</v>
      </c>
      <c r="AB898" s="36"/>
      <c r="AC898" s="36"/>
      <c r="AD898" s="29" t="s">
        <v>119</v>
      </c>
      <c r="AE898" s="36" t="str">
        <f>_xlfn.XLOOKUP(表格1[[#This Row],[唯一識別碼]],API清冊0707!B:B,API清冊0707!T:T,"")&amp;""</f>
        <v>無下拉選單</v>
      </c>
    </row>
    <row r="899" spans="1:31" ht="204.75" customHeight="1" x14ac:dyDescent="0.4">
      <c r="A899" s="29" t="s">
        <v>3770</v>
      </c>
      <c r="B899" s="29"/>
      <c r="C899" s="29"/>
      <c r="D899" s="29" t="s">
        <v>3771</v>
      </c>
      <c r="E899" s="29" t="s">
        <v>3772</v>
      </c>
      <c r="F899" s="29" t="s">
        <v>3773</v>
      </c>
      <c r="G899" s="35"/>
      <c r="H899" s="35" t="s">
        <v>151</v>
      </c>
      <c r="I899" s="29" t="s">
        <v>3770</v>
      </c>
      <c r="J899" s="37"/>
      <c r="K899" s="38"/>
      <c r="L899" s="38"/>
      <c r="M899" s="36" t="s">
        <v>60</v>
      </c>
      <c r="N899" s="15" t="s">
        <v>152</v>
      </c>
      <c r="O899" s="36" t="s">
        <v>162</v>
      </c>
      <c r="P899" s="36" t="str">
        <f t="shared" si="28"/>
        <v>WMTS_地段外圍圖(段籍圖)</v>
      </c>
      <c r="Q899" s="29" t="s">
        <v>3773</v>
      </c>
      <c r="R899" s="29" t="str">
        <f t="shared" si="29"/>
        <v>2dms_wmts_v1_LANDSECT</v>
      </c>
      <c r="S899" s="39" t="s">
        <v>155</v>
      </c>
      <c r="U899" s="27" t="str">
        <f>_xlfn.XLOOKUP(表格1[[#This Row],[服務類別(英)]],參考2_服務標準對照!$B:$B,參考2_服務標準對照!$C:$C,"")&amp;""</f>
        <v>OGC</v>
      </c>
      <c r="V899" s="29" t="s">
        <v>7</v>
      </c>
      <c r="W899" s="29" t="s">
        <v>163</v>
      </c>
      <c r="X899" s="29" t="s">
        <v>81</v>
      </c>
      <c r="Y899" s="36" t="s">
        <v>83</v>
      </c>
      <c r="Z899" s="36" t="s">
        <v>157</v>
      </c>
      <c r="AA899" s="36" t="s">
        <v>3769</v>
      </c>
      <c r="AB899" s="36"/>
      <c r="AC899" s="36"/>
      <c r="AD899" s="29" t="s">
        <v>119</v>
      </c>
      <c r="AE899" s="36" t="str">
        <f>_xlfn.XLOOKUP(表格1[[#This Row],[唯一識別碼]],API清冊0707!B:B,API清冊0707!T:T,"")&amp;""</f>
        <v>無下拉選單</v>
      </c>
    </row>
    <row r="900" spans="1:31" ht="204.75" customHeight="1" x14ac:dyDescent="0.4">
      <c r="A900" s="29" t="s">
        <v>3774</v>
      </c>
      <c r="B900" s="29"/>
      <c r="C900" s="29"/>
      <c r="D900" s="29" t="s">
        <v>3775</v>
      </c>
      <c r="E900" s="29" t="s">
        <v>3776</v>
      </c>
      <c r="F900" s="29" t="s">
        <v>3777</v>
      </c>
      <c r="G900" s="35"/>
      <c r="H900" s="35" t="s">
        <v>151</v>
      </c>
      <c r="I900" s="29" t="s">
        <v>3774</v>
      </c>
      <c r="J900" s="37"/>
      <c r="K900" s="38"/>
      <c r="L900" s="38"/>
      <c r="M900" s="36" t="s">
        <v>60</v>
      </c>
      <c r="N900" s="15" t="s">
        <v>152</v>
      </c>
      <c r="O900" s="36" t="s">
        <v>162</v>
      </c>
      <c r="P900" s="36" t="str">
        <f t="shared" si="28"/>
        <v>WMTS_OPENDATA_公有土地地籍圖</v>
      </c>
      <c r="Q900" s="29" t="s">
        <v>3777</v>
      </c>
      <c r="R900" s="29" t="str">
        <f t="shared" si="29"/>
        <v>2dms_wmts_v1_LandOpendata</v>
      </c>
      <c r="S900" s="39" t="s">
        <v>155</v>
      </c>
      <c r="U900" s="27" t="str">
        <f>_xlfn.XLOOKUP(表格1[[#This Row],[服務類別(英)]],參考2_服務標準對照!$B:$B,參考2_服務標準對照!$C:$C,"")&amp;""</f>
        <v>OGC</v>
      </c>
      <c r="V900" s="29" t="s">
        <v>7</v>
      </c>
      <c r="W900" s="29" t="s">
        <v>163</v>
      </c>
      <c r="X900" s="29" t="s">
        <v>81</v>
      </c>
      <c r="Y900" s="36" t="s">
        <v>83</v>
      </c>
      <c r="Z900" s="36" t="s">
        <v>157</v>
      </c>
      <c r="AA900" s="36" t="s">
        <v>3769</v>
      </c>
      <c r="AB900" s="36"/>
      <c r="AC900" s="36"/>
      <c r="AD900" s="29" t="s">
        <v>119</v>
      </c>
      <c r="AE900" s="36" t="str">
        <f>_xlfn.XLOOKUP(表格1[[#This Row],[唯一識別碼]],API清冊0707!B:B,API清冊0707!T:T,"")&amp;""</f>
        <v>無下拉選單</v>
      </c>
    </row>
    <row r="901" spans="1:31" ht="204.75" customHeight="1" x14ac:dyDescent="0.4">
      <c r="A901" s="29" t="s">
        <v>3778</v>
      </c>
      <c r="B901" s="29"/>
      <c r="C901" s="29"/>
      <c r="D901" s="29" t="s">
        <v>3779</v>
      </c>
      <c r="E901" s="29" t="s">
        <v>3780</v>
      </c>
      <c r="F901" s="29" t="s">
        <v>3781</v>
      </c>
      <c r="G901" s="35"/>
      <c r="H901" s="35" t="s">
        <v>151</v>
      </c>
      <c r="I901" s="29" t="s">
        <v>3778</v>
      </c>
      <c r="J901" s="37"/>
      <c r="K901" s="38"/>
      <c r="L901" s="38"/>
      <c r="M901" s="36" t="s">
        <v>60</v>
      </c>
      <c r="N901" s="15" t="s">
        <v>152</v>
      </c>
      <c r="O901" s="36" t="s">
        <v>162</v>
      </c>
      <c r="P901" s="36" t="str">
        <f t="shared" si="28"/>
        <v>WMTS_地政事務所轄區圖</v>
      </c>
      <c r="Q901" s="29" t="s">
        <v>3781</v>
      </c>
      <c r="R901" s="29" t="str">
        <f t="shared" si="29"/>
        <v>2dms_wmts_v1_LandOffice</v>
      </c>
      <c r="S901" s="39" t="s">
        <v>155</v>
      </c>
      <c r="U901" s="27" t="str">
        <f>_xlfn.XLOOKUP(表格1[[#This Row],[服務類別(英)]],參考2_服務標準對照!$B:$B,參考2_服務標準對照!$C:$C,"")&amp;""</f>
        <v>OGC</v>
      </c>
      <c r="V901" s="29" t="s">
        <v>7</v>
      </c>
      <c r="W901" s="29" t="s">
        <v>163</v>
      </c>
      <c r="X901" s="29" t="s">
        <v>81</v>
      </c>
      <c r="Y901" s="36" t="s">
        <v>83</v>
      </c>
      <c r="Z901" s="36" t="s">
        <v>157</v>
      </c>
      <c r="AA901" s="36" t="s">
        <v>7</v>
      </c>
      <c r="AB901" s="36"/>
      <c r="AC901" s="36"/>
      <c r="AD901" s="29" t="s">
        <v>119</v>
      </c>
      <c r="AE901" s="36" t="str">
        <f>_xlfn.XLOOKUP(表格1[[#This Row],[唯一識別碼]],API清冊0707!B:B,API清冊0707!T:T,"")&amp;""</f>
        <v>無下拉選單</v>
      </c>
    </row>
    <row r="902" spans="1:31" ht="204.75" customHeight="1" x14ac:dyDescent="0.4">
      <c r="A902" s="29" t="s">
        <v>3782</v>
      </c>
      <c r="B902" s="29"/>
      <c r="C902" s="29"/>
      <c r="D902" s="29" t="s">
        <v>3783</v>
      </c>
      <c r="E902" s="29" t="s">
        <v>3784</v>
      </c>
      <c r="F902" s="29" t="s">
        <v>3785</v>
      </c>
      <c r="G902" s="35"/>
      <c r="H902" s="35" t="s">
        <v>151</v>
      </c>
      <c r="I902" s="29" t="s">
        <v>3782</v>
      </c>
      <c r="J902" s="37"/>
      <c r="K902" s="38"/>
      <c r="L902" s="38"/>
      <c r="M902" s="36" t="s">
        <v>60</v>
      </c>
      <c r="N902" s="15" t="s">
        <v>152</v>
      </c>
      <c r="O902" s="36" t="s">
        <v>162</v>
      </c>
      <c r="P902" s="36" t="str">
        <f t="shared" si="28"/>
        <v>WMTS_山崩與地滑地質敏感區</v>
      </c>
      <c r="Q902" s="29" t="s">
        <v>3785</v>
      </c>
      <c r="R902" s="29" t="str">
        <f t="shared" si="29"/>
        <v>2dms_wmts_v1_GeoSensitive2</v>
      </c>
      <c r="S902" s="39" t="s">
        <v>155</v>
      </c>
      <c r="U902" s="27" t="str">
        <f>_xlfn.XLOOKUP(表格1[[#This Row],[服務類別(英)]],參考2_服務標準對照!$B:$B,參考2_服務標準對照!$C:$C,"")&amp;""</f>
        <v>OGC</v>
      </c>
      <c r="V902" s="29" t="s">
        <v>7</v>
      </c>
      <c r="W902" s="29" t="s">
        <v>163</v>
      </c>
      <c r="X902" s="29" t="s">
        <v>81</v>
      </c>
      <c r="Y902" s="36" t="s">
        <v>83</v>
      </c>
      <c r="Z902" s="36" t="s">
        <v>157</v>
      </c>
      <c r="AA902" s="36" t="s">
        <v>7</v>
      </c>
      <c r="AB902" s="36"/>
      <c r="AC902" s="36"/>
      <c r="AD902" s="29" t="s">
        <v>119</v>
      </c>
      <c r="AE902" s="36" t="str">
        <f>_xlfn.XLOOKUP(表格1[[#This Row],[唯一識別碼]],API清冊0707!B:B,API清冊0707!T:T,"")&amp;""</f>
        <v>無下拉選單</v>
      </c>
    </row>
    <row r="903" spans="1:31" ht="204.75" customHeight="1" x14ac:dyDescent="0.4">
      <c r="A903" s="29" t="s">
        <v>3786</v>
      </c>
      <c r="B903" s="29"/>
      <c r="C903" s="29"/>
      <c r="D903" s="29" t="s">
        <v>3787</v>
      </c>
      <c r="E903" s="29" t="s">
        <v>3788</v>
      </c>
      <c r="F903" s="29" t="s">
        <v>3789</v>
      </c>
      <c r="G903" s="35"/>
      <c r="H903" s="35" t="s">
        <v>151</v>
      </c>
      <c r="I903" s="29" t="s">
        <v>3786</v>
      </c>
      <c r="J903" s="37"/>
      <c r="K903" s="38"/>
      <c r="L903" s="38"/>
      <c r="M903" s="36" t="s">
        <v>60</v>
      </c>
      <c r="N903" s="15" t="s">
        <v>152</v>
      </c>
      <c r="O903" s="36" t="s">
        <v>162</v>
      </c>
      <c r="P903" s="36" t="str">
        <f t="shared" si="28"/>
        <v>WMTS_地質敏感區</v>
      </c>
      <c r="Q903" s="29" t="s">
        <v>3790</v>
      </c>
      <c r="R903" s="29" t="str">
        <f t="shared" si="29"/>
        <v>2dms_wmts_v1_GeoSensitive</v>
      </c>
      <c r="S903" s="39" t="s">
        <v>155</v>
      </c>
      <c r="U903" s="27" t="str">
        <f>_xlfn.XLOOKUP(表格1[[#This Row],[服務類別(英)]],參考2_服務標準對照!$B:$B,參考2_服務標準對照!$C:$C,"")&amp;""</f>
        <v>OGC</v>
      </c>
      <c r="V903" s="29" t="s">
        <v>7</v>
      </c>
      <c r="W903" s="29" t="s">
        <v>163</v>
      </c>
      <c r="X903" s="29" t="s">
        <v>81</v>
      </c>
      <c r="Y903" s="36" t="s">
        <v>83</v>
      </c>
      <c r="Z903" s="36" t="s">
        <v>157</v>
      </c>
      <c r="AA903" s="36" t="s">
        <v>7</v>
      </c>
      <c r="AB903" s="36"/>
      <c r="AC903" s="36"/>
      <c r="AD903" s="29" t="s">
        <v>119</v>
      </c>
      <c r="AE903" s="36" t="str">
        <f>_xlfn.XLOOKUP(表格1[[#This Row],[唯一識別碼]],API清冊0707!B:B,API清冊0707!T:T,"")&amp;""</f>
        <v>無下拉選單</v>
      </c>
    </row>
    <row r="904" spans="1:31" ht="189" customHeight="1" x14ac:dyDescent="0.4">
      <c r="A904" s="29" t="s">
        <v>3791</v>
      </c>
      <c r="B904" s="29"/>
      <c r="C904" s="29"/>
      <c r="D904" s="29" t="s">
        <v>3792</v>
      </c>
      <c r="E904" s="29" t="s">
        <v>3793</v>
      </c>
      <c r="F904" s="29" t="s">
        <v>3794</v>
      </c>
      <c r="G904" s="35"/>
      <c r="H904" s="35" t="s">
        <v>151</v>
      </c>
      <c r="I904" s="29" t="s">
        <v>3791</v>
      </c>
      <c r="J904" s="37"/>
      <c r="K904" s="38"/>
      <c r="L904" s="38"/>
      <c r="M904" s="36" t="s">
        <v>60</v>
      </c>
      <c r="N904" s="15" t="s">
        <v>152</v>
      </c>
      <c r="O904" s="36" t="s">
        <v>162</v>
      </c>
      <c r="P904" s="36" t="str">
        <f t="shared" si="28"/>
        <v>WMTS_消防栓位置</v>
      </c>
      <c r="Q904" s="29" t="s">
        <v>3794</v>
      </c>
      <c r="R904" s="29" t="str">
        <f t="shared" si="29"/>
        <v>2dms_wmts_v1_fireplug</v>
      </c>
      <c r="S904" s="39" t="s">
        <v>155</v>
      </c>
      <c r="U904" s="27" t="str">
        <f>_xlfn.XLOOKUP(表格1[[#This Row],[服務類別(英)]],參考2_服務標準對照!$B:$B,參考2_服務標準對照!$C:$C,"")&amp;""</f>
        <v>OGC</v>
      </c>
      <c r="V904" s="29" t="s">
        <v>7</v>
      </c>
      <c r="W904" s="29" t="s">
        <v>163</v>
      </c>
      <c r="X904" s="29" t="s">
        <v>81</v>
      </c>
      <c r="Y904" s="36" t="s">
        <v>83</v>
      </c>
      <c r="Z904" s="36" t="s">
        <v>157</v>
      </c>
      <c r="AA904" s="36" t="s">
        <v>7</v>
      </c>
      <c r="AB904" s="36"/>
      <c r="AC904" s="36"/>
      <c r="AD904" s="29" t="s">
        <v>119</v>
      </c>
      <c r="AE904" s="36" t="str">
        <f>_xlfn.XLOOKUP(表格1[[#This Row],[唯一識別碼]],API清冊0707!B:B,API清冊0707!T:T,"")&amp;""</f>
        <v>無下拉選單</v>
      </c>
    </row>
    <row r="905" spans="1:31" ht="189" customHeight="1" x14ac:dyDescent="0.4">
      <c r="A905" s="29" t="s">
        <v>3795</v>
      </c>
      <c r="B905" s="29"/>
      <c r="C905" s="29"/>
      <c r="D905" s="29" t="s">
        <v>3796</v>
      </c>
      <c r="E905" s="29" t="s">
        <v>3797</v>
      </c>
      <c r="F905" s="29" t="s">
        <v>3798</v>
      </c>
      <c r="G905" s="35"/>
      <c r="H905" s="35" t="s">
        <v>151</v>
      </c>
      <c r="I905" s="29" t="s">
        <v>3795</v>
      </c>
      <c r="J905" s="37"/>
      <c r="K905" s="38"/>
      <c r="L905" s="38"/>
      <c r="M905" s="36" t="s">
        <v>60</v>
      </c>
      <c r="N905" s="15" t="s">
        <v>152</v>
      </c>
      <c r="O905" s="36" t="s">
        <v>162</v>
      </c>
      <c r="P905" s="36" t="str">
        <f t="shared" si="28"/>
        <v>WMTS_臺灣通用電子地圖(無文字)</v>
      </c>
      <c r="Q905" s="29" t="s">
        <v>3798</v>
      </c>
      <c r="R905" s="29" t="str">
        <f t="shared" si="29"/>
        <v>2dms_wmts_v1_EMAPX99</v>
      </c>
      <c r="S905" s="39" t="s">
        <v>155</v>
      </c>
      <c r="U905" s="27" t="str">
        <f>_xlfn.XLOOKUP(表格1[[#This Row],[服務類別(英)]],參考2_服務標準對照!$B:$B,參考2_服務標準對照!$C:$C,"")&amp;""</f>
        <v>OGC</v>
      </c>
      <c r="V905" s="29" t="s">
        <v>7</v>
      </c>
      <c r="W905" s="29" t="s">
        <v>163</v>
      </c>
      <c r="X905" s="29" t="s">
        <v>81</v>
      </c>
      <c r="Y905" s="36" t="s">
        <v>83</v>
      </c>
      <c r="Z905" s="36" t="s">
        <v>157</v>
      </c>
      <c r="AA905" s="36" t="s">
        <v>7</v>
      </c>
      <c r="AB905" s="36"/>
      <c r="AC905" s="36"/>
      <c r="AD905" s="29" t="s">
        <v>119</v>
      </c>
      <c r="AE905" s="36" t="str">
        <f>_xlfn.XLOOKUP(表格1[[#This Row],[唯一識別碼]],API清冊0707!B:B,API清冊0707!T:T,"")&amp;""</f>
        <v>無下拉選單</v>
      </c>
    </row>
    <row r="906" spans="1:31" ht="189" customHeight="1" x14ac:dyDescent="0.4">
      <c r="A906" s="29" t="s">
        <v>3799</v>
      </c>
      <c r="B906" s="29"/>
      <c r="C906" s="29"/>
      <c r="D906" s="29" t="s">
        <v>3800</v>
      </c>
      <c r="E906" s="29" t="s">
        <v>3801</v>
      </c>
      <c r="F906" s="29" t="s">
        <v>3802</v>
      </c>
      <c r="G906" s="35"/>
      <c r="H906" s="35" t="s">
        <v>151</v>
      </c>
      <c r="I906" s="29" t="s">
        <v>3799</v>
      </c>
      <c r="J906" s="37"/>
      <c r="K906" s="38"/>
      <c r="L906" s="38"/>
      <c r="M906" s="36" t="s">
        <v>60</v>
      </c>
      <c r="N906" s="15" t="s">
        <v>152</v>
      </c>
      <c r="O906" s="36" t="s">
        <v>162</v>
      </c>
      <c r="P906" s="36" t="str">
        <f t="shared" si="28"/>
        <v>WMTS_臺灣通用電子地圖(響應式文字)</v>
      </c>
      <c r="Q906" s="29" t="s">
        <v>3802</v>
      </c>
      <c r="R906" s="29" t="str">
        <f t="shared" si="29"/>
        <v>2dms_wmts_v1_EMAP98</v>
      </c>
      <c r="S906" s="39" t="s">
        <v>155</v>
      </c>
      <c r="U906" s="27" t="str">
        <f>_xlfn.XLOOKUP(表格1[[#This Row],[服務類別(英)]],參考2_服務標準對照!$B:$B,參考2_服務標準對照!$C:$C,"")&amp;""</f>
        <v>OGC</v>
      </c>
      <c r="V906" s="29" t="s">
        <v>7</v>
      </c>
      <c r="W906" s="29" t="s">
        <v>163</v>
      </c>
      <c r="X906" s="29" t="s">
        <v>81</v>
      </c>
      <c r="Y906" s="36" t="s">
        <v>83</v>
      </c>
      <c r="Z906" s="36" t="s">
        <v>157</v>
      </c>
      <c r="AA906" s="36" t="s">
        <v>7</v>
      </c>
      <c r="AB906" s="36"/>
      <c r="AC906" s="36"/>
      <c r="AD906" s="29" t="s">
        <v>119</v>
      </c>
      <c r="AE906" s="36" t="str">
        <f>_xlfn.XLOOKUP(表格1[[#This Row],[唯一識別碼]],API清冊0707!B:B,API清冊0707!T:T,"")&amp;""</f>
        <v>無下拉選單</v>
      </c>
    </row>
    <row r="907" spans="1:31" ht="189" customHeight="1" x14ac:dyDescent="0.4">
      <c r="A907" s="29" t="s">
        <v>3803</v>
      </c>
      <c r="B907" s="29"/>
      <c r="C907" s="29"/>
      <c r="D907" s="29" t="s">
        <v>3804</v>
      </c>
      <c r="E907" s="29" t="s">
        <v>3805</v>
      </c>
      <c r="F907" s="29" t="s">
        <v>3806</v>
      </c>
      <c r="G907" s="35"/>
      <c r="H907" s="35" t="s">
        <v>151</v>
      </c>
      <c r="I907" s="29" t="s">
        <v>3803</v>
      </c>
      <c r="J907" s="37"/>
      <c r="K907" s="38"/>
      <c r="L907" s="38"/>
      <c r="M907" s="36" t="s">
        <v>60</v>
      </c>
      <c r="N907" s="15" t="s">
        <v>152</v>
      </c>
      <c r="O907" s="36" t="s">
        <v>162</v>
      </c>
      <c r="P907" s="36" t="str">
        <f t="shared" si="28"/>
        <v>WMTS_Taiwan E-Map(ResponsiveText)</v>
      </c>
      <c r="Q907" s="29" t="s">
        <v>3806</v>
      </c>
      <c r="R907" s="29" t="str">
        <f t="shared" si="29"/>
        <v>2dms_wmts_v1_EMAP97</v>
      </c>
      <c r="S907" s="39" t="s">
        <v>155</v>
      </c>
      <c r="U907" s="27" t="str">
        <f>_xlfn.XLOOKUP(表格1[[#This Row],[服務類別(英)]],參考2_服務標準對照!$B:$B,參考2_服務標準對照!$C:$C,"")&amp;""</f>
        <v>OGC</v>
      </c>
      <c r="V907" s="29" t="s">
        <v>7</v>
      </c>
      <c r="W907" s="29" t="s">
        <v>163</v>
      </c>
      <c r="X907" s="29" t="s">
        <v>81</v>
      </c>
      <c r="Y907" s="36" t="s">
        <v>83</v>
      </c>
      <c r="Z907" s="36" t="s">
        <v>157</v>
      </c>
      <c r="AA907" s="36" t="s">
        <v>7</v>
      </c>
      <c r="AB907" s="36"/>
      <c r="AC907" s="36"/>
      <c r="AD907" s="29" t="s">
        <v>119</v>
      </c>
      <c r="AE907" s="36" t="str">
        <f>_xlfn.XLOOKUP(表格1[[#This Row],[唯一識別碼]],API清冊0707!B:B,API清冊0707!T:T,"")&amp;""</f>
        <v>無下拉選單</v>
      </c>
    </row>
    <row r="908" spans="1:31" ht="189" customHeight="1" x14ac:dyDescent="0.4">
      <c r="A908" s="29" t="s">
        <v>3807</v>
      </c>
      <c r="B908" s="29"/>
      <c r="C908" s="29"/>
      <c r="D908" s="29" t="s">
        <v>3808</v>
      </c>
      <c r="E908" s="29" t="s">
        <v>3809</v>
      </c>
      <c r="F908" s="29" t="s">
        <v>3810</v>
      </c>
      <c r="G908" s="35"/>
      <c r="H908" s="35" t="s">
        <v>151</v>
      </c>
      <c r="I908" s="29" t="s">
        <v>3807</v>
      </c>
      <c r="J908" s="37"/>
      <c r="K908" s="38"/>
      <c r="L908" s="38"/>
      <c r="M908" s="36" t="s">
        <v>60</v>
      </c>
      <c r="N908" s="15" t="s">
        <v>152</v>
      </c>
      <c r="O908" s="36" t="s">
        <v>162</v>
      </c>
      <c r="P908" s="36" t="str">
        <f t="shared" si="28"/>
        <v>WMTS_臺灣通用電子地圖(高DPI文字)</v>
      </c>
      <c r="Q908" s="29" t="s">
        <v>3810</v>
      </c>
      <c r="R908" s="29" t="str">
        <f t="shared" si="29"/>
        <v>2dms_wmts_v1_EMAP96</v>
      </c>
      <c r="S908" s="39" t="s">
        <v>155</v>
      </c>
      <c r="U908" s="27" t="str">
        <f>_xlfn.XLOOKUP(表格1[[#This Row],[服務類別(英)]],參考2_服務標準對照!$B:$B,參考2_服務標準對照!$C:$C,"")&amp;""</f>
        <v>OGC</v>
      </c>
      <c r="V908" s="29" t="s">
        <v>7</v>
      </c>
      <c r="W908" s="29" t="s">
        <v>163</v>
      </c>
      <c r="X908" s="29" t="s">
        <v>81</v>
      </c>
      <c r="Y908" s="36" t="s">
        <v>83</v>
      </c>
      <c r="Z908" s="36" t="s">
        <v>157</v>
      </c>
      <c r="AA908" s="36" t="s">
        <v>7</v>
      </c>
      <c r="AB908" s="36"/>
      <c r="AC908" s="36"/>
      <c r="AD908" s="29" t="s">
        <v>119</v>
      </c>
      <c r="AE908" s="36" t="str">
        <f>_xlfn.XLOOKUP(表格1[[#This Row],[唯一識別碼]],API清冊0707!B:B,API清冊0707!T:T,"")&amp;""</f>
        <v>無下拉選單</v>
      </c>
    </row>
    <row r="909" spans="1:31" ht="189" customHeight="1" x14ac:dyDescent="0.4">
      <c r="A909" s="29" t="s">
        <v>3811</v>
      </c>
      <c r="B909" s="29"/>
      <c r="C909" s="29"/>
      <c r="D909" s="29" t="s">
        <v>3812</v>
      </c>
      <c r="E909" s="29" t="s">
        <v>3813</v>
      </c>
      <c r="F909" s="29" t="s">
        <v>3814</v>
      </c>
      <c r="G909" s="35"/>
      <c r="H909" s="35" t="s">
        <v>151</v>
      </c>
      <c r="I909" s="29" t="s">
        <v>3811</v>
      </c>
      <c r="J909" s="37"/>
      <c r="K909" s="38"/>
      <c r="L909" s="38"/>
      <c r="M909" s="36" t="s">
        <v>60</v>
      </c>
      <c r="N909" s="15" t="s">
        <v>152</v>
      </c>
      <c r="O909" s="36" t="s">
        <v>162</v>
      </c>
      <c r="P909" s="36" t="str">
        <f t="shared" si="28"/>
        <v>WMTS_臺灣通用電子地圖(無鐵公路)</v>
      </c>
      <c r="Q909" s="29" t="s">
        <v>3814</v>
      </c>
      <c r="R909" s="29" t="str">
        <f t="shared" si="29"/>
        <v>2dms_wmts_v1_EMAP9</v>
      </c>
      <c r="S909" s="39" t="s">
        <v>155</v>
      </c>
      <c r="U909" s="27" t="str">
        <f>_xlfn.XLOOKUP(表格1[[#This Row],[服務類別(英)]],參考2_服務標準對照!$B:$B,參考2_服務標準對照!$C:$C,"")&amp;""</f>
        <v>OGC</v>
      </c>
      <c r="V909" s="29" t="s">
        <v>7</v>
      </c>
      <c r="W909" s="29" t="s">
        <v>163</v>
      </c>
      <c r="X909" s="29" t="s">
        <v>81</v>
      </c>
      <c r="Y909" s="36" t="s">
        <v>83</v>
      </c>
      <c r="Z909" s="36" t="s">
        <v>157</v>
      </c>
      <c r="AA909" s="36" t="s">
        <v>7</v>
      </c>
      <c r="AB909" s="36"/>
      <c r="AC909" s="36"/>
      <c r="AD909" s="29" t="s">
        <v>119</v>
      </c>
      <c r="AE909" s="36" t="str">
        <f>_xlfn.XLOOKUP(表格1[[#This Row],[唯一識別碼]],API清冊0707!B:B,API清冊0707!T:T,"")&amp;""</f>
        <v>無下拉選單</v>
      </c>
    </row>
    <row r="910" spans="1:31" ht="189" customHeight="1" x14ac:dyDescent="0.4">
      <c r="A910" s="29" t="s">
        <v>3815</v>
      </c>
      <c r="B910" s="29"/>
      <c r="C910" s="29"/>
      <c r="D910" s="29" t="s">
        <v>3816</v>
      </c>
      <c r="E910" s="29" t="s">
        <v>3817</v>
      </c>
      <c r="F910" s="29" t="s">
        <v>3818</v>
      </c>
      <c r="G910" s="35"/>
      <c r="H910" s="35" t="s">
        <v>151</v>
      </c>
      <c r="I910" s="29" t="s">
        <v>3815</v>
      </c>
      <c r="J910" s="37"/>
      <c r="K910" s="38"/>
      <c r="L910" s="38"/>
      <c r="M910" s="36" t="s">
        <v>60</v>
      </c>
      <c r="N910" s="15" t="s">
        <v>152</v>
      </c>
      <c r="O910" s="36" t="s">
        <v>162</v>
      </c>
      <c r="P910" s="36" t="str">
        <f t="shared" si="28"/>
        <v>WMTS_TaiwanE-Map</v>
      </c>
      <c r="Q910" s="29" t="s">
        <v>3818</v>
      </c>
      <c r="R910" s="29" t="str">
        <f t="shared" si="29"/>
        <v>2dms_wmts_v1_EMAP8</v>
      </c>
      <c r="S910" s="39" t="s">
        <v>155</v>
      </c>
      <c r="U910" s="27" t="str">
        <f>_xlfn.XLOOKUP(表格1[[#This Row],[服務類別(英)]],參考2_服務標準對照!$B:$B,參考2_服務標準對照!$C:$C,"")&amp;""</f>
        <v>OGC</v>
      </c>
      <c r="V910" s="29" t="s">
        <v>7</v>
      </c>
      <c r="W910" s="29" t="s">
        <v>163</v>
      </c>
      <c r="X910" s="29" t="s">
        <v>81</v>
      </c>
      <c r="Y910" s="36" t="s">
        <v>83</v>
      </c>
      <c r="Z910" s="36" t="s">
        <v>157</v>
      </c>
      <c r="AA910" s="36" t="s">
        <v>7</v>
      </c>
      <c r="AB910" s="36"/>
      <c r="AC910" s="36"/>
      <c r="AD910" s="29" t="s">
        <v>119</v>
      </c>
      <c r="AE910" s="36" t="str">
        <f>_xlfn.XLOOKUP(表格1[[#This Row],[唯一識別碼]],API清冊0707!B:B,API清冊0707!T:T,"")&amp;""</f>
        <v>無下拉選單</v>
      </c>
    </row>
    <row r="911" spans="1:31" ht="189" customHeight="1" x14ac:dyDescent="0.4">
      <c r="A911" s="29" t="s">
        <v>3819</v>
      </c>
      <c r="B911" s="29"/>
      <c r="C911" s="29"/>
      <c r="D911" s="29" t="s">
        <v>3820</v>
      </c>
      <c r="E911" s="29" t="s">
        <v>3821</v>
      </c>
      <c r="F911" s="29" t="s">
        <v>3822</v>
      </c>
      <c r="G911" s="35"/>
      <c r="H911" s="35" t="s">
        <v>151</v>
      </c>
      <c r="I911" s="29" t="s">
        <v>3819</v>
      </c>
      <c r="J911" s="37"/>
      <c r="K911" s="38"/>
      <c r="L911" s="38"/>
      <c r="M911" s="36" t="s">
        <v>60</v>
      </c>
      <c r="N911" s="15" t="s">
        <v>152</v>
      </c>
      <c r="O911" s="36" t="s">
        <v>162</v>
      </c>
      <c r="P911" s="36" t="str">
        <f t="shared" si="28"/>
        <v>WMTS_TaiwanE-Map_Road</v>
      </c>
      <c r="Q911" s="29" t="s">
        <v>3822</v>
      </c>
      <c r="R911" s="29" t="str">
        <f t="shared" si="29"/>
        <v>2dms_wmts_v1_EMAP7</v>
      </c>
      <c r="S911" s="39" t="s">
        <v>155</v>
      </c>
      <c r="U911" s="27" t="str">
        <f>_xlfn.XLOOKUP(表格1[[#This Row],[服務類別(英)]],參考2_服務標準對照!$B:$B,參考2_服務標準對照!$C:$C,"")&amp;""</f>
        <v>OGC</v>
      </c>
      <c r="V911" s="29" t="s">
        <v>7</v>
      </c>
      <c r="W911" s="29" t="s">
        <v>163</v>
      </c>
      <c r="X911" s="29" t="s">
        <v>81</v>
      </c>
      <c r="Y911" s="36" t="s">
        <v>83</v>
      </c>
      <c r="Z911" s="36" t="s">
        <v>157</v>
      </c>
      <c r="AA911" s="36" t="s">
        <v>3513</v>
      </c>
      <c r="AB911" s="36"/>
      <c r="AC911" s="36"/>
      <c r="AD911" s="29" t="s">
        <v>119</v>
      </c>
      <c r="AE911" s="36" t="str">
        <f>_xlfn.XLOOKUP(表格1[[#This Row],[唯一識別碼]],API清冊0707!B:B,API清冊0707!T:T,"")&amp;""</f>
        <v>無下拉選單</v>
      </c>
    </row>
    <row r="912" spans="1:31" ht="220.5" customHeight="1" x14ac:dyDescent="0.4">
      <c r="A912" s="29" t="s">
        <v>3823</v>
      </c>
      <c r="B912" s="29"/>
      <c r="C912" s="29"/>
      <c r="D912" s="29" t="s">
        <v>3824</v>
      </c>
      <c r="E912" s="29" t="s">
        <v>3825</v>
      </c>
      <c r="F912" s="29" t="s">
        <v>3826</v>
      </c>
      <c r="G912" s="35"/>
      <c r="H912" s="35" t="s">
        <v>151</v>
      </c>
      <c r="I912" s="29" t="s">
        <v>3823</v>
      </c>
      <c r="J912" s="37"/>
      <c r="K912" s="38"/>
      <c r="L912" s="38"/>
      <c r="M912" s="36" t="s">
        <v>60</v>
      </c>
      <c r="N912" s="15" t="s">
        <v>152</v>
      </c>
      <c r="O912" s="36" t="s">
        <v>162</v>
      </c>
      <c r="P912" s="36" t="str">
        <f t="shared" si="28"/>
        <v>WMTS_OPENDATA_臺灣通用電子地圖( 比例尺小於一萬八千分之一)</v>
      </c>
      <c r="Q912" s="29" t="s">
        <v>3826</v>
      </c>
      <c r="R912" s="29" t="str">
        <f t="shared" si="29"/>
        <v>2dms_wmts_v1_EMAP6Opendata</v>
      </c>
      <c r="S912" s="39" t="s">
        <v>155</v>
      </c>
      <c r="U912" s="27" t="str">
        <f>_xlfn.XLOOKUP(表格1[[#This Row],[服務類別(英)]],參考2_服務標準對照!$B:$B,參考2_服務標準對照!$C:$C,"")&amp;""</f>
        <v>OGC</v>
      </c>
      <c r="V912" s="29" t="s">
        <v>7</v>
      </c>
      <c r="W912" s="29" t="s">
        <v>163</v>
      </c>
      <c r="X912" s="29" t="s">
        <v>81</v>
      </c>
      <c r="Y912" s="36" t="s">
        <v>83</v>
      </c>
      <c r="Z912" s="36" t="s">
        <v>157</v>
      </c>
      <c r="AA912" s="36" t="s">
        <v>7</v>
      </c>
      <c r="AB912" s="36"/>
      <c r="AC912" s="36"/>
      <c r="AD912" s="29" t="s">
        <v>119</v>
      </c>
      <c r="AE912" s="36" t="str">
        <f>_xlfn.XLOOKUP(表格1[[#This Row],[唯一識別碼]],API清冊0707!B:B,API清冊0707!T:T,"")&amp;""</f>
        <v>無下拉選單</v>
      </c>
    </row>
    <row r="913" spans="1:31" ht="189" customHeight="1" x14ac:dyDescent="0.4">
      <c r="A913" s="29" t="s">
        <v>3827</v>
      </c>
      <c r="B913" s="29"/>
      <c r="C913" s="29"/>
      <c r="D913" s="29" t="s">
        <v>3828</v>
      </c>
      <c r="E913" s="29" t="s">
        <v>3829</v>
      </c>
      <c r="F913" s="29" t="s">
        <v>3830</v>
      </c>
      <c r="G913" s="35"/>
      <c r="H913" s="35" t="s">
        <v>151</v>
      </c>
      <c r="I913" s="29" t="s">
        <v>3827</v>
      </c>
      <c r="J913" s="37"/>
      <c r="K913" s="38"/>
      <c r="L913" s="38"/>
      <c r="M913" s="36" t="s">
        <v>60</v>
      </c>
      <c r="N913" s="15" t="s">
        <v>152</v>
      </c>
      <c r="O913" s="36" t="s">
        <v>162</v>
      </c>
      <c r="P913" s="36" t="str">
        <f t="shared" si="28"/>
        <v>WMTS_臺灣通用電子地圖</v>
      </c>
      <c r="Q913" s="29" t="s">
        <v>3830</v>
      </c>
      <c r="R913" s="29" t="str">
        <f t="shared" si="29"/>
        <v>2dms_wmts_v1_EMAP6</v>
      </c>
      <c r="S913" s="39" t="s">
        <v>155</v>
      </c>
      <c r="U913" s="27" t="str">
        <f>_xlfn.XLOOKUP(表格1[[#This Row],[服務類別(英)]],參考2_服務標準對照!$B:$B,參考2_服務標準對照!$C:$C,"")&amp;""</f>
        <v>OGC</v>
      </c>
      <c r="V913" s="29" t="s">
        <v>7</v>
      </c>
      <c r="W913" s="29" t="s">
        <v>163</v>
      </c>
      <c r="X913" s="29" t="s">
        <v>81</v>
      </c>
      <c r="Y913" s="36" t="s">
        <v>83</v>
      </c>
      <c r="Z913" s="36" t="s">
        <v>157</v>
      </c>
      <c r="AA913" s="36" t="s">
        <v>7</v>
      </c>
      <c r="AB913" s="36"/>
      <c r="AC913" s="36"/>
      <c r="AD913" s="29" t="s">
        <v>119</v>
      </c>
      <c r="AE913" s="36" t="str">
        <f>_xlfn.XLOOKUP(表格1[[#This Row],[唯一識別碼]],API清冊0707!B:B,API清冊0707!T:T,"")&amp;""</f>
        <v>無下拉選單</v>
      </c>
    </row>
    <row r="914" spans="1:31" ht="220.5" customHeight="1" x14ac:dyDescent="0.4">
      <c r="A914" s="29" t="s">
        <v>3831</v>
      </c>
      <c r="B914" s="29"/>
      <c r="C914" s="29"/>
      <c r="D914" s="29" t="s">
        <v>3832</v>
      </c>
      <c r="E914" s="29" t="s">
        <v>3833</v>
      </c>
      <c r="F914" s="29" t="s">
        <v>3834</v>
      </c>
      <c r="G914" s="35"/>
      <c r="H914" s="35" t="s">
        <v>151</v>
      </c>
      <c r="I914" s="29" t="s">
        <v>3831</v>
      </c>
      <c r="J914" s="37"/>
      <c r="K914" s="38"/>
      <c r="L914" s="38"/>
      <c r="M914" s="36" t="s">
        <v>60</v>
      </c>
      <c r="N914" s="15" t="s">
        <v>152</v>
      </c>
      <c r="O914" s="36" t="s">
        <v>162</v>
      </c>
      <c r="P914" s="36" t="str">
        <f t="shared" si="28"/>
        <v>WMTS_OPENDATA_臺灣通用電子地圖(套疊等高線, 比例尺小於一萬八千分之一)</v>
      </c>
      <c r="Q914" s="29" t="s">
        <v>3834</v>
      </c>
      <c r="R914" s="29" t="str">
        <f t="shared" si="29"/>
        <v>2dms_wmts_v1_EMAP5Opendata</v>
      </c>
      <c r="S914" s="39" t="s">
        <v>155</v>
      </c>
      <c r="U914" s="27" t="str">
        <f>_xlfn.XLOOKUP(表格1[[#This Row],[服務類別(英)]],參考2_服務標準對照!$B:$B,參考2_服務標準對照!$C:$C,"")&amp;""</f>
        <v>OGC</v>
      </c>
      <c r="V914" s="29" t="s">
        <v>7</v>
      </c>
      <c r="W914" s="29" t="s">
        <v>163</v>
      </c>
      <c r="X914" s="29" t="s">
        <v>81</v>
      </c>
      <c r="Y914" s="36" t="s">
        <v>83</v>
      </c>
      <c r="Z914" s="36" t="s">
        <v>157</v>
      </c>
      <c r="AA914" s="36" t="s">
        <v>7</v>
      </c>
      <c r="AB914" s="36"/>
      <c r="AC914" s="36"/>
      <c r="AD914" s="29" t="s">
        <v>119</v>
      </c>
      <c r="AE914" s="36" t="str">
        <f>_xlfn.XLOOKUP(表格1[[#This Row],[唯一識別碼]],API清冊0707!B:B,API清冊0707!T:T,"")&amp;""</f>
        <v>無下拉選單</v>
      </c>
    </row>
    <row r="915" spans="1:31" ht="189" customHeight="1" x14ac:dyDescent="0.4">
      <c r="A915" s="29" t="s">
        <v>3835</v>
      </c>
      <c r="B915" s="29"/>
      <c r="C915" s="29"/>
      <c r="D915" s="29" t="s">
        <v>3836</v>
      </c>
      <c r="E915" s="29" t="s">
        <v>3837</v>
      </c>
      <c r="F915" s="29" t="s">
        <v>3838</v>
      </c>
      <c r="G915" s="35"/>
      <c r="H915" s="35" t="s">
        <v>151</v>
      </c>
      <c r="I915" s="29" t="s">
        <v>3835</v>
      </c>
      <c r="J915" s="37"/>
      <c r="K915" s="38"/>
      <c r="L915" s="38"/>
      <c r="M915" s="36" t="s">
        <v>60</v>
      </c>
      <c r="N915" s="15" t="s">
        <v>152</v>
      </c>
      <c r="O915" s="36" t="s">
        <v>162</v>
      </c>
      <c r="P915" s="36" t="str">
        <f t="shared" si="28"/>
        <v>WMTS_臺灣通用電子地圖(等高線+門牌)</v>
      </c>
      <c r="Q915" s="29" t="s">
        <v>3838</v>
      </c>
      <c r="R915" s="29" t="str">
        <f t="shared" si="29"/>
        <v>2dms_wmts_v1_EMAP5</v>
      </c>
      <c r="S915" s="39" t="s">
        <v>155</v>
      </c>
      <c r="U915" s="27" t="str">
        <f>_xlfn.XLOOKUP(表格1[[#This Row],[服務類別(英)]],參考2_服務標準對照!$B:$B,參考2_服務標準對照!$C:$C,"")&amp;""</f>
        <v>OGC</v>
      </c>
      <c r="V915" s="29" t="s">
        <v>7</v>
      </c>
      <c r="W915" s="29" t="s">
        <v>163</v>
      </c>
      <c r="X915" s="29" t="s">
        <v>81</v>
      </c>
      <c r="Y915" s="36" t="s">
        <v>83</v>
      </c>
      <c r="Z915" s="36" t="s">
        <v>157</v>
      </c>
      <c r="AA915" s="36" t="s">
        <v>3839</v>
      </c>
      <c r="AB915" s="36"/>
      <c r="AC915" s="36"/>
      <c r="AD915" s="29" t="s">
        <v>119</v>
      </c>
      <c r="AE915" s="36" t="str">
        <f>_xlfn.XLOOKUP(表格1[[#This Row],[唯一識別碼]],API清冊0707!B:B,API清冊0707!T:T,"")&amp;""</f>
        <v>無下拉選單</v>
      </c>
    </row>
    <row r="916" spans="1:31" ht="220.5" customHeight="1" x14ac:dyDescent="0.4">
      <c r="A916" s="29" t="s">
        <v>3840</v>
      </c>
      <c r="B916" s="29"/>
      <c r="C916" s="29"/>
      <c r="D916" s="29" t="s">
        <v>3841</v>
      </c>
      <c r="E916" s="29" t="s">
        <v>3842</v>
      </c>
      <c r="F916" s="29" t="s">
        <v>3843</v>
      </c>
      <c r="G916" s="35"/>
      <c r="H916" s="35" t="s">
        <v>151</v>
      </c>
      <c r="I916" s="29" t="s">
        <v>3840</v>
      </c>
      <c r="J916" s="37"/>
      <c r="K916" s="38"/>
      <c r="L916" s="38"/>
      <c r="M916" s="36" t="s">
        <v>60</v>
      </c>
      <c r="N916" s="15" t="s">
        <v>152</v>
      </c>
      <c r="O916" s="36" t="s">
        <v>162</v>
      </c>
      <c r="P916" s="36" t="str">
        <f t="shared" si="28"/>
        <v>WMTS_臺灣通用電子地圖TWD97/TM2 Zone 121</v>
      </c>
      <c r="Q916" s="29" t="s">
        <v>3843</v>
      </c>
      <c r="R916" s="29" t="str">
        <f t="shared" si="29"/>
        <v>2dms_wmts_v1_EMAP3826</v>
      </c>
      <c r="S916" s="39" t="s">
        <v>3528</v>
      </c>
      <c r="U916" s="27" t="str">
        <f>_xlfn.XLOOKUP(表格1[[#This Row],[服務類別(英)]],參考2_服務標準對照!$B:$B,參考2_服務標準對照!$C:$C,"")&amp;""</f>
        <v>OGC</v>
      </c>
      <c r="V916" s="29" t="s">
        <v>7</v>
      </c>
      <c r="W916" s="29" t="s">
        <v>163</v>
      </c>
      <c r="X916" s="29" t="s">
        <v>81</v>
      </c>
      <c r="Y916" s="36" t="s">
        <v>83</v>
      </c>
      <c r="Z916" s="36" t="s">
        <v>157</v>
      </c>
      <c r="AA916" s="36" t="s">
        <v>7</v>
      </c>
      <c r="AB916" s="36"/>
      <c r="AC916" s="36"/>
      <c r="AD916" s="29" t="s">
        <v>119</v>
      </c>
      <c r="AE916" s="36" t="str">
        <f>_xlfn.XLOOKUP(表格1[[#This Row],[唯一識別碼]],API清冊0707!B:B,API清冊0707!T:T,"")&amp;""</f>
        <v>無下拉選單</v>
      </c>
    </row>
    <row r="917" spans="1:31" ht="220.5" customHeight="1" x14ac:dyDescent="0.4">
      <c r="A917" s="29" t="s">
        <v>3844</v>
      </c>
      <c r="B917" s="29"/>
      <c r="C917" s="29"/>
      <c r="D917" s="29" t="s">
        <v>3845</v>
      </c>
      <c r="E917" s="29" t="s">
        <v>3846</v>
      </c>
      <c r="F917" s="29" t="s">
        <v>3847</v>
      </c>
      <c r="G917" s="35"/>
      <c r="H917" s="35" t="s">
        <v>151</v>
      </c>
      <c r="I917" s="29" t="s">
        <v>3844</v>
      </c>
      <c r="J917" s="37"/>
      <c r="K917" s="38"/>
      <c r="L917" s="38"/>
      <c r="M917" s="36" t="s">
        <v>60</v>
      </c>
      <c r="N917" s="15" t="s">
        <v>152</v>
      </c>
      <c r="O917" s="36" t="s">
        <v>162</v>
      </c>
      <c r="P917" s="36" t="str">
        <f t="shared" si="28"/>
        <v>WMTS_臺灣通用電子地圖TWD97/TM2 Zone 119</v>
      </c>
      <c r="Q917" s="29" t="s">
        <v>3847</v>
      </c>
      <c r="R917" s="29" t="str">
        <f t="shared" si="29"/>
        <v>2dms_wmts_v1_EMAP3825</v>
      </c>
      <c r="S917" s="39" t="s">
        <v>3528</v>
      </c>
      <c r="U917" s="27" t="str">
        <f>_xlfn.XLOOKUP(表格1[[#This Row],[服務類別(英)]],參考2_服務標準對照!$B:$B,參考2_服務標準對照!$C:$C,"")&amp;""</f>
        <v>OGC</v>
      </c>
      <c r="V917" s="29" t="s">
        <v>7</v>
      </c>
      <c r="W917" s="29" t="s">
        <v>163</v>
      </c>
      <c r="X917" s="29" t="s">
        <v>81</v>
      </c>
      <c r="Y917" s="36" t="s">
        <v>83</v>
      </c>
      <c r="Z917" s="36" t="s">
        <v>157</v>
      </c>
      <c r="AA917" s="36" t="s">
        <v>7</v>
      </c>
      <c r="AB917" s="36"/>
      <c r="AC917" s="36"/>
      <c r="AD917" s="29" t="s">
        <v>119</v>
      </c>
      <c r="AE917" s="36" t="str">
        <f>_xlfn.XLOOKUP(表格1[[#This Row],[唯一識別碼]],API清冊0707!B:B,API清冊0707!T:T,"")&amp;""</f>
        <v>無下拉選單</v>
      </c>
    </row>
    <row r="918" spans="1:31" ht="189" customHeight="1" x14ac:dyDescent="0.4">
      <c r="A918" s="29" t="s">
        <v>3848</v>
      </c>
      <c r="B918" s="29"/>
      <c r="C918" s="29"/>
      <c r="D918" s="29" t="s">
        <v>3849</v>
      </c>
      <c r="E918" s="29" t="s">
        <v>3850</v>
      </c>
      <c r="F918" s="29" t="s">
        <v>3851</v>
      </c>
      <c r="G918" s="35"/>
      <c r="H918" s="35" t="s">
        <v>151</v>
      </c>
      <c r="I918" s="29" t="s">
        <v>3848</v>
      </c>
      <c r="J918" s="37"/>
      <c r="K918" s="38"/>
      <c r="L918" s="38"/>
      <c r="M918" s="36" t="s">
        <v>60</v>
      </c>
      <c r="N918" s="15" t="s">
        <v>152</v>
      </c>
      <c r="O918" s="36" t="s">
        <v>162</v>
      </c>
      <c r="P918" s="36" t="str">
        <f t="shared" si="28"/>
        <v>WMTS_臺灣通用電子地圖_交通路網(套疊門牌)</v>
      </c>
      <c r="Q918" s="29" t="s">
        <v>3851</v>
      </c>
      <c r="R918" s="29" t="str">
        <f t="shared" si="29"/>
        <v>2dms_wmts_v1_EMAP2</v>
      </c>
      <c r="S918" s="39" t="s">
        <v>155</v>
      </c>
      <c r="U918" s="27" t="str">
        <f>_xlfn.XLOOKUP(表格1[[#This Row],[服務類別(英)]],參考2_服務標準對照!$B:$B,參考2_服務標準對照!$C:$C,"")&amp;""</f>
        <v>OGC</v>
      </c>
      <c r="V918" s="29" t="s">
        <v>7</v>
      </c>
      <c r="W918" s="29" t="s">
        <v>163</v>
      </c>
      <c r="X918" s="29" t="s">
        <v>81</v>
      </c>
      <c r="Y918" s="36" t="s">
        <v>83</v>
      </c>
      <c r="Z918" s="36" t="s">
        <v>157</v>
      </c>
      <c r="AA918" s="36" t="s">
        <v>3839</v>
      </c>
      <c r="AB918" s="36"/>
      <c r="AC918" s="36"/>
      <c r="AD918" s="29" t="s">
        <v>119</v>
      </c>
      <c r="AE918" s="36" t="str">
        <f>_xlfn.XLOOKUP(表格1[[#This Row],[唯一識別碼]],API清冊0707!B:B,API清冊0707!T:T,"")&amp;""</f>
        <v>無下拉選單</v>
      </c>
    </row>
    <row r="919" spans="1:31" ht="189" customHeight="1" x14ac:dyDescent="0.4">
      <c r="A919" s="29" t="s">
        <v>3852</v>
      </c>
      <c r="B919" s="29"/>
      <c r="C919" s="29"/>
      <c r="D919" s="29" t="s">
        <v>3853</v>
      </c>
      <c r="E919" s="29" t="s">
        <v>3854</v>
      </c>
      <c r="F919" s="29" t="s">
        <v>3830</v>
      </c>
      <c r="G919" s="35"/>
      <c r="H919" s="35" t="s">
        <v>151</v>
      </c>
      <c r="I919" s="29" t="s">
        <v>3852</v>
      </c>
      <c r="J919" s="37"/>
      <c r="K919" s="38"/>
      <c r="L919" s="38"/>
      <c r="M919" s="36" t="s">
        <v>60</v>
      </c>
      <c r="N919" s="15" t="s">
        <v>152</v>
      </c>
      <c r="O919" s="36" t="s">
        <v>162</v>
      </c>
      <c r="P919" s="36" t="str">
        <f t="shared" si="28"/>
        <v>WMTS_臺灣通用電子地圖</v>
      </c>
      <c r="Q919" s="29" t="s">
        <v>3830</v>
      </c>
      <c r="R919" s="29" t="str">
        <f t="shared" si="29"/>
        <v>2dms_wmts_v1_EMAP16</v>
      </c>
      <c r="S919" s="39" t="s">
        <v>155</v>
      </c>
      <c r="U919" s="27" t="str">
        <f>_xlfn.XLOOKUP(表格1[[#This Row],[服務類別(英)]],參考2_服務標準對照!$B:$B,參考2_服務標準對照!$C:$C,"")&amp;""</f>
        <v>OGC</v>
      </c>
      <c r="V919" s="29" t="s">
        <v>7</v>
      </c>
      <c r="W919" s="29" t="s">
        <v>163</v>
      </c>
      <c r="X919" s="29" t="s">
        <v>81</v>
      </c>
      <c r="Y919" s="36" t="s">
        <v>83</v>
      </c>
      <c r="Z919" s="36" t="s">
        <v>157</v>
      </c>
      <c r="AA919" s="36" t="s">
        <v>3839</v>
      </c>
      <c r="AB919" s="36"/>
      <c r="AC919" s="36"/>
      <c r="AD919" s="29" t="s">
        <v>119</v>
      </c>
      <c r="AE919" s="36" t="str">
        <f>_xlfn.XLOOKUP(表格1[[#This Row],[唯一識別碼]],API清冊0707!B:B,API清冊0707!T:T,"")&amp;""</f>
        <v>無下拉選單</v>
      </c>
    </row>
    <row r="920" spans="1:31" ht="189" customHeight="1" x14ac:dyDescent="0.4">
      <c r="A920" s="29" t="s">
        <v>3855</v>
      </c>
      <c r="B920" s="29"/>
      <c r="C920" s="29"/>
      <c r="D920" s="29" t="s">
        <v>3856</v>
      </c>
      <c r="E920" s="29" t="s">
        <v>3857</v>
      </c>
      <c r="F920" s="29" t="s">
        <v>3858</v>
      </c>
      <c r="G920" s="35"/>
      <c r="H920" s="35" t="s">
        <v>151</v>
      </c>
      <c r="I920" s="29" t="s">
        <v>3855</v>
      </c>
      <c r="J920" s="37"/>
      <c r="K920" s="38"/>
      <c r="L920" s="38"/>
      <c r="M920" s="36" t="s">
        <v>60</v>
      </c>
      <c r="N920" s="15" t="s">
        <v>152</v>
      </c>
      <c r="O920" s="36" t="s">
        <v>162</v>
      </c>
      <c r="P920" s="36" t="str">
        <f t="shared" si="28"/>
        <v>WMTS_臺灣通用電子地圖(套疊等高線)</v>
      </c>
      <c r="Q920" s="29" t="s">
        <v>3858</v>
      </c>
      <c r="R920" s="29" t="str">
        <f t="shared" si="29"/>
        <v>2dms_wmts_v1_EMAP15</v>
      </c>
      <c r="S920" s="39" t="s">
        <v>155</v>
      </c>
      <c r="U920" s="27" t="str">
        <f>_xlfn.XLOOKUP(表格1[[#This Row],[服務類別(英)]],參考2_服務標準對照!$B:$B,參考2_服務標準對照!$C:$C,"")&amp;""</f>
        <v>OGC</v>
      </c>
      <c r="V920" s="29" t="s">
        <v>7</v>
      </c>
      <c r="W920" s="29" t="s">
        <v>163</v>
      </c>
      <c r="X920" s="29" t="s">
        <v>81</v>
      </c>
      <c r="Y920" s="36" t="s">
        <v>83</v>
      </c>
      <c r="Z920" s="36" t="s">
        <v>157</v>
      </c>
      <c r="AA920" s="36" t="s">
        <v>3839</v>
      </c>
      <c r="AB920" s="36"/>
      <c r="AC920" s="36"/>
      <c r="AD920" s="29" t="s">
        <v>119</v>
      </c>
      <c r="AE920" s="36" t="str">
        <f>_xlfn.XLOOKUP(表格1[[#This Row],[唯一識別碼]],API清冊0707!B:B,API清冊0707!T:T,"")&amp;""</f>
        <v>無下拉選單</v>
      </c>
    </row>
    <row r="921" spans="1:31" ht="189" customHeight="1" x14ac:dyDescent="0.4">
      <c r="A921" s="29" t="s">
        <v>3859</v>
      </c>
      <c r="B921" s="29"/>
      <c r="C921" s="29"/>
      <c r="D921" s="29" t="s">
        <v>3860</v>
      </c>
      <c r="E921" s="29" t="s">
        <v>3861</v>
      </c>
      <c r="F921" s="29" t="s">
        <v>3862</v>
      </c>
      <c r="G921" s="35"/>
      <c r="H921" s="35" t="s">
        <v>151</v>
      </c>
      <c r="I921" s="29" t="s">
        <v>3859</v>
      </c>
      <c r="J921" s="37"/>
      <c r="K921" s="38"/>
      <c r="L921" s="38"/>
      <c r="M921" s="36" t="s">
        <v>60</v>
      </c>
      <c r="N921" s="15" t="s">
        <v>152</v>
      </c>
      <c r="O921" s="36" t="s">
        <v>162</v>
      </c>
      <c r="P921" s="36" t="str">
        <f t="shared" si="28"/>
        <v>WMTS_臺灣通用電子地圖_道路圖層(透明)</v>
      </c>
      <c r="Q921" s="29" t="s">
        <v>3862</v>
      </c>
      <c r="R921" s="29" t="str">
        <f t="shared" si="29"/>
        <v>2dms_wmts_v1_EMAP12</v>
      </c>
      <c r="S921" s="39" t="s">
        <v>155</v>
      </c>
      <c r="U921" s="27" t="str">
        <f>_xlfn.XLOOKUP(表格1[[#This Row],[服務類別(英)]],參考2_服務標準對照!$B:$B,參考2_服務標準對照!$C:$C,"")&amp;""</f>
        <v>OGC</v>
      </c>
      <c r="V921" s="29" t="s">
        <v>7</v>
      </c>
      <c r="W921" s="29" t="s">
        <v>163</v>
      </c>
      <c r="X921" s="29" t="s">
        <v>81</v>
      </c>
      <c r="Y921" s="36" t="s">
        <v>83</v>
      </c>
      <c r="Z921" s="36" t="s">
        <v>157</v>
      </c>
      <c r="AA921" s="36" t="s">
        <v>3839</v>
      </c>
      <c r="AB921" s="36"/>
      <c r="AC921" s="36"/>
      <c r="AD921" s="29" t="s">
        <v>119</v>
      </c>
      <c r="AE921" s="36" t="str">
        <f>_xlfn.XLOOKUP(表格1[[#This Row],[唯一識別碼]],API清冊0707!B:B,API清冊0707!T:T,"")&amp;""</f>
        <v>無下拉選單</v>
      </c>
    </row>
    <row r="922" spans="1:31" ht="189" customHeight="1" x14ac:dyDescent="0.4">
      <c r="A922" s="29" t="s">
        <v>3863</v>
      </c>
      <c r="B922" s="29"/>
      <c r="C922" s="29"/>
      <c r="D922" s="29" t="s">
        <v>3864</v>
      </c>
      <c r="E922" s="29" t="s">
        <v>3865</v>
      </c>
      <c r="F922" s="29" t="s">
        <v>3866</v>
      </c>
      <c r="G922" s="35"/>
      <c r="H922" s="35" t="s">
        <v>151</v>
      </c>
      <c r="I922" s="29" t="s">
        <v>3863</v>
      </c>
      <c r="J922" s="37"/>
      <c r="K922" s="38"/>
      <c r="L922" s="38"/>
      <c r="M922" s="36" t="s">
        <v>60</v>
      </c>
      <c r="N922" s="15" t="s">
        <v>152</v>
      </c>
      <c r="O922" s="36" t="s">
        <v>162</v>
      </c>
      <c r="P922" s="36" t="str">
        <f t="shared" si="28"/>
        <v>WMTS_臺灣通用電子地圖(灰階)</v>
      </c>
      <c r="Q922" s="29" t="s">
        <v>3866</v>
      </c>
      <c r="R922" s="29" t="str">
        <f t="shared" si="29"/>
        <v>2dms_wmts_v1_EMAP01</v>
      </c>
      <c r="S922" s="39" t="s">
        <v>155</v>
      </c>
      <c r="U922" s="27" t="str">
        <f>_xlfn.XLOOKUP(表格1[[#This Row],[服務類別(英)]],參考2_服務標準對照!$B:$B,參考2_服務標準對照!$C:$C,"")&amp;""</f>
        <v>OGC</v>
      </c>
      <c r="V922" s="29" t="s">
        <v>7</v>
      </c>
      <c r="W922" s="29" t="s">
        <v>163</v>
      </c>
      <c r="X922" s="29" t="s">
        <v>81</v>
      </c>
      <c r="Y922" s="36" t="s">
        <v>83</v>
      </c>
      <c r="Z922" s="36" t="s">
        <v>157</v>
      </c>
      <c r="AA922" s="36" t="s">
        <v>7</v>
      </c>
      <c r="AB922" s="36"/>
      <c r="AC922" s="36"/>
      <c r="AD922" s="29" t="s">
        <v>119</v>
      </c>
      <c r="AE922" s="36" t="str">
        <f>_xlfn.XLOOKUP(表格1[[#This Row],[唯一識別碼]],API清冊0707!B:B,API清冊0707!T:T,"")&amp;""</f>
        <v>無下拉選單</v>
      </c>
    </row>
    <row r="923" spans="1:31" ht="189" customHeight="1" x14ac:dyDescent="0.4">
      <c r="A923" s="29" t="s">
        <v>3867</v>
      </c>
      <c r="B923" s="29"/>
      <c r="C923" s="29"/>
      <c r="D923" s="29" t="s">
        <v>3868</v>
      </c>
      <c r="E923" s="29" t="s">
        <v>3869</v>
      </c>
      <c r="F923" s="29" t="s">
        <v>3870</v>
      </c>
      <c r="G923" s="35"/>
      <c r="H923" s="35" t="s">
        <v>151</v>
      </c>
      <c r="I923" s="29" t="s">
        <v>3867</v>
      </c>
      <c r="J923" s="37"/>
      <c r="K923" s="38"/>
      <c r="L923" s="38"/>
      <c r="M923" s="36" t="s">
        <v>60</v>
      </c>
      <c r="N923" s="15" t="s">
        <v>152</v>
      </c>
      <c r="O923" s="36" t="s">
        <v>162</v>
      </c>
      <c r="P923" s="36" t="str">
        <f t="shared" si="28"/>
        <v>WMTS_臺灣通用電子地圖(套疊等高線及門牌)</v>
      </c>
      <c r="Q923" s="29" t="s">
        <v>3870</v>
      </c>
      <c r="R923" s="29" t="str">
        <f t="shared" si="29"/>
        <v>2dms_wmts_v1_EMAP</v>
      </c>
      <c r="S923" s="39" t="s">
        <v>155</v>
      </c>
      <c r="U923" s="27" t="str">
        <f>_xlfn.XLOOKUP(表格1[[#This Row],[服務類別(英)]],參考2_服務標準對照!$B:$B,參考2_服務標準對照!$C:$C,"")&amp;""</f>
        <v>OGC</v>
      </c>
      <c r="V923" s="29" t="s">
        <v>7</v>
      </c>
      <c r="W923" s="29" t="s">
        <v>163</v>
      </c>
      <c r="X923" s="29" t="s">
        <v>81</v>
      </c>
      <c r="Y923" s="36" t="s">
        <v>83</v>
      </c>
      <c r="Z923" s="36" t="s">
        <v>157</v>
      </c>
      <c r="AA923" s="36" t="s">
        <v>3839</v>
      </c>
      <c r="AB923" s="36"/>
      <c r="AC923" s="36"/>
      <c r="AD923" s="29" t="s">
        <v>119</v>
      </c>
      <c r="AE923" s="36" t="str">
        <f>_xlfn.XLOOKUP(表格1[[#This Row],[唯一識別碼]],API清冊0707!B:B,API清冊0707!T:T,"")&amp;""</f>
        <v>無下拉選單</v>
      </c>
    </row>
    <row r="924" spans="1:31" ht="189" customHeight="1" x14ac:dyDescent="0.4">
      <c r="A924" s="29" t="s">
        <v>3871</v>
      </c>
      <c r="B924" s="29"/>
      <c r="C924" s="29"/>
      <c r="D924" s="29" t="s">
        <v>3872</v>
      </c>
      <c r="E924" s="29" t="s">
        <v>3873</v>
      </c>
      <c r="F924" s="29" t="s">
        <v>3874</v>
      </c>
      <c r="G924" s="35"/>
      <c r="H924" s="35" t="s">
        <v>151</v>
      </c>
      <c r="I924" s="29" t="s">
        <v>3871</v>
      </c>
      <c r="J924" s="37"/>
      <c r="K924" s="38"/>
      <c r="L924" s="38"/>
      <c r="M924" s="36" t="s">
        <v>60</v>
      </c>
      <c r="N924" s="15" t="s">
        <v>152</v>
      </c>
      <c r="O924" s="36" t="s">
        <v>162</v>
      </c>
      <c r="P924" s="36" t="str">
        <f t="shared" si="28"/>
        <v>WMTS_空載光達數值地形變異分析圖(0.5M門檻)</v>
      </c>
      <c r="Q924" s="29" t="s">
        <v>3874</v>
      </c>
      <c r="R924" s="29" t="str">
        <f t="shared" si="29"/>
        <v>2dms_wmts_v1_DDEM05</v>
      </c>
      <c r="S924" s="39" t="s">
        <v>155</v>
      </c>
      <c r="T924" s="27" t="s">
        <v>3875</v>
      </c>
      <c r="U924" s="27" t="str">
        <f>_xlfn.XLOOKUP(表格1[[#This Row],[服務類別(英)]],參考2_服務標準對照!$B:$B,參考2_服務標準對照!$C:$C,"")&amp;""</f>
        <v>OGC</v>
      </c>
      <c r="V924" s="29" t="s">
        <v>7</v>
      </c>
      <c r="W924" s="29" t="s">
        <v>163</v>
      </c>
      <c r="X924" s="29" t="s">
        <v>81</v>
      </c>
      <c r="Y924" s="36" t="s">
        <v>83</v>
      </c>
      <c r="Z924" s="36" t="s">
        <v>157</v>
      </c>
      <c r="AA924" s="36" t="s">
        <v>7</v>
      </c>
      <c r="AB924" s="36"/>
      <c r="AC924" s="36"/>
      <c r="AD924" s="29" t="s">
        <v>119</v>
      </c>
      <c r="AE924" s="36" t="str">
        <f>_xlfn.XLOOKUP(表格1[[#This Row],[唯一識別碼]],API清冊0707!B:B,API清冊0707!T:T,"")&amp;""</f>
        <v>無下拉選單</v>
      </c>
    </row>
    <row r="925" spans="1:31" ht="204.75" customHeight="1" x14ac:dyDescent="0.4">
      <c r="A925" s="29" t="s">
        <v>3876</v>
      </c>
      <c r="B925" s="29"/>
      <c r="C925" s="29"/>
      <c r="D925" s="29" t="s">
        <v>3877</v>
      </c>
      <c r="E925" s="29" t="s">
        <v>3878</v>
      </c>
      <c r="F925" s="29" t="s">
        <v>3879</v>
      </c>
      <c r="G925" s="35"/>
      <c r="H925" s="35" t="s">
        <v>151</v>
      </c>
      <c r="I925" s="29" t="s">
        <v>3876</v>
      </c>
      <c r="J925" s="37"/>
      <c r="K925" s="38"/>
      <c r="L925" s="38"/>
      <c r="M925" s="36" t="s">
        <v>60</v>
      </c>
      <c r="N925" s="15" t="s">
        <v>152</v>
      </c>
      <c r="O925" s="36" t="s">
        <v>162</v>
      </c>
      <c r="P925" s="36" t="str">
        <f t="shared" si="28"/>
        <v>WMTS_連鎖便利商店</v>
      </c>
      <c r="Q925" s="29" t="s">
        <v>3879</v>
      </c>
      <c r="R925" s="29" t="str">
        <f t="shared" si="29"/>
        <v>2dms_wmts_v1_ConvenienceStore</v>
      </c>
      <c r="S925" s="39" t="s">
        <v>155</v>
      </c>
      <c r="U925" s="27" t="str">
        <f>_xlfn.XLOOKUP(表格1[[#This Row],[服務類別(英)]],參考2_服務標準對照!$B:$B,參考2_服務標準對照!$C:$C,"")&amp;""</f>
        <v>OGC</v>
      </c>
      <c r="V925" s="29" t="s">
        <v>7</v>
      </c>
      <c r="W925" s="29" t="s">
        <v>163</v>
      </c>
      <c r="X925" s="29" t="s">
        <v>81</v>
      </c>
      <c r="Y925" s="36" t="s">
        <v>83</v>
      </c>
      <c r="Z925" s="36" t="s">
        <v>157</v>
      </c>
      <c r="AA925" s="36" t="s">
        <v>7</v>
      </c>
      <c r="AB925" s="36"/>
      <c r="AC925" s="36"/>
      <c r="AD925" s="29" t="s">
        <v>119</v>
      </c>
      <c r="AE925" s="36" t="str">
        <f>_xlfn.XLOOKUP(表格1[[#This Row],[唯一識別碼]],API清冊0707!B:B,API清冊0707!T:T,"")&amp;""</f>
        <v>無下拉選單</v>
      </c>
    </row>
    <row r="926" spans="1:31" ht="189" customHeight="1" x14ac:dyDescent="0.4">
      <c r="A926" s="29" t="s">
        <v>3880</v>
      </c>
      <c r="B926" s="29"/>
      <c r="C926" s="29"/>
      <c r="D926" s="29" t="s">
        <v>3881</v>
      </c>
      <c r="E926" s="29" t="s">
        <v>3882</v>
      </c>
      <c r="F926" s="29" t="s">
        <v>3883</v>
      </c>
      <c r="G926" s="35"/>
      <c r="H926" s="35" t="s">
        <v>151</v>
      </c>
      <c r="I926" s="29" t="s">
        <v>3880</v>
      </c>
      <c r="J926" s="37"/>
      <c r="K926" s="38"/>
      <c r="L926" s="38"/>
      <c r="M926" s="36" t="s">
        <v>60</v>
      </c>
      <c r="N926" s="15" t="s">
        <v>152</v>
      </c>
      <c r="O926" s="36" t="s">
        <v>162</v>
      </c>
      <c r="P926" s="36" t="str">
        <f t="shared" si="28"/>
        <v>WMTS_直轄市及縣市界線</v>
      </c>
      <c r="Q926" s="29" t="s">
        <v>3883</v>
      </c>
      <c r="R926" s="29" t="str">
        <f t="shared" si="29"/>
        <v>2dms_wmts_v1_CITY</v>
      </c>
      <c r="S926" s="39" t="s">
        <v>155</v>
      </c>
      <c r="U926" s="27" t="str">
        <f>_xlfn.XLOOKUP(表格1[[#This Row],[服務類別(英)]],參考2_服務標準對照!$B:$B,參考2_服務標準對照!$C:$C,"")&amp;""</f>
        <v>OGC</v>
      </c>
      <c r="V926" s="29" t="s">
        <v>7</v>
      </c>
      <c r="W926" s="29" t="s">
        <v>163</v>
      </c>
      <c r="X926" s="29" t="s">
        <v>81</v>
      </c>
      <c r="Y926" s="36" t="s">
        <v>83</v>
      </c>
      <c r="Z926" s="36" t="s">
        <v>157</v>
      </c>
      <c r="AA926" s="36" t="s">
        <v>164</v>
      </c>
      <c r="AB926" s="36"/>
      <c r="AC926" s="36"/>
      <c r="AD926" s="29" t="s">
        <v>119</v>
      </c>
      <c r="AE926" s="36" t="str">
        <f>_xlfn.XLOOKUP(表格1[[#This Row],[唯一識別碼]],API清冊0707!B:B,API清冊0707!T:T,"")&amp;""</f>
        <v>無下拉選單</v>
      </c>
    </row>
    <row r="927" spans="1:31" ht="189" customHeight="1" x14ac:dyDescent="0.4">
      <c r="A927" s="29" t="s">
        <v>3884</v>
      </c>
      <c r="B927" s="29"/>
      <c r="C927" s="29"/>
      <c r="D927" s="29" t="s">
        <v>3885</v>
      </c>
      <c r="E927" s="29" t="s">
        <v>3886</v>
      </c>
      <c r="F927" s="29" t="s">
        <v>3887</v>
      </c>
      <c r="G927" s="35"/>
      <c r="H927" s="35" t="s">
        <v>151</v>
      </c>
      <c r="I927" s="29" t="s">
        <v>3884</v>
      </c>
      <c r="J927" s="37"/>
      <c r="K927" s="38"/>
      <c r="L927" s="38"/>
      <c r="M927" s="36" t="s">
        <v>60</v>
      </c>
      <c r="N927" s="15" t="s">
        <v>152</v>
      </c>
      <c r="O927" s="36" t="s">
        <v>162</v>
      </c>
      <c r="P927" s="36" t="str">
        <f t="shared" si="28"/>
        <v>WMTS_臺灣通用電子地圖加值分棟建物框</v>
      </c>
      <c r="Q927" s="29" t="s">
        <v>3887</v>
      </c>
      <c r="R927" s="29" t="str">
        <f t="shared" si="29"/>
        <v>2dms_wmts_v1_BUILDX</v>
      </c>
      <c r="S927" s="39" t="s">
        <v>155</v>
      </c>
      <c r="U927" s="27" t="str">
        <f>_xlfn.XLOOKUP(表格1[[#This Row],[服務類別(英)]],參考2_服務標準對照!$B:$B,參考2_服務標準對照!$C:$C,"")&amp;""</f>
        <v>OGC</v>
      </c>
      <c r="V927" s="29" t="s">
        <v>7</v>
      </c>
      <c r="W927" s="29" t="s">
        <v>163</v>
      </c>
      <c r="X927" s="29" t="s">
        <v>81</v>
      </c>
      <c r="Y927" s="36" t="s">
        <v>83</v>
      </c>
      <c r="Z927" s="36" t="s">
        <v>157</v>
      </c>
      <c r="AA927" s="36" t="s">
        <v>7</v>
      </c>
      <c r="AB927" s="36"/>
      <c r="AC927" s="36"/>
      <c r="AD927" s="29" t="s">
        <v>119</v>
      </c>
      <c r="AE927" s="36" t="str">
        <f>_xlfn.XLOOKUP(表格1[[#This Row],[唯一識別碼]],API清冊0707!B:B,API清冊0707!T:T,"")&amp;""</f>
        <v>無下拉選單</v>
      </c>
    </row>
    <row r="928" spans="1:31" ht="189" customHeight="1" x14ac:dyDescent="0.4">
      <c r="A928" s="29" t="s">
        <v>3888</v>
      </c>
      <c r="B928" s="29"/>
      <c r="C928" s="29"/>
      <c r="D928" s="29" t="s">
        <v>3889</v>
      </c>
      <c r="E928" s="29" t="s">
        <v>3890</v>
      </c>
      <c r="F928" s="29" t="s">
        <v>3891</v>
      </c>
      <c r="G928" s="35"/>
      <c r="H928" s="35" t="s">
        <v>151</v>
      </c>
      <c r="I928" s="29" t="s">
        <v>3888</v>
      </c>
      <c r="J928" s="37"/>
      <c r="K928" s="38"/>
      <c r="L928" s="38"/>
      <c r="M928" s="36" t="s">
        <v>60</v>
      </c>
      <c r="N928" s="15" t="s">
        <v>152</v>
      </c>
      <c r="O928" s="36" t="s">
        <v>162</v>
      </c>
      <c r="P928" s="36" t="str">
        <f t="shared" si="28"/>
        <v>WMTS_1/50000基本地形圖</v>
      </c>
      <c r="Q928" s="29" t="s">
        <v>3891</v>
      </c>
      <c r="R928" s="29" t="str">
        <f t="shared" si="29"/>
        <v>2dms_wmts_v1_B50000</v>
      </c>
      <c r="S928" s="39" t="s">
        <v>155</v>
      </c>
      <c r="U928" s="27" t="str">
        <f>_xlfn.XLOOKUP(表格1[[#This Row],[服務類別(英)]],參考2_服務標準對照!$B:$B,參考2_服務標準對照!$C:$C,"")&amp;""</f>
        <v>OGC</v>
      </c>
      <c r="V928" s="29" t="s">
        <v>7</v>
      </c>
      <c r="W928" s="29" t="s">
        <v>163</v>
      </c>
      <c r="X928" s="29" t="s">
        <v>81</v>
      </c>
      <c r="Y928" s="36" t="s">
        <v>83</v>
      </c>
      <c r="Z928" s="36" t="s">
        <v>157</v>
      </c>
      <c r="AA928" s="36" t="s">
        <v>1159</v>
      </c>
      <c r="AB928" s="36"/>
      <c r="AC928" s="36"/>
      <c r="AD928" s="29" t="s">
        <v>119</v>
      </c>
      <c r="AE928" s="36" t="str">
        <f>_xlfn.XLOOKUP(表格1[[#This Row],[唯一識別碼]],API清冊0707!B:B,API清冊0707!T:T,"")&amp;""</f>
        <v>無下拉選單</v>
      </c>
    </row>
    <row r="929" spans="1:31" ht="189" customHeight="1" x14ac:dyDescent="0.4">
      <c r="A929" s="29" t="s">
        <v>3892</v>
      </c>
      <c r="B929" s="29"/>
      <c r="C929" s="29"/>
      <c r="D929" s="29" t="s">
        <v>3893</v>
      </c>
      <c r="E929" s="29" t="s">
        <v>3894</v>
      </c>
      <c r="F929" s="29" t="s">
        <v>3895</v>
      </c>
      <c r="G929" s="35"/>
      <c r="H929" s="35" t="s">
        <v>151</v>
      </c>
      <c r="I929" s="29" t="s">
        <v>3892</v>
      </c>
      <c r="J929" s="37"/>
      <c r="K929" s="38"/>
      <c r="L929" s="38"/>
      <c r="M929" s="36" t="s">
        <v>60</v>
      </c>
      <c r="N929" s="15" t="s">
        <v>152</v>
      </c>
      <c r="O929" s="36" t="s">
        <v>162</v>
      </c>
      <c r="P929" s="36" t="str">
        <f t="shared" si="28"/>
        <v>WMTS_1/5000基本地形圖</v>
      </c>
      <c r="Q929" s="29" t="s">
        <v>3895</v>
      </c>
      <c r="R929" s="29" t="str">
        <f t="shared" si="29"/>
        <v>2dms_wmts_v1_B5000</v>
      </c>
      <c r="S929" s="39" t="s">
        <v>155</v>
      </c>
      <c r="U929" s="27" t="str">
        <f>_xlfn.XLOOKUP(表格1[[#This Row],[服務類別(英)]],參考2_服務標準對照!$B:$B,參考2_服務標準對照!$C:$C,"")&amp;""</f>
        <v>OGC</v>
      </c>
      <c r="V929" s="29" t="s">
        <v>7</v>
      </c>
      <c r="W929" s="29" t="s">
        <v>163</v>
      </c>
      <c r="X929" s="29" t="s">
        <v>81</v>
      </c>
      <c r="Y929" s="36" t="s">
        <v>83</v>
      </c>
      <c r="Z929" s="36" t="s">
        <v>157</v>
      </c>
      <c r="AA929" s="36" t="s">
        <v>1159</v>
      </c>
      <c r="AB929" s="36"/>
      <c r="AC929" s="36"/>
      <c r="AD929" s="29" t="s">
        <v>119</v>
      </c>
      <c r="AE929" s="36" t="str">
        <f>_xlfn.XLOOKUP(表格1[[#This Row],[唯一識別碼]],API清冊0707!B:B,API清冊0707!T:T,"")&amp;""</f>
        <v>無下拉選單</v>
      </c>
    </row>
    <row r="930" spans="1:31" ht="189" customHeight="1" x14ac:dyDescent="0.4">
      <c r="A930" s="29" t="s">
        <v>3896</v>
      </c>
      <c r="B930" s="29"/>
      <c r="C930" s="29"/>
      <c r="D930" s="29" t="s">
        <v>3897</v>
      </c>
      <c r="E930" s="29" t="s">
        <v>3898</v>
      </c>
      <c r="F930" s="29" t="s">
        <v>3899</v>
      </c>
      <c r="G930" s="35"/>
      <c r="H930" s="35" t="s">
        <v>151</v>
      </c>
      <c r="I930" s="29" t="s">
        <v>3896</v>
      </c>
      <c r="J930" s="37"/>
      <c r="K930" s="38"/>
      <c r="L930" s="38"/>
      <c r="M930" s="36" t="s">
        <v>60</v>
      </c>
      <c r="N930" s="15" t="s">
        <v>152</v>
      </c>
      <c r="O930" s="36" t="s">
        <v>162</v>
      </c>
      <c r="P930" s="36" t="str">
        <f t="shared" si="28"/>
        <v>WMTS_1/25000基本地形圖</v>
      </c>
      <c r="Q930" s="29" t="s">
        <v>3899</v>
      </c>
      <c r="R930" s="29" t="str">
        <f t="shared" si="29"/>
        <v>2dms_wmts_v1_B25000</v>
      </c>
      <c r="S930" s="39" t="s">
        <v>155</v>
      </c>
      <c r="U930" s="27" t="str">
        <f>_xlfn.XLOOKUP(表格1[[#This Row],[服務類別(英)]],參考2_服務標準對照!$B:$B,參考2_服務標準對照!$C:$C,"")&amp;""</f>
        <v>OGC</v>
      </c>
      <c r="V930" s="29" t="s">
        <v>7</v>
      </c>
      <c r="W930" s="29" t="s">
        <v>163</v>
      </c>
      <c r="X930" s="29" t="s">
        <v>81</v>
      </c>
      <c r="Y930" s="36" t="s">
        <v>83</v>
      </c>
      <c r="Z930" s="36" t="s">
        <v>157</v>
      </c>
      <c r="AA930" s="36" t="s">
        <v>1159</v>
      </c>
      <c r="AB930" s="36"/>
      <c r="AC930" s="36"/>
      <c r="AD930" s="29" t="s">
        <v>119</v>
      </c>
      <c r="AE930" s="36" t="str">
        <f>_xlfn.XLOOKUP(表格1[[#This Row],[唯一識別碼]],API清冊0707!B:B,API清冊0707!T:T,"")&amp;""</f>
        <v>無下拉選單</v>
      </c>
    </row>
    <row r="931" spans="1:31" ht="189" customHeight="1" x14ac:dyDescent="0.4">
      <c r="A931" s="29" t="s">
        <v>3900</v>
      </c>
      <c r="B931" s="29"/>
      <c r="C931" s="29"/>
      <c r="D931" s="29" t="s">
        <v>3901</v>
      </c>
      <c r="E931" s="29" t="s">
        <v>3902</v>
      </c>
      <c r="F931" s="29" t="s">
        <v>3903</v>
      </c>
      <c r="G931" s="35"/>
      <c r="H931" s="35" t="s">
        <v>151</v>
      </c>
      <c r="I931" s="29" t="s">
        <v>3900</v>
      </c>
      <c r="J931" s="37"/>
      <c r="K931" s="38"/>
      <c r="L931" s="38"/>
      <c r="M931" s="36" t="s">
        <v>60</v>
      </c>
      <c r="N931" s="15" t="s">
        <v>152</v>
      </c>
      <c r="O931" s="36" t="s">
        <v>162</v>
      </c>
      <c r="P931" s="36" t="str">
        <f t="shared" si="28"/>
        <v>WMTS_1/100000基本地形圖</v>
      </c>
      <c r="Q931" s="29" t="s">
        <v>3903</v>
      </c>
      <c r="R931" s="29" t="str">
        <f t="shared" si="29"/>
        <v>2dms_wmts_v1_B100000</v>
      </c>
      <c r="S931" s="39" t="s">
        <v>155</v>
      </c>
      <c r="U931" s="27" t="str">
        <f>_xlfn.XLOOKUP(表格1[[#This Row],[服務類別(英)]],參考2_服務標準對照!$B:$B,參考2_服務標準對照!$C:$C,"")&amp;""</f>
        <v>OGC</v>
      </c>
      <c r="V931" s="29" t="s">
        <v>7</v>
      </c>
      <c r="W931" s="29" t="s">
        <v>163</v>
      </c>
      <c r="X931" s="29" t="s">
        <v>81</v>
      </c>
      <c r="Y931" s="36" t="s">
        <v>83</v>
      </c>
      <c r="Z931" s="36" t="s">
        <v>157</v>
      </c>
      <c r="AA931" s="36" t="s">
        <v>1159</v>
      </c>
      <c r="AB931" s="36"/>
      <c r="AC931" s="36"/>
      <c r="AD931" s="29" t="s">
        <v>119</v>
      </c>
      <c r="AE931" s="36" t="str">
        <f>_xlfn.XLOOKUP(表格1[[#This Row],[唯一識別碼]],API清冊0707!B:B,API清冊0707!T:T,"")&amp;""</f>
        <v>無下拉選單</v>
      </c>
    </row>
    <row r="932" spans="1:31" ht="204.75" customHeight="1" x14ac:dyDescent="0.4">
      <c r="A932" s="29" t="s">
        <v>3904</v>
      </c>
      <c r="B932" s="29"/>
      <c r="C932" s="29"/>
      <c r="D932" s="29" t="s">
        <v>3905</v>
      </c>
      <c r="E932" s="29" t="s">
        <v>3906</v>
      </c>
      <c r="F932" s="29" t="s">
        <v>3907</v>
      </c>
      <c r="G932" s="35"/>
      <c r="H932" s="35" t="s">
        <v>151</v>
      </c>
      <c r="I932" s="29" t="s">
        <v>3904</v>
      </c>
      <c r="J932" s="37"/>
      <c r="K932" s="38"/>
      <c r="L932" s="38"/>
      <c r="M932" s="36" t="s">
        <v>60</v>
      </c>
      <c r="N932" s="15" t="s">
        <v>152</v>
      </c>
      <c r="O932" s="36" t="s">
        <v>162</v>
      </c>
      <c r="P932" s="36" t="str">
        <f t="shared" si="28"/>
        <v>WMTS_航照影像_馬太鞍溪事件_災前(113-114)</v>
      </c>
      <c r="Q932" s="29" t="s">
        <v>3907</v>
      </c>
      <c r="R932" s="29" t="str">
        <f t="shared" si="29"/>
        <v>2dms_wmts_v1_Asrs2025ortho</v>
      </c>
      <c r="S932" s="39" t="s">
        <v>155</v>
      </c>
      <c r="U932" s="27" t="str">
        <f>_xlfn.XLOOKUP(表格1[[#This Row],[服務類別(英)]],參考2_服務標準對照!$B:$B,參考2_服務標準對照!$C:$C,"")&amp;""</f>
        <v>OGC</v>
      </c>
      <c r="V932" s="29" t="s">
        <v>7</v>
      </c>
      <c r="W932" s="29" t="s">
        <v>163</v>
      </c>
      <c r="X932" s="29" t="s">
        <v>81</v>
      </c>
      <c r="Y932" s="36" t="s">
        <v>83</v>
      </c>
      <c r="Z932" s="36" t="s">
        <v>157</v>
      </c>
      <c r="AA932" s="36" t="s">
        <v>173</v>
      </c>
      <c r="AB932" s="36"/>
      <c r="AC932" s="36"/>
      <c r="AD932" s="29" t="s">
        <v>119</v>
      </c>
      <c r="AE932" s="36" t="str">
        <f>_xlfn.XLOOKUP(表格1[[#This Row],[唯一識別碼]],API清冊0707!B:B,API清冊0707!T:T,"")&amp;""</f>
        <v>無下拉選單</v>
      </c>
    </row>
    <row r="933" spans="1:31" ht="204.75" customHeight="1" x14ac:dyDescent="0.4">
      <c r="A933" s="29" t="s">
        <v>3908</v>
      </c>
      <c r="B933" s="29"/>
      <c r="C933" s="29"/>
      <c r="D933" s="29" t="s">
        <v>3909</v>
      </c>
      <c r="E933" s="29" t="s">
        <v>3910</v>
      </c>
      <c r="F933" s="29" t="s">
        <v>3911</v>
      </c>
      <c r="G933" s="35"/>
      <c r="H933" s="35" t="s">
        <v>151</v>
      </c>
      <c r="I933" s="29" t="s">
        <v>3908</v>
      </c>
      <c r="J933" s="37"/>
      <c r="K933" s="38"/>
      <c r="L933" s="38"/>
      <c r="M933" s="36" t="s">
        <v>60</v>
      </c>
      <c r="N933" s="15" t="s">
        <v>152</v>
      </c>
      <c r="O933" s="36" t="s">
        <v>162</v>
      </c>
      <c r="P933" s="36" t="str">
        <f t="shared" si="28"/>
        <v>WMTS_航照影像_馬太鞍溪事件_1141116_8</v>
      </c>
      <c r="Q933" s="29" t="s">
        <v>3911</v>
      </c>
      <c r="R933" s="29" t="str">
        <f t="shared" si="29"/>
        <v>2dms_wmts_v1_Asrs202511168</v>
      </c>
      <c r="S933" s="39" t="s">
        <v>155</v>
      </c>
      <c r="U933" s="27" t="str">
        <f>_xlfn.XLOOKUP(表格1[[#This Row],[服務類別(英)]],參考2_服務標準對照!$B:$B,參考2_服務標準對照!$C:$C,"")&amp;""</f>
        <v>OGC</v>
      </c>
      <c r="V933" s="29" t="s">
        <v>7</v>
      </c>
      <c r="W933" s="29" t="s">
        <v>163</v>
      </c>
      <c r="X933" s="29" t="s">
        <v>81</v>
      </c>
      <c r="Y933" s="36" t="s">
        <v>83</v>
      </c>
      <c r="Z933" s="36" t="s">
        <v>157</v>
      </c>
      <c r="AA933" s="36" t="s">
        <v>173</v>
      </c>
      <c r="AB933" s="36"/>
      <c r="AC933" s="36"/>
      <c r="AD933" s="29" t="s">
        <v>119</v>
      </c>
      <c r="AE933" s="36" t="str">
        <f>_xlfn.XLOOKUP(表格1[[#This Row],[唯一識別碼]],API清冊0707!B:B,API清冊0707!T:T,"")&amp;""</f>
        <v>無下拉選單</v>
      </c>
    </row>
    <row r="934" spans="1:31" ht="204.75" customHeight="1" x14ac:dyDescent="0.4">
      <c r="A934" s="29" t="s">
        <v>3912</v>
      </c>
      <c r="B934" s="29"/>
      <c r="C934" s="29"/>
      <c r="D934" s="29" t="s">
        <v>3913</v>
      </c>
      <c r="E934" s="29" t="s">
        <v>3914</v>
      </c>
      <c r="F934" s="29" t="s">
        <v>3915</v>
      </c>
      <c r="G934" s="35"/>
      <c r="H934" s="35" t="s">
        <v>151</v>
      </c>
      <c r="I934" s="29" t="s">
        <v>3912</v>
      </c>
      <c r="J934" s="37"/>
      <c r="K934" s="38"/>
      <c r="L934" s="38"/>
      <c r="M934" s="36" t="s">
        <v>60</v>
      </c>
      <c r="N934" s="15" t="s">
        <v>152</v>
      </c>
      <c r="O934" s="36" t="s">
        <v>162</v>
      </c>
      <c r="P934" s="36" t="str">
        <f t="shared" si="28"/>
        <v>WMTS_航照影像_馬太鞍溪事件_1141116_7</v>
      </c>
      <c r="Q934" s="29" t="s">
        <v>3915</v>
      </c>
      <c r="R934" s="29" t="str">
        <f t="shared" si="29"/>
        <v>2dms_wmts_v1_Asrs202511167</v>
      </c>
      <c r="S934" s="39" t="s">
        <v>155</v>
      </c>
      <c r="U934" s="27" t="str">
        <f>_xlfn.XLOOKUP(表格1[[#This Row],[服務類別(英)]],參考2_服務標準對照!$B:$B,參考2_服務標準對照!$C:$C,"")&amp;""</f>
        <v>OGC</v>
      </c>
      <c r="V934" s="29" t="s">
        <v>7</v>
      </c>
      <c r="W934" s="29" t="s">
        <v>163</v>
      </c>
      <c r="X934" s="29" t="s">
        <v>81</v>
      </c>
      <c r="Y934" s="36" t="s">
        <v>83</v>
      </c>
      <c r="Z934" s="36" t="s">
        <v>157</v>
      </c>
      <c r="AA934" s="36" t="s">
        <v>173</v>
      </c>
      <c r="AB934" s="36"/>
      <c r="AC934" s="36"/>
      <c r="AD934" s="29" t="s">
        <v>119</v>
      </c>
      <c r="AE934" s="36" t="str">
        <f>_xlfn.XLOOKUP(表格1[[#This Row],[唯一識別碼]],API清冊0707!B:B,API清冊0707!T:T,"")&amp;""</f>
        <v>無下拉選單</v>
      </c>
    </row>
    <row r="935" spans="1:31" ht="204.75" customHeight="1" x14ac:dyDescent="0.4">
      <c r="A935" s="29" t="s">
        <v>3916</v>
      </c>
      <c r="B935" s="29"/>
      <c r="C935" s="29"/>
      <c r="D935" s="29" t="s">
        <v>3917</v>
      </c>
      <c r="E935" s="29" t="s">
        <v>3918</v>
      </c>
      <c r="F935" s="29" t="s">
        <v>3919</v>
      </c>
      <c r="G935" s="35"/>
      <c r="H935" s="35" t="s">
        <v>151</v>
      </c>
      <c r="I935" s="29" t="s">
        <v>3916</v>
      </c>
      <c r="J935" s="37"/>
      <c r="K935" s="38"/>
      <c r="L935" s="38"/>
      <c r="M935" s="36" t="s">
        <v>60</v>
      </c>
      <c r="N935" s="15" t="s">
        <v>152</v>
      </c>
      <c r="O935" s="36" t="s">
        <v>162</v>
      </c>
      <c r="P935" s="36" t="str">
        <f t="shared" si="28"/>
        <v>WMTS_航照影像_馬太鞍溪事件_1141116_6</v>
      </c>
      <c r="Q935" s="29" t="s">
        <v>3919</v>
      </c>
      <c r="R935" s="29" t="str">
        <f t="shared" si="29"/>
        <v>2dms_wmts_v1_Asrs202511166</v>
      </c>
      <c r="S935" s="39" t="s">
        <v>155</v>
      </c>
      <c r="U935" s="27" t="str">
        <f>_xlfn.XLOOKUP(表格1[[#This Row],[服務類別(英)]],參考2_服務標準對照!$B:$B,參考2_服務標準對照!$C:$C,"")&amp;""</f>
        <v>OGC</v>
      </c>
      <c r="V935" s="29" t="s">
        <v>7</v>
      </c>
      <c r="W935" s="29" t="s">
        <v>163</v>
      </c>
      <c r="X935" s="29" t="s">
        <v>81</v>
      </c>
      <c r="Y935" s="36" t="s">
        <v>83</v>
      </c>
      <c r="Z935" s="36" t="s">
        <v>157</v>
      </c>
      <c r="AA935" s="36" t="s">
        <v>173</v>
      </c>
      <c r="AB935" s="36"/>
      <c r="AC935" s="36"/>
      <c r="AD935" s="29" t="s">
        <v>119</v>
      </c>
      <c r="AE935" s="36" t="str">
        <f>_xlfn.XLOOKUP(表格1[[#This Row],[唯一識別碼]],API清冊0707!B:B,API清冊0707!T:T,"")&amp;""</f>
        <v>無下拉選單</v>
      </c>
    </row>
    <row r="936" spans="1:31" ht="204.75" customHeight="1" x14ac:dyDescent="0.4">
      <c r="A936" s="29" t="s">
        <v>3920</v>
      </c>
      <c r="B936" s="29"/>
      <c r="C936" s="29"/>
      <c r="D936" s="29" t="s">
        <v>3921</v>
      </c>
      <c r="E936" s="29" t="s">
        <v>3922</v>
      </c>
      <c r="F936" s="29" t="s">
        <v>3923</v>
      </c>
      <c r="G936" s="35"/>
      <c r="H936" s="35" t="s">
        <v>151</v>
      </c>
      <c r="I936" s="29" t="s">
        <v>3920</v>
      </c>
      <c r="J936" s="37"/>
      <c r="K936" s="38"/>
      <c r="L936" s="38"/>
      <c r="M936" s="36" t="s">
        <v>60</v>
      </c>
      <c r="N936" s="15" t="s">
        <v>152</v>
      </c>
      <c r="O936" s="36" t="s">
        <v>162</v>
      </c>
      <c r="P936" s="36" t="str">
        <f t="shared" si="28"/>
        <v>WMTS_航照影像_馬太鞍溪事件_1141116_5</v>
      </c>
      <c r="Q936" s="29" t="s">
        <v>3923</v>
      </c>
      <c r="R936" s="29" t="str">
        <f t="shared" si="29"/>
        <v>2dms_wmts_v1_Asrs202511165</v>
      </c>
      <c r="S936" s="39" t="s">
        <v>155</v>
      </c>
      <c r="U936" s="27" t="str">
        <f>_xlfn.XLOOKUP(表格1[[#This Row],[服務類別(英)]],參考2_服務標準對照!$B:$B,參考2_服務標準對照!$C:$C,"")&amp;""</f>
        <v>OGC</v>
      </c>
      <c r="V936" s="29" t="s">
        <v>7</v>
      </c>
      <c r="W936" s="29" t="s">
        <v>163</v>
      </c>
      <c r="X936" s="29" t="s">
        <v>81</v>
      </c>
      <c r="Y936" s="36" t="s">
        <v>83</v>
      </c>
      <c r="Z936" s="36" t="s">
        <v>157</v>
      </c>
      <c r="AA936" s="36" t="s">
        <v>173</v>
      </c>
      <c r="AB936" s="36"/>
      <c r="AC936" s="36"/>
      <c r="AD936" s="29" t="s">
        <v>119</v>
      </c>
      <c r="AE936" s="36" t="str">
        <f>_xlfn.XLOOKUP(表格1[[#This Row],[唯一識別碼]],API清冊0707!B:B,API清冊0707!T:T,"")&amp;""</f>
        <v>無下拉選單</v>
      </c>
    </row>
    <row r="937" spans="1:31" ht="204.75" customHeight="1" x14ac:dyDescent="0.4">
      <c r="A937" s="29" t="s">
        <v>3924</v>
      </c>
      <c r="B937" s="29"/>
      <c r="C937" s="29"/>
      <c r="D937" s="29" t="s">
        <v>3925</v>
      </c>
      <c r="E937" s="29" t="s">
        <v>3926</v>
      </c>
      <c r="F937" s="29" t="s">
        <v>3927</v>
      </c>
      <c r="G937" s="35"/>
      <c r="H937" s="35" t="s">
        <v>151</v>
      </c>
      <c r="I937" s="29" t="s">
        <v>3924</v>
      </c>
      <c r="J937" s="37"/>
      <c r="K937" s="38"/>
      <c r="L937" s="38"/>
      <c r="M937" s="36" t="s">
        <v>60</v>
      </c>
      <c r="N937" s="15" t="s">
        <v>152</v>
      </c>
      <c r="O937" s="36" t="s">
        <v>162</v>
      </c>
      <c r="P937" s="36" t="str">
        <f t="shared" si="28"/>
        <v>WMTS_航照影像_馬太鞍溪事件_1141116_4</v>
      </c>
      <c r="Q937" s="29" t="s">
        <v>3927</v>
      </c>
      <c r="R937" s="29" t="str">
        <f t="shared" si="29"/>
        <v>2dms_wmts_v1_Asrs202511164</v>
      </c>
      <c r="S937" s="39" t="s">
        <v>155</v>
      </c>
      <c r="U937" s="27" t="str">
        <f>_xlfn.XLOOKUP(表格1[[#This Row],[服務類別(英)]],參考2_服務標準對照!$B:$B,參考2_服務標準對照!$C:$C,"")&amp;""</f>
        <v>OGC</v>
      </c>
      <c r="V937" s="29" t="s">
        <v>7</v>
      </c>
      <c r="W937" s="29" t="s">
        <v>163</v>
      </c>
      <c r="X937" s="29" t="s">
        <v>81</v>
      </c>
      <c r="Y937" s="36" t="s">
        <v>83</v>
      </c>
      <c r="Z937" s="36" t="s">
        <v>157</v>
      </c>
      <c r="AA937" s="36" t="s">
        <v>173</v>
      </c>
      <c r="AB937" s="36"/>
      <c r="AC937" s="36"/>
      <c r="AD937" s="29" t="s">
        <v>119</v>
      </c>
      <c r="AE937" s="36" t="str">
        <f>_xlfn.XLOOKUP(表格1[[#This Row],[唯一識別碼]],API清冊0707!B:B,API清冊0707!T:T,"")&amp;""</f>
        <v>無下拉選單</v>
      </c>
    </row>
    <row r="938" spans="1:31" ht="204.75" customHeight="1" x14ac:dyDescent="0.4">
      <c r="A938" s="29" t="s">
        <v>3928</v>
      </c>
      <c r="B938" s="29"/>
      <c r="C938" s="29"/>
      <c r="D938" s="29" t="s">
        <v>3929</v>
      </c>
      <c r="E938" s="29" t="s">
        <v>3930</v>
      </c>
      <c r="F938" s="29" t="s">
        <v>3931</v>
      </c>
      <c r="G938" s="35"/>
      <c r="H938" s="35" t="s">
        <v>151</v>
      </c>
      <c r="I938" s="29" t="s">
        <v>3928</v>
      </c>
      <c r="J938" s="37"/>
      <c r="K938" s="38"/>
      <c r="L938" s="38"/>
      <c r="M938" s="36" t="s">
        <v>60</v>
      </c>
      <c r="N938" s="15" t="s">
        <v>152</v>
      </c>
      <c r="O938" s="36" t="s">
        <v>162</v>
      </c>
      <c r="P938" s="36" t="str">
        <f t="shared" si="28"/>
        <v>WMTS_航照影像_馬太鞍溪事件_1141116_3</v>
      </c>
      <c r="Q938" s="29" t="s">
        <v>3931</v>
      </c>
      <c r="R938" s="29" t="str">
        <f t="shared" si="29"/>
        <v>2dms_wmts_v1_Asrs202511163</v>
      </c>
      <c r="S938" s="39" t="s">
        <v>155</v>
      </c>
      <c r="U938" s="27" t="str">
        <f>_xlfn.XLOOKUP(表格1[[#This Row],[服務類別(英)]],參考2_服務標準對照!$B:$B,參考2_服務標準對照!$C:$C,"")&amp;""</f>
        <v>OGC</v>
      </c>
      <c r="V938" s="29" t="s">
        <v>7</v>
      </c>
      <c r="W938" s="29" t="s">
        <v>163</v>
      </c>
      <c r="X938" s="29" t="s">
        <v>81</v>
      </c>
      <c r="Y938" s="36" t="s">
        <v>83</v>
      </c>
      <c r="Z938" s="36" t="s">
        <v>157</v>
      </c>
      <c r="AA938" s="36" t="s">
        <v>173</v>
      </c>
      <c r="AB938" s="36"/>
      <c r="AC938" s="36"/>
      <c r="AD938" s="29" t="s">
        <v>119</v>
      </c>
      <c r="AE938" s="36" t="str">
        <f>_xlfn.XLOOKUP(表格1[[#This Row],[唯一識別碼]],API清冊0707!B:B,API清冊0707!T:T,"")&amp;""</f>
        <v>無下拉選單</v>
      </c>
    </row>
    <row r="939" spans="1:31" ht="204.75" customHeight="1" x14ac:dyDescent="0.4">
      <c r="A939" s="29" t="s">
        <v>3932</v>
      </c>
      <c r="B939" s="29"/>
      <c r="C939" s="29"/>
      <c r="D939" s="29" t="s">
        <v>3933</v>
      </c>
      <c r="E939" s="29" t="s">
        <v>3934</v>
      </c>
      <c r="F939" s="29" t="s">
        <v>3935</v>
      </c>
      <c r="G939" s="35"/>
      <c r="H939" s="35" t="s">
        <v>151</v>
      </c>
      <c r="I939" s="29" t="s">
        <v>3932</v>
      </c>
      <c r="J939" s="37"/>
      <c r="K939" s="38"/>
      <c r="L939" s="38"/>
      <c r="M939" s="36" t="s">
        <v>60</v>
      </c>
      <c r="N939" s="15" t="s">
        <v>152</v>
      </c>
      <c r="O939" s="36" t="s">
        <v>162</v>
      </c>
      <c r="P939" s="36" t="str">
        <f t="shared" si="28"/>
        <v>WMTS_航照影像_馬太鞍溪事件_1141116_2</v>
      </c>
      <c r="Q939" s="29" t="s">
        <v>3935</v>
      </c>
      <c r="R939" s="29" t="str">
        <f t="shared" si="29"/>
        <v>2dms_wmts_v1_Asrs202511162</v>
      </c>
      <c r="S939" s="39" t="s">
        <v>155</v>
      </c>
      <c r="U939" s="27" t="str">
        <f>_xlfn.XLOOKUP(表格1[[#This Row],[服務類別(英)]],參考2_服務標準對照!$B:$B,參考2_服務標準對照!$C:$C,"")&amp;""</f>
        <v>OGC</v>
      </c>
      <c r="V939" s="29" t="s">
        <v>7</v>
      </c>
      <c r="W939" s="29" t="s">
        <v>163</v>
      </c>
      <c r="X939" s="29" t="s">
        <v>81</v>
      </c>
      <c r="Y939" s="36" t="s">
        <v>83</v>
      </c>
      <c r="Z939" s="36" t="s">
        <v>157</v>
      </c>
      <c r="AA939" s="36" t="s">
        <v>173</v>
      </c>
      <c r="AB939" s="36"/>
      <c r="AC939" s="36"/>
      <c r="AD939" s="29" t="s">
        <v>119</v>
      </c>
      <c r="AE939" s="36" t="str">
        <f>_xlfn.XLOOKUP(表格1[[#This Row],[唯一識別碼]],API清冊0707!B:B,API清冊0707!T:T,"")&amp;""</f>
        <v>無下拉選單</v>
      </c>
    </row>
    <row r="940" spans="1:31" ht="204.75" customHeight="1" x14ac:dyDescent="0.4">
      <c r="A940" s="29" t="s">
        <v>3936</v>
      </c>
      <c r="B940" s="29"/>
      <c r="C940" s="29"/>
      <c r="D940" s="29" t="s">
        <v>3937</v>
      </c>
      <c r="E940" s="29" t="s">
        <v>3938</v>
      </c>
      <c r="F940" s="29" t="s">
        <v>3939</v>
      </c>
      <c r="G940" s="35"/>
      <c r="H940" s="35" t="s">
        <v>151</v>
      </c>
      <c r="I940" s="29" t="s">
        <v>3936</v>
      </c>
      <c r="J940" s="37"/>
      <c r="K940" s="38"/>
      <c r="L940" s="38"/>
      <c r="M940" s="36" t="s">
        <v>60</v>
      </c>
      <c r="N940" s="15" t="s">
        <v>152</v>
      </c>
      <c r="O940" s="36" t="s">
        <v>162</v>
      </c>
      <c r="P940" s="36" t="str">
        <f t="shared" si="28"/>
        <v>WMTS_航照影像_馬太鞍溪事件_1141116_1</v>
      </c>
      <c r="Q940" s="29" t="s">
        <v>3939</v>
      </c>
      <c r="R940" s="29" t="str">
        <f t="shared" si="29"/>
        <v>2dms_wmts_v1_Asrs202511161</v>
      </c>
      <c r="S940" s="39" t="s">
        <v>155</v>
      </c>
      <c r="U940" s="27" t="str">
        <f>_xlfn.XLOOKUP(表格1[[#This Row],[服務類別(英)]],參考2_服務標準對照!$B:$B,參考2_服務標準對照!$C:$C,"")&amp;""</f>
        <v>OGC</v>
      </c>
      <c r="V940" s="29" t="s">
        <v>7</v>
      </c>
      <c r="W940" s="29" t="s">
        <v>163</v>
      </c>
      <c r="X940" s="29" t="s">
        <v>81</v>
      </c>
      <c r="Y940" s="36" t="s">
        <v>83</v>
      </c>
      <c r="Z940" s="36" t="s">
        <v>157</v>
      </c>
      <c r="AA940" s="36" t="s">
        <v>173</v>
      </c>
      <c r="AB940" s="36"/>
      <c r="AC940" s="36"/>
      <c r="AD940" s="29" t="s">
        <v>119</v>
      </c>
      <c r="AE940" s="36" t="str">
        <f>_xlfn.XLOOKUP(表格1[[#This Row],[唯一識別碼]],API清冊0707!B:B,API清冊0707!T:T,"")&amp;""</f>
        <v>無下拉選單</v>
      </c>
    </row>
    <row r="941" spans="1:31" ht="204.75" customHeight="1" x14ac:dyDescent="0.4">
      <c r="A941" s="29" t="s">
        <v>3940</v>
      </c>
      <c r="B941" s="29"/>
      <c r="C941" s="29"/>
      <c r="D941" s="29" t="s">
        <v>3941</v>
      </c>
      <c r="E941" s="29" t="s">
        <v>3942</v>
      </c>
      <c r="F941" s="29" t="s">
        <v>3943</v>
      </c>
      <c r="G941" s="35"/>
      <c r="H941" s="35" t="s">
        <v>151</v>
      </c>
      <c r="I941" s="29" t="s">
        <v>3940</v>
      </c>
      <c r="J941" s="37"/>
      <c r="K941" s="38"/>
      <c r="L941" s="38"/>
      <c r="M941" s="36" t="s">
        <v>60</v>
      </c>
      <c r="N941" s="15" t="s">
        <v>152</v>
      </c>
      <c r="O941" s="36" t="s">
        <v>162</v>
      </c>
      <c r="P941" s="36" t="str">
        <f t="shared" si="28"/>
        <v>WMTS_航照影像_馬太鞍溪事件_1141013_9</v>
      </c>
      <c r="Q941" s="29" t="s">
        <v>3943</v>
      </c>
      <c r="R941" s="29" t="str">
        <f t="shared" si="29"/>
        <v>2dms_wmts_v1_Asrs202510139</v>
      </c>
      <c r="S941" s="39" t="s">
        <v>155</v>
      </c>
      <c r="U941" s="27" t="str">
        <f>_xlfn.XLOOKUP(表格1[[#This Row],[服務類別(英)]],參考2_服務標準對照!$B:$B,參考2_服務標準對照!$C:$C,"")&amp;""</f>
        <v>OGC</v>
      </c>
      <c r="V941" s="29" t="s">
        <v>7</v>
      </c>
      <c r="W941" s="29" t="s">
        <v>163</v>
      </c>
      <c r="X941" s="29" t="s">
        <v>81</v>
      </c>
      <c r="Y941" s="36" t="s">
        <v>83</v>
      </c>
      <c r="Z941" s="36" t="s">
        <v>157</v>
      </c>
      <c r="AA941" s="36" t="s">
        <v>173</v>
      </c>
      <c r="AB941" s="36"/>
      <c r="AC941" s="36"/>
      <c r="AD941" s="29" t="s">
        <v>119</v>
      </c>
      <c r="AE941" s="36" t="str">
        <f>_xlfn.XLOOKUP(表格1[[#This Row],[唯一識別碼]],API清冊0707!B:B,API清冊0707!T:T,"")&amp;""</f>
        <v>無下拉選單</v>
      </c>
    </row>
    <row r="942" spans="1:31" ht="204.75" customHeight="1" x14ac:dyDescent="0.4">
      <c r="A942" s="29" t="s">
        <v>3944</v>
      </c>
      <c r="B942" s="29"/>
      <c r="C942" s="29"/>
      <c r="D942" s="29" t="s">
        <v>3945</v>
      </c>
      <c r="E942" s="29" t="s">
        <v>3946</v>
      </c>
      <c r="F942" s="29" t="s">
        <v>3947</v>
      </c>
      <c r="G942" s="35"/>
      <c r="H942" s="35" t="s">
        <v>151</v>
      </c>
      <c r="I942" s="29" t="s">
        <v>3944</v>
      </c>
      <c r="J942" s="37"/>
      <c r="K942" s="38"/>
      <c r="L942" s="38"/>
      <c r="M942" s="36" t="s">
        <v>60</v>
      </c>
      <c r="N942" s="15" t="s">
        <v>152</v>
      </c>
      <c r="O942" s="36" t="s">
        <v>162</v>
      </c>
      <c r="P942" s="36" t="str">
        <f t="shared" si="28"/>
        <v>WMTS_航照影像_馬太鞍溪事件_1141013_8</v>
      </c>
      <c r="Q942" s="29" t="s">
        <v>3947</v>
      </c>
      <c r="R942" s="29" t="str">
        <f t="shared" si="29"/>
        <v>2dms_wmts_v1_Asrs202510138</v>
      </c>
      <c r="S942" s="39" t="s">
        <v>155</v>
      </c>
      <c r="U942" s="27" t="str">
        <f>_xlfn.XLOOKUP(表格1[[#This Row],[服務類別(英)]],參考2_服務標準對照!$B:$B,參考2_服務標準對照!$C:$C,"")&amp;""</f>
        <v>OGC</v>
      </c>
      <c r="V942" s="29" t="s">
        <v>7</v>
      </c>
      <c r="W942" s="29" t="s">
        <v>163</v>
      </c>
      <c r="X942" s="29" t="s">
        <v>81</v>
      </c>
      <c r="Y942" s="36" t="s">
        <v>83</v>
      </c>
      <c r="Z942" s="36" t="s">
        <v>157</v>
      </c>
      <c r="AA942" s="36" t="s">
        <v>173</v>
      </c>
      <c r="AB942" s="36"/>
      <c r="AC942" s="36"/>
      <c r="AD942" s="29" t="s">
        <v>119</v>
      </c>
      <c r="AE942" s="36" t="str">
        <f>_xlfn.XLOOKUP(表格1[[#This Row],[唯一識別碼]],API清冊0707!B:B,API清冊0707!T:T,"")&amp;""</f>
        <v>無下拉選單</v>
      </c>
    </row>
    <row r="943" spans="1:31" ht="204.75" customHeight="1" x14ac:dyDescent="0.4">
      <c r="A943" s="29" t="s">
        <v>3948</v>
      </c>
      <c r="B943" s="29"/>
      <c r="C943" s="29"/>
      <c r="D943" s="29" t="s">
        <v>3949</v>
      </c>
      <c r="E943" s="29" t="s">
        <v>3950</v>
      </c>
      <c r="F943" s="29" t="s">
        <v>3951</v>
      </c>
      <c r="G943" s="35"/>
      <c r="H943" s="35" t="s">
        <v>151</v>
      </c>
      <c r="I943" s="29" t="s">
        <v>3948</v>
      </c>
      <c r="J943" s="37"/>
      <c r="K943" s="38"/>
      <c r="L943" s="38"/>
      <c r="M943" s="36" t="s">
        <v>60</v>
      </c>
      <c r="N943" s="15" t="s">
        <v>152</v>
      </c>
      <c r="O943" s="36" t="s">
        <v>162</v>
      </c>
      <c r="P943" s="36" t="str">
        <f t="shared" si="28"/>
        <v>WMTS_航照影像_馬太鞍溪事件_1141013_7</v>
      </c>
      <c r="Q943" s="29" t="s">
        <v>3951</v>
      </c>
      <c r="R943" s="29" t="str">
        <f t="shared" si="29"/>
        <v>2dms_wmts_v1_Asrs202510137</v>
      </c>
      <c r="S943" s="39" t="s">
        <v>155</v>
      </c>
      <c r="U943" s="27" t="str">
        <f>_xlfn.XLOOKUP(表格1[[#This Row],[服務類別(英)]],參考2_服務標準對照!$B:$B,參考2_服務標準對照!$C:$C,"")&amp;""</f>
        <v>OGC</v>
      </c>
      <c r="V943" s="29" t="s">
        <v>7</v>
      </c>
      <c r="W943" s="29" t="s">
        <v>163</v>
      </c>
      <c r="X943" s="29" t="s">
        <v>81</v>
      </c>
      <c r="Y943" s="36" t="s">
        <v>83</v>
      </c>
      <c r="Z943" s="36" t="s">
        <v>157</v>
      </c>
      <c r="AA943" s="36" t="s">
        <v>173</v>
      </c>
      <c r="AB943" s="36"/>
      <c r="AC943" s="36"/>
      <c r="AD943" s="29" t="s">
        <v>119</v>
      </c>
      <c r="AE943" s="36" t="str">
        <f>_xlfn.XLOOKUP(表格1[[#This Row],[唯一識別碼]],API清冊0707!B:B,API清冊0707!T:T,"")&amp;""</f>
        <v>無下拉選單</v>
      </c>
    </row>
    <row r="944" spans="1:31" ht="204.75" customHeight="1" x14ac:dyDescent="0.4">
      <c r="A944" s="29" t="s">
        <v>3952</v>
      </c>
      <c r="B944" s="29"/>
      <c r="C944" s="29"/>
      <c r="D944" s="29" t="s">
        <v>3953</v>
      </c>
      <c r="E944" s="29" t="s">
        <v>3954</v>
      </c>
      <c r="F944" s="29" t="s">
        <v>3955</v>
      </c>
      <c r="G944" s="35"/>
      <c r="H944" s="35" t="s">
        <v>151</v>
      </c>
      <c r="I944" s="29" t="s">
        <v>3952</v>
      </c>
      <c r="J944" s="37"/>
      <c r="K944" s="38"/>
      <c r="L944" s="38"/>
      <c r="M944" s="36" t="s">
        <v>60</v>
      </c>
      <c r="N944" s="15" t="s">
        <v>152</v>
      </c>
      <c r="O944" s="36" t="s">
        <v>162</v>
      </c>
      <c r="P944" s="36" t="str">
        <f t="shared" si="28"/>
        <v>WMTS_航照影像_馬太鞍溪事件_1141013_6</v>
      </c>
      <c r="Q944" s="29" t="s">
        <v>3955</v>
      </c>
      <c r="R944" s="29" t="str">
        <f t="shared" si="29"/>
        <v>2dms_wmts_v1_Asrs202510136</v>
      </c>
      <c r="S944" s="39" t="s">
        <v>155</v>
      </c>
      <c r="U944" s="27" t="str">
        <f>_xlfn.XLOOKUP(表格1[[#This Row],[服務類別(英)]],參考2_服務標準對照!$B:$B,參考2_服務標準對照!$C:$C,"")&amp;""</f>
        <v>OGC</v>
      </c>
      <c r="V944" s="29" t="s">
        <v>7</v>
      </c>
      <c r="W944" s="29" t="s">
        <v>163</v>
      </c>
      <c r="X944" s="29" t="s">
        <v>81</v>
      </c>
      <c r="Y944" s="36" t="s">
        <v>83</v>
      </c>
      <c r="Z944" s="36" t="s">
        <v>157</v>
      </c>
      <c r="AA944" s="36" t="s">
        <v>173</v>
      </c>
      <c r="AB944" s="36"/>
      <c r="AC944" s="36"/>
      <c r="AD944" s="29" t="s">
        <v>119</v>
      </c>
      <c r="AE944" s="36" t="str">
        <f>_xlfn.XLOOKUP(表格1[[#This Row],[唯一識別碼]],API清冊0707!B:B,API清冊0707!T:T,"")&amp;""</f>
        <v>無下拉選單</v>
      </c>
    </row>
    <row r="945" spans="1:31" ht="204.75" customHeight="1" x14ac:dyDescent="0.4">
      <c r="A945" s="29" t="s">
        <v>3956</v>
      </c>
      <c r="B945" s="29"/>
      <c r="C945" s="29"/>
      <c r="D945" s="29" t="s">
        <v>3957</v>
      </c>
      <c r="E945" s="29" t="s">
        <v>3958</v>
      </c>
      <c r="F945" s="29" t="s">
        <v>3959</v>
      </c>
      <c r="G945" s="35"/>
      <c r="H945" s="35" t="s">
        <v>151</v>
      </c>
      <c r="I945" s="29" t="s">
        <v>3956</v>
      </c>
      <c r="J945" s="37"/>
      <c r="K945" s="38"/>
      <c r="L945" s="38"/>
      <c r="M945" s="36" t="s">
        <v>60</v>
      </c>
      <c r="N945" s="15" t="s">
        <v>152</v>
      </c>
      <c r="O945" s="36" t="s">
        <v>162</v>
      </c>
      <c r="P945" s="36" t="str">
        <f t="shared" si="28"/>
        <v>WMTS_航照影像_馬太鞍溪事件_1141013_5</v>
      </c>
      <c r="Q945" s="29" t="s">
        <v>3959</v>
      </c>
      <c r="R945" s="29" t="str">
        <f t="shared" si="29"/>
        <v>2dms_wmts_v1_Asrs202510135</v>
      </c>
      <c r="S945" s="39" t="s">
        <v>155</v>
      </c>
      <c r="U945" s="27" t="str">
        <f>_xlfn.XLOOKUP(表格1[[#This Row],[服務類別(英)]],參考2_服務標準對照!$B:$B,參考2_服務標準對照!$C:$C,"")&amp;""</f>
        <v>OGC</v>
      </c>
      <c r="V945" s="29" t="s">
        <v>7</v>
      </c>
      <c r="W945" s="29" t="s">
        <v>163</v>
      </c>
      <c r="X945" s="29" t="s">
        <v>81</v>
      </c>
      <c r="Y945" s="36" t="s">
        <v>83</v>
      </c>
      <c r="Z945" s="36" t="s">
        <v>157</v>
      </c>
      <c r="AA945" s="36" t="s">
        <v>173</v>
      </c>
      <c r="AB945" s="36"/>
      <c r="AC945" s="36"/>
      <c r="AD945" s="29" t="s">
        <v>119</v>
      </c>
      <c r="AE945" s="36" t="str">
        <f>_xlfn.XLOOKUP(表格1[[#This Row],[唯一識別碼]],API清冊0707!B:B,API清冊0707!T:T,"")&amp;""</f>
        <v>無下拉選單</v>
      </c>
    </row>
    <row r="946" spans="1:31" ht="204.75" customHeight="1" x14ac:dyDescent="0.4">
      <c r="A946" s="29" t="s">
        <v>3960</v>
      </c>
      <c r="B946" s="29"/>
      <c r="C946" s="29"/>
      <c r="D946" s="29" t="s">
        <v>3961</v>
      </c>
      <c r="E946" s="29" t="s">
        <v>3962</v>
      </c>
      <c r="F946" s="29" t="s">
        <v>3963</v>
      </c>
      <c r="G946" s="35"/>
      <c r="H946" s="35" t="s">
        <v>151</v>
      </c>
      <c r="I946" s="29" t="s">
        <v>3960</v>
      </c>
      <c r="J946" s="37"/>
      <c r="K946" s="38"/>
      <c r="L946" s="38"/>
      <c r="M946" s="36" t="s">
        <v>60</v>
      </c>
      <c r="N946" s="15" t="s">
        <v>152</v>
      </c>
      <c r="O946" s="36" t="s">
        <v>162</v>
      </c>
      <c r="P946" s="36" t="str">
        <f t="shared" si="28"/>
        <v>WMTS_航照影像_馬太鞍溪事件_1141013_4</v>
      </c>
      <c r="Q946" s="29" t="s">
        <v>3963</v>
      </c>
      <c r="R946" s="29" t="str">
        <f t="shared" si="29"/>
        <v>2dms_wmts_v1_Asrs202510134</v>
      </c>
      <c r="S946" s="39" t="s">
        <v>155</v>
      </c>
      <c r="U946" s="27" t="str">
        <f>_xlfn.XLOOKUP(表格1[[#This Row],[服務類別(英)]],參考2_服務標準對照!$B:$B,參考2_服務標準對照!$C:$C,"")&amp;""</f>
        <v>OGC</v>
      </c>
      <c r="V946" s="29" t="s">
        <v>7</v>
      </c>
      <c r="W946" s="29" t="s">
        <v>163</v>
      </c>
      <c r="X946" s="29" t="s">
        <v>81</v>
      </c>
      <c r="Y946" s="36" t="s">
        <v>83</v>
      </c>
      <c r="Z946" s="36" t="s">
        <v>157</v>
      </c>
      <c r="AA946" s="36" t="s">
        <v>173</v>
      </c>
      <c r="AB946" s="36"/>
      <c r="AC946" s="36"/>
      <c r="AD946" s="29" t="s">
        <v>119</v>
      </c>
      <c r="AE946" s="36" t="str">
        <f>_xlfn.XLOOKUP(表格1[[#This Row],[唯一識別碼]],API清冊0707!B:B,API清冊0707!T:T,"")&amp;""</f>
        <v>無下拉選單</v>
      </c>
    </row>
    <row r="947" spans="1:31" ht="204.75" customHeight="1" x14ac:dyDescent="0.4">
      <c r="A947" s="29" t="s">
        <v>3964</v>
      </c>
      <c r="B947" s="29"/>
      <c r="C947" s="29"/>
      <c r="D947" s="29" t="s">
        <v>3965</v>
      </c>
      <c r="E947" s="29" t="s">
        <v>3966</v>
      </c>
      <c r="F947" s="29" t="s">
        <v>3967</v>
      </c>
      <c r="G947" s="35"/>
      <c r="H947" s="35" t="s">
        <v>151</v>
      </c>
      <c r="I947" s="29" t="s">
        <v>3964</v>
      </c>
      <c r="J947" s="37"/>
      <c r="K947" s="38"/>
      <c r="L947" s="38"/>
      <c r="M947" s="36" t="s">
        <v>60</v>
      </c>
      <c r="N947" s="15" t="s">
        <v>152</v>
      </c>
      <c r="O947" s="36" t="s">
        <v>162</v>
      </c>
      <c r="P947" s="36" t="str">
        <f t="shared" si="28"/>
        <v>WMTS_航照影像_馬太鞍溪事件_1141013_3</v>
      </c>
      <c r="Q947" s="29" t="s">
        <v>3967</v>
      </c>
      <c r="R947" s="29" t="str">
        <f t="shared" si="29"/>
        <v>2dms_wmts_v1_Asrs202510133</v>
      </c>
      <c r="S947" s="39" t="s">
        <v>155</v>
      </c>
      <c r="U947" s="27" t="str">
        <f>_xlfn.XLOOKUP(表格1[[#This Row],[服務類別(英)]],參考2_服務標準對照!$B:$B,參考2_服務標準對照!$C:$C,"")&amp;""</f>
        <v>OGC</v>
      </c>
      <c r="V947" s="29" t="s">
        <v>7</v>
      </c>
      <c r="W947" s="29" t="s">
        <v>163</v>
      </c>
      <c r="X947" s="29" t="s">
        <v>81</v>
      </c>
      <c r="Y947" s="36" t="s">
        <v>83</v>
      </c>
      <c r="Z947" s="36" t="s">
        <v>157</v>
      </c>
      <c r="AA947" s="36" t="s">
        <v>173</v>
      </c>
      <c r="AB947" s="36"/>
      <c r="AC947" s="36"/>
      <c r="AD947" s="29" t="s">
        <v>119</v>
      </c>
      <c r="AE947" s="36" t="str">
        <f>_xlfn.XLOOKUP(表格1[[#This Row],[唯一識別碼]],API清冊0707!B:B,API清冊0707!T:T,"")&amp;""</f>
        <v>無下拉選單</v>
      </c>
    </row>
    <row r="948" spans="1:31" ht="204.75" customHeight="1" x14ac:dyDescent="0.4">
      <c r="A948" s="29" t="s">
        <v>3968</v>
      </c>
      <c r="B948" s="29"/>
      <c r="C948" s="29"/>
      <c r="D948" s="29" t="s">
        <v>3969</v>
      </c>
      <c r="E948" s="29" t="s">
        <v>3970</v>
      </c>
      <c r="F948" s="29" t="s">
        <v>3971</v>
      </c>
      <c r="G948" s="35"/>
      <c r="H948" s="35" t="s">
        <v>151</v>
      </c>
      <c r="I948" s="29" t="s">
        <v>3968</v>
      </c>
      <c r="J948" s="37"/>
      <c r="K948" s="38"/>
      <c r="L948" s="38"/>
      <c r="M948" s="36" t="s">
        <v>60</v>
      </c>
      <c r="N948" s="15" t="s">
        <v>152</v>
      </c>
      <c r="O948" s="36" t="s">
        <v>162</v>
      </c>
      <c r="P948" s="36" t="str">
        <f t="shared" si="28"/>
        <v>WMTS_航照影像_馬太鞍溪事件_1141013_2</v>
      </c>
      <c r="Q948" s="29" t="s">
        <v>3971</v>
      </c>
      <c r="R948" s="29" t="str">
        <f t="shared" si="29"/>
        <v>2dms_wmts_v1_Asrs202510132</v>
      </c>
      <c r="S948" s="39" t="s">
        <v>155</v>
      </c>
      <c r="U948" s="27" t="str">
        <f>_xlfn.XLOOKUP(表格1[[#This Row],[服務類別(英)]],參考2_服務標準對照!$B:$B,參考2_服務標準對照!$C:$C,"")&amp;""</f>
        <v>OGC</v>
      </c>
      <c r="V948" s="29" t="s">
        <v>7</v>
      </c>
      <c r="W948" s="29" t="s">
        <v>163</v>
      </c>
      <c r="X948" s="29" t="s">
        <v>81</v>
      </c>
      <c r="Y948" s="36" t="s">
        <v>83</v>
      </c>
      <c r="Z948" s="36" t="s">
        <v>157</v>
      </c>
      <c r="AA948" s="36" t="s">
        <v>173</v>
      </c>
      <c r="AB948" s="36"/>
      <c r="AC948" s="36"/>
      <c r="AD948" s="29" t="s">
        <v>119</v>
      </c>
      <c r="AE948" s="36" t="str">
        <f>_xlfn.XLOOKUP(表格1[[#This Row],[唯一識別碼]],API清冊0707!B:B,API清冊0707!T:T,"")&amp;""</f>
        <v>無下拉選單</v>
      </c>
    </row>
    <row r="949" spans="1:31" ht="204.75" customHeight="1" x14ac:dyDescent="0.4">
      <c r="A949" s="29" t="s">
        <v>3972</v>
      </c>
      <c r="B949" s="29"/>
      <c r="C949" s="29"/>
      <c r="D949" s="29" t="s">
        <v>3973</v>
      </c>
      <c r="E949" s="29" t="s">
        <v>3974</v>
      </c>
      <c r="F949" s="29" t="s">
        <v>3975</v>
      </c>
      <c r="G949" s="35"/>
      <c r="H949" s="35" t="s">
        <v>151</v>
      </c>
      <c r="I949" s="29" t="s">
        <v>3972</v>
      </c>
      <c r="J949" s="37"/>
      <c r="K949" s="38"/>
      <c r="L949" s="38"/>
      <c r="M949" s="36" t="s">
        <v>60</v>
      </c>
      <c r="N949" s="15" t="s">
        <v>152</v>
      </c>
      <c r="O949" s="36" t="s">
        <v>162</v>
      </c>
      <c r="P949" s="36" t="str">
        <f t="shared" si="28"/>
        <v>WMTS_航照影像_馬太鞍溪事件_1141013_1</v>
      </c>
      <c r="Q949" s="29" t="s">
        <v>3975</v>
      </c>
      <c r="R949" s="29" t="str">
        <f t="shared" si="29"/>
        <v>2dms_wmts_v1_Asrs202510131</v>
      </c>
      <c r="S949" s="39" t="s">
        <v>155</v>
      </c>
      <c r="U949" s="27" t="str">
        <f>_xlfn.XLOOKUP(表格1[[#This Row],[服務類別(英)]],參考2_服務標準對照!$B:$B,參考2_服務標準對照!$C:$C,"")&amp;""</f>
        <v>OGC</v>
      </c>
      <c r="V949" s="29" t="s">
        <v>7</v>
      </c>
      <c r="W949" s="29" t="s">
        <v>163</v>
      </c>
      <c r="X949" s="29" t="s">
        <v>81</v>
      </c>
      <c r="Y949" s="36" t="s">
        <v>83</v>
      </c>
      <c r="Z949" s="36" t="s">
        <v>157</v>
      </c>
      <c r="AA949" s="36" t="s">
        <v>173</v>
      </c>
      <c r="AB949" s="36"/>
      <c r="AC949" s="36"/>
      <c r="AD949" s="29" t="s">
        <v>119</v>
      </c>
      <c r="AE949" s="36" t="str">
        <f>_xlfn.XLOOKUP(表格1[[#This Row],[唯一識別碼]],API清冊0707!B:B,API清冊0707!T:T,"")&amp;""</f>
        <v>無下拉選單</v>
      </c>
    </row>
    <row r="950" spans="1:31" ht="204.75" customHeight="1" x14ac:dyDescent="0.4">
      <c r="A950" s="29" t="s">
        <v>3976</v>
      </c>
      <c r="B950" s="29"/>
      <c r="C950" s="29"/>
      <c r="D950" s="29" t="s">
        <v>3977</v>
      </c>
      <c r="E950" s="29" t="s">
        <v>3978</v>
      </c>
      <c r="F950" s="29" t="s">
        <v>3979</v>
      </c>
      <c r="G950" s="35"/>
      <c r="H950" s="35" t="s">
        <v>151</v>
      </c>
      <c r="I950" s="29" t="s">
        <v>3976</v>
      </c>
      <c r="J950" s="37"/>
      <c r="K950" s="38"/>
      <c r="L950" s="38"/>
      <c r="M950" s="36" t="s">
        <v>60</v>
      </c>
      <c r="N950" s="15" t="s">
        <v>152</v>
      </c>
      <c r="O950" s="36" t="s">
        <v>162</v>
      </c>
      <c r="P950" s="36" t="str">
        <f t="shared" si="28"/>
        <v>WMTS_航照影像_馬太鞍溪事件_1141007_3</v>
      </c>
      <c r="Q950" s="29" t="s">
        <v>3979</v>
      </c>
      <c r="R950" s="29" t="str">
        <f t="shared" si="29"/>
        <v>2dms_wmts_v1_Asrs202510073</v>
      </c>
      <c r="S950" s="39" t="s">
        <v>155</v>
      </c>
      <c r="U950" s="27" t="str">
        <f>_xlfn.XLOOKUP(表格1[[#This Row],[服務類別(英)]],參考2_服務標準對照!$B:$B,參考2_服務標準對照!$C:$C,"")&amp;""</f>
        <v>OGC</v>
      </c>
      <c r="V950" s="29" t="s">
        <v>7</v>
      </c>
      <c r="W950" s="29" t="s">
        <v>163</v>
      </c>
      <c r="X950" s="29" t="s">
        <v>81</v>
      </c>
      <c r="Y950" s="36" t="s">
        <v>83</v>
      </c>
      <c r="Z950" s="36" t="s">
        <v>157</v>
      </c>
      <c r="AA950" s="36" t="s">
        <v>173</v>
      </c>
      <c r="AB950" s="36"/>
      <c r="AC950" s="36"/>
      <c r="AD950" s="29" t="s">
        <v>119</v>
      </c>
      <c r="AE950" s="36" t="str">
        <f>_xlfn.XLOOKUP(表格1[[#This Row],[唯一識別碼]],API清冊0707!B:B,API清冊0707!T:T,"")&amp;""</f>
        <v>無下拉選單</v>
      </c>
    </row>
    <row r="951" spans="1:31" ht="204.75" customHeight="1" x14ac:dyDescent="0.4">
      <c r="A951" s="29" t="s">
        <v>3980</v>
      </c>
      <c r="B951" s="29"/>
      <c r="C951" s="29"/>
      <c r="D951" s="29" t="s">
        <v>3981</v>
      </c>
      <c r="E951" s="29" t="s">
        <v>3982</v>
      </c>
      <c r="F951" s="29" t="s">
        <v>3983</v>
      </c>
      <c r="G951" s="35"/>
      <c r="H951" s="35" t="s">
        <v>151</v>
      </c>
      <c r="I951" s="29" t="s">
        <v>3980</v>
      </c>
      <c r="J951" s="37"/>
      <c r="K951" s="38"/>
      <c r="L951" s="38"/>
      <c r="M951" s="36" t="s">
        <v>60</v>
      </c>
      <c r="N951" s="15" t="s">
        <v>152</v>
      </c>
      <c r="O951" s="36" t="s">
        <v>162</v>
      </c>
      <c r="P951" s="36" t="str">
        <f t="shared" ref="P951:P1014" si="30">IF(LEN(TRIM(F951))&gt;0,F951,E951)</f>
        <v>WMTS_航照影像_馬太鞍溪事件_1141007_2</v>
      </c>
      <c r="Q951" s="29" t="s">
        <v>3983</v>
      </c>
      <c r="R951" s="29" t="str">
        <f t="shared" ref="R951:R1014" si="31">D951</f>
        <v>2dms_wmts_v1_Asrs202510072</v>
      </c>
      <c r="S951" s="39" t="s">
        <v>155</v>
      </c>
      <c r="U951" s="27" t="str">
        <f>_xlfn.XLOOKUP(表格1[[#This Row],[服務類別(英)]],參考2_服務標準對照!$B:$B,參考2_服務標準對照!$C:$C,"")&amp;""</f>
        <v>OGC</v>
      </c>
      <c r="V951" s="29" t="s">
        <v>7</v>
      </c>
      <c r="W951" s="29" t="s">
        <v>163</v>
      </c>
      <c r="X951" s="29" t="s">
        <v>81</v>
      </c>
      <c r="Y951" s="36" t="s">
        <v>83</v>
      </c>
      <c r="Z951" s="36" t="s">
        <v>157</v>
      </c>
      <c r="AA951" s="36" t="s">
        <v>173</v>
      </c>
      <c r="AB951" s="36"/>
      <c r="AC951" s="36"/>
      <c r="AD951" s="29" t="s">
        <v>119</v>
      </c>
      <c r="AE951" s="36" t="str">
        <f>_xlfn.XLOOKUP(表格1[[#This Row],[唯一識別碼]],API清冊0707!B:B,API清冊0707!T:T,"")&amp;""</f>
        <v>無下拉選單</v>
      </c>
    </row>
    <row r="952" spans="1:31" ht="204.75" customHeight="1" x14ac:dyDescent="0.4">
      <c r="A952" s="29" t="s">
        <v>3984</v>
      </c>
      <c r="B952" s="29"/>
      <c r="C952" s="29"/>
      <c r="D952" s="29" t="s">
        <v>3985</v>
      </c>
      <c r="E952" s="29" t="s">
        <v>3986</v>
      </c>
      <c r="F952" s="29" t="s">
        <v>3987</v>
      </c>
      <c r="G952" s="35"/>
      <c r="H952" s="35" t="s">
        <v>151</v>
      </c>
      <c r="I952" s="29" t="s">
        <v>3984</v>
      </c>
      <c r="J952" s="37"/>
      <c r="K952" s="38"/>
      <c r="L952" s="38"/>
      <c r="M952" s="36" t="s">
        <v>60</v>
      </c>
      <c r="N952" s="15" t="s">
        <v>152</v>
      </c>
      <c r="O952" s="36" t="s">
        <v>162</v>
      </c>
      <c r="P952" s="36" t="str">
        <f t="shared" si="30"/>
        <v>WMTS_航照影像_馬太鞍溪事件_1141007_1</v>
      </c>
      <c r="Q952" s="29" t="s">
        <v>3987</v>
      </c>
      <c r="R952" s="29" t="str">
        <f t="shared" si="31"/>
        <v>2dms_wmts_v1_Asrs202510071</v>
      </c>
      <c r="S952" s="39" t="s">
        <v>155</v>
      </c>
      <c r="U952" s="27" t="str">
        <f>_xlfn.XLOOKUP(表格1[[#This Row],[服務類別(英)]],參考2_服務標準對照!$B:$B,參考2_服務標準對照!$C:$C,"")&amp;""</f>
        <v>OGC</v>
      </c>
      <c r="V952" s="29" t="s">
        <v>7</v>
      </c>
      <c r="W952" s="29" t="s">
        <v>163</v>
      </c>
      <c r="X952" s="29" t="s">
        <v>81</v>
      </c>
      <c r="Y952" s="36" t="s">
        <v>83</v>
      </c>
      <c r="Z952" s="36" t="s">
        <v>157</v>
      </c>
      <c r="AA952" s="36" t="s">
        <v>173</v>
      </c>
      <c r="AB952" s="36"/>
      <c r="AC952" s="36"/>
      <c r="AD952" s="29" t="s">
        <v>119</v>
      </c>
      <c r="AE952" s="36" t="str">
        <f>_xlfn.XLOOKUP(表格1[[#This Row],[唯一識別碼]],API清冊0707!B:B,API清冊0707!T:T,"")&amp;""</f>
        <v>無下拉選單</v>
      </c>
    </row>
    <row r="953" spans="1:31" ht="204.75" customHeight="1" x14ac:dyDescent="0.4">
      <c r="A953" s="29" t="s">
        <v>3988</v>
      </c>
      <c r="B953" s="29"/>
      <c r="C953" s="29"/>
      <c r="D953" s="29" t="s">
        <v>3989</v>
      </c>
      <c r="E953" s="29" t="s">
        <v>3990</v>
      </c>
      <c r="F953" s="29" t="s">
        <v>3991</v>
      </c>
      <c r="G953" s="35"/>
      <c r="H953" s="35" t="s">
        <v>151</v>
      </c>
      <c r="I953" s="29" t="s">
        <v>3988</v>
      </c>
      <c r="J953" s="37"/>
      <c r="K953" s="38"/>
      <c r="L953" s="38"/>
      <c r="M953" s="36" t="s">
        <v>60</v>
      </c>
      <c r="N953" s="15" t="s">
        <v>152</v>
      </c>
      <c r="O953" s="36" t="s">
        <v>162</v>
      </c>
      <c r="P953" s="36" t="str">
        <f t="shared" si="30"/>
        <v>WMTS_航照影像_馬太鞍溪事件_1141006_3</v>
      </c>
      <c r="Q953" s="29" t="s">
        <v>3991</v>
      </c>
      <c r="R953" s="29" t="str">
        <f t="shared" si="31"/>
        <v>2dms_wmts_v1_Asrs202510063</v>
      </c>
      <c r="S953" s="39" t="s">
        <v>155</v>
      </c>
      <c r="U953" s="27" t="str">
        <f>_xlfn.XLOOKUP(表格1[[#This Row],[服務類別(英)]],參考2_服務標準對照!$B:$B,參考2_服務標準對照!$C:$C,"")&amp;""</f>
        <v>OGC</v>
      </c>
      <c r="V953" s="29" t="s">
        <v>7</v>
      </c>
      <c r="W953" s="29" t="s">
        <v>163</v>
      </c>
      <c r="X953" s="29" t="s">
        <v>81</v>
      </c>
      <c r="Y953" s="36" t="s">
        <v>83</v>
      </c>
      <c r="Z953" s="36" t="s">
        <v>157</v>
      </c>
      <c r="AA953" s="36" t="s">
        <v>173</v>
      </c>
      <c r="AB953" s="36"/>
      <c r="AC953" s="36"/>
      <c r="AD953" s="29" t="s">
        <v>119</v>
      </c>
      <c r="AE953" s="36" t="str">
        <f>_xlfn.XLOOKUP(表格1[[#This Row],[唯一識別碼]],API清冊0707!B:B,API清冊0707!T:T,"")&amp;""</f>
        <v>無下拉選單</v>
      </c>
    </row>
    <row r="954" spans="1:31" ht="204.75" customHeight="1" x14ac:dyDescent="0.4">
      <c r="A954" s="29" t="s">
        <v>3992</v>
      </c>
      <c r="B954" s="29"/>
      <c r="C954" s="29"/>
      <c r="D954" s="29" t="s">
        <v>3993</v>
      </c>
      <c r="E954" s="29" t="s">
        <v>3994</v>
      </c>
      <c r="F954" s="29" t="s">
        <v>3995</v>
      </c>
      <c r="G954" s="35"/>
      <c r="H954" s="35" t="s">
        <v>151</v>
      </c>
      <c r="I954" s="29" t="s">
        <v>3992</v>
      </c>
      <c r="J954" s="37"/>
      <c r="K954" s="38"/>
      <c r="L954" s="38"/>
      <c r="M954" s="36" t="s">
        <v>60</v>
      </c>
      <c r="N954" s="15" t="s">
        <v>152</v>
      </c>
      <c r="O954" s="36" t="s">
        <v>162</v>
      </c>
      <c r="P954" s="36" t="str">
        <f t="shared" si="30"/>
        <v>WMTS_航照影像_馬太鞍溪事件_1141006_2</v>
      </c>
      <c r="Q954" s="29" t="s">
        <v>3995</v>
      </c>
      <c r="R954" s="29" t="str">
        <f t="shared" si="31"/>
        <v>2dms_wmts_v1_Asrs202510062</v>
      </c>
      <c r="S954" s="39" t="s">
        <v>155</v>
      </c>
      <c r="U954" s="27" t="str">
        <f>_xlfn.XLOOKUP(表格1[[#This Row],[服務類別(英)]],參考2_服務標準對照!$B:$B,參考2_服務標準對照!$C:$C,"")&amp;""</f>
        <v>OGC</v>
      </c>
      <c r="V954" s="29" t="s">
        <v>7</v>
      </c>
      <c r="W954" s="29" t="s">
        <v>163</v>
      </c>
      <c r="X954" s="29" t="s">
        <v>81</v>
      </c>
      <c r="Y954" s="36" t="s">
        <v>83</v>
      </c>
      <c r="Z954" s="36" t="s">
        <v>157</v>
      </c>
      <c r="AA954" s="36" t="s">
        <v>173</v>
      </c>
      <c r="AB954" s="36"/>
      <c r="AC954" s="36"/>
      <c r="AD954" s="29" t="s">
        <v>119</v>
      </c>
      <c r="AE954" s="36" t="str">
        <f>_xlfn.XLOOKUP(表格1[[#This Row],[唯一識別碼]],API清冊0707!B:B,API清冊0707!T:T,"")&amp;""</f>
        <v>無下拉選單</v>
      </c>
    </row>
    <row r="955" spans="1:31" ht="204.75" customHeight="1" x14ac:dyDescent="0.4">
      <c r="A955" s="29" t="s">
        <v>3996</v>
      </c>
      <c r="B955" s="29"/>
      <c r="C955" s="29"/>
      <c r="D955" s="29" t="s">
        <v>3997</v>
      </c>
      <c r="E955" s="29" t="s">
        <v>3998</v>
      </c>
      <c r="F955" s="29" t="s">
        <v>3999</v>
      </c>
      <c r="G955" s="35"/>
      <c r="H955" s="35" t="s">
        <v>151</v>
      </c>
      <c r="I955" s="29" t="s">
        <v>3996</v>
      </c>
      <c r="J955" s="37"/>
      <c r="K955" s="38"/>
      <c r="L955" s="38"/>
      <c r="M955" s="36" t="s">
        <v>60</v>
      </c>
      <c r="N955" s="15" t="s">
        <v>152</v>
      </c>
      <c r="O955" s="36" t="s">
        <v>162</v>
      </c>
      <c r="P955" s="36" t="str">
        <f t="shared" si="30"/>
        <v>WMTS_航照影像_馬太鞍溪事件_1141006_1</v>
      </c>
      <c r="Q955" s="29" t="s">
        <v>3999</v>
      </c>
      <c r="R955" s="29" t="str">
        <f t="shared" si="31"/>
        <v>2dms_wmts_v1_Asrs202510061</v>
      </c>
      <c r="S955" s="39" t="s">
        <v>155</v>
      </c>
      <c r="U955" s="27" t="str">
        <f>_xlfn.XLOOKUP(表格1[[#This Row],[服務類別(英)]],參考2_服務標準對照!$B:$B,參考2_服務標準對照!$C:$C,"")&amp;""</f>
        <v>OGC</v>
      </c>
      <c r="V955" s="29" t="s">
        <v>7</v>
      </c>
      <c r="W955" s="29" t="s">
        <v>163</v>
      </c>
      <c r="X955" s="29" t="s">
        <v>81</v>
      </c>
      <c r="Y955" s="36" t="s">
        <v>83</v>
      </c>
      <c r="Z955" s="36" t="s">
        <v>157</v>
      </c>
      <c r="AA955" s="36" t="s">
        <v>173</v>
      </c>
      <c r="AB955" s="36"/>
      <c r="AC955" s="36"/>
      <c r="AD955" s="29" t="s">
        <v>119</v>
      </c>
      <c r="AE955" s="36" t="str">
        <f>_xlfn.XLOOKUP(表格1[[#This Row],[唯一識別碼]],API清冊0707!B:B,API清冊0707!T:T,"")&amp;""</f>
        <v>無下拉選單</v>
      </c>
    </row>
    <row r="956" spans="1:31" ht="204.75" customHeight="1" x14ac:dyDescent="0.4">
      <c r="A956" s="29" t="s">
        <v>4000</v>
      </c>
      <c r="B956" s="29"/>
      <c r="C956" s="29"/>
      <c r="D956" s="29" t="s">
        <v>4001</v>
      </c>
      <c r="E956" s="29" t="s">
        <v>4002</v>
      </c>
      <c r="F956" s="29" t="s">
        <v>4003</v>
      </c>
      <c r="G956" s="35"/>
      <c r="H956" s="35" t="s">
        <v>151</v>
      </c>
      <c r="I956" s="29" t="s">
        <v>4000</v>
      </c>
      <c r="J956" s="37"/>
      <c r="K956" s="38"/>
      <c r="L956" s="38"/>
      <c r="M956" s="36" t="s">
        <v>60</v>
      </c>
      <c r="N956" s="15" t="s">
        <v>152</v>
      </c>
      <c r="O956" s="36" t="s">
        <v>162</v>
      </c>
      <c r="P956" s="36" t="str">
        <f t="shared" si="30"/>
        <v>WMTS_航照影像_馬太鞍溪事件_1141005_3</v>
      </c>
      <c r="Q956" s="29" t="s">
        <v>4003</v>
      </c>
      <c r="R956" s="29" t="str">
        <f t="shared" si="31"/>
        <v>2dms_wmts_v1_Asrs202510053</v>
      </c>
      <c r="S956" s="39" t="s">
        <v>155</v>
      </c>
      <c r="U956" s="27" t="str">
        <f>_xlfn.XLOOKUP(表格1[[#This Row],[服務類別(英)]],參考2_服務標準對照!$B:$B,參考2_服務標準對照!$C:$C,"")&amp;""</f>
        <v>OGC</v>
      </c>
      <c r="V956" s="29" t="s">
        <v>7</v>
      </c>
      <c r="W956" s="29" t="s">
        <v>163</v>
      </c>
      <c r="X956" s="29" t="s">
        <v>81</v>
      </c>
      <c r="Y956" s="36" t="s">
        <v>83</v>
      </c>
      <c r="Z956" s="36" t="s">
        <v>157</v>
      </c>
      <c r="AA956" s="36" t="s">
        <v>173</v>
      </c>
      <c r="AB956" s="36"/>
      <c r="AC956" s="36"/>
      <c r="AD956" s="29" t="s">
        <v>119</v>
      </c>
      <c r="AE956" s="36" t="str">
        <f>_xlfn.XLOOKUP(表格1[[#This Row],[唯一識別碼]],API清冊0707!B:B,API清冊0707!T:T,"")&amp;""</f>
        <v>無下拉選單</v>
      </c>
    </row>
    <row r="957" spans="1:31" ht="204.75" customHeight="1" x14ac:dyDescent="0.4">
      <c r="A957" s="29" t="s">
        <v>4004</v>
      </c>
      <c r="B957" s="29"/>
      <c r="C957" s="29"/>
      <c r="D957" s="29" t="s">
        <v>4005</v>
      </c>
      <c r="E957" s="29" t="s">
        <v>4006</v>
      </c>
      <c r="F957" s="29" t="s">
        <v>4007</v>
      </c>
      <c r="G957" s="35"/>
      <c r="H957" s="35" t="s">
        <v>151</v>
      </c>
      <c r="I957" s="29" t="s">
        <v>4004</v>
      </c>
      <c r="J957" s="37"/>
      <c r="K957" s="38"/>
      <c r="L957" s="38"/>
      <c r="M957" s="36" t="s">
        <v>60</v>
      </c>
      <c r="N957" s="15" t="s">
        <v>152</v>
      </c>
      <c r="O957" s="36" t="s">
        <v>162</v>
      </c>
      <c r="P957" s="36" t="str">
        <f t="shared" si="30"/>
        <v>WMTS_航照影像_馬太鞍溪事件_1141005_2</v>
      </c>
      <c r="Q957" s="29" t="s">
        <v>4007</v>
      </c>
      <c r="R957" s="29" t="str">
        <f t="shared" si="31"/>
        <v>2dms_wmts_v1_Asrs202510052</v>
      </c>
      <c r="S957" s="39" t="s">
        <v>155</v>
      </c>
      <c r="U957" s="27" t="str">
        <f>_xlfn.XLOOKUP(表格1[[#This Row],[服務類別(英)]],參考2_服務標準對照!$B:$B,參考2_服務標準對照!$C:$C,"")&amp;""</f>
        <v>OGC</v>
      </c>
      <c r="V957" s="29" t="s">
        <v>7</v>
      </c>
      <c r="W957" s="29" t="s">
        <v>163</v>
      </c>
      <c r="X957" s="29" t="s">
        <v>81</v>
      </c>
      <c r="Y957" s="36" t="s">
        <v>83</v>
      </c>
      <c r="Z957" s="36" t="s">
        <v>157</v>
      </c>
      <c r="AA957" s="36" t="s">
        <v>173</v>
      </c>
      <c r="AB957" s="36"/>
      <c r="AC957" s="36"/>
      <c r="AD957" s="29" t="s">
        <v>119</v>
      </c>
      <c r="AE957" s="36" t="str">
        <f>_xlfn.XLOOKUP(表格1[[#This Row],[唯一識別碼]],API清冊0707!B:B,API清冊0707!T:T,"")&amp;""</f>
        <v>無下拉選單</v>
      </c>
    </row>
    <row r="958" spans="1:31" ht="204.75" customHeight="1" x14ac:dyDescent="0.4">
      <c r="A958" s="29" t="s">
        <v>4008</v>
      </c>
      <c r="B958" s="29"/>
      <c r="C958" s="29"/>
      <c r="D958" s="29" t="s">
        <v>4009</v>
      </c>
      <c r="E958" s="29" t="s">
        <v>4010</v>
      </c>
      <c r="F958" s="29" t="s">
        <v>4011</v>
      </c>
      <c r="G958" s="35"/>
      <c r="H958" s="35" t="s">
        <v>151</v>
      </c>
      <c r="I958" s="29" t="s">
        <v>4008</v>
      </c>
      <c r="J958" s="37"/>
      <c r="K958" s="38"/>
      <c r="L958" s="38"/>
      <c r="M958" s="36" t="s">
        <v>60</v>
      </c>
      <c r="N958" s="15" t="s">
        <v>152</v>
      </c>
      <c r="O958" s="36" t="s">
        <v>162</v>
      </c>
      <c r="P958" s="36" t="str">
        <f t="shared" si="30"/>
        <v>WMTS_航照影像_馬太鞍溪事件_1141005_1</v>
      </c>
      <c r="Q958" s="29" t="s">
        <v>4011</v>
      </c>
      <c r="R958" s="29" t="str">
        <f t="shared" si="31"/>
        <v>2dms_wmts_v1_Asrs202510051</v>
      </c>
      <c r="S958" s="39" t="s">
        <v>155</v>
      </c>
      <c r="U958" s="27" t="str">
        <f>_xlfn.XLOOKUP(表格1[[#This Row],[服務類別(英)]],參考2_服務標準對照!$B:$B,參考2_服務標準對照!$C:$C,"")&amp;""</f>
        <v>OGC</v>
      </c>
      <c r="V958" s="29" t="s">
        <v>7</v>
      </c>
      <c r="W958" s="29" t="s">
        <v>163</v>
      </c>
      <c r="X958" s="29" t="s">
        <v>81</v>
      </c>
      <c r="Y958" s="36" t="s">
        <v>83</v>
      </c>
      <c r="Z958" s="36" t="s">
        <v>157</v>
      </c>
      <c r="AA958" s="36" t="s">
        <v>173</v>
      </c>
      <c r="AB958" s="36"/>
      <c r="AC958" s="36"/>
      <c r="AD958" s="29" t="s">
        <v>119</v>
      </c>
      <c r="AE958" s="36" t="str">
        <f>_xlfn.XLOOKUP(表格1[[#This Row],[唯一識別碼]],API清冊0707!B:B,API清冊0707!T:T,"")&amp;""</f>
        <v>無下拉選單</v>
      </c>
    </row>
    <row r="959" spans="1:31" ht="204.75" customHeight="1" x14ac:dyDescent="0.4">
      <c r="A959" s="29" t="s">
        <v>4012</v>
      </c>
      <c r="B959" s="29"/>
      <c r="C959" s="29"/>
      <c r="D959" s="29" t="s">
        <v>4013</v>
      </c>
      <c r="E959" s="29" t="s">
        <v>4014</v>
      </c>
      <c r="F959" s="29" t="s">
        <v>4015</v>
      </c>
      <c r="G959" s="35"/>
      <c r="H959" s="35" t="s">
        <v>151</v>
      </c>
      <c r="I959" s="29" t="s">
        <v>4012</v>
      </c>
      <c r="J959" s="37"/>
      <c r="K959" s="38"/>
      <c r="L959" s="38"/>
      <c r="M959" s="36" t="s">
        <v>60</v>
      </c>
      <c r="N959" s="15" t="s">
        <v>152</v>
      </c>
      <c r="O959" s="36" t="s">
        <v>162</v>
      </c>
      <c r="P959" s="36" t="str">
        <f t="shared" si="30"/>
        <v>WMTS_航照影像_馬太鞍溪事件_1141004_3</v>
      </c>
      <c r="Q959" s="29" t="s">
        <v>4015</v>
      </c>
      <c r="R959" s="29" t="str">
        <f t="shared" si="31"/>
        <v>2dms_wmts_v1_Asrs202510043</v>
      </c>
      <c r="S959" s="39" t="s">
        <v>155</v>
      </c>
      <c r="U959" s="27" t="str">
        <f>_xlfn.XLOOKUP(表格1[[#This Row],[服務類別(英)]],參考2_服務標準對照!$B:$B,參考2_服務標準對照!$C:$C,"")&amp;""</f>
        <v>OGC</v>
      </c>
      <c r="V959" s="29" t="s">
        <v>7</v>
      </c>
      <c r="W959" s="29" t="s">
        <v>163</v>
      </c>
      <c r="X959" s="29" t="s">
        <v>81</v>
      </c>
      <c r="Y959" s="36" t="s">
        <v>83</v>
      </c>
      <c r="Z959" s="36" t="s">
        <v>157</v>
      </c>
      <c r="AA959" s="36" t="s">
        <v>173</v>
      </c>
      <c r="AB959" s="36"/>
      <c r="AC959" s="36"/>
      <c r="AD959" s="29" t="s">
        <v>119</v>
      </c>
      <c r="AE959" s="36" t="str">
        <f>_xlfn.XLOOKUP(表格1[[#This Row],[唯一識別碼]],API清冊0707!B:B,API清冊0707!T:T,"")&amp;""</f>
        <v>無下拉選單</v>
      </c>
    </row>
    <row r="960" spans="1:31" ht="204.75" customHeight="1" x14ac:dyDescent="0.4">
      <c r="A960" s="29" t="s">
        <v>4016</v>
      </c>
      <c r="B960" s="29"/>
      <c r="C960" s="29"/>
      <c r="D960" s="29" t="s">
        <v>4017</v>
      </c>
      <c r="E960" s="29" t="s">
        <v>4018</v>
      </c>
      <c r="F960" s="29" t="s">
        <v>4019</v>
      </c>
      <c r="G960" s="35"/>
      <c r="H960" s="35" t="s">
        <v>151</v>
      </c>
      <c r="I960" s="29" t="s">
        <v>4016</v>
      </c>
      <c r="J960" s="37"/>
      <c r="K960" s="38"/>
      <c r="L960" s="38"/>
      <c r="M960" s="36" t="s">
        <v>60</v>
      </c>
      <c r="N960" s="15" t="s">
        <v>152</v>
      </c>
      <c r="O960" s="36" t="s">
        <v>162</v>
      </c>
      <c r="P960" s="36" t="str">
        <f t="shared" si="30"/>
        <v>WMTS_航照影像_馬太鞍溪事件_1141004_2</v>
      </c>
      <c r="Q960" s="29" t="s">
        <v>4019</v>
      </c>
      <c r="R960" s="29" t="str">
        <f t="shared" si="31"/>
        <v>2dms_wmts_v1_Asrs202510042</v>
      </c>
      <c r="S960" s="39" t="s">
        <v>155</v>
      </c>
      <c r="U960" s="27" t="str">
        <f>_xlfn.XLOOKUP(表格1[[#This Row],[服務類別(英)]],參考2_服務標準對照!$B:$B,參考2_服務標準對照!$C:$C,"")&amp;""</f>
        <v>OGC</v>
      </c>
      <c r="V960" s="29" t="s">
        <v>7</v>
      </c>
      <c r="W960" s="29" t="s">
        <v>163</v>
      </c>
      <c r="X960" s="29" t="s">
        <v>81</v>
      </c>
      <c r="Y960" s="36" t="s">
        <v>83</v>
      </c>
      <c r="Z960" s="36" t="s">
        <v>157</v>
      </c>
      <c r="AA960" s="36" t="s">
        <v>173</v>
      </c>
      <c r="AB960" s="36"/>
      <c r="AC960" s="36"/>
      <c r="AD960" s="29" t="s">
        <v>119</v>
      </c>
      <c r="AE960" s="36" t="str">
        <f>_xlfn.XLOOKUP(表格1[[#This Row],[唯一識別碼]],API清冊0707!B:B,API清冊0707!T:T,"")&amp;""</f>
        <v>無下拉選單</v>
      </c>
    </row>
    <row r="961" spans="1:31" ht="204.75" customHeight="1" x14ac:dyDescent="0.4">
      <c r="A961" s="29" t="s">
        <v>4020</v>
      </c>
      <c r="B961" s="29"/>
      <c r="C961" s="29"/>
      <c r="D961" s="29" t="s">
        <v>4021</v>
      </c>
      <c r="E961" s="29" t="s">
        <v>4022</v>
      </c>
      <c r="F961" s="29" t="s">
        <v>4023</v>
      </c>
      <c r="G961" s="35"/>
      <c r="H961" s="35" t="s">
        <v>151</v>
      </c>
      <c r="I961" s="29" t="s">
        <v>4020</v>
      </c>
      <c r="J961" s="37"/>
      <c r="K961" s="38"/>
      <c r="L961" s="38"/>
      <c r="M961" s="36" t="s">
        <v>60</v>
      </c>
      <c r="N961" s="15" t="s">
        <v>152</v>
      </c>
      <c r="O961" s="36" t="s">
        <v>162</v>
      </c>
      <c r="P961" s="36" t="str">
        <f t="shared" si="30"/>
        <v>WMTS_航照影像_馬太鞍溪事件_1141004_1</v>
      </c>
      <c r="Q961" s="29" t="s">
        <v>4023</v>
      </c>
      <c r="R961" s="29" t="str">
        <f t="shared" si="31"/>
        <v>2dms_wmts_v1_Asrs202510041</v>
      </c>
      <c r="S961" s="39" t="s">
        <v>155</v>
      </c>
      <c r="U961" s="27" t="str">
        <f>_xlfn.XLOOKUP(表格1[[#This Row],[服務類別(英)]],參考2_服務標準對照!$B:$B,參考2_服務標準對照!$C:$C,"")&amp;""</f>
        <v>OGC</v>
      </c>
      <c r="V961" s="29" t="s">
        <v>7</v>
      </c>
      <c r="W961" s="29" t="s">
        <v>163</v>
      </c>
      <c r="X961" s="29" t="s">
        <v>81</v>
      </c>
      <c r="Y961" s="36" t="s">
        <v>83</v>
      </c>
      <c r="Z961" s="36" t="s">
        <v>157</v>
      </c>
      <c r="AA961" s="36" t="s">
        <v>173</v>
      </c>
      <c r="AB961" s="36"/>
      <c r="AC961" s="36"/>
      <c r="AD961" s="29" t="s">
        <v>119</v>
      </c>
      <c r="AE961" s="36" t="str">
        <f>_xlfn.XLOOKUP(表格1[[#This Row],[唯一識別碼]],API清冊0707!B:B,API清冊0707!T:T,"")&amp;""</f>
        <v>無下拉選單</v>
      </c>
    </row>
    <row r="962" spans="1:31" ht="204.75" customHeight="1" x14ac:dyDescent="0.4">
      <c r="A962" s="29" t="s">
        <v>4024</v>
      </c>
      <c r="B962" s="29"/>
      <c r="C962" s="29"/>
      <c r="D962" s="29" t="s">
        <v>4025</v>
      </c>
      <c r="E962" s="29" t="s">
        <v>4026</v>
      </c>
      <c r="F962" s="29" t="s">
        <v>4027</v>
      </c>
      <c r="G962" s="35"/>
      <c r="H962" s="35" t="s">
        <v>151</v>
      </c>
      <c r="I962" s="29" t="s">
        <v>4024</v>
      </c>
      <c r="J962" s="37"/>
      <c r="K962" s="38"/>
      <c r="L962" s="38"/>
      <c r="M962" s="36" t="s">
        <v>60</v>
      </c>
      <c r="N962" s="15" t="s">
        <v>152</v>
      </c>
      <c r="O962" s="36" t="s">
        <v>162</v>
      </c>
      <c r="P962" s="36" t="str">
        <f t="shared" si="30"/>
        <v>WMTS_航照影像_馬太鞍溪事件_1141003_7</v>
      </c>
      <c r="Q962" s="29" t="s">
        <v>4027</v>
      </c>
      <c r="R962" s="29" t="str">
        <f t="shared" si="31"/>
        <v>2dms_wmts_v1_Asrs202510037</v>
      </c>
      <c r="S962" s="39" t="s">
        <v>155</v>
      </c>
      <c r="U962" s="27" t="str">
        <f>_xlfn.XLOOKUP(表格1[[#This Row],[服務類別(英)]],參考2_服務標準對照!$B:$B,參考2_服務標準對照!$C:$C,"")&amp;""</f>
        <v>OGC</v>
      </c>
      <c r="V962" s="29" t="s">
        <v>7</v>
      </c>
      <c r="W962" s="29" t="s">
        <v>163</v>
      </c>
      <c r="X962" s="29" t="s">
        <v>81</v>
      </c>
      <c r="Y962" s="36" t="s">
        <v>83</v>
      </c>
      <c r="Z962" s="36" t="s">
        <v>157</v>
      </c>
      <c r="AA962" s="36" t="s">
        <v>173</v>
      </c>
      <c r="AB962" s="36"/>
      <c r="AC962" s="36"/>
      <c r="AD962" s="29" t="s">
        <v>119</v>
      </c>
      <c r="AE962" s="36" t="str">
        <f>_xlfn.XLOOKUP(表格1[[#This Row],[唯一識別碼]],API清冊0707!B:B,API清冊0707!T:T,"")&amp;""</f>
        <v>無下拉選單</v>
      </c>
    </row>
    <row r="963" spans="1:31" ht="204.75" customHeight="1" x14ac:dyDescent="0.4">
      <c r="A963" s="29" t="s">
        <v>4028</v>
      </c>
      <c r="B963" s="29"/>
      <c r="C963" s="29"/>
      <c r="D963" s="29" t="s">
        <v>4029</v>
      </c>
      <c r="E963" s="29" t="s">
        <v>4030</v>
      </c>
      <c r="F963" s="29" t="s">
        <v>4031</v>
      </c>
      <c r="G963" s="35"/>
      <c r="H963" s="35" t="s">
        <v>151</v>
      </c>
      <c r="I963" s="29" t="s">
        <v>4028</v>
      </c>
      <c r="J963" s="37"/>
      <c r="K963" s="38"/>
      <c r="L963" s="38"/>
      <c r="M963" s="36" t="s">
        <v>60</v>
      </c>
      <c r="N963" s="15" t="s">
        <v>152</v>
      </c>
      <c r="O963" s="36" t="s">
        <v>162</v>
      </c>
      <c r="P963" s="36" t="str">
        <f t="shared" si="30"/>
        <v>WMTS_航照影像_馬太鞍溪事件_1141003_6</v>
      </c>
      <c r="Q963" s="29" t="s">
        <v>4031</v>
      </c>
      <c r="R963" s="29" t="str">
        <f t="shared" si="31"/>
        <v>2dms_wmts_v1_Asrs202510036</v>
      </c>
      <c r="S963" s="39" t="s">
        <v>155</v>
      </c>
      <c r="U963" s="27" t="str">
        <f>_xlfn.XLOOKUP(表格1[[#This Row],[服務類別(英)]],參考2_服務標準對照!$B:$B,參考2_服務標準對照!$C:$C,"")&amp;""</f>
        <v>OGC</v>
      </c>
      <c r="V963" s="29" t="s">
        <v>7</v>
      </c>
      <c r="W963" s="29" t="s">
        <v>163</v>
      </c>
      <c r="X963" s="29" t="s">
        <v>81</v>
      </c>
      <c r="Y963" s="36" t="s">
        <v>83</v>
      </c>
      <c r="Z963" s="36" t="s">
        <v>157</v>
      </c>
      <c r="AA963" s="36" t="s">
        <v>173</v>
      </c>
      <c r="AB963" s="36"/>
      <c r="AC963" s="36"/>
      <c r="AD963" s="29" t="s">
        <v>119</v>
      </c>
      <c r="AE963" s="36" t="str">
        <f>_xlfn.XLOOKUP(表格1[[#This Row],[唯一識別碼]],API清冊0707!B:B,API清冊0707!T:T,"")&amp;""</f>
        <v>無下拉選單</v>
      </c>
    </row>
    <row r="964" spans="1:31" ht="204.75" customHeight="1" x14ac:dyDescent="0.4">
      <c r="A964" s="29" t="s">
        <v>4032</v>
      </c>
      <c r="B964" s="29"/>
      <c r="C964" s="29"/>
      <c r="D964" s="29" t="s">
        <v>4033</v>
      </c>
      <c r="E964" s="29" t="s">
        <v>4034</v>
      </c>
      <c r="F964" s="29" t="s">
        <v>4035</v>
      </c>
      <c r="G964" s="35"/>
      <c r="H964" s="35" t="s">
        <v>151</v>
      </c>
      <c r="I964" s="29" t="s">
        <v>4032</v>
      </c>
      <c r="J964" s="37"/>
      <c r="K964" s="38"/>
      <c r="L964" s="38"/>
      <c r="M964" s="36" t="s">
        <v>60</v>
      </c>
      <c r="N964" s="15" t="s">
        <v>152</v>
      </c>
      <c r="O964" s="36" t="s">
        <v>162</v>
      </c>
      <c r="P964" s="36" t="str">
        <f t="shared" si="30"/>
        <v>WMTS_航照影像_馬太鞍溪事件_1141003_5</v>
      </c>
      <c r="Q964" s="29" t="s">
        <v>4035</v>
      </c>
      <c r="R964" s="29" t="str">
        <f t="shared" si="31"/>
        <v>2dms_wmts_v1_Asrs202510035</v>
      </c>
      <c r="S964" s="39" t="s">
        <v>155</v>
      </c>
      <c r="U964" s="27" t="str">
        <f>_xlfn.XLOOKUP(表格1[[#This Row],[服務類別(英)]],參考2_服務標準對照!$B:$B,參考2_服務標準對照!$C:$C,"")&amp;""</f>
        <v>OGC</v>
      </c>
      <c r="V964" s="29" t="s">
        <v>7</v>
      </c>
      <c r="W964" s="29" t="s">
        <v>163</v>
      </c>
      <c r="X964" s="29" t="s">
        <v>81</v>
      </c>
      <c r="Y964" s="36" t="s">
        <v>83</v>
      </c>
      <c r="Z964" s="36" t="s">
        <v>157</v>
      </c>
      <c r="AA964" s="36" t="s">
        <v>173</v>
      </c>
      <c r="AB964" s="36"/>
      <c r="AC964" s="36"/>
      <c r="AD964" s="29" t="s">
        <v>119</v>
      </c>
      <c r="AE964" s="36" t="str">
        <f>_xlfn.XLOOKUP(表格1[[#This Row],[唯一識別碼]],API清冊0707!B:B,API清冊0707!T:T,"")&amp;""</f>
        <v>無下拉選單</v>
      </c>
    </row>
    <row r="965" spans="1:31" ht="204.75" customHeight="1" x14ac:dyDescent="0.4">
      <c r="A965" s="29" t="s">
        <v>4036</v>
      </c>
      <c r="B965" s="29"/>
      <c r="C965" s="29"/>
      <c r="D965" s="29" t="s">
        <v>4037</v>
      </c>
      <c r="E965" s="29" t="s">
        <v>4038</v>
      </c>
      <c r="F965" s="29" t="s">
        <v>4039</v>
      </c>
      <c r="G965" s="35"/>
      <c r="H965" s="35" t="s">
        <v>151</v>
      </c>
      <c r="I965" s="29" t="s">
        <v>4036</v>
      </c>
      <c r="J965" s="37"/>
      <c r="K965" s="38"/>
      <c r="L965" s="38"/>
      <c r="M965" s="36" t="s">
        <v>60</v>
      </c>
      <c r="N965" s="15" t="s">
        <v>152</v>
      </c>
      <c r="O965" s="36" t="s">
        <v>162</v>
      </c>
      <c r="P965" s="36" t="str">
        <f t="shared" si="30"/>
        <v>WMTS_航照影像_馬太鞍溪事件_1141003_4</v>
      </c>
      <c r="Q965" s="29" t="s">
        <v>4039</v>
      </c>
      <c r="R965" s="29" t="str">
        <f t="shared" si="31"/>
        <v>2dms_wmts_v1_Asrs202510034</v>
      </c>
      <c r="S965" s="39" t="s">
        <v>155</v>
      </c>
      <c r="U965" s="27" t="str">
        <f>_xlfn.XLOOKUP(表格1[[#This Row],[服務類別(英)]],參考2_服務標準對照!$B:$B,參考2_服務標準對照!$C:$C,"")&amp;""</f>
        <v>OGC</v>
      </c>
      <c r="V965" s="29" t="s">
        <v>7</v>
      </c>
      <c r="W965" s="29" t="s">
        <v>163</v>
      </c>
      <c r="X965" s="29" t="s">
        <v>81</v>
      </c>
      <c r="Y965" s="36" t="s">
        <v>83</v>
      </c>
      <c r="Z965" s="36" t="s">
        <v>157</v>
      </c>
      <c r="AA965" s="36" t="s">
        <v>173</v>
      </c>
      <c r="AB965" s="36"/>
      <c r="AC965" s="36"/>
      <c r="AD965" s="29" t="s">
        <v>119</v>
      </c>
      <c r="AE965" s="36" t="str">
        <f>_xlfn.XLOOKUP(表格1[[#This Row],[唯一識別碼]],API清冊0707!B:B,API清冊0707!T:T,"")&amp;""</f>
        <v>無下拉選單</v>
      </c>
    </row>
    <row r="966" spans="1:31" ht="204.75" customHeight="1" x14ac:dyDescent="0.4">
      <c r="A966" s="29" t="s">
        <v>4040</v>
      </c>
      <c r="B966" s="29"/>
      <c r="C966" s="29"/>
      <c r="D966" s="29" t="s">
        <v>4041</v>
      </c>
      <c r="E966" s="29" t="s">
        <v>4042</v>
      </c>
      <c r="F966" s="29" t="s">
        <v>4043</v>
      </c>
      <c r="G966" s="35"/>
      <c r="H966" s="35" t="s">
        <v>151</v>
      </c>
      <c r="I966" s="29" t="s">
        <v>4040</v>
      </c>
      <c r="J966" s="37"/>
      <c r="K966" s="38"/>
      <c r="L966" s="38"/>
      <c r="M966" s="36" t="s">
        <v>60</v>
      </c>
      <c r="N966" s="15" t="s">
        <v>152</v>
      </c>
      <c r="O966" s="36" t="s">
        <v>162</v>
      </c>
      <c r="P966" s="36" t="str">
        <f t="shared" si="30"/>
        <v>WMTS_航照影像_馬太鞍溪事件_1141003_3</v>
      </c>
      <c r="Q966" s="29" t="s">
        <v>4043</v>
      </c>
      <c r="R966" s="29" t="str">
        <f t="shared" si="31"/>
        <v>2dms_wmts_v1_Asrs202510033</v>
      </c>
      <c r="S966" s="39" t="s">
        <v>155</v>
      </c>
      <c r="U966" s="27" t="str">
        <f>_xlfn.XLOOKUP(表格1[[#This Row],[服務類別(英)]],參考2_服務標準對照!$B:$B,參考2_服務標準對照!$C:$C,"")&amp;""</f>
        <v>OGC</v>
      </c>
      <c r="V966" s="29" t="s">
        <v>7</v>
      </c>
      <c r="W966" s="29" t="s">
        <v>163</v>
      </c>
      <c r="X966" s="29" t="s">
        <v>81</v>
      </c>
      <c r="Y966" s="36" t="s">
        <v>83</v>
      </c>
      <c r="Z966" s="36" t="s">
        <v>157</v>
      </c>
      <c r="AA966" s="36" t="s">
        <v>173</v>
      </c>
      <c r="AB966" s="36"/>
      <c r="AC966" s="36"/>
      <c r="AD966" s="29" t="s">
        <v>119</v>
      </c>
      <c r="AE966" s="36" t="str">
        <f>_xlfn.XLOOKUP(表格1[[#This Row],[唯一識別碼]],API清冊0707!B:B,API清冊0707!T:T,"")&amp;""</f>
        <v>無下拉選單</v>
      </c>
    </row>
    <row r="967" spans="1:31" ht="204.75" customHeight="1" x14ac:dyDescent="0.4">
      <c r="A967" s="29" t="s">
        <v>4044</v>
      </c>
      <c r="B967" s="29"/>
      <c r="C967" s="29"/>
      <c r="D967" s="29" t="s">
        <v>4045</v>
      </c>
      <c r="E967" s="29" t="s">
        <v>4046</v>
      </c>
      <c r="F967" s="29" t="s">
        <v>4047</v>
      </c>
      <c r="G967" s="35"/>
      <c r="H967" s="35" t="s">
        <v>151</v>
      </c>
      <c r="I967" s="29" t="s">
        <v>4044</v>
      </c>
      <c r="J967" s="37"/>
      <c r="K967" s="38"/>
      <c r="L967" s="38"/>
      <c r="M967" s="36" t="s">
        <v>60</v>
      </c>
      <c r="N967" s="15" t="s">
        <v>152</v>
      </c>
      <c r="O967" s="36" t="s">
        <v>162</v>
      </c>
      <c r="P967" s="36" t="str">
        <f t="shared" si="30"/>
        <v>WMTS_航照影像_馬太鞍溪事件_1141003_2</v>
      </c>
      <c r="Q967" s="29" t="s">
        <v>4047</v>
      </c>
      <c r="R967" s="29" t="str">
        <f t="shared" si="31"/>
        <v>2dms_wmts_v1_Asrs202510032</v>
      </c>
      <c r="S967" s="39" t="s">
        <v>155</v>
      </c>
      <c r="U967" s="27" t="str">
        <f>_xlfn.XLOOKUP(表格1[[#This Row],[服務類別(英)]],參考2_服務標準對照!$B:$B,參考2_服務標準對照!$C:$C,"")&amp;""</f>
        <v>OGC</v>
      </c>
      <c r="V967" s="29" t="s">
        <v>7</v>
      </c>
      <c r="W967" s="29" t="s">
        <v>163</v>
      </c>
      <c r="X967" s="29" t="s">
        <v>81</v>
      </c>
      <c r="Y967" s="36" t="s">
        <v>83</v>
      </c>
      <c r="Z967" s="36" t="s">
        <v>157</v>
      </c>
      <c r="AA967" s="36" t="s">
        <v>173</v>
      </c>
      <c r="AB967" s="36"/>
      <c r="AC967" s="36"/>
      <c r="AD967" s="29" t="s">
        <v>119</v>
      </c>
      <c r="AE967" s="36" t="str">
        <f>_xlfn.XLOOKUP(表格1[[#This Row],[唯一識別碼]],API清冊0707!B:B,API清冊0707!T:T,"")&amp;""</f>
        <v>無下拉選單</v>
      </c>
    </row>
    <row r="968" spans="1:31" ht="204.75" customHeight="1" x14ac:dyDescent="0.4">
      <c r="A968" s="29" t="s">
        <v>4048</v>
      </c>
      <c r="B968" s="29"/>
      <c r="C968" s="29"/>
      <c r="D968" s="29" t="s">
        <v>4049</v>
      </c>
      <c r="E968" s="29" t="s">
        <v>4050</v>
      </c>
      <c r="F968" s="29" t="s">
        <v>4051</v>
      </c>
      <c r="G968" s="35"/>
      <c r="H968" s="35" t="s">
        <v>151</v>
      </c>
      <c r="I968" s="29" t="s">
        <v>4048</v>
      </c>
      <c r="J968" s="37"/>
      <c r="K968" s="38"/>
      <c r="L968" s="38"/>
      <c r="M968" s="36" t="s">
        <v>60</v>
      </c>
      <c r="N968" s="15" t="s">
        <v>152</v>
      </c>
      <c r="O968" s="36" t="s">
        <v>162</v>
      </c>
      <c r="P968" s="36" t="str">
        <f t="shared" si="30"/>
        <v>WMTS_航照影像_馬太鞍溪事件_1141003_1</v>
      </c>
      <c r="Q968" s="29" t="s">
        <v>4051</v>
      </c>
      <c r="R968" s="29" t="str">
        <f t="shared" si="31"/>
        <v>2dms_wmts_v1_Asrs202510031</v>
      </c>
      <c r="S968" s="39" t="s">
        <v>155</v>
      </c>
      <c r="U968" s="27" t="str">
        <f>_xlfn.XLOOKUP(表格1[[#This Row],[服務類別(英)]],參考2_服務標準對照!$B:$B,參考2_服務標準對照!$C:$C,"")&amp;""</f>
        <v>OGC</v>
      </c>
      <c r="V968" s="29" t="s">
        <v>7</v>
      </c>
      <c r="W968" s="29" t="s">
        <v>163</v>
      </c>
      <c r="X968" s="29" t="s">
        <v>81</v>
      </c>
      <c r="Y968" s="36" t="s">
        <v>83</v>
      </c>
      <c r="Z968" s="36" t="s">
        <v>157</v>
      </c>
      <c r="AA968" s="36" t="s">
        <v>173</v>
      </c>
      <c r="AB968" s="36"/>
      <c r="AC968" s="36"/>
      <c r="AD968" s="29" t="s">
        <v>119</v>
      </c>
      <c r="AE968" s="36" t="str">
        <f>_xlfn.XLOOKUP(表格1[[#This Row],[唯一識別碼]],API清冊0707!B:B,API清冊0707!T:T,"")&amp;""</f>
        <v>無下拉選單</v>
      </c>
    </row>
    <row r="969" spans="1:31" ht="204.75" customHeight="1" x14ac:dyDescent="0.4">
      <c r="A969" s="29" t="s">
        <v>4052</v>
      </c>
      <c r="B969" s="29"/>
      <c r="C969" s="29"/>
      <c r="D969" s="29" t="s">
        <v>4053</v>
      </c>
      <c r="E969" s="29" t="s">
        <v>4054</v>
      </c>
      <c r="F969" s="29" t="s">
        <v>4055</v>
      </c>
      <c r="G969" s="35"/>
      <c r="H969" s="35" t="s">
        <v>151</v>
      </c>
      <c r="I969" s="29" t="s">
        <v>4052</v>
      </c>
      <c r="J969" s="37"/>
      <c r="K969" s="38"/>
      <c r="L969" s="38"/>
      <c r="M969" s="36" t="s">
        <v>60</v>
      </c>
      <c r="N969" s="15" t="s">
        <v>152</v>
      </c>
      <c r="O969" s="36" t="s">
        <v>162</v>
      </c>
      <c r="P969" s="36" t="str">
        <f t="shared" si="30"/>
        <v>WMTS_航照影像_馬太鞍溪事件_1141002_3</v>
      </c>
      <c r="Q969" s="29" t="s">
        <v>4055</v>
      </c>
      <c r="R969" s="29" t="str">
        <f t="shared" si="31"/>
        <v>2dms_wmts_v1_Asrs202510023</v>
      </c>
      <c r="S969" s="39" t="s">
        <v>155</v>
      </c>
      <c r="U969" s="27" t="str">
        <f>_xlfn.XLOOKUP(表格1[[#This Row],[服務類別(英)]],參考2_服務標準對照!$B:$B,參考2_服務標準對照!$C:$C,"")&amp;""</f>
        <v>OGC</v>
      </c>
      <c r="V969" s="29" t="s">
        <v>7</v>
      </c>
      <c r="W969" s="29" t="s">
        <v>163</v>
      </c>
      <c r="X969" s="29" t="s">
        <v>81</v>
      </c>
      <c r="Y969" s="36" t="s">
        <v>83</v>
      </c>
      <c r="Z969" s="36" t="s">
        <v>157</v>
      </c>
      <c r="AA969" s="36" t="s">
        <v>173</v>
      </c>
      <c r="AB969" s="36"/>
      <c r="AC969" s="36"/>
      <c r="AD969" s="29" t="s">
        <v>119</v>
      </c>
      <c r="AE969" s="36" t="str">
        <f>_xlfn.XLOOKUP(表格1[[#This Row],[唯一識別碼]],API清冊0707!B:B,API清冊0707!T:T,"")&amp;""</f>
        <v>無下拉選單</v>
      </c>
    </row>
    <row r="970" spans="1:31" ht="204.75" customHeight="1" x14ac:dyDescent="0.4">
      <c r="A970" s="29" t="s">
        <v>4056</v>
      </c>
      <c r="B970" s="29"/>
      <c r="C970" s="29"/>
      <c r="D970" s="29" t="s">
        <v>4057</v>
      </c>
      <c r="E970" s="29" t="s">
        <v>4058</v>
      </c>
      <c r="F970" s="29" t="s">
        <v>4059</v>
      </c>
      <c r="G970" s="35"/>
      <c r="H970" s="35" t="s">
        <v>151</v>
      </c>
      <c r="I970" s="29" t="s">
        <v>4056</v>
      </c>
      <c r="J970" s="37"/>
      <c r="K970" s="38"/>
      <c r="L970" s="38"/>
      <c r="M970" s="36" t="s">
        <v>60</v>
      </c>
      <c r="N970" s="15" t="s">
        <v>152</v>
      </c>
      <c r="O970" s="36" t="s">
        <v>162</v>
      </c>
      <c r="P970" s="36" t="str">
        <f t="shared" si="30"/>
        <v>WMTS_航照影像_馬太鞍溪事件_1141002_2</v>
      </c>
      <c r="Q970" s="29" t="s">
        <v>4059</v>
      </c>
      <c r="R970" s="29" t="str">
        <f t="shared" si="31"/>
        <v>2dms_wmts_v1_Asrs202510022</v>
      </c>
      <c r="S970" s="39" t="s">
        <v>155</v>
      </c>
      <c r="U970" s="27" t="str">
        <f>_xlfn.XLOOKUP(表格1[[#This Row],[服務類別(英)]],參考2_服務標準對照!$B:$B,參考2_服務標準對照!$C:$C,"")&amp;""</f>
        <v>OGC</v>
      </c>
      <c r="V970" s="29" t="s">
        <v>7</v>
      </c>
      <c r="W970" s="29" t="s">
        <v>163</v>
      </c>
      <c r="X970" s="29" t="s">
        <v>81</v>
      </c>
      <c r="Y970" s="36" t="s">
        <v>83</v>
      </c>
      <c r="Z970" s="36" t="s">
        <v>157</v>
      </c>
      <c r="AA970" s="36" t="s">
        <v>173</v>
      </c>
      <c r="AB970" s="36"/>
      <c r="AC970" s="36"/>
      <c r="AD970" s="29" t="s">
        <v>119</v>
      </c>
      <c r="AE970" s="36" t="str">
        <f>_xlfn.XLOOKUP(表格1[[#This Row],[唯一識別碼]],API清冊0707!B:B,API清冊0707!T:T,"")&amp;""</f>
        <v>無下拉選單</v>
      </c>
    </row>
    <row r="971" spans="1:31" ht="204.75" customHeight="1" x14ac:dyDescent="0.4">
      <c r="A971" s="29" t="s">
        <v>4060</v>
      </c>
      <c r="B971" s="29"/>
      <c r="C971" s="29"/>
      <c r="D971" s="29" t="s">
        <v>4061</v>
      </c>
      <c r="E971" s="29" t="s">
        <v>4062</v>
      </c>
      <c r="F971" s="29" t="s">
        <v>4063</v>
      </c>
      <c r="G971" s="35"/>
      <c r="H971" s="35" t="s">
        <v>151</v>
      </c>
      <c r="I971" s="29" t="s">
        <v>4060</v>
      </c>
      <c r="J971" s="37"/>
      <c r="K971" s="38"/>
      <c r="L971" s="38"/>
      <c r="M971" s="36" t="s">
        <v>60</v>
      </c>
      <c r="N971" s="15" t="s">
        <v>152</v>
      </c>
      <c r="O971" s="36" t="s">
        <v>162</v>
      </c>
      <c r="P971" s="36" t="str">
        <f t="shared" si="30"/>
        <v>WMTS_航照影像_馬太鞍溪事件_1141002_1</v>
      </c>
      <c r="Q971" s="29" t="s">
        <v>4063</v>
      </c>
      <c r="R971" s="29" t="str">
        <f t="shared" si="31"/>
        <v>2dms_wmts_v1_Asrs202510021</v>
      </c>
      <c r="S971" s="39" t="s">
        <v>155</v>
      </c>
      <c r="U971" s="27" t="str">
        <f>_xlfn.XLOOKUP(表格1[[#This Row],[服務類別(英)]],參考2_服務標準對照!$B:$B,參考2_服務標準對照!$C:$C,"")&amp;""</f>
        <v>OGC</v>
      </c>
      <c r="V971" s="29" t="s">
        <v>7</v>
      </c>
      <c r="W971" s="29" t="s">
        <v>163</v>
      </c>
      <c r="X971" s="29" t="s">
        <v>81</v>
      </c>
      <c r="Y971" s="36" t="s">
        <v>83</v>
      </c>
      <c r="Z971" s="36" t="s">
        <v>157</v>
      </c>
      <c r="AA971" s="36" t="s">
        <v>173</v>
      </c>
      <c r="AB971" s="36"/>
      <c r="AC971" s="36"/>
      <c r="AD971" s="29" t="s">
        <v>119</v>
      </c>
      <c r="AE971" s="36" t="str">
        <f>_xlfn.XLOOKUP(表格1[[#This Row],[唯一識別碼]],API清冊0707!B:B,API清冊0707!T:T,"")&amp;""</f>
        <v>無下拉選單</v>
      </c>
    </row>
    <row r="972" spans="1:31" ht="204.75" customHeight="1" x14ac:dyDescent="0.4">
      <c r="A972" s="29" t="s">
        <v>4064</v>
      </c>
      <c r="B972" s="29"/>
      <c r="C972" s="29"/>
      <c r="D972" s="29" t="s">
        <v>4065</v>
      </c>
      <c r="E972" s="29" t="s">
        <v>4066</v>
      </c>
      <c r="F972" s="29" t="s">
        <v>4067</v>
      </c>
      <c r="G972" s="35"/>
      <c r="H972" s="35" t="s">
        <v>151</v>
      </c>
      <c r="I972" s="29" t="s">
        <v>4064</v>
      </c>
      <c r="J972" s="37"/>
      <c r="K972" s="38"/>
      <c r="L972" s="38"/>
      <c r="M972" s="36" t="s">
        <v>60</v>
      </c>
      <c r="N972" s="15" t="s">
        <v>152</v>
      </c>
      <c r="O972" s="36" t="s">
        <v>162</v>
      </c>
      <c r="P972" s="36" t="str">
        <f t="shared" si="30"/>
        <v>WMTS_航照影像_馬太鞍溪事件_1141001_1</v>
      </c>
      <c r="Q972" s="29" t="s">
        <v>4067</v>
      </c>
      <c r="R972" s="29" t="str">
        <f t="shared" si="31"/>
        <v>2dms_wmts_v1_Asrs202510011</v>
      </c>
      <c r="S972" s="39" t="s">
        <v>155</v>
      </c>
      <c r="U972" s="27" t="str">
        <f>_xlfn.XLOOKUP(表格1[[#This Row],[服務類別(英)]],參考2_服務標準對照!$B:$B,參考2_服務標準對照!$C:$C,"")&amp;""</f>
        <v>OGC</v>
      </c>
      <c r="V972" s="29" t="s">
        <v>7</v>
      </c>
      <c r="W972" s="29" t="s">
        <v>163</v>
      </c>
      <c r="X972" s="29" t="s">
        <v>81</v>
      </c>
      <c r="Y972" s="36" t="s">
        <v>83</v>
      </c>
      <c r="Z972" s="36" t="s">
        <v>157</v>
      </c>
      <c r="AA972" s="36" t="s">
        <v>173</v>
      </c>
      <c r="AB972" s="36"/>
      <c r="AC972" s="36"/>
      <c r="AD972" s="29" t="s">
        <v>119</v>
      </c>
      <c r="AE972" s="36" t="str">
        <f>_xlfn.XLOOKUP(表格1[[#This Row],[唯一識別碼]],API清冊0707!B:B,API清冊0707!T:T,"")&amp;""</f>
        <v>無下拉選單</v>
      </c>
    </row>
    <row r="973" spans="1:31" ht="204.75" customHeight="1" x14ac:dyDescent="0.4">
      <c r="A973" s="29" t="s">
        <v>4068</v>
      </c>
      <c r="B973" s="29"/>
      <c r="C973" s="29"/>
      <c r="D973" s="29" t="s">
        <v>4069</v>
      </c>
      <c r="E973" s="29" t="s">
        <v>4070</v>
      </c>
      <c r="F973" s="29" t="s">
        <v>4071</v>
      </c>
      <c r="G973" s="35"/>
      <c r="H973" s="35" t="s">
        <v>151</v>
      </c>
      <c r="I973" s="29" t="s">
        <v>4068</v>
      </c>
      <c r="J973" s="37"/>
      <c r="K973" s="38"/>
      <c r="L973" s="38"/>
      <c r="M973" s="36" t="s">
        <v>60</v>
      </c>
      <c r="N973" s="15" t="s">
        <v>152</v>
      </c>
      <c r="O973" s="36" t="s">
        <v>162</v>
      </c>
      <c r="P973" s="36" t="str">
        <f t="shared" si="30"/>
        <v>WMTS_航照影像_馬太鞍溪事件_1140930_2</v>
      </c>
      <c r="Q973" s="29" t="s">
        <v>4071</v>
      </c>
      <c r="R973" s="29" t="str">
        <f t="shared" si="31"/>
        <v>2dms_wmts_v1_Asrs202509302</v>
      </c>
      <c r="S973" s="39" t="s">
        <v>155</v>
      </c>
      <c r="U973" s="27" t="str">
        <f>_xlfn.XLOOKUP(表格1[[#This Row],[服務類別(英)]],參考2_服務標準對照!$B:$B,參考2_服務標準對照!$C:$C,"")&amp;""</f>
        <v>OGC</v>
      </c>
      <c r="V973" s="29" t="s">
        <v>7</v>
      </c>
      <c r="W973" s="29" t="s">
        <v>163</v>
      </c>
      <c r="X973" s="29" t="s">
        <v>81</v>
      </c>
      <c r="Y973" s="36" t="s">
        <v>83</v>
      </c>
      <c r="Z973" s="36" t="s">
        <v>157</v>
      </c>
      <c r="AA973" s="36" t="s">
        <v>173</v>
      </c>
      <c r="AB973" s="36"/>
      <c r="AC973" s="36"/>
      <c r="AD973" s="29" t="s">
        <v>119</v>
      </c>
      <c r="AE973" s="36" t="str">
        <f>_xlfn.XLOOKUP(表格1[[#This Row],[唯一識別碼]],API清冊0707!B:B,API清冊0707!T:T,"")&amp;""</f>
        <v>無下拉選單</v>
      </c>
    </row>
    <row r="974" spans="1:31" ht="204.75" customHeight="1" x14ac:dyDescent="0.4">
      <c r="A974" s="29" t="s">
        <v>4072</v>
      </c>
      <c r="B974" s="29"/>
      <c r="C974" s="29"/>
      <c r="D974" s="29" t="s">
        <v>4073</v>
      </c>
      <c r="E974" s="29" t="s">
        <v>4074</v>
      </c>
      <c r="F974" s="29" t="s">
        <v>4075</v>
      </c>
      <c r="G974" s="35"/>
      <c r="H974" s="35" t="s">
        <v>151</v>
      </c>
      <c r="I974" s="29" t="s">
        <v>4072</v>
      </c>
      <c r="J974" s="37"/>
      <c r="K974" s="38"/>
      <c r="L974" s="38"/>
      <c r="M974" s="36" t="s">
        <v>60</v>
      </c>
      <c r="N974" s="15" t="s">
        <v>152</v>
      </c>
      <c r="O974" s="36" t="s">
        <v>162</v>
      </c>
      <c r="P974" s="36" t="str">
        <f t="shared" si="30"/>
        <v>WMTS_航照影像_馬太鞍溪事件_1140930_1</v>
      </c>
      <c r="Q974" s="29" t="s">
        <v>4075</v>
      </c>
      <c r="R974" s="29" t="str">
        <f t="shared" si="31"/>
        <v>2dms_wmts_v1_Asrs202509301</v>
      </c>
      <c r="S974" s="39" t="s">
        <v>155</v>
      </c>
      <c r="U974" s="27" t="str">
        <f>_xlfn.XLOOKUP(表格1[[#This Row],[服務類別(英)]],參考2_服務標準對照!$B:$B,參考2_服務標準對照!$C:$C,"")&amp;""</f>
        <v>OGC</v>
      </c>
      <c r="V974" s="29" t="s">
        <v>7</v>
      </c>
      <c r="W974" s="29" t="s">
        <v>163</v>
      </c>
      <c r="X974" s="29" t="s">
        <v>81</v>
      </c>
      <c r="Y974" s="36" t="s">
        <v>83</v>
      </c>
      <c r="Z974" s="36" t="s">
        <v>157</v>
      </c>
      <c r="AA974" s="36" t="s">
        <v>173</v>
      </c>
      <c r="AB974" s="36"/>
      <c r="AC974" s="36"/>
      <c r="AD974" s="29" t="s">
        <v>119</v>
      </c>
      <c r="AE974" s="36" t="str">
        <f>_xlfn.XLOOKUP(表格1[[#This Row],[唯一識別碼]],API清冊0707!B:B,API清冊0707!T:T,"")&amp;""</f>
        <v>無下拉選單</v>
      </c>
    </row>
    <row r="975" spans="1:31" ht="204.75" customHeight="1" x14ac:dyDescent="0.4">
      <c r="A975" s="29" t="s">
        <v>4076</v>
      </c>
      <c r="B975" s="29"/>
      <c r="C975" s="29"/>
      <c r="D975" s="29" t="s">
        <v>4077</v>
      </c>
      <c r="E975" s="29" t="s">
        <v>4078</v>
      </c>
      <c r="F975" s="29" t="s">
        <v>4079</v>
      </c>
      <c r="G975" s="35"/>
      <c r="H975" s="35" t="s">
        <v>151</v>
      </c>
      <c r="I975" s="29" t="s">
        <v>4076</v>
      </c>
      <c r="J975" s="37"/>
      <c r="K975" s="38"/>
      <c r="L975" s="38"/>
      <c r="M975" s="36" t="s">
        <v>60</v>
      </c>
      <c r="N975" s="15" t="s">
        <v>152</v>
      </c>
      <c r="O975" s="36" t="s">
        <v>162</v>
      </c>
      <c r="P975" s="36" t="str">
        <f t="shared" si="30"/>
        <v>WMTS_航照影像_馬太鞍溪事件_1140929_2</v>
      </c>
      <c r="Q975" s="29" t="s">
        <v>4079</v>
      </c>
      <c r="R975" s="29" t="str">
        <f t="shared" si="31"/>
        <v>2dms_wmts_v1_Asrs202509292</v>
      </c>
      <c r="S975" s="39" t="s">
        <v>155</v>
      </c>
      <c r="U975" s="27" t="str">
        <f>_xlfn.XLOOKUP(表格1[[#This Row],[服務類別(英)]],參考2_服務標準對照!$B:$B,參考2_服務標準對照!$C:$C,"")&amp;""</f>
        <v>OGC</v>
      </c>
      <c r="V975" s="29" t="s">
        <v>7</v>
      </c>
      <c r="W975" s="29" t="s">
        <v>163</v>
      </c>
      <c r="X975" s="29" t="s">
        <v>81</v>
      </c>
      <c r="Y975" s="36" t="s">
        <v>83</v>
      </c>
      <c r="Z975" s="36" t="s">
        <v>157</v>
      </c>
      <c r="AA975" s="36" t="s">
        <v>173</v>
      </c>
      <c r="AB975" s="36"/>
      <c r="AC975" s="36"/>
      <c r="AD975" s="29" t="s">
        <v>119</v>
      </c>
      <c r="AE975" s="36" t="str">
        <f>_xlfn.XLOOKUP(表格1[[#This Row],[唯一識別碼]],API清冊0707!B:B,API清冊0707!T:T,"")&amp;""</f>
        <v>無下拉選單</v>
      </c>
    </row>
    <row r="976" spans="1:31" ht="204.75" customHeight="1" x14ac:dyDescent="0.4">
      <c r="A976" s="29" t="s">
        <v>4080</v>
      </c>
      <c r="B976" s="29"/>
      <c r="C976" s="29"/>
      <c r="D976" s="29" t="s">
        <v>4081</v>
      </c>
      <c r="E976" s="29" t="s">
        <v>4082</v>
      </c>
      <c r="F976" s="29" t="s">
        <v>4083</v>
      </c>
      <c r="G976" s="35"/>
      <c r="H976" s="35" t="s">
        <v>151</v>
      </c>
      <c r="I976" s="29" t="s">
        <v>4080</v>
      </c>
      <c r="J976" s="37"/>
      <c r="K976" s="38"/>
      <c r="L976" s="38"/>
      <c r="M976" s="36" t="s">
        <v>60</v>
      </c>
      <c r="N976" s="15" t="s">
        <v>152</v>
      </c>
      <c r="O976" s="36" t="s">
        <v>162</v>
      </c>
      <c r="P976" s="36" t="str">
        <f t="shared" si="30"/>
        <v>WMTS_航照影像_馬太鞍溪事件_1140929_1</v>
      </c>
      <c r="Q976" s="29" t="s">
        <v>4083</v>
      </c>
      <c r="R976" s="29" t="str">
        <f t="shared" si="31"/>
        <v>2dms_wmts_v1_Asrs202509291</v>
      </c>
      <c r="S976" s="39" t="s">
        <v>155</v>
      </c>
      <c r="U976" s="27" t="str">
        <f>_xlfn.XLOOKUP(表格1[[#This Row],[服務類別(英)]],參考2_服務標準對照!$B:$B,參考2_服務標準對照!$C:$C,"")&amp;""</f>
        <v>OGC</v>
      </c>
      <c r="V976" s="29" t="s">
        <v>7</v>
      </c>
      <c r="W976" s="29" t="s">
        <v>163</v>
      </c>
      <c r="X976" s="29" t="s">
        <v>81</v>
      </c>
      <c r="Y976" s="36" t="s">
        <v>83</v>
      </c>
      <c r="Z976" s="36" t="s">
        <v>157</v>
      </c>
      <c r="AA976" s="36" t="s">
        <v>173</v>
      </c>
      <c r="AB976" s="36"/>
      <c r="AC976" s="36"/>
      <c r="AD976" s="29" t="s">
        <v>119</v>
      </c>
      <c r="AE976" s="36" t="str">
        <f>_xlfn.XLOOKUP(表格1[[#This Row],[唯一識別碼]],API清冊0707!B:B,API清冊0707!T:T,"")&amp;""</f>
        <v>無下拉選單</v>
      </c>
    </row>
    <row r="977" spans="1:31" ht="204.75" customHeight="1" x14ac:dyDescent="0.4">
      <c r="A977" s="29" t="s">
        <v>4084</v>
      </c>
      <c r="B977" s="29"/>
      <c r="C977" s="29"/>
      <c r="D977" s="29" t="s">
        <v>4085</v>
      </c>
      <c r="E977" s="29" t="s">
        <v>4086</v>
      </c>
      <c r="F977" s="29" t="s">
        <v>4087</v>
      </c>
      <c r="G977" s="35"/>
      <c r="H977" s="35" t="s">
        <v>151</v>
      </c>
      <c r="I977" s="29" t="s">
        <v>4084</v>
      </c>
      <c r="J977" s="37"/>
      <c r="K977" s="38"/>
      <c r="L977" s="38"/>
      <c r="M977" s="36" t="s">
        <v>60</v>
      </c>
      <c r="N977" s="15" t="s">
        <v>152</v>
      </c>
      <c r="O977" s="36" t="s">
        <v>162</v>
      </c>
      <c r="P977" s="36" t="str">
        <f t="shared" si="30"/>
        <v>WMTS_航照影像_馬太鞍溪事件_1140928_2</v>
      </c>
      <c r="Q977" s="29" t="s">
        <v>4087</v>
      </c>
      <c r="R977" s="29" t="str">
        <f t="shared" si="31"/>
        <v>2dms_wmts_v1_Asrs202509282</v>
      </c>
      <c r="S977" s="39" t="s">
        <v>155</v>
      </c>
      <c r="U977" s="27" t="str">
        <f>_xlfn.XLOOKUP(表格1[[#This Row],[服務類別(英)]],參考2_服務標準對照!$B:$B,參考2_服務標準對照!$C:$C,"")&amp;""</f>
        <v>OGC</v>
      </c>
      <c r="V977" s="29" t="s">
        <v>7</v>
      </c>
      <c r="W977" s="29" t="s">
        <v>163</v>
      </c>
      <c r="X977" s="29" t="s">
        <v>81</v>
      </c>
      <c r="Y977" s="36" t="s">
        <v>83</v>
      </c>
      <c r="Z977" s="36" t="s">
        <v>157</v>
      </c>
      <c r="AA977" s="36" t="s">
        <v>173</v>
      </c>
      <c r="AB977" s="36"/>
      <c r="AC977" s="36"/>
      <c r="AD977" s="29" t="s">
        <v>119</v>
      </c>
      <c r="AE977" s="36" t="str">
        <f>_xlfn.XLOOKUP(表格1[[#This Row],[唯一識別碼]],API清冊0707!B:B,API清冊0707!T:T,"")&amp;""</f>
        <v>無下拉選單</v>
      </c>
    </row>
    <row r="978" spans="1:31" ht="204.75" customHeight="1" x14ac:dyDescent="0.4">
      <c r="A978" s="29" t="s">
        <v>4088</v>
      </c>
      <c r="B978" s="29"/>
      <c r="C978" s="29"/>
      <c r="D978" s="29" t="s">
        <v>4089</v>
      </c>
      <c r="E978" s="29" t="s">
        <v>4090</v>
      </c>
      <c r="F978" s="29" t="s">
        <v>4091</v>
      </c>
      <c r="G978" s="35"/>
      <c r="H978" s="35" t="s">
        <v>151</v>
      </c>
      <c r="I978" s="29" t="s">
        <v>4088</v>
      </c>
      <c r="J978" s="37"/>
      <c r="K978" s="38"/>
      <c r="L978" s="38"/>
      <c r="M978" s="36" t="s">
        <v>60</v>
      </c>
      <c r="N978" s="15" t="s">
        <v>152</v>
      </c>
      <c r="O978" s="36" t="s">
        <v>162</v>
      </c>
      <c r="P978" s="36" t="str">
        <f t="shared" si="30"/>
        <v>WMTS_航照影像_馬太鞍溪事件_1140928_1</v>
      </c>
      <c r="Q978" s="29" t="s">
        <v>4091</v>
      </c>
      <c r="R978" s="29" t="str">
        <f t="shared" si="31"/>
        <v>2dms_wmts_v1_Asrs202509281</v>
      </c>
      <c r="S978" s="39" t="s">
        <v>155</v>
      </c>
      <c r="U978" s="27" t="str">
        <f>_xlfn.XLOOKUP(表格1[[#This Row],[服務類別(英)]],參考2_服務標準對照!$B:$B,參考2_服務標準對照!$C:$C,"")&amp;""</f>
        <v>OGC</v>
      </c>
      <c r="V978" s="29" t="s">
        <v>7</v>
      </c>
      <c r="W978" s="29" t="s">
        <v>163</v>
      </c>
      <c r="X978" s="29" t="s">
        <v>81</v>
      </c>
      <c r="Y978" s="36" t="s">
        <v>83</v>
      </c>
      <c r="Z978" s="36" t="s">
        <v>157</v>
      </c>
      <c r="AA978" s="36" t="s">
        <v>173</v>
      </c>
      <c r="AB978" s="36"/>
      <c r="AC978" s="36"/>
      <c r="AD978" s="29" t="s">
        <v>119</v>
      </c>
      <c r="AE978" s="36" t="str">
        <f>_xlfn.XLOOKUP(表格1[[#This Row],[唯一識別碼]],API清冊0707!B:B,API清冊0707!T:T,"")&amp;""</f>
        <v>無下拉選單</v>
      </c>
    </row>
    <row r="979" spans="1:31" ht="204.75" customHeight="1" x14ac:dyDescent="0.4">
      <c r="A979" s="29" t="s">
        <v>4092</v>
      </c>
      <c r="B979" s="29"/>
      <c r="C979" s="29"/>
      <c r="D979" s="29" t="s">
        <v>4093</v>
      </c>
      <c r="E979" s="29" t="s">
        <v>4094</v>
      </c>
      <c r="F979" s="29" t="s">
        <v>4095</v>
      </c>
      <c r="G979" s="35"/>
      <c r="H979" s="35" t="s">
        <v>151</v>
      </c>
      <c r="I979" s="29" t="s">
        <v>4092</v>
      </c>
      <c r="J979" s="37"/>
      <c r="K979" s="38"/>
      <c r="L979" s="38"/>
      <c r="M979" s="36" t="s">
        <v>60</v>
      </c>
      <c r="N979" s="15" t="s">
        <v>152</v>
      </c>
      <c r="O979" s="36" t="s">
        <v>162</v>
      </c>
      <c r="P979" s="36" t="str">
        <f t="shared" si="30"/>
        <v>WMTS_航照影像_馬太鞍溪事件_1140927_3</v>
      </c>
      <c r="Q979" s="29" t="s">
        <v>4095</v>
      </c>
      <c r="R979" s="29" t="str">
        <f t="shared" si="31"/>
        <v>2dms_wmts_v1_Asrs202509273</v>
      </c>
      <c r="S979" s="39" t="s">
        <v>155</v>
      </c>
      <c r="U979" s="27" t="str">
        <f>_xlfn.XLOOKUP(表格1[[#This Row],[服務類別(英)]],參考2_服務標準對照!$B:$B,參考2_服務標準對照!$C:$C,"")&amp;""</f>
        <v>OGC</v>
      </c>
      <c r="V979" s="29" t="s">
        <v>7</v>
      </c>
      <c r="W979" s="29" t="s">
        <v>163</v>
      </c>
      <c r="X979" s="29" t="s">
        <v>81</v>
      </c>
      <c r="Y979" s="36" t="s">
        <v>83</v>
      </c>
      <c r="Z979" s="36" t="s">
        <v>157</v>
      </c>
      <c r="AA979" s="36" t="s">
        <v>173</v>
      </c>
      <c r="AB979" s="36"/>
      <c r="AC979" s="36"/>
      <c r="AD979" s="29" t="s">
        <v>119</v>
      </c>
      <c r="AE979" s="36" t="str">
        <f>_xlfn.XLOOKUP(表格1[[#This Row],[唯一識別碼]],API清冊0707!B:B,API清冊0707!T:T,"")&amp;""</f>
        <v>無下拉選單</v>
      </c>
    </row>
    <row r="980" spans="1:31" ht="204.75" customHeight="1" x14ac:dyDescent="0.4">
      <c r="A980" s="29" t="s">
        <v>4096</v>
      </c>
      <c r="B980" s="29"/>
      <c r="C980" s="29"/>
      <c r="D980" s="29" t="s">
        <v>4097</v>
      </c>
      <c r="E980" s="29" t="s">
        <v>4098</v>
      </c>
      <c r="F980" s="29" t="s">
        <v>4099</v>
      </c>
      <c r="G980" s="35"/>
      <c r="H980" s="35" t="s">
        <v>151</v>
      </c>
      <c r="I980" s="29" t="s">
        <v>4096</v>
      </c>
      <c r="J980" s="37"/>
      <c r="K980" s="38"/>
      <c r="L980" s="38"/>
      <c r="M980" s="36" t="s">
        <v>60</v>
      </c>
      <c r="N980" s="15" t="s">
        <v>152</v>
      </c>
      <c r="O980" s="36" t="s">
        <v>162</v>
      </c>
      <c r="P980" s="36" t="str">
        <f t="shared" si="30"/>
        <v>WMTS_航照影像_馬太鞍溪事件_1140927_2</v>
      </c>
      <c r="Q980" s="29" t="s">
        <v>4099</v>
      </c>
      <c r="R980" s="29" t="str">
        <f t="shared" si="31"/>
        <v>2dms_wmts_v1_Asrs202509272</v>
      </c>
      <c r="S980" s="39" t="s">
        <v>155</v>
      </c>
      <c r="U980" s="27" t="str">
        <f>_xlfn.XLOOKUP(表格1[[#This Row],[服務類別(英)]],參考2_服務標準對照!$B:$B,參考2_服務標準對照!$C:$C,"")&amp;""</f>
        <v>OGC</v>
      </c>
      <c r="V980" s="29" t="s">
        <v>7</v>
      </c>
      <c r="W980" s="29" t="s">
        <v>163</v>
      </c>
      <c r="X980" s="29" t="s">
        <v>81</v>
      </c>
      <c r="Y980" s="36" t="s">
        <v>83</v>
      </c>
      <c r="Z980" s="36" t="s">
        <v>157</v>
      </c>
      <c r="AA980" s="36" t="s">
        <v>173</v>
      </c>
      <c r="AB980" s="36"/>
      <c r="AC980" s="36"/>
      <c r="AD980" s="29" t="s">
        <v>119</v>
      </c>
      <c r="AE980" s="36" t="str">
        <f>_xlfn.XLOOKUP(表格1[[#This Row],[唯一識別碼]],API清冊0707!B:B,API清冊0707!T:T,"")&amp;""</f>
        <v>無下拉選單</v>
      </c>
    </row>
    <row r="981" spans="1:31" ht="204.75" customHeight="1" x14ac:dyDescent="0.4">
      <c r="A981" s="29" t="s">
        <v>4100</v>
      </c>
      <c r="B981" s="29"/>
      <c r="C981" s="29"/>
      <c r="D981" s="29" t="s">
        <v>4101</v>
      </c>
      <c r="E981" s="29" t="s">
        <v>4102</v>
      </c>
      <c r="F981" s="29" t="s">
        <v>4103</v>
      </c>
      <c r="G981" s="35"/>
      <c r="H981" s="35" t="s">
        <v>151</v>
      </c>
      <c r="I981" s="29" t="s">
        <v>4100</v>
      </c>
      <c r="J981" s="37"/>
      <c r="K981" s="38"/>
      <c r="L981" s="38"/>
      <c r="M981" s="36" t="s">
        <v>60</v>
      </c>
      <c r="N981" s="15" t="s">
        <v>152</v>
      </c>
      <c r="O981" s="36" t="s">
        <v>162</v>
      </c>
      <c r="P981" s="36" t="str">
        <f t="shared" si="30"/>
        <v>WMTS_航照影像_馬太鞍溪事件_1140927_1</v>
      </c>
      <c r="Q981" s="29" t="s">
        <v>4103</v>
      </c>
      <c r="R981" s="29" t="str">
        <f t="shared" si="31"/>
        <v>2dms_wmts_v1_Asrs202509271</v>
      </c>
      <c r="S981" s="39" t="s">
        <v>155</v>
      </c>
      <c r="U981" s="27" t="str">
        <f>_xlfn.XLOOKUP(表格1[[#This Row],[服務類別(英)]],參考2_服務標準對照!$B:$B,參考2_服務標準對照!$C:$C,"")&amp;""</f>
        <v>OGC</v>
      </c>
      <c r="V981" s="29" t="s">
        <v>7</v>
      </c>
      <c r="W981" s="29" t="s">
        <v>163</v>
      </c>
      <c r="X981" s="29" t="s">
        <v>81</v>
      </c>
      <c r="Y981" s="36" t="s">
        <v>83</v>
      </c>
      <c r="Z981" s="36" t="s">
        <v>157</v>
      </c>
      <c r="AA981" s="36" t="s">
        <v>173</v>
      </c>
      <c r="AB981" s="36"/>
      <c r="AC981" s="36"/>
      <c r="AD981" s="29" t="s">
        <v>119</v>
      </c>
      <c r="AE981" s="36" t="str">
        <f>_xlfn.XLOOKUP(表格1[[#This Row],[唯一識別碼]],API清冊0707!B:B,API清冊0707!T:T,"")&amp;""</f>
        <v>無下拉選單</v>
      </c>
    </row>
    <row r="982" spans="1:31" ht="204.75" customHeight="1" x14ac:dyDescent="0.4">
      <c r="A982" s="29" t="s">
        <v>4104</v>
      </c>
      <c r="B982" s="29"/>
      <c r="C982" s="29"/>
      <c r="D982" s="29" t="s">
        <v>4105</v>
      </c>
      <c r="E982" s="29" t="s">
        <v>4106</v>
      </c>
      <c r="F982" s="29" t="s">
        <v>4107</v>
      </c>
      <c r="G982" s="35"/>
      <c r="H982" s="35" t="s">
        <v>151</v>
      </c>
      <c r="I982" s="29" t="s">
        <v>4104</v>
      </c>
      <c r="J982" s="37"/>
      <c r="K982" s="38"/>
      <c r="L982" s="38"/>
      <c r="M982" s="36" t="s">
        <v>60</v>
      </c>
      <c r="N982" s="15" t="s">
        <v>152</v>
      </c>
      <c r="O982" s="36" t="s">
        <v>162</v>
      </c>
      <c r="P982" s="36" t="str">
        <f t="shared" si="30"/>
        <v>WMTS_航照影像_馬太鞍溪事件_1140925_3</v>
      </c>
      <c r="Q982" s="29" t="s">
        <v>4107</v>
      </c>
      <c r="R982" s="29" t="str">
        <f t="shared" si="31"/>
        <v>2dms_wmts_v1_Asrs202509253</v>
      </c>
      <c r="S982" s="39" t="s">
        <v>155</v>
      </c>
      <c r="U982" s="27" t="str">
        <f>_xlfn.XLOOKUP(表格1[[#This Row],[服務類別(英)]],參考2_服務標準對照!$B:$B,參考2_服務標準對照!$C:$C,"")&amp;""</f>
        <v>OGC</v>
      </c>
      <c r="V982" s="29" t="s">
        <v>7</v>
      </c>
      <c r="W982" s="29" t="s">
        <v>163</v>
      </c>
      <c r="X982" s="29" t="s">
        <v>81</v>
      </c>
      <c r="Y982" s="36" t="s">
        <v>83</v>
      </c>
      <c r="Z982" s="36" t="s">
        <v>157</v>
      </c>
      <c r="AA982" s="36" t="s">
        <v>173</v>
      </c>
      <c r="AB982" s="36"/>
      <c r="AC982" s="36"/>
      <c r="AD982" s="29" t="s">
        <v>119</v>
      </c>
      <c r="AE982" s="36" t="str">
        <f>_xlfn.XLOOKUP(表格1[[#This Row],[唯一識別碼]],API清冊0707!B:B,API清冊0707!T:T,"")&amp;""</f>
        <v>無下拉選單</v>
      </c>
    </row>
    <row r="983" spans="1:31" ht="204.75" customHeight="1" x14ac:dyDescent="0.4">
      <c r="A983" s="29" t="s">
        <v>4108</v>
      </c>
      <c r="B983" s="29"/>
      <c r="C983" s="29"/>
      <c r="D983" s="29" t="s">
        <v>4109</v>
      </c>
      <c r="E983" s="29" t="s">
        <v>4110</v>
      </c>
      <c r="F983" s="29" t="s">
        <v>4111</v>
      </c>
      <c r="G983" s="35"/>
      <c r="H983" s="35" t="s">
        <v>151</v>
      </c>
      <c r="I983" s="29" t="s">
        <v>4108</v>
      </c>
      <c r="J983" s="37"/>
      <c r="K983" s="38"/>
      <c r="L983" s="38"/>
      <c r="M983" s="36" t="s">
        <v>60</v>
      </c>
      <c r="N983" s="15" t="s">
        <v>152</v>
      </c>
      <c r="O983" s="36" t="s">
        <v>162</v>
      </c>
      <c r="P983" s="36" t="str">
        <f t="shared" si="30"/>
        <v>WMTS_航照影像_馬太鞍溪事件_1140925_2</v>
      </c>
      <c r="Q983" s="29" t="s">
        <v>4111</v>
      </c>
      <c r="R983" s="29" t="str">
        <f t="shared" si="31"/>
        <v>2dms_wmts_v1_Asrs202509252</v>
      </c>
      <c r="S983" s="39" t="s">
        <v>155</v>
      </c>
      <c r="U983" s="27" t="str">
        <f>_xlfn.XLOOKUP(表格1[[#This Row],[服務類別(英)]],參考2_服務標準對照!$B:$B,參考2_服務標準對照!$C:$C,"")&amp;""</f>
        <v>OGC</v>
      </c>
      <c r="V983" s="29" t="s">
        <v>7</v>
      </c>
      <c r="W983" s="29" t="s">
        <v>163</v>
      </c>
      <c r="X983" s="29" t="s">
        <v>81</v>
      </c>
      <c r="Y983" s="36" t="s">
        <v>83</v>
      </c>
      <c r="Z983" s="36" t="s">
        <v>157</v>
      </c>
      <c r="AA983" s="36" t="s">
        <v>173</v>
      </c>
      <c r="AB983" s="36"/>
      <c r="AC983" s="36"/>
      <c r="AD983" s="29" t="s">
        <v>119</v>
      </c>
      <c r="AE983" s="36" t="str">
        <f>_xlfn.XLOOKUP(表格1[[#This Row],[唯一識別碼]],API清冊0707!B:B,API清冊0707!T:T,"")&amp;""</f>
        <v>無下拉選單</v>
      </c>
    </row>
    <row r="984" spans="1:31" ht="204.75" customHeight="1" x14ac:dyDescent="0.4">
      <c r="A984" s="29" t="s">
        <v>4112</v>
      </c>
      <c r="B984" s="29"/>
      <c r="C984" s="29"/>
      <c r="D984" s="29" t="s">
        <v>4113</v>
      </c>
      <c r="E984" s="29" t="s">
        <v>4114</v>
      </c>
      <c r="F984" s="29" t="s">
        <v>4115</v>
      </c>
      <c r="G984" s="35"/>
      <c r="H984" s="35" t="s">
        <v>151</v>
      </c>
      <c r="I984" s="29" t="s">
        <v>4112</v>
      </c>
      <c r="J984" s="37"/>
      <c r="K984" s="38"/>
      <c r="L984" s="38"/>
      <c r="M984" s="36" t="s">
        <v>60</v>
      </c>
      <c r="N984" s="15" t="s">
        <v>152</v>
      </c>
      <c r="O984" s="36" t="s">
        <v>162</v>
      </c>
      <c r="P984" s="36" t="str">
        <f t="shared" si="30"/>
        <v>WMTS_航照影像_馬太鞍溪事件_1140925_1</v>
      </c>
      <c r="Q984" s="29" t="s">
        <v>4115</v>
      </c>
      <c r="R984" s="29" t="str">
        <f t="shared" si="31"/>
        <v>2dms_wmts_v1_Asrs202509251</v>
      </c>
      <c r="S984" s="39" t="s">
        <v>155</v>
      </c>
      <c r="U984" s="27" t="str">
        <f>_xlfn.XLOOKUP(表格1[[#This Row],[服務類別(英)]],參考2_服務標準對照!$B:$B,參考2_服務標準對照!$C:$C,"")&amp;""</f>
        <v>OGC</v>
      </c>
      <c r="V984" s="29" t="s">
        <v>7</v>
      </c>
      <c r="W984" s="29" t="s">
        <v>163</v>
      </c>
      <c r="X984" s="29" t="s">
        <v>81</v>
      </c>
      <c r="Y984" s="36" t="s">
        <v>83</v>
      </c>
      <c r="Z984" s="36" t="s">
        <v>157</v>
      </c>
      <c r="AA984" s="36" t="s">
        <v>173</v>
      </c>
      <c r="AB984" s="36"/>
      <c r="AC984" s="36"/>
      <c r="AD984" s="29" t="s">
        <v>119</v>
      </c>
      <c r="AE984" s="36" t="str">
        <f>_xlfn.XLOOKUP(表格1[[#This Row],[唯一識別碼]],API清冊0707!B:B,API清冊0707!T:T,"")&amp;""</f>
        <v>無下拉選單</v>
      </c>
    </row>
    <row r="985" spans="1:31" ht="189" customHeight="1" x14ac:dyDescent="0.4">
      <c r="A985" s="29" t="s">
        <v>4116</v>
      </c>
      <c r="B985" s="29"/>
      <c r="C985" s="29"/>
      <c r="D985" s="29" t="s">
        <v>4117</v>
      </c>
      <c r="E985" s="29" t="s">
        <v>4118</v>
      </c>
      <c r="F985" s="29" t="s">
        <v>4119</v>
      </c>
      <c r="G985" s="35"/>
      <c r="H985" s="35" t="s">
        <v>151</v>
      </c>
      <c r="I985" s="29" t="s">
        <v>4116</v>
      </c>
      <c r="J985" s="37"/>
      <c r="K985" s="38"/>
      <c r="L985" s="38"/>
      <c r="M985" s="36" t="s">
        <v>60</v>
      </c>
      <c r="N985" s="15" t="s">
        <v>152</v>
      </c>
      <c r="O985" s="36" t="s">
        <v>162</v>
      </c>
      <c r="P985" s="36" t="str">
        <f t="shared" si="30"/>
        <v>WMTS_OPENDATA_公共場所AED位置資訊</v>
      </c>
      <c r="Q985" s="29" t="s">
        <v>4119</v>
      </c>
      <c r="R985" s="29" t="str">
        <f t="shared" si="31"/>
        <v>2dms_wmts_v1_AED</v>
      </c>
      <c r="S985" s="39" t="s">
        <v>155</v>
      </c>
      <c r="U985" s="27" t="str">
        <f>_xlfn.XLOOKUP(表格1[[#This Row],[服務類別(英)]],參考2_服務標準對照!$B:$B,參考2_服務標準對照!$C:$C,"")&amp;""</f>
        <v>OGC</v>
      </c>
      <c r="V985" s="29" t="s">
        <v>7</v>
      </c>
      <c r="W985" s="29" t="s">
        <v>163</v>
      </c>
      <c r="X985" s="29" t="s">
        <v>81</v>
      </c>
      <c r="Y985" s="36" t="s">
        <v>83</v>
      </c>
      <c r="Z985" s="36" t="s">
        <v>157</v>
      </c>
      <c r="AA985" s="36" t="s">
        <v>7</v>
      </c>
      <c r="AB985" s="36"/>
      <c r="AC985" s="36"/>
      <c r="AD985" s="29" t="s">
        <v>119</v>
      </c>
      <c r="AE985" s="36" t="str">
        <f>_xlfn.XLOOKUP(表格1[[#This Row],[唯一識別碼]],API清冊0707!B:B,API清冊0707!T:T,"")&amp;""</f>
        <v>無下拉選單</v>
      </c>
    </row>
    <row r="986" spans="1:31" ht="142.5" customHeight="1" x14ac:dyDescent="0.4">
      <c r="A986" s="29" t="s">
        <v>4120</v>
      </c>
      <c r="B986" s="29"/>
      <c r="C986" s="29"/>
      <c r="D986" s="29" t="s">
        <v>4121</v>
      </c>
      <c r="E986" s="29" t="s">
        <v>1470</v>
      </c>
      <c r="F986" s="29" t="s">
        <v>4122</v>
      </c>
      <c r="G986" s="35"/>
      <c r="H986" s="35" t="s">
        <v>151</v>
      </c>
      <c r="I986" s="29" t="s">
        <v>4120</v>
      </c>
      <c r="J986" s="37"/>
      <c r="K986" s="38"/>
      <c r="L986" s="38"/>
      <c r="M986" s="36" t="s">
        <v>60</v>
      </c>
      <c r="N986" s="15" t="s">
        <v>152</v>
      </c>
      <c r="O986" s="36" t="s">
        <v>4123</v>
      </c>
      <c r="P986" s="36" t="str">
        <f t="shared" si="30"/>
        <v>WFS_1/1000地形圖_臺中市東勢都市計畫(112年)</v>
      </c>
      <c r="Q986" s="29" t="s">
        <v>4122</v>
      </c>
      <c r="R986" s="29" t="str">
        <f t="shared" si="31"/>
        <v>2dms_t1kwfs_v1_TOPON1K_B04</v>
      </c>
      <c r="S986" s="39" t="s">
        <v>4124</v>
      </c>
      <c r="U986" s="27" t="str">
        <f>_xlfn.XLOOKUP(表格1[[#This Row],[服務類別(英)]],參考2_服務標準對照!$B:$B,參考2_服務標準對照!$C:$C,"")&amp;""</f>
        <v>OGC</v>
      </c>
      <c r="V986" s="29" t="s">
        <v>8</v>
      </c>
      <c r="W986" s="29" t="s">
        <v>4125</v>
      </c>
      <c r="X986" s="29" t="s">
        <v>81</v>
      </c>
      <c r="Y986" s="36" t="s">
        <v>83</v>
      </c>
      <c r="Z986" s="36" t="s">
        <v>157</v>
      </c>
      <c r="AA986" s="36" t="s">
        <v>4126</v>
      </c>
      <c r="AB986" s="36"/>
      <c r="AC986" s="36"/>
      <c r="AD986" s="29" t="s">
        <v>119</v>
      </c>
      <c r="AE986" s="36" t="str">
        <f>_xlfn.XLOOKUP(表格1[[#This Row],[唯一識別碼]],API清冊0707!B:B,API清冊0707!T:T,"")&amp;""</f>
        <v>無下拉選單</v>
      </c>
    </row>
    <row r="987" spans="1:31" ht="142.5" customHeight="1" x14ac:dyDescent="0.4">
      <c r="A987" s="29" t="s">
        <v>4127</v>
      </c>
      <c r="B987" s="29"/>
      <c r="C987" s="29"/>
      <c r="D987" s="29" t="s">
        <v>4128</v>
      </c>
      <c r="E987" s="29" t="s">
        <v>1466</v>
      </c>
      <c r="F987" s="29" t="s">
        <v>4129</v>
      </c>
      <c r="G987" s="35"/>
      <c r="H987" s="35" t="s">
        <v>151</v>
      </c>
      <c r="I987" s="29" t="s">
        <v>4127</v>
      </c>
      <c r="J987" s="37"/>
      <c r="K987" s="38"/>
      <c r="L987" s="38"/>
      <c r="M987" s="36" t="s">
        <v>60</v>
      </c>
      <c r="N987" s="15" t="s">
        <v>152</v>
      </c>
      <c r="O987" s="36" t="s">
        <v>4123</v>
      </c>
      <c r="P987" s="36" t="str">
        <f t="shared" si="30"/>
        <v>WFS_1/1000地形圖_臺中市新社都市計畫(112年)</v>
      </c>
      <c r="Q987" s="29" t="s">
        <v>4129</v>
      </c>
      <c r="R987" s="29" t="str">
        <f t="shared" si="31"/>
        <v>2dms_t1kwfs_v1_TOPON1K_B11</v>
      </c>
      <c r="S987" s="39" t="s">
        <v>4124</v>
      </c>
      <c r="U987" s="27" t="str">
        <f>_xlfn.XLOOKUP(表格1[[#This Row],[服務類別(英)]],參考2_服務標準對照!$B:$B,參考2_服務標準對照!$C:$C,"")&amp;""</f>
        <v>OGC</v>
      </c>
      <c r="V987" s="29" t="s">
        <v>8</v>
      </c>
      <c r="W987" s="29" t="s">
        <v>4125</v>
      </c>
      <c r="X987" s="29" t="s">
        <v>81</v>
      </c>
      <c r="Y987" s="36" t="s">
        <v>83</v>
      </c>
      <c r="Z987" s="36" t="s">
        <v>157</v>
      </c>
      <c r="AA987" s="36" t="s">
        <v>4126</v>
      </c>
      <c r="AB987" s="36"/>
      <c r="AC987" s="36"/>
      <c r="AD987" s="29" t="s">
        <v>119</v>
      </c>
      <c r="AE987" s="36" t="str">
        <f>_xlfn.XLOOKUP(表格1[[#This Row],[唯一識別碼]],API清冊0707!B:B,API清冊0707!T:T,"")&amp;""</f>
        <v>無下拉選單</v>
      </c>
    </row>
    <row r="988" spans="1:31" ht="142.5" customHeight="1" x14ac:dyDescent="0.4">
      <c r="A988" s="29" t="s">
        <v>4130</v>
      </c>
      <c r="B988" s="29"/>
      <c r="C988" s="29"/>
      <c r="D988" s="29" t="s">
        <v>4131</v>
      </c>
      <c r="E988" s="29" t="s">
        <v>1462</v>
      </c>
      <c r="F988" s="29" t="s">
        <v>4132</v>
      </c>
      <c r="G988" s="35"/>
      <c r="H988" s="35" t="s">
        <v>151</v>
      </c>
      <c r="I988" s="29" t="s">
        <v>4130</v>
      </c>
      <c r="J988" s="37"/>
      <c r="K988" s="38"/>
      <c r="L988" s="38"/>
      <c r="M988" s="36" t="s">
        <v>60</v>
      </c>
      <c r="N988" s="15" t="s">
        <v>152</v>
      </c>
      <c r="O988" s="36" t="s">
        <v>4123</v>
      </c>
      <c r="P988" s="36" t="str">
        <f t="shared" si="30"/>
        <v>WFS_1/1000地形圖_臺中市烏日都市計畫(112年)</v>
      </c>
      <c r="Q988" s="29" t="s">
        <v>4132</v>
      </c>
      <c r="R988" s="29" t="str">
        <f t="shared" si="31"/>
        <v>2dms_t1kwfs_v1_TOPON1K_B14</v>
      </c>
      <c r="S988" s="39" t="s">
        <v>4124</v>
      </c>
      <c r="U988" s="27" t="str">
        <f>_xlfn.XLOOKUP(表格1[[#This Row],[服務類別(英)]],參考2_服務標準對照!$B:$B,參考2_服務標準對照!$C:$C,"")&amp;""</f>
        <v>OGC</v>
      </c>
      <c r="V988" s="29" t="s">
        <v>8</v>
      </c>
      <c r="W988" s="29" t="s">
        <v>4125</v>
      </c>
      <c r="X988" s="29" t="s">
        <v>81</v>
      </c>
      <c r="Y988" s="36" t="s">
        <v>83</v>
      </c>
      <c r="Z988" s="36" t="s">
        <v>157</v>
      </c>
      <c r="AA988" s="36" t="s">
        <v>4126</v>
      </c>
      <c r="AB988" s="36"/>
      <c r="AC988" s="36"/>
      <c r="AD988" s="29" t="s">
        <v>119</v>
      </c>
      <c r="AE988" s="36" t="str">
        <f>_xlfn.XLOOKUP(表格1[[#This Row],[唯一識別碼]],API清冊0707!B:B,API清冊0707!T:T,"")&amp;""</f>
        <v>無下拉選單</v>
      </c>
    </row>
    <row r="989" spans="1:31" ht="142.5" customHeight="1" x14ac:dyDescent="0.4">
      <c r="A989" s="29" t="s">
        <v>4133</v>
      </c>
      <c r="B989" s="29"/>
      <c r="C989" s="29"/>
      <c r="D989" s="29" t="s">
        <v>4134</v>
      </c>
      <c r="E989" s="29" t="s">
        <v>1458</v>
      </c>
      <c r="F989" s="29" t="s">
        <v>4135</v>
      </c>
      <c r="G989" s="35"/>
      <c r="H989" s="35" t="s">
        <v>151</v>
      </c>
      <c r="I989" s="29" t="s">
        <v>4133</v>
      </c>
      <c r="J989" s="37"/>
      <c r="K989" s="38"/>
      <c r="L989" s="38"/>
      <c r="M989" s="36" t="s">
        <v>60</v>
      </c>
      <c r="N989" s="15" t="s">
        <v>152</v>
      </c>
      <c r="O989" s="36" t="s">
        <v>4123</v>
      </c>
      <c r="P989" s="36" t="str">
        <f t="shared" si="30"/>
        <v>WFS_1/1000地形圖_臺中市大肚都市計畫(112年)</v>
      </c>
      <c r="Q989" s="29" t="s">
        <v>4135</v>
      </c>
      <c r="R989" s="29" t="str">
        <f t="shared" si="31"/>
        <v>2dms_t1kwfs_v1_TOPON1K_B15</v>
      </c>
      <c r="S989" s="39" t="s">
        <v>4124</v>
      </c>
      <c r="U989" s="27" t="str">
        <f>_xlfn.XLOOKUP(表格1[[#This Row],[服務類別(英)]],參考2_服務標準對照!$B:$B,參考2_服務標準對照!$C:$C,"")&amp;""</f>
        <v>OGC</v>
      </c>
      <c r="V989" s="29" t="s">
        <v>8</v>
      </c>
      <c r="W989" s="29" t="s">
        <v>4125</v>
      </c>
      <c r="X989" s="29" t="s">
        <v>81</v>
      </c>
      <c r="Y989" s="36" t="s">
        <v>83</v>
      </c>
      <c r="Z989" s="36" t="s">
        <v>157</v>
      </c>
      <c r="AA989" s="36" t="s">
        <v>4126</v>
      </c>
      <c r="AB989" s="36"/>
      <c r="AC989" s="36"/>
      <c r="AD989" s="29" t="s">
        <v>119</v>
      </c>
      <c r="AE989" s="36" t="str">
        <f>_xlfn.XLOOKUP(表格1[[#This Row],[唯一識別碼]],API清冊0707!B:B,API清冊0707!T:T,"")&amp;""</f>
        <v>無下拉選單</v>
      </c>
    </row>
    <row r="990" spans="1:31" ht="142.5" customHeight="1" x14ac:dyDescent="0.4">
      <c r="A990" s="29" t="s">
        <v>4136</v>
      </c>
      <c r="B990" s="29"/>
      <c r="C990" s="29"/>
      <c r="D990" s="29" t="s">
        <v>4137</v>
      </c>
      <c r="E990" s="29" t="s">
        <v>1454</v>
      </c>
      <c r="F990" s="29" t="s">
        <v>4138</v>
      </c>
      <c r="G990" s="35"/>
      <c r="H990" s="35" t="s">
        <v>151</v>
      </c>
      <c r="I990" s="29" t="s">
        <v>4136</v>
      </c>
      <c r="J990" s="37"/>
      <c r="K990" s="38"/>
      <c r="L990" s="38"/>
      <c r="M990" s="36" t="s">
        <v>60</v>
      </c>
      <c r="N990" s="15" t="s">
        <v>152</v>
      </c>
      <c r="O990" s="36" t="s">
        <v>4123</v>
      </c>
      <c r="P990" s="36" t="str">
        <f t="shared" si="30"/>
        <v>WFS_1/1000地形圖_臺中市中部科學工業園區台中基地附近特定區計畫(113年)</v>
      </c>
      <c r="Q990" s="29" t="s">
        <v>4138</v>
      </c>
      <c r="R990" s="29" t="str">
        <f t="shared" si="31"/>
        <v>2dms_t1kwfs_v1_TOPON1K_B20</v>
      </c>
      <c r="S990" s="39" t="s">
        <v>4124</v>
      </c>
      <c r="U990" s="27" t="str">
        <f>_xlfn.XLOOKUP(表格1[[#This Row],[服務類別(英)]],參考2_服務標準對照!$B:$B,參考2_服務標準對照!$C:$C,"")&amp;""</f>
        <v>OGC</v>
      </c>
      <c r="V990" s="29" t="s">
        <v>8</v>
      </c>
      <c r="W990" s="29" t="s">
        <v>4125</v>
      </c>
      <c r="X990" s="29" t="s">
        <v>81</v>
      </c>
      <c r="Y990" s="36" t="s">
        <v>83</v>
      </c>
      <c r="Z990" s="36" t="s">
        <v>157</v>
      </c>
      <c r="AA990" s="36" t="s">
        <v>4126</v>
      </c>
      <c r="AB990" s="36"/>
      <c r="AC990" s="36"/>
      <c r="AD990" s="29" t="s">
        <v>119</v>
      </c>
      <c r="AE990" s="36" t="str">
        <f>_xlfn.XLOOKUP(表格1[[#This Row],[唯一識別碼]],API清冊0707!B:B,API清冊0707!T:T,"")&amp;""</f>
        <v>無下拉選單</v>
      </c>
    </row>
    <row r="991" spans="1:31" ht="142.5" customHeight="1" x14ac:dyDescent="0.4">
      <c r="A991" s="29" t="s">
        <v>4139</v>
      </c>
      <c r="B991" s="29"/>
      <c r="C991" s="29"/>
      <c r="D991" s="29" t="s">
        <v>4140</v>
      </c>
      <c r="E991" s="29" t="s">
        <v>1450</v>
      </c>
      <c r="F991" s="29" t="s">
        <v>4141</v>
      </c>
      <c r="G991" s="35"/>
      <c r="H991" s="35" t="s">
        <v>151</v>
      </c>
      <c r="I991" s="29" t="s">
        <v>4139</v>
      </c>
      <c r="J991" s="37"/>
      <c r="K991" s="38"/>
      <c r="L991" s="38"/>
      <c r="M991" s="36" t="s">
        <v>60</v>
      </c>
      <c r="N991" s="15" t="s">
        <v>152</v>
      </c>
      <c r="O991" s="36" t="s">
        <v>4123</v>
      </c>
      <c r="P991" s="36" t="str">
        <f t="shared" si="30"/>
        <v>WFS_1/1000地形圖_臺中市高速公路王田交流道附近特定區計畫(112年)</v>
      </c>
      <c r="Q991" s="29" t="s">
        <v>4141</v>
      </c>
      <c r="R991" s="29" t="str">
        <f t="shared" si="31"/>
        <v>2dms_t1kwfs_v1_TOPON1K_B22</v>
      </c>
      <c r="S991" s="39" t="s">
        <v>4124</v>
      </c>
      <c r="U991" s="27" t="str">
        <f>_xlfn.XLOOKUP(表格1[[#This Row],[服務類別(英)]],參考2_服務標準對照!$B:$B,參考2_服務標準對照!$C:$C,"")&amp;""</f>
        <v>OGC</v>
      </c>
      <c r="V991" s="29" t="s">
        <v>8</v>
      </c>
      <c r="W991" s="29" t="s">
        <v>4125</v>
      </c>
      <c r="X991" s="29" t="s">
        <v>81</v>
      </c>
      <c r="Y991" s="36" t="s">
        <v>83</v>
      </c>
      <c r="Z991" s="36" t="s">
        <v>157</v>
      </c>
      <c r="AA991" s="36" t="s">
        <v>4126</v>
      </c>
      <c r="AB991" s="36"/>
      <c r="AC991" s="36"/>
      <c r="AD991" s="29" t="s">
        <v>119</v>
      </c>
      <c r="AE991" s="36" t="str">
        <f>_xlfn.XLOOKUP(表格1[[#This Row],[唯一識別碼]],API清冊0707!B:B,API清冊0707!T:T,"")&amp;""</f>
        <v>無下拉選單</v>
      </c>
    </row>
    <row r="992" spans="1:31" ht="142.5" customHeight="1" x14ac:dyDescent="0.4">
      <c r="A992" s="29" t="s">
        <v>4142</v>
      </c>
      <c r="B992" s="29"/>
      <c r="C992" s="29"/>
      <c r="D992" s="29" t="s">
        <v>4143</v>
      </c>
      <c r="E992" s="29" t="s">
        <v>1446</v>
      </c>
      <c r="F992" s="29" t="s">
        <v>4144</v>
      </c>
      <c r="G992" s="35"/>
      <c r="H992" s="35" t="s">
        <v>151</v>
      </c>
      <c r="I992" s="29" t="s">
        <v>4142</v>
      </c>
      <c r="J992" s="37"/>
      <c r="K992" s="38"/>
      <c r="L992" s="38"/>
      <c r="M992" s="36" t="s">
        <v>60</v>
      </c>
      <c r="N992" s="15" t="s">
        <v>152</v>
      </c>
      <c r="O992" s="36" t="s">
        <v>4123</v>
      </c>
      <c r="P992" s="36" t="str">
        <f t="shared" si="30"/>
        <v>WFS_1/1000地形圖_臺中市豐潭雅神都市計畫(113年)</v>
      </c>
      <c r="Q992" s="29" t="s">
        <v>4144</v>
      </c>
      <c r="R992" s="29" t="str">
        <f t="shared" si="31"/>
        <v>2dms_t1kwfs_v1_TOPON1K_B25</v>
      </c>
      <c r="S992" s="39" t="s">
        <v>4124</v>
      </c>
      <c r="U992" s="27" t="str">
        <f>_xlfn.XLOOKUP(表格1[[#This Row],[服務類別(英)]],參考2_服務標準對照!$B:$B,參考2_服務標準對照!$C:$C,"")&amp;""</f>
        <v>OGC</v>
      </c>
      <c r="V992" s="29" t="s">
        <v>8</v>
      </c>
      <c r="W992" s="29" t="s">
        <v>4125</v>
      </c>
      <c r="X992" s="29" t="s">
        <v>81</v>
      </c>
      <c r="Y992" s="36" t="s">
        <v>83</v>
      </c>
      <c r="Z992" s="36" t="s">
        <v>157</v>
      </c>
      <c r="AA992" s="36" t="s">
        <v>4126</v>
      </c>
      <c r="AB992" s="36"/>
      <c r="AC992" s="36"/>
      <c r="AD992" s="29" t="s">
        <v>119</v>
      </c>
      <c r="AE992" s="36" t="str">
        <f>_xlfn.XLOOKUP(表格1[[#This Row],[唯一識別碼]],API清冊0707!B:B,API清冊0707!T:T,"")&amp;""</f>
        <v>無下拉選單</v>
      </c>
    </row>
    <row r="993" spans="1:31" ht="142.5" customHeight="1" x14ac:dyDescent="0.4">
      <c r="A993" s="29" t="s">
        <v>4145</v>
      </c>
      <c r="B993" s="29"/>
      <c r="C993" s="29"/>
      <c r="D993" s="29" t="s">
        <v>4146</v>
      </c>
      <c r="E993" s="29" t="s">
        <v>1442</v>
      </c>
      <c r="F993" s="29" t="s">
        <v>4147</v>
      </c>
      <c r="G993" s="35"/>
      <c r="H993" s="35" t="s">
        <v>151</v>
      </c>
      <c r="I993" s="29" t="s">
        <v>4145</v>
      </c>
      <c r="J993" s="37"/>
      <c r="K993" s="38"/>
      <c r="L993" s="38"/>
      <c r="M993" s="36" t="s">
        <v>60</v>
      </c>
      <c r="N993" s="15" t="s">
        <v>152</v>
      </c>
      <c r="O993" s="36" t="s">
        <v>4123</v>
      </c>
      <c r="P993" s="36" t="str">
        <f t="shared" si="30"/>
        <v>WFS_1/1000地形圖_臺南市新營都市計畫(112年)</v>
      </c>
      <c r="Q993" s="29" t="s">
        <v>4147</v>
      </c>
      <c r="R993" s="29" t="str">
        <f t="shared" si="31"/>
        <v>2dms_t1kwfs_v1_TOPON1K_D03</v>
      </c>
      <c r="S993" s="39" t="s">
        <v>4124</v>
      </c>
      <c r="U993" s="27" t="str">
        <f>_xlfn.XLOOKUP(表格1[[#This Row],[服務類別(英)]],參考2_服務標準對照!$B:$B,參考2_服務標準對照!$C:$C,"")&amp;""</f>
        <v>OGC</v>
      </c>
      <c r="V993" s="29" t="s">
        <v>8</v>
      </c>
      <c r="W993" s="29" t="s">
        <v>4125</v>
      </c>
      <c r="X993" s="29" t="s">
        <v>81</v>
      </c>
      <c r="Y993" s="36" t="s">
        <v>83</v>
      </c>
      <c r="Z993" s="36" t="s">
        <v>157</v>
      </c>
      <c r="AA993" s="36" t="s">
        <v>4126</v>
      </c>
      <c r="AB993" s="36"/>
      <c r="AC993" s="36"/>
      <c r="AD993" s="29" t="s">
        <v>119</v>
      </c>
      <c r="AE993" s="36" t="str">
        <f>_xlfn.XLOOKUP(表格1[[#This Row],[唯一識別碼]],API清冊0707!B:B,API清冊0707!T:T,"")&amp;""</f>
        <v>無下拉選單</v>
      </c>
    </row>
    <row r="994" spans="1:31" ht="142.5" customHeight="1" x14ac:dyDescent="0.4">
      <c r="A994" s="29" t="s">
        <v>4148</v>
      </c>
      <c r="B994" s="29"/>
      <c r="C994" s="29"/>
      <c r="D994" s="29" t="s">
        <v>4149</v>
      </c>
      <c r="E994" s="29" t="s">
        <v>1438</v>
      </c>
      <c r="F994" s="29" t="s">
        <v>4150</v>
      </c>
      <c r="G994" s="35"/>
      <c r="H994" s="35" t="s">
        <v>151</v>
      </c>
      <c r="I994" s="29" t="s">
        <v>4148</v>
      </c>
      <c r="J994" s="37"/>
      <c r="K994" s="38"/>
      <c r="L994" s="38"/>
      <c r="M994" s="36" t="s">
        <v>60</v>
      </c>
      <c r="N994" s="15" t="s">
        <v>152</v>
      </c>
      <c r="O994" s="36" t="s">
        <v>4123</v>
      </c>
      <c r="P994" s="36" t="str">
        <f t="shared" si="30"/>
        <v>WFS_1/1000地形圖_臺南市高速公路新營交流道附近特定區計畫(112年)</v>
      </c>
      <c r="Q994" s="29" t="s">
        <v>4150</v>
      </c>
      <c r="R994" s="29" t="str">
        <f t="shared" si="31"/>
        <v>2dms_t1kwfs_v1_TOPON1K_D04</v>
      </c>
      <c r="S994" s="39" t="s">
        <v>4124</v>
      </c>
      <c r="U994" s="27" t="str">
        <f>_xlfn.XLOOKUP(表格1[[#This Row],[服務類別(英)]],參考2_服務標準對照!$B:$B,參考2_服務標準對照!$C:$C,"")&amp;""</f>
        <v>OGC</v>
      </c>
      <c r="V994" s="29" t="s">
        <v>8</v>
      </c>
      <c r="W994" s="29" t="s">
        <v>4125</v>
      </c>
      <c r="X994" s="29" t="s">
        <v>81</v>
      </c>
      <c r="Y994" s="36" t="s">
        <v>83</v>
      </c>
      <c r="Z994" s="36" t="s">
        <v>157</v>
      </c>
      <c r="AA994" s="36" t="s">
        <v>4126</v>
      </c>
      <c r="AB994" s="36"/>
      <c r="AC994" s="36"/>
      <c r="AD994" s="29" t="s">
        <v>119</v>
      </c>
      <c r="AE994" s="36" t="str">
        <f>_xlfn.XLOOKUP(表格1[[#This Row],[唯一識別碼]],API清冊0707!B:B,API清冊0707!T:T,"")&amp;""</f>
        <v>無下拉選單</v>
      </c>
    </row>
    <row r="995" spans="1:31" ht="142.5" customHeight="1" x14ac:dyDescent="0.4">
      <c r="A995" s="29" t="s">
        <v>4151</v>
      </c>
      <c r="B995" s="29"/>
      <c r="C995" s="29"/>
      <c r="D995" s="29" t="s">
        <v>4152</v>
      </c>
      <c r="E995" s="29" t="s">
        <v>1434</v>
      </c>
      <c r="F995" s="29" t="s">
        <v>4153</v>
      </c>
      <c r="G995" s="35"/>
      <c r="H995" s="35" t="s">
        <v>151</v>
      </c>
      <c r="I995" s="29" t="s">
        <v>4151</v>
      </c>
      <c r="J995" s="37"/>
      <c r="K995" s="38"/>
      <c r="L995" s="38"/>
      <c r="M995" s="36" t="s">
        <v>60</v>
      </c>
      <c r="N995" s="15" t="s">
        <v>152</v>
      </c>
      <c r="O995" s="36" t="s">
        <v>4123</v>
      </c>
      <c r="P995" s="36" t="str">
        <f t="shared" si="30"/>
        <v>WFS_1/1000地形圖_臺南市鹽水都市計畫(112年)</v>
      </c>
      <c r="Q995" s="29" t="s">
        <v>4153</v>
      </c>
      <c r="R995" s="29" t="str">
        <f t="shared" si="31"/>
        <v>2dms_t1kwfs_v1_TOPON1K_D05</v>
      </c>
      <c r="S995" s="39" t="s">
        <v>4124</v>
      </c>
      <c r="U995" s="27" t="str">
        <f>_xlfn.XLOOKUP(表格1[[#This Row],[服務類別(英)]],參考2_服務標準對照!$B:$B,參考2_服務標準對照!$C:$C,"")&amp;""</f>
        <v>OGC</v>
      </c>
      <c r="V995" s="29" t="s">
        <v>8</v>
      </c>
      <c r="W995" s="29" t="s">
        <v>4125</v>
      </c>
      <c r="X995" s="29" t="s">
        <v>81</v>
      </c>
      <c r="Y995" s="36" t="s">
        <v>83</v>
      </c>
      <c r="Z995" s="36" t="s">
        <v>157</v>
      </c>
      <c r="AA995" s="36" t="s">
        <v>4126</v>
      </c>
      <c r="AB995" s="36"/>
      <c r="AC995" s="36"/>
      <c r="AD995" s="29" t="s">
        <v>119</v>
      </c>
      <c r="AE995" s="36" t="str">
        <f>_xlfn.XLOOKUP(表格1[[#This Row],[唯一識別碼]],API清冊0707!B:B,API清冊0707!T:T,"")&amp;""</f>
        <v>無下拉選單</v>
      </c>
    </row>
    <row r="996" spans="1:31" ht="142.5" customHeight="1" x14ac:dyDescent="0.4">
      <c r="A996" s="29" t="s">
        <v>4154</v>
      </c>
      <c r="B996" s="29"/>
      <c r="C996" s="29"/>
      <c r="D996" s="29" t="s">
        <v>4155</v>
      </c>
      <c r="E996" s="29" t="s">
        <v>1430</v>
      </c>
      <c r="F996" s="29" t="s">
        <v>4156</v>
      </c>
      <c r="G996" s="35"/>
      <c r="H996" s="35" t="s">
        <v>151</v>
      </c>
      <c r="I996" s="29" t="s">
        <v>4154</v>
      </c>
      <c r="J996" s="37"/>
      <c r="K996" s="38"/>
      <c r="L996" s="38"/>
      <c r="M996" s="36" t="s">
        <v>60</v>
      </c>
      <c r="N996" s="15" t="s">
        <v>152</v>
      </c>
      <c r="O996" s="36" t="s">
        <v>4123</v>
      </c>
      <c r="P996" s="36" t="str">
        <f t="shared" si="30"/>
        <v>WFS_1/1000地形圖_臺南市佳里都市計畫(113年)</v>
      </c>
      <c r="Q996" s="29" t="s">
        <v>4156</v>
      </c>
      <c r="R996" s="29" t="str">
        <f t="shared" si="31"/>
        <v>2dms_t1kwfs_v1_TOPON1K_D08</v>
      </c>
      <c r="S996" s="39" t="s">
        <v>4124</v>
      </c>
      <c r="U996" s="27" t="str">
        <f>_xlfn.XLOOKUP(表格1[[#This Row],[服務類別(英)]],參考2_服務標準對照!$B:$B,參考2_服務標準對照!$C:$C,"")&amp;""</f>
        <v>OGC</v>
      </c>
      <c r="V996" s="29" t="s">
        <v>8</v>
      </c>
      <c r="W996" s="29" t="s">
        <v>4125</v>
      </c>
      <c r="X996" s="29" t="s">
        <v>81</v>
      </c>
      <c r="Y996" s="36" t="s">
        <v>83</v>
      </c>
      <c r="Z996" s="36" t="s">
        <v>157</v>
      </c>
      <c r="AA996" s="36" t="s">
        <v>4126</v>
      </c>
      <c r="AB996" s="36"/>
      <c r="AC996" s="36"/>
      <c r="AD996" s="29" t="s">
        <v>119</v>
      </c>
      <c r="AE996" s="36" t="str">
        <f>_xlfn.XLOOKUP(表格1[[#This Row],[唯一識別碼]],API清冊0707!B:B,API清冊0707!T:T,"")&amp;""</f>
        <v>無下拉選單</v>
      </c>
    </row>
    <row r="997" spans="1:31" ht="142.5" customHeight="1" x14ac:dyDescent="0.4">
      <c r="A997" s="29" t="s">
        <v>4157</v>
      </c>
      <c r="B997" s="29"/>
      <c r="C997" s="29"/>
      <c r="D997" s="29" t="s">
        <v>4158</v>
      </c>
      <c r="E997" s="29" t="s">
        <v>1426</v>
      </c>
      <c r="F997" s="29" t="s">
        <v>4159</v>
      </c>
      <c r="G997" s="35"/>
      <c r="H997" s="35" t="s">
        <v>151</v>
      </c>
      <c r="I997" s="29" t="s">
        <v>4157</v>
      </c>
      <c r="J997" s="37"/>
      <c r="K997" s="38"/>
      <c r="L997" s="38"/>
      <c r="M997" s="36" t="s">
        <v>60</v>
      </c>
      <c r="N997" s="15" t="s">
        <v>152</v>
      </c>
      <c r="O997" s="36" t="s">
        <v>4123</v>
      </c>
      <c r="P997" s="36" t="str">
        <f t="shared" si="30"/>
        <v>WFS_1/1000地形圖_臺南市柳營都市計畫(112年)</v>
      </c>
      <c r="Q997" s="29" t="s">
        <v>4159</v>
      </c>
      <c r="R997" s="29" t="str">
        <f t="shared" si="31"/>
        <v>2dms_t1kwfs_v1_TOPON1K_D12</v>
      </c>
      <c r="S997" s="39" t="s">
        <v>4124</v>
      </c>
      <c r="U997" s="27" t="str">
        <f>_xlfn.XLOOKUP(表格1[[#This Row],[服務類別(英)]],參考2_服務標準對照!$B:$B,參考2_服務標準對照!$C:$C,"")&amp;""</f>
        <v>OGC</v>
      </c>
      <c r="V997" s="29" t="s">
        <v>8</v>
      </c>
      <c r="W997" s="29" t="s">
        <v>4125</v>
      </c>
      <c r="X997" s="29" t="s">
        <v>81</v>
      </c>
      <c r="Y997" s="36" t="s">
        <v>83</v>
      </c>
      <c r="Z997" s="36" t="s">
        <v>157</v>
      </c>
      <c r="AA997" s="36" t="s">
        <v>4126</v>
      </c>
      <c r="AB997" s="36"/>
      <c r="AC997" s="36"/>
      <c r="AD997" s="29" t="s">
        <v>119</v>
      </c>
      <c r="AE997" s="36" t="str">
        <f>_xlfn.XLOOKUP(表格1[[#This Row],[唯一識別碼]],API清冊0707!B:B,API清冊0707!T:T,"")&amp;""</f>
        <v>無下拉選單</v>
      </c>
    </row>
    <row r="998" spans="1:31" ht="142.5" customHeight="1" x14ac:dyDescent="0.4">
      <c r="A998" s="29" t="s">
        <v>4160</v>
      </c>
      <c r="B998" s="29"/>
      <c r="C998" s="29"/>
      <c r="D998" s="29" t="s">
        <v>4161</v>
      </c>
      <c r="E998" s="29" t="s">
        <v>1422</v>
      </c>
      <c r="F998" s="29" t="s">
        <v>4162</v>
      </c>
      <c r="G998" s="35"/>
      <c r="H998" s="35" t="s">
        <v>151</v>
      </c>
      <c r="I998" s="29" t="s">
        <v>4160</v>
      </c>
      <c r="J998" s="37"/>
      <c r="K998" s="38"/>
      <c r="L998" s="38"/>
      <c r="M998" s="36" t="s">
        <v>60</v>
      </c>
      <c r="N998" s="15" t="s">
        <v>152</v>
      </c>
      <c r="O998" s="36" t="s">
        <v>4123</v>
      </c>
      <c r="P998" s="36" t="str">
        <f t="shared" si="30"/>
        <v>WFS_1/1000地形圖_高雄市鳳山都市計畫(113年)</v>
      </c>
      <c r="Q998" s="29" t="s">
        <v>4162</v>
      </c>
      <c r="R998" s="29" t="str">
        <f t="shared" si="31"/>
        <v>2dms_t1kwfs_v1_TOPON1K_E02</v>
      </c>
      <c r="S998" s="39" t="s">
        <v>4124</v>
      </c>
      <c r="U998" s="27" t="str">
        <f>_xlfn.XLOOKUP(表格1[[#This Row],[服務類別(英)]],參考2_服務標準對照!$B:$B,參考2_服務標準對照!$C:$C,"")&amp;""</f>
        <v>OGC</v>
      </c>
      <c r="V998" s="29" t="s">
        <v>8</v>
      </c>
      <c r="W998" s="29" t="s">
        <v>4125</v>
      </c>
      <c r="X998" s="29" t="s">
        <v>81</v>
      </c>
      <c r="Y998" s="36" t="s">
        <v>83</v>
      </c>
      <c r="Z998" s="36" t="s">
        <v>157</v>
      </c>
      <c r="AA998" s="36" t="s">
        <v>4126</v>
      </c>
      <c r="AB998" s="36"/>
      <c r="AC998" s="36"/>
      <c r="AD998" s="29" t="s">
        <v>119</v>
      </c>
      <c r="AE998" s="36" t="str">
        <f>_xlfn.XLOOKUP(表格1[[#This Row],[唯一識別碼]],API清冊0707!B:B,API清冊0707!T:T,"")&amp;""</f>
        <v>無下拉選單</v>
      </c>
    </row>
    <row r="999" spans="1:31" ht="142.5" customHeight="1" x14ac:dyDescent="0.4">
      <c r="A999" s="29" t="s">
        <v>4163</v>
      </c>
      <c r="B999" s="29"/>
      <c r="C999" s="29"/>
      <c r="D999" s="29" t="s">
        <v>4164</v>
      </c>
      <c r="E999" s="29" t="s">
        <v>1418</v>
      </c>
      <c r="F999" s="29" t="s">
        <v>4165</v>
      </c>
      <c r="G999" s="35"/>
      <c r="H999" s="35" t="s">
        <v>151</v>
      </c>
      <c r="I999" s="29" t="s">
        <v>4163</v>
      </c>
      <c r="J999" s="37"/>
      <c r="K999" s="38"/>
      <c r="L999" s="38"/>
      <c r="M999" s="36" t="s">
        <v>60</v>
      </c>
      <c r="N999" s="15" t="s">
        <v>152</v>
      </c>
      <c r="O999" s="36" t="s">
        <v>4123</v>
      </c>
      <c r="P999" s="36" t="str">
        <f t="shared" si="30"/>
        <v>WFS_1/1000地形圖_高雄市岡山都市計畫(112年)</v>
      </c>
      <c r="Q999" s="29" t="s">
        <v>4165</v>
      </c>
      <c r="R999" s="29" t="str">
        <f t="shared" si="31"/>
        <v>2dms_t1kwfs_v1_TOPON1K_E03</v>
      </c>
      <c r="S999" s="39" t="s">
        <v>4124</v>
      </c>
      <c r="U999" s="27" t="str">
        <f>_xlfn.XLOOKUP(表格1[[#This Row],[服務類別(英)]],參考2_服務標準對照!$B:$B,參考2_服務標準對照!$C:$C,"")&amp;""</f>
        <v>OGC</v>
      </c>
      <c r="V999" s="29" t="s">
        <v>8</v>
      </c>
      <c r="W999" s="29" t="s">
        <v>4125</v>
      </c>
      <c r="X999" s="29" t="s">
        <v>81</v>
      </c>
      <c r="Y999" s="36" t="s">
        <v>83</v>
      </c>
      <c r="Z999" s="36" t="s">
        <v>157</v>
      </c>
      <c r="AA999" s="36" t="s">
        <v>4126</v>
      </c>
      <c r="AB999" s="36"/>
      <c r="AC999" s="36"/>
      <c r="AD999" s="29" t="s">
        <v>119</v>
      </c>
      <c r="AE999" s="36" t="str">
        <f>_xlfn.XLOOKUP(表格1[[#This Row],[唯一識別碼]],API清冊0707!B:B,API清冊0707!T:T,"")&amp;""</f>
        <v>無下拉選單</v>
      </c>
    </row>
    <row r="1000" spans="1:31" ht="142.5" customHeight="1" x14ac:dyDescent="0.4">
      <c r="A1000" s="29" t="s">
        <v>4166</v>
      </c>
      <c r="B1000" s="29"/>
      <c r="C1000" s="29"/>
      <c r="D1000" s="29" t="s">
        <v>4167</v>
      </c>
      <c r="E1000" s="29" t="s">
        <v>1414</v>
      </c>
      <c r="F1000" s="29" t="s">
        <v>4168</v>
      </c>
      <c r="G1000" s="35"/>
      <c r="H1000" s="35" t="s">
        <v>151</v>
      </c>
      <c r="I1000" s="29" t="s">
        <v>4166</v>
      </c>
      <c r="J1000" s="37"/>
      <c r="K1000" s="38"/>
      <c r="L1000" s="38"/>
      <c r="M1000" s="36" t="s">
        <v>60</v>
      </c>
      <c r="N1000" s="15" t="s">
        <v>152</v>
      </c>
      <c r="O1000" s="36" t="s">
        <v>4123</v>
      </c>
      <c r="P1000" s="36" t="str">
        <f t="shared" si="30"/>
        <v>WFS_1/1000地形圖_高雄市(三民.苓雅.前金.新興.前鎮.鹽埕)都市計畫(113年)</v>
      </c>
      <c r="Q1000" s="29" t="s">
        <v>4168</v>
      </c>
      <c r="R1000" s="29" t="str">
        <f t="shared" si="31"/>
        <v>2dms_t1kwfs_v1_TOPON1K_E32</v>
      </c>
      <c r="S1000" s="39" t="s">
        <v>4124</v>
      </c>
      <c r="U1000" s="27" t="str">
        <f>_xlfn.XLOOKUP(表格1[[#This Row],[服務類別(英)]],參考2_服務標準對照!$B:$B,參考2_服務標準對照!$C:$C,"")&amp;""</f>
        <v>OGC</v>
      </c>
      <c r="V1000" s="29" t="s">
        <v>8</v>
      </c>
      <c r="W1000" s="29" t="s">
        <v>4125</v>
      </c>
      <c r="X1000" s="29" t="s">
        <v>81</v>
      </c>
      <c r="Y1000" s="36" t="s">
        <v>83</v>
      </c>
      <c r="Z1000" s="36" t="s">
        <v>157</v>
      </c>
      <c r="AA1000" s="36" t="s">
        <v>4126</v>
      </c>
      <c r="AB1000" s="36"/>
      <c r="AC1000" s="36"/>
      <c r="AD1000" s="29" t="s">
        <v>119</v>
      </c>
      <c r="AE1000" s="36" t="str">
        <f>_xlfn.XLOOKUP(表格1[[#This Row],[唯一識別碼]],API清冊0707!B:B,API清冊0707!T:T,"")&amp;""</f>
        <v>無下拉選單</v>
      </c>
    </row>
    <row r="1001" spans="1:31" ht="142.5" customHeight="1" x14ac:dyDescent="0.4">
      <c r="A1001" s="29" t="s">
        <v>4169</v>
      </c>
      <c r="B1001" s="29"/>
      <c r="C1001" s="29"/>
      <c r="D1001" s="29" t="s">
        <v>4170</v>
      </c>
      <c r="E1001" s="29" t="s">
        <v>1410</v>
      </c>
      <c r="F1001" s="29" t="s">
        <v>4171</v>
      </c>
      <c r="G1001" s="35"/>
      <c r="H1001" s="35" t="s">
        <v>151</v>
      </c>
      <c r="I1001" s="29" t="s">
        <v>4169</v>
      </c>
      <c r="J1001" s="37"/>
      <c r="K1001" s="38"/>
      <c r="L1001" s="38"/>
      <c r="M1001" s="36" t="s">
        <v>60</v>
      </c>
      <c r="N1001" s="15" t="s">
        <v>152</v>
      </c>
      <c r="O1001" s="36" t="s">
        <v>4123</v>
      </c>
      <c r="P1001" s="36" t="str">
        <f t="shared" si="30"/>
        <v>WFS_1/1000地形圖_宜蘭縣宜蘭市都市計畫(113年)</v>
      </c>
      <c r="Q1001" s="29" t="s">
        <v>4171</v>
      </c>
      <c r="R1001" s="29" t="str">
        <f t="shared" si="31"/>
        <v>2dms_t1kwfs_v1_TOPON1K_G01</v>
      </c>
      <c r="S1001" s="39" t="s">
        <v>4124</v>
      </c>
      <c r="U1001" s="27" t="str">
        <f>_xlfn.XLOOKUP(表格1[[#This Row],[服務類別(英)]],參考2_服務標準對照!$B:$B,參考2_服務標準對照!$C:$C,"")&amp;""</f>
        <v>OGC</v>
      </c>
      <c r="V1001" s="29" t="s">
        <v>8</v>
      </c>
      <c r="W1001" s="29" t="s">
        <v>4125</v>
      </c>
      <c r="X1001" s="29" t="s">
        <v>81</v>
      </c>
      <c r="Y1001" s="36" t="s">
        <v>83</v>
      </c>
      <c r="Z1001" s="36" t="s">
        <v>157</v>
      </c>
      <c r="AA1001" s="36" t="s">
        <v>4126</v>
      </c>
      <c r="AB1001" s="36"/>
      <c r="AC1001" s="36"/>
      <c r="AD1001" s="29" t="s">
        <v>119</v>
      </c>
      <c r="AE1001" s="36" t="str">
        <f>_xlfn.XLOOKUP(表格1[[#This Row],[唯一識別碼]],API清冊0707!B:B,API清冊0707!T:T,"")&amp;""</f>
        <v>無下拉選單</v>
      </c>
    </row>
    <row r="1002" spans="1:31" ht="142.5" customHeight="1" x14ac:dyDescent="0.4">
      <c r="A1002" s="29" t="s">
        <v>4172</v>
      </c>
      <c r="B1002" s="29"/>
      <c r="C1002" s="29"/>
      <c r="D1002" s="29" t="s">
        <v>4173</v>
      </c>
      <c r="E1002" s="29" t="s">
        <v>1406</v>
      </c>
      <c r="F1002" s="29" t="s">
        <v>4174</v>
      </c>
      <c r="G1002" s="35"/>
      <c r="H1002" s="35" t="s">
        <v>151</v>
      </c>
      <c r="I1002" s="29" t="s">
        <v>4172</v>
      </c>
      <c r="J1002" s="37"/>
      <c r="K1002" s="38"/>
      <c r="L1002" s="38"/>
      <c r="M1002" s="36" t="s">
        <v>60</v>
      </c>
      <c r="N1002" s="15" t="s">
        <v>152</v>
      </c>
      <c r="O1002" s="36" t="s">
        <v>4123</v>
      </c>
      <c r="P1002" s="36" t="str">
        <f t="shared" si="30"/>
        <v>WFS_1/1000地形圖_宜蘭縣蘇澳(新馬地區)都市計畫(112年)</v>
      </c>
      <c r="Q1002" s="29" t="s">
        <v>4174</v>
      </c>
      <c r="R1002" s="29" t="str">
        <f t="shared" si="31"/>
        <v>2dms_t1kwfs_v1_TOPON1K_G04</v>
      </c>
      <c r="S1002" s="39" t="s">
        <v>4124</v>
      </c>
      <c r="U1002" s="27" t="str">
        <f>_xlfn.XLOOKUP(表格1[[#This Row],[服務類別(英)]],參考2_服務標準對照!$B:$B,參考2_服務標準對照!$C:$C,"")&amp;""</f>
        <v>OGC</v>
      </c>
      <c r="V1002" s="29" t="s">
        <v>8</v>
      </c>
      <c r="W1002" s="29" t="s">
        <v>4125</v>
      </c>
      <c r="X1002" s="29" t="s">
        <v>81</v>
      </c>
      <c r="Y1002" s="36" t="s">
        <v>83</v>
      </c>
      <c r="Z1002" s="36" t="s">
        <v>157</v>
      </c>
      <c r="AA1002" s="36" t="s">
        <v>4126</v>
      </c>
      <c r="AB1002" s="36"/>
      <c r="AC1002" s="36"/>
      <c r="AD1002" s="29" t="s">
        <v>119</v>
      </c>
      <c r="AE1002" s="36" t="str">
        <f>_xlfn.XLOOKUP(表格1[[#This Row],[唯一識別碼]],API清冊0707!B:B,API清冊0707!T:T,"")&amp;""</f>
        <v>無下拉選單</v>
      </c>
    </row>
    <row r="1003" spans="1:31" ht="142.5" customHeight="1" x14ac:dyDescent="0.4">
      <c r="A1003" s="29" t="s">
        <v>4175</v>
      </c>
      <c r="B1003" s="29"/>
      <c r="C1003" s="29"/>
      <c r="D1003" s="29" t="s">
        <v>4176</v>
      </c>
      <c r="E1003" s="29" t="s">
        <v>1402</v>
      </c>
      <c r="F1003" s="29" t="s">
        <v>4177</v>
      </c>
      <c r="G1003" s="35"/>
      <c r="H1003" s="35" t="s">
        <v>151</v>
      </c>
      <c r="I1003" s="29" t="s">
        <v>4175</v>
      </c>
      <c r="J1003" s="37"/>
      <c r="K1003" s="38"/>
      <c r="L1003" s="38"/>
      <c r="M1003" s="36" t="s">
        <v>60</v>
      </c>
      <c r="N1003" s="15" t="s">
        <v>152</v>
      </c>
      <c r="O1003" s="36" t="s">
        <v>4123</v>
      </c>
      <c r="P1003" s="36" t="str">
        <f t="shared" si="30"/>
        <v>WFS_1/1000地形圖_宜蘭縣礁溪都市計畫(112年)</v>
      </c>
      <c r="Q1003" s="29" t="s">
        <v>4177</v>
      </c>
      <c r="R1003" s="29" t="str">
        <f t="shared" si="31"/>
        <v>2dms_t1kwfs_v1_TOPON1K_G06</v>
      </c>
      <c r="S1003" s="39" t="s">
        <v>4124</v>
      </c>
      <c r="U1003" s="27" t="str">
        <f>_xlfn.XLOOKUP(表格1[[#This Row],[服務類別(英)]],參考2_服務標準對照!$B:$B,參考2_服務標準對照!$C:$C,"")&amp;""</f>
        <v>OGC</v>
      </c>
      <c r="V1003" s="29" t="s">
        <v>8</v>
      </c>
      <c r="W1003" s="29" t="s">
        <v>4125</v>
      </c>
      <c r="X1003" s="29" t="s">
        <v>81</v>
      </c>
      <c r="Y1003" s="36" t="s">
        <v>83</v>
      </c>
      <c r="Z1003" s="36" t="s">
        <v>157</v>
      </c>
      <c r="AA1003" s="36" t="s">
        <v>4126</v>
      </c>
      <c r="AB1003" s="36"/>
      <c r="AC1003" s="36"/>
      <c r="AD1003" s="29" t="s">
        <v>119</v>
      </c>
      <c r="AE1003" s="36" t="str">
        <f>_xlfn.XLOOKUP(表格1[[#This Row],[唯一識別碼]],API清冊0707!B:B,API清冊0707!T:T,"")&amp;""</f>
        <v>無下拉選單</v>
      </c>
    </row>
    <row r="1004" spans="1:31" ht="142.5" customHeight="1" x14ac:dyDescent="0.4">
      <c r="A1004" s="29" t="s">
        <v>4178</v>
      </c>
      <c r="B1004" s="29"/>
      <c r="C1004" s="29"/>
      <c r="D1004" s="29" t="s">
        <v>4179</v>
      </c>
      <c r="E1004" s="29" t="s">
        <v>1398</v>
      </c>
      <c r="F1004" s="29" t="s">
        <v>4180</v>
      </c>
      <c r="G1004" s="35"/>
      <c r="H1004" s="35" t="s">
        <v>151</v>
      </c>
      <c r="I1004" s="29" t="s">
        <v>4178</v>
      </c>
      <c r="J1004" s="37"/>
      <c r="K1004" s="38"/>
      <c r="L1004" s="38"/>
      <c r="M1004" s="36" t="s">
        <v>60</v>
      </c>
      <c r="N1004" s="15" t="s">
        <v>152</v>
      </c>
      <c r="O1004" s="36" t="s">
        <v>4123</v>
      </c>
      <c r="P1004" s="36" t="str">
        <f t="shared" si="30"/>
        <v>WFS_1/1000地形圖_宜蘭縣員山都市計畫(112年)</v>
      </c>
      <c r="Q1004" s="29" t="s">
        <v>4180</v>
      </c>
      <c r="R1004" s="29" t="str">
        <f t="shared" si="31"/>
        <v>2dms_t1kwfs_v1_TOPON1K_G09</v>
      </c>
      <c r="S1004" s="39" t="s">
        <v>4124</v>
      </c>
      <c r="U1004" s="27" t="str">
        <f>_xlfn.XLOOKUP(表格1[[#This Row],[服務類別(英)]],參考2_服務標準對照!$B:$B,參考2_服務標準對照!$C:$C,"")&amp;""</f>
        <v>OGC</v>
      </c>
      <c r="V1004" s="29" t="s">
        <v>8</v>
      </c>
      <c r="W1004" s="29" t="s">
        <v>4125</v>
      </c>
      <c r="X1004" s="29" t="s">
        <v>81</v>
      </c>
      <c r="Y1004" s="36" t="s">
        <v>83</v>
      </c>
      <c r="Z1004" s="36" t="s">
        <v>157</v>
      </c>
      <c r="AA1004" s="36" t="s">
        <v>4126</v>
      </c>
      <c r="AB1004" s="36"/>
      <c r="AC1004" s="36"/>
      <c r="AD1004" s="29" t="s">
        <v>119</v>
      </c>
      <c r="AE1004" s="36" t="str">
        <f>_xlfn.XLOOKUP(表格1[[#This Row],[唯一識別碼]],API清冊0707!B:B,API清冊0707!T:T,"")&amp;""</f>
        <v>無下拉選單</v>
      </c>
    </row>
    <row r="1005" spans="1:31" ht="142.5" customHeight="1" x14ac:dyDescent="0.4">
      <c r="A1005" s="29" t="s">
        <v>4181</v>
      </c>
      <c r="B1005" s="29"/>
      <c r="C1005" s="29"/>
      <c r="D1005" s="29" t="s">
        <v>4182</v>
      </c>
      <c r="E1005" s="29" t="s">
        <v>1394</v>
      </c>
      <c r="F1005" s="29" t="s">
        <v>4183</v>
      </c>
      <c r="G1005" s="35"/>
      <c r="H1005" s="35" t="s">
        <v>151</v>
      </c>
      <c r="I1005" s="29" t="s">
        <v>4181</v>
      </c>
      <c r="J1005" s="37"/>
      <c r="K1005" s="38"/>
      <c r="L1005" s="38"/>
      <c r="M1005" s="36" t="s">
        <v>60</v>
      </c>
      <c r="N1005" s="15" t="s">
        <v>152</v>
      </c>
      <c r="O1005" s="36" t="s">
        <v>4123</v>
      </c>
      <c r="P1005" s="36" t="str">
        <f t="shared" si="30"/>
        <v>WFS_1/1000地形圖_宜蘭縣冬山(順安地區)都市計畫(112年)</v>
      </c>
      <c r="Q1005" s="29" t="s">
        <v>4183</v>
      </c>
      <c r="R1005" s="29" t="str">
        <f t="shared" si="31"/>
        <v>2dms_t1kwfs_v1_TOPON1K_G11</v>
      </c>
      <c r="S1005" s="39" t="s">
        <v>4124</v>
      </c>
      <c r="U1005" s="27" t="str">
        <f>_xlfn.XLOOKUP(表格1[[#This Row],[服務類別(英)]],參考2_服務標準對照!$B:$B,參考2_服務標準對照!$C:$C,"")&amp;""</f>
        <v>OGC</v>
      </c>
      <c r="V1005" s="29" t="s">
        <v>8</v>
      </c>
      <c r="W1005" s="29" t="s">
        <v>4125</v>
      </c>
      <c r="X1005" s="29" t="s">
        <v>81</v>
      </c>
      <c r="Y1005" s="36" t="s">
        <v>83</v>
      </c>
      <c r="Z1005" s="36" t="s">
        <v>157</v>
      </c>
      <c r="AA1005" s="36" t="s">
        <v>4126</v>
      </c>
      <c r="AB1005" s="36"/>
      <c r="AC1005" s="36"/>
      <c r="AD1005" s="29" t="s">
        <v>119</v>
      </c>
      <c r="AE1005" s="36" t="str">
        <f>_xlfn.XLOOKUP(表格1[[#This Row],[唯一識別碼]],API清冊0707!B:B,API清冊0707!T:T,"")&amp;""</f>
        <v>無下拉選單</v>
      </c>
    </row>
    <row r="1006" spans="1:31" ht="142.5" customHeight="1" x14ac:dyDescent="0.4">
      <c r="A1006" s="29" t="s">
        <v>4184</v>
      </c>
      <c r="B1006" s="29"/>
      <c r="C1006" s="29"/>
      <c r="D1006" s="29" t="s">
        <v>4185</v>
      </c>
      <c r="E1006" s="29" t="s">
        <v>1390</v>
      </c>
      <c r="F1006" s="29" t="s">
        <v>4186</v>
      </c>
      <c r="G1006" s="35"/>
      <c r="H1006" s="35" t="s">
        <v>151</v>
      </c>
      <c r="I1006" s="29" t="s">
        <v>4184</v>
      </c>
      <c r="J1006" s="37"/>
      <c r="K1006" s="38"/>
      <c r="L1006" s="38"/>
      <c r="M1006" s="36" t="s">
        <v>60</v>
      </c>
      <c r="N1006" s="15" t="s">
        <v>152</v>
      </c>
      <c r="O1006" s="36" t="s">
        <v>4123</v>
      </c>
      <c r="P1006" s="36" t="str">
        <f t="shared" si="30"/>
        <v>WFS_1/1000地形圖_宜蘭縣南澳南強都市計畫(112年)</v>
      </c>
      <c r="Q1006" s="29" t="s">
        <v>4186</v>
      </c>
      <c r="R1006" s="29" t="str">
        <f t="shared" si="31"/>
        <v>2dms_t1kwfs_v1_TOPON1K_G15</v>
      </c>
      <c r="S1006" s="39" t="s">
        <v>4124</v>
      </c>
      <c r="U1006" s="27" t="str">
        <f>_xlfn.XLOOKUP(表格1[[#This Row],[服務類別(英)]],參考2_服務標準對照!$B:$B,參考2_服務標準對照!$C:$C,"")&amp;""</f>
        <v>OGC</v>
      </c>
      <c r="V1006" s="29" t="s">
        <v>8</v>
      </c>
      <c r="W1006" s="29" t="s">
        <v>4125</v>
      </c>
      <c r="X1006" s="29" t="s">
        <v>81</v>
      </c>
      <c r="Y1006" s="36" t="s">
        <v>83</v>
      </c>
      <c r="Z1006" s="36" t="s">
        <v>157</v>
      </c>
      <c r="AA1006" s="36" t="s">
        <v>4126</v>
      </c>
      <c r="AB1006" s="36"/>
      <c r="AC1006" s="36"/>
      <c r="AD1006" s="29" t="s">
        <v>119</v>
      </c>
      <c r="AE1006" s="36" t="str">
        <f>_xlfn.XLOOKUP(表格1[[#This Row],[唯一識別碼]],API清冊0707!B:B,API清冊0707!T:T,"")&amp;""</f>
        <v>無下拉選單</v>
      </c>
    </row>
    <row r="1007" spans="1:31" ht="142.5" customHeight="1" x14ac:dyDescent="0.4">
      <c r="A1007" s="29" t="s">
        <v>4187</v>
      </c>
      <c r="B1007" s="29"/>
      <c r="C1007" s="29"/>
      <c r="D1007" s="29" t="s">
        <v>4188</v>
      </c>
      <c r="E1007" s="29" t="s">
        <v>1386</v>
      </c>
      <c r="F1007" s="29" t="s">
        <v>4189</v>
      </c>
      <c r="G1007" s="35"/>
      <c r="H1007" s="35" t="s">
        <v>151</v>
      </c>
      <c r="I1007" s="29" t="s">
        <v>4187</v>
      </c>
      <c r="J1007" s="37"/>
      <c r="K1007" s="38"/>
      <c r="L1007" s="38"/>
      <c r="M1007" s="36" t="s">
        <v>60</v>
      </c>
      <c r="N1007" s="15" t="s">
        <v>152</v>
      </c>
      <c r="O1007" s="36" t="s">
        <v>4123</v>
      </c>
      <c r="P1007" s="36" t="str">
        <f t="shared" si="30"/>
        <v>WFS_1/1000地形圖_宜蘭縣大湖風景特定區計畫(112年)</v>
      </c>
      <c r="Q1007" s="29" t="s">
        <v>4189</v>
      </c>
      <c r="R1007" s="29" t="str">
        <f t="shared" si="31"/>
        <v>2dms_t1kwfs_v1_TOPON1K_G16</v>
      </c>
      <c r="S1007" s="39" t="s">
        <v>4124</v>
      </c>
      <c r="U1007" s="27" t="str">
        <f>_xlfn.XLOOKUP(表格1[[#This Row],[服務類別(英)]],參考2_服務標準對照!$B:$B,參考2_服務標準對照!$C:$C,"")&amp;""</f>
        <v>OGC</v>
      </c>
      <c r="V1007" s="29" t="s">
        <v>8</v>
      </c>
      <c r="W1007" s="29" t="s">
        <v>4125</v>
      </c>
      <c r="X1007" s="29" t="s">
        <v>81</v>
      </c>
      <c r="Y1007" s="36" t="s">
        <v>83</v>
      </c>
      <c r="Z1007" s="36" t="s">
        <v>157</v>
      </c>
      <c r="AA1007" s="36" t="s">
        <v>4126</v>
      </c>
      <c r="AB1007" s="36"/>
      <c r="AC1007" s="36"/>
      <c r="AD1007" s="29" t="s">
        <v>119</v>
      </c>
      <c r="AE1007" s="36" t="str">
        <f>_xlfn.XLOOKUP(表格1[[#This Row],[唯一識別碼]],API清冊0707!B:B,API清冊0707!T:T,"")&amp;""</f>
        <v>無下拉選單</v>
      </c>
    </row>
    <row r="1008" spans="1:31" ht="142.5" customHeight="1" x14ac:dyDescent="0.4">
      <c r="A1008" s="29" t="s">
        <v>4190</v>
      </c>
      <c r="B1008" s="29"/>
      <c r="C1008" s="29"/>
      <c r="D1008" s="29" t="s">
        <v>4191</v>
      </c>
      <c r="E1008" s="29" t="s">
        <v>1382</v>
      </c>
      <c r="F1008" s="29" t="s">
        <v>4192</v>
      </c>
      <c r="G1008" s="35"/>
      <c r="H1008" s="35" t="s">
        <v>151</v>
      </c>
      <c r="I1008" s="29" t="s">
        <v>4190</v>
      </c>
      <c r="J1008" s="37"/>
      <c r="K1008" s="38"/>
      <c r="L1008" s="38"/>
      <c r="M1008" s="36" t="s">
        <v>60</v>
      </c>
      <c r="N1008" s="15" t="s">
        <v>152</v>
      </c>
      <c r="O1008" s="36" t="s">
        <v>4123</v>
      </c>
      <c r="P1008" s="36" t="str">
        <f t="shared" si="30"/>
        <v>WFS_1/1000地形圖_宜蘭縣梅花湖風景特定區計畫(112年)</v>
      </c>
      <c r="Q1008" s="29" t="s">
        <v>4192</v>
      </c>
      <c r="R1008" s="29" t="str">
        <f t="shared" si="31"/>
        <v>2dms_t1kwfs_v1_TOPON1K_G17</v>
      </c>
      <c r="S1008" s="39" t="s">
        <v>4124</v>
      </c>
      <c r="U1008" s="27" t="str">
        <f>_xlfn.XLOOKUP(表格1[[#This Row],[服務類別(英)]],參考2_服務標準對照!$B:$B,參考2_服務標準對照!$C:$C,"")&amp;""</f>
        <v>OGC</v>
      </c>
      <c r="V1008" s="29" t="s">
        <v>8</v>
      </c>
      <c r="W1008" s="29" t="s">
        <v>4125</v>
      </c>
      <c r="X1008" s="29" t="s">
        <v>81</v>
      </c>
      <c r="Y1008" s="36" t="s">
        <v>83</v>
      </c>
      <c r="Z1008" s="36" t="s">
        <v>157</v>
      </c>
      <c r="AA1008" s="36" t="s">
        <v>4126</v>
      </c>
      <c r="AB1008" s="36"/>
      <c r="AC1008" s="36"/>
      <c r="AD1008" s="29" t="s">
        <v>119</v>
      </c>
      <c r="AE1008" s="36" t="str">
        <f>_xlfn.XLOOKUP(表格1[[#This Row],[唯一識別碼]],API清冊0707!B:B,API清冊0707!T:T,"")&amp;""</f>
        <v>無下拉選單</v>
      </c>
    </row>
    <row r="1009" spans="1:31" ht="142.5" customHeight="1" x14ac:dyDescent="0.4">
      <c r="A1009" s="29" t="s">
        <v>4193</v>
      </c>
      <c r="B1009" s="29"/>
      <c r="C1009" s="29"/>
      <c r="D1009" s="29" t="s">
        <v>4194</v>
      </c>
      <c r="E1009" s="29" t="s">
        <v>1378</v>
      </c>
      <c r="F1009" s="29" t="s">
        <v>4195</v>
      </c>
      <c r="G1009" s="35"/>
      <c r="H1009" s="35" t="s">
        <v>151</v>
      </c>
      <c r="I1009" s="29" t="s">
        <v>4193</v>
      </c>
      <c r="J1009" s="37"/>
      <c r="K1009" s="38"/>
      <c r="L1009" s="38"/>
      <c r="M1009" s="36" t="s">
        <v>60</v>
      </c>
      <c r="N1009" s="15" t="s">
        <v>152</v>
      </c>
      <c r="O1009" s="36" t="s">
        <v>4123</v>
      </c>
      <c r="P1009" s="36" t="str">
        <f t="shared" si="30"/>
        <v>WFS_1/1000地形圖_宜蘭縣龍潭湖風景特定區計畫(112年)</v>
      </c>
      <c r="Q1009" s="29" t="s">
        <v>4195</v>
      </c>
      <c r="R1009" s="29" t="str">
        <f t="shared" si="31"/>
        <v>2dms_t1kwfs_v1_TOPON1K_G18</v>
      </c>
      <c r="S1009" s="39" t="s">
        <v>4124</v>
      </c>
      <c r="U1009" s="27" t="str">
        <f>_xlfn.XLOOKUP(表格1[[#This Row],[服務類別(英)]],參考2_服務標準對照!$B:$B,參考2_服務標準對照!$C:$C,"")&amp;""</f>
        <v>OGC</v>
      </c>
      <c r="V1009" s="29" t="s">
        <v>8</v>
      </c>
      <c r="W1009" s="29" t="s">
        <v>4125</v>
      </c>
      <c r="X1009" s="29" t="s">
        <v>81</v>
      </c>
      <c r="Y1009" s="36" t="s">
        <v>83</v>
      </c>
      <c r="Z1009" s="36" t="s">
        <v>157</v>
      </c>
      <c r="AA1009" s="36" t="s">
        <v>4126</v>
      </c>
      <c r="AB1009" s="36"/>
      <c r="AC1009" s="36"/>
      <c r="AD1009" s="29" t="s">
        <v>119</v>
      </c>
      <c r="AE1009" s="36" t="str">
        <f>_xlfn.XLOOKUP(表格1[[#This Row],[唯一識別碼]],API清冊0707!B:B,API清冊0707!T:T,"")&amp;""</f>
        <v>無下拉選單</v>
      </c>
    </row>
    <row r="1010" spans="1:31" ht="142.5" customHeight="1" x14ac:dyDescent="0.4">
      <c r="A1010" s="29" t="s">
        <v>4196</v>
      </c>
      <c r="B1010" s="29"/>
      <c r="C1010" s="29"/>
      <c r="D1010" s="29" t="s">
        <v>4197</v>
      </c>
      <c r="E1010" s="29" t="s">
        <v>1374</v>
      </c>
      <c r="F1010" s="29" t="s">
        <v>4198</v>
      </c>
      <c r="G1010" s="35"/>
      <c r="H1010" s="35" t="s">
        <v>151</v>
      </c>
      <c r="I1010" s="29" t="s">
        <v>4196</v>
      </c>
      <c r="J1010" s="37"/>
      <c r="K1010" s="38"/>
      <c r="L1010" s="38"/>
      <c r="M1010" s="36" t="s">
        <v>60</v>
      </c>
      <c r="N1010" s="15" t="s">
        <v>152</v>
      </c>
      <c r="O1010" s="36" t="s">
        <v>4123</v>
      </c>
      <c r="P1010" s="36" t="str">
        <f t="shared" si="30"/>
        <v>WFS_1/1000地形圖_宜蘭縣五峰旗風景特定區計畫(112年)</v>
      </c>
      <c r="Q1010" s="29" t="s">
        <v>4198</v>
      </c>
      <c r="R1010" s="29" t="str">
        <f t="shared" si="31"/>
        <v>2dms_t1kwfs_v1_TOPON1K_G19</v>
      </c>
      <c r="S1010" s="39" t="s">
        <v>4124</v>
      </c>
      <c r="U1010" s="27" t="str">
        <f>_xlfn.XLOOKUP(表格1[[#This Row],[服務類別(英)]],參考2_服務標準對照!$B:$B,參考2_服務標準對照!$C:$C,"")&amp;""</f>
        <v>OGC</v>
      </c>
      <c r="V1010" s="29" t="s">
        <v>8</v>
      </c>
      <c r="W1010" s="29" t="s">
        <v>4125</v>
      </c>
      <c r="X1010" s="29" t="s">
        <v>81</v>
      </c>
      <c r="Y1010" s="36" t="s">
        <v>83</v>
      </c>
      <c r="Z1010" s="36" t="s">
        <v>157</v>
      </c>
      <c r="AA1010" s="36" t="s">
        <v>4126</v>
      </c>
      <c r="AB1010" s="36"/>
      <c r="AC1010" s="36"/>
      <c r="AD1010" s="29" t="s">
        <v>119</v>
      </c>
      <c r="AE1010" s="36" t="str">
        <f>_xlfn.XLOOKUP(表格1[[#This Row],[唯一識別碼]],API清冊0707!B:B,API清冊0707!T:T,"")&amp;""</f>
        <v>無下拉選單</v>
      </c>
    </row>
    <row r="1011" spans="1:31" ht="142.5" customHeight="1" x14ac:dyDescent="0.4">
      <c r="A1011" s="29" t="s">
        <v>4199</v>
      </c>
      <c r="B1011" s="29"/>
      <c r="C1011" s="29"/>
      <c r="D1011" s="29" t="s">
        <v>4200</v>
      </c>
      <c r="E1011" s="29" t="s">
        <v>1370</v>
      </c>
      <c r="F1011" s="29" t="s">
        <v>4201</v>
      </c>
      <c r="G1011" s="35"/>
      <c r="H1011" s="35" t="s">
        <v>151</v>
      </c>
      <c r="I1011" s="29" t="s">
        <v>4199</v>
      </c>
      <c r="J1011" s="37"/>
      <c r="K1011" s="38"/>
      <c r="L1011" s="38"/>
      <c r="M1011" s="36" t="s">
        <v>60</v>
      </c>
      <c r="N1011" s="15" t="s">
        <v>152</v>
      </c>
      <c r="O1011" s="36" t="s">
        <v>4123</v>
      </c>
      <c r="P1011" s="36" t="str">
        <f t="shared" si="30"/>
        <v>WFS_1/1000地形圖_宜蘭縣政中心地區都市計畫(112年)</v>
      </c>
      <c r="Q1011" s="29" t="s">
        <v>4201</v>
      </c>
      <c r="R1011" s="29" t="str">
        <f t="shared" si="31"/>
        <v>2dms_t1kwfs_v1_TOPON1K_G20</v>
      </c>
      <c r="S1011" s="39" t="s">
        <v>4124</v>
      </c>
      <c r="U1011" s="27" t="str">
        <f>_xlfn.XLOOKUP(表格1[[#This Row],[服務類別(英)]],參考2_服務標準對照!$B:$B,參考2_服務標準對照!$C:$C,"")&amp;""</f>
        <v>OGC</v>
      </c>
      <c r="V1011" s="29" t="s">
        <v>8</v>
      </c>
      <c r="W1011" s="29" t="s">
        <v>4125</v>
      </c>
      <c r="X1011" s="29" t="s">
        <v>81</v>
      </c>
      <c r="Y1011" s="36" t="s">
        <v>83</v>
      </c>
      <c r="Z1011" s="36" t="s">
        <v>157</v>
      </c>
      <c r="AA1011" s="36" t="s">
        <v>4126</v>
      </c>
      <c r="AB1011" s="36"/>
      <c r="AC1011" s="36"/>
      <c r="AD1011" s="29" t="s">
        <v>119</v>
      </c>
      <c r="AE1011" s="36" t="str">
        <f>_xlfn.XLOOKUP(表格1[[#This Row],[唯一識別碼]],API清冊0707!B:B,API清冊0707!T:T,"")&amp;""</f>
        <v>無下拉選單</v>
      </c>
    </row>
    <row r="1012" spans="1:31" ht="142.5" customHeight="1" x14ac:dyDescent="0.4">
      <c r="A1012" s="29" t="s">
        <v>4202</v>
      </c>
      <c r="B1012" s="29"/>
      <c r="C1012" s="29"/>
      <c r="D1012" s="29" t="s">
        <v>4203</v>
      </c>
      <c r="E1012" s="29" t="s">
        <v>1366</v>
      </c>
      <c r="F1012" s="29" t="s">
        <v>4204</v>
      </c>
      <c r="G1012" s="35"/>
      <c r="H1012" s="35" t="s">
        <v>151</v>
      </c>
      <c r="I1012" s="29" t="s">
        <v>4202</v>
      </c>
      <c r="J1012" s="37"/>
      <c r="K1012" s="38"/>
      <c r="L1012" s="38"/>
      <c r="M1012" s="36" t="s">
        <v>60</v>
      </c>
      <c r="N1012" s="15" t="s">
        <v>152</v>
      </c>
      <c r="O1012" s="36" t="s">
        <v>4123</v>
      </c>
      <c r="P1012" s="36" t="str">
        <f t="shared" si="30"/>
        <v>WFS_1/1000地形圖_桃園市龍潭都市計畫(113年)</v>
      </c>
      <c r="Q1012" s="29" t="s">
        <v>4204</v>
      </c>
      <c r="R1012" s="29" t="str">
        <f t="shared" si="31"/>
        <v>2dms_t1kwfs_v1_TOPON1K_H18</v>
      </c>
      <c r="S1012" s="39" t="s">
        <v>4124</v>
      </c>
      <c r="U1012" s="27" t="str">
        <f>_xlfn.XLOOKUP(表格1[[#This Row],[服務類別(英)]],參考2_服務標準對照!$B:$B,參考2_服務標準對照!$C:$C,"")&amp;""</f>
        <v>OGC</v>
      </c>
      <c r="V1012" s="29" t="s">
        <v>8</v>
      </c>
      <c r="W1012" s="29" t="s">
        <v>4125</v>
      </c>
      <c r="X1012" s="29" t="s">
        <v>81</v>
      </c>
      <c r="Y1012" s="36" t="s">
        <v>83</v>
      </c>
      <c r="Z1012" s="36" t="s">
        <v>157</v>
      </c>
      <c r="AA1012" s="36" t="s">
        <v>4126</v>
      </c>
      <c r="AB1012" s="36"/>
      <c r="AC1012" s="36"/>
      <c r="AD1012" s="29" t="s">
        <v>119</v>
      </c>
      <c r="AE1012" s="36" t="str">
        <f>_xlfn.XLOOKUP(表格1[[#This Row],[唯一識別碼]],API清冊0707!B:B,API清冊0707!T:T,"")&amp;""</f>
        <v>無下拉選單</v>
      </c>
    </row>
    <row r="1013" spans="1:31" ht="142.5" customHeight="1" x14ac:dyDescent="0.4">
      <c r="A1013" s="29" t="s">
        <v>4205</v>
      </c>
      <c r="B1013" s="29"/>
      <c r="C1013" s="29"/>
      <c r="D1013" s="29" t="s">
        <v>4206</v>
      </c>
      <c r="E1013" s="29" t="s">
        <v>1362</v>
      </c>
      <c r="F1013" s="29" t="s">
        <v>4207</v>
      </c>
      <c r="G1013" s="35"/>
      <c r="H1013" s="35" t="s">
        <v>151</v>
      </c>
      <c r="I1013" s="29" t="s">
        <v>4205</v>
      </c>
      <c r="J1013" s="37"/>
      <c r="K1013" s="38"/>
      <c r="L1013" s="38"/>
      <c r="M1013" s="36" t="s">
        <v>60</v>
      </c>
      <c r="N1013" s="15" t="s">
        <v>152</v>
      </c>
      <c r="O1013" s="36" t="s">
        <v>4123</v>
      </c>
      <c r="P1013" s="36" t="str">
        <f t="shared" si="30"/>
        <v>WFS_1/1000地形圖_桃園市新屋都市計畫(113年)</v>
      </c>
      <c r="Q1013" s="29" t="s">
        <v>4207</v>
      </c>
      <c r="R1013" s="29" t="str">
        <f t="shared" si="31"/>
        <v>2dms_t1kwfs_v1_TOPON1K_H19</v>
      </c>
      <c r="S1013" s="39" t="s">
        <v>4124</v>
      </c>
      <c r="U1013" s="27" t="str">
        <f>_xlfn.XLOOKUP(表格1[[#This Row],[服務類別(英)]],參考2_服務標準對照!$B:$B,參考2_服務標準對照!$C:$C,"")&amp;""</f>
        <v>OGC</v>
      </c>
      <c r="V1013" s="29" t="s">
        <v>8</v>
      </c>
      <c r="W1013" s="29" t="s">
        <v>4125</v>
      </c>
      <c r="X1013" s="29" t="s">
        <v>81</v>
      </c>
      <c r="Y1013" s="36" t="s">
        <v>83</v>
      </c>
      <c r="Z1013" s="36" t="s">
        <v>157</v>
      </c>
      <c r="AA1013" s="36" t="s">
        <v>4126</v>
      </c>
      <c r="AB1013" s="36"/>
      <c r="AC1013" s="36"/>
      <c r="AD1013" s="29" t="s">
        <v>119</v>
      </c>
      <c r="AE1013" s="36" t="str">
        <f>_xlfn.XLOOKUP(表格1[[#This Row],[唯一識別碼]],API清冊0707!B:B,API清冊0707!T:T,"")&amp;""</f>
        <v>無下拉選單</v>
      </c>
    </row>
    <row r="1014" spans="1:31" ht="142.5" customHeight="1" x14ac:dyDescent="0.4">
      <c r="A1014" s="29" t="s">
        <v>4208</v>
      </c>
      <c r="B1014" s="29"/>
      <c r="C1014" s="29"/>
      <c r="D1014" s="29" t="s">
        <v>4209</v>
      </c>
      <c r="E1014" s="29" t="s">
        <v>1358</v>
      </c>
      <c r="F1014" s="29" t="s">
        <v>4210</v>
      </c>
      <c r="G1014" s="35"/>
      <c r="H1014" s="35" t="s">
        <v>151</v>
      </c>
      <c r="I1014" s="29" t="s">
        <v>4208</v>
      </c>
      <c r="J1014" s="37"/>
      <c r="K1014" s="38"/>
      <c r="L1014" s="38"/>
      <c r="M1014" s="36" t="s">
        <v>60</v>
      </c>
      <c r="N1014" s="15" t="s">
        <v>152</v>
      </c>
      <c r="O1014" s="36" t="s">
        <v>4123</v>
      </c>
      <c r="P1014" s="36" t="str">
        <f t="shared" si="30"/>
        <v>WFS_1/1000地形圖_桃園市觀音都市計畫(113年)</v>
      </c>
      <c r="Q1014" s="29" t="s">
        <v>4210</v>
      </c>
      <c r="R1014" s="29" t="str">
        <f t="shared" si="31"/>
        <v>2dms_t1kwfs_v1_TOPON1K_H20</v>
      </c>
      <c r="S1014" s="39" t="s">
        <v>4124</v>
      </c>
      <c r="U1014" s="27" t="str">
        <f>_xlfn.XLOOKUP(表格1[[#This Row],[服務類別(英)]],參考2_服務標準對照!$B:$B,參考2_服務標準對照!$C:$C,"")&amp;""</f>
        <v>OGC</v>
      </c>
      <c r="V1014" s="29" t="s">
        <v>8</v>
      </c>
      <c r="W1014" s="29" t="s">
        <v>4125</v>
      </c>
      <c r="X1014" s="29" t="s">
        <v>81</v>
      </c>
      <c r="Y1014" s="36" t="s">
        <v>83</v>
      </c>
      <c r="Z1014" s="36" t="s">
        <v>157</v>
      </c>
      <c r="AA1014" s="36" t="s">
        <v>4126</v>
      </c>
      <c r="AB1014" s="36"/>
      <c r="AC1014" s="36"/>
      <c r="AD1014" s="29" t="s">
        <v>119</v>
      </c>
      <c r="AE1014" s="36" t="str">
        <f>_xlfn.XLOOKUP(表格1[[#This Row],[唯一識別碼]],API清冊0707!B:B,API清冊0707!T:T,"")&amp;""</f>
        <v>無下拉選單</v>
      </c>
    </row>
    <row r="1015" spans="1:31" ht="142.5" customHeight="1" x14ac:dyDescent="0.4">
      <c r="A1015" s="29" t="s">
        <v>4211</v>
      </c>
      <c r="B1015" s="29"/>
      <c r="C1015" s="29"/>
      <c r="D1015" s="29" t="s">
        <v>4212</v>
      </c>
      <c r="E1015" s="29" t="s">
        <v>1354</v>
      </c>
      <c r="F1015" s="29" t="s">
        <v>4213</v>
      </c>
      <c r="G1015" s="35"/>
      <c r="H1015" s="35" t="s">
        <v>151</v>
      </c>
      <c r="I1015" s="29" t="s">
        <v>4211</v>
      </c>
      <c r="J1015" s="37"/>
      <c r="K1015" s="38"/>
      <c r="L1015" s="38"/>
      <c r="M1015" s="36" t="s">
        <v>60</v>
      </c>
      <c r="N1015" s="15" t="s">
        <v>152</v>
      </c>
      <c r="O1015" s="36" t="s">
        <v>4123</v>
      </c>
      <c r="P1015" s="36" t="str">
        <f t="shared" ref="P1015:P1078" si="32">IF(LEN(TRIM(F1015))&gt;0,F1015,E1015)</f>
        <v>WFS_1/1000地形圖_桃園市觀音(新坡地區)都市計畫(113年)</v>
      </c>
      <c r="Q1015" s="29" t="s">
        <v>4213</v>
      </c>
      <c r="R1015" s="29" t="str">
        <f t="shared" ref="R1015:R1078" si="33">D1015</f>
        <v>2dms_t1kwfs_v1_TOPON1K_H21</v>
      </c>
      <c r="S1015" s="39" t="s">
        <v>4124</v>
      </c>
      <c r="U1015" s="27" t="str">
        <f>_xlfn.XLOOKUP(表格1[[#This Row],[服務類別(英)]],參考2_服務標準對照!$B:$B,參考2_服務標準對照!$C:$C,"")&amp;""</f>
        <v>OGC</v>
      </c>
      <c r="V1015" s="29" t="s">
        <v>8</v>
      </c>
      <c r="W1015" s="29" t="s">
        <v>4125</v>
      </c>
      <c r="X1015" s="29" t="s">
        <v>81</v>
      </c>
      <c r="Y1015" s="36" t="s">
        <v>83</v>
      </c>
      <c r="Z1015" s="36" t="s">
        <v>157</v>
      </c>
      <c r="AA1015" s="36" t="s">
        <v>4126</v>
      </c>
      <c r="AB1015" s="36"/>
      <c r="AC1015" s="36"/>
      <c r="AD1015" s="29" t="s">
        <v>119</v>
      </c>
      <c r="AE1015" s="36" t="str">
        <f>_xlfn.XLOOKUP(表格1[[#This Row],[唯一識別碼]],API清冊0707!B:B,API清冊0707!T:T,"")&amp;""</f>
        <v>無下拉選單</v>
      </c>
    </row>
    <row r="1016" spans="1:31" ht="142.5" customHeight="1" x14ac:dyDescent="0.4">
      <c r="A1016" s="29" t="s">
        <v>4214</v>
      </c>
      <c r="B1016" s="29"/>
      <c r="C1016" s="29"/>
      <c r="D1016" s="29" t="s">
        <v>4215</v>
      </c>
      <c r="E1016" s="29" t="s">
        <v>1350</v>
      </c>
      <c r="F1016" s="29" t="s">
        <v>4216</v>
      </c>
      <c r="G1016" s="35"/>
      <c r="H1016" s="35" t="s">
        <v>151</v>
      </c>
      <c r="I1016" s="29" t="s">
        <v>4214</v>
      </c>
      <c r="J1016" s="37"/>
      <c r="K1016" s="38"/>
      <c r="L1016" s="38"/>
      <c r="M1016" s="36" t="s">
        <v>60</v>
      </c>
      <c r="N1016" s="15" t="s">
        <v>152</v>
      </c>
      <c r="O1016" s="36" t="s">
        <v>4123</v>
      </c>
      <c r="P1016" s="36" t="str">
        <f t="shared" si="32"/>
        <v>WFS_1/1000地形圖_桃園市平鎮(山子頂地區)都市計畫(112年)</v>
      </c>
      <c r="Q1016" s="29" t="s">
        <v>4216</v>
      </c>
      <c r="R1016" s="29" t="str">
        <f t="shared" si="33"/>
        <v>2dms_t1kwfs_v1_TOPON1K_H31</v>
      </c>
      <c r="S1016" s="39" t="s">
        <v>4124</v>
      </c>
      <c r="U1016" s="27" t="str">
        <f>_xlfn.XLOOKUP(表格1[[#This Row],[服務類別(英)]],參考2_服務標準對照!$B:$B,參考2_服務標準對照!$C:$C,"")&amp;""</f>
        <v>OGC</v>
      </c>
      <c r="V1016" s="29" t="s">
        <v>8</v>
      </c>
      <c r="W1016" s="29" t="s">
        <v>4125</v>
      </c>
      <c r="X1016" s="29" t="s">
        <v>81</v>
      </c>
      <c r="Y1016" s="36" t="s">
        <v>83</v>
      </c>
      <c r="Z1016" s="36" t="s">
        <v>157</v>
      </c>
      <c r="AA1016" s="36" t="s">
        <v>4126</v>
      </c>
      <c r="AB1016" s="36"/>
      <c r="AC1016" s="36"/>
      <c r="AD1016" s="29" t="s">
        <v>119</v>
      </c>
      <c r="AE1016" s="36" t="str">
        <f>_xlfn.XLOOKUP(表格1[[#This Row],[唯一識別碼]],API清冊0707!B:B,API清冊0707!T:T,"")&amp;""</f>
        <v>無下拉選單</v>
      </c>
    </row>
    <row r="1017" spans="1:31" ht="142.5" customHeight="1" x14ac:dyDescent="0.4">
      <c r="A1017" s="29" t="s">
        <v>4217</v>
      </c>
      <c r="B1017" s="29"/>
      <c r="C1017" s="29"/>
      <c r="D1017" s="29" t="s">
        <v>4218</v>
      </c>
      <c r="E1017" s="29" t="s">
        <v>1346</v>
      </c>
      <c r="F1017" s="29" t="s">
        <v>4219</v>
      </c>
      <c r="G1017" s="35"/>
      <c r="H1017" s="35" t="s">
        <v>151</v>
      </c>
      <c r="I1017" s="29" t="s">
        <v>4217</v>
      </c>
      <c r="J1017" s="37"/>
      <c r="K1017" s="38"/>
      <c r="L1017" s="38"/>
      <c r="M1017" s="36" t="s">
        <v>60</v>
      </c>
      <c r="N1017" s="15" t="s">
        <v>152</v>
      </c>
      <c r="O1017" s="36" t="s">
        <v>4123</v>
      </c>
      <c r="P1017" s="36" t="str">
        <f t="shared" si="32"/>
        <v>WFS_1/1000地形圖_新竹科學工業園區特定區計畫(竹東部分)(112年)</v>
      </c>
      <c r="Q1017" s="29" t="s">
        <v>4219</v>
      </c>
      <c r="R1017" s="29" t="str">
        <f t="shared" si="33"/>
        <v>2dms_t1kwfs_v1_TOPON1K_J01</v>
      </c>
      <c r="S1017" s="39" t="s">
        <v>4124</v>
      </c>
      <c r="U1017" s="27" t="str">
        <f>_xlfn.XLOOKUP(表格1[[#This Row],[服務類別(英)]],參考2_服務標準對照!$B:$B,參考2_服務標準對照!$C:$C,"")&amp;""</f>
        <v>OGC</v>
      </c>
      <c r="V1017" s="29" t="s">
        <v>8</v>
      </c>
      <c r="W1017" s="29" t="s">
        <v>4125</v>
      </c>
      <c r="X1017" s="29" t="s">
        <v>81</v>
      </c>
      <c r="Y1017" s="36" t="s">
        <v>83</v>
      </c>
      <c r="Z1017" s="36" t="s">
        <v>157</v>
      </c>
      <c r="AA1017" s="36" t="s">
        <v>4126</v>
      </c>
      <c r="AB1017" s="36"/>
      <c r="AC1017" s="36"/>
      <c r="AD1017" s="29" t="s">
        <v>119</v>
      </c>
      <c r="AE1017" s="36" t="str">
        <f>_xlfn.XLOOKUP(表格1[[#This Row],[唯一識別碼]],API清冊0707!B:B,API清冊0707!T:T,"")&amp;""</f>
        <v>無下拉選單</v>
      </c>
    </row>
    <row r="1018" spans="1:31" ht="142.5" customHeight="1" x14ac:dyDescent="0.4">
      <c r="A1018" s="29" t="s">
        <v>4220</v>
      </c>
      <c r="B1018" s="29"/>
      <c r="C1018" s="29"/>
      <c r="D1018" s="29" t="s">
        <v>4221</v>
      </c>
      <c r="E1018" s="29" t="s">
        <v>1342</v>
      </c>
      <c r="F1018" s="29" t="s">
        <v>4222</v>
      </c>
      <c r="G1018" s="35"/>
      <c r="H1018" s="35" t="s">
        <v>151</v>
      </c>
      <c r="I1018" s="29" t="s">
        <v>4220</v>
      </c>
      <c r="J1018" s="37"/>
      <c r="K1018" s="38"/>
      <c r="L1018" s="38"/>
      <c r="M1018" s="36" t="s">
        <v>60</v>
      </c>
      <c r="N1018" s="15" t="s">
        <v>152</v>
      </c>
      <c r="O1018" s="36" t="s">
        <v>4123</v>
      </c>
      <c r="P1018" s="36" t="str">
        <f t="shared" si="32"/>
        <v>WFS_1/1000地形圖_新竹縣竹北(含斗崙地區)都市計畫(113年)</v>
      </c>
      <c r="Q1018" s="29" t="s">
        <v>4222</v>
      </c>
      <c r="R1018" s="29" t="str">
        <f t="shared" si="33"/>
        <v>2dms_t1kwfs_v1_TOPON1K_J06</v>
      </c>
      <c r="S1018" s="39" t="s">
        <v>4124</v>
      </c>
      <c r="U1018" s="27" t="str">
        <f>_xlfn.XLOOKUP(表格1[[#This Row],[服務類別(英)]],參考2_服務標準對照!$B:$B,參考2_服務標準對照!$C:$C,"")&amp;""</f>
        <v>OGC</v>
      </c>
      <c r="V1018" s="29" t="s">
        <v>8</v>
      </c>
      <c r="W1018" s="29" t="s">
        <v>4125</v>
      </c>
      <c r="X1018" s="29" t="s">
        <v>81</v>
      </c>
      <c r="Y1018" s="36" t="s">
        <v>83</v>
      </c>
      <c r="Z1018" s="36" t="s">
        <v>157</v>
      </c>
      <c r="AA1018" s="36" t="s">
        <v>4126</v>
      </c>
      <c r="AB1018" s="36"/>
      <c r="AC1018" s="36"/>
      <c r="AD1018" s="29" t="s">
        <v>119</v>
      </c>
      <c r="AE1018" s="36" t="str">
        <f>_xlfn.XLOOKUP(表格1[[#This Row],[唯一識別碼]],API清冊0707!B:B,API清冊0707!T:T,"")&amp;""</f>
        <v>無下拉選單</v>
      </c>
    </row>
    <row r="1019" spans="1:31" ht="142.5" customHeight="1" x14ac:dyDescent="0.4">
      <c r="A1019" s="29" t="s">
        <v>4223</v>
      </c>
      <c r="B1019" s="29"/>
      <c r="C1019" s="29"/>
      <c r="D1019" s="29" t="s">
        <v>4224</v>
      </c>
      <c r="E1019" s="29" t="s">
        <v>1338</v>
      </c>
      <c r="F1019" s="29" t="s">
        <v>4225</v>
      </c>
      <c r="G1019" s="35"/>
      <c r="H1019" s="35" t="s">
        <v>151</v>
      </c>
      <c r="I1019" s="29" t="s">
        <v>4223</v>
      </c>
      <c r="J1019" s="37"/>
      <c r="K1019" s="38"/>
      <c r="L1019" s="38"/>
      <c r="M1019" s="36" t="s">
        <v>60</v>
      </c>
      <c r="N1019" s="15" t="s">
        <v>152</v>
      </c>
      <c r="O1019" s="36" t="s">
        <v>4123</v>
      </c>
      <c r="P1019" s="36" t="str">
        <f t="shared" si="32"/>
        <v>WFS_1/1000地形圖_新竹縣寶山都市計畫(112年)</v>
      </c>
      <c r="Q1019" s="29" t="s">
        <v>4225</v>
      </c>
      <c r="R1019" s="29" t="str">
        <f t="shared" si="33"/>
        <v>2dms_t1kwfs_v1_TOPON1K_J13</v>
      </c>
      <c r="S1019" s="39" t="s">
        <v>4124</v>
      </c>
      <c r="U1019" s="27" t="str">
        <f>_xlfn.XLOOKUP(表格1[[#This Row],[服務類別(英)]],參考2_服務標準對照!$B:$B,參考2_服務標準對照!$C:$C,"")&amp;""</f>
        <v>OGC</v>
      </c>
      <c r="V1019" s="29" t="s">
        <v>8</v>
      </c>
      <c r="W1019" s="29" t="s">
        <v>4125</v>
      </c>
      <c r="X1019" s="29" t="s">
        <v>81</v>
      </c>
      <c r="Y1019" s="36" t="s">
        <v>83</v>
      </c>
      <c r="Z1019" s="36" t="s">
        <v>157</v>
      </c>
      <c r="AA1019" s="36" t="s">
        <v>4126</v>
      </c>
      <c r="AB1019" s="36"/>
      <c r="AC1019" s="36"/>
      <c r="AD1019" s="29" t="s">
        <v>119</v>
      </c>
      <c r="AE1019" s="36" t="str">
        <f>_xlfn.XLOOKUP(表格1[[#This Row],[唯一識別碼]],API清冊0707!B:B,API清冊0707!T:T,"")&amp;""</f>
        <v>無下拉選單</v>
      </c>
    </row>
    <row r="1020" spans="1:31" ht="142.5" customHeight="1" x14ac:dyDescent="0.4">
      <c r="A1020" s="29" t="s">
        <v>4226</v>
      </c>
      <c r="B1020" s="29"/>
      <c r="C1020" s="29"/>
      <c r="D1020" s="29" t="s">
        <v>4227</v>
      </c>
      <c r="E1020" s="29" t="s">
        <v>1334</v>
      </c>
      <c r="F1020" s="29" t="s">
        <v>4228</v>
      </c>
      <c r="G1020" s="35"/>
      <c r="H1020" s="35" t="s">
        <v>151</v>
      </c>
      <c r="I1020" s="29" t="s">
        <v>4226</v>
      </c>
      <c r="J1020" s="37"/>
      <c r="K1020" s="38"/>
      <c r="L1020" s="38"/>
      <c r="M1020" s="36" t="s">
        <v>60</v>
      </c>
      <c r="N1020" s="15" t="s">
        <v>152</v>
      </c>
      <c r="O1020" s="36" t="s">
        <v>4123</v>
      </c>
      <c r="P1020" s="36" t="str">
        <f t="shared" si="32"/>
        <v>WFS_1/1000地形圖_新竹縣高速鐵路新竹車站特定區計畫(113年)</v>
      </c>
      <c r="Q1020" s="29" t="s">
        <v>4228</v>
      </c>
      <c r="R1020" s="29" t="str">
        <f t="shared" si="33"/>
        <v>2dms_t1kwfs_v1_TOPON1K_J16</v>
      </c>
      <c r="S1020" s="39" t="s">
        <v>4124</v>
      </c>
      <c r="U1020" s="27" t="str">
        <f>_xlfn.XLOOKUP(表格1[[#This Row],[服務類別(英)]],參考2_服務標準對照!$B:$B,參考2_服務標準對照!$C:$C,"")&amp;""</f>
        <v>OGC</v>
      </c>
      <c r="V1020" s="29" t="s">
        <v>8</v>
      </c>
      <c r="W1020" s="29" t="s">
        <v>4125</v>
      </c>
      <c r="X1020" s="29" t="s">
        <v>81</v>
      </c>
      <c r="Y1020" s="36" t="s">
        <v>83</v>
      </c>
      <c r="Z1020" s="36" t="s">
        <v>157</v>
      </c>
      <c r="AA1020" s="36" t="s">
        <v>4126</v>
      </c>
      <c r="AB1020" s="36"/>
      <c r="AC1020" s="36"/>
      <c r="AD1020" s="29" t="s">
        <v>119</v>
      </c>
      <c r="AE1020" s="36" t="str">
        <f>_xlfn.XLOOKUP(表格1[[#This Row],[唯一識別碼]],API清冊0707!B:B,API清冊0707!T:T,"")&amp;""</f>
        <v>無下拉選單</v>
      </c>
    </row>
    <row r="1021" spans="1:31" ht="142.5" customHeight="1" x14ac:dyDescent="0.4">
      <c r="A1021" s="29" t="s">
        <v>4229</v>
      </c>
      <c r="B1021" s="29"/>
      <c r="C1021" s="29"/>
      <c r="D1021" s="29" t="s">
        <v>4230</v>
      </c>
      <c r="E1021" s="29" t="s">
        <v>1330</v>
      </c>
      <c r="F1021" s="29" t="s">
        <v>4231</v>
      </c>
      <c r="G1021" s="35"/>
      <c r="H1021" s="35" t="s">
        <v>151</v>
      </c>
      <c r="I1021" s="29" t="s">
        <v>4229</v>
      </c>
      <c r="J1021" s="37"/>
      <c r="K1021" s="38"/>
      <c r="L1021" s="38"/>
      <c r="M1021" s="36" t="s">
        <v>60</v>
      </c>
      <c r="N1021" s="15" t="s">
        <v>152</v>
      </c>
      <c r="O1021" s="36" t="s">
        <v>4123</v>
      </c>
      <c r="P1021" s="36" t="str">
        <f t="shared" si="32"/>
        <v>WFS_1/1000地形圖_新竹科學工業園區特定區計畫(寶山部分)(112年)</v>
      </c>
      <c r="Q1021" s="29" t="s">
        <v>4231</v>
      </c>
      <c r="R1021" s="29" t="str">
        <f t="shared" si="33"/>
        <v>2dms_t1kwfs_v1_TOPON1K_J17</v>
      </c>
      <c r="S1021" s="39" t="s">
        <v>4124</v>
      </c>
      <c r="U1021" s="27" t="str">
        <f>_xlfn.XLOOKUP(表格1[[#This Row],[服務類別(英)]],參考2_服務標準對照!$B:$B,參考2_服務標準對照!$C:$C,"")&amp;""</f>
        <v>OGC</v>
      </c>
      <c r="V1021" s="29" t="s">
        <v>8</v>
      </c>
      <c r="W1021" s="29" t="s">
        <v>4125</v>
      </c>
      <c r="X1021" s="29" t="s">
        <v>81</v>
      </c>
      <c r="Y1021" s="36" t="s">
        <v>83</v>
      </c>
      <c r="Z1021" s="36" t="s">
        <v>157</v>
      </c>
      <c r="AA1021" s="36" t="s">
        <v>4126</v>
      </c>
      <c r="AB1021" s="36"/>
      <c r="AC1021" s="36"/>
      <c r="AD1021" s="29" t="s">
        <v>119</v>
      </c>
      <c r="AE1021" s="36" t="str">
        <f>_xlfn.XLOOKUP(表格1[[#This Row],[唯一識別碼]],API清冊0707!B:B,API清冊0707!T:T,"")&amp;""</f>
        <v>無下拉選單</v>
      </c>
    </row>
    <row r="1022" spans="1:31" ht="142.5" customHeight="1" x14ac:dyDescent="0.4">
      <c r="A1022" s="29" t="s">
        <v>4232</v>
      </c>
      <c r="B1022" s="29"/>
      <c r="C1022" s="29"/>
      <c r="D1022" s="29" t="s">
        <v>4233</v>
      </c>
      <c r="E1022" s="29" t="s">
        <v>1326</v>
      </c>
      <c r="F1022" s="29" t="s">
        <v>4234</v>
      </c>
      <c r="G1022" s="35"/>
      <c r="H1022" s="35" t="s">
        <v>151</v>
      </c>
      <c r="I1022" s="29" t="s">
        <v>4232</v>
      </c>
      <c r="J1022" s="37"/>
      <c r="K1022" s="38"/>
      <c r="L1022" s="38"/>
      <c r="M1022" s="36" t="s">
        <v>60</v>
      </c>
      <c r="N1022" s="15" t="s">
        <v>152</v>
      </c>
      <c r="O1022" s="36" t="s">
        <v>4123</v>
      </c>
      <c r="P1022" s="36" t="str">
        <f t="shared" si="32"/>
        <v>WFS_1/1000地形圖_苗栗縣苗栗都市計畫(112年)</v>
      </c>
      <c r="Q1022" s="29" t="s">
        <v>4234</v>
      </c>
      <c r="R1022" s="29" t="str">
        <f t="shared" si="33"/>
        <v>2dms_t1kwfs_v1_TOPON1K_K01</v>
      </c>
      <c r="S1022" s="39" t="s">
        <v>4124</v>
      </c>
      <c r="U1022" s="27" t="str">
        <f>_xlfn.XLOOKUP(表格1[[#This Row],[服務類別(英)]],參考2_服務標準對照!$B:$B,參考2_服務標準對照!$C:$C,"")&amp;""</f>
        <v>OGC</v>
      </c>
      <c r="V1022" s="29" t="s">
        <v>8</v>
      </c>
      <c r="W1022" s="29" t="s">
        <v>4125</v>
      </c>
      <c r="X1022" s="29" t="s">
        <v>81</v>
      </c>
      <c r="Y1022" s="36" t="s">
        <v>83</v>
      </c>
      <c r="Z1022" s="36" t="s">
        <v>157</v>
      </c>
      <c r="AA1022" s="36" t="s">
        <v>4126</v>
      </c>
      <c r="AB1022" s="36"/>
      <c r="AC1022" s="36"/>
      <c r="AD1022" s="29" t="s">
        <v>119</v>
      </c>
      <c r="AE1022" s="36" t="str">
        <f>_xlfn.XLOOKUP(表格1[[#This Row],[唯一識別碼]],API清冊0707!B:B,API清冊0707!T:T,"")&amp;""</f>
        <v>無下拉選單</v>
      </c>
    </row>
    <row r="1023" spans="1:31" ht="142.5" customHeight="1" x14ac:dyDescent="0.4">
      <c r="A1023" s="29" t="s">
        <v>4235</v>
      </c>
      <c r="B1023" s="29"/>
      <c r="C1023" s="29"/>
      <c r="D1023" s="29" t="s">
        <v>4236</v>
      </c>
      <c r="E1023" s="29" t="s">
        <v>1322</v>
      </c>
      <c r="F1023" s="29" t="s">
        <v>4237</v>
      </c>
      <c r="G1023" s="35"/>
      <c r="H1023" s="35" t="s">
        <v>151</v>
      </c>
      <c r="I1023" s="29" t="s">
        <v>4235</v>
      </c>
      <c r="J1023" s="37"/>
      <c r="K1023" s="38"/>
      <c r="L1023" s="38"/>
      <c r="M1023" s="36" t="s">
        <v>60</v>
      </c>
      <c r="N1023" s="15" t="s">
        <v>152</v>
      </c>
      <c r="O1023" s="36" t="s">
        <v>4123</v>
      </c>
      <c r="P1023" s="36" t="str">
        <f t="shared" si="32"/>
        <v>WFS_1/1000地形圖_苗栗縣高速公路苗栗交流道附近特定區計畫(112年)</v>
      </c>
      <c r="Q1023" s="29" t="s">
        <v>4237</v>
      </c>
      <c r="R1023" s="29" t="str">
        <f t="shared" si="33"/>
        <v>2dms_t1kwfs_v1_TOPON1K_K02</v>
      </c>
      <c r="S1023" s="39" t="s">
        <v>4124</v>
      </c>
      <c r="U1023" s="27" t="str">
        <f>_xlfn.XLOOKUP(表格1[[#This Row],[服務類別(英)]],參考2_服務標準對照!$B:$B,參考2_服務標準對照!$C:$C,"")&amp;""</f>
        <v>OGC</v>
      </c>
      <c r="V1023" s="29" t="s">
        <v>8</v>
      </c>
      <c r="W1023" s="29" t="s">
        <v>4125</v>
      </c>
      <c r="X1023" s="29" t="s">
        <v>81</v>
      </c>
      <c r="Y1023" s="36" t="s">
        <v>83</v>
      </c>
      <c r="Z1023" s="36" t="s">
        <v>157</v>
      </c>
      <c r="AA1023" s="36" t="s">
        <v>4126</v>
      </c>
      <c r="AB1023" s="36"/>
      <c r="AC1023" s="36"/>
      <c r="AD1023" s="29" t="s">
        <v>119</v>
      </c>
      <c r="AE1023" s="36" t="str">
        <f>_xlfn.XLOOKUP(表格1[[#This Row],[唯一識別碼]],API清冊0707!B:B,API清冊0707!T:T,"")&amp;""</f>
        <v>無下拉選單</v>
      </c>
    </row>
    <row r="1024" spans="1:31" ht="142.5" customHeight="1" x14ac:dyDescent="0.4">
      <c r="A1024" s="29" t="s">
        <v>4238</v>
      </c>
      <c r="B1024" s="29"/>
      <c r="C1024" s="29"/>
      <c r="D1024" s="29" t="s">
        <v>4239</v>
      </c>
      <c r="E1024" s="29" t="s">
        <v>1318</v>
      </c>
      <c r="F1024" s="29" t="s">
        <v>4240</v>
      </c>
      <c r="G1024" s="35"/>
      <c r="H1024" s="35" t="s">
        <v>151</v>
      </c>
      <c r="I1024" s="29" t="s">
        <v>4238</v>
      </c>
      <c r="J1024" s="37"/>
      <c r="K1024" s="38"/>
      <c r="L1024" s="38"/>
      <c r="M1024" s="36" t="s">
        <v>60</v>
      </c>
      <c r="N1024" s="15" t="s">
        <v>152</v>
      </c>
      <c r="O1024" s="36" t="s">
        <v>4123</v>
      </c>
      <c r="P1024" s="36" t="str">
        <f t="shared" si="32"/>
        <v>WFS_1/1000地形圖_苗栗縣頭屋都市計畫(112年)</v>
      </c>
      <c r="Q1024" s="29" t="s">
        <v>4240</v>
      </c>
      <c r="R1024" s="29" t="str">
        <f t="shared" si="33"/>
        <v>2dms_t1kwfs_v1_TOPON1K_K14</v>
      </c>
      <c r="S1024" s="39" t="s">
        <v>4124</v>
      </c>
      <c r="U1024" s="27" t="str">
        <f>_xlfn.XLOOKUP(表格1[[#This Row],[服務類別(英)]],參考2_服務標準對照!$B:$B,參考2_服務標準對照!$C:$C,"")&amp;""</f>
        <v>OGC</v>
      </c>
      <c r="V1024" s="29" t="s">
        <v>8</v>
      </c>
      <c r="W1024" s="29" t="s">
        <v>4125</v>
      </c>
      <c r="X1024" s="29" t="s">
        <v>81</v>
      </c>
      <c r="Y1024" s="36" t="s">
        <v>83</v>
      </c>
      <c r="Z1024" s="36" t="s">
        <v>157</v>
      </c>
      <c r="AA1024" s="36" t="s">
        <v>4126</v>
      </c>
      <c r="AB1024" s="36"/>
      <c r="AC1024" s="36"/>
      <c r="AD1024" s="29" t="s">
        <v>119</v>
      </c>
      <c r="AE1024" s="36" t="str">
        <f>_xlfn.XLOOKUP(表格1[[#This Row],[唯一識別碼]],API清冊0707!B:B,API清冊0707!T:T,"")&amp;""</f>
        <v>無下拉選單</v>
      </c>
    </row>
    <row r="1025" spans="1:31" ht="142.5" customHeight="1" x14ac:dyDescent="0.4">
      <c r="A1025" s="29" t="s">
        <v>4241</v>
      </c>
      <c r="B1025" s="29"/>
      <c r="C1025" s="29"/>
      <c r="D1025" s="29" t="s">
        <v>4242</v>
      </c>
      <c r="E1025" s="29" t="s">
        <v>1314</v>
      </c>
      <c r="F1025" s="29" t="s">
        <v>4243</v>
      </c>
      <c r="G1025" s="35"/>
      <c r="H1025" s="35" t="s">
        <v>151</v>
      </c>
      <c r="I1025" s="29" t="s">
        <v>4241</v>
      </c>
      <c r="J1025" s="37"/>
      <c r="K1025" s="38"/>
      <c r="L1025" s="38"/>
      <c r="M1025" s="36" t="s">
        <v>60</v>
      </c>
      <c r="N1025" s="15" t="s">
        <v>152</v>
      </c>
      <c r="O1025" s="36" t="s">
        <v>4123</v>
      </c>
      <c r="P1025" s="36" t="str">
        <f t="shared" si="32"/>
        <v>WFS_1/1000地形圖_南投縣南投(含南崗地區)都市計畫(112年)</v>
      </c>
      <c r="Q1025" s="29" t="s">
        <v>4243</v>
      </c>
      <c r="R1025" s="29" t="str">
        <f t="shared" si="33"/>
        <v>2dms_t1kwfs_v1_TOPON1K_M01</v>
      </c>
      <c r="S1025" s="39" t="s">
        <v>4124</v>
      </c>
      <c r="U1025" s="27" t="str">
        <f>_xlfn.XLOOKUP(表格1[[#This Row],[服務類別(英)]],參考2_服務標準對照!$B:$B,參考2_服務標準對照!$C:$C,"")&amp;""</f>
        <v>OGC</v>
      </c>
      <c r="V1025" s="29" t="s">
        <v>8</v>
      </c>
      <c r="W1025" s="29" t="s">
        <v>4125</v>
      </c>
      <c r="X1025" s="29" t="s">
        <v>81</v>
      </c>
      <c r="Y1025" s="36" t="s">
        <v>83</v>
      </c>
      <c r="Z1025" s="36" t="s">
        <v>157</v>
      </c>
      <c r="AA1025" s="36" t="s">
        <v>4126</v>
      </c>
      <c r="AB1025" s="36"/>
      <c r="AC1025" s="36"/>
      <c r="AD1025" s="29" t="s">
        <v>119</v>
      </c>
      <c r="AE1025" s="36" t="str">
        <f>_xlfn.XLOOKUP(表格1[[#This Row],[唯一識別碼]],API清冊0707!B:B,API清冊0707!T:T,"")&amp;""</f>
        <v>無下拉選單</v>
      </c>
    </row>
    <row r="1026" spans="1:31" ht="142.5" customHeight="1" x14ac:dyDescent="0.4">
      <c r="A1026" s="29" t="s">
        <v>4244</v>
      </c>
      <c r="B1026" s="29"/>
      <c r="C1026" s="29"/>
      <c r="D1026" s="29" t="s">
        <v>4245</v>
      </c>
      <c r="E1026" s="29" t="s">
        <v>1310</v>
      </c>
      <c r="F1026" s="29" t="s">
        <v>4246</v>
      </c>
      <c r="G1026" s="35"/>
      <c r="H1026" s="35" t="s">
        <v>151</v>
      </c>
      <c r="I1026" s="29" t="s">
        <v>4244</v>
      </c>
      <c r="J1026" s="37"/>
      <c r="K1026" s="38"/>
      <c r="L1026" s="38"/>
      <c r="M1026" s="36" t="s">
        <v>60</v>
      </c>
      <c r="N1026" s="15" t="s">
        <v>152</v>
      </c>
      <c r="O1026" s="36" t="s">
        <v>4123</v>
      </c>
      <c r="P1026" s="36" t="str">
        <f t="shared" si="32"/>
        <v>WFS_1/1000地形圖_南投縣中興新村(含南內轆地區)都市計畫(112年)</v>
      </c>
      <c r="Q1026" s="29" t="s">
        <v>4246</v>
      </c>
      <c r="R1026" s="29" t="str">
        <f t="shared" si="33"/>
        <v>2dms_t1kwfs_v1_TOPON1K_M02</v>
      </c>
      <c r="S1026" s="39" t="s">
        <v>4124</v>
      </c>
      <c r="U1026" s="27" t="str">
        <f>_xlfn.XLOOKUP(表格1[[#This Row],[服務類別(英)]],參考2_服務標準對照!$B:$B,參考2_服務標準對照!$C:$C,"")&amp;""</f>
        <v>OGC</v>
      </c>
      <c r="V1026" s="29" t="s">
        <v>8</v>
      </c>
      <c r="W1026" s="29" t="s">
        <v>4125</v>
      </c>
      <c r="X1026" s="29" t="s">
        <v>81</v>
      </c>
      <c r="Y1026" s="36" t="s">
        <v>83</v>
      </c>
      <c r="Z1026" s="36" t="s">
        <v>157</v>
      </c>
      <c r="AA1026" s="36" t="s">
        <v>4126</v>
      </c>
      <c r="AB1026" s="36"/>
      <c r="AC1026" s="36"/>
      <c r="AD1026" s="29" t="s">
        <v>119</v>
      </c>
      <c r="AE1026" s="36" t="str">
        <f>_xlfn.XLOOKUP(表格1[[#This Row],[唯一識別碼]],API清冊0707!B:B,API清冊0707!T:T,"")&amp;""</f>
        <v>無下拉選單</v>
      </c>
    </row>
    <row r="1027" spans="1:31" ht="142.5" customHeight="1" x14ac:dyDescent="0.4">
      <c r="A1027" s="29" t="s">
        <v>4247</v>
      </c>
      <c r="B1027" s="29"/>
      <c r="C1027" s="29"/>
      <c r="D1027" s="29" t="s">
        <v>4248</v>
      </c>
      <c r="E1027" s="29" t="s">
        <v>1306</v>
      </c>
      <c r="F1027" s="29" t="s">
        <v>4249</v>
      </c>
      <c r="G1027" s="35"/>
      <c r="H1027" s="35" t="s">
        <v>151</v>
      </c>
      <c r="I1027" s="29" t="s">
        <v>4247</v>
      </c>
      <c r="J1027" s="37"/>
      <c r="K1027" s="38"/>
      <c r="L1027" s="38"/>
      <c r="M1027" s="36" t="s">
        <v>60</v>
      </c>
      <c r="N1027" s="15" t="s">
        <v>152</v>
      </c>
      <c r="O1027" s="36" t="s">
        <v>4123</v>
      </c>
      <c r="P1027" s="36" t="str">
        <f t="shared" si="32"/>
        <v>WFS_1/1000地形圖_南投縣草屯都市計畫(112年)</v>
      </c>
      <c r="Q1027" s="29" t="s">
        <v>4249</v>
      </c>
      <c r="R1027" s="29" t="str">
        <f t="shared" si="33"/>
        <v>2dms_t1kwfs_v1_TOPON1K_M04</v>
      </c>
      <c r="S1027" s="39" t="s">
        <v>4124</v>
      </c>
      <c r="U1027" s="27" t="str">
        <f>_xlfn.XLOOKUP(表格1[[#This Row],[服務類別(英)]],參考2_服務標準對照!$B:$B,參考2_服務標準對照!$C:$C,"")&amp;""</f>
        <v>OGC</v>
      </c>
      <c r="V1027" s="29" t="s">
        <v>8</v>
      </c>
      <c r="W1027" s="29" t="s">
        <v>4125</v>
      </c>
      <c r="X1027" s="29" t="s">
        <v>81</v>
      </c>
      <c r="Y1027" s="36" t="s">
        <v>83</v>
      </c>
      <c r="Z1027" s="36" t="s">
        <v>157</v>
      </c>
      <c r="AA1027" s="36" t="s">
        <v>4126</v>
      </c>
      <c r="AB1027" s="36"/>
      <c r="AC1027" s="36"/>
      <c r="AD1027" s="29" t="s">
        <v>119</v>
      </c>
      <c r="AE1027" s="36" t="str">
        <f>_xlfn.XLOOKUP(表格1[[#This Row],[唯一識別碼]],API清冊0707!B:B,API清冊0707!T:T,"")&amp;""</f>
        <v>無下拉選單</v>
      </c>
    </row>
    <row r="1028" spans="1:31" ht="142.5" customHeight="1" x14ac:dyDescent="0.4">
      <c r="A1028" s="29" t="s">
        <v>4250</v>
      </c>
      <c r="B1028" s="29"/>
      <c r="C1028" s="29"/>
      <c r="D1028" s="29" t="s">
        <v>4251</v>
      </c>
      <c r="E1028" s="29" t="s">
        <v>1302</v>
      </c>
      <c r="F1028" s="29" t="s">
        <v>4252</v>
      </c>
      <c r="G1028" s="35"/>
      <c r="H1028" s="35" t="s">
        <v>151</v>
      </c>
      <c r="I1028" s="29" t="s">
        <v>4250</v>
      </c>
      <c r="J1028" s="37"/>
      <c r="K1028" s="38"/>
      <c r="L1028" s="38"/>
      <c r="M1028" s="36" t="s">
        <v>60</v>
      </c>
      <c r="N1028" s="15" t="s">
        <v>152</v>
      </c>
      <c r="O1028" s="36" t="s">
        <v>4123</v>
      </c>
      <c r="P1028" s="36" t="str">
        <f t="shared" si="32"/>
        <v>WFS_1/1000地形圖_彰化縣彰化都市計畫(112年)</v>
      </c>
      <c r="Q1028" s="29" t="s">
        <v>4252</v>
      </c>
      <c r="R1028" s="29" t="str">
        <f t="shared" si="33"/>
        <v>2dms_t1kwfs_v1_TOPON1K_N01</v>
      </c>
      <c r="S1028" s="39" t="s">
        <v>4124</v>
      </c>
      <c r="U1028" s="27" t="str">
        <f>_xlfn.XLOOKUP(表格1[[#This Row],[服務類別(英)]],參考2_服務標準對照!$B:$B,參考2_服務標準對照!$C:$C,"")&amp;""</f>
        <v>OGC</v>
      </c>
      <c r="V1028" s="29" t="s">
        <v>8</v>
      </c>
      <c r="W1028" s="29" t="s">
        <v>4125</v>
      </c>
      <c r="X1028" s="29" t="s">
        <v>81</v>
      </c>
      <c r="Y1028" s="36" t="s">
        <v>83</v>
      </c>
      <c r="Z1028" s="36" t="s">
        <v>157</v>
      </c>
      <c r="AA1028" s="36" t="s">
        <v>4126</v>
      </c>
      <c r="AB1028" s="36"/>
      <c r="AC1028" s="36"/>
      <c r="AD1028" s="29" t="s">
        <v>119</v>
      </c>
      <c r="AE1028" s="36" t="str">
        <f>_xlfn.XLOOKUP(表格1[[#This Row],[唯一識別碼]],API清冊0707!B:B,API清冊0707!T:T,"")&amp;""</f>
        <v>無下拉選單</v>
      </c>
    </row>
    <row r="1029" spans="1:31" ht="142.5" customHeight="1" x14ac:dyDescent="0.4">
      <c r="A1029" s="29" t="s">
        <v>4253</v>
      </c>
      <c r="B1029" s="29"/>
      <c r="C1029" s="29"/>
      <c r="D1029" s="29" t="s">
        <v>4254</v>
      </c>
      <c r="E1029" s="29" t="s">
        <v>1298</v>
      </c>
      <c r="F1029" s="29" t="s">
        <v>4255</v>
      </c>
      <c r="G1029" s="35"/>
      <c r="H1029" s="35" t="s">
        <v>151</v>
      </c>
      <c r="I1029" s="29" t="s">
        <v>4253</v>
      </c>
      <c r="J1029" s="37"/>
      <c r="K1029" s="38"/>
      <c r="L1029" s="38"/>
      <c r="M1029" s="36" t="s">
        <v>60</v>
      </c>
      <c r="N1029" s="15" t="s">
        <v>152</v>
      </c>
      <c r="O1029" s="36" t="s">
        <v>4123</v>
      </c>
      <c r="P1029" s="36" t="str">
        <f t="shared" si="32"/>
        <v>WFS_1/1000地形圖_彰化縣高速公路彰化交流道附近特定區計畫(112年)</v>
      </c>
      <c r="Q1029" s="29" t="s">
        <v>4255</v>
      </c>
      <c r="R1029" s="29" t="str">
        <f t="shared" si="33"/>
        <v>2dms_t1kwfs_v1_TOPON1K_N02</v>
      </c>
      <c r="S1029" s="39" t="s">
        <v>4124</v>
      </c>
      <c r="U1029" s="27" t="str">
        <f>_xlfn.XLOOKUP(表格1[[#This Row],[服務類別(英)]],參考2_服務標準對照!$B:$B,參考2_服務標準對照!$C:$C,"")&amp;""</f>
        <v>OGC</v>
      </c>
      <c r="V1029" s="29" t="s">
        <v>8</v>
      </c>
      <c r="W1029" s="29" t="s">
        <v>4125</v>
      </c>
      <c r="X1029" s="29" t="s">
        <v>81</v>
      </c>
      <c r="Y1029" s="36" t="s">
        <v>83</v>
      </c>
      <c r="Z1029" s="36" t="s">
        <v>157</v>
      </c>
      <c r="AA1029" s="36" t="s">
        <v>4126</v>
      </c>
      <c r="AB1029" s="36"/>
      <c r="AC1029" s="36"/>
      <c r="AD1029" s="29" t="s">
        <v>119</v>
      </c>
      <c r="AE1029" s="36" t="str">
        <f>_xlfn.XLOOKUP(表格1[[#This Row],[唯一識別碼]],API清冊0707!B:B,API清冊0707!T:T,"")&amp;""</f>
        <v>無下拉選單</v>
      </c>
    </row>
    <row r="1030" spans="1:31" ht="142.5" customHeight="1" x14ac:dyDescent="0.4">
      <c r="A1030" s="29" t="s">
        <v>4256</v>
      </c>
      <c r="B1030" s="29"/>
      <c r="C1030" s="29"/>
      <c r="D1030" s="29" t="s">
        <v>4257</v>
      </c>
      <c r="E1030" s="29" t="s">
        <v>1294</v>
      </c>
      <c r="F1030" s="29" t="s">
        <v>4258</v>
      </c>
      <c r="G1030" s="35"/>
      <c r="H1030" s="35" t="s">
        <v>151</v>
      </c>
      <c r="I1030" s="29" t="s">
        <v>4256</v>
      </c>
      <c r="J1030" s="37"/>
      <c r="K1030" s="38"/>
      <c r="L1030" s="38"/>
      <c r="M1030" s="36" t="s">
        <v>60</v>
      </c>
      <c r="N1030" s="15" t="s">
        <v>152</v>
      </c>
      <c r="O1030" s="36" t="s">
        <v>4123</v>
      </c>
      <c r="P1030" s="36" t="str">
        <f t="shared" si="32"/>
        <v>WFS_1/1000地形圖_雲林縣斗六(含大潭地區)都市計畫(113年)</v>
      </c>
      <c r="Q1030" s="29" t="s">
        <v>4258</v>
      </c>
      <c r="R1030" s="29" t="str">
        <f t="shared" si="33"/>
        <v>2dms_t1kwfs_v1_TOPON1K_P01</v>
      </c>
      <c r="S1030" s="39" t="s">
        <v>4124</v>
      </c>
      <c r="U1030" s="27" t="str">
        <f>_xlfn.XLOOKUP(表格1[[#This Row],[服務類別(英)]],參考2_服務標準對照!$B:$B,參考2_服務標準對照!$C:$C,"")&amp;""</f>
        <v>OGC</v>
      </c>
      <c r="V1030" s="29" t="s">
        <v>8</v>
      </c>
      <c r="W1030" s="29" t="s">
        <v>4125</v>
      </c>
      <c r="X1030" s="29" t="s">
        <v>81</v>
      </c>
      <c r="Y1030" s="36" t="s">
        <v>83</v>
      </c>
      <c r="Z1030" s="36" t="s">
        <v>157</v>
      </c>
      <c r="AA1030" s="36" t="s">
        <v>4126</v>
      </c>
      <c r="AB1030" s="36"/>
      <c r="AC1030" s="36"/>
      <c r="AD1030" s="29" t="s">
        <v>119</v>
      </c>
      <c r="AE1030" s="36" t="str">
        <f>_xlfn.XLOOKUP(表格1[[#This Row],[唯一識別碼]],API清冊0707!B:B,API清冊0707!T:T,"")&amp;""</f>
        <v>無下拉選單</v>
      </c>
    </row>
    <row r="1031" spans="1:31" ht="142.5" customHeight="1" x14ac:dyDescent="0.4">
      <c r="A1031" s="29" t="s">
        <v>4259</v>
      </c>
      <c r="B1031" s="29"/>
      <c r="C1031" s="29"/>
      <c r="D1031" s="29" t="s">
        <v>4260</v>
      </c>
      <c r="E1031" s="29" t="s">
        <v>1290</v>
      </c>
      <c r="F1031" s="29" t="s">
        <v>4261</v>
      </c>
      <c r="G1031" s="35"/>
      <c r="H1031" s="35" t="s">
        <v>151</v>
      </c>
      <c r="I1031" s="29" t="s">
        <v>4259</v>
      </c>
      <c r="J1031" s="37"/>
      <c r="K1031" s="38"/>
      <c r="L1031" s="38"/>
      <c r="M1031" s="36" t="s">
        <v>60</v>
      </c>
      <c r="N1031" s="15" t="s">
        <v>152</v>
      </c>
      <c r="O1031" s="36" t="s">
        <v>4123</v>
      </c>
      <c r="P1031" s="36" t="str">
        <f t="shared" si="32"/>
        <v>WFS_1/1000地形圖_雲林縣莿桐都市計畫(113年)</v>
      </c>
      <c r="Q1031" s="29" t="s">
        <v>4261</v>
      </c>
      <c r="R1031" s="29" t="str">
        <f t="shared" si="33"/>
        <v>2dms_t1kwfs_v1_TOPON1K_P10</v>
      </c>
      <c r="S1031" s="39" t="s">
        <v>4124</v>
      </c>
      <c r="U1031" s="27" t="str">
        <f>_xlfn.XLOOKUP(表格1[[#This Row],[服務類別(英)]],參考2_服務標準對照!$B:$B,參考2_服務標準對照!$C:$C,"")&amp;""</f>
        <v>OGC</v>
      </c>
      <c r="V1031" s="29" t="s">
        <v>8</v>
      </c>
      <c r="W1031" s="29" t="s">
        <v>4125</v>
      </c>
      <c r="X1031" s="29" t="s">
        <v>81</v>
      </c>
      <c r="Y1031" s="36" t="s">
        <v>83</v>
      </c>
      <c r="Z1031" s="36" t="s">
        <v>157</v>
      </c>
      <c r="AA1031" s="36" t="s">
        <v>4126</v>
      </c>
      <c r="AB1031" s="36"/>
      <c r="AC1031" s="36"/>
      <c r="AD1031" s="29" t="s">
        <v>119</v>
      </c>
      <c r="AE1031" s="36" t="str">
        <f>_xlfn.XLOOKUP(表格1[[#This Row],[唯一識別碼]],API清冊0707!B:B,API清冊0707!T:T,"")&amp;""</f>
        <v>無下拉選單</v>
      </c>
    </row>
    <row r="1032" spans="1:31" ht="142.5" customHeight="1" x14ac:dyDescent="0.4">
      <c r="A1032" s="29" t="s">
        <v>4262</v>
      </c>
      <c r="B1032" s="29"/>
      <c r="C1032" s="29"/>
      <c r="D1032" s="29" t="s">
        <v>4263</v>
      </c>
      <c r="E1032" s="29" t="s">
        <v>1286</v>
      </c>
      <c r="F1032" s="29" t="s">
        <v>4264</v>
      </c>
      <c r="G1032" s="35"/>
      <c r="H1032" s="35" t="s">
        <v>151</v>
      </c>
      <c r="I1032" s="29" t="s">
        <v>4262</v>
      </c>
      <c r="J1032" s="37"/>
      <c r="K1032" s="38"/>
      <c r="L1032" s="38"/>
      <c r="M1032" s="36" t="s">
        <v>60</v>
      </c>
      <c r="N1032" s="15" t="s">
        <v>152</v>
      </c>
      <c r="O1032" s="36" t="s">
        <v>4123</v>
      </c>
      <c r="P1032" s="36" t="str">
        <f t="shared" si="32"/>
        <v>WFS_1/1000地形圖_雲林縣二崙都市計畫(112年)</v>
      </c>
      <c r="Q1032" s="29" t="s">
        <v>4264</v>
      </c>
      <c r="R1032" s="29" t="str">
        <f t="shared" si="33"/>
        <v>2dms_t1kwfs_v1_TOPON1K_P12</v>
      </c>
      <c r="S1032" s="39" t="s">
        <v>4124</v>
      </c>
      <c r="U1032" s="27" t="str">
        <f>_xlfn.XLOOKUP(表格1[[#This Row],[服務類別(英)]],參考2_服務標準對照!$B:$B,參考2_服務標準對照!$C:$C,"")&amp;""</f>
        <v>OGC</v>
      </c>
      <c r="V1032" s="29" t="s">
        <v>8</v>
      </c>
      <c r="W1032" s="29" t="s">
        <v>4125</v>
      </c>
      <c r="X1032" s="29" t="s">
        <v>81</v>
      </c>
      <c r="Y1032" s="36" t="s">
        <v>83</v>
      </c>
      <c r="Z1032" s="36" t="s">
        <v>157</v>
      </c>
      <c r="AA1032" s="36" t="s">
        <v>4126</v>
      </c>
      <c r="AB1032" s="36"/>
      <c r="AC1032" s="36"/>
      <c r="AD1032" s="29" t="s">
        <v>119</v>
      </c>
      <c r="AE1032" s="36" t="str">
        <f>_xlfn.XLOOKUP(表格1[[#This Row],[唯一識別碼]],API清冊0707!B:B,API清冊0707!T:T,"")&amp;""</f>
        <v>無下拉選單</v>
      </c>
    </row>
    <row r="1033" spans="1:31" ht="142.5" customHeight="1" x14ac:dyDescent="0.4">
      <c r="A1033" s="29" t="s">
        <v>4265</v>
      </c>
      <c r="B1033" s="29"/>
      <c r="C1033" s="29"/>
      <c r="D1033" s="29" t="s">
        <v>4266</v>
      </c>
      <c r="E1033" s="29" t="s">
        <v>1282</v>
      </c>
      <c r="F1033" s="29" t="s">
        <v>4267</v>
      </c>
      <c r="G1033" s="35"/>
      <c r="H1033" s="35" t="s">
        <v>151</v>
      </c>
      <c r="I1033" s="29" t="s">
        <v>4265</v>
      </c>
      <c r="J1033" s="37"/>
      <c r="K1033" s="38"/>
      <c r="L1033" s="38"/>
      <c r="M1033" s="36" t="s">
        <v>60</v>
      </c>
      <c r="N1033" s="15" t="s">
        <v>152</v>
      </c>
      <c r="O1033" s="36" t="s">
        <v>4123</v>
      </c>
      <c r="P1033" s="36" t="str">
        <f t="shared" si="32"/>
        <v>WFS_1/1000地形圖_雲林縣崙背都市計畫(112年)</v>
      </c>
      <c r="Q1033" s="29" t="s">
        <v>4267</v>
      </c>
      <c r="R1033" s="29" t="str">
        <f t="shared" si="33"/>
        <v>2dms_t1kwfs_v1_TOPON1K_P13</v>
      </c>
      <c r="S1033" s="39" t="s">
        <v>4124</v>
      </c>
      <c r="U1033" s="27" t="str">
        <f>_xlfn.XLOOKUP(表格1[[#This Row],[服務類別(英)]],參考2_服務標準對照!$B:$B,參考2_服務標準對照!$C:$C,"")&amp;""</f>
        <v>OGC</v>
      </c>
      <c r="V1033" s="29" t="s">
        <v>8</v>
      </c>
      <c r="W1033" s="29" t="s">
        <v>4125</v>
      </c>
      <c r="X1033" s="29" t="s">
        <v>81</v>
      </c>
      <c r="Y1033" s="36" t="s">
        <v>83</v>
      </c>
      <c r="Z1033" s="36" t="s">
        <v>157</v>
      </c>
      <c r="AA1033" s="36" t="s">
        <v>4126</v>
      </c>
      <c r="AB1033" s="36"/>
      <c r="AC1033" s="36"/>
      <c r="AD1033" s="29" t="s">
        <v>119</v>
      </c>
      <c r="AE1033" s="36" t="str">
        <f>_xlfn.XLOOKUP(表格1[[#This Row],[唯一識別碼]],API清冊0707!B:B,API清冊0707!T:T,"")&amp;""</f>
        <v>無下拉選單</v>
      </c>
    </row>
    <row r="1034" spans="1:31" ht="142.5" customHeight="1" x14ac:dyDescent="0.4">
      <c r="A1034" s="29" t="s">
        <v>4268</v>
      </c>
      <c r="B1034" s="29"/>
      <c r="C1034" s="29"/>
      <c r="D1034" s="29" t="s">
        <v>4269</v>
      </c>
      <c r="E1034" s="29" t="s">
        <v>1278</v>
      </c>
      <c r="F1034" s="29" t="s">
        <v>4270</v>
      </c>
      <c r="G1034" s="35"/>
      <c r="H1034" s="35" t="s">
        <v>151</v>
      </c>
      <c r="I1034" s="29" t="s">
        <v>4268</v>
      </c>
      <c r="J1034" s="37"/>
      <c r="K1034" s="38"/>
      <c r="L1034" s="38"/>
      <c r="M1034" s="36" t="s">
        <v>60</v>
      </c>
      <c r="N1034" s="15" t="s">
        <v>152</v>
      </c>
      <c r="O1034" s="36" t="s">
        <v>4123</v>
      </c>
      <c r="P1034" s="36" t="str">
        <f t="shared" si="32"/>
        <v>WFS_1/1000地形圖_雲林縣箔子寮漁港特定區計畫(112年)</v>
      </c>
      <c r="Q1034" s="29" t="s">
        <v>4270</v>
      </c>
      <c r="R1034" s="29" t="str">
        <f t="shared" si="33"/>
        <v>2dms_t1kwfs_v1_TOPON1K_P22</v>
      </c>
      <c r="S1034" s="39" t="s">
        <v>4124</v>
      </c>
      <c r="U1034" s="27" t="str">
        <f>_xlfn.XLOOKUP(表格1[[#This Row],[服務類別(英)]],參考2_服務標準對照!$B:$B,參考2_服務標準對照!$C:$C,"")&amp;""</f>
        <v>OGC</v>
      </c>
      <c r="V1034" s="29" t="s">
        <v>8</v>
      </c>
      <c r="W1034" s="29" t="s">
        <v>4125</v>
      </c>
      <c r="X1034" s="29" t="s">
        <v>81</v>
      </c>
      <c r="Y1034" s="36" t="s">
        <v>83</v>
      </c>
      <c r="Z1034" s="36" t="s">
        <v>157</v>
      </c>
      <c r="AA1034" s="36" t="s">
        <v>4126</v>
      </c>
      <c r="AB1034" s="36"/>
      <c r="AC1034" s="36"/>
      <c r="AD1034" s="29" t="s">
        <v>119</v>
      </c>
      <c r="AE1034" s="36" t="str">
        <f>_xlfn.XLOOKUP(表格1[[#This Row],[唯一識別碼]],API清冊0707!B:B,API清冊0707!T:T,"")&amp;""</f>
        <v>無下拉選單</v>
      </c>
    </row>
    <row r="1035" spans="1:31" ht="142.5" customHeight="1" x14ac:dyDescent="0.4">
      <c r="A1035" s="29" t="s">
        <v>4271</v>
      </c>
      <c r="B1035" s="29"/>
      <c r="C1035" s="29"/>
      <c r="D1035" s="29" t="s">
        <v>4272</v>
      </c>
      <c r="E1035" s="29" t="s">
        <v>1274</v>
      </c>
      <c r="F1035" s="29" t="s">
        <v>4273</v>
      </c>
      <c r="G1035" s="35"/>
      <c r="H1035" s="35" t="s">
        <v>151</v>
      </c>
      <c r="I1035" s="29" t="s">
        <v>4271</v>
      </c>
      <c r="J1035" s="37"/>
      <c r="K1035" s="38"/>
      <c r="L1035" s="38"/>
      <c r="M1035" s="36" t="s">
        <v>60</v>
      </c>
      <c r="N1035" s="15" t="s">
        <v>152</v>
      </c>
      <c r="O1035" s="36" t="s">
        <v>4123</v>
      </c>
      <c r="P1035" s="36" t="str">
        <f t="shared" si="32"/>
        <v>WFS_1/1000地形圖_雲林縣斗六嘉東地區特定區計畫(112年)</v>
      </c>
      <c r="Q1035" s="29" t="s">
        <v>4273</v>
      </c>
      <c r="R1035" s="29" t="str">
        <f t="shared" si="33"/>
        <v>2dms_t1kwfs_v1_TOPON1K_P24</v>
      </c>
      <c r="S1035" s="39" t="s">
        <v>4124</v>
      </c>
      <c r="U1035" s="27" t="str">
        <f>_xlfn.XLOOKUP(表格1[[#This Row],[服務類別(英)]],參考2_服務標準對照!$B:$B,參考2_服務標準對照!$C:$C,"")&amp;""</f>
        <v>OGC</v>
      </c>
      <c r="V1035" s="29" t="s">
        <v>8</v>
      </c>
      <c r="W1035" s="29" t="s">
        <v>4125</v>
      </c>
      <c r="X1035" s="29" t="s">
        <v>81</v>
      </c>
      <c r="Y1035" s="36" t="s">
        <v>83</v>
      </c>
      <c r="Z1035" s="36" t="s">
        <v>157</v>
      </c>
      <c r="AA1035" s="36" t="s">
        <v>4126</v>
      </c>
      <c r="AB1035" s="36"/>
      <c r="AC1035" s="36"/>
      <c r="AD1035" s="29" t="s">
        <v>119</v>
      </c>
      <c r="AE1035" s="36" t="str">
        <f>_xlfn.XLOOKUP(表格1[[#This Row],[唯一識別碼]],API清冊0707!B:B,API清冊0707!T:T,"")&amp;""</f>
        <v>無下拉選單</v>
      </c>
    </row>
    <row r="1036" spans="1:31" ht="142.5" customHeight="1" x14ac:dyDescent="0.4">
      <c r="A1036" s="29" t="s">
        <v>4274</v>
      </c>
      <c r="B1036" s="29"/>
      <c r="C1036" s="29"/>
      <c r="D1036" s="29" t="s">
        <v>4275</v>
      </c>
      <c r="E1036" s="29" t="s">
        <v>1270</v>
      </c>
      <c r="F1036" s="29" t="s">
        <v>4276</v>
      </c>
      <c r="G1036" s="35"/>
      <c r="H1036" s="35" t="s">
        <v>151</v>
      </c>
      <c r="I1036" s="29" t="s">
        <v>4274</v>
      </c>
      <c r="J1036" s="37"/>
      <c r="K1036" s="38"/>
      <c r="L1036" s="38"/>
      <c r="M1036" s="36" t="s">
        <v>60</v>
      </c>
      <c r="N1036" s="15" t="s">
        <v>152</v>
      </c>
      <c r="O1036" s="36" t="s">
        <v>4123</v>
      </c>
      <c r="P1036" s="36" t="str">
        <f t="shared" si="32"/>
        <v>WFS_1/1000地形圖_雲林縣高速鐵路雲林車站特定區計畫(113年)</v>
      </c>
      <c r="Q1036" s="29" t="s">
        <v>4276</v>
      </c>
      <c r="R1036" s="29" t="str">
        <f t="shared" si="33"/>
        <v>2dms_t1kwfs_v1_TOPON1K_P25</v>
      </c>
      <c r="S1036" s="39" t="s">
        <v>4124</v>
      </c>
      <c r="U1036" s="27" t="str">
        <f>_xlfn.XLOOKUP(表格1[[#This Row],[服務類別(英)]],參考2_服務標準對照!$B:$B,參考2_服務標準對照!$C:$C,"")&amp;""</f>
        <v>OGC</v>
      </c>
      <c r="V1036" s="29" t="s">
        <v>8</v>
      </c>
      <c r="W1036" s="29" t="s">
        <v>4125</v>
      </c>
      <c r="X1036" s="29" t="s">
        <v>81</v>
      </c>
      <c r="Y1036" s="36" t="s">
        <v>83</v>
      </c>
      <c r="Z1036" s="36" t="s">
        <v>157</v>
      </c>
      <c r="AA1036" s="36" t="s">
        <v>4126</v>
      </c>
      <c r="AB1036" s="36"/>
      <c r="AC1036" s="36"/>
      <c r="AD1036" s="29" t="s">
        <v>119</v>
      </c>
      <c r="AE1036" s="36" t="str">
        <f>_xlfn.XLOOKUP(表格1[[#This Row],[唯一識別碼]],API清冊0707!B:B,API清冊0707!T:T,"")&amp;""</f>
        <v>無下拉選單</v>
      </c>
    </row>
    <row r="1037" spans="1:31" ht="142.5" customHeight="1" x14ac:dyDescent="0.4">
      <c r="A1037" s="29" t="s">
        <v>4277</v>
      </c>
      <c r="B1037" s="29"/>
      <c r="C1037" s="29"/>
      <c r="D1037" s="29" t="s">
        <v>4278</v>
      </c>
      <c r="E1037" s="29" t="s">
        <v>1266</v>
      </c>
      <c r="F1037" s="29" t="s">
        <v>4279</v>
      </c>
      <c r="G1037" s="35"/>
      <c r="H1037" s="35" t="s">
        <v>151</v>
      </c>
      <c r="I1037" s="29" t="s">
        <v>4277</v>
      </c>
      <c r="J1037" s="37"/>
      <c r="K1037" s="38"/>
      <c r="L1037" s="38"/>
      <c r="M1037" s="36" t="s">
        <v>60</v>
      </c>
      <c r="N1037" s="15" t="s">
        <v>152</v>
      </c>
      <c r="O1037" s="36" t="s">
        <v>4123</v>
      </c>
      <c r="P1037" s="36" t="str">
        <f t="shared" si="32"/>
        <v>WFS_1/1000地形圖_嘉義縣治都市計畫(112年)</v>
      </c>
      <c r="Q1037" s="29" t="s">
        <v>4279</v>
      </c>
      <c r="R1037" s="29" t="str">
        <f t="shared" si="33"/>
        <v>2dms_t1kwfs_v1_TOPON1K_Q02</v>
      </c>
      <c r="S1037" s="39" t="s">
        <v>4124</v>
      </c>
      <c r="U1037" s="27" t="str">
        <f>_xlfn.XLOOKUP(表格1[[#This Row],[服務類別(英)]],參考2_服務標準對照!$B:$B,參考2_服務標準對照!$C:$C,"")&amp;""</f>
        <v>OGC</v>
      </c>
      <c r="V1037" s="29" t="s">
        <v>8</v>
      </c>
      <c r="W1037" s="29" t="s">
        <v>4125</v>
      </c>
      <c r="X1037" s="29" t="s">
        <v>81</v>
      </c>
      <c r="Y1037" s="36" t="s">
        <v>83</v>
      </c>
      <c r="Z1037" s="36" t="s">
        <v>157</v>
      </c>
      <c r="AA1037" s="36" t="s">
        <v>4126</v>
      </c>
      <c r="AB1037" s="36"/>
      <c r="AC1037" s="36"/>
      <c r="AD1037" s="29" t="s">
        <v>119</v>
      </c>
      <c r="AE1037" s="36" t="str">
        <f>_xlfn.XLOOKUP(表格1[[#This Row],[唯一識別碼]],API清冊0707!B:B,API清冊0707!T:T,"")&amp;""</f>
        <v>無下拉選單</v>
      </c>
    </row>
    <row r="1038" spans="1:31" ht="142.5" customHeight="1" x14ac:dyDescent="0.4">
      <c r="A1038" s="29" t="s">
        <v>4280</v>
      </c>
      <c r="B1038" s="29"/>
      <c r="C1038" s="29"/>
      <c r="D1038" s="29" t="s">
        <v>4281</v>
      </c>
      <c r="E1038" s="29" t="s">
        <v>1262</v>
      </c>
      <c r="F1038" s="29" t="s">
        <v>4282</v>
      </c>
      <c r="G1038" s="35"/>
      <c r="H1038" s="35" t="s">
        <v>151</v>
      </c>
      <c r="I1038" s="29" t="s">
        <v>4280</v>
      </c>
      <c r="J1038" s="37"/>
      <c r="K1038" s="38"/>
      <c r="L1038" s="38"/>
      <c r="M1038" s="36" t="s">
        <v>60</v>
      </c>
      <c r="N1038" s="15" t="s">
        <v>152</v>
      </c>
      <c r="O1038" s="36" t="s">
        <v>4123</v>
      </c>
      <c r="P1038" s="36" t="str">
        <f t="shared" si="32"/>
        <v>WFS_1/1000地形圖_嘉義縣民雄都市計畫(113年)</v>
      </c>
      <c r="Q1038" s="29" t="s">
        <v>4282</v>
      </c>
      <c r="R1038" s="29" t="str">
        <f t="shared" si="33"/>
        <v>2dms_t1kwfs_v1_TOPON1K_Q06</v>
      </c>
      <c r="S1038" s="39" t="s">
        <v>4124</v>
      </c>
      <c r="U1038" s="27" t="str">
        <f>_xlfn.XLOOKUP(表格1[[#This Row],[服務類別(英)]],參考2_服務標準對照!$B:$B,參考2_服務標準對照!$C:$C,"")&amp;""</f>
        <v>OGC</v>
      </c>
      <c r="V1038" s="29" t="s">
        <v>8</v>
      </c>
      <c r="W1038" s="29" t="s">
        <v>4125</v>
      </c>
      <c r="X1038" s="29" t="s">
        <v>81</v>
      </c>
      <c r="Y1038" s="36" t="s">
        <v>83</v>
      </c>
      <c r="Z1038" s="36" t="s">
        <v>157</v>
      </c>
      <c r="AA1038" s="36" t="s">
        <v>4126</v>
      </c>
      <c r="AB1038" s="36"/>
      <c r="AC1038" s="36"/>
      <c r="AD1038" s="29" t="s">
        <v>119</v>
      </c>
      <c r="AE1038" s="36" t="str">
        <f>_xlfn.XLOOKUP(表格1[[#This Row],[唯一識別碼]],API清冊0707!B:B,API清冊0707!T:T,"")&amp;""</f>
        <v>無下拉選單</v>
      </c>
    </row>
    <row r="1039" spans="1:31" ht="142.5" customHeight="1" x14ac:dyDescent="0.4">
      <c r="A1039" s="29" t="s">
        <v>4283</v>
      </c>
      <c r="B1039" s="29"/>
      <c r="C1039" s="29"/>
      <c r="D1039" s="29" t="s">
        <v>4284</v>
      </c>
      <c r="E1039" s="29" t="s">
        <v>1258</v>
      </c>
      <c r="F1039" s="29" t="s">
        <v>4285</v>
      </c>
      <c r="G1039" s="35"/>
      <c r="H1039" s="35" t="s">
        <v>151</v>
      </c>
      <c r="I1039" s="29" t="s">
        <v>4283</v>
      </c>
      <c r="J1039" s="37"/>
      <c r="K1039" s="38"/>
      <c r="L1039" s="38"/>
      <c r="M1039" s="36" t="s">
        <v>60</v>
      </c>
      <c r="N1039" s="15" t="s">
        <v>152</v>
      </c>
      <c r="O1039" s="36" t="s">
        <v>4123</v>
      </c>
      <c r="P1039" s="36" t="str">
        <f t="shared" si="32"/>
        <v>WFS_1/1000地形圖_嘉義縣民雄(頭橋地區)都市計畫(113年)</v>
      </c>
      <c r="Q1039" s="29" t="s">
        <v>4285</v>
      </c>
      <c r="R1039" s="29" t="str">
        <f t="shared" si="33"/>
        <v>2dms_t1kwfs_v1_TOPON1K_Q07</v>
      </c>
      <c r="S1039" s="39" t="s">
        <v>4124</v>
      </c>
      <c r="U1039" s="27" t="str">
        <f>_xlfn.XLOOKUP(表格1[[#This Row],[服務類別(英)]],參考2_服務標準對照!$B:$B,參考2_服務標準對照!$C:$C,"")&amp;""</f>
        <v>OGC</v>
      </c>
      <c r="V1039" s="29" t="s">
        <v>8</v>
      </c>
      <c r="W1039" s="29" t="s">
        <v>4125</v>
      </c>
      <c r="X1039" s="29" t="s">
        <v>81</v>
      </c>
      <c r="Y1039" s="36" t="s">
        <v>83</v>
      </c>
      <c r="Z1039" s="36" t="s">
        <v>157</v>
      </c>
      <c r="AA1039" s="36" t="s">
        <v>4126</v>
      </c>
      <c r="AB1039" s="36"/>
      <c r="AC1039" s="36"/>
      <c r="AD1039" s="29" t="s">
        <v>119</v>
      </c>
      <c r="AE1039" s="36" t="str">
        <f>_xlfn.XLOOKUP(表格1[[#This Row],[唯一識別碼]],API清冊0707!B:B,API清冊0707!T:T,"")&amp;""</f>
        <v>無下拉選單</v>
      </c>
    </row>
    <row r="1040" spans="1:31" ht="142.5" customHeight="1" x14ac:dyDescent="0.4">
      <c r="A1040" s="29" t="s">
        <v>4286</v>
      </c>
      <c r="B1040" s="29"/>
      <c r="C1040" s="29"/>
      <c r="D1040" s="29" t="s">
        <v>4287</v>
      </c>
      <c r="E1040" s="29" t="s">
        <v>1254</v>
      </c>
      <c r="F1040" s="29" t="s">
        <v>4288</v>
      </c>
      <c r="G1040" s="35"/>
      <c r="H1040" s="35" t="s">
        <v>151</v>
      </c>
      <c r="I1040" s="29" t="s">
        <v>4286</v>
      </c>
      <c r="J1040" s="37"/>
      <c r="K1040" s="38"/>
      <c r="L1040" s="38"/>
      <c r="M1040" s="36" t="s">
        <v>60</v>
      </c>
      <c r="N1040" s="15" t="s">
        <v>152</v>
      </c>
      <c r="O1040" s="36" t="s">
        <v>4123</v>
      </c>
      <c r="P1040" s="36" t="str">
        <f t="shared" si="32"/>
        <v>WFS_1/1000地形圖_嘉義縣吳鳳廟特定區計畫(112年)</v>
      </c>
      <c r="Q1040" s="29" t="s">
        <v>4288</v>
      </c>
      <c r="R1040" s="29" t="str">
        <f t="shared" si="33"/>
        <v>2dms_t1kwfs_v1_TOPON1K_Q19</v>
      </c>
      <c r="S1040" s="39" t="s">
        <v>4124</v>
      </c>
      <c r="U1040" s="27" t="str">
        <f>_xlfn.XLOOKUP(表格1[[#This Row],[服務類別(英)]],參考2_服務標準對照!$B:$B,參考2_服務標準對照!$C:$C,"")&amp;""</f>
        <v>OGC</v>
      </c>
      <c r="V1040" s="29" t="s">
        <v>8</v>
      </c>
      <c r="W1040" s="29" t="s">
        <v>4125</v>
      </c>
      <c r="X1040" s="29" t="s">
        <v>81</v>
      </c>
      <c r="Y1040" s="36" t="s">
        <v>83</v>
      </c>
      <c r="Z1040" s="36" t="s">
        <v>157</v>
      </c>
      <c r="AA1040" s="36" t="s">
        <v>4126</v>
      </c>
      <c r="AB1040" s="36"/>
      <c r="AC1040" s="36"/>
      <c r="AD1040" s="29" t="s">
        <v>119</v>
      </c>
      <c r="AE1040" s="36" t="str">
        <f>_xlfn.XLOOKUP(表格1[[#This Row],[唯一識別碼]],API清冊0707!B:B,API清冊0707!T:T,"")&amp;""</f>
        <v>無下拉選單</v>
      </c>
    </row>
    <row r="1041" spans="1:31" ht="142.5" customHeight="1" x14ac:dyDescent="0.4">
      <c r="A1041" s="29" t="s">
        <v>4289</v>
      </c>
      <c r="B1041" s="29"/>
      <c r="C1041" s="29"/>
      <c r="D1041" s="29" t="s">
        <v>4290</v>
      </c>
      <c r="E1041" s="29" t="s">
        <v>1250</v>
      </c>
      <c r="F1041" s="29" t="s">
        <v>4291</v>
      </c>
      <c r="G1041" s="35"/>
      <c r="H1041" s="35" t="s">
        <v>151</v>
      </c>
      <c r="I1041" s="29" t="s">
        <v>4289</v>
      </c>
      <c r="J1041" s="37"/>
      <c r="K1041" s="38"/>
      <c r="L1041" s="38"/>
      <c r="M1041" s="36" t="s">
        <v>60</v>
      </c>
      <c r="N1041" s="15" t="s">
        <v>152</v>
      </c>
      <c r="O1041" s="36" t="s">
        <v>4123</v>
      </c>
      <c r="P1041" s="36" t="str">
        <f t="shared" si="32"/>
        <v>WFS_1/1000地形圖_嘉義縣仁義潭風景特定區計畫(嘉義縣部分)(112年)</v>
      </c>
      <c r="Q1041" s="29" t="s">
        <v>4291</v>
      </c>
      <c r="R1041" s="29" t="str">
        <f t="shared" si="33"/>
        <v>2dms_t1kwfs_v1_TOPON1K_Q21</v>
      </c>
      <c r="S1041" s="39" t="s">
        <v>4124</v>
      </c>
      <c r="U1041" s="27" t="str">
        <f>_xlfn.XLOOKUP(表格1[[#This Row],[服務類別(英)]],參考2_服務標準對照!$B:$B,參考2_服務標準對照!$C:$C,"")&amp;""</f>
        <v>OGC</v>
      </c>
      <c r="V1041" s="29" t="s">
        <v>8</v>
      </c>
      <c r="W1041" s="29" t="s">
        <v>4125</v>
      </c>
      <c r="X1041" s="29" t="s">
        <v>81</v>
      </c>
      <c r="Y1041" s="36" t="s">
        <v>83</v>
      </c>
      <c r="Z1041" s="36" t="s">
        <v>157</v>
      </c>
      <c r="AA1041" s="36" t="s">
        <v>4126</v>
      </c>
      <c r="AB1041" s="36"/>
      <c r="AC1041" s="36"/>
      <c r="AD1041" s="29" t="s">
        <v>119</v>
      </c>
      <c r="AE1041" s="36" t="str">
        <f>_xlfn.XLOOKUP(表格1[[#This Row],[唯一識別碼]],API清冊0707!B:B,API清冊0707!T:T,"")&amp;""</f>
        <v>無下拉選單</v>
      </c>
    </row>
    <row r="1042" spans="1:31" ht="142.5" customHeight="1" x14ac:dyDescent="0.4">
      <c r="A1042" s="29" t="s">
        <v>4292</v>
      </c>
      <c r="B1042" s="29"/>
      <c r="C1042" s="29"/>
      <c r="D1042" s="29" t="s">
        <v>4293</v>
      </c>
      <c r="E1042" s="29" t="s">
        <v>1246</v>
      </c>
      <c r="F1042" s="29" t="s">
        <v>4294</v>
      </c>
      <c r="G1042" s="35"/>
      <c r="H1042" s="35" t="s">
        <v>151</v>
      </c>
      <c r="I1042" s="29" t="s">
        <v>4292</v>
      </c>
      <c r="J1042" s="37"/>
      <c r="K1042" s="38"/>
      <c r="L1042" s="38"/>
      <c r="M1042" s="36" t="s">
        <v>60</v>
      </c>
      <c r="N1042" s="15" t="s">
        <v>152</v>
      </c>
      <c r="O1042" s="36" t="s">
        <v>4123</v>
      </c>
      <c r="P1042" s="36" t="str">
        <f t="shared" si="32"/>
        <v>WFS_1/1000地形圖_嘉義縣太保都市計畫(112年)</v>
      </c>
      <c r="Q1042" s="29" t="s">
        <v>4294</v>
      </c>
      <c r="R1042" s="29" t="str">
        <f t="shared" si="33"/>
        <v>2dms_t1kwfs_v1_TOPON1K_Q22</v>
      </c>
      <c r="S1042" s="39" t="s">
        <v>4124</v>
      </c>
      <c r="U1042" s="27" t="str">
        <f>_xlfn.XLOOKUP(表格1[[#This Row],[服務類別(英)]],參考2_服務標準對照!$B:$B,參考2_服務標準對照!$C:$C,"")&amp;""</f>
        <v>OGC</v>
      </c>
      <c r="V1042" s="29" t="s">
        <v>8</v>
      </c>
      <c r="W1042" s="29" t="s">
        <v>4125</v>
      </c>
      <c r="X1042" s="29" t="s">
        <v>81</v>
      </c>
      <c r="Y1042" s="36" t="s">
        <v>83</v>
      </c>
      <c r="Z1042" s="36" t="s">
        <v>157</v>
      </c>
      <c r="AA1042" s="36" t="s">
        <v>4126</v>
      </c>
      <c r="AB1042" s="36"/>
      <c r="AC1042" s="36"/>
      <c r="AD1042" s="29" t="s">
        <v>119</v>
      </c>
      <c r="AE1042" s="36" t="str">
        <f>_xlfn.XLOOKUP(表格1[[#This Row],[唯一識別碼]],API清冊0707!B:B,API清冊0707!T:T,"")&amp;""</f>
        <v>無下拉選單</v>
      </c>
    </row>
    <row r="1043" spans="1:31" ht="142.5" customHeight="1" x14ac:dyDescent="0.4">
      <c r="A1043" s="29" t="s">
        <v>4295</v>
      </c>
      <c r="B1043" s="29"/>
      <c r="C1043" s="29"/>
      <c r="D1043" s="29" t="s">
        <v>4296</v>
      </c>
      <c r="E1043" s="29" t="s">
        <v>1242</v>
      </c>
      <c r="F1043" s="29" t="s">
        <v>4297</v>
      </c>
      <c r="G1043" s="35"/>
      <c r="H1043" s="35" t="s">
        <v>151</v>
      </c>
      <c r="I1043" s="29" t="s">
        <v>4295</v>
      </c>
      <c r="J1043" s="37"/>
      <c r="K1043" s="38"/>
      <c r="L1043" s="38"/>
      <c r="M1043" s="36" t="s">
        <v>60</v>
      </c>
      <c r="N1043" s="15" t="s">
        <v>152</v>
      </c>
      <c r="O1043" s="36" t="s">
        <v>4123</v>
      </c>
      <c r="P1043" s="36" t="str">
        <f t="shared" si="32"/>
        <v>WFS_1/1000地形圖_嘉義縣國立中正大學特定區計畫(112年)</v>
      </c>
      <c r="Q1043" s="29" t="s">
        <v>4297</v>
      </c>
      <c r="R1043" s="29" t="str">
        <f t="shared" si="33"/>
        <v>2dms_t1kwfs_v1_TOPON1K_Q26</v>
      </c>
      <c r="S1043" s="39" t="s">
        <v>4124</v>
      </c>
      <c r="U1043" s="27" t="str">
        <f>_xlfn.XLOOKUP(表格1[[#This Row],[服務類別(英)]],參考2_服務標準對照!$B:$B,參考2_服務標準對照!$C:$C,"")&amp;""</f>
        <v>OGC</v>
      </c>
      <c r="V1043" s="29" t="s">
        <v>8</v>
      </c>
      <c r="W1043" s="29" t="s">
        <v>4125</v>
      </c>
      <c r="X1043" s="29" t="s">
        <v>81</v>
      </c>
      <c r="Y1043" s="36" t="s">
        <v>83</v>
      </c>
      <c r="Z1043" s="36" t="s">
        <v>157</v>
      </c>
      <c r="AA1043" s="36" t="s">
        <v>4126</v>
      </c>
      <c r="AB1043" s="36"/>
      <c r="AC1043" s="36"/>
      <c r="AD1043" s="29" t="s">
        <v>119</v>
      </c>
      <c r="AE1043" s="36" t="str">
        <f>_xlfn.XLOOKUP(表格1[[#This Row],[唯一識別碼]],API清冊0707!B:B,API清冊0707!T:T,"")&amp;""</f>
        <v>無下拉選單</v>
      </c>
    </row>
    <row r="1044" spans="1:31" ht="142.5" customHeight="1" x14ac:dyDescent="0.4">
      <c r="A1044" s="29" t="s">
        <v>4298</v>
      </c>
      <c r="B1044" s="29"/>
      <c r="C1044" s="29"/>
      <c r="D1044" s="29" t="s">
        <v>4299</v>
      </c>
      <c r="E1044" s="29" t="s">
        <v>1238</v>
      </c>
      <c r="F1044" s="29" t="s">
        <v>4300</v>
      </c>
      <c r="G1044" s="35"/>
      <c r="H1044" s="35" t="s">
        <v>151</v>
      </c>
      <c r="I1044" s="29" t="s">
        <v>4298</v>
      </c>
      <c r="J1044" s="37"/>
      <c r="K1044" s="38"/>
      <c r="L1044" s="38"/>
      <c r="M1044" s="36" t="s">
        <v>60</v>
      </c>
      <c r="N1044" s="15" t="s">
        <v>152</v>
      </c>
      <c r="O1044" s="36" t="s">
        <v>4123</v>
      </c>
      <c r="P1044" s="36" t="str">
        <f t="shared" si="32"/>
        <v>WFS_1/1000地形圖_嘉義縣高速鐵路嘉義車站特定區計畫(112年)</v>
      </c>
      <c r="Q1044" s="29" t="s">
        <v>4300</v>
      </c>
      <c r="R1044" s="29" t="str">
        <f t="shared" si="33"/>
        <v>2dms_t1kwfs_v1_TOPON1K_Q27</v>
      </c>
      <c r="S1044" s="39" t="s">
        <v>4124</v>
      </c>
      <c r="U1044" s="27" t="str">
        <f>_xlfn.XLOOKUP(表格1[[#This Row],[服務類別(英)]],參考2_服務標準對照!$B:$B,參考2_服務標準對照!$C:$C,"")&amp;""</f>
        <v>OGC</v>
      </c>
      <c r="V1044" s="29" t="s">
        <v>8</v>
      </c>
      <c r="W1044" s="29" t="s">
        <v>4125</v>
      </c>
      <c r="X1044" s="29" t="s">
        <v>81</v>
      </c>
      <c r="Y1044" s="36" t="s">
        <v>83</v>
      </c>
      <c r="Z1044" s="36" t="s">
        <v>157</v>
      </c>
      <c r="AA1044" s="36" t="s">
        <v>4126</v>
      </c>
      <c r="AB1044" s="36"/>
      <c r="AC1044" s="36"/>
      <c r="AD1044" s="29" t="s">
        <v>119</v>
      </c>
      <c r="AE1044" s="36" t="str">
        <f>_xlfn.XLOOKUP(表格1[[#This Row],[唯一識別碼]],API清冊0707!B:B,API清冊0707!T:T,"")&amp;""</f>
        <v>無下拉選單</v>
      </c>
    </row>
    <row r="1045" spans="1:31" ht="142.5" customHeight="1" x14ac:dyDescent="0.4">
      <c r="A1045" s="29" t="s">
        <v>4301</v>
      </c>
      <c r="B1045" s="29"/>
      <c r="C1045" s="29"/>
      <c r="D1045" s="29" t="s">
        <v>4302</v>
      </c>
      <c r="E1045" s="29" t="s">
        <v>1234</v>
      </c>
      <c r="F1045" s="29" t="s">
        <v>4303</v>
      </c>
      <c r="G1045" s="35"/>
      <c r="H1045" s="35" t="s">
        <v>151</v>
      </c>
      <c r="I1045" s="29" t="s">
        <v>4301</v>
      </c>
      <c r="J1045" s="37"/>
      <c r="K1045" s="38"/>
      <c r="L1045" s="38"/>
      <c r="M1045" s="36" t="s">
        <v>60</v>
      </c>
      <c r="N1045" s="15" t="s">
        <v>152</v>
      </c>
      <c r="O1045" s="36" t="s">
        <v>4123</v>
      </c>
      <c r="P1045" s="36" t="str">
        <f t="shared" si="32"/>
        <v>WFS_1/1000地形圖_嘉義縣大林都市計畫(112年)</v>
      </c>
      <c r="Q1045" s="29" t="s">
        <v>4303</v>
      </c>
      <c r="R1045" s="29" t="str">
        <f t="shared" si="33"/>
        <v>2dms_t1kwfs_v1_TOPON1K_Q28</v>
      </c>
      <c r="S1045" s="39" t="s">
        <v>4124</v>
      </c>
      <c r="U1045" s="27" t="str">
        <f>_xlfn.XLOOKUP(表格1[[#This Row],[服務類別(英)]],參考2_服務標準對照!$B:$B,參考2_服務標準對照!$C:$C,"")&amp;""</f>
        <v>OGC</v>
      </c>
      <c r="V1045" s="29" t="s">
        <v>8</v>
      </c>
      <c r="W1045" s="29" t="s">
        <v>4125</v>
      </c>
      <c r="X1045" s="29" t="s">
        <v>81</v>
      </c>
      <c r="Y1045" s="36" t="s">
        <v>83</v>
      </c>
      <c r="Z1045" s="36" t="s">
        <v>157</v>
      </c>
      <c r="AA1045" s="36" t="s">
        <v>4126</v>
      </c>
      <c r="AB1045" s="36"/>
      <c r="AC1045" s="36"/>
      <c r="AD1045" s="29" t="s">
        <v>119</v>
      </c>
      <c r="AE1045" s="36" t="str">
        <f>_xlfn.XLOOKUP(表格1[[#This Row],[唯一識別碼]],API清冊0707!B:B,API清冊0707!T:T,"")&amp;""</f>
        <v>無下拉選單</v>
      </c>
    </row>
    <row r="1046" spans="1:31" ht="142.5" customHeight="1" x14ac:dyDescent="0.4">
      <c r="A1046" s="29" t="s">
        <v>4304</v>
      </c>
      <c r="B1046" s="29"/>
      <c r="C1046" s="29"/>
      <c r="D1046" s="29" t="s">
        <v>4305</v>
      </c>
      <c r="E1046" s="29" t="s">
        <v>1230</v>
      </c>
      <c r="F1046" s="29" t="s">
        <v>4306</v>
      </c>
      <c r="G1046" s="35"/>
      <c r="H1046" s="35" t="s">
        <v>151</v>
      </c>
      <c r="I1046" s="29" t="s">
        <v>4304</v>
      </c>
      <c r="J1046" s="37"/>
      <c r="K1046" s="38"/>
      <c r="L1046" s="38"/>
      <c r="M1046" s="36" t="s">
        <v>60</v>
      </c>
      <c r="N1046" s="15" t="s">
        <v>152</v>
      </c>
      <c r="O1046" s="36" t="s">
        <v>4123</v>
      </c>
      <c r="P1046" s="36" t="str">
        <f t="shared" si="32"/>
        <v>WFS_1/1000地形圖_嘉義縣竹崎鄉都市計畫(113年)</v>
      </c>
      <c r="Q1046" s="29" t="s">
        <v>4306</v>
      </c>
      <c r="R1046" s="29" t="str">
        <f t="shared" si="33"/>
        <v>2dms_t1kwfs_v1_TOPON1K_Q29</v>
      </c>
      <c r="S1046" s="39" t="s">
        <v>4124</v>
      </c>
      <c r="U1046" s="27" t="str">
        <f>_xlfn.XLOOKUP(表格1[[#This Row],[服務類別(英)]],參考2_服務標準對照!$B:$B,參考2_服務標準對照!$C:$C,"")&amp;""</f>
        <v>OGC</v>
      </c>
      <c r="V1046" s="29" t="s">
        <v>8</v>
      </c>
      <c r="W1046" s="29" t="s">
        <v>4125</v>
      </c>
      <c r="X1046" s="29" t="s">
        <v>81</v>
      </c>
      <c r="Y1046" s="36" t="s">
        <v>83</v>
      </c>
      <c r="Z1046" s="36" t="s">
        <v>157</v>
      </c>
      <c r="AA1046" s="36" t="s">
        <v>4126</v>
      </c>
      <c r="AB1046" s="36"/>
      <c r="AC1046" s="36"/>
      <c r="AD1046" s="29" t="s">
        <v>119</v>
      </c>
      <c r="AE1046" s="36" t="str">
        <f>_xlfn.XLOOKUP(表格1[[#This Row],[唯一識別碼]],API清冊0707!B:B,API清冊0707!T:T,"")&amp;""</f>
        <v>無下拉選單</v>
      </c>
    </row>
    <row r="1047" spans="1:31" ht="142.5" customHeight="1" x14ac:dyDescent="0.4">
      <c r="A1047" s="29" t="s">
        <v>4307</v>
      </c>
      <c r="B1047" s="29"/>
      <c r="C1047" s="29"/>
      <c r="D1047" s="29" t="s">
        <v>4308</v>
      </c>
      <c r="E1047" s="29" t="s">
        <v>1226</v>
      </c>
      <c r="F1047" s="29" t="s">
        <v>4309</v>
      </c>
      <c r="G1047" s="35"/>
      <c r="H1047" s="35" t="s">
        <v>151</v>
      </c>
      <c r="I1047" s="29" t="s">
        <v>4307</v>
      </c>
      <c r="J1047" s="37"/>
      <c r="K1047" s="38"/>
      <c r="L1047" s="38"/>
      <c r="M1047" s="36" t="s">
        <v>60</v>
      </c>
      <c r="N1047" s="15" t="s">
        <v>152</v>
      </c>
      <c r="O1047" s="36" t="s">
        <v>4123</v>
      </c>
      <c r="P1047" s="36" t="str">
        <f t="shared" si="32"/>
        <v>WFS_1/1000地形圖_嘉義縣番路鄉都市計畫(113年)</v>
      </c>
      <c r="Q1047" s="29" t="s">
        <v>4309</v>
      </c>
      <c r="R1047" s="29" t="str">
        <f t="shared" si="33"/>
        <v>2dms_t1kwfs_v1_TOPON1K_Q30</v>
      </c>
      <c r="S1047" s="39" t="s">
        <v>4124</v>
      </c>
      <c r="U1047" s="27" t="str">
        <f>_xlfn.XLOOKUP(表格1[[#This Row],[服務類別(英)]],參考2_服務標準對照!$B:$B,參考2_服務標準對照!$C:$C,"")&amp;""</f>
        <v>OGC</v>
      </c>
      <c r="V1047" s="29" t="s">
        <v>8</v>
      </c>
      <c r="W1047" s="29" t="s">
        <v>4125</v>
      </c>
      <c r="X1047" s="29" t="s">
        <v>81</v>
      </c>
      <c r="Y1047" s="36" t="s">
        <v>83</v>
      </c>
      <c r="Z1047" s="36" t="s">
        <v>157</v>
      </c>
      <c r="AA1047" s="36" t="s">
        <v>4126</v>
      </c>
      <c r="AB1047" s="36"/>
      <c r="AC1047" s="36"/>
      <c r="AD1047" s="29" t="s">
        <v>119</v>
      </c>
      <c r="AE1047" s="36" t="str">
        <f>_xlfn.XLOOKUP(表格1[[#This Row],[唯一識別碼]],API清冊0707!B:B,API清冊0707!T:T,"")&amp;""</f>
        <v>無下拉選單</v>
      </c>
    </row>
    <row r="1048" spans="1:31" ht="142.5" customHeight="1" x14ac:dyDescent="0.4">
      <c r="A1048" s="29" t="s">
        <v>4310</v>
      </c>
      <c r="B1048" s="29"/>
      <c r="C1048" s="29"/>
      <c r="D1048" s="29" t="s">
        <v>4311</v>
      </c>
      <c r="E1048" s="29" t="s">
        <v>1222</v>
      </c>
      <c r="F1048" s="29" t="s">
        <v>4312</v>
      </c>
      <c r="G1048" s="35"/>
      <c r="H1048" s="35" t="s">
        <v>151</v>
      </c>
      <c r="I1048" s="29" t="s">
        <v>4310</v>
      </c>
      <c r="J1048" s="37"/>
      <c r="K1048" s="38"/>
      <c r="L1048" s="38"/>
      <c r="M1048" s="36" t="s">
        <v>60</v>
      </c>
      <c r="N1048" s="15" t="s">
        <v>152</v>
      </c>
      <c r="O1048" s="36" t="s">
        <v>4123</v>
      </c>
      <c r="P1048" s="36" t="str">
        <f t="shared" si="32"/>
        <v>WFS_1/1000地形圖_嘉義縣阿里山鄉都市計畫(113年)</v>
      </c>
      <c r="Q1048" s="29" t="s">
        <v>4312</v>
      </c>
      <c r="R1048" s="29" t="str">
        <f t="shared" si="33"/>
        <v>2dms_t1kwfs_v1_TOPON1K_Q31</v>
      </c>
      <c r="S1048" s="39" t="s">
        <v>4124</v>
      </c>
      <c r="U1048" s="27" t="str">
        <f>_xlfn.XLOOKUP(表格1[[#This Row],[服務類別(英)]],參考2_服務標準對照!$B:$B,參考2_服務標準對照!$C:$C,"")&amp;""</f>
        <v>OGC</v>
      </c>
      <c r="V1048" s="29" t="s">
        <v>8</v>
      </c>
      <c r="W1048" s="29" t="s">
        <v>4125</v>
      </c>
      <c r="X1048" s="29" t="s">
        <v>81</v>
      </c>
      <c r="Y1048" s="36" t="s">
        <v>83</v>
      </c>
      <c r="Z1048" s="36" t="s">
        <v>157</v>
      </c>
      <c r="AA1048" s="36" t="s">
        <v>4126</v>
      </c>
      <c r="AB1048" s="36"/>
      <c r="AC1048" s="36"/>
      <c r="AD1048" s="29" t="s">
        <v>119</v>
      </c>
      <c r="AE1048" s="36" t="str">
        <f>_xlfn.XLOOKUP(表格1[[#This Row],[唯一識別碼]],API清冊0707!B:B,API清冊0707!T:T,"")&amp;""</f>
        <v>無下拉選單</v>
      </c>
    </row>
    <row r="1049" spans="1:31" ht="142.5" customHeight="1" x14ac:dyDescent="0.4">
      <c r="A1049" s="29" t="s">
        <v>4313</v>
      </c>
      <c r="B1049" s="29"/>
      <c r="C1049" s="29"/>
      <c r="D1049" s="29" t="s">
        <v>4314</v>
      </c>
      <c r="E1049" s="29" t="s">
        <v>1218</v>
      </c>
      <c r="F1049" s="29" t="s">
        <v>4315</v>
      </c>
      <c r="G1049" s="35"/>
      <c r="H1049" s="35" t="s">
        <v>151</v>
      </c>
      <c r="I1049" s="29" t="s">
        <v>4313</v>
      </c>
      <c r="J1049" s="37"/>
      <c r="K1049" s="38"/>
      <c r="L1049" s="38"/>
      <c r="M1049" s="36" t="s">
        <v>60</v>
      </c>
      <c r="N1049" s="15" t="s">
        <v>152</v>
      </c>
      <c r="O1049" s="36" t="s">
        <v>4123</v>
      </c>
      <c r="P1049" s="36" t="str">
        <f t="shared" si="32"/>
        <v>WFS_1/1000地形圖_屏東縣屏東都市計畫(112年)</v>
      </c>
      <c r="Q1049" s="29" t="s">
        <v>4315</v>
      </c>
      <c r="R1049" s="29" t="str">
        <f t="shared" si="33"/>
        <v>2dms_t1kwfs_v1_TOPON1K_T01</v>
      </c>
      <c r="S1049" s="39" t="s">
        <v>4124</v>
      </c>
      <c r="U1049" s="27" t="str">
        <f>_xlfn.XLOOKUP(表格1[[#This Row],[服務類別(英)]],參考2_服務標準對照!$B:$B,參考2_服務標準對照!$C:$C,"")&amp;""</f>
        <v>OGC</v>
      </c>
      <c r="V1049" s="29" t="s">
        <v>8</v>
      </c>
      <c r="W1049" s="29" t="s">
        <v>4125</v>
      </c>
      <c r="X1049" s="29" t="s">
        <v>81</v>
      </c>
      <c r="Y1049" s="36" t="s">
        <v>83</v>
      </c>
      <c r="Z1049" s="36" t="s">
        <v>157</v>
      </c>
      <c r="AA1049" s="36" t="s">
        <v>4126</v>
      </c>
      <c r="AB1049" s="36"/>
      <c r="AC1049" s="36"/>
      <c r="AD1049" s="29" t="s">
        <v>119</v>
      </c>
      <c r="AE1049" s="36" t="str">
        <f>_xlfn.XLOOKUP(表格1[[#This Row],[唯一識別碼]],API清冊0707!B:B,API清冊0707!T:T,"")&amp;""</f>
        <v>無下拉選單</v>
      </c>
    </row>
    <row r="1050" spans="1:31" ht="142.5" customHeight="1" x14ac:dyDescent="0.4">
      <c r="A1050" s="29" t="s">
        <v>4316</v>
      </c>
      <c r="B1050" s="29"/>
      <c r="C1050" s="29"/>
      <c r="D1050" s="29" t="s">
        <v>4317</v>
      </c>
      <c r="E1050" s="29" t="s">
        <v>1214</v>
      </c>
      <c r="F1050" s="29" t="s">
        <v>4318</v>
      </c>
      <c r="G1050" s="35"/>
      <c r="H1050" s="35" t="s">
        <v>151</v>
      </c>
      <c r="I1050" s="29" t="s">
        <v>4316</v>
      </c>
      <c r="J1050" s="37"/>
      <c r="K1050" s="38"/>
      <c r="L1050" s="38"/>
      <c r="M1050" s="36" t="s">
        <v>60</v>
      </c>
      <c r="N1050" s="15" t="s">
        <v>152</v>
      </c>
      <c r="O1050" s="36" t="s">
        <v>4123</v>
      </c>
      <c r="P1050" s="36" t="str">
        <f t="shared" si="32"/>
        <v>WFS_1/1000地形圖_屏東縣東港都市計畫(113年)</v>
      </c>
      <c r="Q1050" s="29" t="s">
        <v>4318</v>
      </c>
      <c r="R1050" s="29" t="str">
        <f t="shared" si="33"/>
        <v>2dms_t1kwfs_v1_TOPON1K_T03</v>
      </c>
      <c r="S1050" s="39" t="s">
        <v>4124</v>
      </c>
      <c r="U1050" s="27" t="str">
        <f>_xlfn.XLOOKUP(表格1[[#This Row],[服務類別(英)]],參考2_服務標準對照!$B:$B,參考2_服務標準對照!$C:$C,"")&amp;""</f>
        <v>OGC</v>
      </c>
      <c r="V1050" s="29" t="s">
        <v>8</v>
      </c>
      <c r="W1050" s="29" t="s">
        <v>4125</v>
      </c>
      <c r="X1050" s="29" t="s">
        <v>81</v>
      </c>
      <c r="Y1050" s="36" t="s">
        <v>83</v>
      </c>
      <c r="Z1050" s="36" t="s">
        <v>157</v>
      </c>
      <c r="AA1050" s="36" t="s">
        <v>4126</v>
      </c>
      <c r="AB1050" s="36"/>
      <c r="AC1050" s="36"/>
      <c r="AD1050" s="29" t="s">
        <v>119</v>
      </c>
      <c r="AE1050" s="36" t="str">
        <f>_xlfn.XLOOKUP(表格1[[#This Row],[唯一識別碼]],API清冊0707!B:B,API清冊0707!T:T,"")&amp;""</f>
        <v>無下拉選單</v>
      </c>
    </row>
    <row r="1051" spans="1:31" ht="142.5" customHeight="1" x14ac:dyDescent="0.4">
      <c r="A1051" s="29" t="s">
        <v>4319</v>
      </c>
      <c r="B1051" s="29"/>
      <c r="C1051" s="29"/>
      <c r="D1051" s="29" t="s">
        <v>4320</v>
      </c>
      <c r="E1051" s="29" t="s">
        <v>1210</v>
      </c>
      <c r="F1051" s="29" t="s">
        <v>4321</v>
      </c>
      <c r="G1051" s="35"/>
      <c r="H1051" s="35" t="s">
        <v>151</v>
      </c>
      <c r="I1051" s="29" t="s">
        <v>4319</v>
      </c>
      <c r="J1051" s="37"/>
      <c r="K1051" s="38"/>
      <c r="L1051" s="38"/>
      <c r="M1051" s="36" t="s">
        <v>60</v>
      </c>
      <c r="N1051" s="15" t="s">
        <v>152</v>
      </c>
      <c r="O1051" s="36" t="s">
        <v>4123</v>
      </c>
      <c r="P1051" s="36" t="str">
        <f t="shared" si="32"/>
        <v>WFS_1/1000地形圖_屏東縣里港都市計畫(113年)</v>
      </c>
      <c r="Q1051" s="29" t="s">
        <v>4321</v>
      </c>
      <c r="R1051" s="29" t="str">
        <f t="shared" si="33"/>
        <v>2dms_t1kwfs_v1_TOPON1K_T08</v>
      </c>
      <c r="S1051" s="39" t="s">
        <v>4124</v>
      </c>
      <c r="U1051" s="27" t="str">
        <f>_xlfn.XLOOKUP(表格1[[#This Row],[服務類別(英)]],參考2_服務標準對照!$B:$B,參考2_服務標準對照!$C:$C,"")&amp;""</f>
        <v>OGC</v>
      </c>
      <c r="V1051" s="29" t="s">
        <v>8</v>
      </c>
      <c r="W1051" s="29" t="s">
        <v>4125</v>
      </c>
      <c r="X1051" s="29" t="s">
        <v>81</v>
      </c>
      <c r="Y1051" s="36" t="s">
        <v>83</v>
      </c>
      <c r="Z1051" s="36" t="s">
        <v>157</v>
      </c>
      <c r="AA1051" s="36" t="s">
        <v>4126</v>
      </c>
      <c r="AB1051" s="36"/>
      <c r="AC1051" s="36"/>
      <c r="AD1051" s="29" t="s">
        <v>119</v>
      </c>
      <c r="AE1051" s="36" t="str">
        <f>_xlfn.XLOOKUP(表格1[[#This Row],[唯一識別碼]],API清冊0707!B:B,API清冊0707!T:T,"")&amp;""</f>
        <v>無下拉選單</v>
      </c>
    </row>
    <row r="1052" spans="1:31" ht="142.5" customHeight="1" x14ac:dyDescent="0.4">
      <c r="A1052" s="29" t="s">
        <v>4322</v>
      </c>
      <c r="B1052" s="29"/>
      <c r="C1052" s="29"/>
      <c r="D1052" s="29" t="s">
        <v>4323</v>
      </c>
      <c r="E1052" s="29" t="s">
        <v>1206</v>
      </c>
      <c r="F1052" s="29" t="s">
        <v>4324</v>
      </c>
      <c r="G1052" s="35"/>
      <c r="H1052" s="35" t="s">
        <v>151</v>
      </c>
      <c r="I1052" s="29" t="s">
        <v>4322</v>
      </c>
      <c r="J1052" s="37"/>
      <c r="K1052" s="38"/>
      <c r="L1052" s="38"/>
      <c r="M1052" s="36" t="s">
        <v>60</v>
      </c>
      <c r="N1052" s="15" t="s">
        <v>152</v>
      </c>
      <c r="O1052" s="36" t="s">
        <v>4123</v>
      </c>
      <c r="P1052" s="36" t="str">
        <f t="shared" si="32"/>
        <v>WFS_1/1000地形圖_屏東縣新園(烏龍地區)都市計畫(113年)</v>
      </c>
      <c r="Q1052" s="29" t="s">
        <v>4324</v>
      </c>
      <c r="R1052" s="29" t="str">
        <f t="shared" si="33"/>
        <v>2dms_t1kwfs_v1_TOPON1K_T20</v>
      </c>
      <c r="S1052" s="39" t="s">
        <v>4124</v>
      </c>
      <c r="U1052" s="27" t="str">
        <f>_xlfn.XLOOKUP(表格1[[#This Row],[服務類別(英)]],參考2_服務標準對照!$B:$B,參考2_服務標準對照!$C:$C,"")&amp;""</f>
        <v>OGC</v>
      </c>
      <c r="V1052" s="29" t="s">
        <v>8</v>
      </c>
      <c r="W1052" s="29" t="s">
        <v>4125</v>
      </c>
      <c r="X1052" s="29" t="s">
        <v>81</v>
      </c>
      <c r="Y1052" s="36" t="s">
        <v>83</v>
      </c>
      <c r="Z1052" s="36" t="s">
        <v>157</v>
      </c>
      <c r="AA1052" s="36" t="s">
        <v>4126</v>
      </c>
      <c r="AB1052" s="36"/>
      <c r="AC1052" s="36"/>
      <c r="AD1052" s="29" t="s">
        <v>119</v>
      </c>
      <c r="AE1052" s="36" t="str">
        <f>_xlfn.XLOOKUP(表格1[[#This Row],[唯一識別碼]],API清冊0707!B:B,API清冊0707!T:T,"")&amp;""</f>
        <v>無下拉選單</v>
      </c>
    </row>
    <row r="1053" spans="1:31" ht="142.5" customHeight="1" x14ac:dyDescent="0.4">
      <c r="A1053" s="29" t="s">
        <v>4325</v>
      </c>
      <c r="B1053" s="29"/>
      <c r="C1053" s="29"/>
      <c r="D1053" s="29" t="s">
        <v>4326</v>
      </c>
      <c r="E1053" s="29" t="s">
        <v>1202</v>
      </c>
      <c r="F1053" s="29" t="s">
        <v>4327</v>
      </c>
      <c r="G1053" s="35"/>
      <c r="H1053" s="35" t="s">
        <v>151</v>
      </c>
      <c r="I1053" s="29" t="s">
        <v>4325</v>
      </c>
      <c r="J1053" s="37"/>
      <c r="K1053" s="38"/>
      <c r="L1053" s="38"/>
      <c r="M1053" s="36" t="s">
        <v>60</v>
      </c>
      <c r="N1053" s="15" t="s">
        <v>152</v>
      </c>
      <c r="O1053" s="36" t="s">
        <v>4123</v>
      </c>
      <c r="P1053" s="36" t="str">
        <f t="shared" si="32"/>
        <v>WFS_1/1000地形圖_屏東縣鹽埔漁港特定區計畫(113年)</v>
      </c>
      <c r="Q1053" s="29" t="s">
        <v>4327</v>
      </c>
      <c r="R1053" s="29" t="str">
        <f t="shared" si="33"/>
        <v>2dms_t1kwfs_v1_TOPON1K_T30</v>
      </c>
      <c r="S1053" s="39" t="s">
        <v>4124</v>
      </c>
      <c r="U1053" s="27" t="str">
        <f>_xlfn.XLOOKUP(表格1[[#This Row],[服務類別(英)]],參考2_服務標準對照!$B:$B,參考2_服務標準對照!$C:$C,"")&amp;""</f>
        <v>OGC</v>
      </c>
      <c r="V1053" s="29" t="s">
        <v>8</v>
      </c>
      <c r="W1053" s="29" t="s">
        <v>4125</v>
      </c>
      <c r="X1053" s="29" t="s">
        <v>81</v>
      </c>
      <c r="Y1053" s="36" t="s">
        <v>83</v>
      </c>
      <c r="Z1053" s="36" t="s">
        <v>157</v>
      </c>
      <c r="AA1053" s="36" t="s">
        <v>4126</v>
      </c>
      <c r="AB1053" s="36"/>
      <c r="AC1053" s="36"/>
      <c r="AD1053" s="29" t="s">
        <v>119</v>
      </c>
      <c r="AE1053" s="36" t="str">
        <f>_xlfn.XLOOKUP(表格1[[#This Row],[唯一識別碼]],API清冊0707!B:B,API清冊0707!T:T,"")&amp;""</f>
        <v>無下拉選單</v>
      </c>
    </row>
    <row r="1054" spans="1:31" ht="142.5" customHeight="1" x14ac:dyDescent="0.4">
      <c r="A1054" s="29" t="s">
        <v>4328</v>
      </c>
      <c r="B1054" s="29"/>
      <c r="C1054" s="29"/>
      <c r="D1054" s="29" t="s">
        <v>4329</v>
      </c>
      <c r="E1054" s="29" t="s">
        <v>1198</v>
      </c>
      <c r="F1054" s="29" t="s">
        <v>4330</v>
      </c>
      <c r="G1054" s="35"/>
      <c r="H1054" s="35" t="s">
        <v>151</v>
      </c>
      <c r="I1054" s="29" t="s">
        <v>4328</v>
      </c>
      <c r="J1054" s="37"/>
      <c r="K1054" s="38"/>
      <c r="L1054" s="38"/>
      <c r="M1054" s="36" t="s">
        <v>60</v>
      </c>
      <c r="N1054" s="15" t="s">
        <v>152</v>
      </c>
      <c r="O1054" s="36" t="s">
        <v>4123</v>
      </c>
      <c r="P1054" s="36" t="str">
        <f t="shared" si="32"/>
        <v>WFS_1/1000地形圖_花蓮縣光復鄉都市計畫(113年)</v>
      </c>
      <c r="Q1054" s="29" t="s">
        <v>4330</v>
      </c>
      <c r="R1054" s="29" t="str">
        <f t="shared" si="33"/>
        <v>2dms_t1kwfs_v1_TOPON1K_U20</v>
      </c>
      <c r="S1054" s="39" t="s">
        <v>4124</v>
      </c>
      <c r="U1054" s="27" t="str">
        <f>_xlfn.XLOOKUP(表格1[[#This Row],[服務類別(英)]],參考2_服務標準對照!$B:$B,參考2_服務標準對照!$C:$C,"")&amp;""</f>
        <v>OGC</v>
      </c>
      <c r="V1054" s="29" t="s">
        <v>8</v>
      </c>
      <c r="W1054" s="29" t="s">
        <v>4125</v>
      </c>
      <c r="X1054" s="29" t="s">
        <v>81</v>
      </c>
      <c r="Y1054" s="36" t="s">
        <v>83</v>
      </c>
      <c r="Z1054" s="36" t="s">
        <v>157</v>
      </c>
      <c r="AA1054" s="36" t="s">
        <v>4126</v>
      </c>
      <c r="AB1054" s="36"/>
      <c r="AC1054" s="36"/>
      <c r="AD1054" s="29" t="s">
        <v>119</v>
      </c>
      <c r="AE1054" s="36" t="str">
        <f>_xlfn.XLOOKUP(表格1[[#This Row],[唯一識別碼]],API清冊0707!B:B,API清冊0707!T:T,"")&amp;""</f>
        <v>無下拉選單</v>
      </c>
    </row>
    <row r="1055" spans="1:31" ht="142.5" customHeight="1" x14ac:dyDescent="0.4">
      <c r="A1055" s="29" t="s">
        <v>4331</v>
      </c>
      <c r="B1055" s="29"/>
      <c r="C1055" s="29"/>
      <c r="D1055" s="29" t="s">
        <v>4332</v>
      </c>
      <c r="E1055" s="29" t="s">
        <v>1194</v>
      </c>
      <c r="F1055" s="29" t="s">
        <v>4333</v>
      </c>
      <c r="G1055" s="35"/>
      <c r="H1055" s="35" t="s">
        <v>151</v>
      </c>
      <c r="I1055" s="29" t="s">
        <v>4331</v>
      </c>
      <c r="J1055" s="37"/>
      <c r="K1055" s="38"/>
      <c r="L1055" s="38"/>
      <c r="M1055" s="36" t="s">
        <v>60</v>
      </c>
      <c r="N1055" s="15" t="s">
        <v>152</v>
      </c>
      <c r="O1055" s="36" t="s">
        <v>4123</v>
      </c>
      <c r="P1055" s="36" t="str">
        <f t="shared" si="32"/>
        <v>WFS_1/1000地形圖_臺東縣臺東市都市計畫(112年)</v>
      </c>
      <c r="Q1055" s="29" t="s">
        <v>4333</v>
      </c>
      <c r="R1055" s="29" t="str">
        <f t="shared" si="33"/>
        <v>2dms_t1kwfs_v1_TOPON1K_V01</v>
      </c>
      <c r="S1055" s="39" t="s">
        <v>4124</v>
      </c>
      <c r="U1055" s="27" t="str">
        <f>_xlfn.XLOOKUP(表格1[[#This Row],[服務類別(英)]],參考2_服務標準對照!$B:$B,參考2_服務標準對照!$C:$C,"")&amp;""</f>
        <v>OGC</v>
      </c>
      <c r="V1055" s="29" t="s">
        <v>8</v>
      </c>
      <c r="W1055" s="29" t="s">
        <v>4125</v>
      </c>
      <c r="X1055" s="29" t="s">
        <v>81</v>
      </c>
      <c r="Y1055" s="36" t="s">
        <v>83</v>
      </c>
      <c r="Z1055" s="36" t="s">
        <v>157</v>
      </c>
      <c r="AA1055" s="36" t="s">
        <v>4126</v>
      </c>
      <c r="AB1055" s="36"/>
      <c r="AC1055" s="36"/>
      <c r="AD1055" s="29" t="s">
        <v>119</v>
      </c>
      <c r="AE1055" s="36" t="str">
        <f>_xlfn.XLOOKUP(表格1[[#This Row],[唯一識別碼]],API清冊0707!B:B,API清冊0707!T:T,"")&amp;""</f>
        <v>無下拉選單</v>
      </c>
    </row>
    <row r="1056" spans="1:31" ht="142.5" customHeight="1" x14ac:dyDescent="0.4">
      <c r="A1056" s="29" t="s">
        <v>4334</v>
      </c>
      <c r="B1056" s="29"/>
      <c r="C1056" s="29"/>
      <c r="D1056" s="29" t="s">
        <v>4335</v>
      </c>
      <c r="E1056" s="29" t="s">
        <v>1190</v>
      </c>
      <c r="F1056" s="29" t="s">
        <v>4336</v>
      </c>
      <c r="G1056" s="35"/>
      <c r="H1056" s="35" t="s">
        <v>151</v>
      </c>
      <c r="I1056" s="29" t="s">
        <v>4334</v>
      </c>
      <c r="J1056" s="37"/>
      <c r="K1056" s="38"/>
      <c r="L1056" s="38"/>
      <c r="M1056" s="36" t="s">
        <v>60</v>
      </c>
      <c r="N1056" s="15" t="s">
        <v>152</v>
      </c>
      <c r="O1056" s="36" t="s">
        <v>4123</v>
      </c>
      <c r="P1056" s="36" t="str">
        <f t="shared" si="32"/>
        <v>WFS_1/1000地形圖_臺東縣臺東鐵路新站附近地區都市計畫(113年)</v>
      </c>
      <c r="Q1056" s="29" t="s">
        <v>4336</v>
      </c>
      <c r="R1056" s="29" t="str">
        <f t="shared" si="33"/>
        <v>2dms_t1kwfs_v1_TOPON1K_V02</v>
      </c>
      <c r="S1056" s="39" t="s">
        <v>4124</v>
      </c>
      <c r="U1056" s="27" t="str">
        <f>_xlfn.XLOOKUP(表格1[[#This Row],[服務類別(英)]],參考2_服務標準對照!$B:$B,參考2_服務標準對照!$C:$C,"")&amp;""</f>
        <v>OGC</v>
      </c>
      <c r="V1056" s="29" t="s">
        <v>8</v>
      </c>
      <c r="W1056" s="29" t="s">
        <v>4125</v>
      </c>
      <c r="X1056" s="29" t="s">
        <v>81</v>
      </c>
      <c r="Y1056" s="36" t="s">
        <v>83</v>
      </c>
      <c r="Z1056" s="36" t="s">
        <v>157</v>
      </c>
      <c r="AA1056" s="36" t="s">
        <v>4126</v>
      </c>
      <c r="AB1056" s="36"/>
      <c r="AC1056" s="36"/>
      <c r="AD1056" s="29" t="s">
        <v>119</v>
      </c>
      <c r="AE1056" s="36" t="str">
        <f>_xlfn.XLOOKUP(表格1[[#This Row],[唯一識別碼]],API清冊0707!B:B,API清冊0707!T:T,"")&amp;""</f>
        <v>無下拉選單</v>
      </c>
    </row>
    <row r="1057" spans="1:31" ht="142.5" customHeight="1" x14ac:dyDescent="0.4">
      <c r="A1057" s="29" t="s">
        <v>4337</v>
      </c>
      <c r="B1057" s="29"/>
      <c r="C1057" s="29"/>
      <c r="D1057" s="29" t="s">
        <v>4338</v>
      </c>
      <c r="E1057" s="29" t="s">
        <v>1186</v>
      </c>
      <c r="F1057" s="29" t="s">
        <v>4339</v>
      </c>
      <c r="G1057" s="35"/>
      <c r="H1057" s="35" t="s">
        <v>151</v>
      </c>
      <c r="I1057" s="29" t="s">
        <v>4337</v>
      </c>
      <c r="J1057" s="37"/>
      <c r="K1057" s="38"/>
      <c r="L1057" s="38"/>
      <c r="M1057" s="36" t="s">
        <v>60</v>
      </c>
      <c r="N1057" s="15" t="s">
        <v>152</v>
      </c>
      <c r="O1057" s="36" t="s">
        <v>4123</v>
      </c>
      <c r="P1057" s="36" t="str">
        <f t="shared" si="32"/>
        <v>WFS_1/1000地形圖_澎湖縣馬公都市計畫(112年)</v>
      </c>
      <c r="Q1057" s="29" t="s">
        <v>4339</v>
      </c>
      <c r="R1057" s="29" t="str">
        <f t="shared" si="33"/>
        <v>2dms_t1kwfs_v1_TOPON1K_X01</v>
      </c>
      <c r="S1057" s="39" t="s">
        <v>4124</v>
      </c>
      <c r="U1057" s="27" t="str">
        <f>_xlfn.XLOOKUP(表格1[[#This Row],[服務類別(英)]],參考2_服務標準對照!$B:$B,參考2_服務標準對照!$C:$C,"")&amp;""</f>
        <v>OGC</v>
      </c>
      <c r="V1057" s="29" t="s">
        <v>8</v>
      </c>
      <c r="W1057" s="29" t="s">
        <v>4125</v>
      </c>
      <c r="X1057" s="29" t="s">
        <v>81</v>
      </c>
      <c r="Y1057" s="36" t="s">
        <v>83</v>
      </c>
      <c r="Z1057" s="36" t="s">
        <v>157</v>
      </c>
      <c r="AA1057" s="36" t="s">
        <v>4126</v>
      </c>
      <c r="AB1057" s="36"/>
      <c r="AC1057" s="36"/>
      <c r="AD1057" s="29" t="s">
        <v>119</v>
      </c>
      <c r="AE1057" s="36" t="str">
        <f>_xlfn.XLOOKUP(表格1[[#This Row],[唯一識別碼]],API清冊0707!B:B,API清冊0707!T:T,"")&amp;""</f>
        <v>無下拉選單</v>
      </c>
    </row>
    <row r="1058" spans="1:31" ht="142.5" customHeight="1" x14ac:dyDescent="0.4">
      <c r="A1058" s="29" t="s">
        <v>4340</v>
      </c>
      <c r="B1058" s="29"/>
      <c r="C1058" s="29"/>
      <c r="D1058" s="29" t="s">
        <v>4341</v>
      </c>
      <c r="E1058" s="29" t="s">
        <v>1182</v>
      </c>
      <c r="F1058" s="29" t="s">
        <v>4342</v>
      </c>
      <c r="G1058" s="35"/>
      <c r="H1058" s="35" t="s">
        <v>151</v>
      </c>
      <c r="I1058" s="29" t="s">
        <v>4340</v>
      </c>
      <c r="J1058" s="37"/>
      <c r="K1058" s="38"/>
      <c r="L1058" s="38"/>
      <c r="M1058" s="36" t="s">
        <v>60</v>
      </c>
      <c r="N1058" s="15" t="s">
        <v>152</v>
      </c>
      <c r="O1058" s="36" t="s">
        <v>4123</v>
      </c>
      <c r="P1058" s="36" t="str">
        <f t="shared" si="32"/>
        <v>WFS_1/1000地形圖_澎湖縣白沙通梁地區都市計畫(112年)</v>
      </c>
      <c r="Q1058" s="29" t="s">
        <v>4342</v>
      </c>
      <c r="R1058" s="29" t="str">
        <f t="shared" si="33"/>
        <v>2dms_t1kwfs_v1_TOPON1K_X02</v>
      </c>
      <c r="S1058" s="39" t="s">
        <v>4124</v>
      </c>
      <c r="U1058" s="27" t="str">
        <f>_xlfn.XLOOKUP(表格1[[#This Row],[服務類別(英)]],參考2_服務標準對照!$B:$B,參考2_服務標準對照!$C:$C,"")&amp;""</f>
        <v>OGC</v>
      </c>
      <c r="V1058" s="29" t="s">
        <v>8</v>
      </c>
      <c r="W1058" s="29" t="s">
        <v>4125</v>
      </c>
      <c r="X1058" s="29" t="s">
        <v>81</v>
      </c>
      <c r="Y1058" s="36" t="s">
        <v>83</v>
      </c>
      <c r="Z1058" s="36" t="s">
        <v>157</v>
      </c>
      <c r="AA1058" s="36" t="s">
        <v>4126</v>
      </c>
      <c r="AB1058" s="36"/>
      <c r="AC1058" s="36"/>
      <c r="AD1058" s="29" t="s">
        <v>119</v>
      </c>
      <c r="AE1058" s="36" t="str">
        <f>_xlfn.XLOOKUP(表格1[[#This Row],[唯一識別碼]],API清冊0707!B:B,API清冊0707!T:T,"")&amp;""</f>
        <v>無下拉選單</v>
      </c>
    </row>
    <row r="1059" spans="1:31" ht="142.5" customHeight="1" x14ac:dyDescent="0.4">
      <c r="A1059" s="29" t="s">
        <v>4343</v>
      </c>
      <c r="B1059" s="29"/>
      <c r="C1059" s="29"/>
      <c r="D1059" s="29" t="s">
        <v>4344</v>
      </c>
      <c r="E1059" s="29" t="s">
        <v>1178</v>
      </c>
      <c r="F1059" s="29" t="s">
        <v>4345</v>
      </c>
      <c r="G1059" s="35"/>
      <c r="H1059" s="35" t="s">
        <v>151</v>
      </c>
      <c r="I1059" s="29" t="s">
        <v>4343</v>
      </c>
      <c r="J1059" s="37"/>
      <c r="K1059" s="38"/>
      <c r="L1059" s="38"/>
      <c r="M1059" s="36" t="s">
        <v>60</v>
      </c>
      <c r="N1059" s="15" t="s">
        <v>152</v>
      </c>
      <c r="O1059" s="36" t="s">
        <v>4123</v>
      </c>
      <c r="P1059" s="36" t="str">
        <f t="shared" si="32"/>
        <v>WFS_1/1000地形圖_澎湖縣鎖港地區都市計畫(112年)</v>
      </c>
      <c r="Q1059" s="29" t="s">
        <v>4345</v>
      </c>
      <c r="R1059" s="29" t="str">
        <f t="shared" si="33"/>
        <v>2dms_t1kwfs_v1_TOPON1K_X03</v>
      </c>
      <c r="S1059" s="39" t="s">
        <v>4124</v>
      </c>
      <c r="U1059" s="27" t="str">
        <f>_xlfn.XLOOKUP(表格1[[#This Row],[服務類別(英)]],參考2_服務標準對照!$B:$B,參考2_服務標準對照!$C:$C,"")&amp;""</f>
        <v>OGC</v>
      </c>
      <c r="V1059" s="29" t="s">
        <v>8</v>
      </c>
      <c r="W1059" s="29" t="s">
        <v>4125</v>
      </c>
      <c r="X1059" s="29" t="s">
        <v>81</v>
      </c>
      <c r="Y1059" s="36" t="s">
        <v>83</v>
      </c>
      <c r="Z1059" s="36" t="s">
        <v>157</v>
      </c>
      <c r="AA1059" s="36" t="s">
        <v>4126</v>
      </c>
      <c r="AB1059" s="36"/>
      <c r="AC1059" s="36"/>
      <c r="AD1059" s="29" t="s">
        <v>119</v>
      </c>
      <c r="AE1059" s="36" t="str">
        <f>_xlfn.XLOOKUP(表格1[[#This Row],[唯一識別碼]],API清冊0707!B:B,API清冊0707!T:T,"")&amp;""</f>
        <v>無下拉選單</v>
      </c>
    </row>
    <row r="1060" spans="1:31" ht="142.5" customHeight="1" x14ac:dyDescent="0.4">
      <c r="A1060" s="29" t="s">
        <v>4346</v>
      </c>
      <c r="B1060" s="29"/>
      <c r="C1060" s="29"/>
      <c r="D1060" s="29" t="s">
        <v>4347</v>
      </c>
      <c r="E1060" s="29" t="s">
        <v>1174</v>
      </c>
      <c r="F1060" s="29" t="s">
        <v>4348</v>
      </c>
      <c r="G1060" s="35"/>
      <c r="H1060" s="35" t="s">
        <v>151</v>
      </c>
      <c r="I1060" s="29" t="s">
        <v>4346</v>
      </c>
      <c r="J1060" s="37"/>
      <c r="K1060" s="38"/>
      <c r="L1060" s="38"/>
      <c r="M1060" s="36" t="s">
        <v>60</v>
      </c>
      <c r="N1060" s="15" t="s">
        <v>152</v>
      </c>
      <c r="O1060" s="36" t="s">
        <v>4123</v>
      </c>
      <c r="P1060" s="36" t="str">
        <f t="shared" si="32"/>
        <v>WFS_1/1000地形圖_澎湖縣西嶼西台古蹟特定區計畫(112年)</v>
      </c>
      <c r="Q1060" s="29" t="s">
        <v>4348</v>
      </c>
      <c r="R1060" s="29" t="str">
        <f t="shared" si="33"/>
        <v>2dms_t1kwfs_v1_TOPON1K_X04</v>
      </c>
      <c r="S1060" s="39" t="s">
        <v>4124</v>
      </c>
      <c r="U1060" s="27" t="str">
        <f>_xlfn.XLOOKUP(表格1[[#This Row],[服務類別(英)]],參考2_服務標準對照!$B:$B,參考2_服務標準對照!$C:$C,"")&amp;""</f>
        <v>OGC</v>
      </c>
      <c r="V1060" s="29" t="s">
        <v>8</v>
      </c>
      <c r="W1060" s="29" t="s">
        <v>4125</v>
      </c>
      <c r="X1060" s="29" t="s">
        <v>81</v>
      </c>
      <c r="Y1060" s="36" t="s">
        <v>83</v>
      </c>
      <c r="Z1060" s="36" t="s">
        <v>157</v>
      </c>
      <c r="AA1060" s="36" t="s">
        <v>4126</v>
      </c>
      <c r="AB1060" s="36"/>
      <c r="AC1060" s="36"/>
      <c r="AD1060" s="29" t="s">
        <v>119</v>
      </c>
      <c r="AE1060" s="36" t="str">
        <f>_xlfn.XLOOKUP(表格1[[#This Row],[唯一識別碼]],API清冊0707!B:B,API清冊0707!T:T,"")&amp;""</f>
        <v>無下拉選單</v>
      </c>
    </row>
    <row r="1061" spans="1:31" ht="142.5" customHeight="1" x14ac:dyDescent="0.4">
      <c r="A1061" s="29" t="s">
        <v>4349</v>
      </c>
      <c r="B1061" s="29"/>
      <c r="C1061" s="29"/>
      <c r="D1061" s="29" t="s">
        <v>4350</v>
      </c>
      <c r="E1061" s="29" t="s">
        <v>1170</v>
      </c>
      <c r="F1061" s="29" t="s">
        <v>4351</v>
      </c>
      <c r="G1061" s="35"/>
      <c r="H1061" s="35" t="s">
        <v>151</v>
      </c>
      <c r="I1061" s="29" t="s">
        <v>4349</v>
      </c>
      <c r="J1061" s="37"/>
      <c r="K1061" s="38"/>
      <c r="L1061" s="38"/>
      <c r="M1061" s="36" t="s">
        <v>60</v>
      </c>
      <c r="N1061" s="15" t="s">
        <v>152</v>
      </c>
      <c r="O1061" s="36" t="s">
        <v>4123</v>
      </c>
      <c r="P1061" s="36" t="str">
        <f t="shared" si="32"/>
        <v>WFS_1/1000地形圖_澎湖縣林投風景特定區計畫(112年)</v>
      </c>
      <c r="Q1061" s="29" t="s">
        <v>4351</v>
      </c>
      <c r="R1061" s="29" t="str">
        <f t="shared" si="33"/>
        <v>2dms_t1kwfs_v1_TOPON1K_X05</v>
      </c>
      <c r="S1061" s="39" t="s">
        <v>4124</v>
      </c>
      <c r="U1061" s="27" t="str">
        <f>_xlfn.XLOOKUP(表格1[[#This Row],[服務類別(英)]],參考2_服務標準對照!$B:$B,參考2_服務標準對照!$C:$C,"")&amp;""</f>
        <v>OGC</v>
      </c>
      <c r="V1061" s="29" t="s">
        <v>8</v>
      </c>
      <c r="W1061" s="29" t="s">
        <v>4125</v>
      </c>
      <c r="X1061" s="29" t="s">
        <v>81</v>
      </c>
      <c r="Y1061" s="36" t="s">
        <v>83</v>
      </c>
      <c r="Z1061" s="36" t="s">
        <v>157</v>
      </c>
      <c r="AA1061" s="36" t="s">
        <v>4126</v>
      </c>
      <c r="AB1061" s="36"/>
      <c r="AC1061" s="36"/>
      <c r="AD1061" s="29" t="s">
        <v>119</v>
      </c>
      <c r="AE1061" s="36" t="str">
        <f>_xlfn.XLOOKUP(表格1[[#This Row],[唯一識別碼]],API清冊0707!B:B,API清冊0707!T:T,"")&amp;""</f>
        <v>無下拉選單</v>
      </c>
    </row>
    <row r="1062" spans="1:31" ht="142.5" customHeight="1" x14ac:dyDescent="0.4">
      <c r="A1062" s="29" t="s">
        <v>4352</v>
      </c>
      <c r="B1062" s="29"/>
      <c r="C1062" s="29"/>
      <c r="D1062" s="29" t="s">
        <v>4353</v>
      </c>
      <c r="E1062" s="29" t="s">
        <v>1166</v>
      </c>
      <c r="F1062" s="29" t="s">
        <v>4354</v>
      </c>
      <c r="G1062" s="35"/>
      <c r="H1062" s="35" t="s">
        <v>151</v>
      </c>
      <c r="I1062" s="29" t="s">
        <v>4352</v>
      </c>
      <c r="J1062" s="37"/>
      <c r="K1062" s="38"/>
      <c r="L1062" s="38"/>
      <c r="M1062" s="36" t="s">
        <v>60</v>
      </c>
      <c r="N1062" s="15" t="s">
        <v>152</v>
      </c>
      <c r="O1062" s="36" t="s">
        <v>4123</v>
      </c>
      <c r="P1062" s="36" t="str">
        <f t="shared" si="32"/>
        <v>WFS_1/1000地形圖_澎湖縣二崁傳統聚落特定區計畫(112年)</v>
      </c>
      <c r="Q1062" s="29" t="s">
        <v>4354</v>
      </c>
      <c r="R1062" s="29" t="str">
        <f t="shared" si="33"/>
        <v>2dms_t1kwfs_v1_TOPON1K_X06</v>
      </c>
      <c r="S1062" s="39" t="s">
        <v>4124</v>
      </c>
      <c r="U1062" s="27" t="str">
        <f>_xlfn.XLOOKUP(表格1[[#This Row],[服務類別(英)]],參考2_服務標準對照!$B:$B,參考2_服務標準對照!$C:$C,"")&amp;""</f>
        <v>OGC</v>
      </c>
      <c r="V1062" s="29" t="s">
        <v>8</v>
      </c>
      <c r="W1062" s="29" t="s">
        <v>4125</v>
      </c>
      <c r="X1062" s="29" t="s">
        <v>81</v>
      </c>
      <c r="Y1062" s="36" t="s">
        <v>83</v>
      </c>
      <c r="Z1062" s="36" t="s">
        <v>157</v>
      </c>
      <c r="AA1062" s="36" t="s">
        <v>4126</v>
      </c>
      <c r="AB1062" s="36"/>
      <c r="AC1062" s="36"/>
      <c r="AD1062" s="29" t="s">
        <v>119</v>
      </c>
      <c r="AE1062" s="36" t="str">
        <f>_xlfn.XLOOKUP(表格1[[#This Row],[唯一識別碼]],API清冊0707!B:B,API清冊0707!T:T,"")&amp;""</f>
        <v>無下拉選單</v>
      </c>
    </row>
    <row r="1063" spans="1:31" ht="142.5" customHeight="1" x14ac:dyDescent="0.4">
      <c r="A1063" s="29" t="s">
        <v>4355</v>
      </c>
      <c r="B1063" s="29"/>
      <c r="C1063" s="29"/>
      <c r="D1063" s="29" t="s">
        <v>4356</v>
      </c>
      <c r="E1063" s="29" t="s">
        <v>1162</v>
      </c>
      <c r="F1063" s="29" t="s">
        <v>4357</v>
      </c>
      <c r="G1063" s="35"/>
      <c r="H1063" s="35" t="s">
        <v>151</v>
      </c>
      <c r="I1063" s="29" t="s">
        <v>4355</v>
      </c>
      <c r="J1063" s="37"/>
      <c r="K1063" s="38"/>
      <c r="L1063" s="38"/>
      <c r="M1063" s="36" t="s">
        <v>60</v>
      </c>
      <c r="N1063" s="15" t="s">
        <v>152</v>
      </c>
      <c r="O1063" s="36" t="s">
        <v>4123</v>
      </c>
      <c r="P1063" s="36" t="str">
        <f t="shared" si="32"/>
        <v>WFS_1/1000地形圖_澎湖縣馬公市都市計畫(113年)</v>
      </c>
      <c r="Q1063" s="29" t="s">
        <v>4357</v>
      </c>
      <c r="R1063" s="29" t="str">
        <f t="shared" si="33"/>
        <v>2dms_t1kwfs_v1_TOPON1K_X07</v>
      </c>
      <c r="S1063" s="39" t="s">
        <v>4124</v>
      </c>
      <c r="U1063" s="27" t="str">
        <f>_xlfn.XLOOKUP(表格1[[#This Row],[服務類別(英)]],參考2_服務標準對照!$B:$B,參考2_服務標準對照!$C:$C,"")&amp;""</f>
        <v>OGC</v>
      </c>
      <c r="V1063" s="29" t="s">
        <v>8</v>
      </c>
      <c r="W1063" s="29" t="s">
        <v>4125</v>
      </c>
      <c r="X1063" s="29" t="s">
        <v>81</v>
      </c>
      <c r="Y1063" s="36" t="s">
        <v>83</v>
      </c>
      <c r="Z1063" s="36" t="s">
        <v>157</v>
      </c>
      <c r="AA1063" s="36" t="s">
        <v>4126</v>
      </c>
      <c r="AB1063" s="36"/>
      <c r="AC1063" s="36"/>
      <c r="AD1063" s="29" t="s">
        <v>119</v>
      </c>
      <c r="AE1063" s="36" t="str">
        <f>_xlfn.XLOOKUP(表格1[[#This Row],[唯一識別碼]],API清冊0707!B:B,API清冊0707!T:T,"")&amp;""</f>
        <v>無下拉選單</v>
      </c>
    </row>
    <row r="1064" spans="1:31" ht="142.5" customHeight="1" x14ac:dyDescent="0.4">
      <c r="A1064" s="29" t="s">
        <v>4358</v>
      </c>
      <c r="B1064" s="29"/>
      <c r="C1064" s="29"/>
      <c r="D1064" s="29" t="s">
        <v>4359</v>
      </c>
      <c r="E1064" s="29" t="s">
        <v>1157</v>
      </c>
      <c r="F1064" s="29" t="s">
        <v>4360</v>
      </c>
      <c r="G1064" s="35"/>
      <c r="H1064" s="35" t="s">
        <v>151</v>
      </c>
      <c r="I1064" s="29" t="s">
        <v>4358</v>
      </c>
      <c r="J1064" s="37"/>
      <c r="K1064" s="38"/>
      <c r="L1064" s="38"/>
      <c r="M1064" s="36" t="s">
        <v>60</v>
      </c>
      <c r="N1064" s="15" t="s">
        <v>152</v>
      </c>
      <c r="O1064" s="36" t="s">
        <v>4123</v>
      </c>
      <c r="P1064" s="36" t="str">
        <f t="shared" si="32"/>
        <v>WFS_1/1000地形圖_澎湖縣湖西鄉都市計畫(113年)</v>
      </c>
      <c r="Q1064" s="29" t="s">
        <v>4360</v>
      </c>
      <c r="R1064" s="29" t="str">
        <f t="shared" si="33"/>
        <v>2dms_t1kwfs_v1_TOPON1K_X08</v>
      </c>
      <c r="S1064" s="39" t="s">
        <v>4124</v>
      </c>
      <c r="U1064" s="27" t="str">
        <f>_xlfn.XLOOKUP(表格1[[#This Row],[服務類別(英)]],參考2_服務標準對照!$B:$B,參考2_服務標準對照!$C:$C,"")&amp;""</f>
        <v>OGC</v>
      </c>
      <c r="V1064" s="29" t="s">
        <v>8</v>
      </c>
      <c r="W1064" s="29" t="s">
        <v>4125</v>
      </c>
      <c r="X1064" s="29" t="s">
        <v>81</v>
      </c>
      <c r="Y1064" s="36" t="s">
        <v>83</v>
      </c>
      <c r="Z1064" s="36" t="s">
        <v>157</v>
      </c>
      <c r="AA1064" s="36" t="s">
        <v>4126</v>
      </c>
      <c r="AB1064" s="36"/>
      <c r="AC1064" s="36"/>
      <c r="AD1064" s="29" t="s">
        <v>119</v>
      </c>
      <c r="AE1064" s="36" t="str">
        <f>_xlfn.XLOOKUP(表格1[[#This Row],[唯一識別碼]],API清冊0707!B:B,API清冊0707!T:T,"")&amp;""</f>
        <v>無下拉選單</v>
      </c>
    </row>
    <row r="1065" spans="1:31" ht="95.25" customHeight="1" x14ac:dyDescent="0.4">
      <c r="A1065" s="29" t="s">
        <v>4361</v>
      </c>
      <c r="B1065" s="29"/>
      <c r="C1065" s="29"/>
      <c r="D1065" s="29" t="s">
        <v>4362</v>
      </c>
      <c r="E1065" s="29" t="s">
        <v>4363</v>
      </c>
      <c r="F1065" s="29" t="s">
        <v>4364</v>
      </c>
      <c r="G1065" s="35"/>
      <c r="H1065" s="35" t="s">
        <v>151</v>
      </c>
      <c r="I1065" s="29" t="s">
        <v>4361</v>
      </c>
      <c r="J1065" s="37"/>
      <c r="K1065" s="38"/>
      <c r="L1065" s="38"/>
      <c r="M1065" s="36" t="s">
        <v>60</v>
      </c>
      <c r="N1065" s="15" t="s">
        <v>152</v>
      </c>
      <c r="O1065" s="36" t="s">
        <v>4365</v>
      </c>
      <c r="P1065" s="36" t="str">
        <f t="shared" si="32"/>
        <v>WFS_地段外圍圖</v>
      </c>
      <c r="Q1065" s="29" t="s">
        <v>4364</v>
      </c>
      <c r="R1065" s="29" t="str">
        <f t="shared" si="33"/>
        <v>2dms_secwfs_v1_LanSect</v>
      </c>
      <c r="S1065" s="39" t="s">
        <v>4124</v>
      </c>
      <c r="U1065" s="27" t="str">
        <f>_xlfn.XLOOKUP(表格1[[#This Row],[服務類別(英)]],參考2_服務標準對照!$B:$B,參考2_服務標準對照!$C:$C,"")&amp;""</f>
        <v>OGC</v>
      </c>
      <c r="V1065" s="29" t="s">
        <v>9</v>
      </c>
      <c r="W1065" s="29" t="s">
        <v>4366</v>
      </c>
      <c r="X1065" s="29" t="s">
        <v>81</v>
      </c>
      <c r="Y1065" s="36" t="s">
        <v>83</v>
      </c>
      <c r="Z1065" s="36" t="s">
        <v>157</v>
      </c>
      <c r="AA1065" s="36" t="s">
        <v>4367</v>
      </c>
      <c r="AB1065" s="36"/>
      <c r="AC1065" s="36"/>
      <c r="AD1065" s="29" t="s">
        <v>119</v>
      </c>
      <c r="AE1065" s="36" t="str">
        <f>_xlfn.XLOOKUP(表格1[[#This Row],[唯一識別碼]],API清冊0707!B:B,API清冊0707!T:T,"")&amp;""</f>
        <v>無下拉選單</v>
      </c>
    </row>
    <row r="1066" spans="1:31" ht="173.25" customHeight="1" x14ac:dyDescent="0.4">
      <c r="A1066" s="29" t="s">
        <v>4368</v>
      </c>
      <c r="B1066" s="29" t="s">
        <v>31</v>
      </c>
      <c r="C1066" s="29" t="s">
        <v>4369</v>
      </c>
      <c r="D1066" s="29" t="s">
        <v>4370</v>
      </c>
      <c r="E1066" s="29" t="s">
        <v>4371</v>
      </c>
      <c r="F1066" s="29" t="s">
        <v>8553</v>
      </c>
      <c r="G1066" s="35"/>
      <c r="H1066" s="35" t="s">
        <v>151</v>
      </c>
      <c r="I1066" s="29" t="s">
        <v>4373</v>
      </c>
      <c r="J1066" s="37"/>
      <c r="K1066" s="38"/>
      <c r="L1066" s="38"/>
      <c r="M1066" s="36" t="s">
        <v>60</v>
      </c>
      <c r="N1066" s="15" t="s">
        <v>152</v>
      </c>
      <c r="O1066" s="36" t="s">
        <v>4374</v>
      </c>
      <c r="P1066" s="36" t="str">
        <f>IF(LEN(TRIM(F1066))&gt;0,F1066,E1066)</f>
        <v>API_地籍圖_指定地號查詢_全國</v>
      </c>
      <c r="Q1066" s="29" t="s">
        <v>4372</v>
      </c>
      <c r="R1066" s="29" t="str">
        <f t="shared" si="33"/>
        <v>2dms_cadapi_v1_CadasMapQuery</v>
      </c>
      <c r="U1066" s="27" t="str">
        <f>_xlfn.XLOOKUP(表格1[[#This Row],[服務類別(英)]],參考2_服務標準對照!$B:$B,參考2_服務標準對照!$C:$C,"")&amp;""</f>
        <v/>
      </c>
      <c r="V1066" s="29" t="s">
        <v>10</v>
      </c>
      <c r="W1066" s="29" t="s">
        <v>4375</v>
      </c>
      <c r="X1066" s="29" t="s">
        <v>81</v>
      </c>
      <c r="Y1066" s="36" t="s">
        <v>83</v>
      </c>
      <c r="Z1066" s="36" t="s">
        <v>157</v>
      </c>
      <c r="AA1066" s="36" t="s">
        <v>4376</v>
      </c>
      <c r="AB1066" s="36"/>
      <c r="AC1066" s="36"/>
      <c r="AD1066" s="29" t="s">
        <v>119</v>
      </c>
      <c r="AE1066" s="36" t="str">
        <f>_xlfn.XLOOKUP(表格1[[#This Row],[唯一識別碼]],API清冊0707!B:B,API清冊0707!T:T,"")&amp;""</f>
        <v>無下拉選單</v>
      </c>
    </row>
    <row r="1067" spans="1:31" ht="189" customHeight="1" x14ac:dyDescent="0.4">
      <c r="A1067" s="29" t="s">
        <v>4377</v>
      </c>
      <c r="B1067" s="29" t="s">
        <v>31</v>
      </c>
      <c r="C1067" s="29" t="s">
        <v>4378</v>
      </c>
      <c r="D1067" s="29" t="s">
        <v>4379</v>
      </c>
      <c r="E1067" s="29" t="s">
        <v>4380</v>
      </c>
      <c r="F1067" s="29" t="s">
        <v>8552</v>
      </c>
      <c r="G1067" s="35"/>
      <c r="H1067" s="35" t="s">
        <v>151</v>
      </c>
      <c r="I1067" s="29" t="s">
        <v>4382</v>
      </c>
      <c r="J1067" s="37"/>
      <c r="K1067" s="38"/>
      <c r="L1067" s="38"/>
      <c r="M1067" s="36" t="s">
        <v>60</v>
      </c>
      <c r="N1067" s="15" t="s">
        <v>152</v>
      </c>
      <c r="O1067" s="36" t="s">
        <v>4374</v>
      </c>
      <c r="P1067" s="36" t="str">
        <f t="shared" si="32"/>
        <v>API_地籍圖_指定坐標查詢_全國</v>
      </c>
      <c r="Q1067" s="29" t="s">
        <v>4381</v>
      </c>
      <c r="R1067" s="29" t="str">
        <f t="shared" si="33"/>
        <v>2dms_cadapi_v1_CadasMapPointQuery</v>
      </c>
      <c r="U1067" s="27" t="str">
        <f>_xlfn.XLOOKUP(表格1[[#This Row],[服務類別(英)]],參考2_服務標準對照!$B:$B,參考2_服務標準對照!$C:$C,"")&amp;""</f>
        <v/>
      </c>
      <c r="V1067" s="29" t="s">
        <v>10</v>
      </c>
      <c r="W1067" s="29" t="s">
        <v>4375</v>
      </c>
      <c r="X1067" s="29" t="s">
        <v>81</v>
      </c>
      <c r="Y1067" s="36" t="s">
        <v>83</v>
      </c>
      <c r="Z1067" s="36" t="s">
        <v>157</v>
      </c>
      <c r="AA1067" s="36" t="s">
        <v>4383</v>
      </c>
      <c r="AB1067" s="36"/>
      <c r="AC1067" s="36"/>
      <c r="AD1067" s="29" t="s">
        <v>119</v>
      </c>
      <c r="AE1067" s="36" t="str">
        <f>_xlfn.XLOOKUP(表格1[[#This Row],[唯一識別碼]],API清冊0707!B:B,API清冊0707!T:T,"")&amp;""</f>
        <v>無下拉選單</v>
      </c>
    </row>
    <row r="1068" spans="1:31" ht="95.25" customHeight="1" x14ac:dyDescent="0.4">
      <c r="A1068" s="29" t="s">
        <v>4384</v>
      </c>
      <c r="B1068" s="29"/>
      <c r="C1068" s="29"/>
      <c r="D1068" s="29" t="s">
        <v>4385</v>
      </c>
      <c r="E1068" s="29" t="s">
        <v>4386</v>
      </c>
      <c r="F1068" s="29" t="s">
        <v>4387</v>
      </c>
      <c r="G1068" s="35"/>
      <c r="H1068" s="35" t="s">
        <v>151</v>
      </c>
      <c r="I1068" s="29" t="s">
        <v>4384</v>
      </c>
      <c r="J1068" s="37"/>
      <c r="K1068" s="38"/>
      <c r="L1068" s="38"/>
      <c r="M1068" s="36" t="s">
        <v>60</v>
      </c>
      <c r="N1068" s="15" t="s">
        <v>152</v>
      </c>
      <c r="O1068" s="36" t="s">
        <v>4388</v>
      </c>
      <c r="P1068" s="36" t="str">
        <f t="shared" si="32"/>
        <v>WFS_地籍圖</v>
      </c>
      <c r="Q1068" s="29" t="s">
        <v>4387</v>
      </c>
      <c r="R1068" s="29" t="str">
        <f t="shared" si="33"/>
        <v>2dms_cadwfs_v1_CadasMerge</v>
      </c>
      <c r="S1068" s="39" t="s">
        <v>4124</v>
      </c>
      <c r="U1068" s="27" t="str">
        <f>_xlfn.XLOOKUP(表格1[[#This Row],[服務類別(英)]],參考2_服務標準對照!$B:$B,參考2_服務標準對照!$C:$C,"")&amp;""</f>
        <v>OGC</v>
      </c>
      <c r="V1068" s="29" t="s">
        <v>11</v>
      </c>
      <c r="W1068" s="29" t="s">
        <v>4389</v>
      </c>
      <c r="X1068" s="29" t="s">
        <v>81</v>
      </c>
      <c r="Y1068" s="36" t="s">
        <v>83</v>
      </c>
      <c r="Z1068" s="36" t="s">
        <v>157</v>
      </c>
      <c r="AA1068" s="36" t="s">
        <v>4367</v>
      </c>
      <c r="AB1068" s="36"/>
      <c r="AC1068" s="36"/>
      <c r="AD1068" s="29" t="s">
        <v>119</v>
      </c>
      <c r="AE1068" s="36" t="str">
        <f>_xlfn.XLOOKUP(表格1[[#This Row],[唯一識別碼]],API清冊0707!B:B,API清冊0707!T:T,"")&amp;""</f>
        <v>無下拉選單</v>
      </c>
    </row>
    <row r="1069" spans="1:31" ht="157.5" customHeight="1" x14ac:dyDescent="0.4">
      <c r="A1069" s="29" t="s">
        <v>4390</v>
      </c>
      <c r="B1069" s="29"/>
      <c r="C1069" s="29"/>
      <c r="D1069" s="29" t="s">
        <v>4391</v>
      </c>
      <c r="E1069" s="29" t="s">
        <v>4392</v>
      </c>
      <c r="F1069" s="29" t="s">
        <v>4393</v>
      </c>
      <c r="G1069" s="35"/>
      <c r="H1069" s="35" t="s">
        <v>151</v>
      </c>
      <c r="I1069" s="29" t="s">
        <v>4390</v>
      </c>
      <c r="J1069" s="37"/>
      <c r="K1069" s="38"/>
      <c r="L1069" s="38"/>
      <c r="M1069" s="36" t="s">
        <v>60</v>
      </c>
      <c r="N1069" s="15" t="s">
        <v>152</v>
      </c>
      <c r="O1069" s="36" t="s">
        <v>153</v>
      </c>
      <c r="P1069" s="36" t="str">
        <f t="shared" si="32"/>
        <v>WMS_地籍圖</v>
      </c>
      <c r="Q1069" s="29" t="s">
        <v>4393</v>
      </c>
      <c r="R1069" s="29" t="str">
        <f t="shared" si="33"/>
        <v>2dms_cadwms_v1_DMAPS</v>
      </c>
      <c r="S1069" s="39" t="s">
        <v>155</v>
      </c>
      <c r="U1069" s="27" t="str">
        <f>_xlfn.XLOOKUP(表格1[[#This Row],[服務類別(英)]],參考2_服務標準對照!$B:$B,參考2_服務標準對照!$C:$C,"")&amp;""</f>
        <v>OGC</v>
      </c>
      <c r="V1069" s="29" t="s">
        <v>12</v>
      </c>
      <c r="W1069" s="29" t="s">
        <v>4394</v>
      </c>
      <c r="X1069" s="29" t="s">
        <v>81</v>
      </c>
      <c r="Y1069" s="36" t="s">
        <v>83</v>
      </c>
      <c r="Z1069" s="36" t="s">
        <v>157</v>
      </c>
      <c r="AA1069" s="36" t="s">
        <v>4395</v>
      </c>
      <c r="AB1069" s="36"/>
      <c r="AC1069" s="36"/>
      <c r="AD1069" s="29" t="s">
        <v>119</v>
      </c>
      <c r="AE1069" s="36" t="str">
        <f>_xlfn.XLOOKUP(表格1[[#This Row],[唯一識別碼]],API清冊0707!B:B,API清冊0707!T:T,"")&amp;""</f>
        <v>無下拉選單</v>
      </c>
    </row>
    <row r="1070" spans="1:31" ht="220.5" customHeight="1" x14ac:dyDescent="0.4">
      <c r="A1070" s="29" t="s">
        <v>4396</v>
      </c>
      <c r="B1070" s="29"/>
      <c r="C1070" s="29"/>
      <c r="D1070" s="29" t="s">
        <v>4397</v>
      </c>
      <c r="E1070" s="29" t="s">
        <v>4392</v>
      </c>
      <c r="F1070" s="29" t="s">
        <v>4398</v>
      </c>
      <c r="G1070" s="35"/>
      <c r="H1070" s="35" t="s">
        <v>151</v>
      </c>
      <c r="I1070" s="29" t="s">
        <v>4396</v>
      </c>
      <c r="J1070" s="37"/>
      <c r="K1070" s="38"/>
      <c r="L1070" s="38"/>
      <c r="M1070" s="36" t="s">
        <v>60</v>
      </c>
      <c r="N1070" s="15" t="s">
        <v>152</v>
      </c>
      <c r="O1070" s="36" t="s">
        <v>4399</v>
      </c>
      <c r="P1070" s="36" t="str">
        <f t="shared" si="32"/>
        <v>WMTS_地籍圖</v>
      </c>
      <c r="Q1070" s="29" t="s">
        <v>4398</v>
      </c>
      <c r="R1070" s="29" t="str">
        <f t="shared" si="33"/>
        <v>2dms_cadwmt_v1_DMAPS</v>
      </c>
      <c r="S1070" s="39" t="s">
        <v>155</v>
      </c>
      <c r="U1070" s="27" t="str">
        <f>_xlfn.XLOOKUP(表格1[[#This Row],[服務類別(英)]],參考2_服務標準對照!$B:$B,參考2_服務標準對照!$C:$C,"")&amp;""</f>
        <v>OGC</v>
      </c>
      <c r="V1070" s="29" t="s">
        <v>13</v>
      </c>
      <c r="W1070" s="29" t="s">
        <v>4400</v>
      </c>
      <c r="X1070" s="29" t="s">
        <v>81</v>
      </c>
      <c r="Y1070" s="36" t="s">
        <v>83</v>
      </c>
      <c r="Z1070" s="36" t="s">
        <v>157</v>
      </c>
      <c r="AA1070" s="36" t="s">
        <v>3769</v>
      </c>
      <c r="AB1070" s="36"/>
      <c r="AC1070" s="36"/>
      <c r="AD1070" s="29" t="s">
        <v>119</v>
      </c>
      <c r="AE1070" s="36" t="str">
        <f>_xlfn.XLOOKUP(表格1[[#This Row],[唯一識別碼]],API清冊0707!B:B,API清冊0707!T:T,"")&amp;""</f>
        <v>無下拉選單</v>
      </c>
    </row>
    <row r="1071" spans="1:31" ht="157.5" customHeight="1" x14ac:dyDescent="0.4">
      <c r="A1071" s="29" t="s">
        <v>4401</v>
      </c>
      <c r="B1071" s="29" t="s">
        <v>31</v>
      </c>
      <c r="C1071" s="29" t="s">
        <v>4402</v>
      </c>
      <c r="D1071" s="29" t="s">
        <v>4403</v>
      </c>
      <c r="E1071" s="29" t="s">
        <v>4404</v>
      </c>
      <c r="F1071" s="29" t="s">
        <v>4405</v>
      </c>
      <c r="G1071" s="35" t="s">
        <v>31</v>
      </c>
      <c r="H1071" s="35" t="s">
        <v>151</v>
      </c>
      <c r="I1071" s="29" t="s">
        <v>4406</v>
      </c>
      <c r="J1071" s="37"/>
      <c r="K1071" s="38"/>
      <c r="L1071" s="38"/>
      <c r="M1071" s="36" t="s">
        <v>60</v>
      </c>
      <c r="N1071" s="15" t="s">
        <v>152</v>
      </c>
      <c r="O1071" s="36" t="s">
        <v>4407</v>
      </c>
      <c r="P1071" s="36" t="str">
        <f t="shared" si="32"/>
        <v>API_地籍屬性_指定地號查詢位置_宜蘭縣</v>
      </c>
      <c r="Q1071" s="29" t="s">
        <v>4405</v>
      </c>
      <c r="R1071" s="29" t="str">
        <f t="shared" si="33"/>
        <v>2dms_cadatt_v1_CadasMapPosition_G</v>
      </c>
      <c r="U1071" s="27" t="str">
        <f>_xlfn.XLOOKUP(表格1[[#This Row],[服務類別(英)]],參考2_服務標準對照!$B:$B,參考2_服務標準對照!$C:$C,"")&amp;""</f>
        <v/>
      </c>
      <c r="V1071" s="29" t="s">
        <v>14</v>
      </c>
      <c r="W1071" s="29" t="s">
        <v>4408</v>
      </c>
      <c r="X1071" s="29" t="s">
        <v>81</v>
      </c>
      <c r="Y1071" s="36" t="s">
        <v>83</v>
      </c>
      <c r="Z1071" s="36" t="s">
        <v>157</v>
      </c>
      <c r="AA1071" s="36" t="s">
        <v>4383</v>
      </c>
      <c r="AB1071" s="36"/>
      <c r="AC1071" s="36"/>
      <c r="AD1071" s="29" t="s">
        <v>96</v>
      </c>
      <c r="AE1071" s="36" t="str">
        <f>_xlfn.XLOOKUP(表格1[[#This Row],[唯一識別碼]],API清冊0707!B:B,API清冊0707!T:T,"")&amp;""</f>
        <v>有下拉選單</v>
      </c>
    </row>
    <row r="1072" spans="1:31" ht="157.5" customHeight="1" x14ac:dyDescent="0.4">
      <c r="A1072" s="29" t="s">
        <v>4409</v>
      </c>
      <c r="B1072" s="29" t="s">
        <v>31</v>
      </c>
      <c r="C1072" s="29" t="s">
        <v>4402</v>
      </c>
      <c r="D1072" s="29" t="s">
        <v>4410</v>
      </c>
      <c r="E1072" s="29" t="s">
        <v>4411</v>
      </c>
      <c r="F1072" s="29" t="s">
        <v>4412</v>
      </c>
      <c r="G1072" s="35" t="s">
        <v>31</v>
      </c>
      <c r="H1072" s="35" t="s">
        <v>151</v>
      </c>
      <c r="I1072" s="29" t="s">
        <v>4413</v>
      </c>
      <c r="J1072" s="37"/>
      <c r="K1072" s="38"/>
      <c r="L1072" s="38"/>
      <c r="M1072" s="36" t="s">
        <v>60</v>
      </c>
      <c r="N1072" s="15" t="s">
        <v>152</v>
      </c>
      <c r="O1072" s="36" t="s">
        <v>4407</v>
      </c>
      <c r="P1072" s="36" t="str">
        <f t="shared" si="32"/>
        <v>API_地籍屬性_指定地號查詢位置_花蓮縣</v>
      </c>
      <c r="Q1072" s="29" t="s">
        <v>4412</v>
      </c>
      <c r="R1072" s="29" t="str">
        <f t="shared" si="33"/>
        <v>2dms_cadatt_v1_CadasMapPosition_U</v>
      </c>
      <c r="U1072" s="27" t="str">
        <f>_xlfn.XLOOKUP(表格1[[#This Row],[服務類別(英)]],參考2_服務標準對照!$B:$B,參考2_服務標準對照!$C:$C,"")&amp;""</f>
        <v/>
      </c>
      <c r="V1072" s="29" t="s">
        <v>14</v>
      </c>
      <c r="W1072" s="29" t="s">
        <v>4408</v>
      </c>
      <c r="X1072" s="29" t="s">
        <v>81</v>
      </c>
      <c r="Y1072" s="36" t="s">
        <v>83</v>
      </c>
      <c r="Z1072" s="36" t="s">
        <v>157</v>
      </c>
      <c r="AA1072" s="36" t="s">
        <v>4383</v>
      </c>
      <c r="AB1072" s="36"/>
      <c r="AC1072" s="36"/>
      <c r="AD1072" s="29" t="s">
        <v>96</v>
      </c>
      <c r="AE1072" s="36" t="str">
        <f>_xlfn.XLOOKUP(表格1[[#This Row],[唯一識別碼]],API清冊0707!B:B,API清冊0707!T:T,"")&amp;""</f>
        <v>有下拉選單</v>
      </c>
    </row>
    <row r="1073" spans="1:31" ht="157.5" customHeight="1" x14ac:dyDescent="0.4">
      <c r="A1073" s="29" t="s">
        <v>4414</v>
      </c>
      <c r="B1073" s="29" t="s">
        <v>31</v>
      </c>
      <c r="C1073" s="29" t="s">
        <v>4402</v>
      </c>
      <c r="D1073" s="29" t="s">
        <v>4415</v>
      </c>
      <c r="E1073" s="29" t="s">
        <v>4416</v>
      </c>
      <c r="F1073" s="29" t="s">
        <v>4417</v>
      </c>
      <c r="G1073" s="35" t="s">
        <v>31</v>
      </c>
      <c r="H1073" s="35" t="s">
        <v>151</v>
      </c>
      <c r="I1073" s="29" t="s">
        <v>4418</v>
      </c>
      <c r="J1073" s="37"/>
      <c r="K1073" s="38"/>
      <c r="L1073" s="38"/>
      <c r="M1073" s="36" t="s">
        <v>60</v>
      </c>
      <c r="N1073" s="15" t="s">
        <v>152</v>
      </c>
      <c r="O1073" s="36" t="s">
        <v>4407</v>
      </c>
      <c r="P1073" s="36" t="str">
        <f t="shared" si="32"/>
        <v>API_地籍屬性_指定地號查詢位置_金門縣</v>
      </c>
      <c r="Q1073" s="29" t="s">
        <v>4417</v>
      </c>
      <c r="R1073" s="29" t="str">
        <f t="shared" si="33"/>
        <v>2dms_cadatt_v1_CadasMapPosition_W</v>
      </c>
      <c r="U1073" s="27" t="str">
        <f>_xlfn.XLOOKUP(表格1[[#This Row],[服務類別(英)]],參考2_服務標準對照!$B:$B,參考2_服務標準對照!$C:$C,"")&amp;""</f>
        <v/>
      </c>
      <c r="V1073" s="29" t="s">
        <v>14</v>
      </c>
      <c r="W1073" s="29" t="s">
        <v>4408</v>
      </c>
      <c r="X1073" s="29" t="s">
        <v>81</v>
      </c>
      <c r="Y1073" s="36" t="s">
        <v>83</v>
      </c>
      <c r="Z1073" s="36" t="s">
        <v>157</v>
      </c>
      <c r="AA1073" s="36" t="s">
        <v>4383</v>
      </c>
      <c r="AB1073" s="36"/>
      <c r="AC1073" s="36"/>
      <c r="AD1073" s="29" t="s">
        <v>96</v>
      </c>
      <c r="AE1073" s="36" t="str">
        <f>_xlfn.XLOOKUP(表格1[[#This Row],[唯一識別碼]],API清冊0707!B:B,API清冊0707!T:T,"")&amp;""</f>
        <v>有下拉選單</v>
      </c>
    </row>
    <row r="1074" spans="1:31" ht="157.5" customHeight="1" x14ac:dyDescent="0.4">
      <c r="A1074" s="29" t="s">
        <v>4419</v>
      </c>
      <c r="B1074" s="29" t="s">
        <v>31</v>
      </c>
      <c r="C1074" s="29" t="s">
        <v>4402</v>
      </c>
      <c r="D1074" s="29" t="s">
        <v>4420</v>
      </c>
      <c r="E1074" s="29" t="s">
        <v>4421</v>
      </c>
      <c r="F1074" s="29" t="s">
        <v>4422</v>
      </c>
      <c r="G1074" s="35" t="s">
        <v>31</v>
      </c>
      <c r="H1074" s="35" t="s">
        <v>151</v>
      </c>
      <c r="I1074" s="29" t="s">
        <v>4423</v>
      </c>
      <c r="J1074" s="37"/>
      <c r="K1074" s="38"/>
      <c r="L1074" s="38"/>
      <c r="M1074" s="36" t="s">
        <v>60</v>
      </c>
      <c r="N1074" s="15" t="s">
        <v>152</v>
      </c>
      <c r="O1074" s="36" t="s">
        <v>4407</v>
      </c>
      <c r="P1074" s="36" t="str">
        <f t="shared" si="32"/>
        <v>API_地籍屬性_指定地號查詢位置_南投縣</v>
      </c>
      <c r="Q1074" s="29" t="s">
        <v>4422</v>
      </c>
      <c r="R1074" s="29" t="str">
        <f t="shared" si="33"/>
        <v>2dms_cadatt_v1_CadasMapPosition_M</v>
      </c>
      <c r="U1074" s="27" t="str">
        <f>_xlfn.XLOOKUP(表格1[[#This Row],[服務類別(英)]],參考2_服務標準對照!$B:$B,參考2_服務標準對照!$C:$C,"")&amp;""</f>
        <v/>
      </c>
      <c r="V1074" s="29" t="s">
        <v>14</v>
      </c>
      <c r="W1074" s="29" t="s">
        <v>4408</v>
      </c>
      <c r="X1074" s="29" t="s">
        <v>81</v>
      </c>
      <c r="Y1074" s="36" t="s">
        <v>83</v>
      </c>
      <c r="Z1074" s="36" t="s">
        <v>157</v>
      </c>
      <c r="AA1074" s="36" t="s">
        <v>4383</v>
      </c>
      <c r="AB1074" s="36"/>
      <c r="AC1074" s="36"/>
      <c r="AD1074" s="29" t="s">
        <v>96</v>
      </c>
      <c r="AE1074" s="36" t="str">
        <f>_xlfn.XLOOKUP(表格1[[#This Row],[唯一識別碼]],API清冊0707!B:B,API清冊0707!T:T,"")&amp;""</f>
        <v>有下拉選單</v>
      </c>
    </row>
    <row r="1075" spans="1:31" ht="157.5" customHeight="1" x14ac:dyDescent="0.4">
      <c r="A1075" s="29" t="s">
        <v>4424</v>
      </c>
      <c r="B1075" s="29" t="s">
        <v>31</v>
      </c>
      <c r="C1075" s="29" t="s">
        <v>4402</v>
      </c>
      <c r="D1075" s="29" t="s">
        <v>4425</v>
      </c>
      <c r="E1075" s="29" t="s">
        <v>4426</v>
      </c>
      <c r="F1075" s="29" t="s">
        <v>4427</v>
      </c>
      <c r="G1075" s="35" t="s">
        <v>31</v>
      </c>
      <c r="H1075" s="35" t="s">
        <v>151</v>
      </c>
      <c r="I1075" s="29" t="s">
        <v>4428</v>
      </c>
      <c r="J1075" s="37"/>
      <c r="K1075" s="38"/>
      <c r="L1075" s="38"/>
      <c r="M1075" s="36" t="s">
        <v>60</v>
      </c>
      <c r="N1075" s="15" t="s">
        <v>152</v>
      </c>
      <c r="O1075" s="36" t="s">
        <v>4407</v>
      </c>
      <c r="P1075" s="36" t="str">
        <f t="shared" si="32"/>
        <v>API_地籍屬性_指定地號查詢位置_屏東縣</v>
      </c>
      <c r="Q1075" s="29" t="s">
        <v>4427</v>
      </c>
      <c r="R1075" s="29" t="str">
        <f t="shared" si="33"/>
        <v>2dms_cadatt_v1_CadasMapPosition_T</v>
      </c>
      <c r="U1075" s="27" t="str">
        <f>_xlfn.XLOOKUP(表格1[[#This Row],[服務類別(英)]],參考2_服務標準對照!$B:$B,參考2_服務標準對照!$C:$C,"")&amp;""</f>
        <v/>
      </c>
      <c r="V1075" s="29" t="s">
        <v>14</v>
      </c>
      <c r="W1075" s="29" t="s">
        <v>4408</v>
      </c>
      <c r="X1075" s="29" t="s">
        <v>81</v>
      </c>
      <c r="Y1075" s="36" t="s">
        <v>83</v>
      </c>
      <c r="Z1075" s="36" t="s">
        <v>157</v>
      </c>
      <c r="AA1075" s="36" t="s">
        <v>4383</v>
      </c>
      <c r="AB1075" s="36"/>
      <c r="AC1075" s="36"/>
      <c r="AD1075" s="29" t="s">
        <v>96</v>
      </c>
      <c r="AE1075" s="36" t="str">
        <f>_xlfn.XLOOKUP(表格1[[#This Row],[唯一識別碼]],API清冊0707!B:B,API清冊0707!T:T,"")&amp;""</f>
        <v>有下拉選單</v>
      </c>
    </row>
    <row r="1076" spans="1:31" ht="157.5" customHeight="1" x14ac:dyDescent="0.4">
      <c r="A1076" s="29" t="s">
        <v>4429</v>
      </c>
      <c r="B1076" s="29" t="s">
        <v>31</v>
      </c>
      <c r="C1076" s="29" t="s">
        <v>4402</v>
      </c>
      <c r="D1076" s="29" t="s">
        <v>4430</v>
      </c>
      <c r="E1076" s="29" t="s">
        <v>4431</v>
      </c>
      <c r="F1076" s="29" t="s">
        <v>4432</v>
      </c>
      <c r="G1076" s="35" t="s">
        <v>31</v>
      </c>
      <c r="H1076" s="35" t="s">
        <v>151</v>
      </c>
      <c r="I1076" s="29" t="s">
        <v>4433</v>
      </c>
      <c r="J1076" s="37"/>
      <c r="K1076" s="38"/>
      <c r="L1076" s="38"/>
      <c r="M1076" s="36" t="s">
        <v>60</v>
      </c>
      <c r="N1076" s="15" t="s">
        <v>152</v>
      </c>
      <c r="O1076" s="36" t="s">
        <v>4407</v>
      </c>
      <c r="P1076" s="36" t="str">
        <f t="shared" si="32"/>
        <v>API_地籍屬性_指定地號查詢位置_苗栗縣</v>
      </c>
      <c r="Q1076" s="29" t="s">
        <v>4432</v>
      </c>
      <c r="R1076" s="29" t="str">
        <f t="shared" si="33"/>
        <v>2dms_cadatt_v1_CadasMapPosition_K</v>
      </c>
      <c r="U1076" s="27" t="str">
        <f>_xlfn.XLOOKUP(表格1[[#This Row],[服務類別(英)]],參考2_服務標準對照!$B:$B,參考2_服務標準對照!$C:$C,"")&amp;""</f>
        <v/>
      </c>
      <c r="V1076" s="29" t="s">
        <v>14</v>
      </c>
      <c r="W1076" s="29" t="s">
        <v>4408</v>
      </c>
      <c r="X1076" s="29" t="s">
        <v>81</v>
      </c>
      <c r="Y1076" s="36" t="s">
        <v>83</v>
      </c>
      <c r="Z1076" s="36" t="s">
        <v>157</v>
      </c>
      <c r="AA1076" s="36" t="s">
        <v>4383</v>
      </c>
      <c r="AB1076" s="36"/>
      <c r="AC1076" s="36"/>
      <c r="AD1076" s="29" t="s">
        <v>96</v>
      </c>
      <c r="AE1076" s="36" t="str">
        <f>_xlfn.XLOOKUP(表格1[[#This Row],[唯一識別碼]],API清冊0707!B:B,API清冊0707!T:T,"")&amp;""</f>
        <v>有下拉選單</v>
      </c>
    </row>
    <row r="1077" spans="1:31" ht="157.5" customHeight="1" x14ac:dyDescent="0.4">
      <c r="A1077" s="29" t="s">
        <v>4434</v>
      </c>
      <c r="B1077" s="29" t="s">
        <v>31</v>
      </c>
      <c r="C1077" s="29" t="s">
        <v>4402</v>
      </c>
      <c r="D1077" s="29" t="s">
        <v>4435</v>
      </c>
      <c r="E1077" s="29" t="s">
        <v>4436</v>
      </c>
      <c r="F1077" s="29" t="s">
        <v>4437</v>
      </c>
      <c r="G1077" s="35" t="s">
        <v>31</v>
      </c>
      <c r="H1077" s="35" t="s">
        <v>151</v>
      </c>
      <c r="I1077" s="29" t="s">
        <v>4438</v>
      </c>
      <c r="J1077" s="37"/>
      <c r="K1077" s="38"/>
      <c r="L1077" s="38"/>
      <c r="M1077" s="36" t="s">
        <v>60</v>
      </c>
      <c r="N1077" s="15" t="s">
        <v>152</v>
      </c>
      <c r="O1077" s="36" t="s">
        <v>4407</v>
      </c>
      <c r="P1077" s="36" t="str">
        <f t="shared" si="32"/>
        <v>API_地籍屬性_指定地號查詢位置_桃園市</v>
      </c>
      <c r="Q1077" s="29" t="s">
        <v>4437</v>
      </c>
      <c r="R1077" s="29" t="str">
        <f t="shared" si="33"/>
        <v>2dms_cadatt_v1_CadasMapPosition_H</v>
      </c>
      <c r="U1077" s="27" t="str">
        <f>_xlfn.XLOOKUP(表格1[[#This Row],[服務類別(英)]],參考2_服務標準對照!$B:$B,參考2_服務標準對照!$C:$C,"")&amp;""</f>
        <v/>
      </c>
      <c r="V1077" s="29" t="s">
        <v>14</v>
      </c>
      <c r="W1077" s="29" t="s">
        <v>4408</v>
      </c>
      <c r="X1077" s="29" t="s">
        <v>81</v>
      </c>
      <c r="Y1077" s="36" t="s">
        <v>83</v>
      </c>
      <c r="Z1077" s="36" t="s">
        <v>157</v>
      </c>
      <c r="AA1077" s="36" t="s">
        <v>4383</v>
      </c>
      <c r="AB1077" s="36"/>
      <c r="AC1077" s="36"/>
      <c r="AD1077" s="29" t="s">
        <v>96</v>
      </c>
      <c r="AE1077" s="36" t="str">
        <f>_xlfn.XLOOKUP(表格1[[#This Row],[唯一識別碼]],API清冊0707!B:B,API清冊0707!T:T,"")&amp;""</f>
        <v>有下拉選單</v>
      </c>
    </row>
    <row r="1078" spans="1:31" ht="157.5" customHeight="1" x14ac:dyDescent="0.4">
      <c r="A1078" s="29" t="s">
        <v>4439</v>
      </c>
      <c r="B1078" s="29" t="s">
        <v>31</v>
      </c>
      <c r="C1078" s="29" t="s">
        <v>4402</v>
      </c>
      <c r="D1078" s="29" t="s">
        <v>4440</v>
      </c>
      <c r="E1078" s="29" t="s">
        <v>4441</v>
      </c>
      <c r="F1078" s="29" t="s">
        <v>4442</v>
      </c>
      <c r="G1078" s="35" t="s">
        <v>31</v>
      </c>
      <c r="H1078" s="35" t="s">
        <v>151</v>
      </c>
      <c r="I1078" s="29" t="s">
        <v>4443</v>
      </c>
      <c r="J1078" s="37"/>
      <c r="K1078" s="38"/>
      <c r="L1078" s="38"/>
      <c r="M1078" s="36" t="s">
        <v>60</v>
      </c>
      <c r="N1078" s="15" t="s">
        <v>152</v>
      </c>
      <c r="O1078" s="36" t="s">
        <v>4407</v>
      </c>
      <c r="P1078" s="36" t="str">
        <f t="shared" si="32"/>
        <v>API_地籍屬性_指定地號查詢位置_高雄市</v>
      </c>
      <c r="Q1078" s="29" t="s">
        <v>4442</v>
      </c>
      <c r="R1078" s="29" t="str">
        <f t="shared" si="33"/>
        <v>2dms_cadatt_v1_CadasMapPosition_E</v>
      </c>
      <c r="U1078" s="27" t="str">
        <f>_xlfn.XLOOKUP(表格1[[#This Row],[服務類別(英)]],參考2_服務標準對照!$B:$B,參考2_服務標準對照!$C:$C,"")&amp;""</f>
        <v/>
      </c>
      <c r="V1078" s="29" t="s">
        <v>14</v>
      </c>
      <c r="W1078" s="29" t="s">
        <v>4408</v>
      </c>
      <c r="X1078" s="29" t="s">
        <v>81</v>
      </c>
      <c r="Y1078" s="36" t="s">
        <v>83</v>
      </c>
      <c r="Z1078" s="36" t="s">
        <v>157</v>
      </c>
      <c r="AA1078" s="36" t="s">
        <v>4383</v>
      </c>
      <c r="AB1078" s="36"/>
      <c r="AC1078" s="36"/>
      <c r="AD1078" s="29" t="s">
        <v>96</v>
      </c>
      <c r="AE1078" s="36" t="str">
        <f>_xlfn.XLOOKUP(表格1[[#This Row],[唯一識別碼]],API清冊0707!B:B,API清冊0707!T:T,"")&amp;""</f>
        <v>有下拉選單</v>
      </c>
    </row>
    <row r="1079" spans="1:31" ht="157.5" customHeight="1" x14ac:dyDescent="0.4">
      <c r="A1079" s="29" t="s">
        <v>4444</v>
      </c>
      <c r="B1079" s="29" t="s">
        <v>31</v>
      </c>
      <c r="C1079" s="29" t="s">
        <v>4402</v>
      </c>
      <c r="D1079" s="29" t="s">
        <v>4445</v>
      </c>
      <c r="E1079" s="29" t="s">
        <v>4446</v>
      </c>
      <c r="F1079" s="29" t="s">
        <v>4447</v>
      </c>
      <c r="G1079" s="35" t="s">
        <v>31</v>
      </c>
      <c r="H1079" s="35" t="s">
        <v>151</v>
      </c>
      <c r="I1079" s="29" t="s">
        <v>4448</v>
      </c>
      <c r="J1079" s="37"/>
      <c r="K1079" s="38"/>
      <c r="L1079" s="38"/>
      <c r="M1079" s="36" t="s">
        <v>60</v>
      </c>
      <c r="N1079" s="15" t="s">
        <v>152</v>
      </c>
      <c r="O1079" s="36" t="s">
        <v>4407</v>
      </c>
      <c r="P1079" s="36" t="str">
        <f t="shared" ref="P1079:P1142" si="34">IF(LEN(TRIM(F1079))&gt;0,F1079,E1079)</f>
        <v>API_地籍屬性_指定地號查詢位置_基隆市</v>
      </c>
      <c r="Q1079" s="29" t="s">
        <v>4447</v>
      </c>
      <c r="R1079" s="29" t="str">
        <f t="shared" ref="R1079:R1142" si="35">D1079</f>
        <v>2dms_cadatt_v1_CadasMapPosition_C</v>
      </c>
      <c r="U1079" s="27" t="str">
        <f>_xlfn.XLOOKUP(表格1[[#This Row],[服務類別(英)]],參考2_服務標準對照!$B:$B,參考2_服務標準對照!$C:$C,"")&amp;""</f>
        <v/>
      </c>
      <c r="V1079" s="29" t="s">
        <v>14</v>
      </c>
      <c r="W1079" s="29" t="s">
        <v>4408</v>
      </c>
      <c r="X1079" s="29" t="s">
        <v>81</v>
      </c>
      <c r="Y1079" s="36" t="s">
        <v>83</v>
      </c>
      <c r="Z1079" s="36" t="s">
        <v>157</v>
      </c>
      <c r="AA1079" s="36" t="s">
        <v>4383</v>
      </c>
      <c r="AB1079" s="36"/>
      <c r="AC1079" s="36"/>
      <c r="AD1079" s="29" t="s">
        <v>96</v>
      </c>
      <c r="AE1079" s="36" t="str">
        <f>_xlfn.XLOOKUP(表格1[[#This Row],[唯一識別碼]],API清冊0707!B:B,API清冊0707!T:T,"")&amp;""</f>
        <v>有下拉選單</v>
      </c>
    </row>
    <row r="1080" spans="1:31" ht="157.5" customHeight="1" x14ac:dyDescent="0.4">
      <c r="A1080" s="29" t="s">
        <v>4449</v>
      </c>
      <c r="B1080" s="29" t="s">
        <v>31</v>
      </c>
      <c r="C1080" s="29" t="s">
        <v>4402</v>
      </c>
      <c r="D1080" s="29" t="s">
        <v>4450</v>
      </c>
      <c r="E1080" s="29" t="s">
        <v>4451</v>
      </c>
      <c r="F1080" s="29" t="s">
        <v>4452</v>
      </c>
      <c r="G1080" s="35" t="s">
        <v>31</v>
      </c>
      <c r="H1080" s="35" t="s">
        <v>151</v>
      </c>
      <c r="I1080" s="29" t="s">
        <v>4453</v>
      </c>
      <c r="J1080" s="37"/>
      <c r="K1080" s="38"/>
      <c r="L1080" s="38"/>
      <c r="M1080" s="36" t="s">
        <v>60</v>
      </c>
      <c r="N1080" s="15" t="s">
        <v>152</v>
      </c>
      <c r="O1080" s="36" t="s">
        <v>4407</v>
      </c>
      <c r="P1080" s="36" t="str">
        <f t="shared" si="34"/>
        <v>API_地籍屬性_指定地號查詢位置_連江縣</v>
      </c>
      <c r="Q1080" s="29" t="s">
        <v>4452</v>
      </c>
      <c r="R1080" s="29" t="str">
        <f t="shared" si="35"/>
        <v>2dms_cadatt_v1_CadasMapPosition_Z</v>
      </c>
      <c r="U1080" s="27" t="str">
        <f>_xlfn.XLOOKUP(表格1[[#This Row],[服務類別(英)]],參考2_服務標準對照!$B:$B,參考2_服務標準對照!$C:$C,"")&amp;""</f>
        <v/>
      </c>
      <c r="V1080" s="29" t="s">
        <v>14</v>
      </c>
      <c r="W1080" s="29" t="s">
        <v>4408</v>
      </c>
      <c r="X1080" s="29" t="s">
        <v>81</v>
      </c>
      <c r="Y1080" s="36" t="s">
        <v>83</v>
      </c>
      <c r="Z1080" s="36" t="s">
        <v>157</v>
      </c>
      <c r="AA1080" s="36" t="s">
        <v>4383</v>
      </c>
      <c r="AB1080" s="36"/>
      <c r="AC1080" s="36"/>
      <c r="AD1080" s="29" t="s">
        <v>96</v>
      </c>
      <c r="AE1080" s="36" t="str">
        <f>_xlfn.XLOOKUP(表格1[[#This Row],[唯一識別碼]],API清冊0707!B:B,API清冊0707!T:T,"")&amp;""</f>
        <v>有下拉選單</v>
      </c>
    </row>
    <row r="1081" spans="1:31" ht="157.5" customHeight="1" x14ac:dyDescent="0.4">
      <c r="A1081" s="29" t="s">
        <v>4454</v>
      </c>
      <c r="B1081" s="29" t="s">
        <v>31</v>
      </c>
      <c r="C1081" s="29" t="s">
        <v>4402</v>
      </c>
      <c r="D1081" s="29" t="s">
        <v>4455</v>
      </c>
      <c r="E1081" s="29" t="s">
        <v>4456</v>
      </c>
      <c r="F1081" s="29" t="s">
        <v>4457</v>
      </c>
      <c r="G1081" s="35" t="s">
        <v>31</v>
      </c>
      <c r="H1081" s="35" t="s">
        <v>151</v>
      </c>
      <c r="I1081" s="29" t="s">
        <v>4458</v>
      </c>
      <c r="J1081" s="37"/>
      <c r="K1081" s="38"/>
      <c r="L1081" s="38"/>
      <c r="M1081" s="36" t="s">
        <v>60</v>
      </c>
      <c r="N1081" s="15" t="s">
        <v>152</v>
      </c>
      <c r="O1081" s="36" t="s">
        <v>4407</v>
      </c>
      <c r="P1081" s="36" t="str">
        <f t="shared" si="34"/>
        <v>API_地籍屬性_指定地號查詢位置_雲林縣</v>
      </c>
      <c r="Q1081" s="29" t="s">
        <v>4457</v>
      </c>
      <c r="R1081" s="29" t="str">
        <f t="shared" si="35"/>
        <v>2dms_cadatt_v1_CadasMapPosition_P</v>
      </c>
      <c r="U1081" s="27" t="str">
        <f>_xlfn.XLOOKUP(表格1[[#This Row],[服務類別(英)]],參考2_服務標準對照!$B:$B,參考2_服務標準對照!$C:$C,"")&amp;""</f>
        <v/>
      </c>
      <c r="V1081" s="29" t="s">
        <v>14</v>
      </c>
      <c r="W1081" s="29" t="s">
        <v>4408</v>
      </c>
      <c r="X1081" s="29" t="s">
        <v>81</v>
      </c>
      <c r="Y1081" s="36" t="s">
        <v>83</v>
      </c>
      <c r="Z1081" s="36" t="s">
        <v>157</v>
      </c>
      <c r="AA1081" s="36" t="s">
        <v>4383</v>
      </c>
      <c r="AB1081" s="36"/>
      <c r="AC1081" s="36"/>
      <c r="AD1081" s="29" t="s">
        <v>96</v>
      </c>
      <c r="AE1081" s="36" t="str">
        <f>_xlfn.XLOOKUP(表格1[[#This Row],[唯一識別碼]],API清冊0707!B:B,API清冊0707!T:T,"")&amp;""</f>
        <v>有下拉選單</v>
      </c>
    </row>
    <row r="1082" spans="1:31" ht="142.5" customHeight="1" x14ac:dyDescent="0.4">
      <c r="A1082" s="29" t="s">
        <v>4459</v>
      </c>
      <c r="B1082" s="29" t="s">
        <v>31</v>
      </c>
      <c r="C1082" s="29" t="s">
        <v>4402</v>
      </c>
      <c r="D1082" s="29" t="s">
        <v>4460</v>
      </c>
      <c r="E1082" s="29" t="s">
        <v>4461</v>
      </c>
      <c r="F1082" s="29" t="s">
        <v>4462</v>
      </c>
      <c r="G1082" s="35" t="s">
        <v>31</v>
      </c>
      <c r="H1082" s="35" t="s">
        <v>151</v>
      </c>
      <c r="I1082" s="29" t="s">
        <v>4463</v>
      </c>
      <c r="J1082" s="37"/>
      <c r="K1082" s="38"/>
      <c r="L1082" s="38"/>
      <c r="M1082" s="36" t="s">
        <v>60</v>
      </c>
      <c r="N1082" s="15" t="s">
        <v>152</v>
      </c>
      <c r="O1082" s="36" t="s">
        <v>4407</v>
      </c>
      <c r="P1082" s="36" t="str">
        <f t="shared" si="34"/>
        <v>API_地籍屬性_指定地號查詢位置_新北市</v>
      </c>
      <c r="Q1082" s="29" t="s">
        <v>4462</v>
      </c>
      <c r="R1082" s="29" t="str">
        <f t="shared" si="35"/>
        <v>2dms_cadatt_v1_CadasMapPosition_F</v>
      </c>
      <c r="U1082" s="27" t="str">
        <f>_xlfn.XLOOKUP(表格1[[#This Row],[服務類別(英)]],參考2_服務標準對照!$B:$B,參考2_服務標準對照!$C:$C,"")&amp;""</f>
        <v/>
      </c>
      <c r="V1082" s="29" t="s">
        <v>14</v>
      </c>
      <c r="W1082" s="29" t="s">
        <v>4408</v>
      </c>
      <c r="X1082" s="29" t="s">
        <v>81</v>
      </c>
      <c r="Y1082" s="36" t="s">
        <v>83</v>
      </c>
      <c r="Z1082" s="36" t="s">
        <v>157</v>
      </c>
      <c r="AA1082" s="36" t="s">
        <v>4383</v>
      </c>
      <c r="AB1082" s="36"/>
      <c r="AC1082" s="36"/>
      <c r="AD1082" s="29" t="s">
        <v>96</v>
      </c>
      <c r="AE1082" s="36" t="str">
        <f>_xlfn.XLOOKUP(表格1[[#This Row],[唯一識別碼]],API清冊0707!B:B,API清冊0707!T:T,"")&amp;""</f>
        <v>有下拉選單</v>
      </c>
    </row>
    <row r="1083" spans="1:31" ht="157.5" customHeight="1" x14ac:dyDescent="0.4">
      <c r="A1083" s="29" t="s">
        <v>4464</v>
      </c>
      <c r="B1083" s="29" t="s">
        <v>31</v>
      </c>
      <c r="C1083" s="29" t="s">
        <v>4402</v>
      </c>
      <c r="D1083" s="29" t="s">
        <v>4465</v>
      </c>
      <c r="E1083" s="29" t="s">
        <v>4466</v>
      </c>
      <c r="F1083" s="29" t="s">
        <v>4467</v>
      </c>
      <c r="G1083" s="35" t="s">
        <v>31</v>
      </c>
      <c r="H1083" s="35" t="s">
        <v>151</v>
      </c>
      <c r="I1083" s="29" t="s">
        <v>4468</v>
      </c>
      <c r="J1083" s="37"/>
      <c r="K1083" s="38"/>
      <c r="L1083" s="38"/>
      <c r="M1083" s="36" t="s">
        <v>60</v>
      </c>
      <c r="N1083" s="15" t="s">
        <v>152</v>
      </c>
      <c r="O1083" s="36" t="s">
        <v>4407</v>
      </c>
      <c r="P1083" s="36" t="str">
        <f t="shared" si="34"/>
        <v>API_地籍屬性_指定地號查詢位置_新竹市</v>
      </c>
      <c r="Q1083" s="29" t="s">
        <v>4467</v>
      </c>
      <c r="R1083" s="29" t="str">
        <f t="shared" si="35"/>
        <v>2dms_cadatt_v1_CadasMapPosition_O</v>
      </c>
      <c r="U1083" s="27" t="str">
        <f>_xlfn.XLOOKUP(表格1[[#This Row],[服務類別(英)]],參考2_服務標準對照!$B:$B,參考2_服務標準對照!$C:$C,"")&amp;""</f>
        <v/>
      </c>
      <c r="V1083" s="29" t="s">
        <v>14</v>
      </c>
      <c r="W1083" s="29" t="s">
        <v>4408</v>
      </c>
      <c r="X1083" s="29" t="s">
        <v>81</v>
      </c>
      <c r="Y1083" s="36" t="s">
        <v>83</v>
      </c>
      <c r="Z1083" s="36" t="s">
        <v>157</v>
      </c>
      <c r="AA1083" s="36" t="s">
        <v>4383</v>
      </c>
      <c r="AB1083" s="36"/>
      <c r="AC1083" s="36"/>
      <c r="AD1083" s="29" t="s">
        <v>96</v>
      </c>
      <c r="AE1083" s="36" t="str">
        <f>_xlfn.XLOOKUP(表格1[[#This Row],[唯一識別碼]],API清冊0707!B:B,API清冊0707!T:T,"")&amp;""</f>
        <v>有下拉選單</v>
      </c>
    </row>
    <row r="1084" spans="1:31" ht="142.5" customHeight="1" x14ac:dyDescent="0.4">
      <c r="A1084" s="29" t="s">
        <v>4469</v>
      </c>
      <c r="B1084" s="29" t="s">
        <v>31</v>
      </c>
      <c r="C1084" s="29" t="s">
        <v>4402</v>
      </c>
      <c r="D1084" s="29" t="s">
        <v>4470</v>
      </c>
      <c r="E1084" s="29" t="s">
        <v>4471</v>
      </c>
      <c r="F1084" s="29" t="s">
        <v>4472</v>
      </c>
      <c r="G1084" s="35" t="s">
        <v>31</v>
      </c>
      <c r="H1084" s="35" t="s">
        <v>151</v>
      </c>
      <c r="I1084" s="29" t="s">
        <v>4473</v>
      </c>
      <c r="J1084" s="37"/>
      <c r="K1084" s="38"/>
      <c r="L1084" s="38"/>
      <c r="M1084" s="36" t="s">
        <v>60</v>
      </c>
      <c r="N1084" s="15" t="s">
        <v>152</v>
      </c>
      <c r="O1084" s="36" t="s">
        <v>4407</v>
      </c>
      <c r="P1084" s="36" t="str">
        <f t="shared" si="34"/>
        <v>API_地籍屬性_指定地號查詢位置_新竹縣</v>
      </c>
      <c r="Q1084" s="29" t="s">
        <v>4472</v>
      </c>
      <c r="R1084" s="29" t="str">
        <f t="shared" si="35"/>
        <v>2dms_cadatt_v1_CadasMapPosition_J</v>
      </c>
      <c r="U1084" s="27" t="str">
        <f>_xlfn.XLOOKUP(表格1[[#This Row],[服務類別(英)]],參考2_服務標準對照!$B:$B,參考2_服務標準對照!$C:$C,"")&amp;""</f>
        <v/>
      </c>
      <c r="V1084" s="29" t="s">
        <v>14</v>
      </c>
      <c r="W1084" s="29" t="s">
        <v>4408</v>
      </c>
      <c r="X1084" s="29" t="s">
        <v>81</v>
      </c>
      <c r="Y1084" s="36" t="s">
        <v>83</v>
      </c>
      <c r="Z1084" s="36" t="s">
        <v>157</v>
      </c>
      <c r="AA1084" s="36" t="s">
        <v>4383</v>
      </c>
      <c r="AB1084" s="36"/>
      <c r="AC1084" s="36"/>
      <c r="AD1084" s="29" t="s">
        <v>96</v>
      </c>
      <c r="AE1084" s="36" t="str">
        <f>_xlfn.XLOOKUP(表格1[[#This Row],[唯一識別碼]],API清冊0707!B:B,API清冊0707!T:T,"")&amp;""</f>
        <v>有下拉選單</v>
      </c>
    </row>
    <row r="1085" spans="1:31" ht="142.5" customHeight="1" x14ac:dyDescent="0.4">
      <c r="A1085" s="29" t="s">
        <v>4474</v>
      </c>
      <c r="B1085" s="29" t="s">
        <v>31</v>
      </c>
      <c r="C1085" s="29" t="s">
        <v>4402</v>
      </c>
      <c r="D1085" s="29" t="s">
        <v>4475</v>
      </c>
      <c r="E1085" s="29" t="s">
        <v>4476</v>
      </c>
      <c r="F1085" s="29" t="s">
        <v>4477</v>
      </c>
      <c r="G1085" s="35" t="s">
        <v>31</v>
      </c>
      <c r="H1085" s="35" t="s">
        <v>151</v>
      </c>
      <c r="I1085" s="29" t="s">
        <v>4478</v>
      </c>
      <c r="J1085" s="37"/>
      <c r="K1085" s="38"/>
      <c r="L1085" s="38"/>
      <c r="M1085" s="36" t="s">
        <v>60</v>
      </c>
      <c r="N1085" s="15" t="s">
        <v>152</v>
      </c>
      <c r="O1085" s="36" t="s">
        <v>4407</v>
      </c>
      <c r="P1085" s="36" t="str">
        <f t="shared" si="34"/>
        <v>API_地籍屬性_指定地號查詢位置_嘉義市</v>
      </c>
      <c r="Q1085" s="29" t="s">
        <v>4477</v>
      </c>
      <c r="R1085" s="29" t="str">
        <f t="shared" si="35"/>
        <v>2dms_cadatt_v1_CadasMapPosition_I</v>
      </c>
      <c r="U1085" s="27" t="str">
        <f>_xlfn.XLOOKUP(表格1[[#This Row],[服務類別(英)]],參考2_服務標準對照!$B:$B,參考2_服務標準對照!$C:$C,"")&amp;""</f>
        <v/>
      </c>
      <c r="V1085" s="29" t="s">
        <v>14</v>
      </c>
      <c r="W1085" s="29" t="s">
        <v>4408</v>
      </c>
      <c r="X1085" s="29" t="s">
        <v>81</v>
      </c>
      <c r="Y1085" s="36" t="s">
        <v>83</v>
      </c>
      <c r="Z1085" s="36" t="s">
        <v>157</v>
      </c>
      <c r="AA1085" s="36" t="s">
        <v>4383</v>
      </c>
      <c r="AB1085" s="36"/>
      <c r="AC1085" s="36"/>
      <c r="AD1085" s="29" t="s">
        <v>96</v>
      </c>
      <c r="AE1085" s="36" t="str">
        <f>_xlfn.XLOOKUP(表格1[[#This Row],[唯一識別碼]],API清冊0707!B:B,API清冊0707!T:T,"")&amp;""</f>
        <v>有下拉選單</v>
      </c>
    </row>
    <row r="1086" spans="1:31" ht="157.5" customHeight="1" x14ac:dyDescent="0.4">
      <c r="A1086" s="29" t="s">
        <v>4479</v>
      </c>
      <c r="B1086" s="29" t="s">
        <v>31</v>
      </c>
      <c r="C1086" s="29" t="s">
        <v>4402</v>
      </c>
      <c r="D1086" s="29" t="s">
        <v>4480</v>
      </c>
      <c r="E1086" s="29" t="s">
        <v>4481</v>
      </c>
      <c r="F1086" s="29" t="s">
        <v>4482</v>
      </c>
      <c r="G1086" s="35" t="s">
        <v>31</v>
      </c>
      <c r="H1086" s="35" t="s">
        <v>151</v>
      </c>
      <c r="I1086" s="29" t="s">
        <v>4483</v>
      </c>
      <c r="J1086" s="37"/>
      <c r="K1086" s="38"/>
      <c r="L1086" s="38"/>
      <c r="M1086" s="36" t="s">
        <v>60</v>
      </c>
      <c r="N1086" s="15" t="s">
        <v>152</v>
      </c>
      <c r="O1086" s="36" t="s">
        <v>4407</v>
      </c>
      <c r="P1086" s="36" t="str">
        <f t="shared" si="34"/>
        <v>API_地籍屬性_指定地號查詢位置_嘉義縣</v>
      </c>
      <c r="Q1086" s="29" t="s">
        <v>4482</v>
      </c>
      <c r="R1086" s="29" t="str">
        <f t="shared" si="35"/>
        <v>2dms_cadatt_v1_CadasMapPosition_Q</v>
      </c>
      <c r="U1086" s="27" t="str">
        <f>_xlfn.XLOOKUP(表格1[[#This Row],[服務類別(英)]],參考2_服務標準對照!$B:$B,參考2_服務標準對照!$C:$C,"")&amp;""</f>
        <v/>
      </c>
      <c r="V1086" s="29" t="s">
        <v>14</v>
      </c>
      <c r="W1086" s="29" t="s">
        <v>4408</v>
      </c>
      <c r="X1086" s="29" t="s">
        <v>81</v>
      </c>
      <c r="Y1086" s="36" t="s">
        <v>83</v>
      </c>
      <c r="Z1086" s="36" t="s">
        <v>157</v>
      </c>
      <c r="AA1086" s="36" t="s">
        <v>4383</v>
      </c>
      <c r="AB1086" s="36"/>
      <c r="AC1086" s="36"/>
      <c r="AD1086" s="29" t="s">
        <v>96</v>
      </c>
      <c r="AE1086" s="36" t="str">
        <f>_xlfn.XLOOKUP(表格1[[#This Row],[唯一識別碼]],API清冊0707!B:B,API清冊0707!T:T,"")&amp;""</f>
        <v>有下拉選單</v>
      </c>
    </row>
    <row r="1087" spans="1:31" ht="157.5" customHeight="1" x14ac:dyDescent="0.4">
      <c r="A1087" s="29" t="s">
        <v>4484</v>
      </c>
      <c r="B1087" s="29" t="s">
        <v>31</v>
      </c>
      <c r="C1087" s="29" t="s">
        <v>4402</v>
      </c>
      <c r="D1087" s="29" t="s">
        <v>4485</v>
      </c>
      <c r="E1087" s="29" t="s">
        <v>4486</v>
      </c>
      <c r="F1087" s="29" t="s">
        <v>4487</v>
      </c>
      <c r="G1087" s="35" t="s">
        <v>31</v>
      </c>
      <c r="H1087" s="35" t="s">
        <v>151</v>
      </c>
      <c r="I1087" s="29" t="s">
        <v>4488</v>
      </c>
      <c r="J1087" s="37"/>
      <c r="K1087" s="38"/>
      <c r="L1087" s="38"/>
      <c r="M1087" s="36" t="s">
        <v>60</v>
      </c>
      <c r="N1087" s="15" t="s">
        <v>152</v>
      </c>
      <c r="O1087" s="36" t="s">
        <v>4407</v>
      </c>
      <c r="P1087" s="36" t="str">
        <f t="shared" si="34"/>
        <v>API_地籍屬性_指定地號查詢位置_彰化縣</v>
      </c>
      <c r="Q1087" s="29" t="s">
        <v>4487</v>
      </c>
      <c r="R1087" s="29" t="str">
        <f t="shared" si="35"/>
        <v>2dms_cadatt_v1_CadasMapPosition_N</v>
      </c>
      <c r="U1087" s="27" t="str">
        <f>_xlfn.XLOOKUP(表格1[[#This Row],[服務類別(英)]],參考2_服務標準對照!$B:$B,參考2_服務標準對照!$C:$C,"")&amp;""</f>
        <v/>
      </c>
      <c r="V1087" s="29" t="s">
        <v>14</v>
      </c>
      <c r="W1087" s="29" t="s">
        <v>4408</v>
      </c>
      <c r="X1087" s="29" t="s">
        <v>81</v>
      </c>
      <c r="Y1087" s="36" t="s">
        <v>83</v>
      </c>
      <c r="Z1087" s="36" t="s">
        <v>157</v>
      </c>
      <c r="AA1087" s="36" t="s">
        <v>4383</v>
      </c>
      <c r="AB1087" s="36"/>
      <c r="AC1087" s="36"/>
      <c r="AD1087" s="29" t="s">
        <v>96</v>
      </c>
      <c r="AE1087" s="36" t="str">
        <f>_xlfn.XLOOKUP(表格1[[#This Row],[唯一識別碼]],API清冊0707!B:B,API清冊0707!T:T,"")&amp;""</f>
        <v>有下拉選單</v>
      </c>
    </row>
    <row r="1088" spans="1:31" ht="157.5" customHeight="1" x14ac:dyDescent="0.4">
      <c r="A1088" s="29" t="s">
        <v>4489</v>
      </c>
      <c r="B1088" s="29" t="s">
        <v>31</v>
      </c>
      <c r="C1088" s="29" t="s">
        <v>4402</v>
      </c>
      <c r="D1088" s="29" t="s">
        <v>4490</v>
      </c>
      <c r="E1088" s="29" t="s">
        <v>4491</v>
      </c>
      <c r="F1088" s="29" t="s">
        <v>4492</v>
      </c>
      <c r="G1088" s="35" t="s">
        <v>31</v>
      </c>
      <c r="H1088" s="35" t="s">
        <v>151</v>
      </c>
      <c r="I1088" s="29" t="s">
        <v>4493</v>
      </c>
      <c r="J1088" s="37"/>
      <c r="K1088" s="38"/>
      <c r="L1088" s="38"/>
      <c r="M1088" s="36" t="s">
        <v>60</v>
      </c>
      <c r="N1088" s="15" t="s">
        <v>152</v>
      </c>
      <c r="O1088" s="36" t="s">
        <v>4407</v>
      </c>
      <c r="P1088" s="36" t="str">
        <f t="shared" si="34"/>
        <v>API_地籍屬性_指定地號查詢位置_臺中市</v>
      </c>
      <c r="Q1088" s="29" t="s">
        <v>4492</v>
      </c>
      <c r="R1088" s="29" t="str">
        <f t="shared" si="35"/>
        <v>2dms_cadatt_v1_CadasMapPosition_B</v>
      </c>
      <c r="U1088" s="27" t="str">
        <f>_xlfn.XLOOKUP(表格1[[#This Row],[服務類別(英)]],參考2_服務標準對照!$B:$B,參考2_服務標準對照!$C:$C,"")&amp;""</f>
        <v/>
      </c>
      <c r="V1088" s="29" t="s">
        <v>14</v>
      </c>
      <c r="W1088" s="29" t="s">
        <v>4408</v>
      </c>
      <c r="X1088" s="29" t="s">
        <v>81</v>
      </c>
      <c r="Y1088" s="36" t="s">
        <v>83</v>
      </c>
      <c r="Z1088" s="36" t="s">
        <v>157</v>
      </c>
      <c r="AA1088" s="36" t="s">
        <v>4383</v>
      </c>
      <c r="AB1088" s="36"/>
      <c r="AC1088" s="36"/>
      <c r="AD1088" s="29" t="s">
        <v>96</v>
      </c>
      <c r="AE1088" s="36" t="str">
        <f>_xlfn.XLOOKUP(表格1[[#This Row],[唯一識別碼]],API清冊0707!B:B,API清冊0707!T:T,"")&amp;""</f>
        <v>有下拉選單</v>
      </c>
    </row>
    <row r="1089" spans="1:31" ht="157.5" customHeight="1" x14ac:dyDescent="0.4">
      <c r="A1089" s="29" t="s">
        <v>4494</v>
      </c>
      <c r="B1089" s="29" t="s">
        <v>31</v>
      </c>
      <c r="C1089" s="29" t="s">
        <v>4402</v>
      </c>
      <c r="D1089" s="29" t="s">
        <v>4495</v>
      </c>
      <c r="E1089" s="29" t="s">
        <v>4496</v>
      </c>
      <c r="F1089" s="29" t="s">
        <v>4497</v>
      </c>
      <c r="G1089" s="35" t="s">
        <v>31</v>
      </c>
      <c r="H1089" s="35" t="s">
        <v>151</v>
      </c>
      <c r="I1089" s="29" t="s">
        <v>4498</v>
      </c>
      <c r="J1089" s="37"/>
      <c r="K1089" s="38"/>
      <c r="L1089" s="38"/>
      <c r="M1089" s="36" t="s">
        <v>60</v>
      </c>
      <c r="N1089" s="15" t="s">
        <v>152</v>
      </c>
      <c r="O1089" s="36" t="s">
        <v>4407</v>
      </c>
      <c r="P1089" s="36" t="str">
        <f t="shared" si="34"/>
        <v>API_地籍屬性_指定地號查詢位置_臺北市</v>
      </c>
      <c r="Q1089" s="29" t="s">
        <v>4497</v>
      </c>
      <c r="R1089" s="29" t="str">
        <f t="shared" si="35"/>
        <v>2dms_cadatt_v1_CadasMapPosition_A</v>
      </c>
      <c r="U1089" s="27" t="str">
        <f>_xlfn.XLOOKUP(表格1[[#This Row],[服務類別(英)]],參考2_服務標準對照!$B:$B,參考2_服務標準對照!$C:$C,"")&amp;""</f>
        <v/>
      </c>
      <c r="V1089" s="29" t="s">
        <v>14</v>
      </c>
      <c r="W1089" s="29" t="s">
        <v>4408</v>
      </c>
      <c r="X1089" s="29" t="s">
        <v>81</v>
      </c>
      <c r="Y1089" s="36" t="s">
        <v>83</v>
      </c>
      <c r="Z1089" s="36" t="s">
        <v>157</v>
      </c>
      <c r="AA1089" s="36" t="s">
        <v>4383</v>
      </c>
      <c r="AB1089" s="36"/>
      <c r="AC1089" s="36"/>
      <c r="AD1089" s="29" t="s">
        <v>96</v>
      </c>
      <c r="AE1089" s="36" t="str">
        <f>_xlfn.XLOOKUP(表格1[[#This Row],[唯一識別碼]],API清冊0707!B:B,API清冊0707!T:T,"")&amp;""</f>
        <v>有下拉選單</v>
      </c>
    </row>
    <row r="1090" spans="1:31" ht="157.5" customHeight="1" x14ac:dyDescent="0.4">
      <c r="A1090" s="29" t="s">
        <v>4499</v>
      </c>
      <c r="B1090" s="29" t="s">
        <v>31</v>
      </c>
      <c r="C1090" s="29" t="s">
        <v>4402</v>
      </c>
      <c r="D1090" s="29" t="s">
        <v>4500</v>
      </c>
      <c r="E1090" s="29" t="s">
        <v>4501</v>
      </c>
      <c r="F1090" s="29" t="s">
        <v>4502</v>
      </c>
      <c r="G1090" s="35" t="s">
        <v>31</v>
      </c>
      <c r="H1090" s="35" t="s">
        <v>151</v>
      </c>
      <c r="I1090" s="29" t="s">
        <v>4503</v>
      </c>
      <c r="J1090" s="37"/>
      <c r="K1090" s="38"/>
      <c r="L1090" s="38"/>
      <c r="M1090" s="36" t="s">
        <v>60</v>
      </c>
      <c r="N1090" s="15" t="s">
        <v>152</v>
      </c>
      <c r="O1090" s="36" t="s">
        <v>4407</v>
      </c>
      <c r="P1090" s="36" t="str">
        <f t="shared" si="34"/>
        <v>API_地籍屬性_指定地號查詢位置_臺東縣</v>
      </c>
      <c r="Q1090" s="29" t="s">
        <v>4502</v>
      </c>
      <c r="R1090" s="29" t="str">
        <f t="shared" si="35"/>
        <v>2dms_cadatt_v1_CadasMapPosition_V</v>
      </c>
      <c r="U1090" s="27" t="str">
        <f>_xlfn.XLOOKUP(表格1[[#This Row],[服務類別(英)]],參考2_服務標準對照!$B:$B,參考2_服務標準對照!$C:$C,"")&amp;""</f>
        <v/>
      </c>
      <c r="V1090" s="29" t="s">
        <v>14</v>
      </c>
      <c r="W1090" s="29" t="s">
        <v>4408</v>
      </c>
      <c r="X1090" s="29" t="s">
        <v>81</v>
      </c>
      <c r="Y1090" s="36" t="s">
        <v>83</v>
      </c>
      <c r="Z1090" s="36" t="s">
        <v>157</v>
      </c>
      <c r="AA1090" s="36" t="s">
        <v>4383</v>
      </c>
      <c r="AB1090" s="36"/>
      <c r="AC1090" s="36"/>
      <c r="AD1090" s="29" t="s">
        <v>96</v>
      </c>
      <c r="AE1090" s="36" t="str">
        <f>_xlfn.XLOOKUP(表格1[[#This Row],[唯一識別碼]],API清冊0707!B:B,API清冊0707!T:T,"")&amp;""</f>
        <v>有下拉選單</v>
      </c>
    </row>
    <row r="1091" spans="1:31" ht="157.5" customHeight="1" x14ac:dyDescent="0.4">
      <c r="A1091" s="29" t="s">
        <v>4504</v>
      </c>
      <c r="B1091" s="29" t="s">
        <v>31</v>
      </c>
      <c r="C1091" s="29" t="s">
        <v>4402</v>
      </c>
      <c r="D1091" s="29" t="s">
        <v>4505</v>
      </c>
      <c r="E1091" s="29" t="s">
        <v>4506</v>
      </c>
      <c r="F1091" s="29" t="s">
        <v>4507</v>
      </c>
      <c r="G1091" s="35" t="s">
        <v>31</v>
      </c>
      <c r="H1091" s="35" t="s">
        <v>151</v>
      </c>
      <c r="I1091" s="29" t="s">
        <v>4508</v>
      </c>
      <c r="J1091" s="37"/>
      <c r="K1091" s="38"/>
      <c r="L1091" s="38"/>
      <c r="M1091" s="36" t="s">
        <v>60</v>
      </c>
      <c r="N1091" s="15" t="s">
        <v>152</v>
      </c>
      <c r="O1091" s="36" t="s">
        <v>4407</v>
      </c>
      <c r="P1091" s="36" t="str">
        <f t="shared" si="34"/>
        <v>API_地籍屬性_指定地號查詢位置_臺南市</v>
      </c>
      <c r="Q1091" s="29" t="s">
        <v>4507</v>
      </c>
      <c r="R1091" s="29" t="str">
        <f t="shared" si="35"/>
        <v>2dms_cadatt_v1_CadasMapPosition_D</v>
      </c>
      <c r="U1091" s="27" t="str">
        <f>_xlfn.XLOOKUP(表格1[[#This Row],[服務類別(英)]],參考2_服務標準對照!$B:$B,參考2_服務標準對照!$C:$C,"")&amp;""</f>
        <v/>
      </c>
      <c r="V1091" s="29" t="s">
        <v>14</v>
      </c>
      <c r="W1091" s="29" t="s">
        <v>4408</v>
      </c>
      <c r="X1091" s="29" t="s">
        <v>81</v>
      </c>
      <c r="Y1091" s="36" t="s">
        <v>83</v>
      </c>
      <c r="Z1091" s="36" t="s">
        <v>157</v>
      </c>
      <c r="AA1091" s="36" t="s">
        <v>4383</v>
      </c>
      <c r="AB1091" s="36"/>
      <c r="AC1091" s="36"/>
      <c r="AD1091" s="29" t="s">
        <v>96</v>
      </c>
      <c r="AE1091" s="36" t="str">
        <f>_xlfn.XLOOKUP(表格1[[#This Row],[唯一識別碼]],API清冊0707!B:B,API清冊0707!T:T,"")&amp;""</f>
        <v>有下拉選單</v>
      </c>
    </row>
    <row r="1092" spans="1:31" ht="157.5" customHeight="1" x14ac:dyDescent="0.4">
      <c r="A1092" s="29" t="s">
        <v>4509</v>
      </c>
      <c r="B1092" s="29" t="s">
        <v>31</v>
      </c>
      <c r="C1092" s="29" t="s">
        <v>4402</v>
      </c>
      <c r="D1092" s="29" t="s">
        <v>4510</v>
      </c>
      <c r="E1092" s="29" t="s">
        <v>4511</v>
      </c>
      <c r="F1092" s="29" t="s">
        <v>4512</v>
      </c>
      <c r="G1092" s="35" t="s">
        <v>31</v>
      </c>
      <c r="H1092" s="35" t="s">
        <v>151</v>
      </c>
      <c r="I1092" s="29" t="s">
        <v>4513</v>
      </c>
      <c r="J1092" s="37"/>
      <c r="K1092" s="38"/>
      <c r="L1092" s="38"/>
      <c r="M1092" s="36" t="s">
        <v>60</v>
      </c>
      <c r="N1092" s="15" t="s">
        <v>152</v>
      </c>
      <c r="O1092" s="36" t="s">
        <v>4407</v>
      </c>
      <c r="P1092" s="36" t="str">
        <f t="shared" si="34"/>
        <v>API_地籍屬性_指定地號查詢位置_澎湖縣</v>
      </c>
      <c r="Q1092" s="29" t="s">
        <v>4512</v>
      </c>
      <c r="R1092" s="29" t="str">
        <f t="shared" si="35"/>
        <v>2dms_cadatt_v1_CadasMapPosition_X</v>
      </c>
      <c r="U1092" s="27" t="str">
        <f>_xlfn.XLOOKUP(表格1[[#This Row],[服務類別(英)]],參考2_服務標準對照!$B:$B,參考2_服務標準對照!$C:$C,"")&amp;""</f>
        <v/>
      </c>
      <c r="V1092" s="29" t="s">
        <v>14</v>
      </c>
      <c r="W1092" s="29" t="s">
        <v>4408</v>
      </c>
      <c r="X1092" s="29" t="s">
        <v>81</v>
      </c>
      <c r="Y1092" s="36" t="s">
        <v>83</v>
      </c>
      <c r="Z1092" s="36" t="s">
        <v>157</v>
      </c>
      <c r="AA1092" s="36" t="s">
        <v>4383</v>
      </c>
      <c r="AB1092" s="36"/>
      <c r="AC1092" s="36"/>
      <c r="AD1092" s="29" t="s">
        <v>96</v>
      </c>
      <c r="AE1092" s="36" t="str">
        <f>_xlfn.XLOOKUP(表格1[[#This Row],[唯一識別碼]],API清冊0707!B:B,API清冊0707!T:T,"")&amp;""</f>
        <v>有下拉選單</v>
      </c>
    </row>
    <row r="1093" spans="1:31" ht="126.75" customHeight="1" x14ac:dyDescent="0.4">
      <c r="A1093" s="29" t="s">
        <v>4514</v>
      </c>
      <c r="B1093" s="29" t="s">
        <v>31</v>
      </c>
      <c r="C1093" s="29" t="s">
        <v>4515</v>
      </c>
      <c r="D1093" s="29" t="s">
        <v>4516</v>
      </c>
      <c r="E1093" s="29" t="s">
        <v>4517</v>
      </c>
      <c r="F1093" s="29" t="s">
        <v>4518</v>
      </c>
      <c r="G1093" s="35" t="s">
        <v>31</v>
      </c>
      <c r="H1093" s="35" t="s">
        <v>151</v>
      </c>
      <c r="I1093" s="36" t="s">
        <v>4519</v>
      </c>
      <c r="J1093" s="37"/>
      <c r="K1093" s="38"/>
      <c r="L1093" s="38"/>
      <c r="M1093" s="36" t="s">
        <v>60</v>
      </c>
      <c r="N1093" s="15" t="s">
        <v>152</v>
      </c>
      <c r="O1093" s="36" t="s">
        <v>4407</v>
      </c>
      <c r="P1093" s="36" t="str">
        <f t="shared" si="34"/>
        <v>API_地籍屬性_指定地號查詢著色圖_宜蘭縣</v>
      </c>
      <c r="Q1093" s="36" t="s">
        <v>4518</v>
      </c>
      <c r="R1093" s="29" t="str">
        <f t="shared" si="35"/>
        <v>2dms_cadatt_v1_CadasMapImage_G</v>
      </c>
      <c r="U1093" s="27" t="str">
        <f>_xlfn.XLOOKUP(表格1[[#This Row],[服務類別(英)]],參考2_服務標準對照!$B:$B,參考2_服務標準對照!$C:$C,"")&amp;""</f>
        <v/>
      </c>
      <c r="V1093" s="29" t="s">
        <v>14</v>
      </c>
      <c r="W1093" s="29" t="s">
        <v>4408</v>
      </c>
      <c r="X1093" s="29" t="s">
        <v>81</v>
      </c>
      <c r="Y1093" s="36" t="s">
        <v>83</v>
      </c>
      <c r="Z1093" s="36" t="s">
        <v>157</v>
      </c>
      <c r="AA1093" s="36" t="s">
        <v>4520</v>
      </c>
      <c r="AB1093" s="36"/>
      <c r="AC1093" s="36"/>
      <c r="AD1093" s="29" t="s">
        <v>96</v>
      </c>
      <c r="AE1093" s="36" t="str">
        <f>_xlfn.XLOOKUP(表格1[[#This Row],[唯一識別碼]],API清冊0707!B:B,API清冊0707!T:T,"")&amp;""</f>
        <v>有下拉選單</v>
      </c>
    </row>
    <row r="1094" spans="1:31" ht="126.75" customHeight="1" x14ac:dyDescent="0.4">
      <c r="A1094" s="29" t="s">
        <v>4521</v>
      </c>
      <c r="B1094" s="29" t="s">
        <v>31</v>
      </c>
      <c r="C1094" s="29" t="s">
        <v>4515</v>
      </c>
      <c r="D1094" s="29" t="s">
        <v>4522</v>
      </c>
      <c r="E1094" s="29" t="s">
        <v>4523</v>
      </c>
      <c r="F1094" s="29" t="s">
        <v>4524</v>
      </c>
      <c r="G1094" s="35" t="s">
        <v>31</v>
      </c>
      <c r="H1094" s="35" t="s">
        <v>151</v>
      </c>
      <c r="I1094" s="36" t="s">
        <v>4525</v>
      </c>
      <c r="J1094" s="37"/>
      <c r="K1094" s="38"/>
      <c r="L1094" s="38"/>
      <c r="M1094" s="36" t="s">
        <v>60</v>
      </c>
      <c r="N1094" s="15" t="s">
        <v>152</v>
      </c>
      <c r="O1094" s="36" t="s">
        <v>4407</v>
      </c>
      <c r="P1094" s="36" t="str">
        <f t="shared" si="34"/>
        <v>API_地籍屬性_指定地號查詢著色圖_花蓮縣</v>
      </c>
      <c r="Q1094" s="36" t="s">
        <v>4524</v>
      </c>
      <c r="R1094" s="29" t="str">
        <f t="shared" si="35"/>
        <v>2dms_cadatt_v1_CadasMapImage_U</v>
      </c>
      <c r="U1094" s="27" t="str">
        <f>_xlfn.XLOOKUP(表格1[[#This Row],[服務類別(英)]],參考2_服務標準對照!$B:$B,參考2_服務標準對照!$C:$C,"")&amp;""</f>
        <v/>
      </c>
      <c r="V1094" s="29" t="s">
        <v>14</v>
      </c>
      <c r="W1094" s="29" t="s">
        <v>4408</v>
      </c>
      <c r="X1094" s="29" t="s">
        <v>81</v>
      </c>
      <c r="Y1094" s="36" t="s">
        <v>83</v>
      </c>
      <c r="Z1094" s="36" t="s">
        <v>157</v>
      </c>
      <c r="AA1094" s="36" t="s">
        <v>4520</v>
      </c>
      <c r="AB1094" s="36"/>
      <c r="AC1094" s="36"/>
      <c r="AD1094" s="29" t="s">
        <v>96</v>
      </c>
      <c r="AE1094" s="36" t="str">
        <f>_xlfn.XLOOKUP(表格1[[#This Row],[唯一識別碼]],API清冊0707!B:B,API清冊0707!T:T,"")&amp;""</f>
        <v>有下拉選單</v>
      </c>
    </row>
    <row r="1095" spans="1:31" ht="142.5" customHeight="1" x14ac:dyDescent="0.4">
      <c r="A1095" s="29" t="s">
        <v>4526</v>
      </c>
      <c r="B1095" s="29" t="s">
        <v>31</v>
      </c>
      <c r="C1095" s="29" t="s">
        <v>4515</v>
      </c>
      <c r="D1095" s="29" t="s">
        <v>4527</v>
      </c>
      <c r="E1095" s="29" t="s">
        <v>4528</v>
      </c>
      <c r="F1095" s="29" t="s">
        <v>4529</v>
      </c>
      <c r="G1095" s="35" t="s">
        <v>31</v>
      </c>
      <c r="H1095" s="35" t="s">
        <v>151</v>
      </c>
      <c r="I1095" s="36" t="s">
        <v>4530</v>
      </c>
      <c r="J1095" s="37"/>
      <c r="K1095" s="38"/>
      <c r="L1095" s="38"/>
      <c r="M1095" s="36" t="s">
        <v>60</v>
      </c>
      <c r="N1095" s="15" t="s">
        <v>152</v>
      </c>
      <c r="O1095" s="36" t="s">
        <v>4407</v>
      </c>
      <c r="P1095" s="36" t="str">
        <f t="shared" si="34"/>
        <v>API_地籍屬性_指定地號查詢著色圖_金門縣</v>
      </c>
      <c r="Q1095" s="36" t="s">
        <v>4529</v>
      </c>
      <c r="R1095" s="29" t="str">
        <f t="shared" si="35"/>
        <v>2dms_cadatt_v1_CadasMapImage_W</v>
      </c>
      <c r="U1095" s="27" t="str">
        <f>_xlfn.XLOOKUP(表格1[[#This Row],[服務類別(英)]],參考2_服務標準對照!$B:$B,參考2_服務標準對照!$C:$C,"")&amp;""</f>
        <v/>
      </c>
      <c r="V1095" s="29" t="s">
        <v>14</v>
      </c>
      <c r="W1095" s="29" t="s">
        <v>4408</v>
      </c>
      <c r="X1095" s="29" t="s">
        <v>81</v>
      </c>
      <c r="Y1095" s="36" t="s">
        <v>83</v>
      </c>
      <c r="Z1095" s="36" t="s">
        <v>157</v>
      </c>
      <c r="AA1095" s="36" t="s">
        <v>4520</v>
      </c>
      <c r="AB1095" s="36"/>
      <c r="AC1095" s="36"/>
      <c r="AD1095" s="29" t="s">
        <v>96</v>
      </c>
      <c r="AE1095" s="36" t="str">
        <f>_xlfn.XLOOKUP(表格1[[#This Row],[唯一識別碼]],API清冊0707!B:B,API清冊0707!T:T,"")&amp;""</f>
        <v>有下拉選單</v>
      </c>
    </row>
    <row r="1096" spans="1:31" ht="142.5" customHeight="1" x14ac:dyDescent="0.4">
      <c r="A1096" s="29" t="s">
        <v>4531</v>
      </c>
      <c r="B1096" s="29" t="s">
        <v>31</v>
      </c>
      <c r="C1096" s="29" t="s">
        <v>4515</v>
      </c>
      <c r="D1096" s="29" t="s">
        <v>4532</v>
      </c>
      <c r="E1096" s="29" t="s">
        <v>4533</v>
      </c>
      <c r="F1096" s="29" t="s">
        <v>4534</v>
      </c>
      <c r="G1096" s="35" t="s">
        <v>31</v>
      </c>
      <c r="H1096" s="35" t="s">
        <v>151</v>
      </c>
      <c r="I1096" s="36" t="s">
        <v>4535</v>
      </c>
      <c r="J1096" s="37"/>
      <c r="K1096" s="38"/>
      <c r="L1096" s="38"/>
      <c r="M1096" s="36" t="s">
        <v>60</v>
      </c>
      <c r="N1096" s="15" t="s">
        <v>152</v>
      </c>
      <c r="O1096" s="36" t="s">
        <v>4407</v>
      </c>
      <c r="P1096" s="36" t="str">
        <f t="shared" si="34"/>
        <v>API_地籍屬性_指定地號查詢著色圖_南投縣</v>
      </c>
      <c r="Q1096" s="36" t="s">
        <v>4534</v>
      </c>
      <c r="R1096" s="29" t="str">
        <f t="shared" si="35"/>
        <v>2dms_cadatt_v1_CadasMapImage_M</v>
      </c>
      <c r="U1096" s="27" t="str">
        <f>_xlfn.XLOOKUP(表格1[[#This Row],[服務類別(英)]],參考2_服務標準對照!$B:$B,參考2_服務標準對照!$C:$C,"")&amp;""</f>
        <v/>
      </c>
      <c r="V1096" s="29" t="s">
        <v>14</v>
      </c>
      <c r="W1096" s="29" t="s">
        <v>4408</v>
      </c>
      <c r="X1096" s="29" t="s">
        <v>81</v>
      </c>
      <c r="Y1096" s="36" t="s">
        <v>83</v>
      </c>
      <c r="Z1096" s="36" t="s">
        <v>157</v>
      </c>
      <c r="AA1096" s="36" t="s">
        <v>4520</v>
      </c>
      <c r="AB1096" s="36"/>
      <c r="AC1096" s="36"/>
      <c r="AD1096" s="29" t="s">
        <v>96</v>
      </c>
      <c r="AE1096" s="36" t="str">
        <f>_xlfn.XLOOKUP(表格1[[#This Row],[唯一識別碼]],API清冊0707!B:B,API清冊0707!T:T,"")&amp;""</f>
        <v>有下拉選單</v>
      </c>
    </row>
    <row r="1097" spans="1:31" ht="126.75" customHeight="1" x14ac:dyDescent="0.4">
      <c r="A1097" s="29" t="s">
        <v>4536</v>
      </c>
      <c r="B1097" s="29" t="s">
        <v>31</v>
      </c>
      <c r="C1097" s="29" t="s">
        <v>4515</v>
      </c>
      <c r="D1097" s="29" t="s">
        <v>4537</v>
      </c>
      <c r="E1097" s="29" t="s">
        <v>4538</v>
      </c>
      <c r="F1097" s="29" t="s">
        <v>4539</v>
      </c>
      <c r="G1097" s="35" t="s">
        <v>31</v>
      </c>
      <c r="H1097" s="35" t="s">
        <v>151</v>
      </c>
      <c r="I1097" s="36" t="s">
        <v>4540</v>
      </c>
      <c r="J1097" s="37"/>
      <c r="K1097" s="38"/>
      <c r="L1097" s="38"/>
      <c r="M1097" s="36" t="s">
        <v>60</v>
      </c>
      <c r="N1097" s="15" t="s">
        <v>152</v>
      </c>
      <c r="O1097" s="36" t="s">
        <v>4407</v>
      </c>
      <c r="P1097" s="36" t="str">
        <f t="shared" si="34"/>
        <v>API_地籍屬性_指定地號查詢著色圖_屏東縣</v>
      </c>
      <c r="Q1097" s="36" t="s">
        <v>4539</v>
      </c>
      <c r="R1097" s="29" t="str">
        <f t="shared" si="35"/>
        <v>2dms_cadatt_v1_CadasMapImage_T</v>
      </c>
      <c r="U1097" s="27" t="str">
        <f>_xlfn.XLOOKUP(表格1[[#This Row],[服務類別(英)]],參考2_服務標準對照!$B:$B,參考2_服務標準對照!$C:$C,"")&amp;""</f>
        <v/>
      </c>
      <c r="V1097" s="29" t="s">
        <v>14</v>
      </c>
      <c r="W1097" s="29" t="s">
        <v>4408</v>
      </c>
      <c r="X1097" s="29" t="s">
        <v>81</v>
      </c>
      <c r="Y1097" s="36" t="s">
        <v>83</v>
      </c>
      <c r="Z1097" s="36" t="s">
        <v>157</v>
      </c>
      <c r="AA1097" s="36" t="s">
        <v>4520</v>
      </c>
      <c r="AB1097" s="36"/>
      <c r="AC1097" s="36"/>
      <c r="AD1097" s="29" t="s">
        <v>96</v>
      </c>
      <c r="AE1097" s="36" t="str">
        <f>_xlfn.XLOOKUP(表格1[[#This Row],[唯一識別碼]],API清冊0707!B:B,API清冊0707!T:T,"")&amp;""</f>
        <v>有下拉選單</v>
      </c>
    </row>
    <row r="1098" spans="1:31" ht="126.75" customHeight="1" x14ac:dyDescent="0.4">
      <c r="A1098" s="29" t="s">
        <v>4541</v>
      </c>
      <c r="B1098" s="29" t="s">
        <v>31</v>
      </c>
      <c r="C1098" s="29" t="s">
        <v>4515</v>
      </c>
      <c r="D1098" s="29" t="s">
        <v>4542</v>
      </c>
      <c r="E1098" s="29" t="s">
        <v>4543</v>
      </c>
      <c r="F1098" s="29" t="s">
        <v>4544</v>
      </c>
      <c r="G1098" s="35" t="s">
        <v>31</v>
      </c>
      <c r="H1098" s="35" t="s">
        <v>151</v>
      </c>
      <c r="I1098" s="36" t="s">
        <v>4545</v>
      </c>
      <c r="J1098" s="37"/>
      <c r="K1098" s="38"/>
      <c r="L1098" s="38"/>
      <c r="M1098" s="36" t="s">
        <v>60</v>
      </c>
      <c r="N1098" s="15" t="s">
        <v>152</v>
      </c>
      <c r="O1098" s="36" t="s">
        <v>4407</v>
      </c>
      <c r="P1098" s="36" t="str">
        <f t="shared" si="34"/>
        <v>API_地籍屬性_指定地號查詢著色圖_苗栗縣</v>
      </c>
      <c r="Q1098" s="36" t="s">
        <v>4544</v>
      </c>
      <c r="R1098" s="29" t="str">
        <f t="shared" si="35"/>
        <v>2dms_cadatt_v1_CadasMapImage_K</v>
      </c>
      <c r="U1098" s="27" t="str">
        <f>_xlfn.XLOOKUP(表格1[[#This Row],[服務類別(英)]],參考2_服務標準對照!$B:$B,參考2_服務標準對照!$C:$C,"")&amp;""</f>
        <v/>
      </c>
      <c r="V1098" s="29" t="s">
        <v>14</v>
      </c>
      <c r="W1098" s="29" t="s">
        <v>4408</v>
      </c>
      <c r="X1098" s="29" t="s">
        <v>81</v>
      </c>
      <c r="Y1098" s="36" t="s">
        <v>83</v>
      </c>
      <c r="Z1098" s="36" t="s">
        <v>157</v>
      </c>
      <c r="AA1098" s="36" t="s">
        <v>4520</v>
      </c>
      <c r="AB1098" s="36"/>
      <c r="AC1098" s="36"/>
      <c r="AD1098" s="29" t="s">
        <v>96</v>
      </c>
      <c r="AE1098" s="36" t="str">
        <f>_xlfn.XLOOKUP(表格1[[#This Row],[唯一識別碼]],API清冊0707!B:B,API清冊0707!T:T,"")&amp;""</f>
        <v>有下拉選單</v>
      </c>
    </row>
    <row r="1099" spans="1:31" ht="126.75" customHeight="1" x14ac:dyDescent="0.4">
      <c r="A1099" s="29" t="s">
        <v>4546</v>
      </c>
      <c r="B1099" s="29" t="s">
        <v>31</v>
      </c>
      <c r="C1099" s="29" t="s">
        <v>4515</v>
      </c>
      <c r="D1099" s="29" t="s">
        <v>4547</v>
      </c>
      <c r="E1099" s="29" t="s">
        <v>4548</v>
      </c>
      <c r="F1099" s="29" t="s">
        <v>4549</v>
      </c>
      <c r="G1099" s="35" t="s">
        <v>31</v>
      </c>
      <c r="H1099" s="35" t="s">
        <v>151</v>
      </c>
      <c r="I1099" s="36" t="s">
        <v>4550</v>
      </c>
      <c r="J1099" s="37"/>
      <c r="K1099" s="38"/>
      <c r="L1099" s="38"/>
      <c r="M1099" s="36" t="s">
        <v>60</v>
      </c>
      <c r="N1099" s="15" t="s">
        <v>152</v>
      </c>
      <c r="O1099" s="36" t="s">
        <v>4407</v>
      </c>
      <c r="P1099" s="36" t="str">
        <f t="shared" si="34"/>
        <v>API_地籍屬性_指定地號查詢著色圖_桃園市</v>
      </c>
      <c r="Q1099" s="36" t="s">
        <v>4549</v>
      </c>
      <c r="R1099" s="29" t="str">
        <f t="shared" si="35"/>
        <v>2dms_cadatt_v1_CadasMapImage_H</v>
      </c>
      <c r="U1099" s="27" t="str">
        <f>_xlfn.XLOOKUP(表格1[[#This Row],[服務類別(英)]],參考2_服務標準對照!$B:$B,參考2_服務標準對照!$C:$C,"")&amp;""</f>
        <v/>
      </c>
      <c r="V1099" s="29" t="s">
        <v>14</v>
      </c>
      <c r="W1099" s="29" t="s">
        <v>4408</v>
      </c>
      <c r="X1099" s="29" t="s">
        <v>81</v>
      </c>
      <c r="Y1099" s="36" t="s">
        <v>83</v>
      </c>
      <c r="Z1099" s="36" t="s">
        <v>157</v>
      </c>
      <c r="AA1099" s="36" t="s">
        <v>4520</v>
      </c>
      <c r="AB1099" s="36"/>
      <c r="AC1099" s="36"/>
      <c r="AD1099" s="29" t="s">
        <v>96</v>
      </c>
      <c r="AE1099" s="36" t="str">
        <f>_xlfn.XLOOKUP(表格1[[#This Row],[唯一識別碼]],API清冊0707!B:B,API清冊0707!T:T,"")&amp;""</f>
        <v>有下拉選單</v>
      </c>
    </row>
    <row r="1100" spans="1:31" ht="126.75" customHeight="1" x14ac:dyDescent="0.4">
      <c r="A1100" s="29" t="s">
        <v>4551</v>
      </c>
      <c r="B1100" s="29" t="s">
        <v>31</v>
      </c>
      <c r="C1100" s="29" t="s">
        <v>4515</v>
      </c>
      <c r="D1100" s="29" t="s">
        <v>4552</v>
      </c>
      <c r="E1100" s="29" t="s">
        <v>4553</v>
      </c>
      <c r="F1100" s="29" t="s">
        <v>4554</v>
      </c>
      <c r="G1100" s="35" t="s">
        <v>31</v>
      </c>
      <c r="H1100" s="35" t="s">
        <v>151</v>
      </c>
      <c r="I1100" s="36" t="s">
        <v>4555</v>
      </c>
      <c r="J1100" s="37"/>
      <c r="K1100" s="38"/>
      <c r="L1100" s="38"/>
      <c r="M1100" s="36" t="s">
        <v>60</v>
      </c>
      <c r="N1100" s="15" t="s">
        <v>152</v>
      </c>
      <c r="O1100" s="36" t="s">
        <v>4407</v>
      </c>
      <c r="P1100" s="36" t="str">
        <f t="shared" si="34"/>
        <v>API_地籍屬性_指定地號查詢著色圖_高雄市</v>
      </c>
      <c r="Q1100" s="36" t="s">
        <v>4554</v>
      </c>
      <c r="R1100" s="29" t="str">
        <f t="shared" si="35"/>
        <v>2dms_cadatt_v1_CadasMapImage_E</v>
      </c>
      <c r="U1100" s="27" t="str">
        <f>_xlfn.XLOOKUP(表格1[[#This Row],[服務類別(英)]],參考2_服務標準對照!$B:$B,參考2_服務標準對照!$C:$C,"")&amp;""</f>
        <v/>
      </c>
      <c r="V1100" s="29" t="s">
        <v>14</v>
      </c>
      <c r="W1100" s="29" t="s">
        <v>4408</v>
      </c>
      <c r="X1100" s="29" t="s">
        <v>81</v>
      </c>
      <c r="Y1100" s="36" t="s">
        <v>83</v>
      </c>
      <c r="Z1100" s="36" t="s">
        <v>157</v>
      </c>
      <c r="AA1100" s="36" t="s">
        <v>4520</v>
      </c>
      <c r="AB1100" s="36"/>
      <c r="AC1100" s="36"/>
      <c r="AD1100" s="29" t="s">
        <v>96</v>
      </c>
      <c r="AE1100" s="36" t="str">
        <f>_xlfn.XLOOKUP(表格1[[#This Row],[唯一識別碼]],API清冊0707!B:B,API清冊0707!T:T,"")&amp;""</f>
        <v>有下拉選單</v>
      </c>
    </row>
    <row r="1101" spans="1:31" ht="126.75" customHeight="1" x14ac:dyDescent="0.4">
      <c r="A1101" s="29" t="s">
        <v>4556</v>
      </c>
      <c r="B1101" s="29" t="s">
        <v>31</v>
      </c>
      <c r="C1101" s="29" t="s">
        <v>4515</v>
      </c>
      <c r="D1101" s="29" t="s">
        <v>4557</v>
      </c>
      <c r="E1101" s="29" t="s">
        <v>4558</v>
      </c>
      <c r="F1101" s="29" t="s">
        <v>4559</v>
      </c>
      <c r="G1101" s="35" t="s">
        <v>31</v>
      </c>
      <c r="H1101" s="35" t="s">
        <v>151</v>
      </c>
      <c r="I1101" s="36" t="s">
        <v>4560</v>
      </c>
      <c r="J1101" s="37"/>
      <c r="K1101" s="38"/>
      <c r="L1101" s="38"/>
      <c r="M1101" s="36" t="s">
        <v>60</v>
      </c>
      <c r="N1101" s="15" t="s">
        <v>152</v>
      </c>
      <c r="O1101" s="36" t="s">
        <v>4407</v>
      </c>
      <c r="P1101" s="36" t="str">
        <f t="shared" si="34"/>
        <v>API_地籍屬性_指定地號查詢著色圖_基隆市</v>
      </c>
      <c r="Q1101" s="36" t="s">
        <v>4559</v>
      </c>
      <c r="R1101" s="29" t="str">
        <f t="shared" si="35"/>
        <v>2dms_cadatt_v1_CadasMapImage_C</v>
      </c>
      <c r="U1101" s="27" t="str">
        <f>_xlfn.XLOOKUP(表格1[[#This Row],[服務類別(英)]],參考2_服務標準對照!$B:$B,參考2_服務標準對照!$C:$C,"")&amp;""</f>
        <v/>
      </c>
      <c r="V1101" s="29" t="s">
        <v>14</v>
      </c>
      <c r="W1101" s="29" t="s">
        <v>4408</v>
      </c>
      <c r="X1101" s="29" t="s">
        <v>81</v>
      </c>
      <c r="Y1101" s="36" t="s">
        <v>83</v>
      </c>
      <c r="Z1101" s="36" t="s">
        <v>157</v>
      </c>
      <c r="AA1101" s="36" t="s">
        <v>4520</v>
      </c>
      <c r="AB1101" s="36"/>
      <c r="AC1101" s="36"/>
      <c r="AD1101" s="29" t="s">
        <v>96</v>
      </c>
      <c r="AE1101" s="36" t="str">
        <f>_xlfn.XLOOKUP(表格1[[#This Row],[唯一識別碼]],API清冊0707!B:B,API清冊0707!T:T,"")&amp;""</f>
        <v>有下拉選單</v>
      </c>
    </row>
    <row r="1102" spans="1:31" ht="126.75" customHeight="1" x14ac:dyDescent="0.4">
      <c r="A1102" s="29" t="s">
        <v>4561</v>
      </c>
      <c r="B1102" s="29" t="s">
        <v>31</v>
      </c>
      <c r="C1102" s="29" t="s">
        <v>4515</v>
      </c>
      <c r="D1102" s="29" t="s">
        <v>4562</v>
      </c>
      <c r="E1102" s="29" t="s">
        <v>4563</v>
      </c>
      <c r="F1102" s="29" t="s">
        <v>4564</v>
      </c>
      <c r="G1102" s="35" t="s">
        <v>31</v>
      </c>
      <c r="H1102" s="35" t="s">
        <v>151</v>
      </c>
      <c r="I1102" s="36" t="s">
        <v>4565</v>
      </c>
      <c r="J1102" s="37"/>
      <c r="K1102" s="38"/>
      <c r="L1102" s="38"/>
      <c r="M1102" s="36" t="s">
        <v>60</v>
      </c>
      <c r="N1102" s="15" t="s">
        <v>152</v>
      </c>
      <c r="O1102" s="36" t="s">
        <v>4407</v>
      </c>
      <c r="P1102" s="36" t="str">
        <f t="shared" si="34"/>
        <v>API_地籍屬性_指定地號查詢著色圖_連江縣</v>
      </c>
      <c r="Q1102" s="36" t="s">
        <v>4564</v>
      </c>
      <c r="R1102" s="29" t="str">
        <f t="shared" si="35"/>
        <v>2dms_cadatt_v1_CadasMapImage_Z</v>
      </c>
      <c r="U1102" s="27" t="str">
        <f>_xlfn.XLOOKUP(表格1[[#This Row],[服務類別(英)]],參考2_服務標準對照!$B:$B,參考2_服務標準對照!$C:$C,"")&amp;""</f>
        <v/>
      </c>
      <c r="V1102" s="29" t="s">
        <v>14</v>
      </c>
      <c r="W1102" s="29" t="s">
        <v>4408</v>
      </c>
      <c r="X1102" s="29" t="s">
        <v>81</v>
      </c>
      <c r="Y1102" s="36" t="s">
        <v>83</v>
      </c>
      <c r="Z1102" s="36" t="s">
        <v>157</v>
      </c>
      <c r="AA1102" s="36" t="s">
        <v>4520</v>
      </c>
      <c r="AB1102" s="36"/>
      <c r="AC1102" s="36"/>
      <c r="AD1102" s="29" t="s">
        <v>96</v>
      </c>
      <c r="AE1102" s="36" t="str">
        <f>_xlfn.XLOOKUP(表格1[[#This Row],[唯一識別碼]],API清冊0707!B:B,API清冊0707!T:T,"")&amp;""</f>
        <v>有下拉選單</v>
      </c>
    </row>
    <row r="1103" spans="1:31" ht="126.75" customHeight="1" x14ac:dyDescent="0.4">
      <c r="A1103" s="29" t="s">
        <v>4566</v>
      </c>
      <c r="B1103" s="29" t="s">
        <v>31</v>
      </c>
      <c r="C1103" s="29" t="s">
        <v>4515</v>
      </c>
      <c r="D1103" s="29" t="s">
        <v>4567</v>
      </c>
      <c r="E1103" s="29" t="s">
        <v>4568</v>
      </c>
      <c r="F1103" s="29" t="s">
        <v>4569</v>
      </c>
      <c r="G1103" s="35" t="s">
        <v>31</v>
      </c>
      <c r="H1103" s="35" t="s">
        <v>151</v>
      </c>
      <c r="I1103" s="36" t="s">
        <v>4570</v>
      </c>
      <c r="J1103" s="37"/>
      <c r="K1103" s="38"/>
      <c r="L1103" s="38"/>
      <c r="M1103" s="36" t="s">
        <v>60</v>
      </c>
      <c r="N1103" s="15" t="s">
        <v>152</v>
      </c>
      <c r="O1103" s="36" t="s">
        <v>4407</v>
      </c>
      <c r="P1103" s="36" t="str">
        <f t="shared" si="34"/>
        <v>API_地籍屬性_指定地號查詢著色圖_雲林縣</v>
      </c>
      <c r="Q1103" s="36" t="s">
        <v>4569</v>
      </c>
      <c r="R1103" s="29" t="str">
        <f t="shared" si="35"/>
        <v>2dms_cadatt_v1_CadasMapImage_P</v>
      </c>
      <c r="U1103" s="27" t="str">
        <f>_xlfn.XLOOKUP(表格1[[#This Row],[服務類別(英)]],參考2_服務標準對照!$B:$B,參考2_服務標準對照!$C:$C,"")&amp;""</f>
        <v/>
      </c>
      <c r="V1103" s="29" t="s">
        <v>14</v>
      </c>
      <c r="W1103" s="29" t="s">
        <v>4408</v>
      </c>
      <c r="X1103" s="29" t="s">
        <v>81</v>
      </c>
      <c r="Y1103" s="36" t="s">
        <v>83</v>
      </c>
      <c r="Z1103" s="36" t="s">
        <v>157</v>
      </c>
      <c r="AA1103" s="36" t="s">
        <v>4520</v>
      </c>
      <c r="AB1103" s="36"/>
      <c r="AC1103" s="36"/>
      <c r="AD1103" s="29" t="s">
        <v>96</v>
      </c>
      <c r="AE1103" s="36" t="str">
        <f>_xlfn.XLOOKUP(表格1[[#This Row],[唯一識別碼]],API清冊0707!B:B,API清冊0707!T:T,"")&amp;""</f>
        <v>有下拉選單</v>
      </c>
    </row>
    <row r="1104" spans="1:31" ht="126.75" customHeight="1" x14ac:dyDescent="0.4">
      <c r="A1104" s="29" t="s">
        <v>4571</v>
      </c>
      <c r="B1104" s="29" t="s">
        <v>31</v>
      </c>
      <c r="C1104" s="29" t="s">
        <v>4515</v>
      </c>
      <c r="D1104" s="29" t="s">
        <v>4572</v>
      </c>
      <c r="E1104" s="29" t="s">
        <v>4573</v>
      </c>
      <c r="F1104" s="29" t="s">
        <v>4574</v>
      </c>
      <c r="G1104" s="35" t="s">
        <v>31</v>
      </c>
      <c r="H1104" s="35" t="s">
        <v>151</v>
      </c>
      <c r="I1104" s="36" t="s">
        <v>4575</v>
      </c>
      <c r="J1104" s="37"/>
      <c r="K1104" s="38"/>
      <c r="L1104" s="38"/>
      <c r="M1104" s="36" t="s">
        <v>60</v>
      </c>
      <c r="N1104" s="15" t="s">
        <v>152</v>
      </c>
      <c r="O1104" s="36" t="s">
        <v>4407</v>
      </c>
      <c r="P1104" s="36" t="str">
        <f t="shared" si="34"/>
        <v>API_地籍屬性_指定地號查詢著色圖_新北市</v>
      </c>
      <c r="Q1104" s="36" t="s">
        <v>4574</v>
      </c>
      <c r="R1104" s="29" t="str">
        <f t="shared" si="35"/>
        <v>2dms_cadatt_v1_CadasMapImage_F</v>
      </c>
      <c r="U1104" s="27" t="str">
        <f>_xlfn.XLOOKUP(表格1[[#This Row],[服務類別(英)]],參考2_服務標準對照!$B:$B,參考2_服務標準對照!$C:$C,"")&amp;""</f>
        <v/>
      </c>
      <c r="V1104" s="29" t="s">
        <v>14</v>
      </c>
      <c r="W1104" s="29" t="s">
        <v>4408</v>
      </c>
      <c r="X1104" s="29" t="s">
        <v>81</v>
      </c>
      <c r="Y1104" s="36" t="s">
        <v>83</v>
      </c>
      <c r="Z1104" s="36" t="s">
        <v>157</v>
      </c>
      <c r="AA1104" s="36" t="s">
        <v>4520</v>
      </c>
      <c r="AB1104" s="36"/>
      <c r="AC1104" s="36"/>
      <c r="AD1104" s="29" t="s">
        <v>96</v>
      </c>
      <c r="AE1104" s="36" t="str">
        <f>_xlfn.XLOOKUP(表格1[[#This Row],[唯一識別碼]],API清冊0707!B:B,API清冊0707!T:T,"")&amp;""</f>
        <v>有下拉選單</v>
      </c>
    </row>
    <row r="1105" spans="1:31" ht="126.75" customHeight="1" x14ac:dyDescent="0.4">
      <c r="A1105" s="29" t="s">
        <v>4576</v>
      </c>
      <c r="B1105" s="29" t="s">
        <v>31</v>
      </c>
      <c r="C1105" s="29" t="s">
        <v>4515</v>
      </c>
      <c r="D1105" s="29" t="s">
        <v>4577</v>
      </c>
      <c r="E1105" s="29" t="s">
        <v>4578</v>
      </c>
      <c r="F1105" s="29" t="s">
        <v>4579</v>
      </c>
      <c r="G1105" s="35" t="s">
        <v>31</v>
      </c>
      <c r="H1105" s="35" t="s">
        <v>151</v>
      </c>
      <c r="I1105" s="36" t="s">
        <v>4580</v>
      </c>
      <c r="J1105" s="37"/>
      <c r="K1105" s="38"/>
      <c r="L1105" s="38"/>
      <c r="M1105" s="36" t="s">
        <v>60</v>
      </c>
      <c r="N1105" s="15" t="s">
        <v>152</v>
      </c>
      <c r="O1105" s="36" t="s">
        <v>4407</v>
      </c>
      <c r="P1105" s="36" t="str">
        <f t="shared" si="34"/>
        <v>API_地籍屬性_指定地號查詢著色圖_新竹市</v>
      </c>
      <c r="Q1105" s="36" t="s">
        <v>4579</v>
      </c>
      <c r="R1105" s="29" t="str">
        <f t="shared" si="35"/>
        <v>2dms_cadatt_v1_CadasMapImage_O</v>
      </c>
      <c r="U1105" s="27" t="str">
        <f>_xlfn.XLOOKUP(表格1[[#This Row],[服務類別(英)]],參考2_服務標準對照!$B:$B,參考2_服務標準對照!$C:$C,"")&amp;""</f>
        <v/>
      </c>
      <c r="V1105" s="29" t="s">
        <v>14</v>
      </c>
      <c r="W1105" s="29" t="s">
        <v>4408</v>
      </c>
      <c r="X1105" s="29" t="s">
        <v>81</v>
      </c>
      <c r="Y1105" s="36" t="s">
        <v>83</v>
      </c>
      <c r="Z1105" s="36" t="s">
        <v>157</v>
      </c>
      <c r="AA1105" s="36" t="s">
        <v>4520</v>
      </c>
      <c r="AB1105" s="36"/>
      <c r="AC1105" s="36"/>
      <c r="AD1105" s="29" t="s">
        <v>96</v>
      </c>
      <c r="AE1105" s="36" t="str">
        <f>_xlfn.XLOOKUP(表格1[[#This Row],[唯一識別碼]],API清冊0707!B:B,API清冊0707!T:T,"")&amp;""</f>
        <v>有下拉選單</v>
      </c>
    </row>
    <row r="1106" spans="1:31" ht="126.75" customHeight="1" x14ac:dyDescent="0.4">
      <c r="A1106" s="29" t="s">
        <v>4581</v>
      </c>
      <c r="B1106" s="29" t="s">
        <v>31</v>
      </c>
      <c r="C1106" s="29" t="s">
        <v>4515</v>
      </c>
      <c r="D1106" s="29" t="s">
        <v>4582</v>
      </c>
      <c r="E1106" s="29" t="s">
        <v>4583</v>
      </c>
      <c r="F1106" s="29" t="s">
        <v>4584</v>
      </c>
      <c r="G1106" s="35" t="s">
        <v>31</v>
      </c>
      <c r="H1106" s="35" t="s">
        <v>151</v>
      </c>
      <c r="I1106" s="36" t="s">
        <v>4585</v>
      </c>
      <c r="J1106" s="37"/>
      <c r="K1106" s="38"/>
      <c r="L1106" s="38"/>
      <c r="M1106" s="36" t="s">
        <v>60</v>
      </c>
      <c r="N1106" s="15" t="s">
        <v>152</v>
      </c>
      <c r="O1106" s="36" t="s">
        <v>4407</v>
      </c>
      <c r="P1106" s="36" t="str">
        <f t="shared" si="34"/>
        <v>API_地籍屬性_指定地號查詢著色圖_新竹縣</v>
      </c>
      <c r="Q1106" s="36" t="s">
        <v>4584</v>
      </c>
      <c r="R1106" s="29" t="str">
        <f t="shared" si="35"/>
        <v>2dms_cadatt_v1_CadasMapImage_J</v>
      </c>
      <c r="U1106" s="27" t="str">
        <f>_xlfn.XLOOKUP(表格1[[#This Row],[服務類別(英)]],參考2_服務標準對照!$B:$B,參考2_服務標準對照!$C:$C,"")&amp;""</f>
        <v/>
      </c>
      <c r="V1106" s="29" t="s">
        <v>14</v>
      </c>
      <c r="W1106" s="29" t="s">
        <v>4408</v>
      </c>
      <c r="X1106" s="29" t="s">
        <v>81</v>
      </c>
      <c r="Y1106" s="36" t="s">
        <v>83</v>
      </c>
      <c r="Z1106" s="36" t="s">
        <v>157</v>
      </c>
      <c r="AA1106" s="36" t="s">
        <v>4520</v>
      </c>
      <c r="AB1106" s="36"/>
      <c r="AC1106" s="36"/>
      <c r="AD1106" s="29" t="s">
        <v>96</v>
      </c>
      <c r="AE1106" s="36" t="str">
        <f>_xlfn.XLOOKUP(表格1[[#This Row],[唯一識別碼]],API清冊0707!B:B,API清冊0707!T:T,"")&amp;""</f>
        <v>有下拉選單</v>
      </c>
    </row>
    <row r="1107" spans="1:31" ht="126.75" customHeight="1" x14ac:dyDescent="0.4">
      <c r="A1107" s="29" t="s">
        <v>4586</v>
      </c>
      <c r="B1107" s="29" t="s">
        <v>31</v>
      </c>
      <c r="C1107" s="29" t="s">
        <v>4515</v>
      </c>
      <c r="D1107" s="29" t="s">
        <v>4587</v>
      </c>
      <c r="E1107" s="29" t="s">
        <v>4588</v>
      </c>
      <c r="F1107" s="29" t="s">
        <v>4589</v>
      </c>
      <c r="G1107" s="35" t="s">
        <v>31</v>
      </c>
      <c r="H1107" s="35" t="s">
        <v>151</v>
      </c>
      <c r="I1107" s="36" t="s">
        <v>4590</v>
      </c>
      <c r="J1107" s="37"/>
      <c r="K1107" s="38"/>
      <c r="L1107" s="38"/>
      <c r="M1107" s="36" t="s">
        <v>60</v>
      </c>
      <c r="N1107" s="15" t="s">
        <v>152</v>
      </c>
      <c r="O1107" s="36" t="s">
        <v>4407</v>
      </c>
      <c r="P1107" s="36" t="str">
        <f t="shared" si="34"/>
        <v>API_地籍屬性_指定地號查詢著色圖_嘉義市</v>
      </c>
      <c r="Q1107" s="36" t="s">
        <v>4589</v>
      </c>
      <c r="R1107" s="29" t="str">
        <f t="shared" si="35"/>
        <v>2dms_cadatt_v1_CadasMapImage_I</v>
      </c>
      <c r="U1107" s="27" t="str">
        <f>_xlfn.XLOOKUP(表格1[[#This Row],[服務類別(英)]],參考2_服務標準對照!$B:$B,參考2_服務標準對照!$C:$C,"")&amp;""</f>
        <v/>
      </c>
      <c r="V1107" s="29" t="s">
        <v>14</v>
      </c>
      <c r="W1107" s="29" t="s">
        <v>4408</v>
      </c>
      <c r="X1107" s="29" t="s">
        <v>81</v>
      </c>
      <c r="Y1107" s="36" t="s">
        <v>83</v>
      </c>
      <c r="Z1107" s="36" t="s">
        <v>157</v>
      </c>
      <c r="AA1107" s="36" t="s">
        <v>4520</v>
      </c>
      <c r="AB1107" s="36"/>
      <c r="AC1107" s="36"/>
      <c r="AD1107" s="29" t="s">
        <v>96</v>
      </c>
      <c r="AE1107" s="36" t="str">
        <f>_xlfn.XLOOKUP(表格1[[#This Row],[唯一識別碼]],API清冊0707!B:B,API清冊0707!T:T,"")&amp;""</f>
        <v>有下拉選單</v>
      </c>
    </row>
    <row r="1108" spans="1:31" ht="126.75" customHeight="1" x14ac:dyDescent="0.4">
      <c r="A1108" s="29" t="s">
        <v>4591</v>
      </c>
      <c r="B1108" s="29" t="s">
        <v>31</v>
      </c>
      <c r="C1108" s="29" t="s">
        <v>4515</v>
      </c>
      <c r="D1108" s="29" t="s">
        <v>4592</v>
      </c>
      <c r="E1108" s="29" t="s">
        <v>4593</v>
      </c>
      <c r="F1108" s="29" t="s">
        <v>4594</v>
      </c>
      <c r="G1108" s="35" t="s">
        <v>31</v>
      </c>
      <c r="H1108" s="35" t="s">
        <v>151</v>
      </c>
      <c r="I1108" s="36" t="s">
        <v>4595</v>
      </c>
      <c r="J1108" s="37"/>
      <c r="K1108" s="38"/>
      <c r="L1108" s="38"/>
      <c r="M1108" s="36" t="s">
        <v>60</v>
      </c>
      <c r="N1108" s="15" t="s">
        <v>152</v>
      </c>
      <c r="O1108" s="36" t="s">
        <v>4407</v>
      </c>
      <c r="P1108" s="36" t="str">
        <f t="shared" si="34"/>
        <v>API_地籍屬性_指定地號查詢著色圖_嘉義縣</v>
      </c>
      <c r="Q1108" s="36" t="s">
        <v>4594</v>
      </c>
      <c r="R1108" s="29" t="str">
        <f t="shared" si="35"/>
        <v>2dms_cadatt_v1_CadasMapImage_Q</v>
      </c>
      <c r="U1108" s="27" t="str">
        <f>_xlfn.XLOOKUP(表格1[[#This Row],[服務類別(英)]],參考2_服務標準對照!$B:$B,參考2_服務標準對照!$C:$C,"")&amp;""</f>
        <v/>
      </c>
      <c r="V1108" s="29" t="s">
        <v>14</v>
      </c>
      <c r="W1108" s="29" t="s">
        <v>4408</v>
      </c>
      <c r="X1108" s="29" t="s">
        <v>81</v>
      </c>
      <c r="Y1108" s="36" t="s">
        <v>83</v>
      </c>
      <c r="Z1108" s="36" t="s">
        <v>157</v>
      </c>
      <c r="AA1108" s="36" t="s">
        <v>4520</v>
      </c>
      <c r="AB1108" s="36"/>
      <c r="AC1108" s="36"/>
      <c r="AD1108" s="29" t="s">
        <v>96</v>
      </c>
      <c r="AE1108" s="36" t="str">
        <f>_xlfn.XLOOKUP(表格1[[#This Row],[唯一識別碼]],API清冊0707!B:B,API清冊0707!T:T,"")&amp;""</f>
        <v>有下拉選單</v>
      </c>
    </row>
    <row r="1109" spans="1:31" ht="126.75" customHeight="1" x14ac:dyDescent="0.4">
      <c r="A1109" s="29" t="s">
        <v>4596</v>
      </c>
      <c r="B1109" s="29" t="s">
        <v>31</v>
      </c>
      <c r="C1109" s="29" t="s">
        <v>4515</v>
      </c>
      <c r="D1109" s="29" t="s">
        <v>4597</v>
      </c>
      <c r="E1109" s="29" t="s">
        <v>4598</v>
      </c>
      <c r="F1109" s="29" t="s">
        <v>4599</v>
      </c>
      <c r="G1109" s="35" t="s">
        <v>31</v>
      </c>
      <c r="H1109" s="35" t="s">
        <v>151</v>
      </c>
      <c r="I1109" s="36" t="s">
        <v>4600</v>
      </c>
      <c r="J1109" s="37"/>
      <c r="K1109" s="38"/>
      <c r="L1109" s="38"/>
      <c r="M1109" s="36" t="s">
        <v>60</v>
      </c>
      <c r="N1109" s="15" t="s">
        <v>152</v>
      </c>
      <c r="O1109" s="36" t="s">
        <v>4407</v>
      </c>
      <c r="P1109" s="36" t="str">
        <f t="shared" si="34"/>
        <v>API_地籍屬性_指定地號查詢著色圖_彰化縣</v>
      </c>
      <c r="Q1109" s="36" t="s">
        <v>4599</v>
      </c>
      <c r="R1109" s="29" t="str">
        <f t="shared" si="35"/>
        <v>2dms_cadatt_v1_CadasMapImage_N</v>
      </c>
      <c r="U1109" s="27" t="str">
        <f>_xlfn.XLOOKUP(表格1[[#This Row],[服務類別(英)]],參考2_服務標準對照!$B:$B,參考2_服務標準對照!$C:$C,"")&amp;""</f>
        <v/>
      </c>
      <c r="V1109" s="29" t="s">
        <v>14</v>
      </c>
      <c r="W1109" s="29" t="s">
        <v>4408</v>
      </c>
      <c r="X1109" s="29" t="s">
        <v>81</v>
      </c>
      <c r="Y1109" s="36" t="s">
        <v>83</v>
      </c>
      <c r="Z1109" s="36" t="s">
        <v>157</v>
      </c>
      <c r="AA1109" s="36" t="s">
        <v>4520</v>
      </c>
      <c r="AB1109" s="36"/>
      <c r="AC1109" s="36"/>
      <c r="AD1109" s="29" t="s">
        <v>96</v>
      </c>
      <c r="AE1109" s="36" t="str">
        <f>_xlfn.XLOOKUP(表格1[[#This Row],[唯一識別碼]],API清冊0707!B:B,API清冊0707!T:T,"")&amp;""</f>
        <v>有下拉選單</v>
      </c>
    </row>
    <row r="1110" spans="1:31" ht="126.75" customHeight="1" x14ac:dyDescent="0.4">
      <c r="A1110" s="29" t="s">
        <v>4601</v>
      </c>
      <c r="B1110" s="29" t="s">
        <v>31</v>
      </c>
      <c r="C1110" s="29" t="s">
        <v>4515</v>
      </c>
      <c r="D1110" s="29" t="s">
        <v>4602</v>
      </c>
      <c r="E1110" s="29" t="s">
        <v>4603</v>
      </c>
      <c r="F1110" s="29" t="s">
        <v>4604</v>
      </c>
      <c r="G1110" s="35" t="s">
        <v>31</v>
      </c>
      <c r="H1110" s="35" t="s">
        <v>151</v>
      </c>
      <c r="I1110" s="36" t="s">
        <v>4605</v>
      </c>
      <c r="J1110" s="37"/>
      <c r="K1110" s="38"/>
      <c r="L1110" s="38"/>
      <c r="M1110" s="36" t="s">
        <v>60</v>
      </c>
      <c r="N1110" s="15" t="s">
        <v>152</v>
      </c>
      <c r="O1110" s="36" t="s">
        <v>4407</v>
      </c>
      <c r="P1110" s="36" t="str">
        <f t="shared" si="34"/>
        <v>API_地籍屬性_指定地號查詢著色圖_臺中市</v>
      </c>
      <c r="Q1110" s="36" t="s">
        <v>4604</v>
      </c>
      <c r="R1110" s="29" t="str">
        <f t="shared" si="35"/>
        <v>2dms_cadatt_v1_CadasMapImage_B</v>
      </c>
      <c r="U1110" s="27" t="str">
        <f>_xlfn.XLOOKUP(表格1[[#This Row],[服務類別(英)]],參考2_服務標準對照!$B:$B,參考2_服務標準對照!$C:$C,"")&amp;""</f>
        <v/>
      </c>
      <c r="V1110" s="29" t="s">
        <v>14</v>
      </c>
      <c r="W1110" s="29" t="s">
        <v>4408</v>
      </c>
      <c r="X1110" s="29" t="s">
        <v>81</v>
      </c>
      <c r="Y1110" s="36" t="s">
        <v>83</v>
      </c>
      <c r="Z1110" s="36" t="s">
        <v>157</v>
      </c>
      <c r="AA1110" s="36" t="s">
        <v>4520</v>
      </c>
      <c r="AB1110" s="36"/>
      <c r="AC1110" s="36"/>
      <c r="AD1110" s="29" t="s">
        <v>96</v>
      </c>
      <c r="AE1110" s="36" t="str">
        <f>_xlfn.XLOOKUP(表格1[[#This Row],[唯一識別碼]],API清冊0707!B:B,API清冊0707!T:T,"")&amp;""</f>
        <v>有下拉選單</v>
      </c>
    </row>
    <row r="1111" spans="1:31" ht="126.75" customHeight="1" x14ac:dyDescent="0.4">
      <c r="A1111" s="29" t="s">
        <v>4606</v>
      </c>
      <c r="B1111" s="29" t="s">
        <v>31</v>
      </c>
      <c r="C1111" s="29" t="s">
        <v>4515</v>
      </c>
      <c r="D1111" s="29" t="s">
        <v>4607</v>
      </c>
      <c r="E1111" s="29" t="s">
        <v>4608</v>
      </c>
      <c r="F1111" s="29" t="s">
        <v>4609</v>
      </c>
      <c r="G1111" s="35" t="s">
        <v>31</v>
      </c>
      <c r="H1111" s="35" t="s">
        <v>151</v>
      </c>
      <c r="I1111" s="36" t="s">
        <v>4610</v>
      </c>
      <c r="J1111" s="37"/>
      <c r="K1111" s="38"/>
      <c r="L1111" s="38"/>
      <c r="M1111" s="36" t="s">
        <v>60</v>
      </c>
      <c r="N1111" s="15" t="s">
        <v>152</v>
      </c>
      <c r="O1111" s="36" t="s">
        <v>4407</v>
      </c>
      <c r="P1111" s="36" t="str">
        <f t="shared" si="34"/>
        <v>API_地籍屬性_指定地號查詢著色圖_臺北市</v>
      </c>
      <c r="Q1111" s="36" t="s">
        <v>4609</v>
      </c>
      <c r="R1111" s="29" t="str">
        <f t="shared" si="35"/>
        <v>2dms_cadatt_v1_CadasMapImage_A</v>
      </c>
      <c r="U1111" s="27" t="str">
        <f>_xlfn.XLOOKUP(表格1[[#This Row],[服務類別(英)]],參考2_服務標準對照!$B:$B,參考2_服務標準對照!$C:$C,"")&amp;""</f>
        <v/>
      </c>
      <c r="V1111" s="29" t="s">
        <v>14</v>
      </c>
      <c r="W1111" s="29" t="s">
        <v>4408</v>
      </c>
      <c r="X1111" s="29" t="s">
        <v>81</v>
      </c>
      <c r="Y1111" s="36" t="s">
        <v>83</v>
      </c>
      <c r="Z1111" s="36" t="s">
        <v>157</v>
      </c>
      <c r="AA1111" s="36" t="s">
        <v>4520</v>
      </c>
      <c r="AB1111" s="36"/>
      <c r="AC1111" s="36"/>
      <c r="AD1111" s="29" t="s">
        <v>96</v>
      </c>
      <c r="AE1111" s="36" t="str">
        <f>_xlfn.XLOOKUP(表格1[[#This Row],[唯一識別碼]],API清冊0707!B:B,API清冊0707!T:T,"")&amp;""</f>
        <v>有下拉選單</v>
      </c>
    </row>
    <row r="1112" spans="1:31" ht="126.75" customHeight="1" x14ac:dyDescent="0.4">
      <c r="A1112" s="29" t="s">
        <v>4611</v>
      </c>
      <c r="B1112" s="29" t="s">
        <v>31</v>
      </c>
      <c r="C1112" s="29" t="s">
        <v>4515</v>
      </c>
      <c r="D1112" s="29" t="s">
        <v>4612</v>
      </c>
      <c r="E1112" s="29" t="s">
        <v>4613</v>
      </c>
      <c r="F1112" s="29" t="s">
        <v>4614</v>
      </c>
      <c r="G1112" s="35" t="s">
        <v>31</v>
      </c>
      <c r="H1112" s="35" t="s">
        <v>151</v>
      </c>
      <c r="I1112" s="36" t="s">
        <v>4615</v>
      </c>
      <c r="J1112" s="37"/>
      <c r="K1112" s="38"/>
      <c r="L1112" s="38"/>
      <c r="M1112" s="36" t="s">
        <v>60</v>
      </c>
      <c r="N1112" s="15" t="s">
        <v>152</v>
      </c>
      <c r="O1112" s="36" t="s">
        <v>4407</v>
      </c>
      <c r="P1112" s="36" t="str">
        <f t="shared" si="34"/>
        <v>API_地籍屬性_指定地號查詢著色圖_臺東縣</v>
      </c>
      <c r="Q1112" s="36" t="s">
        <v>4614</v>
      </c>
      <c r="R1112" s="29" t="str">
        <f t="shared" si="35"/>
        <v>2dms_cadatt_v1_CadasMapImage_V</v>
      </c>
      <c r="U1112" s="27" t="str">
        <f>_xlfn.XLOOKUP(表格1[[#This Row],[服務類別(英)]],參考2_服務標準對照!$B:$B,參考2_服務標準對照!$C:$C,"")&amp;""</f>
        <v/>
      </c>
      <c r="V1112" s="29" t="s">
        <v>14</v>
      </c>
      <c r="W1112" s="29" t="s">
        <v>4408</v>
      </c>
      <c r="X1112" s="29" t="s">
        <v>81</v>
      </c>
      <c r="Y1112" s="36" t="s">
        <v>83</v>
      </c>
      <c r="Z1112" s="36" t="s">
        <v>157</v>
      </c>
      <c r="AA1112" s="36" t="s">
        <v>4520</v>
      </c>
      <c r="AB1112" s="36"/>
      <c r="AC1112" s="36"/>
      <c r="AD1112" s="29" t="s">
        <v>96</v>
      </c>
      <c r="AE1112" s="36" t="str">
        <f>_xlfn.XLOOKUP(表格1[[#This Row],[唯一識別碼]],API清冊0707!B:B,API清冊0707!T:T,"")&amp;""</f>
        <v>有下拉選單</v>
      </c>
    </row>
    <row r="1113" spans="1:31" ht="126.75" customHeight="1" x14ac:dyDescent="0.4">
      <c r="A1113" s="29" t="s">
        <v>4616</v>
      </c>
      <c r="B1113" s="29" t="s">
        <v>31</v>
      </c>
      <c r="C1113" s="29" t="s">
        <v>4515</v>
      </c>
      <c r="D1113" s="29" t="s">
        <v>4617</v>
      </c>
      <c r="E1113" s="29" t="s">
        <v>4618</v>
      </c>
      <c r="F1113" s="29" t="s">
        <v>4619</v>
      </c>
      <c r="G1113" s="35" t="s">
        <v>31</v>
      </c>
      <c r="H1113" s="35" t="s">
        <v>151</v>
      </c>
      <c r="I1113" s="36" t="s">
        <v>4620</v>
      </c>
      <c r="J1113" s="37"/>
      <c r="K1113" s="38"/>
      <c r="L1113" s="38"/>
      <c r="M1113" s="36" t="s">
        <v>60</v>
      </c>
      <c r="N1113" s="15" t="s">
        <v>152</v>
      </c>
      <c r="O1113" s="36" t="s">
        <v>4407</v>
      </c>
      <c r="P1113" s="36" t="str">
        <f t="shared" si="34"/>
        <v>API_地籍屬性_指定地號查詢著色圖_臺南市</v>
      </c>
      <c r="Q1113" s="36" t="s">
        <v>4619</v>
      </c>
      <c r="R1113" s="29" t="str">
        <f t="shared" si="35"/>
        <v>2dms_cadatt_v1_CadasMapImage_D</v>
      </c>
      <c r="U1113" s="27" t="str">
        <f>_xlfn.XLOOKUP(表格1[[#This Row],[服務類別(英)]],參考2_服務標準對照!$B:$B,參考2_服務標準對照!$C:$C,"")&amp;""</f>
        <v/>
      </c>
      <c r="V1113" s="29" t="s">
        <v>14</v>
      </c>
      <c r="W1113" s="29" t="s">
        <v>4408</v>
      </c>
      <c r="X1113" s="29" t="s">
        <v>81</v>
      </c>
      <c r="Y1113" s="36" t="s">
        <v>83</v>
      </c>
      <c r="Z1113" s="36" t="s">
        <v>157</v>
      </c>
      <c r="AA1113" s="36" t="s">
        <v>4520</v>
      </c>
      <c r="AB1113" s="36"/>
      <c r="AC1113" s="36"/>
      <c r="AD1113" s="29" t="s">
        <v>96</v>
      </c>
      <c r="AE1113" s="36" t="str">
        <f>_xlfn.XLOOKUP(表格1[[#This Row],[唯一識別碼]],API清冊0707!B:B,API清冊0707!T:T,"")&amp;""</f>
        <v>有下拉選單</v>
      </c>
    </row>
    <row r="1114" spans="1:31" ht="126.75" customHeight="1" x14ac:dyDescent="0.4">
      <c r="A1114" s="29" t="s">
        <v>4621</v>
      </c>
      <c r="B1114" s="29" t="s">
        <v>31</v>
      </c>
      <c r="C1114" s="29" t="s">
        <v>4515</v>
      </c>
      <c r="D1114" s="29" t="s">
        <v>4622</v>
      </c>
      <c r="E1114" s="29" t="s">
        <v>4623</v>
      </c>
      <c r="F1114" s="29" t="s">
        <v>4624</v>
      </c>
      <c r="G1114" s="35" t="s">
        <v>31</v>
      </c>
      <c r="H1114" s="35" t="s">
        <v>151</v>
      </c>
      <c r="I1114" s="36" t="s">
        <v>4625</v>
      </c>
      <c r="J1114" s="37"/>
      <c r="K1114" s="38"/>
      <c r="L1114" s="38"/>
      <c r="M1114" s="36" t="s">
        <v>60</v>
      </c>
      <c r="N1114" s="15" t="s">
        <v>152</v>
      </c>
      <c r="O1114" s="36" t="s">
        <v>4407</v>
      </c>
      <c r="P1114" s="36" t="str">
        <f t="shared" si="34"/>
        <v>API_地籍屬性_指定地號查詢著色圖_澎湖縣</v>
      </c>
      <c r="Q1114" s="36" t="s">
        <v>4624</v>
      </c>
      <c r="R1114" s="29" t="str">
        <f t="shared" si="35"/>
        <v>2dms_cadatt_v1_CadasMapImage_X</v>
      </c>
      <c r="U1114" s="27" t="str">
        <f>_xlfn.XLOOKUP(表格1[[#This Row],[服務類別(英)]],參考2_服務標準對照!$B:$B,參考2_服務標準對照!$C:$C,"")&amp;""</f>
        <v/>
      </c>
      <c r="V1114" s="29" t="s">
        <v>14</v>
      </c>
      <c r="W1114" s="29" t="s">
        <v>4408</v>
      </c>
      <c r="X1114" s="29" t="s">
        <v>81</v>
      </c>
      <c r="Y1114" s="36" t="s">
        <v>83</v>
      </c>
      <c r="Z1114" s="36" t="s">
        <v>157</v>
      </c>
      <c r="AA1114" s="36" t="s">
        <v>4520</v>
      </c>
      <c r="AB1114" s="36"/>
      <c r="AC1114" s="36"/>
      <c r="AD1114" s="29" t="s">
        <v>96</v>
      </c>
      <c r="AE1114" s="36" t="str">
        <f>_xlfn.XLOOKUP(表格1[[#This Row],[唯一識別碼]],API清冊0707!B:B,API清冊0707!T:T,"")&amp;""</f>
        <v>有下拉選單</v>
      </c>
    </row>
    <row r="1115" spans="1:31" ht="157.5" customHeight="1" x14ac:dyDescent="0.4">
      <c r="A1115" s="29" t="s">
        <v>4626</v>
      </c>
      <c r="B1115" s="29" t="s">
        <v>31</v>
      </c>
      <c r="C1115" s="29" t="s">
        <v>4627</v>
      </c>
      <c r="D1115" s="29" t="s">
        <v>4628</v>
      </c>
      <c r="E1115" s="29" t="s">
        <v>4629</v>
      </c>
      <c r="F1115" s="29" t="s">
        <v>4630</v>
      </c>
      <c r="G1115" s="35"/>
      <c r="H1115" s="35" t="s">
        <v>151</v>
      </c>
      <c r="I1115" s="36" t="s">
        <v>4626</v>
      </c>
      <c r="J1115" s="37"/>
      <c r="K1115" s="38"/>
      <c r="L1115" s="38"/>
      <c r="M1115" s="36" t="s">
        <v>60</v>
      </c>
      <c r="N1115" s="15" t="s">
        <v>152</v>
      </c>
      <c r="O1115" s="36" t="s">
        <v>4407</v>
      </c>
      <c r="P1115" s="36" t="str">
        <f t="shared" si="34"/>
        <v>API_地籍屬性_單點坐標查詢地段號_全國</v>
      </c>
      <c r="Q1115" s="36" t="s">
        <v>4630</v>
      </c>
      <c r="R1115" s="29" t="str">
        <f t="shared" si="35"/>
        <v>2dms_cadatt_v1_GetLandNO</v>
      </c>
      <c r="U1115" s="27" t="str">
        <f>_xlfn.XLOOKUP(表格1[[#This Row],[服務類別(英)]],參考2_服務標準對照!$B:$B,參考2_服務標準對照!$C:$C,"")&amp;""</f>
        <v/>
      </c>
      <c r="V1115" s="29" t="s">
        <v>14</v>
      </c>
      <c r="W1115" s="29" t="s">
        <v>4408</v>
      </c>
      <c r="X1115" s="29" t="s">
        <v>81</v>
      </c>
      <c r="Y1115" s="36" t="s">
        <v>83</v>
      </c>
      <c r="Z1115" s="36" t="s">
        <v>157</v>
      </c>
      <c r="AA1115" s="36" t="s">
        <v>4383</v>
      </c>
      <c r="AB1115" s="36"/>
      <c r="AC1115" s="36"/>
      <c r="AD1115" s="29" t="s">
        <v>119</v>
      </c>
      <c r="AE1115" s="36" t="str">
        <f>_xlfn.XLOOKUP(表格1[[#This Row],[唯一識別碼]],API清冊0707!B:B,API清冊0707!T:T,"")&amp;""</f>
        <v>無下拉選單</v>
      </c>
    </row>
    <row r="1116" spans="1:31" ht="204.75" customHeight="1" x14ac:dyDescent="0.4">
      <c r="A1116" s="29" t="s">
        <v>4631</v>
      </c>
      <c r="B1116" s="29" t="s">
        <v>31</v>
      </c>
      <c r="C1116" s="29" t="s">
        <v>4515</v>
      </c>
      <c r="D1116" s="29" t="s">
        <v>4632</v>
      </c>
      <c r="E1116" s="29" t="s">
        <v>4633</v>
      </c>
      <c r="F1116" s="29" t="s">
        <v>4634</v>
      </c>
      <c r="G1116" s="35" t="s">
        <v>31</v>
      </c>
      <c r="H1116" s="35" t="s">
        <v>151</v>
      </c>
      <c r="I1116" s="36" t="s">
        <v>4635</v>
      </c>
      <c r="J1116" s="37"/>
      <c r="K1116" s="38"/>
      <c r="L1116" s="38"/>
      <c r="M1116" s="36" t="s">
        <v>60</v>
      </c>
      <c r="N1116" s="15" t="s">
        <v>152</v>
      </c>
      <c r="O1116" s="36" t="s">
        <v>4407</v>
      </c>
      <c r="P1116" s="36" t="str">
        <f t="shared" si="34"/>
        <v>API_地籍屬性_地段號查詢坐標_宜蘭縣</v>
      </c>
      <c r="Q1116" s="36" t="s">
        <v>4634</v>
      </c>
      <c r="R1116" s="29" t="str">
        <f t="shared" si="35"/>
        <v>2dms_cadatt_v1_GetLandPositionLongitudeLatitude_G</v>
      </c>
      <c r="U1116" s="27" t="str">
        <f>_xlfn.XLOOKUP(表格1[[#This Row],[服務類別(英)]],參考2_服務標準對照!$B:$B,參考2_服務標準對照!$C:$C,"")&amp;""</f>
        <v/>
      </c>
      <c r="V1116" s="29" t="s">
        <v>14</v>
      </c>
      <c r="W1116" s="29" t="s">
        <v>4408</v>
      </c>
      <c r="X1116" s="29" t="s">
        <v>81</v>
      </c>
      <c r="Y1116" s="36" t="s">
        <v>83</v>
      </c>
      <c r="Z1116" s="36" t="s">
        <v>157</v>
      </c>
      <c r="AA1116" s="36" t="s">
        <v>4383</v>
      </c>
      <c r="AB1116" s="36"/>
      <c r="AC1116" s="36"/>
      <c r="AD1116" s="29" t="s">
        <v>96</v>
      </c>
      <c r="AE1116" s="36" t="str">
        <f>_xlfn.XLOOKUP(表格1[[#This Row],[唯一識別碼]],API清冊0707!B:B,API清冊0707!T:T,"")&amp;""</f>
        <v>有下拉選單</v>
      </c>
    </row>
    <row r="1117" spans="1:31" ht="204.75" customHeight="1" x14ac:dyDescent="0.4">
      <c r="A1117" s="29" t="s">
        <v>4636</v>
      </c>
      <c r="B1117" s="29" t="s">
        <v>31</v>
      </c>
      <c r="C1117" s="29" t="s">
        <v>4515</v>
      </c>
      <c r="D1117" s="29" t="s">
        <v>4637</v>
      </c>
      <c r="E1117" s="29" t="s">
        <v>4638</v>
      </c>
      <c r="F1117" s="29" t="s">
        <v>4639</v>
      </c>
      <c r="G1117" s="35" t="s">
        <v>31</v>
      </c>
      <c r="H1117" s="35" t="s">
        <v>151</v>
      </c>
      <c r="I1117" s="36" t="s">
        <v>4640</v>
      </c>
      <c r="J1117" s="37"/>
      <c r="K1117" s="38"/>
      <c r="L1117" s="38"/>
      <c r="M1117" s="36" t="s">
        <v>60</v>
      </c>
      <c r="N1117" s="15" t="s">
        <v>152</v>
      </c>
      <c r="O1117" s="36" t="s">
        <v>4407</v>
      </c>
      <c r="P1117" s="36" t="str">
        <f t="shared" si="34"/>
        <v>API_地籍屬性_地段號查詢坐標_花蓮縣</v>
      </c>
      <c r="Q1117" s="36" t="s">
        <v>4639</v>
      </c>
      <c r="R1117" s="29" t="str">
        <f t="shared" si="35"/>
        <v>2dms_cadatt_v1_GetLandPositionLongitudeLatitude_U</v>
      </c>
      <c r="U1117" s="27" t="str">
        <f>_xlfn.XLOOKUP(表格1[[#This Row],[服務類別(英)]],參考2_服務標準對照!$B:$B,參考2_服務標準對照!$C:$C,"")&amp;""</f>
        <v/>
      </c>
      <c r="V1117" s="29" t="s">
        <v>14</v>
      </c>
      <c r="W1117" s="29" t="s">
        <v>4408</v>
      </c>
      <c r="X1117" s="29" t="s">
        <v>81</v>
      </c>
      <c r="Y1117" s="36" t="s">
        <v>83</v>
      </c>
      <c r="Z1117" s="36" t="s">
        <v>157</v>
      </c>
      <c r="AA1117" s="36" t="s">
        <v>4383</v>
      </c>
      <c r="AB1117" s="36"/>
      <c r="AC1117" s="36"/>
      <c r="AD1117" s="29" t="s">
        <v>96</v>
      </c>
      <c r="AE1117" s="36" t="str">
        <f>_xlfn.XLOOKUP(表格1[[#This Row],[唯一識別碼]],API清冊0707!B:B,API清冊0707!T:T,"")&amp;""</f>
        <v>有下拉選單</v>
      </c>
    </row>
    <row r="1118" spans="1:31" ht="220.5" customHeight="1" x14ac:dyDescent="0.4">
      <c r="A1118" s="29" t="s">
        <v>4641</v>
      </c>
      <c r="B1118" s="29" t="s">
        <v>31</v>
      </c>
      <c r="C1118" s="29" t="s">
        <v>4515</v>
      </c>
      <c r="D1118" s="29" t="s">
        <v>4642</v>
      </c>
      <c r="E1118" s="29" t="s">
        <v>4643</v>
      </c>
      <c r="F1118" s="29" t="s">
        <v>4644</v>
      </c>
      <c r="G1118" s="35" t="s">
        <v>31</v>
      </c>
      <c r="H1118" s="35" t="s">
        <v>151</v>
      </c>
      <c r="I1118" s="36" t="s">
        <v>4645</v>
      </c>
      <c r="J1118" s="37"/>
      <c r="K1118" s="38"/>
      <c r="L1118" s="38"/>
      <c r="M1118" s="36" t="s">
        <v>60</v>
      </c>
      <c r="N1118" s="15" t="s">
        <v>152</v>
      </c>
      <c r="O1118" s="36" t="s">
        <v>4407</v>
      </c>
      <c r="P1118" s="36" t="str">
        <f t="shared" si="34"/>
        <v>API_地籍屬性_地段號查詢坐標_金門縣</v>
      </c>
      <c r="Q1118" s="36" t="s">
        <v>4644</v>
      </c>
      <c r="R1118" s="29" t="str">
        <f t="shared" si="35"/>
        <v>2dms_cadatt_v1_GetLandPositionLongitudeLatitude_W</v>
      </c>
      <c r="U1118" s="27" t="str">
        <f>_xlfn.XLOOKUP(表格1[[#This Row],[服務類別(英)]],參考2_服務標準對照!$B:$B,參考2_服務標準對照!$C:$C,"")&amp;""</f>
        <v/>
      </c>
      <c r="V1118" s="29" t="s">
        <v>14</v>
      </c>
      <c r="W1118" s="29" t="s">
        <v>4408</v>
      </c>
      <c r="X1118" s="29" t="s">
        <v>81</v>
      </c>
      <c r="Y1118" s="36" t="s">
        <v>83</v>
      </c>
      <c r="Z1118" s="36" t="s">
        <v>157</v>
      </c>
      <c r="AA1118" s="36" t="s">
        <v>4383</v>
      </c>
      <c r="AB1118" s="36"/>
      <c r="AC1118" s="36"/>
      <c r="AD1118" s="29" t="s">
        <v>96</v>
      </c>
      <c r="AE1118" s="36" t="str">
        <f>_xlfn.XLOOKUP(表格1[[#This Row],[唯一識別碼]],API清冊0707!B:B,API清冊0707!T:T,"")&amp;""</f>
        <v>有下拉選單</v>
      </c>
    </row>
    <row r="1119" spans="1:31" ht="220.5" customHeight="1" x14ac:dyDescent="0.4">
      <c r="A1119" s="29" t="s">
        <v>4646</v>
      </c>
      <c r="B1119" s="29" t="s">
        <v>31</v>
      </c>
      <c r="C1119" s="29" t="s">
        <v>4515</v>
      </c>
      <c r="D1119" s="29" t="s">
        <v>4647</v>
      </c>
      <c r="E1119" s="29" t="s">
        <v>4648</v>
      </c>
      <c r="F1119" s="29" t="s">
        <v>4649</v>
      </c>
      <c r="G1119" s="35" t="s">
        <v>31</v>
      </c>
      <c r="H1119" s="35" t="s">
        <v>151</v>
      </c>
      <c r="I1119" s="36" t="s">
        <v>4650</v>
      </c>
      <c r="J1119" s="37"/>
      <c r="K1119" s="38"/>
      <c r="L1119" s="38"/>
      <c r="M1119" s="36" t="s">
        <v>60</v>
      </c>
      <c r="N1119" s="15" t="s">
        <v>152</v>
      </c>
      <c r="O1119" s="36" t="s">
        <v>4407</v>
      </c>
      <c r="P1119" s="36" t="str">
        <f t="shared" si="34"/>
        <v>API_地籍屬性_地段號查詢坐標_南投縣</v>
      </c>
      <c r="Q1119" s="36" t="s">
        <v>4649</v>
      </c>
      <c r="R1119" s="29" t="str">
        <f t="shared" si="35"/>
        <v>2dms_cadatt_v1_GetLandPositionLongitudeLatitude_M</v>
      </c>
      <c r="U1119" s="27" t="str">
        <f>_xlfn.XLOOKUP(表格1[[#This Row],[服務類別(英)]],參考2_服務標準對照!$B:$B,參考2_服務標準對照!$C:$C,"")&amp;""</f>
        <v/>
      </c>
      <c r="V1119" s="29" t="s">
        <v>14</v>
      </c>
      <c r="W1119" s="29" t="s">
        <v>4408</v>
      </c>
      <c r="X1119" s="29" t="s">
        <v>81</v>
      </c>
      <c r="Y1119" s="36" t="s">
        <v>83</v>
      </c>
      <c r="Z1119" s="36" t="s">
        <v>157</v>
      </c>
      <c r="AA1119" s="36" t="s">
        <v>4383</v>
      </c>
      <c r="AB1119" s="36"/>
      <c r="AC1119" s="36"/>
      <c r="AD1119" s="29" t="s">
        <v>96</v>
      </c>
      <c r="AE1119" s="36" t="str">
        <f>_xlfn.XLOOKUP(表格1[[#This Row],[唯一識別碼]],API清冊0707!B:B,API清冊0707!T:T,"")&amp;""</f>
        <v>有下拉選單</v>
      </c>
    </row>
    <row r="1120" spans="1:31" ht="204.75" customHeight="1" x14ac:dyDescent="0.4">
      <c r="A1120" s="29" t="s">
        <v>4651</v>
      </c>
      <c r="B1120" s="29" t="s">
        <v>31</v>
      </c>
      <c r="C1120" s="29" t="s">
        <v>4515</v>
      </c>
      <c r="D1120" s="29" t="s">
        <v>4652</v>
      </c>
      <c r="E1120" s="29" t="s">
        <v>4653</v>
      </c>
      <c r="F1120" s="29" t="s">
        <v>4654</v>
      </c>
      <c r="G1120" s="35" t="s">
        <v>31</v>
      </c>
      <c r="H1120" s="35" t="s">
        <v>151</v>
      </c>
      <c r="I1120" s="36" t="s">
        <v>4655</v>
      </c>
      <c r="J1120" s="37"/>
      <c r="K1120" s="38"/>
      <c r="L1120" s="38"/>
      <c r="M1120" s="36" t="s">
        <v>60</v>
      </c>
      <c r="N1120" s="15" t="s">
        <v>152</v>
      </c>
      <c r="O1120" s="36" t="s">
        <v>4407</v>
      </c>
      <c r="P1120" s="36" t="str">
        <f t="shared" si="34"/>
        <v>API_地籍屬性_地段號查詢坐標_屏東縣</v>
      </c>
      <c r="Q1120" s="36" t="s">
        <v>4654</v>
      </c>
      <c r="R1120" s="29" t="str">
        <f t="shared" si="35"/>
        <v>2dms_cadatt_v1_GetLandPositionLongitudeLatitude_T</v>
      </c>
      <c r="U1120" s="27" t="str">
        <f>_xlfn.XLOOKUP(表格1[[#This Row],[服務類別(英)]],參考2_服務標準對照!$B:$B,參考2_服務標準對照!$C:$C,"")&amp;""</f>
        <v/>
      </c>
      <c r="V1120" s="29" t="s">
        <v>14</v>
      </c>
      <c r="W1120" s="29" t="s">
        <v>4408</v>
      </c>
      <c r="X1120" s="29" t="s">
        <v>81</v>
      </c>
      <c r="Y1120" s="36" t="s">
        <v>83</v>
      </c>
      <c r="Z1120" s="36" t="s">
        <v>157</v>
      </c>
      <c r="AA1120" s="36" t="s">
        <v>4383</v>
      </c>
      <c r="AB1120" s="36"/>
      <c r="AC1120" s="36"/>
      <c r="AD1120" s="29" t="s">
        <v>96</v>
      </c>
      <c r="AE1120" s="36" t="str">
        <f>_xlfn.XLOOKUP(表格1[[#This Row],[唯一識別碼]],API清冊0707!B:B,API清冊0707!T:T,"")&amp;""</f>
        <v>有下拉選單</v>
      </c>
    </row>
    <row r="1121" spans="1:31" ht="204.75" customHeight="1" x14ac:dyDescent="0.4">
      <c r="A1121" s="29" t="s">
        <v>4656</v>
      </c>
      <c r="B1121" s="29" t="s">
        <v>31</v>
      </c>
      <c r="C1121" s="29" t="s">
        <v>4515</v>
      </c>
      <c r="D1121" s="29" t="s">
        <v>4657</v>
      </c>
      <c r="E1121" s="29" t="s">
        <v>4658</v>
      </c>
      <c r="F1121" s="29" t="s">
        <v>4659</v>
      </c>
      <c r="G1121" s="35" t="s">
        <v>31</v>
      </c>
      <c r="H1121" s="35" t="s">
        <v>151</v>
      </c>
      <c r="I1121" s="36" t="s">
        <v>4660</v>
      </c>
      <c r="J1121" s="37"/>
      <c r="K1121" s="38"/>
      <c r="L1121" s="38"/>
      <c r="M1121" s="36" t="s">
        <v>60</v>
      </c>
      <c r="N1121" s="15" t="s">
        <v>152</v>
      </c>
      <c r="O1121" s="36" t="s">
        <v>4407</v>
      </c>
      <c r="P1121" s="36" t="str">
        <f t="shared" si="34"/>
        <v>API_地籍屬性_地段號查詢坐標_苗栗縣</v>
      </c>
      <c r="Q1121" s="36" t="s">
        <v>4659</v>
      </c>
      <c r="R1121" s="29" t="str">
        <f t="shared" si="35"/>
        <v>2dms_cadatt_v1_GetLandPositionLongitudeLatitude_K</v>
      </c>
      <c r="U1121" s="27" t="str">
        <f>_xlfn.XLOOKUP(表格1[[#This Row],[服務類別(英)]],參考2_服務標準對照!$B:$B,參考2_服務標準對照!$C:$C,"")&amp;""</f>
        <v/>
      </c>
      <c r="V1121" s="29" t="s">
        <v>14</v>
      </c>
      <c r="W1121" s="29" t="s">
        <v>4408</v>
      </c>
      <c r="X1121" s="29" t="s">
        <v>81</v>
      </c>
      <c r="Y1121" s="36" t="s">
        <v>83</v>
      </c>
      <c r="Z1121" s="36" t="s">
        <v>157</v>
      </c>
      <c r="AA1121" s="36" t="s">
        <v>4383</v>
      </c>
      <c r="AB1121" s="36"/>
      <c r="AC1121" s="36"/>
      <c r="AD1121" s="29" t="s">
        <v>96</v>
      </c>
      <c r="AE1121" s="36" t="str">
        <f>_xlfn.XLOOKUP(表格1[[#This Row],[唯一識別碼]],API清冊0707!B:B,API清冊0707!T:T,"")&amp;""</f>
        <v>有下拉選單</v>
      </c>
    </row>
    <row r="1122" spans="1:31" ht="204.75" customHeight="1" x14ac:dyDescent="0.4">
      <c r="A1122" s="29" t="s">
        <v>4661</v>
      </c>
      <c r="B1122" s="29" t="s">
        <v>31</v>
      </c>
      <c r="C1122" s="29" t="s">
        <v>4515</v>
      </c>
      <c r="D1122" s="29" t="s">
        <v>4662</v>
      </c>
      <c r="E1122" s="29" t="s">
        <v>4663</v>
      </c>
      <c r="F1122" s="29" t="s">
        <v>4664</v>
      </c>
      <c r="G1122" s="35" t="s">
        <v>31</v>
      </c>
      <c r="H1122" s="35" t="s">
        <v>151</v>
      </c>
      <c r="I1122" s="36" t="s">
        <v>4665</v>
      </c>
      <c r="J1122" s="37"/>
      <c r="K1122" s="38"/>
      <c r="L1122" s="38"/>
      <c r="M1122" s="36" t="s">
        <v>60</v>
      </c>
      <c r="N1122" s="15" t="s">
        <v>152</v>
      </c>
      <c r="O1122" s="36" t="s">
        <v>4407</v>
      </c>
      <c r="P1122" s="36" t="str">
        <f t="shared" si="34"/>
        <v>API_地籍屬性_地段號查詢坐標_桃園市</v>
      </c>
      <c r="Q1122" s="36" t="s">
        <v>4664</v>
      </c>
      <c r="R1122" s="29" t="str">
        <f t="shared" si="35"/>
        <v>2dms_cadatt_v1_GetLandPositionLongitudeLatitude_H</v>
      </c>
      <c r="U1122" s="27" t="str">
        <f>_xlfn.XLOOKUP(表格1[[#This Row],[服務類別(英)]],參考2_服務標準對照!$B:$B,參考2_服務標準對照!$C:$C,"")&amp;""</f>
        <v/>
      </c>
      <c r="V1122" s="29" t="s">
        <v>14</v>
      </c>
      <c r="W1122" s="29" t="s">
        <v>4408</v>
      </c>
      <c r="X1122" s="29" t="s">
        <v>81</v>
      </c>
      <c r="Y1122" s="36" t="s">
        <v>83</v>
      </c>
      <c r="Z1122" s="36" t="s">
        <v>157</v>
      </c>
      <c r="AA1122" s="36" t="s">
        <v>4383</v>
      </c>
      <c r="AB1122" s="36"/>
      <c r="AC1122" s="36"/>
      <c r="AD1122" s="29" t="s">
        <v>96</v>
      </c>
      <c r="AE1122" s="36" t="str">
        <f>_xlfn.XLOOKUP(表格1[[#This Row],[唯一識別碼]],API清冊0707!B:B,API清冊0707!T:T,"")&amp;""</f>
        <v>有下拉選單</v>
      </c>
    </row>
    <row r="1123" spans="1:31" ht="204.75" customHeight="1" x14ac:dyDescent="0.4">
      <c r="A1123" s="29" t="s">
        <v>4666</v>
      </c>
      <c r="B1123" s="29" t="s">
        <v>31</v>
      </c>
      <c r="C1123" s="29" t="s">
        <v>4515</v>
      </c>
      <c r="D1123" s="29" t="s">
        <v>4667</v>
      </c>
      <c r="E1123" s="29" t="s">
        <v>4668</v>
      </c>
      <c r="F1123" s="29" t="s">
        <v>4669</v>
      </c>
      <c r="G1123" s="35" t="s">
        <v>31</v>
      </c>
      <c r="H1123" s="35" t="s">
        <v>151</v>
      </c>
      <c r="I1123" s="36" t="s">
        <v>4670</v>
      </c>
      <c r="J1123" s="37"/>
      <c r="K1123" s="38"/>
      <c r="L1123" s="38"/>
      <c r="M1123" s="36" t="s">
        <v>60</v>
      </c>
      <c r="N1123" s="15" t="s">
        <v>152</v>
      </c>
      <c r="O1123" s="36" t="s">
        <v>4407</v>
      </c>
      <c r="P1123" s="36" t="str">
        <f t="shared" si="34"/>
        <v>API_地籍屬性_地段號查詢坐標_高雄市</v>
      </c>
      <c r="Q1123" s="36" t="s">
        <v>4669</v>
      </c>
      <c r="R1123" s="29" t="str">
        <f t="shared" si="35"/>
        <v>2dms_cadatt_v1_GetLandPositionLongitudeLatitude_E</v>
      </c>
      <c r="U1123" s="27" t="str">
        <f>_xlfn.XLOOKUP(表格1[[#This Row],[服務類別(英)]],參考2_服務標準對照!$B:$B,參考2_服務標準對照!$C:$C,"")&amp;""</f>
        <v/>
      </c>
      <c r="V1123" s="29" t="s">
        <v>14</v>
      </c>
      <c r="W1123" s="29" t="s">
        <v>4408</v>
      </c>
      <c r="X1123" s="29" t="s">
        <v>81</v>
      </c>
      <c r="Y1123" s="36" t="s">
        <v>83</v>
      </c>
      <c r="Z1123" s="36" t="s">
        <v>157</v>
      </c>
      <c r="AA1123" s="36" t="s">
        <v>4383</v>
      </c>
      <c r="AB1123" s="36"/>
      <c r="AC1123" s="36"/>
      <c r="AD1123" s="29" t="s">
        <v>96</v>
      </c>
      <c r="AE1123" s="36" t="str">
        <f>_xlfn.XLOOKUP(表格1[[#This Row],[唯一識別碼]],API清冊0707!B:B,API清冊0707!T:T,"")&amp;""</f>
        <v>有下拉選單</v>
      </c>
    </row>
    <row r="1124" spans="1:31" ht="204.75" customHeight="1" x14ac:dyDescent="0.4">
      <c r="A1124" s="29" t="s">
        <v>4671</v>
      </c>
      <c r="B1124" s="29" t="s">
        <v>31</v>
      </c>
      <c r="C1124" s="29" t="s">
        <v>4515</v>
      </c>
      <c r="D1124" s="29" t="s">
        <v>4672</v>
      </c>
      <c r="E1124" s="29" t="s">
        <v>4673</v>
      </c>
      <c r="F1124" s="29" t="s">
        <v>4674</v>
      </c>
      <c r="G1124" s="35" t="s">
        <v>31</v>
      </c>
      <c r="H1124" s="35" t="s">
        <v>151</v>
      </c>
      <c r="I1124" s="36" t="s">
        <v>4675</v>
      </c>
      <c r="J1124" s="37"/>
      <c r="K1124" s="38"/>
      <c r="L1124" s="38"/>
      <c r="M1124" s="36" t="s">
        <v>60</v>
      </c>
      <c r="N1124" s="15" t="s">
        <v>152</v>
      </c>
      <c r="O1124" s="36" t="s">
        <v>4407</v>
      </c>
      <c r="P1124" s="36" t="str">
        <f t="shared" si="34"/>
        <v>API_地籍屬性_地段號查詢坐標_基隆市</v>
      </c>
      <c r="Q1124" s="36" t="s">
        <v>4674</v>
      </c>
      <c r="R1124" s="29" t="str">
        <f t="shared" si="35"/>
        <v>2dms_cadatt_v1_GetLandPositionLongitudeLatitude_C</v>
      </c>
      <c r="U1124" s="27" t="str">
        <f>_xlfn.XLOOKUP(表格1[[#This Row],[服務類別(英)]],參考2_服務標準對照!$B:$B,參考2_服務標準對照!$C:$C,"")&amp;""</f>
        <v/>
      </c>
      <c r="V1124" s="29" t="s">
        <v>14</v>
      </c>
      <c r="W1124" s="29" t="s">
        <v>4408</v>
      </c>
      <c r="X1124" s="29" t="s">
        <v>81</v>
      </c>
      <c r="Y1124" s="36" t="s">
        <v>83</v>
      </c>
      <c r="Z1124" s="36" t="s">
        <v>157</v>
      </c>
      <c r="AA1124" s="36" t="s">
        <v>4383</v>
      </c>
      <c r="AB1124" s="36"/>
      <c r="AC1124" s="36"/>
      <c r="AD1124" s="29" t="s">
        <v>96</v>
      </c>
      <c r="AE1124" s="36" t="str">
        <f>_xlfn.XLOOKUP(表格1[[#This Row],[唯一識別碼]],API清冊0707!B:B,API清冊0707!T:T,"")&amp;""</f>
        <v>有下拉選單</v>
      </c>
    </row>
    <row r="1125" spans="1:31" ht="204.75" customHeight="1" x14ac:dyDescent="0.4">
      <c r="A1125" s="29" t="s">
        <v>4676</v>
      </c>
      <c r="B1125" s="29" t="s">
        <v>31</v>
      </c>
      <c r="C1125" s="29" t="s">
        <v>4515</v>
      </c>
      <c r="D1125" s="29" t="s">
        <v>4677</v>
      </c>
      <c r="E1125" s="29" t="s">
        <v>4678</v>
      </c>
      <c r="F1125" s="29" t="s">
        <v>4679</v>
      </c>
      <c r="G1125" s="35" t="s">
        <v>31</v>
      </c>
      <c r="H1125" s="35" t="s">
        <v>151</v>
      </c>
      <c r="I1125" s="36" t="s">
        <v>4680</v>
      </c>
      <c r="J1125" s="37"/>
      <c r="K1125" s="38"/>
      <c r="L1125" s="38"/>
      <c r="M1125" s="36" t="s">
        <v>60</v>
      </c>
      <c r="N1125" s="15" t="s">
        <v>152</v>
      </c>
      <c r="O1125" s="36" t="s">
        <v>4407</v>
      </c>
      <c r="P1125" s="36" t="str">
        <f t="shared" si="34"/>
        <v>API_地籍屬性_地段號查詢坐標_連江縣</v>
      </c>
      <c r="Q1125" s="36" t="s">
        <v>4679</v>
      </c>
      <c r="R1125" s="29" t="str">
        <f t="shared" si="35"/>
        <v>2dms_cadatt_v1_GetLandPositionLongitudeLatitude_Z</v>
      </c>
      <c r="U1125" s="27" t="str">
        <f>_xlfn.XLOOKUP(表格1[[#This Row],[服務類別(英)]],參考2_服務標準對照!$B:$B,參考2_服務標準對照!$C:$C,"")&amp;""</f>
        <v/>
      </c>
      <c r="V1125" s="29" t="s">
        <v>14</v>
      </c>
      <c r="W1125" s="29" t="s">
        <v>4408</v>
      </c>
      <c r="X1125" s="29" t="s">
        <v>81</v>
      </c>
      <c r="Y1125" s="36" t="s">
        <v>83</v>
      </c>
      <c r="Z1125" s="36" t="s">
        <v>157</v>
      </c>
      <c r="AA1125" s="36" t="s">
        <v>4383</v>
      </c>
      <c r="AB1125" s="36"/>
      <c r="AC1125" s="36"/>
      <c r="AD1125" s="29" t="s">
        <v>96</v>
      </c>
      <c r="AE1125" s="36" t="str">
        <f>_xlfn.XLOOKUP(表格1[[#This Row],[唯一識別碼]],API清冊0707!B:B,API清冊0707!T:T,"")&amp;""</f>
        <v>有下拉選單</v>
      </c>
    </row>
    <row r="1126" spans="1:31" ht="204.75" customHeight="1" x14ac:dyDescent="0.4">
      <c r="A1126" s="29" t="s">
        <v>4681</v>
      </c>
      <c r="B1126" s="29" t="s">
        <v>31</v>
      </c>
      <c r="C1126" s="29" t="s">
        <v>4515</v>
      </c>
      <c r="D1126" s="29" t="s">
        <v>4682</v>
      </c>
      <c r="E1126" s="29" t="s">
        <v>4683</v>
      </c>
      <c r="F1126" s="29" t="s">
        <v>4684</v>
      </c>
      <c r="G1126" s="35" t="s">
        <v>31</v>
      </c>
      <c r="H1126" s="35" t="s">
        <v>151</v>
      </c>
      <c r="I1126" s="36" t="s">
        <v>4685</v>
      </c>
      <c r="J1126" s="37"/>
      <c r="K1126" s="38"/>
      <c r="L1126" s="38"/>
      <c r="M1126" s="36" t="s">
        <v>60</v>
      </c>
      <c r="N1126" s="15" t="s">
        <v>152</v>
      </c>
      <c r="O1126" s="36" t="s">
        <v>4407</v>
      </c>
      <c r="P1126" s="36" t="str">
        <f t="shared" si="34"/>
        <v>API_地籍屬性_地段號查詢坐標_雲林縣</v>
      </c>
      <c r="Q1126" s="36" t="s">
        <v>4684</v>
      </c>
      <c r="R1126" s="29" t="str">
        <f t="shared" si="35"/>
        <v>2dms_cadatt_v1_GetLandPositionLongitudeLatitude_P</v>
      </c>
      <c r="U1126" s="27" t="str">
        <f>_xlfn.XLOOKUP(表格1[[#This Row],[服務類別(英)]],參考2_服務標準對照!$B:$B,參考2_服務標準對照!$C:$C,"")&amp;""</f>
        <v/>
      </c>
      <c r="V1126" s="29" t="s">
        <v>14</v>
      </c>
      <c r="W1126" s="29" t="s">
        <v>4408</v>
      </c>
      <c r="X1126" s="29" t="s">
        <v>81</v>
      </c>
      <c r="Y1126" s="36" t="s">
        <v>83</v>
      </c>
      <c r="Z1126" s="36" t="s">
        <v>157</v>
      </c>
      <c r="AA1126" s="36" t="s">
        <v>4383</v>
      </c>
      <c r="AB1126" s="36"/>
      <c r="AC1126" s="36"/>
      <c r="AD1126" s="29" t="s">
        <v>96</v>
      </c>
      <c r="AE1126" s="36" t="str">
        <f>_xlfn.XLOOKUP(表格1[[#This Row],[唯一識別碼]],API清冊0707!B:B,API清冊0707!T:T,"")&amp;""</f>
        <v>有下拉選單</v>
      </c>
    </row>
    <row r="1127" spans="1:31" ht="204.75" customHeight="1" x14ac:dyDescent="0.4">
      <c r="A1127" s="29" t="s">
        <v>4686</v>
      </c>
      <c r="B1127" s="29" t="s">
        <v>31</v>
      </c>
      <c r="C1127" s="29" t="s">
        <v>4515</v>
      </c>
      <c r="D1127" s="29" t="s">
        <v>4687</v>
      </c>
      <c r="E1127" s="29" t="s">
        <v>4688</v>
      </c>
      <c r="F1127" s="29" t="s">
        <v>4689</v>
      </c>
      <c r="G1127" s="35" t="s">
        <v>31</v>
      </c>
      <c r="H1127" s="35" t="s">
        <v>151</v>
      </c>
      <c r="I1127" s="36" t="s">
        <v>4690</v>
      </c>
      <c r="J1127" s="37"/>
      <c r="K1127" s="38"/>
      <c r="L1127" s="38"/>
      <c r="M1127" s="36" t="s">
        <v>60</v>
      </c>
      <c r="N1127" s="15" t="s">
        <v>152</v>
      </c>
      <c r="O1127" s="36" t="s">
        <v>4407</v>
      </c>
      <c r="P1127" s="36" t="str">
        <f t="shared" si="34"/>
        <v>API_地籍屬性_地段號查詢坐標_新北市</v>
      </c>
      <c r="Q1127" s="36" t="s">
        <v>4689</v>
      </c>
      <c r="R1127" s="29" t="str">
        <f t="shared" si="35"/>
        <v>2dms_cadatt_v1_GetLandPositionLongitudeLatitude_F</v>
      </c>
      <c r="U1127" s="27" t="str">
        <f>_xlfn.XLOOKUP(表格1[[#This Row],[服務類別(英)]],參考2_服務標準對照!$B:$B,參考2_服務標準對照!$C:$C,"")&amp;""</f>
        <v/>
      </c>
      <c r="V1127" s="29" t="s">
        <v>14</v>
      </c>
      <c r="W1127" s="29" t="s">
        <v>4408</v>
      </c>
      <c r="X1127" s="29" t="s">
        <v>81</v>
      </c>
      <c r="Y1127" s="36" t="s">
        <v>83</v>
      </c>
      <c r="Z1127" s="36" t="s">
        <v>157</v>
      </c>
      <c r="AA1127" s="36" t="s">
        <v>4383</v>
      </c>
      <c r="AB1127" s="36"/>
      <c r="AC1127" s="36"/>
      <c r="AD1127" s="29" t="s">
        <v>96</v>
      </c>
      <c r="AE1127" s="36" t="str">
        <f>_xlfn.XLOOKUP(表格1[[#This Row],[唯一識別碼]],API清冊0707!B:B,API清冊0707!T:T,"")&amp;""</f>
        <v>有下拉選單</v>
      </c>
    </row>
    <row r="1128" spans="1:31" ht="204.75" customHeight="1" x14ac:dyDescent="0.4">
      <c r="A1128" s="29" t="s">
        <v>4691</v>
      </c>
      <c r="B1128" s="29" t="s">
        <v>31</v>
      </c>
      <c r="C1128" s="29" t="s">
        <v>4515</v>
      </c>
      <c r="D1128" s="29" t="s">
        <v>4692</v>
      </c>
      <c r="E1128" s="29" t="s">
        <v>4693</v>
      </c>
      <c r="F1128" s="29" t="s">
        <v>4694</v>
      </c>
      <c r="G1128" s="35" t="s">
        <v>31</v>
      </c>
      <c r="H1128" s="35" t="s">
        <v>151</v>
      </c>
      <c r="I1128" s="36" t="s">
        <v>4695</v>
      </c>
      <c r="J1128" s="37"/>
      <c r="K1128" s="38"/>
      <c r="L1128" s="38"/>
      <c r="M1128" s="36" t="s">
        <v>60</v>
      </c>
      <c r="N1128" s="15" t="s">
        <v>152</v>
      </c>
      <c r="O1128" s="36" t="s">
        <v>4407</v>
      </c>
      <c r="P1128" s="36" t="str">
        <f t="shared" si="34"/>
        <v>API_地籍屬性_地段號查詢坐標_新竹市</v>
      </c>
      <c r="Q1128" s="36" t="s">
        <v>4694</v>
      </c>
      <c r="R1128" s="29" t="str">
        <f t="shared" si="35"/>
        <v>2dms_cadatt_v1_GetLandPositionLongitudeLatitude_O</v>
      </c>
      <c r="U1128" s="27" t="str">
        <f>_xlfn.XLOOKUP(表格1[[#This Row],[服務類別(英)]],參考2_服務標準對照!$B:$B,參考2_服務標準對照!$C:$C,"")&amp;""</f>
        <v/>
      </c>
      <c r="V1128" s="29" t="s">
        <v>14</v>
      </c>
      <c r="W1128" s="29" t="s">
        <v>4408</v>
      </c>
      <c r="X1128" s="29" t="s">
        <v>81</v>
      </c>
      <c r="Y1128" s="36" t="s">
        <v>83</v>
      </c>
      <c r="Z1128" s="36" t="s">
        <v>157</v>
      </c>
      <c r="AA1128" s="36" t="s">
        <v>4383</v>
      </c>
      <c r="AB1128" s="36"/>
      <c r="AC1128" s="36"/>
      <c r="AD1128" s="29" t="s">
        <v>96</v>
      </c>
      <c r="AE1128" s="36" t="str">
        <f>_xlfn.XLOOKUP(表格1[[#This Row],[唯一識別碼]],API清冊0707!B:B,API清冊0707!T:T,"")&amp;""</f>
        <v>有下拉選單</v>
      </c>
    </row>
    <row r="1129" spans="1:31" ht="204.75" customHeight="1" x14ac:dyDescent="0.4">
      <c r="A1129" s="29" t="s">
        <v>4696</v>
      </c>
      <c r="B1129" s="29" t="s">
        <v>31</v>
      </c>
      <c r="C1129" s="29" t="s">
        <v>4515</v>
      </c>
      <c r="D1129" s="29" t="s">
        <v>4697</v>
      </c>
      <c r="E1129" s="29" t="s">
        <v>4698</v>
      </c>
      <c r="F1129" s="29" t="s">
        <v>4699</v>
      </c>
      <c r="G1129" s="35" t="s">
        <v>31</v>
      </c>
      <c r="H1129" s="35" t="s">
        <v>151</v>
      </c>
      <c r="I1129" s="36" t="s">
        <v>4700</v>
      </c>
      <c r="J1129" s="37"/>
      <c r="K1129" s="38"/>
      <c r="L1129" s="38"/>
      <c r="M1129" s="36" t="s">
        <v>60</v>
      </c>
      <c r="N1129" s="15" t="s">
        <v>152</v>
      </c>
      <c r="O1129" s="36" t="s">
        <v>4407</v>
      </c>
      <c r="P1129" s="36" t="str">
        <f t="shared" si="34"/>
        <v>API_地籍屬性_地段號查詢坐標_新竹縣</v>
      </c>
      <c r="Q1129" s="36" t="s">
        <v>4699</v>
      </c>
      <c r="R1129" s="29" t="str">
        <f t="shared" si="35"/>
        <v>2dms_cadatt_v1_GetLandPositionLongitudeLatitude_J</v>
      </c>
      <c r="U1129" s="27" t="str">
        <f>_xlfn.XLOOKUP(表格1[[#This Row],[服務類別(英)]],參考2_服務標準對照!$B:$B,參考2_服務標準對照!$C:$C,"")&amp;""</f>
        <v/>
      </c>
      <c r="V1129" s="29" t="s">
        <v>14</v>
      </c>
      <c r="W1129" s="29" t="s">
        <v>4408</v>
      </c>
      <c r="X1129" s="29" t="s">
        <v>81</v>
      </c>
      <c r="Y1129" s="36" t="s">
        <v>83</v>
      </c>
      <c r="Z1129" s="36" t="s">
        <v>157</v>
      </c>
      <c r="AA1129" s="36" t="s">
        <v>4383</v>
      </c>
      <c r="AB1129" s="36"/>
      <c r="AC1129" s="36"/>
      <c r="AD1129" s="29" t="s">
        <v>96</v>
      </c>
      <c r="AE1129" s="36" t="str">
        <f>_xlfn.XLOOKUP(表格1[[#This Row],[唯一識別碼]],API清冊0707!B:B,API清冊0707!T:T,"")&amp;""</f>
        <v>有下拉選單</v>
      </c>
    </row>
    <row r="1130" spans="1:31" ht="204.75" customHeight="1" x14ac:dyDescent="0.4">
      <c r="A1130" s="29" t="s">
        <v>4701</v>
      </c>
      <c r="B1130" s="29" t="s">
        <v>31</v>
      </c>
      <c r="C1130" s="29" t="s">
        <v>4515</v>
      </c>
      <c r="D1130" s="29" t="s">
        <v>4702</v>
      </c>
      <c r="E1130" s="29" t="s">
        <v>4703</v>
      </c>
      <c r="F1130" s="29" t="s">
        <v>4704</v>
      </c>
      <c r="G1130" s="35" t="s">
        <v>31</v>
      </c>
      <c r="H1130" s="35" t="s">
        <v>151</v>
      </c>
      <c r="I1130" s="36" t="s">
        <v>4705</v>
      </c>
      <c r="J1130" s="37"/>
      <c r="K1130" s="38"/>
      <c r="L1130" s="38"/>
      <c r="M1130" s="36" t="s">
        <v>60</v>
      </c>
      <c r="N1130" s="15" t="s">
        <v>152</v>
      </c>
      <c r="O1130" s="36" t="s">
        <v>4407</v>
      </c>
      <c r="P1130" s="36" t="str">
        <f t="shared" si="34"/>
        <v>API_地籍屬性_地段號查詢坐標_嘉義市</v>
      </c>
      <c r="Q1130" s="36" t="s">
        <v>4704</v>
      </c>
      <c r="R1130" s="29" t="str">
        <f t="shared" si="35"/>
        <v>2dms_cadatt_v1_GetLandPositionLongitudeLatitude_I</v>
      </c>
      <c r="U1130" s="27" t="str">
        <f>_xlfn.XLOOKUP(表格1[[#This Row],[服務類別(英)]],參考2_服務標準對照!$B:$B,參考2_服務標準對照!$C:$C,"")&amp;""</f>
        <v/>
      </c>
      <c r="V1130" s="29" t="s">
        <v>14</v>
      </c>
      <c r="W1130" s="29" t="s">
        <v>4408</v>
      </c>
      <c r="X1130" s="29" t="s">
        <v>81</v>
      </c>
      <c r="Y1130" s="36" t="s">
        <v>83</v>
      </c>
      <c r="Z1130" s="36" t="s">
        <v>157</v>
      </c>
      <c r="AA1130" s="36" t="s">
        <v>4383</v>
      </c>
      <c r="AB1130" s="36"/>
      <c r="AC1130" s="36"/>
      <c r="AD1130" s="29" t="s">
        <v>96</v>
      </c>
      <c r="AE1130" s="36" t="str">
        <f>_xlfn.XLOOKUP(表格1[[#This Row],[唯一識別碼]],API清冊0707!B:B,API清冊0707!T:T,"")&amp;""</f>
        <v>有下拉選單</v>
      </c>
    </row>
    <row r="1131" spans="1:31" ht="204.75" customHeight="1" x14ac:dyDescent="0.4">
      <c r="A1131" s="29" t="s">
        <v>4706</v>
      </c>
      <c r="B1131" s="29" t="s">
        <v>31</v>
      </c>
      <c r="C1131" s="29" t="s">
        <v>4515</v>
      </c>
      <c r="D1131" s="29" t="s">
        <v>4707</v>
      </c>
      <c r="E1131" s="29" t="s">
        <v>4708</v>
      </c>
      <c r="F1131" s="29" t="s">
        <v>4709</v>
      </c>
      <c r="G1131" s="35" t="s">
        <v>31</v>
      </c>
      <c r="H1131" s="35" t="s">
        <v>151</v>
      </c>
      <c r="I1131" s="36" t="s">
        <v>4710</v>
      </c>
      <c r="J1131" s="37"/>
      <c r="K1131" s="38"/>
      <c r="L1131" s="38"/>
      <c r="M1131" s="36" t="s">
        <v>60</v>
      </c>
      <c r="N1131" s="15" t="s">
        <v>152</v>
      </c>
      <c r="O1131" s="36" t="s">
        <v>4407</v>
      </c>
      <c r="P1131" s="36" t="str">
        <f t="shared" si="34"/>
        <v>API_地籍屬性_地段號查詢坐標_嘉義縣</v>
      </c>
      <c r="Q1131" s="36" t="s">
        <v>4709</v>
      </c>
      <c r="R1131" s="29" t="str">
        <f t="shared" si="35"/>
        <v>2dms_cadatt_v1_GetLandPositionLongitudeLatitude_Q</v>
      </c>
      <c r="U1131" s="27" t="str">
        <f>_xlfn.XLOOKUP(表格1[[#This Row],[服務類別(英)]],參考2_服務標準對照!$B:$B,參考2_服務標準對照!$C:$C,"")&amp;""</f>
        <v/>
      </c>
      <c r="V1131" s="29" t="s">
        <v>14</v>
      </c>
      <c r="W1131" s="29" t="s">
        <v>4408</v>
      </c>
      <c r="X1131" s="29" t="s">
        <v>81</v>
      </c>
      <c r="Y1131" s="36" t="s">
        <v>83</v>
      </c>
      <c r="Z1131" s="36" t="s">
        <v>157</v>
      </c>
      <c r="AA1131" s="36" t="s">
        <v>4383</v>
      </c>
      <c r="AB1131" s="36"/>
      <c r="AC1131" s="36"/>
      <c r="AD1131" s="29" t="s">
        <v>96</v>
      </c>
      <c r="AE1131" s="36" t="str">
        <f>_xlfn.XLOOKUP(表格1[[#This Row],[唯一識別碼]],API清冊0707!B:B,API清冊0707!T:T,"")&amp;""</f>
        <v>有下拉選單</v>
      </c>
    </row>
    <row r="1132" spans="1:31" ht="204.75" customHeight="1" x14ac:dyDescent="0.4">
      <c r="A1132" s="29" t="s">
        <v>4711</v>
      </c>
      <c r="B1132" s="29" t="s">
        <v>31</v>
      </c>
      <c r="C1132" s="29" t="s">
        <v>4515</v>
      </c>
      <c r="D1132" s="29" t="s">
        <v>4712</v>
      </c>
      <c r="E1132" s="29" t="s">
        <v>4713</v>
      </c>
      <c r="F1132" s="29" t="s">
        <v>4714</v>
      </c>
      <c r="G1132" s="35" t="s">
        <v>31</v>
      </c>
      <c r="H1132" s="35" t="s">
        <v>151</v>
      </c>
      <c r="I1132" s="36" t="s">
        <v>4715</v>
      </c>
      <c r="J1132" s="37"/>
      <c r="K1132" s="38"/>
      <c r="L1132" s="38"/>
      <c r="M1132" s="36" t="s">
        <v>60</v>
      </c>
      <c r="N1132" s="15" t="s">
        <v>152</v>
      </c>
      <c r="O1132" s="36" t="s">
        <v>4407</v>
      </c>
      <c r="P1132" s="36" t="str">
        <f t="shared" si="34"/>
        <v>API_地籍屬性_地段號查詢坐標_彰化縣</v>
      </c>
      <c r="Q1132" s="36" t="s">
        <v>4714</v>
      </c>
      <c r="R1132" s="29" t="str">
        <f t="shared" si="35"/>
        <v>2dms_cadatt_v1_GetLandPositionLongitudeLatitude_N</v>
      </c>
      <c r="U1132" s="27" t="str">
        <f>_xlfn.XLOOKUP(表格1[[#This Row],[服務類別(英)]],參考2_服務標準對照!$B:$B,參考2_服務標準對照!$C:$C,"")&amp;""</f>
        <v/>
      </c>
      <c r="V1132" s="29" t="s">
        <v>14</v>
      </c>
      <c r="W1132" s="29" t="s">
        <v>4408</v>
      </c>
      <c r="X1132" s="29" t="s">
        <v>81</v>
      </c>
      <c r="Y1132" s="36" t="s">
        <v>83</v>
      </c>
      <c r="Z1132" s="36" t="s">
        <v>157</v>
      </c>
      <c r="AA1132" s="36" t="s">
        <v>4383</v>
      </c>
      <c r="AB1132" s="36"/>
      <c r="AC1132" s="36"/>
      <c r="AD1132" s="29" t="s">
        <v>96</v>
      </c>
      <c r="AE1132" s="36" t="str">
        <f>_xlfn.XLOOKUP(表格1[[#This Row],[唯一識別碼]],API清冊0707!B:B,API清冊0707!T:T,"")&amp;""</f>
        <v>有下拉選單</v>
      </c>
    </row>
    <row r="1133" spans="1:31" ht="204.75" customHeight="1" x14ac:dyDescent="0.4">
      <c r="A1133" s="29" t="s">
        <v>4716</v>
      </c>
      <c r="B1133" s="29" t="s">
        <v>31</v>
      </c>
      <c r="C1133" s="29" t="s">
        <v>4515</v>
      </c>
      <c r="D1133" s="29" t="s">
        <v>4717</v>
      </c>
      <c r="E1133" s="29" t="s">
        <v>4718</v>
      </c>
      <c r="F1133" s="29" t="s">
        <v>4719</v>
      </c>
      <c r="G1133" s="35" t="s">
        <v>31</v>
      </c>
      <c r="H1133" s="35" t="s">
        <v>151</v>
      </c>
      <c r="I1133" s="36" t="s">
        <v>4720</v>
      </c>
      <c r="J1133" s="37"/>
      <c r="K1133" s="38"/>
      <c r="L1133" s="38"/>
      <c r="M1133" s="36" t="s">
        <v>60</v>
      </c>
      <c r="N1133" s="15" t="s">
        <v>152</v>
      </c>
      <c r="O1133" s="36" t="s">
        <v>4407</v>
      </c>
      <c r="P1133" s="36" t="str">
        <f t="shared" si="34"/>
        <v>API_地籍屬性_地段號查詢坐標_臺中市</v>
      </c>
      <c r="Q1133" s="36" t="s">
        <v>4719</v>
      </c>
      <c r="R1133" s="29" t="str">
        <f t="shared" si="35"/>
        <v>2dms_cadatt_v1_GetLandPositionLongitudeLatitude_B</v>
      </c>
      <c r="U1133" s="27" t="str">
        <f>_xlfn.XLOOKUP(表格1[[#This Row],[服務類別(英)]],參考2_服務標準對照!$B:$B,參考2_服務標準對照!$C:$C,"")&amp;""</f>
        <v/>
      </c>
      <c r="V1133" s="29" t="s">
        <v>14</v>
      </c>
      <c r="W1133" s="29" t="s">
        <v>4408</v>
      </c>
      <c r="X1133" s="29" t="s">
        <v>81</v>
      </c>
      <c r="Y1133" s="36" t="s">
        <v>83</v>
      </c>
      <c r="Z1133" s="36" t="s">
        <v>157</v>
      </c>
      <c r="AA1133" s="36" t="s">
        <v>4383</v>
      </c>
      <c r="AB1133" s="36"/>
      <c r="AC1133" s="36"/>
      <c r="AD1133" s="29" t="s">
        <v>96</v>
      </c>
      <c r="AE1133" s="36" t="str">
        <f>_xlfn.XLOOKUP(表格1[[#This Row],[唯一識別碼]],API清冊0707!B:B,API清冊0707!T:T,"")&amp;""</f>
        <v>有下拉選單</v>
      </c>
    </row>
    <row r="1134" spans="1:31" ht="204.75" customHeight="1" x14ac:dyDescent="0.4">
      <c r="A1134" s="29" t="s">
        <v>4721</v>
      </c>
      <c r="B1134" s="29" t="s">
        <v>31</v>
      </c>
      <c r="C1134" s="29" t="s">
        <v>4515</v>
      </c>
      <c r="D1134" s="29" t="s">
        <v>4722</v>
      </c>
      <c r="E1134" s="29" t="s">
        <v>4723</v>
      </c>
      <c r="F1134" s="29" t="s">
        <v>4724</v>
      </c>
      <c r="G1134" s="35" t="s">
        <v>31</v>
      </c>
      <c r="H1134" s="35" t="s">
        <v>151</v>
      </c>
      <c r="I1134" s="36" t="s">
        <v>4725</v>
      </c>
      <c r="J1134" s="37"/>
      <c r="K1134" s="38"/>
      <c r="L1134" s="38"/>
      <c r="M1134" s="36" t="s">
        <v>60</v>
      </c>
      <c r="N1134" s="15" t="s">
        <v>152</v>
      </c>
      <c r="O1134" s="36" t="s">
        <v>4407</v>
      </c>
      <c r="P1134" s="36" t="str">
        <f t="shared" si="34"/>
        <v>API_地籍屬性_地段號查詢坐標_臺北市</v>
      </c>
      <c r="Q1134" s="36" t="s">
        <v>4724</v>
      </c>
      <c r="R1134" s="29" t="str">
        <f t="shared" si="35"/>
        <v>2dms_cadatt_v1_GetLandPositionLongitudeLatitude_A</v>
      </c>
      <c r="U1134" s="27" t="str">
        <f>_xlfn.XLOOKUP(表格1[[#This Row],[服務類別(英)]],參考2_服務標準對照!$B:$B,參考2_服務標準對照!$C:$C,"")&amp;""</f>
        <v/>
      </c>
      <c r="V1134" s="29" t="s">
        <v>14</v>
      </c>
      <c r="W1134" s="29" t="s">
        <v>4408</v>
      </c>
      <c r="X1134" s="29" t="s">
        <v>81</v>
      </c>
      <c r="Y1134" s="36" t="s">
        <v>83</v>
      </c>
      <c r="Z1134" s="36" t="s">
        <v>157</v>
      </c>
      <c r="AA1134" s="36" t="s">
        <v>4383</v>
      </c>
      <c r="AB1134" s="36"/>
      <c r="AC1134" s="36"/>
      <c r="AD1134" s="29" t="s">
        <v>96</v>
      </c>
      <c r="AE1134" s="36" t="str">
        <f>_xlfn.XLOOKUP(表格1[[#This Row],[唯一識別碼]],API清冊0707!B:B,API清冊0707!T:T,"")&amp;""</f>
        <v>有下拉選單</v>
      </c>
    </row>
    <row r="1135" spans="1:31" ht="204.75" customHeight="1" x14ac:dyDescent="0.4">
      <c r="A1135" s="29" t="s">
        <v>4726</v>
      </c>
      <c r="B1135" s="29" t="s">
        <v>31</v>
      </c>
      <c r="C1135" s="29" t="s">
        <v>4515</v>
      </c>
      <c r="D1135" s="29" t="s">
        <v>4727</v>
      </c>
      <c r="E1135" s="29" t="s">
        <v>4728</v>
      </c>
      <c r="F1135" s="29" t="s">
        <v>4729</v>
      </c>
      <c r="G1135" s="35" t="s">
        <v>31</v>
      </c>
      <c r="H1135" s="35" t="s">
        <v>151</v>
      </c>
      <c r="I1135" s="36" t="s">
        <v>4730</v>
      </c>
      <c r="J1135" s="37"/>
      <c r="K1135" s="38"/>
      <c r="L1135" s="38"/>
      <c r="M1135" s="36" t="s">
        <v>60</v>
      </c>
      <c r="N1135" s="15" t="s">
        <v>152</v>
      </c>
      <c r="O1135" s="36" t="s">
        <v>4407</v>
      </c>
      <c r="P1135" s="36" t="str">
        <f t="shared" si="34"/>
        <v>API_地籍屬性_地段號查詢坐標_臺東縣</v>
      </c>
      <c r="Q1135" s="36" t="s">
        <v>4729</v>
      </c>
      <c r="R1135" s="29" t="str">
        <f t="shared" si="35"/>
        <v>2dms_cadatt_v1_GetLandPositionLongitudeLatitude_V</v>
      </c>
      <c r="U1135" s="27" t="str">
        <f>_xlfn.XLOOKUP(表格1[[#This Row],[服務類別(英)]],參考2_服務標準對照!$B:$B,參考2_服務標準對照!$C:$C,"")&amp;""</f>
        <v/>
      </c>
      <c r="V1135" s="29" t="s">
        <v>14</v>
      </c>
      <c r="W1135" s="29" t="s">
        <v>4408</v>
      </c>
      <c r="X1135" s="29" t="s">
        <v>81</v>
      </c>
      <c r="Y1135" s="36" t="s">
        <v>83</v>
      </c>
      <c r="Z1135" s="36" t="s">
        <v>157</v>
      </c>
      <c r="AA1135" s="36" t="s">
        <v>4383</v>
      </c>
      <c r="AB1135" s="36"/>
      <c r="AC1135" s="36"/>
      <c r="AD1135" s="29" t="s">
        <v>96</v>
      </c>
      <c r="AE1135" s="36" t="str">
        <f>_xlfn.XLOOKUP(表格1[[#This Row],[唯一識別碼]],API清冊0707!B:B,API清冊0707!T:T,"")&amp;""</f>
        <v>有下拉選單</v>
      </c>
    </row>
    <row r="1136" spans="1:31" ht="204.75" customHeight="1" x14ac:dyDescent="0.4">
      <c r="A1136" s="29" t="s">
        <v>4731</v>
      </c>
      <c r="B1136" s="29" t="s">
        <v>31</v>
      </c>
      <c r="C1136" s="29" t="s">
        <v>4515</v>
      </c>
      <c r="D1136" s="29" t="s">
        <v>4732</v>
      </c>
      <c r="E1136" s="29" t="s">
        <v>4733</v>
      </c>
      <c r="F1136" s="29" t="s">
        <v>4734</v>
      </c>
      <c r="G1136" s="35" t="s">
        <v>31</v>
      </c>
      <c r="H1136" s="35" t="s">
        <v>151</v>
      </c>
      <c r="I1136" s="36" t="s">
        <v>4735</v>
      </c>
      <c r="J1136" s="37"/>
      <c r="K1136" s="38"/>
      <c r="L1136" s="38"/>
      <c r="M1136" s="36" t="s">
        <v>60</v>
      </c>
      <c r="N1136" s="15" t="s">
        <v>152</v>
      </c>
      <c r="O1136" s="36" t="s">
        <v>4407</v>
      </c>
      <c r="P1136" s="36" t="str">
        <f t="shared" si="34"/>
        <v>API_地籍屬性_地段號查詢坐標_臺南市</v>
      </c>
      <c r="Q1136" s="36" t="s">
        <v>4734</v>
      </c>
      <c r="R1136" s="29" t="str">
        <f t="shared" si="35"/>
        <v>2dms_cadatt_v1_GetLandPositionLongitudeLatitude_D</v>
      </c>
      <c r="U1136" s="27" t="str">
        <f>_xlfn.XLOOKUP(表格1[[#This Row],[服務類別(英)]],參考2_服務標準對照!$B:$B,參考2_服務標準對照!$C:$C,"")&amp;""</f>
        <v/>
      </c>
      <c r="V1136" s="29" t="s">
        <v>14</v>
      </c>
      <c r="W1136" s="29" t="s">
        <v>4408</v>
      </c>
      <c r="X1136" s="29" t="s">
        <v>81</v>
      </c>
      <c r="Y1136" s="36" t="s">
        <v>83</v>
      </c>
      <c r="Z1136" s="36" t="s">
        <v>157</v>
      </c>
      <c r="AA1136" s="36" t="s">
        <v>4383</v>
      </c>
      <c r="AB1136" s="36"/>
      <c r="AC1136" s="36"/>
      <c r="AD1136" s="29" t="s">
        <v>96</v>
      </c>
      <c r="AE1136" s="36" t="str">
        <f>_xlfn.XLOOKUP(表格1[[#This Row],[唯一識別碼]],API清冊0707!B:B,API清冊0707!T:T,"")&amp;""</f>
        <v>有下拉選單</v>
      </c>
    </row>
    <row r="1137" spans="1:31" ht="204.75" customHeight="1" x14ac:dyDescent="0.4">
      <c r="A1137" s="29" t="s">
        <v>4736</v>
      </c>
      <c r="B1137" s="29" t="s">
        <v>31</v>
      </c>
      <c r="C1137" s="29" t="s">
        <v>4515</v>
      </c>
      <c r="D1137" s="29" t="s">
        <v>4737</v>
      </c>
      <c r="E1137" s="29" t="s">
        <v>4738</v>
      </c>
      <c r="F1137" s="29" t="s">
        <v>4739</v>
      </c>
      <c r="G1137" s="35" t="s">
        <v>31</v>
      </c>
      <c r="H1137" s="35" t="s">
        <v>151</v>
      </c>
      <c r="I1137" s="36" t="s">
        <v>4740</v>
      </c>
      <c r="J1137" s="37"/>
      <c r="K1137" s="38"/>
      <c r="L1137" s="38"/>
      <c r="M1137" s="36" t="s">
        <v>60</v>
      </c>
      <c r="N1137" s="15" t="s">
        <v>152</v>
      </c>
      <c r="O1137" s="36" t="s">
        <v>4407</v>
      </c>
      <c r="P1137" s="36" t="str">
        <f t="shared" si="34"/>
        <v>API_地籍屬性_地段號查詢坐標_澎湖縣</v>
      </c>
      <c r="Q1137" s="36" t="s">
        <v>4739</v>
      </c>
      <c r="R1137" s="29" t="str">
        <f t="shared" si="35"/>
        <v>2dms_cadatt_v1_GetLandPositionLongitudeLatitude_X</v>
      </c>
      <c r="U1137" s="27" t="str">
        <f>_xlfn.XLOOKUP(表格1[[#This Row],[服務類別(英)]],參考2_服務標準對照!$B:$B,參考2_服務標準對照!$C:$C,"")&amp;""</f>
        <v/>
      </c>
      <c r="V1137" s="29" t="s">
        <v>14</v>
      </c>
      <c r="W1137" s="29" t="s">
        <v>4408</v>
      </c>
      <c r="X1137" s="29" t="s">
        <v>81</v>
      </c>
      <c r="Y1137" s="36" t="s">
        <v>83</v>
      </c>
      <c r="Z1137" s="36" t="s">
        <v>157</v>
      </c>
      <c r="AA1137" s="36" t="s">
        <v>4383</v>
      </c>
      <c r="AB1137" s="36"/>
      <c r="AC1137" s="36"/>
      <c r="AD1137" s="29" t="s">
        <v>96</v>
      </c>
      <c r="AE1137" s="36" t="str">
        <f>_xlfn.XLOOKUP(表格1[[#This Row],[唯一識別碼]],API清冊0707!B:B,API清冊0707!T:T,"")&amp;""</f>
        <v>有下拉選單</v>
      </c>
    </row>
    <row r="1138" spans="1:31" ht="126.75" customHeight="1" x14ac:dyDescent="0.4">
      <c r="A1138" s="29" t="s">
        <v>4741</v>
      </c>
      <c r="B1138" s="29"/>
      <c r="C1138" s="29"/>
      <c r="D1138" s="29" t="s">
        <v>4742</v>
      </c>
      <c r="E1138" s="29" t="s">
        <v>4743</v>
      </c>
      <c r="F1138" s="29" t="s">
        <v>4744</v>
      </c>
      <c r="G1138" s="35"/>
      <c r="H1138" s="35" t="s">
        <v>151</v>
      </c>
      <c r="I1138" s="36" t="s">
        <v>4741</v>
      </c>
      <c r="J1138" s="37"/>
      <c r="K1138" s="38"/>
      <c r="L1138" s="38"/>
      <c r="M1138" s="36" t="s">
        <v>60</v>
      </c>
      <c r="N1138" s="15" t="s">
        <v>152</v>
      </c>
      <c r="O1138" s="36" t="s">
        <v>4407</v>
      </c>
      <c r="P1138" s="36" t="str">
        <f t="shared" si="34"/>
        <v>API_地籍屬性_坐標查地段號_全國</v>
      </c>
      <c r="Q1138" s="36" t="s">
        <v>4744</v>
      </c>
      <c r="R1138" s="29" t="str">
        <f t="shared" si="35"/>
        <v>2dms_cadatt_v1_QryTileMapIndex1</v>
      </c>
      <c r="U1138" s="27" t="str">
        <f>_xlfn.XLOOKUP(表格1[[#This Row],[服務類別(英)]],參考2_服務標準對照!$B:$B,參考2_服務標準對照!$C:$C,"")&amp;""</f>
        <v/>
      </c>
      <c r="V1138" s="29" t="s">
        <v>14</v>
      </c>
      <c r="W1138" s="29" t="s">
        <v>4408</v>
      </c>
      <c r="X1138" s="29" t="s">
        <v>81</v>
      </c>
      <c r="Y1138" s="36" t="s">
        <v>83</v>
      </c>
      <c r="Z1138" s="36" t="s">
        <v>157</v>
      </c>
      <c r="AA1138" s="36" t="s">
        <v>4383</v>
      </c>
      <c r="AB1138" s="36"/>
      <c r="AC1138" s="36"/>
      <c r="AD1138" s="29" t="s">
        <v>119</v>
      </c>
      <c r="AE1138" s="36" t="str">
        <f>_xlfn.XLOOKUP(表格1[[#This Row],[唯一識別碼]],API清冊0707!B:B,API清冊0707!T:T,"")&amp;""</f>
        <v>無下拉選單</v>
      </c>
    </row>
    <row r="1139" spans="1:31" ht="126.75" customHeight="1" x14ac:dyDescent="0.4">
      <c r="A1139" s="29" t="s">
        <v>4745</v>
      </c>
      <c r="B1139" s="29"/>
      <c r="C1139" s="29"/>
      <c r="D1139" s="29" t="s">
        <v>4746</v>
      </c>
      <c r="E1139" s="29" t="s">
        <v>4747</v>
      </c>
      <c r="F1139" s="29" t="s">
        <v>4748</v>
      </c>
      <c r="G1139" s="35"/>
      <c r="H1139" s="35" t="s">
        <v>151</v>
      </c>
      <c r="I1139" s="36" t="s">
        <v>4745</v>
      </c>
      <c r="J1139" s="37"/>
      <c r="K1139" s="38"/>
      <c r="L1139" s="38"/>
      <c r="M1139" s="36" t="s">
        <v>60</v>
      </c>
      <c r="N1139" s="15" t="s">
        <v>152</v>
      </c>
      <c r="O1139" s="36" t="s">
        <v>4407</v>
      </c>
      <c r="P1139" s="36" t="str">
        <f t="shared" si="34"/>
        <v>API_地籍屬性_地段號宗地定位_全國</v>
      </c>
      <c r="Q1139" s="36" t="s">
        <v>4748</v>
      </c>
      <c r="R1139" s="29" t="str">
        <f t="shared" si="35"/>
        <v>2dms_cadatt_v1_QryTileMapIndex2</v>
      </c>
      <c r="U1139" s="27" t="str">
        <f>_xlfn.XLOOKUP(表格1[[#This Row],[服務類別(英)]],參考2_服務標準對照!$B:$B,參考2_服務標準對照!$C:$C,"")&amp;""</f>
        <v/>
      </c>
      <c r="V1139" s="29" t="s">
        <v>14</v>
      </c>
      <c r="W1139" s="29" t="s">
        <v>4408</v>
      </c>
      <c r="X1139" s="29" t="s">
        <v>81</v>
      </c>
      <c r="Y1139" s="36" t="s">
        <v>83</v>
      </c>
      <c r="Z1139" s="36" t="s">
        <v>157</v>
      </c>
      <c r="AA1139" s="36" t="s">
        <v>4383</v>
      </c>
      <c r="AB1139" s="36"/>
      <c r="AC1139" s="36"/>
      <c r="AD1139" s="29" t="s">
        <v>119</v>
      </c>
      <c r="AE1139" s="36" t="str">
        <f>_xlfn.XLOOKUP(表格1[[#This Row],[唯一識別碼]],API清冊0707!B:B,API清冊0707!T:T,"")&amp;""</f>
        <v>無下拉選單</v>
      </c>
    </row>
    <row r="1140" spans="1:31" ht="126.75" customHeight="1" x14ac:dyDescent="0.4">
      <c r="A1140" s="29" t="s">
        <v>4749</v>
      </c>
      <c r="B1140" s="29" t="s">
        <v>31</v>
      </c>
      <c r="C1140" s="29" t="s">
        <v>4515</v>
      </c>
      <c r="D1140" s="29" t="s">
        <v>4750</v>
      </c>
      <c r="E1140" s="29" t="s">
        <v>4751</v>
      </c>
      <c r="F1140" s="29" t="s">
        <v>4752</v>
      </c>
      <c r="G1140" s="35" t="s">
        <v>31</v>
      </c>
      <c r="H1140" s="35" t="s">
        <v>151</v>
      </c>
      <c r="I1140" s="36" t="s">
        <v>4753</v>
      </c>
      <c r="J1140" s="37"/>
      <c r="K1140" s="38"/>
      <c r="L1140" s="38"/>
      <c r="M1140" s="36" t="s">
        <v>60</v>
      </c>
      <c r="N1140" s="15" t="s">
        <v>152</v>
      </c>
      <c r="O1140" s="36" t="s">
        <v>4407</v>
      </c>
      <c r="P1140" s="36" t="str">
        <f t="shared" si="34"/>
        <v>API_地籍屬性_指定地號查詢標示資料_宜蘭縣</v>
      </c>
      <c r="Q1140" s="36" t="s">
        <v>4752</v>
      </c>
      <c r="R1140" s="29" t="str">
        <f t="shared" si="35"/>
        <v>2dms_cadatt_v1_CadasAttrQuery_G</v>
      </c>
      <c r="U1140" s="27" t="str">
        <f>_xlfn.XLOOKUP(表格1[[#This Row],[服務類別(英)]],參考2_服務標準對照!$B:$B,參考2_服務標準對照!$C:$C,"")&amp;""</f>
        <v/>
      </c>
      <c r="V1140" s="29" t="s">
        <v>14</v>
      </c>
      <c r="W1140" s="29" t="s">
        <v>4408</v>
      </c>
      <c r="X1140" s="29" t="s">
        <v>81</v>
      </c>
      <c r="Y1140" s="36" t="s">
        <v>83</v>
      </c>
      <c r="Z1140" s="36" t="s">
        <v>157</v>
      </c>
      <c r="AA1140" s="36" t="s">
        <v>4520</v>
      </c>
      <c r="AB1140" s="36"/>
      <c r="AC1140" s="36"/>
      <c r="AD1140" s="29" t="s">
        <v>96</v>
      </c>
      <c r="AE1140" s="36" t="str">
        <f>_xlfn.XLOOKUP(表格1[[#This Row],[唯一識別碼]],API清冊0707!B:B,API清冊0707!T:T,"")&amp;""</f>
        <v>有下拉選單</v>
      </c>
    </row>
    <row r="1141" spans="1:31" ht="126.75" customHeight="1" x14ac:dyDescent="0.4">
      <c r="A1141" s="29" t="s">
        <v>4754</v>
      </c>
      <c r="B1141" s="29" t="s">
        <v>31</v>
      </c>
      <c r="C1141" s="29" t="s">
        <v>4515</v>
      </c>
      <c r="D1141" s="29" t="s">
        <v>4755</v>
      </c>
      <c r="E1141" s="29" t="s">
        <v>4756</v>
      </c>
      <c r="F1141" s="29" t="s">
        <v>4757</v>
      </c>
      <c r="G1141" s="35" t="s">
        <v>31</v>
      </c>
      <c r="H1141" s="35" t="s">
        <v>151</v>
      </c>
      <c r="I1141" s="36" t="s">
        <v>4758</v>
      </c>
      <c r="J1141" s="37"/>
      <c r="K1141" s="38"/>
      <c r="L1141" s="38"/>
      <c r="M1141" s="36" t="s">
        <v>60</v>
      </c>
      <c r="N1141" s="15" t="s">
        <v>152</v>
      </c>
      <c r="O1141" s="36" t="s">
        <v>4407</v>
      </c>
      <c r="P1141" s="36" t="str">
        <f t="shared" si="34"/>
        <v>API_地籍屬性_指定地號查詢標示資料_花蓮縣</v>
      </c>
      <c r="Q1141" s="36" t="s">
        <v>4757</v>
      </c>
      <c r="R1141" s="29" t="str">
        <f t="shared" si="35"/>
        <v>2dms_cadatt_v1_CadasAttrQuery_U</v>
      </c>
      <c r="U1141" s="27" t="str">
        <f>_xlfn.XLOOKUP(表格1[[#This Row],[服務類別(英)]],參考2_服務標準對照!$B:$B,參考2_服務標準對照!$C:$C,"")&amp;""</f>
        <v/>
      </c>
      <c r="V1141" s="29" t="s">
        <v>14</v>
      </c>
      <c r="W1141" s="29" t="s">
        <v>4408</v>
      </c>
      <c r="X1141" s="29" t="s">
        <v>81</v>
      </c>
      <c r="Y1141" s="36" t="s">
        <v>83</v>
      </c>
      <c r="Z1141" s="36" t="s">
        <v>157</v>
      </c>
      <c r="AA1141" s="36" t="s">
        <v>4520</v>
      </c>
      <c r="AB1141" s="36"/>
      <c r="AC1141" s="36"/>
      <c r="AD1141" s="29" t="s">
        <v>96</v>
      </c>
      <c r="AE1141" s="36" t="str">
        <f>_xlfn.XLOOKUP(表格1[[#This Row],[唯一識別碼]],API清冊0707!B:B,API清冊0707!T:T,"")&amp;""</f>
        <v>有下拉選單</v>
      </c>
    </row>
    <row r="1142" spans="1:31" ht="142.5" customHeight="1" x14ac:dyDescent="0.4">
      <c r="A1142" s="29" t="s">
        <v>4759</v>
      </c>
      <c r="B1142" s="29" t="s">
        <v>31</v>
      </c>
      <c r="C1142" s="29" t="s">
        <v>4515</v>
      </c>
      <c r="D1142" s="29" t="s">
        <v>4760</v>
      </c>
      <c r="E1142" s="29" t="s">
        <v>4761</v>
      </c>
      <c r="F1142" s="29" t="s">
        <v>4762</v>
      </c>
      <c r="G1142" s="35" t="s">
        <v>31</v>
      </c>
      <c r="H1142" s="35" t="s">
        <v>151</v>
      </c>
      <c r="I1142" s="36" t="s">
        <v>4763</v>
      </c>
      <c r="J1142" s="37"/>
      <c r="K1142" s="38"/>
      <c r="L1142" s="38"/>
      <c r="M1142" s="36" t="s">
        <v>60</v>
      </c>
      <c r="N1142" s="15" t="s">
        <v>152</v>
      </c>
      <c r="O1142" s="36" t="s">
        <v>4407</v>
      </c>
      <c r="P1142" s="36" t="str">
        <f t="shared" si="34"/>
        <v>API_地籍屬性_指定地號查詢標示資料_金門縣</v>
      </c>
      <c r="Q1142" s="36" t="s">
        <v>4762</v>
      </c>
      <c r="R1142" s="29" t="str">
        <f t="shared" si="35"/>
        <v>2dms_cadatt_v1_CadasAttrQuery_W</v>
      </c>
      <c r="U1142" s="27" t="str">
        <f>_xlfn.XLOOKUP(表格1[[#This Row],[服務類別(英)]],參考2_服務標準對照!$B:$B,參考2_服務標準對照!$C:$C,"")&amp;""</f>
        <v/>
      </c>
      <c r="V1142" s="29" t="s">
        <v>14</v>
      </c>
      <c r="W1142" s="29" t="s">
        <v>4408</v>
      </c>
      <c r="X1142" s="29" t="s">
        <v>81</v>
      </c>
      <c r="Y1142" s="36" t="s">
        <v>83</v>
      </c>
      <c r="Z1142" s="36" t="s">
        <v>157</v>
      </c>
      <c r="AA1142" s="36" t="s">
        <v>4520</v>
      </c>
      <c r="AB1142" s="36"/>
      <c r="AC1142" s="36"/>
      <c r="AD1142" s="29" t="s">
        <v>96</v>
      </c>
      <c r="AE1142" s="36" t="str">
        <f>_xlfn.XLOOKUP(表格1[[#This Row],[唯一識別碼]],API清冊0707!B:B,API清冊0707!T:T,"")&amp;""</f>
        <v>有下拉選單</v>
      </c>
    </row>
    <row r="1143" spans="1:31" ht="142.5" customHeight="1" x14ac:dyDescent="0.4">
      <c r="A1143" s="29" t="s">
        <v>4764</v>
      </c>
      <c r="B1143" s="29" t="s">
        <v>31</v>
      </c>
      <c r="C1143" s="29" t="s">
        <v>4515</v>
      </c>
      <c r="D1143" s="29" t="s">
        <v>4765</v>
      </c>
      <c r="E1143" s="29" t="s">
        <v>4766</v>
      </c>
      <c r="F1143" s="29" t="s">
        <v>4767</v>
      </c>
      <c r="G1143" s="35" t="s">
        <v>31</v>
      </c>
      <c r="H1143" s="35" t="s">
        <v>151</v>
      </c>
      <c r="I1143" s="36" t="s">
        <v>4768</v>
      </c>
      <c r="J1143" s="37"/>
      <c r="K1143" s="38"/>
      <c r="L1143" s="38"/>
      <c r="M1143" s="36" t="s">
        <v>60</v>
      </c>
      <c r="N1143" s="15" t="s">
        <v>152</v>
      </c>
      <c r="O1143" s="36" t="s">
        <v>4407</v>
      </c>
      <c r="P1143" s="36" t="str">
        <f t="shared" ref="P1143:P1206" si="36">IF(LEN(TRIM(F1143))&gt;0,F1143,E1143)</f>
        <v>API_地籍屬性_指定地號查詢標示資料_南投縣</v>
      </c>
      <c r="Q1143" s="36" t="s">
        <v>4767</v>
      </c>
      <c r="R1143" s="29" t="str">
        <f t="shared" ref="R1143:R1206" si="37">D1143</f>
        <v>2dms_cadatt_v1_CadasAttrQuery_M</v>
      </c>
      <c r="U1143" s="27" t="str">
        <f>_xlfn.XLOOKUP(表格1[[#This Row],[服務類別(英)]],參考2_服務標準對照!$B:$B,參考2_服務標準對照!$C:$C,"")&amp;""</f>
        <v/>
      </c>
      <c r="V1143" s="29" t="s">
        <v>14</v>
      </c>
      <c r="W1143" s="29" t="s">
        <v>4408</v>
      </c>
      <c r="X1143" s="29" t="s">
        <v>81</v>
      </c>
      <c r="Y1143" s="36" t="s">
        <v>83</v>
      </c>
      <c r="Z1143" s="36" t="s">
        <v>157</v>
      </c>
      <c r="AA1143" s="36" t="s">
        <v>4520</v>
      </c>
      <c r="AB1143" s="36"/>
      <c r="AC1143" s="36"/>
      <c r="AD1143" s="29" t="s">
        <v>96</v>
      </c>
      <c r="AE1143" s="36" t="str">
        <f>_xlfn.XLOOKUP(表格1[[#This Row],[唯一識別碼]],API清冊0707!B:B,API清冊0707!T:T,"")&amp;""</f>
        <v>有下拉選單</v>
      </c>
    </row>
    <row r="1144" spans="1:31" ht="126.75" customHeight="1" x14ac:dyDescent="0.4">
      <c r="A1144" s="29" t="s">
        <v>4769</v>
      </c>
      <c r="B1144" s="29" t="s">
        <v>31</v>
      </c>
      <c r="C1144" s="29" t="s">
        <v>4515</v>
      </c>
      <c r="D1144" s="29" t="s">
        <v>4770</v>
      </c>
      <c r="E1144" s="29" t="s">
        <v>4771</v>
      </c>
      <c r="F1144" s="29" t="s">
        <v>4772</v>
      </c>
      <c r="G1144" s="35" t="s">
        <v>31</v>
      </c>
      <c r="H1144" s="35" t="s">
        <v>151</v>
      </c>
      <c r="I1144" s="36" t="s">
        <v>4773</v>
      </c>
      <c r="J1144" s="37"/>
      <c r="K1144" s="38"/>
      <c r="L1144" s="38"/>
      <c r="M1144" s="36" t="s">
        <v>60</v>
      </c>
      <c r="N1144" s="15" t="s">
        <v>152</v>
      </c>
      <c r="O1144" s="36" t="s">
        <v>4407</v>
      </c>
      <c r="P1144" s="36" t="str">
        <f t="shared" si="36"/>
        <v>API_地籍屬性_指定地號查詢標示資料_屏東縣</v>
      </c>
      <c r="Q1144" s="36" t="s">
        <v>4772</v>
      </c>
      <c r="R1144" s="29" t="str">
        <f t="shared" si="37"/>
        <v>2dms_cadatt_v1_CadasAttrQuery_T</v>
      </c>
      <c r="U1144" s="27" t="str">
        <f>_xlfn.XLOOKUP(表格1[[#This Row],[服務類別(英)]],參考2_服務標準對照!$B:$B,參考2_服務標準對照!$C:$C,"")&amp;""</f>
        <v/>
      </c>
      <c r="V1144" s="29" t="s">
        <v>14</v>
      </c>
      <c r="W1144" s="29" t="s">
        <v>4408</v>
      </c>
      <c r="X1144" s="29" t="s">
        <v>81</v>
      </c>
      <c r="Y1144" s="36" t="s">
        <v>83</v>
      </c>
      <c r="Z1144" s="36" t="s">
        <v>157</v>
      </c>
      <c r="AA1144" s="36" t="s">
        <v>4520</v>
      </c>
      <c r="AB1144" s="36"/>
      <c r="AC1144" s="36"/>
      <c r="AD1144" s="29" t="s">
        <v>96</v>
      </c>
      <c r="AE1144" s="36" t="str">
        <f>_xlfn.XLOOKUP(表格1[[#This Row],[唯一識別碼]],API清冊0707!B:B,API清冊0707!T:T,"")&amp;""</f>
        <v>有下拉選單</v>
      </c>
    </row>
    <row r="1145" spans="1:31" ht="126.75" customHeight="1" x14ac:dyDescent="0.4">
      <c r="A1145" s="29" t="s">
        <v>4774</v>
      </c>
      <c r="B1145" s="29" t="s">
        <v>31</v>
      </c>
      <c r="C1145" s="29" t="s">
        <v>4515</v>
      </c>
      <c r="D1145" s="29" t="s">
        <v>4775</v>
      </c>
      <c r="E1145" s="29" t="s">
        <v>4776</v>
      </c>
      <c r="F1145" s="29" t="s">
        <v>4777</v>
      </c>
      <c r="G1145" s="35" t="s">
        <v>31</v>
      </c>
      <c r="H1145" s="35" t="s">
        <v>151</v>
      </c>
      <c r="I1145" s="36" t="s">
        <v>4778</v>
      </c>
      <c r="J1145" s="37"/>
      <c r="K1145" s="38"/>
      <c r="L1145" s="38"/>
      <c r="M1145" s="36" t="s">
        <v>60</v>
      </c>
      <c r="N1145" s="15" t="s">
        <v>152</v>
      </c>
      <c r="O1145" s="36" t="s">
        <v>4407</v>
      </c>
      <c r="P1145" s="36" t="str">
        <f t="shared" si="36"/>
        <v>API_地籍屬性_指定地號查詢標示資料_苗栗縣</v>
      </c>
      <c r="Q1145" s="36" t="s">
        <v>4777</v>
      </c>
      <c r="R1145" s="29" t="str">
        <f t="shared" si="37"/>
        <v>2dms_cadatt_v1_CadasAttrQuery_K</v>
      </c>
      <c r="U1145" s="27" t="str">
        <f>_xlfn.XLOOKUP(表格1[[#This Row],[服務類別(英)]],參考2_服務標準對照!$B:$B,參考2_服務標準對照!$C:$C,"")&amp;""</f>
        <v/>
      </c>
      <c r="V1145" s="29" t="s">
        <v>14</v>
      </c>
      <c r="W1145" s="29" t="s">
        <v>4408</v>
      </c>
      <c r="X1145" s="29" t="s">
        <v>81</v>
      </c>
      <c r="Y1145" s="36" t="s">
        <v>83</v>
      </c>
      <c r="Z1145" s="36" t="s">
        <v>157</v>
      </c>
      <c r="AA1145" s="36" t="s">
        <v>4520</v>
      </c>
      <c r="AB1145" s="36"/>
      <c r="AC1145" s="36"/>
      <c r="AD1145" s="29" t="s">
        <v>96</v>
      </c>
      <c r="AE1145" s="36" t="str">
        <f>_xlfn.XLOOKUP(表格1[[#This Row],[唯一識別碼]],API清冊0707!B:B,API清冊0707!T:T,"")&amp;""</f>
        <v>有下拉選單</v>
      </c>
    </row>
    <row r="1146" spans="1:31" ht="126.75" customHeight="1" x14ac:dyDescent="0.4">
      <c r="A1146" s="29" t="s">
        <v>4779</v>
      </c>
      <c r="B1146" s="29" t="s">
        <v>31</v>
      </c>
      <c r="C1146" s="29" t="s">
        <v>4515</v>
      </c>
      <c r="D1146" s="29" t="s">
        <v>4780</v>
      </c>
      <c r="E1146" s="29" t="s">
        <v>4781</v>
      </c>
      <c r="F1146" s="29" t="s">
        <v>4782</v>
      </c>
      <c r="G1146" s="35" t="s">
        <v>31</v>
      </c>
      <c r="H1146" s="35" t="s">
        <v>151</v>
      </c>
      <c r="I1146" s="36" t="s">
        <v>4783</v>
      </c>
      <c r="J1146" s="37"/>
      <c r="K1146" s="38"/>
      <c r="L1146" s="38"/>
      <c r="M1146" s="36" t="s">
        <v>60</v>
      </c>
      <c r="N1146" s="15" t="s">
        <v>152</v>
      </c>
      <c r="O1146" s="36" t="s">
        <v>4407</v>
      </c>
      <c r="P1146" s="36" t="str">
        <f t="shared" si="36"/>
        <v>API_地籍屬性_指定地號查詢標示資料_桃園市</v>
      </c>
      <c r="Q1146" s="36" t="s">
        <v>4782</v>
      </c>
      <c r="R1146" s="29" t="str">
        <f t="shared" si="37"/>
        <v>2dms_cadatt_v1_CadasAttrQuery_H</v>
      </c>
      <c r="U1146" s="27" t="str">
        <f>_xlfn.XLOOKUP(表格1[[#This Row],[服務類別(英)]],參考2_服務標準對照!$B:$B,參考2_服務標準對照!$C:$C,"")&amp;""</f>
        <v/>
      </c>
      <c r="V1146" s="29" t="s">
        <v>14</v>
      </c>
      <c r="W1146" s="29" t="s">
        <v>4408</v>
      </c>
      <c r="X1146" s="29" t="s">
        <v>81</v>
      </c>
      <c r="Y1146" s="36" t="s">
        <v>83</v>
      </c>
      <c r="Z1146" s="36" t="s">
        <v>157</v>
      </c>
      <c r="AA1146" s="36" t="s">
        <v>4520</v>
      </c>
      <c r="AB1146" s="36"/>
      <c r="AC1146" s="36"/>
      <c r="AD1146" s="29" t="s">
        <v>96</v>
      </c>
      <c r="AE1146" s="36" t="str">
        <f>_xlfn.XLOOKUP(表格1[[#This Row],[唯一識別碼]],API清冊0707!B:B,API清冊0707!T:T,"")&amp;""</f>
        <v>有下拉選單</v>
      </c>
    </row>
    <row r="1147" spans="1:31" ht="126.75" customHeight="1" x14ac:dyDescent="0.4">
      <c r="A1147" s="29" t="s">
        <v>4784</v>
      </c>
      <c r="B1147" s="29" t="s">
        <v>31</v>
      </c>
      <c r="C1147" s="29" t="s">
        <v>4515</v>
      </c>
      <c r="D1147" s="29" t="s">
        <v>4785</v>
      </c>
      <c r="E1147" s="29" t="s">
        <v>4786</v>
      </c>
      <c r="F1147" s="29" t="s">
        <v>4787</v>
      </c>
      <c r="G1147" s="35" t="s">
        <v>31</v>
      </c>
      <c r="H1147" s="35" t="s">
        <v>151</v>
      </c>
      <c r="I1147" s="36" t="s">
        <v>4788</v>
      </c>
      <c r="J1147" s="37"/>
      <c r="K1147" s="38"/>
      <c r="L1147" s="38"/>
      <c r="M1147" s="36" t="s">
        <v>60</v>
      </c>
      <c r="N1147" s="15" t="s">
        <v>152</v>
      </c>
      <c r="O1147" s="36" t="s">
        <v>4407</v>
      </c>
      <c r="P1147" s="36" t="str">
        <f t="shared" si="36"/>
        <v>API_地籍屬性_指定地號查詢標示資料_高雄市</v>
      </c>
      <c r="Q1147" s="36" t="s">
        <v>4787</v>
      </c>
      <c r="R1147" s="29" t="str">
        <f t="shared" si="37"/>
        <v>2dms_cadatt_v1_CadasAttrQuery_E</v>
      </c>
      <c r="U1147" s="27" t="str">
        <f>_xlfn.XLOOKUP(表格1[[#This Row],[服務類別(英)]],參考2_服務標準對照!$B:$B,參考2_服務標準對照!$C:$C,"")&amp;""</f>
        <v/>
      </c>
      <c r="V1147" s="29" t="s">
        <v>14</v>
      </c>
      <c r="W1147" s="29" t="s">
        <v>4408</v>
      </c>
      <c r="X1147" s="29" t="s">
        <v>81</v>
      </c>
      <c r="Y1147" s="36" t="s">
        <v>83</v>
      </c>
      <c r="Z1147" s="36" t="s">
        <v>157</v>
      </c>
      <c r="AA1147" s="36" t="s">
        <v>4520</v>
      </c>
      <c r="AB1147" s="36"/>
      <c r="AC1147" s="36"/>
      <c r="AD1147" s="29" t="s">
        <v>96</v>
      </c>
      <c r="AE1147" s="36" t="str">
        <f>_xlfn.XLOOKUP(表格1[[#This Row],[唯一識別碼]],API清冊0707!B:B,API清冊0707!T:T,"")&amp;""</f>
        <v>有下拉選單</v>
      </c>
    </row>
    <row r="1148" spans="1:31" ht="126.75" customHeight="1" x14ac:dyDescent="0.4">
      <c r="A1148" s="29" t="s">
        <v>4789</v>
      </c>
      <c r="B1148" s="29" t="s">
        <v>31</v>
      </c>
      <c r="C1148" s="29" t="s">
        <v>4515</v>
      </c>
      <c r="D1148" s="29" t="s">
        <v>4790</v>
      </c>
      <c r="E1148" s="29" t="s">
        <v>4791</v>
      </c>
      <c r="F1148" s="29" t="s">
        <v>4792</v>
      </c>
      <c r="G1148" s="35" t="s">
        <v>31</v>
      </c>
      <c r="H1148" s="35" t="s">
        <v>151</v>
      </c>
      <c r="I1148" s="36" t="s">
        <v>4793</v>
      </c>
      <c r="J1148" s="37"/>
      <c r="K1148" s="38"/>
      <c r="L1148" s="38"/>
      <c r="M1148" s="36" t="s">
        <v>60</v>
      </c>
      <c r="N1148" s="15" t="s">
        <v>152</v>
      </c>
      <c r="O1148" s="36" t="s">
        <v>4407</v>
      </c>
      <c r="P1148" s="36" t="str">
        <f t="shared" si="36"/>
        <v>API_地籍屬性_指定地號查詢標示資料_基隆市</v>
      </c>
      <c r="Q1148" s="36" t="s">
        <v>4792</v>
      </c>
      <c r="R1148" s="29" t="str">
        <f t="shared" si="37"/>
        <v>2dms_cadatt_v1_CadasAttrQuery_C</v>
      </c>
      <c r="U1148" s="27" t="str">
        <f>_xlfn.XLOOKUP(表格1[[#This Row],[服務類別(英)]],參考2_服務標準對照!$B:$B,參考2_服務標準對照!$C:$C,"")&amp;""</f>
        <v/>
      </c>
      <c r="V1148" s="29" t="s">
        <v>14</v>
      </c>
      <c r="W1148" s="29" t="s">
        <v>4408</v>
      </c>
      <c r="X1148" s="29" t="s">
        <v>81</v>
      </c>
      <c r="Y1148" s="36" t="s">
        <v>83</v>
      </c>
      <c r="Z1148" s="36" t="s">
        <v>157</v>
      </c>
      <c r="AA1148" s="36" t="s">
        <v>4520</v>
      </c>
      <c r="AB1148" s="36"/>
      <c r="AC1148" s="36"/>
      <c r="AD1148" s="29" t="s">
        <v>96</v>
      </c>
      <c r="AE1148" s="36" t="str">
        <f>_xlfn.XLOOKUP(表格1[[#This Row],[唯一識別碼]],API清冊0707!B:B,API清冊0707!T:T,"")&amp;""</f>
        <v>有下拉選單</v>
      </c>
    </row>
    <row r="1149" spans="1:31" ht="126.75" customHeight="1" x14ac:dyDescent="0.4">
      <c r="A1149" s="29" t="s">
        <v>4794</v>
      </c>
      <c r="B1149" s="29" t="s">
        <v>31</v>
      </c>
      <c r="C1149" s="29" t="s">
        <v>4515</v>
      </c>
      <c r="D1149" s="29" t="s">
        <v>4795</v>
      </c>
      <c r="E1149" s="29" t="s">
        <v>4796</v>
      </c>
      <c r="F1149" s="29" t="s">
        <v>4797</v>
      </c>
      <c r="G1149" s="35" t="s">
        <v>31</v>
      </c>
      <c r="H1149" s="35" t="s">
        <v>151</v>
      </c>
      <c r="I1149" s="36" t="s">
        <v>4798</v>
      </c>
      <c r="J1149" s="37"/>
      <c r="K1149" s="38"/>
      <c r="L1149" s="38"/>
      <c r="M1149" s="36" t="s">
        <v>60</v>
      </c>
      <c r="N1149" s="15" t="s">
        <v>152</v>
      </c>
      <c r="O1149" s="36" t="s">
        <v>4407</v>
      </c>
      <c r="P1149" s="36" t="str">
        <f t="shared" si="36"/>
        <v>API_地籍屬性_指定地號查詢標示資料_連江縣</v>
      </c>
      <c r="Q1149" s="36" t="s">
        <v>4797</v>
      </c>
      <c r="R1149" s="29" t="str">
        <f t="shared" si="37"/>
        <v>2dms_cadatt_v1_CadasAttrQuery_Z</v>
      </c>
      <c r="U1149" s="27" t="str">
        <f>_xlfn.XLOOKUP(表格1[[#This Row],[服務類別(英)]],參考2_服務標準對照!$B:$B,參考2_服務標準對照!$C:$C,"")&amp;""</f>
        <v/>
      </c>
      <c r="V1149" s="29" t="s">
        <v>14</v>
      </c>
      <c r="W1149" s="29" t="s">
        <v>4408</v>
      </c>
      <c r="X1149" s="29" t="s">
        <v>81</v>
      </c>
      <c r="Y1149" s="36" t="s">
        <v>83</v>
      </c>
      <c r="Z1149" s="36" t="s">
        <v>157</v>
      </c>
      <c r="AA1149" s="36" t="s">
        <v>4520</v>
      </c>
      <c r="AB1149" s="36"/>
      <c r="AC1149" s="36"/>
      <c r="AD1149" s="29" t="s">
        <v>96</v>
      </c>
      <c r="AE1149" s="36" t="str">
        <f>_xlfn.XLOOKUP(表格1[[#This Row],[唯一識別碼]],API清冊0707!B:B,API清冊0707!T:T,"")&amp;""</f>
        <v>有下拉選單</v>
      </c>
    </row>
    <row r="1150" spans="1:31" ht="126.75" customHeight="1" x14ac:dyDescent="0.4">
      <c r="A1150" s="29" t="s">
        <v>4799</v>
      </c>
      <c r="B1150" s="29" t="s">
        <v>31</v>
      </c>
      <c r="C1150" s="29" t="s">
        <v>4515</v>
      </c>
      <c r="D1150" s="29" t="s">
        <v>4800</v>
      </c>
      <c r="E1150" s="29" t="s">
        <v>4801</v>
      </c>
      <c r="F1150" s="29" t="s">
        <v>4802</v>
      </c>
      <c r="G1150" s="35" t="s">
        <v>31</v>
      </c>
      <c r="H1150" s="35" t="s">
        <v>151</v>
      </c>
      <c r="I1150" s="36" t="s">
        <v>4803</v>
      </c>
      <c r="J1150" s="37"/>
      <c r="K1150" s="38"/>
      <c r="L1150" s="38"/>
      <c r="M1150" s="36" t="s">
        <v>60</v>
      </c>
      <c r="N1150" s="15" t="s">
        <v>152</v>
      </c>
      <c r="O1150" s="36" t="s">
        <v>4407</v>
      </c>
      <c r="P1150" s="36" t="str">
        <f t="shared" si="36"/>
        <v>API_地籍屬性_指定地號查詢標示資料_雲林縣</v>
      </c>
      <c r="Q1150" s="36" t="s">
        <v>4802</v>
      </c>
      <c r="R1150" s="29" t="str">
        <f t="shared" si="37"/>
        <v>2dms_cadatt_v1_CadasAttrQuery_P</v>
      </c>
      <c r="U1150" s="27" t="str">
        <f>_xlfn.XLOOKUP(表格1[[#This Row],[服務類別(英)]],參考2_服務標準對照!$B:$B,參考2_服務標準對照!$C:$C,"")&amp;""</f>
        <v/>
      </c>
      <c r="V1150" s="29" t="s">
        <v>14</v>
      </c>
      <c r="W1150" s="29" t="s">
        <v>4408</v>
      </c>
      <c r="X1150" s="29" t="s">
        <v>81</v>
      </c>
      <c r="Y1150" s="36" t="s">
        <v>83</v>
      </c>
      <c r="Z1150" s="36" t="s">
        <v>157</v>
      </c>
      <c r="AA1150" s="36" t="s">
        <v>4520</v>
      </c>
      <c r="AB1150" s="36"/>
      <c r="AC1150" s="36"/>
      <c r="AD1150" s="29" t="s">
        <v>96</v>
      </c>
      <c r="AE1150" s="36" t="str">
        <f>_xlfn.XLOOKUP(表格1[[#This Row],[唯一識別碼]],API清冊0707!B:B,API清冊0707!T:T,"")&amp;""</f>
        <v>有下拉選單</v>
      </c>
    </row>
    <row r="1151" spans="1:31" ht="126.75" customHeight="1" x14ac:dyDescent="0.4">
      <c r="A1151" s="29" t="s">
        <v>4804</v>
      </c>
      <c r="B1151" s="29" t="s">
        <v>31</v>
      </c>
      <c r="C1151" s="29" t="s">
        <v>4515</v>
      </c>
      <c r="D1151" s="29" t="s">
        <v>4805</v>
      </c>
      <c r="E1151" s="29" t="s">
        <v>4806</v>
      </c>
      <c r="F1151" s="29" t="s">
        <v>4807</v>
      </c>
      <c r="G1151" s="35" t="s">
        <v>31</v>
      </c>
      <c r="H1151" s="35" t="s">
        <v>151</v>
      </c>
      <c r="I1151" s="36" t="s">
        <v>4808</v>
      </c>
      <c r="J1151" s="37"/>
      <c r="K1151" s="38"/>
      <c r="L1151" s="38"/>
      <c r="M1151" s="36" t="s">
        <v>60</v>
      </c>
      <c r="N1151" s="15" t="s">
        <v>152</v>
      </c>
      <c r="O1151" s="36" t="s">
        <v>4407</v>
      </c>
      <c r="P1151" s="36" t="str">
        <f t="shared" si="36"/>
        <v>API_地籍屬性_指定地號查詢標示資料_新北市</v>
      </c>
      <c r="Q1151" s="36" t="s">
        <v>4807</v>
      </c>
      <c r="R1151" s="29" t="str">
        <f t="shared" si="37"/>
        <v>2dms_cadatt_v1_CadasAttrQuery_F</v>
      </c>
      <c r="U1151" s="27" t="str">
        <f>_xlfn.XLOOKUP(表格1[[#This Row],[服務類別(英)]],參考2_服務標準對照!$B:$B,參考2_服務標準對照!$C:$C,"")&amp;""</f>
        <v/>
      </c>
      <c r="V1151" s="29" t="s">
        <v>14</v>
      </c>
      <c r="W1151" s="29" t="s">
        <v>4408</v>
      </c>
      <c r="X1151" s="29" t="s">
        <v>81</v>
      </c>
      <c r="Y1151" s="36" t="s">
        <v>83</v>
      </c>
      <c r="Z1151" s="36" t="s">
        <v>157</v>
      </c>
      <c r="AA1151" s="36" t="s">
        <v>4520</v>
      </c>
      <c r="AB1151" s="36"/>
      <c r="AC1151" s="36"/>
      <c r="AD1151" s="29" t="s">
        <v>96</v>
      </c>
      <c r="AE1151" s="36" t="str">
        <f>_xlfn.XLOOKUP(表格1[[#This Row],[唯一識別碼]],API清冊0707!B:B,API清冊0707!T:T,"")&amp;""</f>
        <v>有下拉選單</v>
      </c>
    </row>
    <row r="1152" spans="1:31" ht="126.75" customHeight="1" x14ac:dyDescent="0.4">
      <c r="A1152" s="29" t="s">
        <v>4809</v>
      </c>
      <c r="B1152" s="29" t="s">
        <v>31</v>
      </c>
      <c r="C1152" s="29" t="s">
        <v>4515</v>
      </c>
      <c r="D1152" s="29" t="s">
        <v>4810</v>
      </c>
      <c r="E1152" s="29" t="s">
        <v>4811</v>
      </c>
      <c r="F1152" s="29" t="s">
        <v>4812</v>
      </c>
      <c r="G1152" s="35" t="s">
        <v>31</v>
      </c>
      <c r="H1152" s="35" t="s">
        <v>151</v>
      </c>
      <c r="I1152" s="36" t="s">
        <v>4813</v>
      </c>
      <c r="J1152" s="37"/>
      <c r="K1152" s="38"/>
      <c r="L1152" s="38"/>
      <c r="M1152" s="36" t="s">
        <v>60</v>
      </c>
      <c r="N1152" s="15" t="s">
        <v>152</v>
      </c>
      <c r="O1152" s="36" t="s">
        <v>4407</v>
      </c>
      <c r="P1152" s="36" t="str">
        <f t="shared" si="36"/>
        <v>API_地籍屬性_指定地號查詢標示資料_新竹市</v>
      </c>
      <c r="Q1152" s="36" t="s">
        <v>4812</v>
      </c>
      <c r="R1152" s="29" t="str">
        <f t="shared" si="37"/>
        <v>2dms_cadatt_v1_CadasAttrQuery_O</v>
      </c>
      <c r="U1152" s="27" t="str">
        <f>_xlfn.XLOOKUP(表格1[[#This Row],[服務類別(英)]],參考2_服務標準對照!$B:$B,參考2_服務標準對照!$C:$C,"")&amp;""</f>
        <v/>
      </c>
      <c r="V1152" s="29" t="s">
        <v>14</v>
      </c>
      <c r="W1152" s="29" t="s">
        <v>4408</v>
      </c>
      <c r="X1152" s="29" t="s">
        <v>81</v>
      </c>
      <c r="Y1152" s="36" t="s">
        <v>83</v>
      </c>
      <c r="Z1152" s="36" t="s">
        <v>157</v>
      </c>
      <c r="AA1152" s="36" t="s">
        <v>4520</v>
      </c>
      <c r="AB1152" s="36"/>
      <c r="AC1152" s="36"/>
      <c r="AD1152" s="29" t="s">
        <v>96</v>
      </c>
      <c r="AE1152" s="36" t="str">
        <f>_xlfn.XLOOKUP(表格1[[#This Row],[唯一識別碼]],API清冊0707!B:B,API清冊0707!T:T,"")&amp;""</f>
        <v>有下拉選單</v>
      </c>
    </row>
    <row r="1153" spans="1:31" ht="126.75" customHeight="1" x14ac:dyDescent="0.4">
      <c r="A1153" s="29" t="s">
        <v>4814</v>
      </c>
      <c r="B1153" s="29" t="s">
        <v>31</v>
      </c>
      <c r="C1153" s="29" t="s">
        <v>4515</v>
      </c>
      <c r="D1153" s="29" t="s">
        <v>4815</v>
      </c>
      <c r="E1153" s="29" t="s">
        <v>4816</v>
      </c>
      <c r="F1153" s="29" t="s">
        <v>4817</v>
      </c>
      <c r="G1153" s="35" t="s">
        <v>31</v>
      </c>
      <c r="H1153" s="35" t="s">
        <v>151</v>
      </c>
      <c r="I1153" s="36" t="s">
        <v>4818</v>
      </c>
      <c r="J1153" s="37"/>
      <c r="K1153" s="38"/>
      <c r="L1153" s="38"/>
      <c r="M1153" s="36" t="s">
        <v>60</v>
      </c>
      <c r="N1153" s="15" t="s">
        <v>152</v>
      </c>
      <c r="O1153" s="36" t="s">
        <v>4407</v>
      </c>
      <c r="P1153" s="36" t="str">
        <f t="shared" si="36"/>
        <v>API_地籍屬性_指定地號查詢標示資料_新竹縣</v>
      </c>
      <c r="Q1153" s="36" t="s">
        <v>4817</v>
      </c>
      <c r="R1153" s="29" t="str">
        <f t="shared" si="37"/>
        <v>2dms_cadatt_v1_CadasAttrQuery_J</v>
      </c>
      <c r="U1153" s="27" t="str">
        <f>_xlfn.XLOOKUP(表格1[[#This Row],[服務類別(英)]],參考2_服務標準對照!$B:$B,參考2_服務標準對照!$C:$C,"")&amp;""</f>
        <v/>
      </c>
      <c r="V1153" s="29" t="s">
        <v>14</v>
      </c>
      <c r="W1153" s="29" t="s">
        <v>4408</v>
      </c>
      <c r="X1153" s="29" t="s">
        <v>81</v>
      </c>
      <c r="Y1153" s="36" t="s">
        <v>83</v>
      </c>
      <c r="Z1153" s="36" t="s">
        <v>157</v>
      </c>
      <c r="AA1153" s="36" t="s">
        <v>4520</v>
      </c>
      <c r="AB1153" s="36"/>
      <c r="AC1153" s="36"/>
      <c r="AD1153" s="29" t="s">
        <v>96</v>
      </c>
      <c r="AE1153" s="36" t="str">
        <f>_xlfn.XLOOKUP(表格1[[#This Row],[唯一識別碼]],API清冊0707!B:B,API清冊0707!T:T,"")&amp;""</f>
        <v>有下拉選單</v>
      </c>
    </row>
    <row r="1154" spans="1:31" ht="126.75" customHeight="1" x14ac:dyDescent="0.4">
      <c r="A1154" s="29" t="s">
        <v>4819</v>
      </c>
      <c r="B1154" s="29" t="s">
        <v>31</v>
      </c>
      <c r="C1154" s="29" t="s">
        <v>4515</v>
      </c>
      <c r="D1154" s="29" t="s">
        <v>4820</v>
      </c>
      <c r="E1154" s="29" t="s">
        <v>4821</v>
      </c>
      <c r="F1154" s="29" t="s">
        <v>4822</v>
      </c>
      <c r="G1154" s="35" t="s">
        <v>31</v>
      </c>
      <c r="H1154" s="35" t="s">
        <v>151</v>
      </c>
      <c r="I1154" s="36" t="s">
        <v>4823</v>
      </c>
      <c r="J1154" s="37"/>
      <c r="K1154" s="38"/>
      <c r="L1154" s="38"/>
      <c r="M1154" s="36" t="s">
        <v>60</v>
      </c>
      <c r="N1154" s="15" t="s">
        <v>152</v>
      </c>
      <c r="O1154" s="36" t="s">
        <v>4407</v>
      </c>
      <c r="P1154" s="36" t="str">
        <f t="shared" si="36"/>
        <v>API_地籍屬性_指定地號查詢標示資料_嘉義市</v>
      </c>
      <c r="Q1154" s="36" t="s">
        <v>4822</v>
      </c>
      <c r="R1154" s="29" t="str">
        <f t="shared" si="37"/>
        <v>2dms_cadatt_v1_CadasAttrQuery_I</v>
      </c>
      <c r="U1154" s="27" t="str">
        <f>_xlfn.XLOOKUP(表格1[[#This Row],[服務類別(英)]],參考2_服務標準對照!$B:$B,參考2_服務標準對照!$C:$C,"")&amp;""</f>
        <v/>
      </c>
      <c r="V1154" s="29" t="s">
        <v>14</v>
      </c>
      <c r="W1154" s="29" t="s">
        <v>4408</v>
      </c>
      <c r="X1154" s="29" t="s">
        <v>81</v>
      </c>
      <c r="Y1154" s="36" t="s">
        <v>83</v>
      </c>
      <c r="Z1154" s="36" t="s">
        <v>157</v>
      </c>
      <c r="AA1154" s="36" t="s">
        <v>4520</v>
      </c>
      <c r="AB1154" s="36"/>
      <c r="AC1154" s="36"/>
      <c r="AD1154" s="29" t="s">
        <v>96</v>
      </c>
      <c r="AE1154" s="36" t="str">
        <f>_xlfn.XLOOKUP(表格1[[#This Row],[唯一識別碼]],API清冊0707!B:B,API清冊0707!T:T,"")&amp;""</f>
        <v>有下拉選單</v>
      </c>
    </row>
    <row r="1155" spans="1:31" ht="126.75" customHeight="1" x14ac:dyDescent="0.4">
      <c r="A1155" s="29" t="s">
        <v>4824</v>
      </c>
      <c r="B1155" s="29" t="s">
        <v>31</v>
      </c>
      <c r="C1155" s="29" t="s">
        <v>4515</v>
      </c>
      <c r="D1155" s="29" t="s">
        <v>4825</v>
      </c>
      <c r="E1155" s="29" t="s">
        <v>4826</v>
      </c>
      <c r="F1155" s="29" t="s">
        <v>4827</v>
      </c>
      <c r="G1155" s="35" t="s">
        <v>31</v>
      </c>
      <c r="H1155" s="35" t="s">
        <v>151</v>
      </c>
      <c r="I1155" s="36" t="s">
        <v>4828</v>
      </c>
      <c r="J1155" s="37"/>
      <c r="K1155" s="38"/>
      <c r="L1155" s="38"/>
      <c r="M1155" s="36" t="s">
        <v>60</v>
      </c>
      <c r="N1155" s="15" t="s">
        <v>152</v>
      </c>
      <c r="O1155" s="36" t="s">
        <v>4407</v>
      </c>
      <c r="P1155" s="36" t="str">
        <f t="shared" si="36"/>
        <v>API_地籍屬性_指定地號查詢標示資料_嘉義縣</v>
      </c>
      <c r="Q1155" s="36" t="s">
        <v>4827</v>
      </c>
      <c r="R1155" s="29" t="str">
        <f t="shared" si="37"/>
        <v>2dms_cadatt_v1_CadasAttrQuery_Q</v>
      </c>
      <c r="U1155" s="27" t="str">
        <f>_xlfn.XLOOKUP(表格1[[#This Row],[服務類別(英)]],參考2_服務標準對照!$B:$B,參考2_服務標準對照!$C:$C,"")&amp;""</f>
        <v/>
      </c>
      <c r="V1155" s="29" t="s">
        <v>14</v>
      </c>
      <c r="W1155" s="29" t="s">
        <v>4408</v>
      </c>
      <c r="X1155" s="29" t="s">
        <v>81</v>
      </c>
      <c r="Y1155" s="36" t="s">
        <v>83</v>
      </c>
      <c r="Z1155" s="36" t="s">
        <v>157</v>
      </c>
      <c r="AA1155" s="36" t="s">
        <v>4520</v>
      </c>
      <c r="AB1155" s="36"/>
      <c r="AC1155" s="36"/>
      <c r="AD1155" s="29" t="s">
        <v>96</v>
      </c>
      <c r="AE1155" s="36" t="str">
        <f>_xlfn.XLOOKUP(表格1[[#This Row],[唯一識別碼]],API清冊0707!B:B,API清冊0707!T:T,"")&amp;""</f>
        <v>有下拉選單</v>
      </c>
    </row>
    <row r="1156" spans="1:31" ht="126.75" customHeight="1" x14ac:dyDescent="0.4">
      <c r="A1156" s="29" t="s">
        <v>4829</v>
      </c>
      <c r="B1156" s="29" t="s">
        <v>31</v>
      </c>
      <c r="C1156" s="29" t="s">
        <v>4515</v>
      </c>
      <c r="D1156" s="29" t="s">
        <v>4830</v>
      </c>
      <c r="E1156" s="29" t="s">
        <v>4831</v>
      </c>
      <c r="F1156" s="29" t="s">
        <v>4832</v>
      </c>
      <c r="G1156" s="35" t="s">
        <v>31</v>
      </c>
      <c r="H1156" s="35" t="s">
        <v>151</v>
      </c>
      <c r="I1156" s="36" t="s">
        <v>4833</v>
      </c>
      <c r="J1156" s="37"/>
      <c r="K1156" s="38"/>
      <c r="L1156" s="38"/>
      <c r="M1156" s="36" t="s">
        <v>60</v>
      </c>
      <c r="N1156" s="15" t="s">
        <v>152</v>
      </c>
      <c r="O1156" s="36" t="s">
        <v>4407</v>
      </c>
      <c r="P1156" s="36" t="str">
        <f t="shared" si="36"/>
        <v>API_地籍屬性_指定地號查詢標示資料_彰化縣</v>
      </c>
      <c r="Q1156" s="36" t="s">
        <v>4832</v>
      </c>
      <c r="R1156" s="29" t="str">
        <f t="shared" si="37"/>
        <v>2dms_cadatt_v1_CadasAttrQuery_N</v>
      </c>
      <c r="U1156" s="27" t="str">
        <f>_xlfn.XLOOKUP(表格1[[#This Row],[服務類別(英)]],參考2_服務標準對照!$B:$B,參考2_服務標準對照!$C:$C,"")&amp;""</f>
        <v/>
      </c>
      <c r="V1156" s="29" t="s">
        <v>14</v>
      </c>
      <c r="W1156" s="29" t="s">
        <v>4408</v>
      </c>
      <c r="X1156" s="29" t="s">
        <v>81</v>
      </c>
      <c r="Y1156" s="36" t="s">
        <v>83</v>
      </c>
      <c r="Z1156" s="36" t="s">
        <v>157</v>
      </c>
      <c r="AA1156" s="36" t="s">
        <v>4520</v>
      </c>
      <c r="AB1156" s="36"/>
      <c r="AC1156" s="36"/>
      <c r="AD1156" s="29" t="s">
        <v>96</v>
      </c>
      <c r="AE1156" s="36" t="str">
        <f>_xlfn.XLOOKUP(表格1[[#This Row],[唯一識別碼]],API清冊0707!B:B,API清冊0707!T:T,"")&amp;""</f>
        <v>有下拉選單</v>
      </c>
    </row>
    <row r="1157" spans="1:31" ht="126.75" customHeight="1" x14ac:dyDescent="0.4">
      <c r="A1157" s="29" t="s">
        <v>4834</v>
      </c>
      <c r="B1157" s="29" t="s">
        <v>31</v>
      </c>
      <c r="C1157" s="29" t="s">
        <v>4515</v>
      </c>
      <c r="D1157" s="29" t="s">
        <v>4835</v>
      </c>
      <c r="E1157" s="29" t="s">
        <v>4836</v>
      </c>
      <c r="F1157" s="29" t="s">
        <v>4837</v>
      </c>
      <c r="G1157" s="35" t="s">
        <v>31</v>
      </c>
      <c r="H1157" s="35" t="s">
        <v>151</v>
      </c>
      <c r="I1157" s="36" t="s">
        <v>4838</v>
      </c>
      <c r="J1157" s="37"/>
      <c r="K1157" s="38"/>
      <c r="L1157" s="38"/>
      <c r="M1157" s="36" t="s">
        <v>60</v>
      </c>
      <c r="N1157" s="15" t="s">
        <v>152</v>
      </c>
      <c r="O1157" s="36" t="s">
        <v>4407</v>
      </c>
      <c r="P1157" s="36" t="str">
        <f t="shared" si="36"/>
        <v>API_地籍屬性_指定地號查詢標示資料_臺中市</v>
      </c>
      <c r="Q1157" s="36" t="s">
        <v>4837</v>
      </c>
      <c r="R1157" s="29" t="str">
        <f t="shared" si="37"/>
        <v>2dms_cadatt_v1_CadasAttrQuery_B</v>
      </c>
      <c r="U1157" s="27" t="str">
        <f>_xlfn.XLOOKUP(表格1[[#This Row],[服務類別(英)]],參考2_服務標準對照!$B:$B,參考2_服務標準對照!$C:$C,"")&amp;""</f>
        <v/>
      </c>
      <c r="V1157" s="29" t="s">
        <v>14</v>
      </c>
      <c r="W1157" s="29" t="s">
        <v>4408</v>
      </c>
      <c r="X1157" s="29" t="s">
        <v>81</v>
      </c>
      <c r="Y1157" s="36" t="s">
        <v>83</v>
      </c>
      <c r="Z1157" s="36" t="s">
        <v>157</v>
      </c>
      <c r="AA1157" s="36" t="s">
        <v>4520</v>
      </c>
      <c r="AB1157" s="36"/>
      <c r="AC1157" s="36"/>
      <c r="AD1157" s="29" t="s">
        <v>96</v>
      </c>
      <c r="AE1157" s="36" t="str">
        <f>_xlfn.XLOOKUP(表格1[[#This Row],[唯一識別碼]],API清冊0707!B:B,API清冊0707!T:T,"")&amp;""</f>
        <v>有下拉選單</v>
      </c>
    </row>
    <row r="1158" spans="1:31" ht="126.75" customHeight="1" x14ac:dyDescent="0.4">
      <c r="A1158" s="29" t="s">
        <v>4839</v>
      </c>
      <c r="B1158" s="29" t="s">
        <v>31</v>
      </c>
      <c r="C1158" s="29" t="s">
        <v>4515</v>
      </c>
      <c r="D1158" s="29" t="s">
        <v>4840</v>
      </c>
      <c r="E1158" s="29" t="s">
        <v>4841</v>
      </c>
      <c r="F1158" s="29" t="s">
        <v>4842</v>
      </c>
      <c r="G1158" s="35" t="s">
        <v>31</v>
      </c>
      <c r="H1158" s="35" t="s">
        <v>151</v>
      </c>
      <c r="I1158" s="36" t="s">
        <v>4843</v>
      </c>
      <c r="J1158" s="37"/>
      <c r="K1158" s="38"/>
      <c r="L1158" s="38"/>
      <c r="M1158" s="36" t="s">
        <v>60</v>
      </c>
      <c r="N1158" s="15" t="s">
        <v>152</v>
      </c>
      <c r="O1158" s="36" t="s">
        <v>4407</v>
      </c>
      <c r="P1158" s="36" t="str">
        <f t="shared" si="36"/>
        <v>API_地籍屬性_指定地號查詢標示資料_臺北市</v>
      </c>
      <c r="Q1158" s="36" t="s">
        <v>4842</v>
      </c>
      <c r="R1158" s="29" t="str">
        <f t="shared" si="37"/>
        <v>2dms_cadatt_v1_CadasAttrQuery_A</v>
      </c>
      <c r="U1158" s="27" t="str">
        <f>_xlfn.XLOOKUP(表格1[[#This Row],[服務類別(英)]],參考2_服務標準對照!$B:$B,參考2_服務標準對照!$C:$C,"")&amp;""</f>
        <v/>
      </c>
      <c r="V1158" s="29" t="s">
        <v>14</v>
      </c>
      <c r="W1158" s="29" t="s">
        <v>4408</v>
      </c>
      <c r="X1158" s="29" t="s">
        <v>81</v>
      </c>
      <c r="Y1158" s="36" t="s">
        <v>83</v>
      </c>
      <c r="Z1158" s="36" t="s">
        <v>157</v>
      </c>
      <c r="AA1158" s="36" t="s">
        <v>4520</v>
      </c>
      <c r="AB1158" s="36"/>
      <c r="AC1158" s="36"/>
      <c r="AD1158" s="29" t="s">
        <v>96</v>
      </c>
      <c r="AE1158" s="36" t="str">
        <f>_xlfn.XLOOKUP(表格1[[#This Row],[唯一識別碼]],API清冊0707!B:B,API清冊0707!T:T,"")&amp;""</f>
        <v>有下拉選單</v>
      </c>
    </row>
    <row r="1159" spans="1:31" ht="126.75" customHeight="1" x14ac:dyDescent="0.4">
      <c r="A1159" s="29" t="s">
        <v>4844</v>
      </c>
      <c r="B1159" s="29" t="s">
        <v>31</v>
      </c>
      <c r="C1159" s="29" t="s">
        <v>4515</v>
      </c>
      <c r="D1159" s="29" t="s">
        <v>4845</v>
      </c>
      <c r="E1159" s="29" t="s">
        <v>4846</v>
      </c>
      <c r="F1159" s="29" t="s">
        <v>4847</v>
      </c>
      <c r="G1159" s="35" t="s">
        <v>31</v>
      </c>
      <c r="H1159" s="35" t="s">
        <v>151</v>
      </c>
      <c r="I1159" s="36" t="s">
        <v>4848</v>
      </c>
      <c r="J1159" s="37"/>
      <c r="K1159" s="38"/>
      <c r="L1159" s="38"/>
      <c r="M1159" s="36" t="s">
        <v>60</v>
      </c>
      <c r="N1159" s="15" t="s">
        <v>152</v>
      </c>
      <c r="O1159" s="36" t="s">
        <v>4407</v>
      </c>
      <c r="P1159" s="36" t="str">
        <f t="shared" si="36"/>
        <v>API_地籍屬性_指定地號查詢標示資料_臺東縣</v>
      </c>
      <c r="Q1159" s="36" t="s">
        <v>4847</v>
      </c>
      <c r="R1159" s="29" t="str">
        <f t="shared" si="37"/>
        <v>2dms_cadatt_v1_CadasAttrQuery_V</v>
      </c>
      <c r="U1159" s="27" t="str">
        <f>_xlfn.XLOOKUP(表格1[[#This Row],[服務類別(英)]],參考2_服務標準對照!$B:$B,參考2_服務標準對照!$C:$C,"")&amp;""</f>
        <v/>
      </c>
      <c r="V1159" s="29" t="s">
        <v>14</v>
      </c>
      <c r="W1159" s="29" t="s">
        <v>4408</v>
      </c>
      <c r="X1159" s="29" t="s">
        <v>81</v>
      </c>
      <c r="Y1159" s="36" t="s">
        <v>83</v>
      </c>
      <c r="Z1159" s="36" t="s">
        <v>157</v>
      </c>
      <c r="AA1159" s="36" t="s">
        <v>4520</v>
      </c>
      <c r="AB1159" s="36"/>
      <c r="AC1159" s="36"/>
      <c r="AD1159" s="29" t="s">
        <v>96</v>
      </c>
      <c r="AE1159" s="36" t="str">
        <f>_xlfn.XLOOKUP(表格1[[#This Row],[唯一識別碼]],API清冊0707!B:B,API清冊0707!T:T,"")&amp;""</f>
        <v>有下拉選單</v>
      </c>
    </row>
    <row r="1160" spans="1:31" ht="126.75" customHeight="1" x14ac:dyDescent="0.4">
      <c r="A1160" s="29" t="s">
        <v>4849</v>
      </c>
      <c r="B1160" s="29" t="s">
        <v>31</v>
      </c>
      <c r="C1160" s="29" t="s">
        <v>4515</v>
      </c>
      <c r="D1160" s="29" t="s">
        <v>4850</v>
      </c>
      <c r="E1160" s="29" t="s">
        <v>4851</v>
      </c>
      <c r="F1160" s="29" t="s">
        <v>4852</v>
      </c>
      <c r="G1160" s="35" t="s">
        <v>31</v>
      </c>
      <c r="H1160" s="35" t="s">
        <v>151</v>
      </c>
      <c r="I1160" s="36" t="s">
        <v>4853</v>
      </c>
      <c r="J1160" s="37"/>
      <c r="K1160" s="38"/>
      <c r="L1160" s="38"/>
      <c r="M1160" s="36" t="s">
        <v>60</v>
      </c>
      <c r="N1160" s="15" t="s">
        <v>152</v>
      </c>
      <c r="O1160" s="36" t="s">
        <v>4407</v>
      </c>
      <c r="P1160" s="36" t="str">
        <f t="shared" si="36"/>
        <v>API_地籍屬性_指定地號查詢標示資料_臺南市</v>
      </c>
      <c r="Q1160" s="36" t="s">
        <v>4852</v>
      </c>
      <c r="R1160" s="29" t="str">
        <f t="shared" si="37"/>
        <v>2dms_cadatt_v1_CadasAttrQuery_D</v>
      </c>
      <c r="U1160" s="27" t="str">
        <f>_xlfn.XLOOKUP(表格1[[#This Row],[服務類別(英)]],參考2_服務標準對照!$B:$B,參考2_服務標準對照!$C:$C,"")&amp;""</f>
        <v/>
      </c>
      <c r="V1160" s="29" t="s">
        <v>14</v>
      </c>
      <c r="W1160" s="29" t="s">
        <v>4408</v>
      </c>
      <c r="X1160" s="29" t="s">
        <v>81</v>
      </c>
      <c r="Y1160" s="36" t="s">
        <v>83</v>
      </c>
      <c r="Z1160" s="36" t="s">
        <v>157</v>
      </c>
      <c r="AA1160" s="36" t="s">
        <v>4520</v>
      </c>
      <c r="AB1160" s="36"/>
      <c r="AC1160" s="36"/>
      <c r="AD1160" s="29" t="s">
        <v>96</v>
      </c>
      <c r="AE1160" s="36" t="str">
        <f>_xlfn.XLOOKUP(表格1[[#This Row],[唯一識別碼]],API清冊0707!B:B,API清冊0707!T:T,"")&amp;""</f>
        <v>有下拉選單</v>
      </c>
    </row>
    <row r="1161" spans="1:31" ht="126.75" customHeight="1" x14ac:dyDescent="0.4">
      <c r="A1161" s="29" t="s">
        <v>4854</v>
      </c>
      <c r="B1161" s="29" t="s">
        <v>31</v>
      </c>
      <c r="C1161" s="29" t="s">
        <v>4515</v>
      </c>
      <c r="D1161" s="29" t="s">
        <v>4855</v>
      </c>
      <c r="E1161" s="29" t="s">
        <v>4856</v>
      </c>
      <c r="F1161" s="29" t="s">
        <v>4857</v>
      </c>
      <c r="G1161" s="35" t="s">
        <v>31</v>
      </c>
      <c r="H1161" s="35" t="s">
        <v>151</v>
      </c>
      <c r="I1161" s="36" t="s">
        <v>4858</v>
      </c>
      <c r="J1161" s="37"/>
      <c r="K1161" s="38"/>
      <c r="L1161" s="38"/>
      <c r="M1161" s="36" t="s">
        <v>60</v>
      </c>
      <c r="N1161" s="15" t="s">
        <v>152</v>
      </c>
      <c r="O1161" s="36" t="s">
        <v>4407</v>
      </c>
      <c r="P1161" s="36" t="str">
        <f t="shared" si="36"/>
        <v>API_地籍屬性_指定地號查詢標示資料_澎湖縣</v>
      </c>
      <c r="Q1161" s="36" t="s">
        <v>4857</v>
      </c>
      <c r="R1161" s="29" t="str">
        <f t="shared" si="37"/>
        <v>2dms_cadatt_v1_CadasAttrQuery_X</v>
      </c>
      <c r="U1161" s="27" t="str">
        <f>_xlfn.XLOOKUP(表格1[[#This Row],[服務類別(英)]],參考2_服務標準對照!$B:$B,參考2_服務標準對照!$C:$C,"")&amp;""</f>
        <v/>
      </c>
      <c r="V1161" s="29" t="s">
        <v>14</v>
      </c>
      <c r="W1161" s="29" t="s">
        <v>4408</v>
      </c>
      <c r="X1161" s="29" t="s">
        <v>81</v>
      </c>
      <c r="Y1161" s="36" t="s">
        <v>83</v>
      </c>
      <c r="Z1161" s="36" t="s">
        <v>157</v>
      </c>
      <c r="AA1161" s="36" t="s">
        <v>4520</v>
      </c>
      <c r="AB1161" s="36"/>
      <c r="AC1161" s="36"/>
      <c r="AD1161" s="29" t="s">
        <v>96</v>
      </c>
      <c r="AE1161" s="36" t="str">
        <f>_xlfn.XLOOKUP(表格1[[#This Row],[唯一識別碼]],API清冊0707!B:B,API清冊0707!T:T,"")&amp;""</f>
        <v>有下拉選單</v>
      </c>
    </row>
    <row r="1162" spans="1:31" ht="142.5" customHeight="1" x14ac:dyDescent="0.4">
      <c r="A1162" s="29" t="s">
        <v>4859</v>
      </c>
      <c r="B1162" s="29" t="s">
        <v>31</v>
      </c>
      <c r="C1162" s="29" t="s">
        <v>4860</v>
      </c>
      <c r="D1162" s="29" t="s">
        <v>4861</v>
      </c>
      <c r="E1162" s="29" t="s">
        <v>4862</v>
      </c>
      <c r="F1162" s="29" t="s">
        <v>4863</v>
      </c>
      <c r="G1162" s="35" t="s">
        <v>31</v>
      </c>
      <c r="H1162" s="35" t="s">
        <v>151</v>
      </c>
      <c r="I1162" s="36" t="s">
        <v>4864</v>
      </c>
      <c r="J1162" s="37"/>
      <c r="K1162" s="38"/>
      <c r="L1162" s="38"/>
      <c r="M1162" s="36" t="s">
        <v>60</v>
      </c>
      <c r="N1162" s="15" t="s">
        <v>152</v>
      </c>
      <c r="O1162" s="36" t="s">
        <v>4407</v>
      </c>
      <c r="P1162" s="36" t="str">
        <f t="shared" si="36"/>
        <v>API_地籍屬性_地段代碼回傳測繪段籍屬性_宜蘭縣</v>
      </c>
      <c r="Q1162" s="36" t="s">
        <v>4863</v>
      </c>
      <c r="R1162" s="29" t="str">
        <f t="shared" si="37"/>
        <v>2dms_cadatt_v1_GetLandSecInfoNlsc_G</v>
      </c>
      <c r="U1162" s="27" t="str">
        <f>_xlfn.XLOOKUP(表格1[[#This Row],[服務類別(英)]],參考2_服務標準對照!$B:$B,參考2_服務標準對照!$C:$C,"")&amp;""</f>
        <v/>
      </c>
      <c r="V1162" s="29" t="s">
        <v>14</v>
      </c>
      <c r="W1162" s="29" t="s">
        <v>4408</v>
      </c>
      <c r="X1162" s="29" t="s">
        <v>81</v>
      </c>
      <c r="Y1162" s="36" t="s">
        <v>83</v>
      </c>
      <c r="Z1162" s="36" t="s">
        <v>157</v>
      </c>
      <c r="AA1162" s="36" t="s">
        <v>4520</v>
      </c>
      <c r="AB1162" s="36"/>
      <c r="AC1162" s="36"/>
      <c r="AD1162" s="29" t="s">
        <v>96</v>
      </c>
      <c r="AE1162" s="36" t="str">
        <f>_xlfn.XLOOKUP(表格1[[#This Row],[唯一識別碼]],API清冊0707!B:B,API清冊0707!T:T,"")&amp;""</f>
        <v>有下拉選單</v>
      </c>
    </row>
    <row r="1163" spans="1:31" ht="142.5" customHeight="1" x14ac:dyDescent="0.4">
      <c r="A1163" s="29" t="s">
        <v>4865</v>
      </c>
      <c r="B1163" s="29" t="s">
        <v>31</v>
      </c>
      <c r="C1163" s="29" t="s">
        <v>4860</v>
      </c>
      <c r="D1163" s="29" t="s">
        <v>4866</v>
      </c>
      <c r="E1163" s="29" t="s">
        <v>4867</v>
      </c>
      <c r="F1163" s="29" t="s">
        <v>4868</v>
      </c>
      <c r="G1163" s="35" t="s">
        <v>31</v>
      </c>
      <c r="H1163" s="35" t="s">
        <v>151</v>
      </c>
      <c r="I1163" s="36" t="s">
        <v>4869</v>
      </c>
      <c r="J1163" s="37"/>
      <c r="K1163" s="38"/>
      <c r="L1163" s="38"/>
      <c r="M1163" s="36" t="s">
        <v>60</v>
      </c>
      <c r="N1163" s="15" t="s">
        <v>152</v>
      </c>
      <c r="O1163" s="36" t="s">
        <v>4407</v>
      </c>
      <c r="P1163" s="36" t="str">
        <f t="shared" si="36"/>
        <v>API_地籍屬性_地段代碼回傳測繪段籍屬性_花蓮縣</v>
      </c>
      <c r="Q1163" s="36" t="s">
        <v>4868</v>
      </c>
      <c r="R1163" s="29" t="str">
        <f t="shared" si="37"/>
        <v>2dms_cadatt_v1_GetLandSecInfoNlsc_U</v>
      </c>
      <c r="U1163" s="27" t="str">
        <f>_xlfn.XLOOKUP(表格1[[#This Row],[服務類別(英)]],參考2_服務標準對照!$B:$B,參考2_服務標準對照!$C:$C,"")&amp;""</f>
        <v/>
      </c>
      <c r="V1163" s="29" t="s">
        <v>14</v>
      </c>
      <c r="W1163" s="29" t="s">
        <v>4408</v>
      </c>
      <c r="X1163" s="29" t="s">
        <v>81</v>
      </c>
      <c r="Y1163" s="36" t="s">
        <v>83</v>
      </c>
      <c r="Z1163" s="36" t="s">
        <v>157</v>
      </c>
      <c r="AA1163" s="36" t="s">
        <v>4520</v>
      </c>
      <c r="AB1163" s="36"/>
      <c r="AC1163" s="36"/>
      <c r="AD1163" s="29" t="s">
        <v>96</v>
      </c>
      <c r="AE1163" s="36" t="str">
        <f>_xlfn.XLOOKUP(表格1[[#This Row],[唯一識別碼]],API清冊0707!B:B,API清冊0707!T:T,"")&amp;""</f>
        <v>有下拉選單</v>
      </c>
    </row>
    <row r="1164" spans="1:31" ht="142.5" customHeight="1" x14ac:dyDescent="0.4">
      <c r="A1164" s="29" t="s">
        <v>4870</v>
      </c>
      <c r="B1164" s="29" t="s">
        <v>31</v>
      </c>
      <c r="C1164" s="29" t="s">
        <v>4860</v>
      </c>
      <c r="D1164" s="29" t="s">
        <v>4871</v>
      </c>
      <c r="E1164" s="29" t="s">
        <v>4872</v>
      </c>
      <c r="F1164" s="29" t="s">
        <v>4873</v>
      </c>
      <c r="G1164" s="35" t="s">
        <v>31</v>
      </c>
      <c r="H1164" s="35" t="s">
        <v>151</v>
      </c>
      <c r="I1164" s="36" t="s">
        <v>4874</v>
      </c>
      <c r="J1164" s="37"/>
      <c r="K1164" s="38"/>
      <c r="L1164" s="38"/>
      <c r="M1164" s="36" t="s">
        <v>60</v>
      </c>
      <c r="N1164" s="15" t="s">
        <v>152</v>
      </c>
      <c r="O1164" s="36" t="s">
        <v>4407</v>
      </c>
      <c r="P1164" s="36" t="str">
        <f t="shared" si="36"/>
        <v>API_地籍屬性_地段代碼回傳測繪段籍屬性_金門縣</v>
      </c>
      <c r="Q1164" s="36" t="s">
        <v>4873</v>
      </c>
      <c r="R1164" s="29" t="str">
        <f t="shared" si="37"/>
        <v>2dms_cadatt_v1_GetLandSecInfoNlsc_W</v>
      </c>
      <c r="U1164" s="27" t="str">
        <f>_xlfn.XLOOKUP(表格1[[#This Row],[服務類別(英)]],參考2_服務標準對照!$B:$B,參考2_服務標準對照!$C:$C,"")&amp;""</f>
        <v/>
      </c>
      <c r="V1164" s="29" t="s">
        <v>14</v>
      </c>
      <c r="W1164" s="29" t="s">
        <v>4408</v>
      </c>
      <c r="X1164" s="29" t="s">
        <v>81</v>
      </c>
      <c r="Y1164" s="36" t="s">
        <v>83</v>
      </c>
      <c r="Z1164" s="36" t="s">
        <v>157</v>
      </c>
      <c r="AA1164" s="36" t="s">
        <v>4520</v>
      </c>
      <c r="AB1164" s="36"/>
      <c r="AC1164" s="36"/>
      <c r="AD1164" s="29" t="s">
        <v>96</v>
      </c>
      <c r="AE1164" s="36" t="str">
        <f>_xlfn.XLOOKUP(表格1[[#This Row],[唯一識別碼]],API清冊0707!B:B,API清冊0707!T:T,"")&amp;""</f>
        <v>有下拉選單</v>
      </c>
    </row>
    <row r="1165" spans="1:31" ht="142.5" customHeight="1" x14ac:dyDescent="0.4">
      <c r="A1165" s="29" t="s">
        <v>4875</v>
      </c>
      <c r="B1165" s="29" t="s">
        <v>31</v>
      </c>
      <c r="C1165" s="29" t="s">
        <v>4860</v>
      </c>
      <c r="D1165" s="29" t="s">
        <v>4876</v>
      </c>
      <c r="E1165" s="29" t="s">
        <v>4877</v>
      </c>
      <c r="F1165" s="29" t="s">
        <v>4878</v>
      </c>
      <c r="G1165" s="35" t="s">
        <v>31</v>
      </c>
      <c r="H1165" s="35" t="s">
        <v>151</v>
      </c>
      <c r="I1165" s="36" t="s">
        <v>4879</v>
      </c>
      <c r="J1165" s="37"/>
      <c r="K1165" s="38"/>
      <c r="L1165" s="38"/>
      <c r="M1165" s="36" t="s">
        <v>60</v>
      </c>
      <c r="N1165" s="15" t="s">
        <v>152</v>
      </c>
      <c r="O1165" s="36" t="s">
        <v>4407</v>
      </c>
      <c r="P1165" s="36" t="str">
        <f t="shared" si="36"/>
        <v>API_地籍屬性_地段代碼回傳測繪段籍屬性_南投縣</v>
      </c>
      <c r="Q1165" s="36" t="s">
        <v>4878</v>
      </c>
      <c r="R1165" s="29" t="str">
        <f t="shared" si="37"/>
        <v>2dms_cadatt_v1_GetLandSecInfoNlsc_M</v>
      </c>
      <c r="U1165" s="27" t="str">
        <f>_xlfn.XLOOKUP(表格1[[#This Row],[服務類別(英)]],參考2_服務標準對照!$B:$B,參考2_服務標準對照!$C:$C,"")&amp;""</f>
        <v/>
      </c>
      <c r="V1165" s="29" t="s">
        <v>14</v>
      </c>
      <c r="W1165" s="29" t="s">
        <v>4408</v>
      </c>
      <c r="X1165" s="29" t="s">
        <v>81</v>
      </c>
      <c r="Y1165" s="36" t="s">
        <v>83</v>
      </c>
      <c r="Z1165" s="36" t="s">
        <v>157</v>
      </c>
      <c r="AA1165" s="36" t="s">
        <v>4520</v>
      </c>
      <c r="AB1165" s="36"/>
      <c r="AC1165" s="36"/>
      <c r="AD1165" s="29" t="s">
        <v>96</v>
      </c>
      <c r="AE1165" s="36" t="str">
        <f>_xlfn.XLOOKUP(表格1[[#This Row],[唯一識別碼]],API清冊0707!B:B,API清冊0707!T:T,"")&amp;""</f>
        <v>有下拉選單</v>
      </c>
    </row>
    <row r="1166" spans="1:31" ht="142.5" customHeight="1" x14ac:dyDescent="0.4">
      <c r="A1166" s="29" t="s">
        <v>4880</v>
      </c>
      <c r="B1166" s="29" t="s">
        <v>31</v>
      </c>
      <c r="C1166" s="29" t="s">
        <v>4860</v>
      </c>
      <c r="D1166" s="29" t="s">
        <v>4881</v>
      </c>
      <c r="E1166" s="29" t="s">
        <v>4882</v>
      </c>
      <c r="F1166" s="29" t="s">
        <v>4883</v>
      </c>
      <c r="G1166" s="35" t="s">
        <v>31</v>
      </c>
      <c r="H1166" s="35" t="s">
        <v>151</v>
      </c>
      <c r="I1166" s="36" t="s">
        <v>4884</v>
      </c>
      <c r="J1166" s="37"/>
      <c r="K1166" s="38"/>
      <c r="L1166" s="38"/>
      <c r="M1166" s="36" t="s">
        <v>60</v>
      </c>
      <c r="N1166" s="15" t="s">
        <v>152</v>
      </c>
      <c r="O1166" s="36" t="s">
        <v>4407</v>
      </c>
      <c r="P1166" s="36" t="str">
        <f t="shared" si="36"/>
        <v>API_地籍屬性_地段代碼回傳測繪段籍屬性_屏東縣</v>
      </c>
      <c r="Q1166" s="36" t="s">
        <v>4883</v>
      </c>
      <c r="R1166" s="29" t="str">
        <f t="shared" si="37"/>
        <v>2dms_cadatt_v1_GetLandSecInfoNlsc_T</v>
      </c>
      <c r="U1166" s="27" t="str">
        <f>_xlfn.XLOOKUP(表格1[[#This Row],[服務類別(英)]],參考2_服務標準對照!$B:$B,參考2_服務標準對照!$C:$C,"")&amp;""</f>
        <v/>
      </c>
      <c r="V1166" s="29" t="s">
        <v>14</v>
      </c>
      <c r="W1166" s="29" t="s">
        <v>4408</v>
      </c>
      <c r="X1166" s="29" t="s">
        <v>81</v>
      </c>
      <c r="Y1166" s="36" t="s">
        <v>83</v>
      </c>
      <c r="Z1166" s="36" t="s">
        <v>157</v>
      </c>
      <c r="AA1166" s="36" t="s">
        <v>4520</v>
      </c>
      <c r="AB1166" s="36"/>
      <c r="AC1166" s="36"/>
      <c r="AD1166" s="29" t="s">
        <v>96</v>
      </c>
      <c r="AE1166" s="36" t="str">
        <f>_xlfn.XLOOKUP(表格1[[#This Row],[唯一識別碼]],API清冊0707!B:B,API清冊0707!T:T,"")&amp;""</f>
        <v>有下拉選單</v>
      </c>
    </row>
    <row r="1167" spans="1:31" ht="142.5" customHeight="1" x14ac:dyDescent="0.4">
      <c r="A1167" s="29" t="s">
        <v>4885</v>
      </c>
      <c r="B1167" s="29" t="s">
        <v>31</v>
      </c>
      <c r="C1167" s="29" t="s">
        <v>4860</v>
      </c>
      <c r="D1167" s="29" t="s">
        <v>4886</v>
      </c>
      <c r="E1167" s="29" t="s">
        <v>4887</v>
      </c>
      <c r="F1167" s="29" t="s">
        <v>4888</v>
      </c>
      <c r="G1167" s="35" t="s">
        <v>31</v>
      </c>
      <c r="H1167" s="35" t="s">
        <v>151</v>
      </c>
      <c r="I1167" s="36" t="s">
        <v>4889</v>
      </c>
      <c r="J1167" s="37"/>
      <c r="K1167" s="38"/>
      <c r="L1167" s="38"/>
      <c r="M1167" s="36" t="s">
        <v>60</v>
      </c>
      <c r="N1167" s="15" t="s">
        <v>152</v>
      </c>
      <c r="O1167" s="36" t="s">
        <v>4407</v>
      </c>
      <c r="P1167" s="36" t="str">
        <f t="shared" si="36"/>
        <v>API_地籍屬性_地段代碼回傳測繪段籍屬性_苗栗縣</v>
      </c>
      <c r="Q1167" s="36" t="s">
        <v>4888</v>
      </c>
      <c r="R1167" s="29" t="str">
        <f t="shared" si="37"/>
        <v>2dms_cadatt_v1_GetLandSecInfoNlsc_K</v>
      </c>
      <c r="U1167" s="27" t="str">
        <f>_xlfn.XLOOKUP(表格1[[#This Row],[服務類別(英)]],參考2_服務標準對照!$B:$B,參考2_服務標準對照!$C:$C,"")&amp;""</f>
        <v/>
      </c>
      <c r="V1167" s="29" t="s">
        <v>14</v>
      </c>
      <c r="W1167" s="29" t="s">
        <v>4408</v>
      </c>
      <c r="X1167" s="29" t="s">
        <v>81</v>
      </c>
      <c r="Y1167" s="36" t="s">
        <v>83</v>
      </c>
      <c r="Z1167" s="36" t="s">
        <v>157</v>
      </c>
      <c r="AA1167" s="36" t="s">
        <v>4520</v>
      </c>
      <c r="AB1167" s="36"/>
      <c r="AC1167" s="36"/>
      <c r="AD1167" s="29" t="s">
        <v>96</v>
      </c>
      <c r="AE1167" s="36" t="str">
        <f>_xlfn.XLOOKUP(表格1[[#This Row],[唯一識別碼]],API清冊0707!B:B,API清冊0707!T:T,"")&amp;""</f>
        <v>有下拉選單</v>
      </c>
    </row>
    <row r="1168" spans="1:31" ht="142.5" customHeight="1" x14ac:dyDescent="0.4">
      <c r="A1168" s="29" t="s">
        <v>4890</v>
      </c>
      <c r="B1168" s="29" t="s">
        <v>31</v>
      </c>
      <c r="C1168" s="29" t="s">
        <v>4860</v>
      </c>
      <c r="D1168" s="29" t="s">
        <v>4891</v>
      </c>
      <c r="E1168" s="29" t="s">
        <v>4892</v>
      </c>
      <c r="F1168" s="29" t="s">
        <v>4893</v>
      </c>
      <c r="G1168" s="35" t="s">
        <v>31</v>
      </c>
      <c r="H1168" s="35" t="s">
        <v>151</v>
      </c>
      <c r="I1168" s="36" t="s">
        <v>4894</v>
      </c>
      <c r="J1168" s="37"/>
      <c r="K1168" s="38"/>
      <c r="L1168" s="38"/>
      <c r="M1168" s="36" t="s">
        <v>60</v>
      </c>
      <c r="N1168" s="15" t="s">
        <v>152</v>
      </c>
      <c r="O1168" s="36" t="s">
        <v>4407</v>
      </c>
      <c r="P1168" s="36" t="str">
        <f t="shared" si="36"/>
        <v>API_地籍屬性_地段代碼回傳測繪段籍屬性_桃園市</v>
      </c>
      <c r="Q1168" s="36" t="s">
        <v>4893</v>
      </c>
      <c r="R1168" s="29" t="str">
        <f t="shared" si="37"/>
        <v>2dms_cadatt_v1_GetLandSecInfoNlsc_H</v>
      </c>
      <c r="U1168" s="27" t="str">
        <f>_xlfn.XLOOKUP(表格1[[#This Row],[服務類別(英)]],參考2_服務標準對照!$B:$B,參考2_服務標準對照!$C:$C,"")&amp;""</f>
        <v/>
      </c>
      <c r="V1168" s="29" t="s">
        <v>14</v>
      </c>
      <c r="W1168" s="29" t="s">
        <v>4408</v>
      </c>
      <c r="X1168" s="29" t="s">
        <v>81</v>
      </c>
      <c r="Y1168" s="36" t="s">
        <v>83</v>
      </c>
      <c r="Z1168" s="36" t="s">
        <v>157</v>
      </c>
      <c r="AA1168" s="36" t="s">
        <v>4520</v>
      </c>
      <c r="AB1168" s="36"/>
      <c r="AC1168" s="36"/>
      <c r="AD1168" s="29" t="s">
        <v>96</v>
      </c>
      <c r="AE1168" s="36" t="str">
        <f>_xlfn.XLOOKUP(表格1[[#This Row],[唯一識別碼]],API清冊0707!B:B,API清冊0707!T:T,"")&amp;""</f>
        <v>有下拉選單</v>
      </c>
    </row>
    <row r="1169" spans="1:31" ht="142.5" customHeight="1" x14ac:dyDescent="0.4">
      <c r="A1169" s="29" t="s">
        <v>4895</v>
      </c>
      <c r="B1169" s="29" t="s">
        <v>31</v>
      </c>
      <c r="C1169" s="29" t="s">
        <v>4860</v>
      </c>
      <c r="D1169" s="29" t="s">
        <v>4896</v>
      </c>
      <c r="E1169" s="29" t="s">
        <v>4897</v>
      </c>
      <c r="F1169" s="29" t="s">
        <v>4898</v>
      </c>
      <c r="G1169" s="35" t="s">
        <v>31</v>
      </c>
      <c r="H1169" s="35" t="s">
        <v>151</v>
      </c>
      <c r="I1169" s="36" t="s">
        <v>4899</v>
      </c>
      <c r="J1169" s="37"/>
      <c r="K1169" s="38"/>
      <c r="L1169" s="38"/>
      <c r="M1169" s="36" t="s">
        <v>60</v>
      </c>
      <c r="N1169" s="15" t="s">
        <v>152</v>
      </c>
      <c r="O1169" s="36" t="s">
        <v>4407</v>
      </c>
      <c r="P1169" s="36" t="str">
        <f t="shared" si="36"/>
        <v>API_地籍屬性_地段代碼回傳測繪段籍屬性_高雄市</v>
      </c>
      <c r="Q1169" s="36" t="s">
        <v>4898</v>
      </c>
      <c r="R1169" s="29" t="str">
        <f t="shared" si="37"/>
        <v>2dms_cadatt_v1_GetLandSecInfoNlsc_E</v>
      </c>
      <c r="U1169" s="27" t="str">
        <f>_xlfn.XLOOKUP(表格1[[#This Row],[服務類別(英)]],參考2_服務標準對照!$B:$B,參考2_服務標準對照!$C:$C,"")&amp;""</f>
        <v/>
      </c>
      <c r="V1169" s="29" t="s">
        <v>14</v>
      </c>
      <c r="W1169" s="29" t="s">
        <v>4408</v>
      </c>
      <c r="X1169" s="29" t="s">
        <v>81</v>
      </c>
      <c r="Y1169" s="36" t="s">
        <v>83</v>
      </c>
      <c r="Z1169" s="36" t="s">
        <v>157</v>
      </c>
      <c r="AA1169" s="36" t="s">
        <v>4520</v>
      </c>
      <c r="AB1169" s="36"/>
      <c r="AC1169" s="36"/>
      <c r="AD1169" s="29" t="s">
        <v>96</v>
      </c>
      <c r="AE1169" s="36" t="str">
        <f>_xlfn.XLOOKUP(表格1[[#This Row],[唯一識別碼]],API清冊0707!B:B,API清冊0707!T:T,"")&amp;""</f>
        <v>有下拉選單</v>
      </c>
    </row>
    <row r="1170" spans="1:31" ht="142.5" customHeight="1" x14ac:dyDescent="0.4">
      <c r="A1170" s="29" t="s">
        <v>4900</v>
      </c>
      <c r="B1170" s="29" t="s">
        <v>31</v>
      </c>
      <c r="C1170" s="29" t="s">
        <v>4860</v>
      </c>
      <c r="D1170" s="29" t="s">
        <v>4901</v>
      </c>
      <c r="E1170" s="29" t="s">
        <v>4902</v>
      </c>
      <c r="F1170" s="29" t="s">
        <v>4903</v>
      </c>
      <c r="G1170" s="35" t="s">
        <v>31</v>
      </c>
      <c r="H1170" s="35" t="s">
        <v>151</v>
      </c>
      <c r="I1170" s="36" t="s">
        <v>4904</v>
      </c>
      <c r="J1170" s="37"/>
      <c r="K1170" s="38"/>
      <c r="L1170" s="38"/>
      <c r="M1170" s="36" t="s">
        <v>60</v>
      </c>
      <c r="N1170" s="15" t="s">
        <v>152</v>
      </c>
      <c r="O1170" s="36" t="s">
        <v>4407</v>
      </c>
      <c r="P1170" s="36" t="str">
        <f t="shared" si="36"/>
        <v>API_地籍屬性_地段代碼回傳測繪段籍屬性_基隆市</v>
      </c>
      <c r="Q1170" s="36" t="s">
        <v>4903</v>
      </c>
      <c r="R1170" s="29" t="str">
        <f t="shared" si="37"/>
        <v>2dms_cadatt_v1_GetLandSecInfoNlsc_C</v>
      </c>
      <c r="U1170" s="27" t="str">
        <f>_xlfn.XLOOKUP(表格1[[#This Row],[服務類別(英)]],參考2_服務標準對照!$B:$B,參考2_服務標準對照!$C:$C,"")&amp;""</f>
        <v/>
      </c>
      <c r="V1170" s="29" t="s">
        <v>14</v>
      </c>
      <c r="W1170" s="29" t="s">
        <v>4408</v>
      </c>
      <c r="X1170" s="29" t="s">
        <v>81</v>
      </c>
      <c r="Y1170" s="36" t="s">
        <v>83</v>
      </c>
      <c r="Z1170" s="36" t="s">
        <v>157</v>
      </c>
      <c r="AA1170" s="36" t="s">
        <v>4520</v>
      </c>
      <c r="AB1170" s="36"/>
      <c r="AC1170" s="36"/>
      <c r="AD1170" s="29" t="s">
        <v>96</v>
      </c>
      <c r="AE1170" s="36" t="str">
        <f>_xlfn.XLOOKUP(表格1[[#This Row],[唯一識別碼]],API清冊0707!B:B,API清冊0707!T:T,"")&amp;""</f>
        <v>有下拉選單</v>
      </c>
    </row>
    <row r="1171" spans="1:31" ht="142.5" customHeight="1" x14ac:dyDescent="0.4">
      <c r="A1171" s="29" t="s">
        <v>4905</v>
      </c>
      <c r="B1171" s="29" t="s">
        <v>31</v>
      </c>
      <c r="C1171" s="29" t="s">
        <v>4860</v>
      </c>
      <c r="D1171" s="29" t="s">
        <v>4906</v>
      </c>
      <c r="E1171" s="29" t="s">
        <v>4907</v>
      </c>
      <c r="F1171" s="29" t="s">
        <v>4908</v>
      </c>
      <c r="G1171" s="35" t="s">
        <v>31</v>
      </c>
      <c r="H1171" s="35" t="s">
        <v>151</v>
      </c>
      <c r="I1171" s="36" t="s">
        <v>4909</v>
      </c>
      <c r="J1171" s="37"/>
      <c r="K1171" s="38"/>
      <c r="L1171" s="38"/>
      <c r="M1171" s="36" t="s">
        <v>60</v>
      </c>
      <c r="N1171" s="15" t="s">
        <v>152</v>
      </c>
      <c r="O1171" s="36" t="s">
        <v>4407</v>
      </c>
      <c r="P1171" s="36" t="str">
        <f t="shared" si="36"/>
        <v>API_地籍屬性_地段代碼回傳測繪段籍屬性_連江縣</v>
      </c>
      <c r="Q1171" s="36" t="s">
        <v>4908</v>
      </c>
      <c r="R1171" s="29" t="str">
        <f t="shared" si="37"/>
        <v>2dms_cadatt_v1_GetLandSecInfoNlsc_Z</v>
      </c>
      <c r="U1171" s="27" t="str">
        <f>_xlfn.XLOOKUP(表格1[[#This Row],[服務類別(英)]],參考2_服務標準對照!$B:$B,參考2_服務標準對照!$C:$C,"")&amp;""</f>
        <v/>
      </c>
      <c r="V1171" s="29" t="s">
        <v>14</v>
      </c>
      <c r="W1171" s="29" t="s">
        <v>4408</v>
      </c>
      <c r="X1171" s="29" t="s">
        <v>81</v>
      </c>
      <c r="Y1171" s="36" t="s">
        <v>83</v>
      </c>
      <c r="Z1171" s="36" t="s">
        <v>157</v>
      </c>
      <c r="AA1171" s="36" t="s">
        <v>4520</v>
      </c>
      <c r="AB1171" s="36"/>
      <c r="AC1171" s="36"/>
      <c r="AD1171" s="29" t="s">
        <v>96</v>
      </c>
      <c r="AE1171" s="36" t="str">
        <f>_xlfn.XLOOKUP(表格1[[#This Row],[唯一識別碼]],API清冊0707!B:B,API清冊0707!T:T,"")&amp;""</f>
        <v>有下拉選單</v>
      </c>
    </row>
    <row r="1172" spans="1:31" ht="142.5" customHeight="1" x14ac:dyDescent="0.4">
      <c r="A1172" s="29" t="s">
        <v>4910</v>
      </c>
      <c r="B1172" s="29" t="s">
        <v>31</v>
      </c>
      <c r="C1172" s="29" t="s">
        <v>4860</v>
      </c>
      <c r="D1172" s="29" t="s">
        <v>4911</v>
      </c>
      <c r="E1172" s="29" t="s">
        <v>4912</v>
      </c>
      <c r="F1172" s="29" t="s">
        <v>4913</v>
      </c>
      <c r="G1172" s="35" t="s">
        <v>31</v>
      </c>
      <c r="H1172" s="35" t="s">
        <v>151</v>
      </c>
      <c r="I1172" s="36" t="s">
        <v>4914</v>
      </c>
      <c r="J1172" s="37"/>
      <c r="K1172" s="38"/>
      <c r="L1172" s="38"/>
      <c r="M1172" s="36" t="s">
        <v>60</v>
      </c>
      <c r="N1172" s="15" t="s">
        <v>152</v>
      </c>
      <c r="O1172" s="36" t="s">
        <v>4407</v>
      </c>
      <c r="P1172" s="36" t="str">
        <f t="shared" si="36"/>
        <v>API_地籍屬性_地段代碼回傳測繪段籍屬性_雲林縣</v>
      </c>
      <c r="Q1172" s="36" t="s">
        <v>4913</v>
      </c>
      <c r="R1172" s="29" t="str">
        <f t="shared" si="37"/>
        <v>2dms_cadatt_v1_GetLandSecInfoNlsc_P</v>
      </c>
      <c r="U1172" s="27" t="str">
        <f>_xlfn.XLOOKUP(表格1[[#This Row],[服務類別(英)]],參考2_服務標準對照!$B:$B,參考2_服務標準對照!$C:$C,"")&amp;""</f>
        <v/>
      </c>
      <c r="V1172" s="29" t="s">
        <v>14</v>
      </c>
      <c r="W1172" s="29" t="s">
        <v>4408</v>
      </c>
      <c r="X1172" s="29" t="s">
        <v>81</v>
      </c>
      <c r="Y1172" s="36" t="s">
        <v>83</v>
      </c>
      <c r="Z1172" s="36" t="s">
        <v>157</v>
      </c>
      <c r="AA1172" s="36" t="s">
        <v>4520</v>
      </c>
      <c r="AB1172" s="36"/>
      <c r="AC1172" s="36"/>
      <c r="AD1172" s="29" t="s">
        <v>96</v>
      </c>
      <c r="AE1172" s="36" t="str">
        <f>_xlfn.XLOOKUP(表格1[[#This Row],[唯一識別碼]],API清冊0707!B:B,API清冊0707!T:T,"")&amp;""</f>
        <v>有下拉選單</v>
      </c>
    </row>
    <row r="1173" spans="1:31" ht="142.5" customHeight="1" x14ac:dyDescent="0.4">
      <c r="A1173" s="29" t="s">
        <v>4915</v>
      </c>
      <c r="B1173" s="29" t="s">
        <v>31</v>
      </c>
      <c r="C1173" s="29" t="s">
        <v>4860</v>
      </c>
      <c r="D1173" s="29" t="s">
        <v>4916</v>
      </c>
      <c r="E1173" s="29" t="s">
        <v>4917</v>
      </c>
      <c r="F1173" s="29" t="s">
        <v>4918</v>
      </c>
      <c r="G1173" s="35" t="s">
        <v>31</v>
      </c>
      <c r="H1173" s="35" t="s">
        <v>151</v>
      </c>
      <c r="I1173" s="36" t="s">
        <v>4919</v>
      </c>
      <c r="J1173" s="37"/>
      <c r="K1173" s="38"/>
      <c r="L1173" s="38"/>
      <c r="M1173" s="36" t="s">
        <v>60</v>
      </c>
      <c r="N1173" s="15" t="s">
        <v>152</v>
      </c>
      <c r="O1173" s="36" t="s">
        <v>4407</v>
      </c>
      <c r="P1173" s="36" t="str">
        <f t="shared" si="36"/>
        <v>API_地籍屬性_地段代碼回傳測繪段籍屬性_新北市</v>
      </c>
      <c r="Q1173" s="36" t="s">
        <v>4918</v>
      </c>
      <c r="R1173" s="29" t="str">
        <f t="shared" si="37"/>
        <v>2dms_cadatt_v1_GetLandSecInfoNlsc_F</v>
      </c>
      <c r="U1173" s="27" t="str">
        <f>_xlfn.XLOOKUP(表格1[[#This Row],[服務類別(英)]],參考2_服務標準對照!$B:$B,參考2_服務標準對照!$C:$C,"")&amp;""</f>
        <v/>
      </c>
      <c r="V1173" s="29" t="s">
        <v>14</v>
      </c>
      <c r="W1173" s="29" t="s">
        <v>4408</v>
      </c>
      <c r="X1173" s="29" t="s">
        <v>81</v>
      </c>
      <c r="Y1173" s="36" t="s">
        <v>83</v>
      </c>
      <c r="Z1173" s="36" t="s">
        <v>157</v>
      </c>
      <c r="AA1173" s="36" t="s">
        <v>4520</v>
      </c>
      <c r="AB1173" s="36"/>
      <c r="AC1173" s="36"/>
      <c r="AD1173" s="29" t="s">
        <v>96</v>
      </c>
      <c r="AE1173" s="36" t="str">
        <f>_xlfn.XLOOKUP(表格1[[#This Row],[唯一識別碼]],API清冊0707!B:B,API清冊0707!T:T,"")&amp;""</f>
        <v>有下拉選單</v>
      </c>
    </row>
    <row r="1174" spans="1:31" ht="142.5" customHeight="1" x14ac:dyDescent="0.4">
      <c r="A1174" s="29" t="s">
        <v>4920</v>
      </c>
      <c r="B1174" s="29" t="s">
        <v>31</v>
      </c>
      <c r="C1174" s="29" t="s">
        <v>4860</v>
      </c>
      <c r="D1174" s="29" t="s">
        <v>4921</v>
      </c>
      <c r="E1174" s="29" t="s">
        <v>4922</v>
      </c>
      <c r="F1174" s="29" t="s">
        <v>4923</v>
      </c>
      <c r="G1174" s="35" t="s">
        <v>31</v>
      </c>
      <c r="H1174" s="35" t="s">
        <v>151</v>
      </c>
      <c r="I1174" s="36" t="s">
        <v>4924</v>
      </c>
      <c r="J1174" s="37"/>
      <c r="K1174" s="38"/>
      <c r="L1174" s="38"/>
      <c r="M1174" s="36" t="s">
        <v>60</v>
      </c>
      <c r="N1174" s="15" t="s">
        <v>152</v>
      </c>
      <c r="O1174" s="36" t="s">
        <v>4407</v>
      </c>
      <c r="P1174" s="36" t="str">
        <f t="shared" si="36"/>
        <v>API_地籍屬性_地段代碼回傳測繪段籍屬性_新竹市</v>
      </c>
      <c r="Q1174" s="36" t="s">
        <v>4923</v>
      </c>
      <c r="R1174" s="29" t="str">
        <f t="shared" si="37"/>
        <v>2dms_cadatt_v1_GetLandSecInfoNlsc_O</v>
      </c>
      <c r="U1174" s="27" t="str">
        <f>_xlfn.XLOOKUP(表格1[[#This Row],[服務類別(英)]],參考2_服務標準對照!$B:$B,參考2_服務標準對照!$C:$C,"")&amp;""</f>
        <v/>
      </c>
      <c r="V1174" s="29" t="s">
        <v>14</v>
      </c>
      <c r="W1174" s="29" t="s">
        <v>4408</v>
      </c>
      <c r="X1174" s="29" t="s">
        <v>81</v>
      </c>
      <c r="Y1174" s="36" t="s">
        <v>83</v>
      </c>
      <c r="Z1174" s="36" t="s">
        <v>157</v>
      </c>
      <c r="AA1174" s="36" t="s">
        <v>4520</v>
      </c>
      <c r="AB1174" s="36"/>
      <c r="AC1174" s="36"/>
      <c r="AD1174" s="29" t="s">
        <v>96</v>
      </c>
      <c r="AE1174" s="36" t="str">
        <f>_xlfn.XLOOKUP(表格1[[#This Row],[唯一識別碼]],API清冊0707!B:B,API清冊0707!T:T,"")&amp;""</f>
        <v>有下拉選單</v>
      </c>
    </row>
    <row r="1175" spans="1:31" ht="142.5" customHeight="1" x14ac:dyDescent="0.4">
      <c r="A1175" s="29" t="s">
        <v>4925</v>
      </c>
      <c r="B1175" s="29" t="s">
        <v>31</v>
      </c>
      <c r="C1175" s="29" t="s">
        <v>4860</v>
      </c>
      <c r="D1175" s="29" t="s">
        <v>4926</v>
      </c>
      <c r="E1175" s="29" t="s">
        <v>4927</v>
      </c>
      <c r="F1175" s="29" t="s">
        <v>4928</v>
      </c>
      <c r="G1175" s="35" t="s">
        <v>31</v>
      </c>
      <c r="H1175" s="35" t="s">
        <v>151</v>
      </c>
      <c r="I1175" s="36" t="s">
        <v>4929</v>
      </c>
      <c r="J1175" s="37"/>
      <c r="K1175" s="38"/>
      <c r="L1175" s="38"/>
      <c r="M1175" s="36" t="s">
        <v>60</v>
      </c>
      <c r="N1175" s="15" t="s">
        <v>152</v>
      </c>
      <c r="O1175" s="36" t="s">
        <v>4407</v>
      </c>
      <c r="P1175" s="36" t="str">
        <f t="shared" si="36"/>
        <v>API_地籍屬性_地段代碼回傳測繪段籍屬性_新竹縣</v>
      </c>
      <c r="Q1175" s="36" t="s">
        <v>4928</v>
      </c>
      <c r="R1175" s="29" t="str">
        <f t="shared" si="37"/>
        <v>2dms_cadatt_v1_GetLandSecInfoNlsc_J</v>
      </c>
      <c r="U1175" s="27" t="str">
        <f>_xlfn.XLOOKUP(表格1[[#This Row],[服務類別(英)]],參考2_服務標準對照!$B:$B,參考2_服務標準對照!$C:$C,"")&amp;""</f>
        <v/>
      </c>
      <c r="V1175" s="29" t="s">
        <v>14</v>
      </c>
      <c r="W1175" s="29" t="s">
        <v>4408</v>
      </c>
      <c r="X1175" s="29" t="s">
        <v>81</v>
      </c>
      <c r="Y1175" s="36" t="s">
        <v>83</v>
      </c>
      <c r="Z1175" s="36" t="s">
        <v>157</v>
      </c>
      <c r="AA1175" s="36" t="s">
        <v>4520</v>
      </c>
      <c r="AB1175" s="36"/>
      <c r="AC1175" s="36"/>
      <c r="AD1175" s="29" t="s">
        <v>96</v>
      </c>
      <c r="AE1175" s="36" t="str">
        <f>_xlfn.XLOOKUP(表格1[[#This Row],[唯一識別碼]],API清冊0707!B:B,API清冊0707!T:T,"")&amp;""</f>
        <v>有下拉選單</v>
      </c>
    </row>
    <row r="1176" spans="1:31" ht="142.5" customHeight="1" x14ac:dyDescent="0.4">
      <c r="A1176" s="29" t="s">
        <v>4930</v>
      </c>
      <c r="B1176" s="29" t="s">
        <v>31</v>
      </c>
      <c r="C1176" s="29" t="s">
        <v>4860</v>
      </c>
      <c r="D1176" s="29" t="s">
        <v>4931</v>
      </c>
      <c r="E1176" s="29" t="s">
        <v>4932</v>
      </c>
      <c r="F1176" s="29" t="s">
        <v>4933</v>
      </c>
      <c r="G1176" s="35" t="s">
        <v>31</v>
      </c>
      <c r="H1176" s="35" t="s">
        <v>151</v>
      </c>
      <c r="I1176" s="36" t="s">
        <v>4934</v>
      </c>
      <c r="J1176" s="37"/>
      <c r="K1176" s="38"/>
      <c r="L1176" s="38"/>
      <c r="M1176" s="36" t="s">
        <v>60</v>
      </c>
      <c r="N1176" s="15" t="s">
        <v>152</v>
      </c>
      <c r="O1176" s="36" t="s">
        <v>4407</v>
      </c>
      <c r="P1176" s="36" t="str">
        <f t="shared" si="36"/>
        <v>API_地籍屬性_地段代碼回傳測繪段籍屬性_嘉義市</v>
      </c>
      <c r="Q1176" s="36" t="s">
        <v>4933</v>
      </c>
      <c r="R1176" s="29" t="str">
        <f t="shared" si="37"/>
        <v>2dms_cadatt_v1_GetLandSecInfoNlsc_I</v>
      </c>
      <c r="U1176" s="27" t="str">
        <f>_xlfn.XLOOKUP(表格1[[#This Row],[服務類別(英)]],參考2_服務標準對照!$B:$B,參考2_服務標準對照!$C:$C,"")&amp;""</f>
        <v/>
      </c>
      <c r="V1176" s="29" t="s">
        <v>14</v>
      </c>
      <c r="W1176" s="29" t="s">
        <v>4408</v>
      </c>
      <c r="X1176" s="29" t="s">
        <v>81</v>
      </c>
      <c r="Y1176" s="36" t="s">
        <v>83</v>
      </c>
      <c r="Z1176" s="36" t="s">
        <v>157</v>
      </c>
      <c r="AA1176" s="36" t="s">
        <v>4520</v>
      </c>
      <c r="AB1176" s="36"/>
      <c r="AC1176" s="36"/>
      <c r="AD1176" s="29" t="s">
        <v>96</v>
      </c>
      <c r="AE1176" s="36" t="str">
        <f>_xlfn.XLOOKUP(表格1[[#This Row],[唯一識別碼]],API清冊0707!B:B,API清冊0707!T:T,"")&amp;""</f>
        <v>有下拉選單</v>
      </c>
    </row>
    <row r="1177" spans="1:31" ht="142.5" customHeight="1" x14ac:dyDescent="0.4">
      <c r="A1177" s="29" t="s">
        <v>4935</v>
      </c>
      <c r="B1177" s="29" t="s">
        <v>31</v>
      </c>
      <c r="C1177" s="29" t="s">
        <v>4860</v>
      </c>
      <c r="D1177" s="29" t="s">
        <v>4936</v>
      </c>
      <c r="E1177" s="29" t="s">
        <v>4937</v>
      </c>
      <c r="F1177" s="29" t="s">
        <v>4938</v>
      </c>
      <c r="G1177" s="35" t="s">
        <v>31</v>
      </c>
      <c r="H1177" s="35" t="s">
        <v>151</v>
      </c>
      <c r="I1177" s="36" t="s">
        <v>4939</v>
      </c>
      <c r="J1177" s="37"/>
      <c r="K1177" s="38"/>
      <c r="L1177" s="38"/>
      <c r="M1177" s="36" t="s">
        <v>60</v>
      </c>
      <c r="N1177" s="15" t="s">
        <v>152</v>
      </c>
      <c r="O1177" s="36" t="s">
        <v>4407</v>
      </c>
      <c r="P1177" s="36" t="str">
        <f t="shared" si="36"/>
        <v>API_地籍屬性_地段代碼回傳測繪段籍屬性_嘉義縣</v>
      </c>
      <c r="Q1177" s="36" t="s">
        <v>4938</v>
      </c>
      <c r="R1177" s="29" t="str">
        <f t="shared" si="37"/>
        <v>2dms_cadatt_v1_GetLandSecInfoNlsc_Q</v>
      </c>
      <c r="U1177" s="27" t="str">
        <f>_xlfn.XLOOKUP(表格1[[#This Row],[服務類別(英)]],參考2_服務標準對照!$B:$B,參考2_服務標準對照!$C:$C,"")&amp;""</f>
        <v/>
      </c>
      <c r="V1177" s="29" t="s">
        <v>14</v>
      </c>
      <c r="W1177" s="29" t="s">
        <v>4408</v>
      </c>
      <c r="X1177" s="29" t="s">
        <v>81</v>
      </c>
      <c r="Y1177" s="36" t="s">
        <v>83</v>
      </c>
      <c r="Z1177" s="36" t="s">
        <v>157</v>
      </c>
      <c r="AA1177" s="36" t="s">
        <v>4520</v>
      </c>
      <c r="AB1177" s="36"/>
      <c r="AC1177" s="36"/>
      <c r="AD1177" s="29" t="s">
        <v>96</v>
      </c>
      <c r="AE1177" s="36" t="str">
        <f>_xlfn.XLOOKUP(表格1[[#This Row],[唯一識別碼]],API清冊0707!B:B,API清冊0707!T:T,"")&amp;""</f>
        <v>有下拉選單</v>
      </c>
    </row>
    <row r="1178" spans="1:31" ht="142.5" customHeight="1" x14ac:dyDescent="0.4">
      <c r="A1178" s="29" t="s">
        <v>4940</v>
      </c>
      <c r="B1178" s="29" t="s">
        <v>31</v>
      </c>
      <c r="C1178" s="29" t="s">
        <v>4860</v>
      </c>
      <c r="D1178" s="29" t="s">
        <v>4941</v>
      </c>
      <c r="E1178" s="29" t="s">
        <v>4942</v>
      </c>
      <c r="F1178" s="29" t="s">
        <v>4943</v>
      </c>
      <c r="G1178" s="35" t="s">
        <v>31</v>
      </c>
      <c r="H1178" s="35" t="s">
        <v>151</v>
      </c>
      <c r="I1178" s="36" t="s">
        <v>4944</v>
      </c>
      <c r="J1178" s="37"/>
      <c r="K1178" s="38"/>
      <c r="L1178" s="38"/>
      <c r="M1178" s="36" t="s">
        <v>60</v>
      </c>
      <c r="N1178" s="15" t="s">
        <v>152</v>
      </c>
      <c r="O1178" s="36" t="s">
        <v>4407</v>
      </c>
      <c r="P1178" s="36" t="str">
        <f t="shared" si="36"/>
        <v>API_地籍屬性_地段代碼回傳測繪段籍屬性_彰化縣</v>
      </c>
      <c r="Q1178" s="36" t="s">
        <v>4943</v>
      </c>
      <c r="R1178" s="29" t="str">
        <f t="shared" si="37"/>
        <v>2dms_cadatt_v1_GetLandSecInfoNlsc_N</v>
      </c>
      <c r="U1178" s="27" t="str">
        <f>_xlfn.XLOOKUP(表格1[[#This Row],[服務類別(英)]],參考2_服務標準對照!$B:$B,參考2_服務標準對照!$C:$C,"")&amp;""</f>
        <v/>
      </c>
      <c r="V1178" s="29" t="s">
        <v>14</v>
      </c>
      <c r="W1178" s="29" t="s">
        <v>4408</v>
      </c>
      <c r="X1178" s="29" t="s">
        <v>81</v>
      </c>
      <c r="Y1178" s="36" t="s">
        <v>83</v>
      </c>
      <c r="Z1178" s="36" t="s">
        <v>157</v>
      </c>
      <c r="AA1178" s="36" t="s">
        <v>4520</v>
      </c>
      <c r="AB1178" s="36"/>
      <c r="AC1178" s="36"/>
      <c r="AD1178" s="29" t="s">
        <v>96</v>
      </c>
      <c r="AE1178" s="36" t="str">
        <f>_xlfn.XLOOKUP(表格1[[#This Row],[唯一識別碼]],API清冊0707!B:B,API清冊0707!T:T,"")&amp;""</f>
        <v>有下拉選單</v>
      </c>
    </row>
    <row r="1179" spans="1:31" ht="142.5" customHeight="1" x14ac:dyDescent="0.4">
      <c r="A1179" s="29" t="s">
        <v>4945</v>
      </c>
      <c r="B1179" s="29" t="s">
        <v>31</v>
      </c>
      <c r="C1179" s="29" t="s">
        <v>4860</v>
      </c>
      <c r="D1179" s="29" t="s">
        <v>4946</v>
      </c>
      <c r="E1179" s="29" t="s">
        <v>4947</v>
      </c>
      <c r="F1179" s="29" t="s">
        <v>4948</v>
      </c>
      <c r="G1179" s="35" t="s">
        <v>31</v>
      </c>
      <c r="H1179" s="35" t="s">
        <v>151</v>
      </c>
      <c r="I1179" s="36" t="s">
        <v>4949</v>
      </c>
      <c r="J1179" s="37"/>
      <c r="K1179" s="38"/>
      <c r="L1179" s="38"/>
      <c r="M1179" s="36" t="s">
        <v>60</v>
      </c>
      <c r="N1179" s="15" t="s">
        <v>152</v>
      </c>
      <c r="O1179" s="36" t="s">
        <v>4407</v>
      </c>
      <c r="P1179" s="36" t="str">
        <f t="shared" si="36"/>
        <v>API_地籍屬性_地段代碼回傳測繪段籍屬性_臺中市</v>
      </c>
      <c r="Q1179" s="36" t="s">
        <v>4948</v>
      </c>
      <c r="R1179" s="29" t="str">
        <f t="shared" si="37"/>
        <v>2dms_cadatt_v1_GetLandSecInfoNlsc_B</v>
      </c>
      <c r="U1179" s="27" t="str">
        <f>_xlfn.XLOOKUP(表格1[[#This Row],[服務類別(英)]],參考2_服務標準對照!$B:$B,參考2_服務標準對照!$C:$C,"")&amp;""</f>
        <v/>
      </c>
      <c r="V1179" s="29" t="s">
        <v>14</v>
      </c>
      <c r="W1179" s="29" t="s">
        <v>4408</v>
      </c>
      <c r="X1179" s="29" t="s">
        <v>81</v>
      </c>
      <c r="Y1179" s="36" t="s">
        <v>83</v>
      </c>
      <c r="Z1179" s="36" t="s">
        <v>157</v>
      </c>
      <c r="AA1179" s="36" t="s">
        <v>4520</v>
      </c>
      <c r="AB1179" s="36"/>
      <c r="AC1179" s="36"/>
      <c r="AD1179" s="29" t="s">
        <v>96</v>
      </c>
      <c r="AE1179" s="36" t="str">
        <f>_xlfn.XLOOKUP(表格1[[#This Row],[唯一識別碼]],API清冊0707!B:B,API清冊0707!T:T,"")&amp;""</f>
        <v>有下拉選單</v>
      </c>
    </row>
    <row r="1180" spans="1:31" ht="142.5" customHeight="1" x14ac:dyDescent="0.4">
      <c r="A1180" s="29" t="s">
        <v>4950</v>
      </c>
      <c r="B1180" s="29" t="s">
        <v>31</v>
      </c>
      <c r="C1180" s="29" t="s">
        <v>4860</v>
      </c>
      <c r="D1180" s="29" t="s">
        <v>4951</v>
      </c>
      <c r="E1180" s="29" t="s">
        <v>4952</v>
      </c>
      <c r="F1180" s="29" t="s">
        <v>4953</v>
      </c>
      <c r="G1180" s="35" t="s">
        <v>31</v>
      </c>
      <c r="H1180" s="35" t="s">
        <v>151</v>
      </c>
      <c r="I1180" s="36" t="s">
        <v>4954</v>
      </c>
      <c r="J1180" s="37"/>
      <c r="K1180" s="38"/>
      <c r="L1180" s="38"/>
      <c r="M1180" s="36" t="s">
        <v>60</v>
      </c>
      <c r="N1180" s="15" t="s">
        <v>152</v>
      </c>
      <c r="O1180" s="36" t="s">
        <v>4407</v>
      </c>
      <c r="P1180" s="36" t="str">
        <f t="shared" si="36"/>
        <v>API_地籍屬性_地段代碼回傳測繪段籍屬性_臺北市</v>
      </c>
      <c r="Q1180" s="36" t="s">
        <v>4953</v>
      </c>
      <c r="R1180" s="29" t="str">
        <f t="shared" si="37"/>
        <v>2dms_cadatt_v1_GetLandSecInfoNlsc_A</v>
      </c>
      <c r="U1180" s="27" t="str">
        <f>_xlfn.XLOOKUP(表格1[[#This Row],[服務類別(英)]],參考2_服務標準對照!$B:$B,參考2_服務標準對照!$C:$C,"")&amp;""</f>
        <v/>
      </c>
      <c r="V1180" s="29" t="s">
        <v>14</v>
      </c>
      <c r="W1180" s="29" t="s">
        <v>4408</v>
      </c>
      <c r="X1180" s="29" t="s">
        <v>81</v>
      </c>
      <c r="Y1180" s="36" t="s">
        <v>83</v>
      </c>
      <c r="Z1180" s="36" t="s">
        <v>157</v>
      </c>
      <c r="AA1180" s="36" t="s">
        <v>4520</v>
      </c>
      <c r="AB1180" s="36"/>
      <c r="AC1180" s="36"/>
      <c r="AD1180" s="29" t="s">
        <v>96</v>
      </c>
      <c r="AE1180" s="36" t="str">
        <f>_xlfn.XLOOKUP(表格1[[#This Row],[唯一識別碼]],API清冊0707!B:B,API清冊0707!T:T,"")&amp;""</f>
        <v>有下拉選單</v>
      </c>
    </row>
    <row r="1181" spans="1:31" ht="142.5" customHeight="1" x14ac:dyDescent="0.4">
      <c r="A1181" s="29" t="s">
        <v>4955</v>
      </c>
      <c r="B1181" s="29" t="s">
        <v>31</v>
      </c>
      <c r="C1181" s="29" t="s">
        <v>4860</v>
      </c>
      <c r="D1181" s="29" t="s">
        <v>4956</v>
      </c>
      <c r="E1181" s="29" t="s">
        <v>4957</v>
      </c>
      <c r="F1181" s="29" t="s">
        <v>4958</v>
      </c>
      <c r="G1181" s="35" t="s">
        <v>31</v>
      </c>
      <c r="H1181" s="35" t="s">
        <v>151</v>
      </c>
      <c r="I1181" s="36" t="s">
        <v>4959</v>
      </c>
      <c r="J1181" s="37"/>
      <c r="K1181" s="38"/>
      <c r="L1181" s="38"/>
      <c r="M1181" s="36" t="s">
        <v>60</v>
      </c>
      <c r="N1181" s="15" t="s">
        <v>152</v>
      </c>
      <c r="O1181" s="36" t="s">
        <v>4407</v>
      </c>
      <c r="P1181" s="36" t="str">
        <f t="shared" si="36"/>
        <v>API_地籍屬性_地段代碼回傳測繪段籍屬性_臺東縣</v>
      </c>
      <c r="Q1181" s="36" t="s">
        <v>4958</v>
      </c>
      <c r="R1181" s="29" t="str">
        <f t="shared" si="37"/>
        <v>2dms_cadatt_v1_GetLandSecInfoNlsc_V</v>
      </c>
      <c r="U1181" s="27" t="str">
        <f>_xlfn.XLOOKUP(表格1[[#This Row],[服務類別(英)]],參考2_服務標準對照!$B:$B,參考2_服務標準對照!$C:$C,"")&amp;""</f>
        <v/>
      </c>
      <c r="V1181" s="29" t="s">
        <v>14</v>
      </c>
      <c r="W1181" s="29" t="s">
        <v>4408</v>
      </c>
      <c r="X1181" s="29" t="s">
        <v>81</v>
      </c>
      <c r="Y1181" s="36" t="s">
        <v>83</v>
      </c>
      <c r="Z1181" s="36" t="s">
        <v>157</v>
      </c>
      <c r="AA1181" s="36" t="s">
        <v>4520</v>
      </c>
      <c r="AB1181" s="36"/>
      <c r="AC1181" s="36"/>
      <c r="AD1181" s="29" t="s">
        <v>96</v>
      </c>
      <c r="AE1181" s="36" t="str">
        <f>_xlfn.XLOOKUP(表格1[[#This Row],[唯一識別碼]],API清冊0707!B:B,API清冊0707!T:T,"")&amp;""</f>
        <v>有下拉選單</v>
      </c>
    </row>
    <row r="1182" spans="1:31" ht="142.5" customHeight="1" x14ac:dyDescent="0.4">
      <c r="A1182" s="29" t="s">
        <v>4960</v>
      </c>
      <c r="B1182" s="29" t="s">
        <v>31</v>
      </c>
      <c r="C1182" s="29" t="s">
        <v>4860</v>
      </c>
      <c r="D1182" s="29" t="s">
        <v>4961</v>
      </c>
      <c r="E1182" s="29" t="s">
        <v>4962</v>
      </c>
      <c r="F1182" s="29" t="s">
        <v>4963</v>
      </c>
      <c r="G1182" s="35" t="s">
        <v>31</v>
      </c>
      <c r="H1182" s="35" t="s">
        <v>151</v>
      </c>
      <c r="I1182" s="36" t="s">
        <v>4964</v>
      </c>
      <c r="J1182" s="37"/>
      <c r="K1182" s="38"/>
      <c r="L1182" s="38"/>
      <c r="M1182" s="36" t="s">
        <v>60</v>
      </c>
      <c r="N1182" s="15" t="s">
        <v>152</v>
      </c>
      <c r="O1182" s="36" t="s">
        <v>4407</v>
      </c>
      <c r="P1182" s="36" t="str">
        <f t="shared" si="36"/>
        <v>API_地籍屬性_地段代碼回傳測繪段籍屬性_臺南市</v>
      </c>
      <c r="Q1182" s="36" t="s">
        <v>4963</v>
      </c>
      <c r="R1182" s="29" t="str">
        <f t="shared" si="37"/>
        <v>2dms_cadatt_v1_GetLandSecInfoNlsc_D</v>
      </c>
      <c r="U1182" s="27" t="str">
        <f>_xlfn.XLOOKUP(表格1[[#This Row],[服務類別(英)]],參考2_服務標準對照!$B:$B,參考2_服務標準對照!$C:$C,"")&amp;""</f>
        <v/>
      </c>
      <c r="V1182" s="29" t="s">
        <v>14</v>
      </c>
      <c r="W1182" s="29" t="s">
        <v>4408</v>
      </c>
      <c r="X1182" s="29" t="s">
        <v>81</v>
      </c>
      <c r="Y1182" s="36" t="s">
        <v>83</v>
      </c>
      <c r="Z1182" s="36" t="s">
        <v>157</v>
      </c>
      <c r="AA1182" s="36" t="s">
        <v>4520</v>
      </c>
      <c r="AB1182" s="36"/>
      <c r="AC1182" s="36"/>
      <c r="AD1182" s="29" t="s">
        <v>96</v>
      </c>
      <c r="AE1182" s="36" t="str">
        <f>_xlfn.XLOOKUP(表格1[[#This Row],[唯一識別碼]],API清冊0707!B:B,API清冊0707!T:T,"")&amp;""</f>
        <v>有下拉選單</v>
      </c>
    </row>
    <row r="1183" spans="1:31" ht="142.5" customHeight="1" x14ac:dyDescent="0.4">
      <c r="A1183" s="29" t="s">
        <v>4965</v>
      </c>
      <c r="B1183" s="29" t="s">
        <v>31</v>
      </c>
      <c r="C1183" s="29" t="s">
        <v>4860</v>
      </c>
      <c r="D1183" s="29" t="s">
        <v>4966</v>
      </c>
      <c r="E1183" s="29" t="s">
        <v>4967</v>
      </c>
      <c r="F1183" s="29" t="s">
        <v>4968</v>
      </c>
      <c r="G1183" s="35" t="s">
        <v>31</v>
      </c>
      <c r="H1183" s="35" t="s">
        <v>151</v>
      </c>
      <c r="I1183" s="36" t="s">
        <v>4969</v>
      </c>
      <c r="J1183" s="37"/>
      <c r="K1183" s="38"/>
      <c r="L1183" s="38"/>
      <c r="M1183" s="36" t="s">
        <v>60</v>
      </c>
      <c r="N1183" s="15" t="s">
        <v>152</v>
      </c>
      <c r="O1183" s="36" t="s">
        <v>4407</v>
      </c>
      <c r="P1183" s="36" t="str">
        <f t="shared" si="36"/>
        <v>API_地籍屬性_地段代碼回傳測繪段籍屬性_澎湖縣</v>
      </c>
      <c r="Q1183" s="36" t="s">
        <v>4968</v>
      </c>
      <c r="R1183" s="29" t="str">
        <f t="shared" si="37"/>
        <v>2dms_cadatt_v1_GetLandSecInfoNlsc_X</v>
      </c>
      <c r="U1183" s="27" t="str">
        <f>_xlfn.XLOOKUP(表格1[[#This Row],[服務類別(英)]],參考2_服務標準對照!$B:$B,參考2_服務標準對照!$C:$C,"")&amp;""</f>
        <v/>
      </c>
      <c r="V1183" s="29" t="s">
        <v>14</v>
      </c>
      <c r="W1183" s="29" t="s">
        <v>4408</v>
      </c>
      <c r="X1183" s="29" t="s">
        <v>81</v>
      </c>
      <c r="Y1183" s="36" t="s">
        <v>83</v>
      </c>
      <c r="Z1183" s="36" t="s">
        <v>157</v>
      </c>
      <c r="AA1183" s="36" t="s">
        <v>4520</v>
      </c>
      <c r="AB1183" s="36"/>
      <c r="AC1183" s="36"/>
      <c r="AD1183" s="29" t="s">
        <v>96</v>
      </c>
      <c r="AE1183" s="36" t="str">
        <f>_xlfn.XLOOKUP(表格1[[#This Row],[唯一識別碼]],API清冊0707!B:B,API清冊0707!T:T,"")&amp;""</f>
        <v>有下拉選單</v>
      </c>
    </row>
    <row r="1184" spans="1:31" ht="157.5" customHeight="1" x14ac:dyDescent="0.4">
      <c r="A1184" s="29" t="s">
        <v>4970</v>
      </c>
      <c r="B1184" s="29" t="s">
        <v>31</v>
      </c>
      <c r="C1184" s="29" t="s">
        <v>4971</v>
      </c>
      <c r="D1184" s="29" t="s">
        <v>4972</v>
      </c>
      <c r="E1184" s="29" t="s">
        <v>4973</v>
      </c>
      <c r="F1184" s="29" t="s">
        <v>4974</v>
      </c>
      <c r="G1184" s="35"/>
      <c r="H1184" s="35" t="s">
        <v>151</v>
      </c>
      <c r="I1184" s="36" t="s">
        <v>4975</v>
      </c>
      <c r="J1184" s="37"/>
      <c r="K1184" s="38"/>
      <c r="L1184" s="38"/>
      <c r="M1184" s="36" t="s">
        <v>60</v>
      </c>
      <c r="N1184" s="15" t="s">
        <v>152</v>
      </c>
      <c r="O1184" s="36" t="s">
        <v>4407</v>
      </c>
      <c r="P1184" s="36" t="str">
        <f t="shared" si="36"/>
        <v>API_地籍屬性_指定門牌查詢地號_全國</v>
      </c>
      <c r="Q1184" s="36" t="s">
        <v>4974</v>
      </c>
      <c r="R1184" s="29" t="str">
        <f t="shared" si="37"/>
        <v>2dms_cadatt_v1_AddressQueryLand</v>
      </c>
      <c r="U1184" s="27" t="str">
        <f>_xlfn.XLOOKUP(表格1[[#This Row],[服務類別(英)]],參考2_服務標準對照!$B:$B,參考2_服務標準對照!$C:$C,"")&amp;""</f>
        <v/>
      </c>
      <c r="V1184" s="29" t="s">
        <v>14</v>
      </c>
      <c r="W1184" s="29" t="s">
        <v>4408</v>
      </c>
      <c r="X1184" s="29" t="s">
        <v>81</v>
      </c>
      <c r="Y1184" s="36" t="s">
        <v>83</v>
      </c>
      <c r="Z1184" s="36" t="s">
        <v>157</v>
      </c>
      <c r="AA1184" s="36" t="s">
        <v>4976</v>
      </c>
      <c r="AB1184" s="36"/>
      <c r="AC1184" s="36"/>
      <c r="AD1184" s="29" t="s">
        <v>119</v>
      </c>
      <c r="AE1184" s="36" t="str">
        <f>_xlfn.XLOOKUP(表格1[[#This Row],[唯一識別碼]],API清冊0707!B:B,API清冊0707!T:T,"")&amp;""</f>
        <v>無下拉選單</v>
      </c>
    </row>
    <row r="1185" spans="1:31" ht="142.5" customHeight="1" x14ac:dyDescent="0.4">
      <c r="A1185" s="29" t="s">
        <v>4977</v>
      </c>
      <c r="B1185" s="29" t="s">
        <v>31</v>
      </c>
      <c r="C1185" s="29" t="s">
        <v>4978</v>
      </c>
      <c r="D1185" s="29" t="s">
        <v>4979</v>
      </c>
      <c r="E1185" s="29" t="s">
        <v>4980</v>
      </c>
      <c r="F1185" s="29" t="s">
        <v>4981</v>
      </c>
      <c r="G1185" s="35"/>
      <c r="H1185" s="35" t="s">
        <v>151</v>
      </c>
      <c r="I1185" s="36" t="s">
        <v>4982</v>
      </c>
      <c r="J1185" s="37"/>
      <c r="K1185" s="38"/>
      <c r="L1185" s="38"/>
      <c r="M1185" s="36" t="s">
        <v>60</v>
      </c>
      <c r="N1185" s="15" t="s">
        <v>152</v>
      </c>
      <c r="O1185" s="36" t="s">
        <v>4407</v>
      </c>
      <c r="P1185" s="36" t="str">
        <f t="shared" si="36"/>
        <v>API_地籍屬性_指定範圍查詢地號清單_全國</v>
      </c>
      <c r="Q1185" s="36" t="s">
        <v>4981</v>
      </c>
      <c r="R1185" s="29" t="str">
        <f t="shared" si="37"/>
        <v>2dms_cadatt_v1_CadasLandNoQuery</v>
      </c>
      <c r="U1185" s="27" t="str">
        <f>_xlfn.XLOOKUP(表格1[[#This Row],[服務類別(英)]],參考2_服務標準對照!$B:$B,參考2_服務標準對照!$C:$C,"")&amp;""</f>
        <v/>
      </c>
      <c r="V1185" s="29" t="s">
        <v>14</v>
      </c>
      <c r="W1185" s="29" t="s">
        <v>4408</v>
      </c>
      <c r="X1185" s="29" t="s">
        <v>81</v>
      </c>
      <c r="Y1185" s="36" t="s">
        <v>83</v>
      </c>
      <c r="Z1185" s="36" t="s">
        <v>157</v>
      </c>
      <c r="AA1185" s="36" t="s">
        <v>4383</v>
      </c>
      <c r="AB1185" s="36"/>
      <c r="AC1185" s="36"/>
      <c r="AD1185" s="29" t="s">
        <v>119</v>
      </c>
      <c r="AE1185" s="36" t="str">
        <f>_xlfn.XLOOKUP(表格1[[#This Row],[唯一識別碼]],API清冊0707!B:B,API清冊0707!T:T,"")&amp;""</f>
        <v>無下拉選單</v>
      </c>
    </row>
    <row r="1186" spans="1:31" ht="126.75" customHeight="1" x14ac:dyDescent="0.4">
      <c r="A1186" s="29" t="s">
        <v>4983</v>
      </c>
      <c r="B1186" s="29" t="s">
        <v>31</v>
      </c>
      <c r="C1186" s="29" t="s">
        <v>4515</v>
      </c>
      <c r="D1186" s="29" t="s">
        <v>4984</v>
      </c>
      <c r="E1186" s="29" t="s">
        <v>4985</v>
      </c>
      <c r="F1186" s="29" t="s">
        <v>4986</v>
      </c>
      <c r="G1186" s="35" t="s">
        <v>31</v>
      </c>
      <c r="H1186" s="35" t="s">
        <v>151</v>
      </c>
      <c r="I1186" s="36" t="s">
        <v>4987</v>
      </c>
      <c r="J1186" s="37"/>
      <c r="K1186" s="38"/>
      <c r="L1186" s="38"/>
      <c r="M1186" s="36" t="s">
        <v>60</v>
      </c>
      <c r="N1186" s="15" t="s">
        <v>152</v>
      </c>
      <c r="O1186" s="36" t="s">
        <v>4407</v>
      </c>
      <c r="P1186" s="36" t="str">
        <f t="shared" si="36"/>
        <v>API_地籍屬性_指定地號查詢建號列表與土地權利人類別_宜蘭縣</v>
      </c>
      <c r="Q1186" s="36" t="s">
        <v>4986</v>
      </c>
      <c r="R1186" s="29" t="str">
        <f t="shared" si="37"/>
        <v>2dms_cadatt_v1_CadasLandInfo_G</v>
      </c>
      <c r="U1186" s="27" t="str">
        <f>_xlfn.XLOOKUP(表格1[[#This Row],[服務類別(英)]],參考2_服務標準對照!$B:$B,參考2_服務標準對照!$C:$C,"")&amp;""</f>
        <v/>
      </c>
      <c r="V1186" s="29" t="s">
        <v>14</v>
      </c>
      <c r="W1186" s="29" t="s">
        <v>4408</v>
      </c>
      <c r="X1186" s="29" t="s">
        <v>81</v>
      </c>
      <c r="Y1186" s="36" t="s">
        <v>83</v>
      </c>
      <c r="Z1186" s="36" t="s">
        <v>157</v>
      </c>
      <c r="AA1186" s="36" t="s">
        <v>4520</v>
      </c>
      <c r="AB1186" s="36"/>
      <c r="AC1186" s="36"/>
      <c r="AD1186" s="29" t="s">
        <v>96</v>
      </c>
      <c r="AE1186" s="36" t="str">
        <f>_xlfn.XLOOKUP(表格1[[#This Row],[唯一識別碼]],API清冊0707!B:B,API清冊0707!T:T,"")&amp;""</f>
        <v>有下拉選單</v>
      </c>
    </row>
    <row r="1187" spans="1:31" ht="126.75" customHeight="1" x14ac:dyDescent="0.4">
      <c r="A1187" s="29" t="s">
        <v>4988</v>
      </c>
      <c r="B1187" s="29" t="s">
        <v>31</v>
      </c>
      <c r="C1187" s="29" t="s">
        <v>4515</v>
      </c>
      <c r="D1187" s="29" t="s">
        <v>4989</v>
      </c>
      <c r="E1187" s="29" t="s">
        <v>4990</v>
      </c>
      <c r="F1187" s="29" t="s">
        <v>4991</v>
      </c>
      <c r="G1187" s="35" t="s">
        <v>31</v>
      </c>
      <c r="H1187" s="35" t="s">
        <v>151</v>
      </c>
      <c r="I1187" s="36" t="s">
        <v>4992</v>
      </c>
      <c r="J1187" s="37"/>
      <c r="K1187" s="38"/>
      <c r="L1187" s="38"/>
      <c r="M1187" s="36" t="s">
        <v>60</v>
      </c>
      <c r="N1187" s="15" t="s">
        <v>152</v>
      </c>
      <c r="O1187" s="36" t="s">
        <v>4407</v>
      </c>
      <c r="P1187" s="36" t="str">
        <f t="shared" si="36"/>
        <v>API_地籍屬性_指定地號查詢建號列表與土地權利人類別_花蓮縣</v>
      </c>
      <c r="Q1187" s="36" t="s">
        <v>4991</v>
      </c>
      <c r="R1187" s="29" t="str">
        <f t="shared" si="37"/>
        <v>2dms_cadatt_v1_CadasLandInfo_U</v>
      </c>
      <c r="U1187" s="27" t="str">
        <f>_xlfn.XLOOKUP(表格1[[#This Row],[服務類別(英)]],參考2_服務標準對照!$B:$B,參考2_服務標準對照!$C:$C,"")&amp;""</f>
        <v/>
      </c>
      <c r="V1187" s="29" t="s">
        <v>14</v>
      </c>
      <c r="W1187" s="29" t="s">
        <v>4408</v>
      </c>
      <c r="X1187" s="29" t="s">
        <v>81</v>
      </c>
      <c r="Y1187" s="36" t="s">
        <v>83</v>
      </c>
      <c r="Z1187" s="36" t="s">
        <v>157</v>
      </c>
      <c r="AA1187" s="36" t="s">
        <v>4520</v>
      </c>
      <c r="AB1187" s="36"/>
      <c r="AC1187" s="36"/>
      <c r="AD1187" s="29" t="s">
        <v>96</v>
      </c>
      <c r="AE1187" s="36" t="str">
        <f>_xlfn.XLOOKUP(表格1[[#This Row],[唯一識別碼]],API清冊0707!B:B,API清冊0707!T:T,"")&amp;""</f>
        <v>有下拉選單</v>
      </c>
    </row>
    <row r="1188" spans="1:31" ht="142.5" customHeight="1" x14ac:dyDescent="0.4">
      <c r="A1188" s="29" t="s">
        <v>4993</v>
      </c>
      <c r="B1188" s="29" t="s">
        <v>31</v>
      </c>
      <c r="C1188" s="29" t="s">
        <v>4515</v>
      </c>
      <c r="D1188" s="29" t="s">
        <v>4994</v>
      </c>
      <c r="E1188" s="29" t="s">
        <v>4995</v>
      </c>
      <c r="F1188" s="29" t="s">
        <v>4996</v>
      </c>
      <c r="G1188" s="35" t="s">
        <v>31</v>
      </c>
      <c r="H1188" s="35" t="s">
        <v>151</v>
      </c>
      <c r="I1188" s="36" t="s">
        <v>4997</v>
      </c>
      <c r="J1188" s="37"/>
      <c r="K1188" s="38"/>
      <c r="L1188" s="38"/>
      <c r="M1188" s="36" t="s">
        <v>60</v>
      </c>
      <c r="N1188" s="15" t="s">
        <v>152</v>
      </c>
      <c r="O1188" s="36" t="s">
        <v>4407</v>
      </c>
      <c r="P1188" s="36" t="str">
        <f t="shared" si="36"/>
        <v>API_地籍屬性_指定地號查詢建號列表與土地權利人類別_金門縣</v>
      </c>
      <c r="Q1188" s="36" t="s">
        <v>4996</v>
      </c>
      <c r="R1188" s="29" t="str">
        <f t="shared" si="37"/>
        <v>2dms_cadatt_v1_CadasLandInfo_W</v>
      </c>
      <c r="U1188" s="27" t="str">
        <f>_xlfn.XLOOKUP(表格1[[#This Row],[服務類別(英)]],參考2_服務標準對照!$B:$B,參考2_服務標準對照!$C:$C,"")&amp;""</f>
        <v/>
      </c>
      <c r="V1188" s="29" t="s">
        <v>14</v>
      </c>
      <c r="W1188" s="29" t="s">
        <v>4408</v>
      </c>
      <c r="X1188" s="29" t="s">
        <v>81</v>
      </c>
      <c r="Y1188" s="36" t="s">
        <v>83</v>
      </c>
      <c r="Z1188" s="36" t="s">
        <v>157</v>
      </c>
      <c r="AA1188" s="36" t="s">
        <v>4520</v>
      </c>
      <c r="AB1188" s="36"/>
      <c r="AC1188" s="36"/>
      <c r="AD1188" s="29" t="s">
        <v>96</v>
      </c>
      <c r="AE1188" s="36" t="str">
        <f>_xlfn.XLOOKUP(表格1[[#This Row],[唯一識別碼]],API清冊0707!B:B,API清冊0707!T:T,"")&amp;""</f>
        <v>有下拉選單</v>
      </c>
    </row>
    <row r="1189" spans="1:31" ht="126.75" customHeight="1" x14ac:dyDescent="0.4">
      <c r="A1189" s="29" t="s">
        <v>4998</v>
      </c>
      <c r="B1189" s="29" t="s">
        <v>31</v>
      </c>
      <c r="C1189" s="29" t="s">
        <v>4515</v>
      </c>
      <c r="D1189" s="29" t="s">
        <v>4999</v>
      </c>
      <c r="E1189" s="29" t="s">
        <v>5000</v>
      </c>
      <c r="F1189" s="29" t="s">
        <v>5001</v>
      </c>
      <c r="G1189" s="35" t="s">
        <v>31</v>
      </c>
      <c r="H1189" s="35" t="s">
        <v>151</v>
      </c>
      <c r="I1189" s="36" t="s">
        <v>5002</v>
      </c>
      <c r="J1189" s="37"/>
      <c r="K1189" s="38"/>
      <c r="L1189" s="38"/>
      <c r="M1189" s="36" t="s">
        <v>60</v>
      </c>
      <c r="N1189" s="15" t="s">
        <v>152</v>
      </c>
      <c r="O1189" s="36" t="s">
        <v>4407</v>
      </c>
      <c r="P1189" s="36" t="str">
        <f t="shared" si="36"/>
        <v>API_地籍屬性_指定地號查詢建號列表與土地權利人類別_南投縣</v>
      </c>
      <c r="Q1189" s="36" t="s">
        <v>5001</v>
      </c>
      <c r="R1189" s="29" t="str">
        <f t="shared" si="37"/>
        <v>2dms_cadatt_v1_CadasLandInfo_M</v>
      </c>
      <c r="U1189" s="27" t="str">
        <f>_xlfn.XLOOKUP(表格1[[#This Row],[服務類別(英)]],參考2_服務標準對照!$B:$B,參考2_服務標準對照!$C:$C,"")&amp;""</f>
        <v/>
      </c>
      <c r="V1189" s="29" t="s">
        <v>14</v>
      </c>
      <c r="W1189" s="29" t="s">
        <v>4408</v>
      </c>
      <c r="X1189" s="29" t="s">
        <v>81</v>
      </c>
      <c r="Y1189" s="36" t="s">
        <v>83</v>
      </c>
      <c r="Z1189" s="36" t="s">
        <v>157</v>
      </c>
      <c r="AA1189" s="36" t="s">
        <v>4520</v>
      </c>
      <c r="AB1189" s="36"/>
      <c r="AC1189" s="36"/>
      <c r="AD1189" s="29" t="s">
        <v>96</v>
      </c>
      <c r="AE1189" s="36" t="str">
        <f>_xlfn.XLOOKUP(表格1[[#This Row],[唯一識別碼]],API清冊0707!B:B,API清冊0707!T:T,"")&amp;""</f>
        <v>有下拉選單</v>
      </c>
    </row>
    <row r="1190" spans="1:31" ht="126.75" customHeight="1" x14ac:dyDescent="0.4">
      <c r="A1190" s="29" t="s">
        <v>5003</v>
      </c>
      <c r="B1190" s="29" t="s">
        <v>31</v>
      </c>
      <c r="C1190" s="29" t="s">
        <v>4515</v>
      </c>
      <c r="D1190" s="29" t="s">
        <v>5004</v>
      </c>
      <c r="E1190" s="29" t="s">
        <v>5005</v>
      </c>
      <c r="F1190" s="29" t="s">
        <v>5006</v>
      </c>
      <c r="G1190" s="35" t="s">
        <v>31</v>
      </c>
      <c r="H1190" s="35" t="s">
        <v>151</v>
      </c>
      <c r="I1190" s="36" t="s">
        <v>5007</v>
      </c>
      <c r="J1190" s="37"/>
      <c r="K1190" s="38"/>
      <c r="L1190" s="38"/>
      <c r="M1190" s="36" t="s">
        <v>60</v>
      </c>
      <c r="N1190" s="15" t="s">
        <v>152</v>
      </c>
      <c r="O1190" s="36" t="s">
        <v>4407</v>
      </c>
      <c r="P1190" s="36" t="str">
        <f t="shared" si="36"/>
        <v>API_地籍屬性_指定地號查詢建號列表與土地權利人類別_屏東縣</v>
      </c>
      <c r="Q1190" s="36" t="s">
        <v>5006</v>
      </c>
      <c r="R1190" s="29" t="str">
        <f t="shared" si="37"/>
        <v>2dms_cadatt_v1_CadasLandInfo_T</v>
      </c>
      <c r="U1190" s="27" t="str">
        <f>_xlfn.XLOOKUP(表格1[[#This Row],[服務類別(英)]],參考2_服務標準對照!$B:$B,參考2_服務標準對照!$C:$C,"")&amp;""</f>
        <v/>
      </c>
      <c r="V1190" s="29" t="s">
        <v>14</v>
      </c>
      <c r="W1190" s="29" t="s">
        <v>4408</v>
      </c>
      <c r="X1190" s="29" t="s">
        <v>81</v>
      </c>
      <c r="Y1190" s="36" t="s">
        <v>83</v>
      </c>
      <c r="Z1190" s="36" t="s">
        <v>157</v>
      </c>
      <c r="AA1190" s="36" t="s">
        <v>4520</v>
      </c>
      <c r="AB1190" s="36"/>
      <c r="AC1190" s="36"/>
      <c r="AD1190" s="29" t="s">
        <v>96</v>
      </c>
      <c r="AE1190" s="36" t="str">
        <f>_xlfn.XLOOKUP(表格1[[#This Row],[唯一識別碼]],API清冊0707!B:B,API清冊0707!T:T,"")&amp;""</f>
        <v>有下拉選單</v>
      </c>
    </row>
    <row r="1191" spans="1:31" ht="126.75" customHeight="1" x14ac:dyDescent="0.4">
      <c r="A1191" s="29" t="s">
        <v>5008</v>
      </c>
      <c r="B1191" s="29" t="s">
        <v>31</v>
      </c>
      <c r="C1191" s="29" t="s">
        <v>4515</v>
      </c>
      <c r="D1191" s="29" t="s">
        <v>5009</v>
      </c>
      <c r="E1191" s="29" t="s">
        <v>5010</v>
      </c>
      <c r="F1191" s="29" t="s">
        <v>5011</v>
      </c>
      <c r="G1191" s="35" t="s">
        <v>31</v>
      </c>
      <c r="H1191" s="35" t="s">
        <v>151</v>
      </c>
      <c r="I1191" s="36" t="s">
        <v>5012</v>
      </c>
      <c r="J1191" s="37"/>
      <c r="K1191" s="38"/>
      <c r="L1191" s="38"/>
      <c r="M1191" s="36" t="s">
        <v>60</v>
      </c>
      <c r="N1191" s="15" t="s">
        <v>152</v>
      </c>
      <c r="O1191" s="36" t="s">
        <v>4407</v>
      </c>
      <c r="P1191" s="36" t="str">
        <f t="shared" si="36"/>
        <v>API_地籍屬性_指定地號查詢建號列表與土地權利人類別_苗栗縣</v>
      </c>
      <c r="Q1191" s="36" t="s">
        <v>5011</v>
      </c>
      <c r="R1191" s="29" t="str">
        <f t="shared" si="37"/>
        <v>2dms_cadatt_v1_CadasLandInfo_K</v>
      </c>
      <c r="U1191" s="27" t="str">
        <f>_xlfn.XLOOKUP(表格1[[#This Row],[服務類別(英)]],參考2_服務標準對照!$B:$B,參考2_服務標準對照!$C:$C,"")&amp;""</f>
        <v/>
      </c>
      <c r="V1191" s="29" t="s">
        <v>14</v>
      </c>
      <c r="W1191" s="29" t="s">
        <v>4408</v>
      </c>
      <c r="X1191" s="29" t="s">
        <v>81</v>
      </c>
      <c r="Y1191" s="36" t="s">
        <v>83</v>
      </c>
      <c r="Z1191" s="36" t="s">
        <v>157</v>
      </c>
      <c r="AA1191" s="36" t="s">
        <v>4520</v>
      </c>
      <c r="AB1191" s="36"/>
      <c r="AC1191" s="36"/>
      <c r="AD1191" s="29" t="s">
        <v>96</v>
      </c>
      <c r="AE1191" s="36" t="str">
        <f>_xlfn.XLOOKUP(表格1[[#This Row],[唯一識別碼]],API清冊0707!B:B,API清冊0707!T:T,"")&amp;""</f>
        <v>有下拉選單</v>
      </c>
    </row>
    <row r="1192" spans="1:31" ht="126.75" customHeight="1" x14ac:dyDescent="0.4">
      <c r="A1192" s="29" t="s">
        <v>5013</v>
      </c>
      <c r="B1192" s="29" t="s">
        <v>31</v>
      </c>
      <c r="C1192" s="29" t="s">
        <v>4515</v>
      </c>
      <c r="D1192" s="29" t="s">
        <v>5014</v>
      </c>
      <c r="E1192" s="29" t="s">
        <v>5015</v>
      </c>
      <c r="F1192" s="29" t="s">
        <v>5016</v>
      </c>
      <c r="G1192" s="35" t="s">
        <v>31</v>
      </c>
      <c r="H1192" s="35" t="s">
        <v>151</v>
      </c>
      <c r="I1192" s="36" t="s">
        <v>5017</v>
      </c>
      <c r="J1192" s="37"/>
      <c r="K1192" s="38"/>
      <c r="L1192" s="38"/>
      <c r="M1192" s="36" t="s">
        <v>60</v>
      </c>
      <c r="N1192" s="15" t="s">
        <v>152</v>
      </c>
      <c r="O1192" s="36" t="s">
        <v>4407</v>
      </c>
      <c r="P1192" s="36" t="str">
        <f t="shared" si="36"/>
        <v>API_地籍屬性_指定地號查詢建號列表與土地權利人類別_桃園市</v>
      </c>
      <c r="Q1192" s="36" t="s">
        <v>5016</v>
      </c>
      <c r="R1192" s="29" t="str">
        <f t="shared" si="37"/>
        <v>2dms_cadatt_v1_CadasLandInfo_H</v>
      </c>
      <c r="U1192" s="27" t="str">
        <f>_xlfn.XLOOKUP(表格1[[#This Row],[服務類別(英)]],參考2_服務標準對照!$B:$B,參考2_服務標準對照!$C:$C,"")&amp;""</f>
        <v/>
      </c>
      <c r="V1192" s="29" t="s">
        <v>14</v>
      </c>
      <c r="W1192" s="29" t="s">
        <v>4408</v>
      </c>
      <c r="X1192" s="29" t="s">
        <v>81</v>
      </c>
      <c r="Y1192" s="36" t="s">
        <v>83</v>
      </c>
      <c r="Z1192" s="36" t="s">
        <v>157</v>
      </c>
      <c r="AA1192" s="36" t="s">
        <v>4520</v>
      </c>
      <c r="AB1192" s="36"/>
      <c r="AC1192" s="36"/>
      <c r="AD1192" s="29" t="s">
        <v>96</v>
      </c>
      <c r="AE1192" s="36" t="str">
        <f>_xlfn.XLOOKUP(表格1[[#This Row],[唯一識別碼]],API清冊0707!B:B,API清冊0707!T:T,"")&amp;""</f>
        <v>有下拉選單</v>
      </c>
    </row>
    <row r="1193" spans="1:31" ht="126.75" customHeight="1" x14ac:dyDescent="0.4">
      <c r="A1193" s="29" t="s">
        <v>5018</v>
      </c>
      <c r="B1193" s="29" t="s">
        <v>31</v>
      </c>
      <c r="C1193" s="29" t="s">
        <v>4515</v>
      </c>
      <c r="D1193" s="29" t="s">
        <v>5019</v>
      </c>
      <c r="E1193" s="29" t="s">
        <v>5020</v>
      </c>
      <c r="F1193" s="29" t="s">
        <v>5021</v>
      </c>
      <c r="G1193" s="35" t="s">
        <v>31</v>
      </c>
      <c r="H1193" s="35" t="s">
        <v>151</v>
      </c>
      <c r="I1193" s="36" t="s">
        <v>5022</v>
      </c>
      <c r="J1193" s="37"/>
      <c r="K1193" s="38"/>
      <c r="L1193" s="38"/>
      <c r="M1193" s="36" t="s">
        <v>60</v>
      </c>
      <c r="N1193" s="15" t="s">
        <v>152</v>
      </c>
      <c r="O1193" s="36" t="s">
        <v>4407</v>
      </c>
      <c r="P1193" s="36" t="str">
        <f t="shared" si="36"/>
        <v>API_地籍屬性_指定地號查詢建號列表與土地權利人類別_高雄市</v>
      </c>
      <c r="Q1193" s="36" t="s">
        <v>5021</v>
      </c>
      <c r="R1193" s="29" t="str">
        <f t="shared" si="37"/>
        <v>2dms_cadatt_v1_CadasLandInfo_E</v>
      </c>
      <c r="U1193" s="27" t="str">
        <f>_xlfn.XLOOKUP(表格1[[#This Row],[服務類別(英)]],參考2_服務標準對照!$B:$B,參考2_服務標準對照!$C:$C,"")&amp;""</f>
        <v/>
      </c>
      <c r="V1193" s="29" t="s">
        <v>14</v>
      </c>
      <c r="W1193" s="29" t="s">
        <v>4408</v>
      </c>
      <c r="X1193" s="29" t="s">
        <v>81</v>
      </c>
      <c r="Y1193" s="36" t="s">
        <v>83</v>
      </c>
      <c r="Z1193" s="36" t="s">
        <v>157</v>
      </c>
      <c r="AA1193" s="36" t="s">
        <v>4520</v>
      </c>
      <c r="AB1193" s="36"/>
      <c r="AC1193" s="36"/>
      <c r="AD1193" s="29" t="s">
        <v>96</v>
      </c>
      <c r="AE1193" s="36" t="str">
        <f>_xlfn.XLOOKUP(表格1[[#This Row],[唯一識別碼]],API清冊0707!B:B,API清冊0707!T:T,"")&amp;""</f>
        <v>有下拉選單</v>
      </c>
    </row>
    <row r="1194" spans="1:31" ht="126.75" customHeight="1" x14ac:dyDescent="0.4">
      <c r="A1194" s="29" t="s">
        <v>5023</v>
      </c>
      <c r="B1194" s="29" t="s">
        <v>31</v>
      </c>
      <c r="C1194" s="29" t="s">
        <v>4515</v>
      </c>
      <c r="D1194" s="29" t="s">
        <v>5024</v>
      </c>
      <c r="E1194" s="29" t="s">
        <v>5025</v>
      </c>
      <c r="F1194" s="29" t="s">
        <v>5026</v>
      </c>
      <c r="G1194" s="35" t="s">
        <v>31</v>
      </c>
      <c r="H1194" s="35" t="s">
        <v>151</v>
      </c>
      <c r="I1194" s="36" t="s">
        <v>5027</v>
      </c>
      <c r="J1194" s="37"/>
      <c r="K1194" s="38"/>
      <c r="L1194" s="38"/>
      <c r="M1194" s="36" t="s">
        <v>60</v>
      </c>
      <c r="N1194" s="15" t="s">
        <v>152</v>
      </c>
      <c r="O1194" s="36" t="s">
        <v>4407</v>
      </c>
      <c r="P1194" s="36" t="str">
        <f t="shared" si="36"/>
        <v>API_地籍屬性_指定地號查詢建號列表與土地權利人類別_基隆市</v>
      </c>
      <c r="Q1194" s="36" t="s">
        <v>5026</v>
      </c>
      <c r="R1194" s="29" t="str">
        <f t="shared" si="37"/>
        <v>2dms_cadatt_v1_CadasLandInfo_C</v>
      </c>
      <c r="U1194" s="27" t="str">
        <f>_xlfn.XLOOKUP(表格1[[#This Row],[服務類別(英)]],參考2_服務標準對照!$B:$B,參考2_服務標準對照!$C:$C,"")&amp;""</f>
        <v/>
      </c>
      <c r="V1194" s="29" t="s">
        <v>14</v>
      </c>
      <c r="W1194" s="29" t="s">
        <v>4408</v>
      </c>
      <c r="X1194" s="29" t="s">
        <v>81</v>
      </c>
      <c r="Y1194" s="36" t="s">
        <v>83</v>
      </c>
      <c r="Z1194" s="36" t="s">
        <v>157</v>
      </c>
      <c r="AA1194" s="36" t="s">
        <v>4520</v>
      </c>
      <c r="AB1194" s="36"/>
      <c r="AC1194" s="36"/>
      <c r="AD1194" s="29" t="s">
        <v>96</v>
      </c>
      <c r="AE1194" s="36" t="str">
        <f>_xlfn.XLOOKUP(表格1[[#This Row],[唯一識別碼]],API清冊0707!B:B,API清冊0707!T:T,"")&amp;""</f>
        <v>有下拉選單</v>
      </c>
    </row>
    <row r="1195" spans="1:31" ht="126.75" customHeight="1" x14ac:dyDescent="0.4">
      <c r="A1195" s="29" t="s">
        <v>5028</v>
      </c>
      <c r="B1195" s="29" t="s">
        <v>31</v>
      </c>
      <c r="C1195" s="29" t="s">
        <v>4515</v>
      </c>
      <c r="D1195" s="29" t="s">
        <v>5029</v>
      </c>
      <c r="E1195" s="29" t="s">
        <v>5030</v>
      </c>
      <c r="F1195" s="29" t="s">
        <v>5031</v>
      </c>
      <c r="G1195" s="35" t="s">
        <v>31</v>
      </c>
      <c r="H1195" s="35" t="s">
        <v>151</v>
      </c>
      <c r="I1195" s="36" t="s">
        <v>5032</v>
      </c>
      <c r="J1195" s="37"/>
      <c r="K1195" s="38"/>
      <c r="L1195" s="38"/>
      <c r="M1195" s="36" t="s">
        <v>60</v>
      </c>
      <c r="N1195" s="15" t="s">
        <v>152</v>
      </c>
      <c r="O1195" s="36" t="s">
        <v>4407</v>
      </c>
      <c r="P1195" s="36" t="str">
        <f t="shared" si="36"/>
        <v>API_地籍屬性_指定地號查詢建號列表與土地權利人類別_連江縣</v>
      </c>
      <c r="Q1195" s="36" t="s">
        <v>5031</v>
      </c>
      <c r="R1195" s="29" t="str">
        <f t="shared" si="37"/>
        <v>2dms_cadatt_v1_CadasLandInfo_Z</v>
      </c>
      <c r="U1195" s="27" t="str">
        <f>_xlfn.XLOOKUP(表格1[[#This Row],[服務類別(英)]],參考2_服務標準對照!$B:$B,參考2_服務標準對照!$C:$C,"")&amp;""</f>
        <v/>
      </c>
      <c r="V1195" s="29" t="s">
        <v>14</v>
      </c>
      <c r="W1195" s="29" t="s">
        <v>4408</v>
      </c>
      <c r="X1195" s="29" t="s">
        <v>81</v>
      </c>
      <c r="Y1195" s="36" t="s">
        <v>83</v>
      </c>
      <c r="Z1195" s="36" t="s">
        <v>157</v>
      </c>
      <c r="AA1195" s="36" t="s">
        <v>4520</v>
      </c>
      <c r="AB1195" s="36"/>
      <c r="AC1195" s="36"/>
      <c r="AD1195" s="29" t="s">
        <v>96</v>
      </c>
      <c r="AE1195" s="36" t="str">
        <f>_xlfn.XLOOKUP(表格1[[#This Row],[唯一識別碼]],API清冊0707!B:B,API清冊0707!T:T,"")&amp;""</f>
        <v>有下拉選單</v>
      </c>
    </row>
    <row r="1196" spans="1:31" ht="126.75" customHeight="1" x14ac:dyDescent="0.4">
      <c r="A1196" s="29" t="s">
        <v>5033</v>
      </c>
      <c r="B1196" s="29" t="s">
        <v>31</v>
      </c>
      <c r="C1196" s="29" t="s">
        <v>4515</v>
      </c>
      <c r="D1196" s="29" t="s">
        <v>5034</v>
      </c>
      <c r="E1196" s="29" t="s">
        <v>5035</v>
      </c>
      <c r="F1196" s="29" t="s">
        <v>5036</v>
      </c>
      <c r="G1196" s="35" t="s">
        <v>31</v>
      </c>
      <c r="H1196" s="35" t="s">
        <v>151</v>
      </c>
      <c r="I1196" s="36" t="s">
        <v>5037</v>
      </c>
      <c r="J1196" s="37"/>
      <c r="K1196" s="38"/>
      <c r="L1196" s="38"/>
      <c r="M1196" s="36" t="s">
        <v>60</v>
      </c>
      <c r="N1196" s="15" t="s">
        <v>152</v>
      </c>
      <c r="O1196" s="36" t="s">
        <v>4407</v>
      </c>
      <c r="P1196" s="36" t="str">
        <f t="shared" si="36"/>
        <v>API_地籍屬性_指定地號查詢建號列表與土地權利人類別_雲林縣</v>
      </c>
      <c r="Q1196" s="36" t="s">
        <v>5036</v>
      </c>
      <c r="R1196" s="29" t="str">
        <f t="shared" si="37"/>
        <v>2dms_cadatt_v1_CadasLandInfo_P</v>
      </c>
      <c r="U1196" s="27" t="str">
        <f>_xlfn.XLOOKUP(表格1[[#This Row],[服務類別(英)]],參考2_服務標準對照!$B:$B,參考2_服務標準對照!$C:$C,"")&amp;""</f>
        <v/>
      </c>
      <c r="V1196" s="29" t="s">
        <v>14</v>
      </c>
      <c r="W1196" s="29" t="s">
        <v>4408</v>
      </c>
      <c r="X1196" s="29" t="s">
        <v>81</v>
      </c>
      <c r="Y1196" s="36" t="s">
        <v>83</v>
      </c>
      <c r="Z1196" s="36" t="s">
        <v>157</v>
      </c>
      <c r="AA1196" s="36" t="s">
        <v>4520</v>
      </c>
      <c r="AB1196" s="36"/>
      <c r="AC1196" s="36"/>
      <c r="AD1196" s="29" t="s">
        <v>96</v>
      </c>
      <c r="AE1196" s="36" t="str">
        <f>_xlfn.XLOOKUP(表格1[[#This Row],[唯一識別碼]],API清冊0707!B:B,API清冊0707!T:T,"")&amp;""</f>
        <v>有下拉選單</v>
      </c>
    </row>
    <row r="1197" spans="1:31" ht="126.75" customHeight="1" x14ac:dyDescent="0.4">
      <c r="A1197" s="29" t="s">
        <v>5038</v>
      </c>
      <c r="B1197" s="29" t="s">
        <v>31</v>
      </c>
      <c r="C1197" s="29" t="s">
        <v>4515</v>
      </c>
      <c r="D1197" s="29" t="s">
        <v>5039</v>
      </c>
      <c r="E1197" s="29" t="s">
        <v>5040</v>
      </c>
      <c r="F1197" s="29" t="s">
        <v>5041</v>
      </c>
      <c r="G1197" s="35" t="s">
        <v>31</v>
      </c>
      <c r="H1197" s="35" t="s">
        <v>151</v>
      </c>
      <c r="I1197" s="36" t="s">
        <v>5042</v>
      </c>
      <c r="J1197" s="37"/>
      <c r="K1197" s="38"/>
      <c r="L1197" s="38"/>
      <c r="M1197" s="36" t="s">
        <v>60</v>
      </c>
      <c r="N1197" s="15" t="s">
        <v>152</v>
      </c>
      <c r="O1197" s="36" t="s">
        <v>4407</v>
      </c>
      <c r="P1197" s="36" t="str">
        <f t="shared" si="36"/>
        <v>API_地籍屬性_指定地號查詢建號列表與土地權利人類別_新北市</v>
      </c>
      <c r="Q1197" s="36" t="s">
        <v>5041</v>
      </c>
      <c r="R1197" s="29" t="str">
        <f t="shared" si="37"/>
        <v>2dms_cadatt_v1_CadasLandInfo_F</v>
      </c>
      <c r="U1197" s="27" t="str">
        <f>_xlfn.XLOOKUP(表格1[[#This Row],[服務類別(英)]],參考2_服務標準對照!$B:$B,參考2_服務標準對照!$C:$C,"")&amp;""</f>
        <v/>
      </c>
      <c r="V1197" s="29" t="s">
        <v>14</v>
      </c>
      <c r="W1197" s="29" t="s">
        <v>4408</v>
      </c>
      <c r="X1197" s="29" t="s">
        <v>81</v>
      </c>
      <c r="Y1197" s="36" t="s">
        <v>83</v>
      </c>
      <c r="Z1197" s="36" t="s">
        <v>157</v>
      </c>
      <c r="AA1197" s="36" t="s">
        <v>4520</v>
      </c>
      <c r="AB1197" s="36"/>
      <c r="AC1197" s="36"/>
      <c r="AD1197" s="29" t="s">
        <v>96</v>
      </c>
      <c r="AE1197" s="36" t="str">
        <f>_xlfn.XLOOKUP(表格1[[#This Row],[唯一識別碼]],API清冊0707!B:B,API清冊0707!T:T,"")&amp;""</f>
        <v>有下拉選單</v>
      </c>
    </row>
    <row r="1198" spans="1:31" ht="126.75" customHeight="1" x14ac:dyDescent="0.4">
      <c r="A1198" s="29" t="s">
        <v>5043</v>
      </c>
      <c r="B1198" s="29" t="s">
        <v>31</v>
      </c>
      <c r="C1198" s="29" t="s">
        <v>4515</v>
      </c>
      <c r="D1198" s="29" t="s">
        <v>5044</v>
      </c>
      <c r="E1198" s="29" t="s">
        <v>5045</v>
      </c>
      <c r="F1198" s="29" t="s">
        <v>5046</v>
      </c>
      <c r="G1198" s="35" t="s">
        <v>31</v>
      </c>
      <c r="H1198" s="35" t="s">
        <v>151</v>
      </c>
      <c r="I1198" s="36" t="s">
        <v>5047</v>
      </c>
      <c r="J1198" s="37"/>
      <c r="K1198" s="38"/>
      <c r="L1198" s="38"/>
      <c r="M1198" s="36" t="s">
        <v>60</v>
      </c>
      <c r="N1198" s="15" t="s">
        <v>152</v>
      </c>
      <c r="O1198" s="36" t="s">
        <v>4407</v>
      </c>
      <c r="P1198" s="36" t="str">
        <f t="shared" si="36"/>
        <v>API_地籍屬性_指定地號查詢建號列表與土地權利人類別_新竹市</v>
      </c>
      <c r="Q1198" s="36" t="s">
        <v>5046</v>
      </c>
      <c r="R1198" s="29" t="str">
        <f t="shared" si="37"/>
        <v>2dms_cadatt_v1_CadasLandInfo_O</v>
      </c>
      <c r="U1198" s="27" t="str">
        <f>_xlfn.XLOOKUP(表格1[[#This Row],[服務類別(英)]],參考2_服務標準對照!$B:$B,參考2_服務標準對照!$C:$C,"")&amp;""</f>
        <v/>
      </c>
      <c r="V1198" s="29" t="s">
        <v>14</v>
      </c>
      <c r="W1198" s="29" t="s">
        <v>4408</v>
      </c>
      <c r="X1198" s="29" t="s">
        <v>81</v>
      </c>
      <c r="Y1198" s="36" t="s">
        <v>83</v>
      </c>
      <c r="Z1198" s="36" t="s">
        <v>157</v>
      </c>
      <c r="AA1198" s="36" t="s">
        <v>4520</v>
      </c>
      <c r="AB1198" s="36"/>
      <c r="AC1198" s="36"/>
      <c r="AD1198" s="29" t="s">
        <v>96</v>
      </c>
      <c r="AE1198" s="36" t="str">
        <f>_xlfn.XLOOKUP(表格1[[#This Row],[唯一識別碼]],API清冊0707!B:B,API清冊0707!T:T,"")&amp;""</f>
        <v>有下拉選單</v>
      </c>
    </row>
    <row r="1199" spans="1:31" ht="126.75" customHeight="1" x14ac:dyDescent="0.4">
      <c r="A1199" s="29" t="s">
        <v>5048</v>
      </c>
      <c r="B1199" s="29" t="s">
        <v>31</v>
      </c>
      <c r="C1199" s="29" t="s">
        <v>4515</v>
      </c>
      <c r="D1199" s="29" t="s">
        <v>5049</v>
      </c>
      <c r="E1199" s="29" t="s">
        <v>5050</v>
      </c>
      <c r="F1199" s="29" t="s">
        <v>5051</v>
      </c>
      <c r="G1199" s="35" t="s">
        <v>31</v>
      </c>
      <c r="H1199" s="35" t="s">
        <v>151</v>
      </c>
      <c r="I1199" s="36" t="s">
        <v>5052</v>
      </c>
      <c r="J1199" s="37"/>
      <c r="K1199" s="38"/>
      <c r="L1199" s="38"/>
      <c r="M1199" s="36" t="s">
        <v>60</v>
      </c>
      <c r="N1199" s="15" t="s">
        <v>152</v>
      </c>
      <c r="O1199" s="36" t="s">
        <v>4407</v>
      </c>
      <c r="P1199" s="36" t="str">
        <f t="shared" si="36"/>
        <v>API_地籍屬性_指定地號查詢建號列表與土地權利人類別_新竹縣</v>
      </c>
      <c r="Q1199" s="36" t="s">
        <v>5051</v>
      </c>
      <c r="R1199" s="29" t="str">
        <f t="shared" si="37"/>
        <v>2dms_cadatt_v1_CadasLandInfo_J</v>
      </c>
      <c r="U1199" s="27" t="str">
        <f>_xlfn.XLOOKUP(表格1[[#This Row],[服務類別(英)]],參考2_服務標準對照!$B:$B,參考2_服務標準對照!$C:$C,"")&amp;""</f>
        <v/>
      </c>
      <c r="V1199" s="29" t="s">
        <v>14</v>
      </c>
      <c r="W1199" s="29" t="s">
        <v>4408</v>
      </c>
      <c r="X1199" s="29" t="s">
        <v>81</v>
      </c>
      <c r="Y1199" s="36" t="s">
        <v>83</v>
      </c>
      <c r="Z1199" s="36" t="s">
        <v>157</v>
      </c>
      <c r="AA1199" s="36" t="s">
        <v>4520</v>
      </c>
      <c r="AB1199" s="36"/>
      <c r="AC1199" s="36"/>
      <c r="AD1199" s="29" t="s">
        <v>96</v>
      </c>
      <c r="AE1199" s="36" t="str">
        <f>_xlfn.XLOOKUP(表格1[[#This Row],[唯一識別碼]],API清冊0707!B:B,API清冊0707!T:T,"")&amp;""</f>
        <v>有下拉選單</v>
      </c>
    </row>
    <row r="1200" spans="1:31" ht="126.75" customHeight="1" x14ac:dyDescent="0.4">
      <c r="A1200" s="29" t="s">
        <v>5053</v>
      </c>
      <c r="B1200" s="29" t="s">
        <v>31</v>
      </c>
      <c r="C1200" s="29" t="s">
        <v>4515</v>
      </c>
      <c r="D1200" s="29" t="s">
        <v>5054</v>
      </c>
      <c r="E1200" s="29" t="s">
        <v>5055</v>
      </c>
      <c r="F1200" s="29" t="s">
        <v>5056</v>
      </c>
      <c r="G1200" s="35" t="s">
        <v>31</v>
      </c>
      <c r="H1200" s="35" t="s">
        <v>151</v>
      </c>
      <c r="I1200" s="36" t="s">
        <v>5057</v>
      </c>
      <c r="J1200" s="37"/>
      <c r="K1200" s="38"/>
      <c r="L1200" s="38"/>
      <c r="M1200" s="36" t="s">
        <v>60</v>
      </c>
      <c r="N1200" s="15" t="s">
        <v>152</v>
      </c>
      <c r="O1200" s="36" t="s">
        <v>4407</v>
      </c>
      <c r="P1200" s="36" t="str">
        <f t="shared" si="36"/>
        <v>API_地籍屬性_指定地號查詢建號列表與土地權利人類別_嘉義市</v>
      </c>
      <c r="Q1200" s="36" t="s">
        <v>5056</v>
      </c>
      <c r="R1200" s="29" t="str">
        <f t="shared" si="37"/>
        <v>2dms_cadatt_v1_CadasLandInfo_I</v>
      </c>
      <c r="U1200" s="27" t="str">
        <f>_xlfn.XLOOKUP(表格1[[#This Row],[服務類別(英)]],參考2_服務標準對照!$B:$B,參考2_服務標準對照!$C:$C,"")&amp;""</f>
        <v/>
      </c>
      <c r="V1200" s="29" t="s">
        <v>14</v>
      </c>
      <c r="W1200" s="29" t="s">
        <v>4408</v>
      </c>
      <c r="X1200" s="29" t="s">
        <v>81</v>
      </c>
      <c r="Y1200" s="36" t="s">
        <v>83</v>
      </c>
      <c r="Z1200" s="36" t="s">
        <v>157</v>
      </c>
      <c r="AA1200" s="36" t="s">
        <v>4520</v>
      </c>
      <c r="AB1200" s="36"/>
      <c r="AC1200" s="36"/>
      <c r="AD1200" s="29" t="s">
        <v>96</v>
      </c>
      <c r="AE1200" s="36" t="str">
        <f>_xlfn.XLOOKUP(表格1[[#This Row],[唯一識別碼]],API清冊0707!B:B,API清冊0707!T:T,"")&amp;""</f>
        <v>有下拉選單</v>
      </c>
    </row>
    <row r="1201" spans="1:31" ht="126.75" customHeight="1" x14ac:dyDescent="0.4">
      <c r="A1201" s="29" t="s">
        <v>5058</v>
      </c>
      <c r="B1201" s="29" t="s">
        <v>31</v>
      </c>
      <c r="C1201" s="29" t="s">
        <v>4515</v>
      </c>
      <c r="D1201" s="29" t="s">
        <v>5059</v>
      </c>
      <c r="E1201" s="29" t="s">
        <v>5060</v>
      </c>
      <c r="F1201" s="29" t="s">
        <v>5061</v>
      </c>
      <c r="G1201" s="35" t="s">
        <v>31</v>
      </c>
      <c r="H1201" s="35" t="s">
        <v>151</v>
      </c>
      <c r="I1201" s="36" t="s">
        <v>5062</v>
      </c>
      <c r="J1201" s="37"/>
      <c r="K1201" s="38"/>
      <c r="L1201" s="38"/>
      <c r="M1201" s="36" t="s">
        <v>60</v>
      </c>
      <c r="N1201" s="15" t="s">
        <v>152</v>
      </c>
      <c r="O1201" s="36" t="s">
        <v>4407</v>
      </c>
      <c r="P1201" s="36" t="str">
        <f t="shared" si="36"/>
        <v>API_地籍屬性_指定地號查詢建號列表與土地權利人類別_嘉義縣</v>
      </c>
      <c r="Q1201" s="36" t="s">
        <v>5061</v>
      </c>
      <c r="R1201" s="29" t="str">
        <f t="shared" si="37"/>
        <v>2dms_cadatt_v1_CadasLandInfo_Q</v>
      </c>
      <c r="U1201" s="27" t="str">
        <f>_xlfn.XLOOKUP(表格1[[#This Row],[服務類別(英)]],參考2_服務標準對照!$B:$B,參考2_服務標準對照!$C:$C,"")&amp;""</f>
        <v/>
      </c>
      <c r="V1201" s="29" t="s">
        <v>14</v>
      </c>
      <c r="W1201" s="29" t="s">
        <v>4408</v>
      </c>
      <c r="X1201" s="29" t="s">
        <v>81</v>
      </c>
      <c r="Y1201" s="36" t="s">
        <v>83</v>
      </c>
      <c r="Z1201" s="36" t="s">
        <v>157</v>
      </c>
      <c r="AA1201" s="36" t="s">
        <v>4520</v>
      </c>
      <c r="AB1201" s="36"/>
      <c r="AC1201" s="36"/>
      <c r="AD1201" s="29" t="s">
        <v>96</v>
      </c>
      <c r="AE1201" s="36" t="str">
        <f>_xlfn.XLOOKUP(表格1[[#This Row],[唯一識別碼]],API清冊0707!B:B,API清冊0707!T:T,"")&amp;""</f>
        <v>有下拉選單</v>
      </c>
    </row>
    <row r="1202" spans="1:31" ht="126.75" customHeight="1" x14ac:dyDescent="0.4">
      <c r="A1202" s="29" t="s">
        <v>5063</v>
      </c>
      <c r="B1202" s="29" t="s">
        <v>31</v>
      </c>
      <c r="C1202" s="29" t="s">
        <v>4515</v>
      </c>
      <c r="D1202" s="29" t="s">
        <v>5064</v>
      </c>
      <c r="E1202" s="29" t="s">
        <v>5065</v>
      </c>
      <c r="F1202" s="29" t="s">
        <v>5066</v>
      </c>
      <c r="G1202" s="35" t="s">
        <v>31</v>
      </c>
      <c r="H1202" s="35" t="s">
        <v>151</v>
      </c>
      <c r="I1202" s="36" t="s">
        <v>5067</v>
      </c>
      <c r="J1202" s="37"/>
      <c r="K1202" s="38"/>
      <c r="L1202" s="38"/>
      <c r="M1202" s="36" t="s">
        <v>60</v>
      </c>
      <c r="N1202" s="15" t="s">
        <v>152</v>
      </c>
      <c r="O1202" s="36" t="s">
        <v>4407</v>
      </c>
      <c r="P1202" s="36" t="str">
        <f t="shared" si="36"/>
        <v>API_地籍屬性_指定地號查詢建號列表與土地權利人類別_彰化縣</v>
      </c>
      <c r="Q1202" s="36" t="s">
        <v>5066</v>
      </c>
      <c r="R1202" s="29" t="str">
        <f t="shared" si="37"/>
        <v>2dms_cadatt_v1_CadasLandInfo_N</v>
      </c>
      <c r="U1202" s="27" t="str">
        <f>_xlfn.XLOOKUP(表格1[[#This Row],[服務類別(英)]],參考2_服務標準對照!$B:$B,參考2_服務標準對照!$C:$C,"")&amp;""</f>
        <v/>
      </c>
      <c r="V1202" s="29" t="s">
        <v>14</v>
      </c>
      <c r="W1202" s="29" t="s">
        <v>4408</v>
      </c>
      <c r="X1202" s="29" t="s">
        <v>81</v>
      </c>
      <c r="Y1202" s="36" t="s">
        <v>83</v>
      </c>
      <c r="Z1202" s="36" t="s">
        <v>157</v>
      </c>
      <c r="AA1202" s="36" t="s">
        <v>4520</v>
      </c>
      <c r="AB1202" s="36"/>
      <c r="AC1202" s="36"/>
      <c r="AD1202" s="29" t="s">
        <v>96</v>
      </c>
      <c r="AE1202" s="36" t="str">
        <f>_xlfn.XLOOKUP(表格1[[#This Row],[唯一識別碼]],API清冊0707!B:B,API清冊0707!T:T,"")&amp;""</f>
        <v>有下拉選單</v>
      </c>
    </row>
    <row r="1203" spans="1:31" ht="126.75" customHeight="1" x14ac:dyDescent="0.4">
      <c r="A1203" s="29" t="s">
        <v>5068</v>
      </c>
      <c r="B1203" s="29" t="s">
        <v>31</v>
      </c>
      <c r="C1203" s="29" t="s">
        <v>4515</v>
      </c>
      <c r="D1203" s="29" t="s">
        <v>5069</v>
      </c>
      <c r="E1203" s="29" t="s">
        <v>5070</v>
      </c>
      <c r="F1203" s="29" t="s">
        <v>5071</v>
      </c>
      <c r="G1203" s="35" t="s">
        <v>31</v>
      </c>
      <c r="H1203" s="35" t="s">
        <v>151</v>
      </c>
      <c r="I1203" s="36" t="s">
        <v>5072</v>
      </c>
      <c r="J1203" s="37"/>
      <c r="K1203" s="38"/>
      <c r="L1203" s="38"/>
      <c r="M1203" s="36" t="s">
        <v>60</v>
      </c>
      <c r="N1203" s="15" t="s">
        <v>152</v>
      </c>
      <c r="O1203" s="36" t="s">
        <v>4407</v>
      </c>
      <c r="P1203" s="36" t="str">
        <f t="shared" si="36"/>
        <v>API_地籍屬性_指定地號查詢建號列表與土地權利人類別_臺中市</v>
      </c>
      <c r="Q1203" s="36" t="s">
        <v>5071</v>
      </c>
      <c r="R1203" s="29" t="str">
        <f t="shared" si="37"/>
        <v>2dms_cadatt_v1_CadasLandInfo_B</v>
      </c>
      <c r="U1203" s="27" t="str">
        <f>_xlfn.XLOOKUP(表格1[[#This Row],[服務類別(英)]],參考2_服務標準對照!$B:$B,參考2_服務標準對照!$C:$C,"")&amp;""</f>
        <v/>
      </c>
      <c r="V1203" s="29" t="s">
        <v>14</v>
      </c>
      <c r="W1203" s="29" t="s">
        <v>4408</v>
      </c>
      <c r="X1203" s="29" t="s">
        <v>81</v>
      </c>
      <c r="Y1203" s="36" t="s">
        <v>83</v>
      </c>
      <c r="Z1203" s="36" t="s">
        <v>157</v>
      </c>
      <c r="AA1203" s="36" t="s">
        <v>4520</v>
      </c>
      <c r="AB1203" s="36"/>
      <c r="AC1203" s="36"/>
      <c r="AD1203" s="29" t="s">
        <v>96</v>
      </c>
      <c r="AE1203" s="36" t="str">
        <f>_xlfn.XLOOKUP(表格1[[#This Row],[唯一識別碼]],API清冊0707!B:B,API清冊0707!T:T,"")&amp;""</f>
        <v>有下拉選單</v>
      </c>
    </row>
    <row r="1204" spans="1:31" ht="126.75" customHeight="1" x14ac:dyDescent="0.4">
      <c r="A1204" s="29" t="s">
        <v>5073</v>
      </c>
      <c r="B1204" s="29" t="s">
        <v>31</v>
      </c>
      <c r="C1204" s="29" t="s">
        <v>4515</v>
      </c>
      <c r="D1204" s="29" t="s">
        <v>5074</v>
      </c>
      <c r="E1204" s="29" t="s">
        <v>5075</v>
      </c>
      <c r="F1204" s="29" t="s">
        <v>5076</v>
      </c>
      <c r="G1204" s="35" t="s">
        <v>31</v>
      </c>
      <c r="H1204" s="35" t="s">
        <v>151</v>
      </c>
      <c r="I1204" s="36" t="s">
        <v>5077</v>
      </c>
      <c r="J1204" s="37"/>
      <c r="K1204" s="38"/>
      <c r="L1204" s="38"/>
      <c r="M1204" s="36" t="s">
        <v>60</v>
      </c>
      <c r="N1204" s="15" t="s">
        <v>152</v>
      </c>
      <c r="O1204" s="36" t="s">
        <v>4407</v>
      </c>
      <c r="P1204" s="36" t="str">
        <f t="shared" si="36"/>
        <v>API_地籍屬性_指定地號查詢建號列表與土地權利人類別_臺北市</v>
      </c>
      <c r="Q1204" s="36" t="s">
        <v>5076</v>
      </c>
      <c r="R1204" s="29" t="str">
        <f t="shared" si="37"/>
        <v>2dms_cadatt_v1_CadasLandInfo_A</v>
      </c>
      <c r="U1204" s="27" t="str">
        <f>_xlfn.XLOOKUP(表格1[[#This Row],[服務類別(英)]],參考2_服務標準對照!$B:$B,參考2_服務標準對照!$C:$C,"")&amp;""</f>
        <v/>
      </c>
      <c r="V1204" s="29" t="s">
        <v>14</v>
      </c>
      <c r="W1204" s="29" t="s">
        <v>4408</v>
      </c>
      <c r="X1204" s="29" t="s">
        <v>81</v>
      </c>
      <c r="Y1204" s="36" t="s">
        <v>83</v>
      </c>
      <c r="Z1204" s="36" t="s">
        <v>157</v>
      </c>
      <c r="AA1204" s="36" t="s">
        <v>4520</v>
      </c>
      <c r="AB1204" s="36"/>
      <c r="AC1204" s="36"/>
      <c r="AD1204" s="29" t="s">
        <v>96</v>
      </c>
      <c r="AE1204" s="36" t="str">
        <f>_xlfn.XLOOKUP(表格1[[#This Row],[唯一識別碼]],API清冊0707!B:B,API清冊0707!T:T,"")&amp;""</f>
        <v>有下拉選單</v>
      </c>
    </row>
    <row r="1205" spans="1:31" ht="126.75" customHeight="1" x14ac:dyDescent="0.4">
      <c r="A1205" s="29" t="s">
        <v>5078</v>
      </c>
      <c r="B1205" s="29" t="s">
        <v>31</v>
      </c>
      <c r="C1205" s="29" t="s">
        <v>4515</v>
      </c>
      <c r="D1205" s="29" t="s">
        <v>5079</v>
      </c>
      <c r="E1205" s="29" t="s">
        <v>5080</v>
      </c>
      <c r="F1205" s="29" t="s">
        <v>5081</v>
      </c>
      <c r="G1205" s="35" t="s">
        <v>31</v>
      </c>
      <c r="H1205" s="35" t="s">
        <v>151</v>
      </c>
      <c r="I1205" s="36" t="s">
        <v>5082</v>
      </c>
      <c r="J1205" s="37"/>
      <c r="K1205" s="38"/>
      <c r="L1205" s="38"/>
      <c r="M1205" s="36" t="s">
        <v>60</v>
      </c>
      <c r="N1205" s="15" t="s">
        <v>152</v>
      </c>
      <c r="O1205" s="36" t="s">
        <v>4407</v>
      </c>
      <c r="P1205" s="36" t="str">
        <f t="shared" si="36"/>
        <v>API_地籍屬性_指定地號查詢建號列表與土地權利人類別_臺東縣</v>
      </c>
      <c r="Q1205" s="36" t="s">
        <v>5081</v>
      </c>
      <c r="R1205" s="29" t="str">
        <f t="shared" si="37"/>
        <v>2dms_cadatt_v1_CadasLandInfo_V</v>
      </c>
      <c r="U1205" s="27" t="str">
        <f>_xlfn.XLOOKUP(表格1[[#This Row],[服務類別(英)]],參考2_服務標準對照!$B:$B,參考2_服務標準對照!$C:$C,"")&amp;""</f>
        <v/>
      </c>
      <c r="V1205" s="29" t="s">
        <v>14</v>
      </c>
      <c r="W1205" s="29" t="s">
        <v>4408</v>
      </c>
      <c r="X1205" s="29" t="s">
        <v>81</v>
      </c>
      <c r="Y1205" s="36" t="s">
        <v>83</v>
      </c>
      <c r="Z1205" s="36" t="s">
        <v>157</v>
      </c>
      <c r="AA1205" s="36" t="s">
        <v>4520</v>
      </c>
      <c r="AB1205" s="36"/>
      <c r="AC1205" s="36"/>
      <c r="AD1205" s="29" t="s">
        <v>96</v>
      </c>
      <c r="AE1205" s="36" t="str">
        <f>_xlfn.XLOOKUP(表格1[[#This Row],[唯一識別碼]],API清冊0707!B:B,API清冊0707!T:T,"")&amp;""</f>
        <v>有下拉選單</v>
      </c>
    </row>
    <row r="1206" spans="1:31" ht="126.75" customHeight="1" x14ac:dyDescent="0.4">
      <c r="A1206" s="29" t="s">
        <v>5083</v>
      </c>
      <c r="B1206" s="29" t="s">
        <v>31</v>
      </c>
      <c r="C1206" s="29" t="s">
        <v>4515</v>
      </c>
      <c r="D1206" s="29" t="s">
        <v>5084</v>
      </c>
      <c r="E1206" s="29" t="s">
        <v>5085</v>
      </c>
      <c r="F1206" s="29" t="s">
        <v>5086</v>
      </c>
      <c r="G1206" s="35" t="s">
        <v>31</v>
      </c>
      <c r="H1206" s="35" t="s">
        <v>151</v>
      </c>
      <c r="I1206" s="36" t="s">
        <v>5087</v>
      </c>
      <c r="J1206" s="37"/>
      <c r="K1206" s="38"/>
      <c r="L1206" s="38"/>
      <c r="M1206" s="36" t="s">
        <v>60</v>
      </c>
      <c r="N1206" s="15" t="s">
        <v>152</v>
      </c>
      <c r="O1206" s="36" t="s">
        <v>4407</v>
      </c>
      <c r="P1206" s="36" t="str">
        <f t="shared" si="36"/>
        <v>API_地籍屬性_指定地號查詢建號列表與土地權利人類別_臺南市</v>
      </c>
      <c r="Q1206" s="36" t="s">
        <v>5086</v>
      </c>
      <c r="R1206" s="29" t="str">
        <f t="shared" si="37"/>
        <v>2dms_cadatt_v1_CadasLandInfo_D</v>
      </c>
      <c r="U1206" s="27" t="str">
        <f>_xlfn.XLOOKUP(表格1[[#This Row],[服務類別(英)]],參考2_服務標準對照!$B:$B,參考2_服務標準對照!$C:$C,"")&amp;""</f>
        <v/>
      </c>
      <c r="V1206" s="29" t="s">
        <v>14</v>
      </c>
      <c r="W1206" s="29" t="s">
        <v>4408</v>
      </c>
      <c r="X1206" s="29" t="s">
        <v>81</v>
      </c>
      <c r="Y1206" s="36" t="s">
        <v>83</v>
      </c>
      <c r="Z1206" s="36" t="s">
        <v>157</v>
      </c>
      <c r="AA1206" s="36" t="s">
        <v>4520</v>
      </c>
      <c r="AB1206" s="36"/>
      <c r="AC1206" s="36"/>
      <c r="AD1206" s="29" t="s">
        <v>96</v>
      </c>
      <c r="AE1206" s="36" t="str">
        <f>_xlfn.XLOOKUP(表格1[[#This Row],[唯一識別碼]],API清冊0707!B:B,API清冊0707!T:T,"")&amp;""</f>
        <v>有下拉選單</v>
      </c>
    </row>
    <row r="1207" spans="1:31" ht="126.75" customHeight="1" x14ac:dyDescent="0.4">
      <c r="A1207" s="29" t="s">
        <v>5088</v>
      </c>
      <c r="B1207" s="29" t="s">
        <v>31</v>
      </c>
      <c r="C1207" s="29" t="s">
        <v>4515</v>
      </c>
      <c r="D1207" s="29" t="s">
        <v>5089</v>
      </c>
      <c r="E1207" s="29" t="s">
        <v>5090</v>
      </c>
      <c r="F1207" s="29" t="s">
        <v>5091</v>
      </c>
      <c r="G1207" s="35" t="s">
        <v>31</v>
      </c>
      <c r="H1207" s="35" t="s">
        <v>151</v>
      </c>
      <c r="I1207" s="36" t="s">
        <v>5092</v>
      </c>
      <c r="J1207" s="37"/>
      <c r="K1207" s="38"/>
      <c r="L1207" s="38"/>
      <c r="M1207" s="36" t="s">
        <v>60</v>
      </c>
      <c r="N1207" s="15" t="s">
        <v>152</v>
      </c>
      <c r="O1207" s="36" t="s">
        <v>4407</v>
      </c>
      <c r="P1207" s="36" t="str">
        <f t="shared" ref="P1207:P1270" si="38">IF(LEN(TRIM(F1207))&gt;0,F1207,E1207)</f>
        <v>API_地籍屬性_指定地號查詢建號列表與土地權利人類別_澎湖縣</v>
      </c>
      <c r="Q1207" s="36" t="s">
        <v>5091</v>
      </c>
      <c r="R1207" s="29" t="str">
        <f t="shared" ref="R1207:R1270" si="39">D1207</f>
        <v>2dms_cadatt_v1_CadasLandInfo_X</v>
      </c>
      <c r="U1207" s="27" t="str">
        <f>_xlfn.XLOOKUP(表格1[[#This Row],[服務類別(英)]],參考2_服務標準對照!$B:$B,參考2_服務標準對照!$C:$C,"")&amp;""</f>
        <v/>
      </c>
      <c r="V1207" s="29" t="s">
        <v>14</v>
      </c>
      <c r="W1207" s="29" t="s">
        <v>4408</v>
      </c>
      <c r="X1207" s="29" t="s">
        <v>81</v>
      </c>
      <c r="Y1207" s="36" t="s">
        <v>83</v>
      </c>
      <c r="Z1207" s="36" t="s">
        <v>157</v>
      </c>
      <c r="AA1207" s="36" t="s">
        <v>4520</v>
      </c>
      <c r="AB1207" s="36"/>
      <c r="AC1207" s="36"/>
      <c r="AD1207" s="29" t="s">
        <v>96</v>
      </c>
      <c r="AE1207" s="36" t="str">
        <f>_xlfn.XLOOKUP(表格1[[#This Row],[唯一識別碼]],API清冊0707!B:B,API清冊0707!T:T,"")&amp;""</f>
        <v>有下拉選單</v>
      </c>
    </row>
    <row r="1208" spans="1:31" ht="95.25" customHeight="1" x14ac:dyDescent="0.4">
      <c r="A1208" s="29" t="s">
        <v>5093</v>
      </c>
      <c r="B1208" s="29"/>
      <c r="C1208" s="29"/>
      <c r="D1208" s="29" t="s">
        <v>5094</v>
      </c>
      <c r="E1208" s="29" t="s">
        <v>5095</v>
      </c>
      <c r="F1208" s="29" t="s">
        <v>5096</v>
      </c>
      <c r="G1208" s="35"/>
      <c r="H1208" s="35" t="s">
        <v>151</v>
      </c>
      <c r="I1208" s="29" t="s">
        <v>5093</v>
      </c>
      <c r="J1208" s="37"/>
      <c r="K1208" s="38"/>
      <c r="L1208" s="38"/>
      <c r="M1208" s="36" t="s">
        <v>60</v>
      </c>
      <c r="N1208" s="15" t="s">
        <v>152</v>
      </c>
      <c r="O1208" s="36" t="s">
        <v>5097</v>
      </c>
      <c r="P1208" s="36" t="str">
        <f t="shared" si="38"/>
        <v>WFS_國土利用現況調查成果圖</v>
      </c>
      <c r="Q1208" s="29" t="s">
        <v>5096</v>
      </c>
      <c r="R1208" s="29" t="str">
        <f t="shared" si="39"/>
        <v>2dms_luwfs_v1_LuiMap</v>
      </c>
      <c r="S1208" s="39" t="s">
        <v>4124</v>
      </c>
      <c r="U1208" s="27" t="str">
        <f>_xlfn.XLOOKUP(表格1[[#This Row],[服務類別(英)]],參考2_服務標準對照!$B:$B,參考2_服務標準對照!$C:$C,"")&amp;""</f>
        <v>OGC</v>
      </c>
      <c r="V1208" s="29" t="s">
        <v>15</v>
      </c>
      <c r="W1208" s="29" t="s">
        <v>5098</v>
      </c>
      <c r="X1208" s="29" t="s">
        <v>81</v>
      </c>
      <c r="Y1208" s="36" t="s">
        <v>83</v>
      </c>
      <c r="Z1208" s="36" t="s">
        <v>157</v>
      </c>
      <c r="AA1208" s="36" t="s">
        <v>5099</v>
      </c>
      <c r="AB1208" s="36"/>
      <c r="AC1208" s="36"/>
      <c r="AD1208" s="29" t="s">
        <v>119</v>
      </c>
      <c r="AE1208" s="36" t="str">
        <f>_xlfn.XLOOKUP(表格1[[#This Row],[唯一識別碼]],API清冊0707!B:B,API清冊0707!T:T,"")&amp;""</f>
        <v>無下拉選單</v>
      </c>
    </row>
    <row r="1209" spans="1:31" ht="157.5" customHeight="1" x14ac:dyDescent="0.4">
      <c r="A1209" s="29" t="s">
        <v>5100</v>
      </c>
      <c r="B1209" s="29" t="s">
        <v>31</v>
      </c>
      <c r="C1209" s="29" t="s">
        <v>5101</v>
      </c>
      <c r="D1209" s="29" t="s">
        <v>5102</v>
      </c>
      <c r="E1209" s="29" t="s">
        <v>5103</v>
      </c>
      <c r="F1209" s="29" t="s">
        <v>5104</v>
      </c>
      <c r="G1209" s="35"/>
      <c r="H1209" s="35" t="s">
        <v>151</v>
      </c>
      <c r="I1209" s="36" t="s">
        <v>5105</v>
      </c>
      <c r="J1209" s="37"/>
      <c r="K1209" s="38"/>
      <c r="L1209" s="38"/>
      <c r="M1209" s="36" t="s">
        <v>60</v>
      </c>
      <c r="N1209" s="15" t="s">
        <v>152</v>
      </c>
      <c r="O1209" s="36" t="s">
        <v>5106</v>
      </c>
      <c r="P1209" s="36" t="str">
        <f t="shared" si="38"/>
        <v>API_國土利用屬性_指定範圍及年度查詢變遷_全國</v>
      </c>
      <c r="Q1209" s="36" t="s">
        <v>5104</v>
      </c>
      <c r="R1209" s="29" t="str">
        <f t="shared" si="39"/>
        <v>2dms_luseat_v1_LandUseCompare</v>
      </c>
      <c r="U1209" s="27" t="str">
        <f>_xlfn.XLOOKUP(表格1[[#This Row],[服務類別(英)]],參考2_服務標準對照!$B:$B,參考2_服務標準對照!$C:$C,"")&amp;""</f>
        <v/>
      </c>
      <c r="V1209" s="29" t="s">
        <v>16</v>
      </c>
      <c r="W1209" s="29" t="s">
        <v>5107</v>
      </c>
      <c r="X1209" s="29" t="s">
        <v>81</v>
      </c>
      <c r="Y1209" s="36" t="s">
        <v>83</v>
      </c>
      <c r="Z1209" s="36" t="s">
        <v>157</v>
      </c>
      <c r="AA1209" s="36" t="s">
        <v>5108</v>
      </c>
      <c r="AB1209" s="36"/>
      <c r="AC1209" s="36"/>
      <c r="AD1209" s="29" t="s">
        <v>119</v>
      </c>
      <c r="AE1209" s="36" t="str">
        <f>_xlfn.XLOOKUP(表格1[[#This Row],[唯一識別碼]],API清冊0707!B:B,API清冊0707!T:T,"")&amp;""</f>
        <v>無下拉選單</v>
      </c>
    </row>
    <row r="1210" spans="1:31" ht="142.5" customHeight="1" x14ac:dyDescent="0.4">
      <c r="A1210" s="29" t="s">
        <v>5109</v>
      </c>
      <c r="B1210" s="29"/>
      <c r="C1210" s="29" t="s">
        <v>5110</v>
      </c>
      <c r="D1210" s="29" t="s">
        <v>5111</v>
      </c>
      <c r="E1210" s="29" t="s">
        <v>5112</v>
      </c>
      <c r="F1210" s="29" t="s">
        <v>5113</v>
      </c>
      <c r="G1210" s="35"/>
      <c r="H1210" s="35" t="s">
        <v>151</v>
      </c>
      <c r="I1210" s="36" t="s">
        <v>5114</v>
      </c>
      <c r="J1210" s="37"/>
      <c r="K1210" s="38"/>
      <c r="L1210" s="38"/>
      <c r="M1210" s="36" t="s">
        <v>60</v>
      </c>
      <c r="N1210" s="15" t="s">
        <v>152</v>
      </c>
      <c r="O1210" s="36" t="s">
        <v>5106</v>
      </c>
      <c r="P1210" s="36" t="str">
        <f t="shared" si="38"/>
        <v>API_國土利用屬性_指定坐標及年度查詢屬性_全國</v>
      </c>
      <c r="Q1210" s="36" t="s">
        <v>5113</v>
      </c>
      <c r="R1210" s="29" t="str">
        <f t="shared" si="39"/>
        <v>2dms_luseat_v1_LandUsePointYears</v>
      </c>
      <c r="U1210" s="27" t="str">
        <f>_xlfn.XLOOKUP(表格1[[#This Row],[服務類別(英)]],參考2_服務標準對照!$B:$B,參考2_服務標準對照!$C:$C,"")&amp;""</f>
        <v/>
      </c>
      <c r="V1210" s="29" t="s">
        <v>16</v>
      </c>
      <c r="W1210" s="29" t="s">
        <v>5107</v>
      </c>
      <c r="X1210" s="29" t="s">
        <v>81</v>
      </c>
      <c r="Y1210" s="36" t="s">
        <v>83</v>
      </c>
      <c r="Z1210" s="36" t="s">
        <v>157</v>
      </c>
      <c r="AA1210" s="36" t="s">
        <v>5115</v>
      </c>
      <c r="AB1210" s="36"/>
      <c r="AC1210" s="36"/>
      <c r="AD1210" s="29" t="s">
        <v>119</v>
      </c>
      <c r="AE1210" s="36" t="str">
        <f>_xlfn.XLOOKUP(表格1[[#This Row],[唯一識別碼]],API清冊0707!B:B,API清冊0707!T:T,"")&amp;""</f>
        <v>無下拉選單</v>
      </c>
    </row>
    <row r="1211" spans="1:31" ht="126.75" customHeight="1" x14ac:dyDescent="0.4">
      <c r="A1211" s="29" t="s">
        <v>5116</v>
      </c>
      <c r="B1211" s="29" t="s">
        <v>31</v>
      </c>
      <c r="C1211" s="29" t="s">
        <v>5117</v>
      </c>
      <c r="D1211" s="29" t="s">
        <v>5118</v>
      </c>
      <c r="E1211" s="29" t="s">
        <v>5119</v>
      </c>
      <c r="F1211" s="29" t="s">
        <v>5120</v>
      </c>
      <c r="G1211" s="35"/>
      <c r="H1211" s="35" t="s">
        <v>151</v>
      </c>
      <c r="I1211" s="36" t="s">
        <v>5121</v>
      </c>
      <c r="J1211" s="37"/>
      <c r="K1211" s="38"/>
      <c r="L1211" s="38"/>
      <c r="M1211" s="36" t="s">
        <v>60</v>
      </c>
      <c r="N1211" s="15" t="s">
        <v>152</v>
      </c>
      <c r="O1211" s="36" t="s">
        <v>5122</v>
      </c>
      <c r="P1211" s="36" t="str">
        <f t="shared" si="38"/>
        <v>API_開放_單點坐標回傳行政區(地政)_全國</v>
      </c>
      <c r="Q1211" s="36" t="s">
        <v>5120</v>
      </c>
      <c r="R1211" s="29" t="str">
        <f t="shared" si="39"/>
        <v>2dms_pubapi_v1_TownVillagePointQuery</v>
      </c>
      <c r="U1211" s="27" t="str">
        <f>_xlfn.XLOOKUP(表格1[[#This Row],[服務類別(英)]],參考2_服務標準對照!$B:$B,參考2_服務標準對照!$C:$C,"")&amp;""</f>
        <v/>
      </c>
      <c r="V1211" s="29" t="s">
        <v>17</v>
      </c>
      <c r="W1211" s="29" t="s">
        <v>5123</v>
      </c>
      <c r="X1211" s="29" t="s">
        <v>81</v>
      </c>
      <c r="Y1211" s="36" t="s">
        <v>83</v>
      </c>
      <c r="Z1211" s="36" t="s">
        <v>157</v>
      </c>
      <c r="AA1211" s="36" t="s">
        <v>5124</v>
      </c>
      <c r="AB1211" s="36"/>
      <c r="AC1211" s="36"/>
      <c r="AD1211" s="29" t="s">
        <v>119</v>
      </c>
      <c r="AE1211" s="36" t="str">
        <f>_xlfn.XLOOKUP(表格1[[#This Row],[唯一識別碼]],API清冊0707!B:B,API清冊0707!T:T,"")&amp;""</f>
        <v>無下拉選單</v>
      </c>
    </row>
    <row r="1212" spans="1:31" ht="142.5" customHeight="1" x14ac:dyDescent="0.4">
      <c r="A1212" s="29" t="s">
        <v>5125</v>
      </c>
      <c r="B1212" s="29"/>
      <c r="C1212" s="29" t="s">
        <v>5117</v>
      </c>
      <c r="D1212" s="29" t="s">
        <v>5126</v>
      </c>
      <c r="E1212" s="29" t="s">
        <v>5127</v>
      </c>
      <c r="F1212" s="29" t="s">
        <v>5128</v>
      </c>
      <c r="G1212" s="35"/>
      <c r="H1212" s="35" t="s">
        <v>151</v>
      </c>
      <c r="I1212" s="36" t="s">
        <v>5129</v>
      </c>
      <c r="J1212" s="37"/>
      <c r="K1212" s="38"/>
      <c r="L1212" s="38"/>
      <c r="M1212" s="36" t="s">
        <v>60</v>
      </c>
      <c r="N1212" s="15" t="s">
        <v>152</v>
      </c>
      <c r="O1212" s="36" t="s">
        <v>5122</v>
      </c>
      <c r="P1212" s="36" t="str">
        <f t="shared" si="38"/>
        <v>API_開放_單點坐標回傳行政區(戶政)_全國</v>
      </c>
      <c r="Q1212" s="36" t="s">
        <v>5128</v>
      </c>
      <c r="R1212" s="29" t="str">
        <f t="shared" si="39"/>
        <v>2dms_pubapi_v1_TownVillagePointQuery1</v>
      </c>
      <c r="U1212" s="27" t="str">
        <f>_xlfn.XLOOKUP(表格1[[#This Row],[服務類別(英)]],參考2_服務標準對照!$B:$B,參考2_服務標準對照!$C:$C,"")&amp;""</f>
        <v/>
      </c>
      <c r="V1212" s="29" t="s">
        <v>17</v>
      </c>
      <c r="W1212" s="29" t="s">
        <v>5123</v>
      </c>
      <c r="X1212" s="29" t="s">
        <v>81</v>
      </c>
      <c r="Y1212" s="36" t="s">
        <v>83</v>
      </c>
      <c r="Z1212" s="36" t="s">
        <v>157</v>
      </c>
      <c r="AA1212" s="36" t="s">
        <v>5124</v>
      </c>
      <c r="AB1212" s="36"/>
      <c r="AC1212" s="36"/>
      <c r="AD1212" s="29" t="s">
        <v>119</v>
      </c>
      <c r="AE1212" s="36" t="str">
        <f>_xlfn.XLOOKUP(表格1[[#This Row],[唯一識別碼]],API清冊0707!B:B,API清冊0707!T:T,"")&amp;""</f>
        <v>無下拉選單</v>
      </c>
    </row>
    <row r="1213" spans="1:31" ht="95.25" customHeight="1" x14ac:dyDescent="0.4">
      <c r="A1213" s="29" t="s">
        <v>5130</v>
      </c>
      <c r="B1213" s="29"/>
      <c r="C1213" s="29"/>
      <c r="D1213" s="29" t="s">
        <v>5131</v>
      </c>
      <c r="E1213" s="29" t="s">
        <v>5132</v>
      </c>
      <c r="F1213" s="29" t="s">
        <v>5133</v>
      </c>
      <c r="G1213" s="35"/>
      <c r="H1213" s="35" t="s">
        <v>151</v>
      </c>
      <c r="I1213" s="36" t="s">
        <v>5130</v>
      </c>
      <c r="J1213" s="37"/>
      <c r="K1213" s="38"/>
      <c r="L1213" s="38"/>
      <c r="M1213" s="36" t="s">
        <v>60</v>
      </c>
      <c r="N1213" s="15" t="s">
        <v>152</v>
      </c>
      <c r="O1213" s="36" t="s">
        <v>5122</v>
      </c>
      <c r="P1213" s="36" t="str">
        <f t="shared" si="38"/>
        <v>API_開放_縣市名稱及代碼清單_全國</v>
      </c>
      <c r="Q1213" s="36" t="s">
        <v>5133</v>
      </c>
      <c r="R1213" s="29" t="str">
        <f t="shared" si="39"/>
        <v>2dms_pubapi_v1_ListCounty</v>
      </c>
      <c r="U1213" s="27" t="str">
        <f>_xlfn.XLOOKUP(表格1[[#This Row],[服務類別(英)]],參考2_服務標準對照!$B:$B,參考2_服務標準對照!$C:$C,"")&amp;""</f>
        <v/>
      </c>
      <c r="V1213" s="29" t="s">
        <v>17</v>
      </c>
      <c r="W1213" s="29" t="s">
        <v>5123</v>
      </c>
      <c r="X1213" s="29" t="s">
        <v>81</v>
      </c>
      <c r="Y1213" s="36" t="s">
        <v>83</v>
      </c>
      <c r="Z1213" s="36" t="s">
        <v>157</v>
      </c>
      <c r="AA1213" s="36" t="s">
        <v>5134</v>
      </c>
      <c r="AB1213" s="36"/>
      <c r="AC1213" s="36"/>
      <c r="AD1213" s="29" t="s">
        <v>119</v>
      </c>
      <c r="AE1213" s="36" t="str">
        <f>_xlfn.XLOOKUP(表格1[[#This Row],[唯一識別碼]],API清冊0707!B:B,API清冊0707!T:T,"")&amp;""</f>
        <v>無下拉選單</v>
      </c>
    </row>
    <row r="1214" spans="1:31" ht="95.25" customHeight="1" x14ac:dyDescent="0.4">
      <c r="A1214" s="29" t="s">
        <v>5135</v>
      </c>
      <c r="B1214" s="29"/>
      <c r="C1214" s="29"/>
      <c r="D1214" s="29" t="s">
        <v>5136</v>
      </c>
      <c r="E1214" s="29" t="s">
        <v>5137</v>
      </c>
      <c r="F1214" s="29" t="s">
        <v>5138</v>
      </c>
      <c r="G1214" s="35"/>
      <c r="H1214" s="35" t="s">
        <v>151</v>
      </c>
      <c r="I1214" s="36" t="s">
        <v>5135</v>
      </c>
      <c r="J1214" s="37"/>
      <c r="K1214" s="38"/>
      <c r="L1214" s="38"/>
      <c r="M1214" s="36" t="s">
        <v>60</v>
      </c>
      <c r="N1214" s="15" t="s">
        <v>152</v>
      </c>
      <c r="O1214" s="36" t="s">
        <v>5122</v>
      </c>
      <c r="P1214" s="36" t="str">
        <f t="shared" si="38"/>
        <v>API_開放_鄉鎮市區清單(地政)_宜蘭縣</v>
      </c>
      <c r="Q1214" s="36" t="s">
        <v>5138</v>
      </c>
      <c r="R1214" s="29" t="str">
        <f t="shared" si="39"/>
        <v>2dms_pubapi_v1_ListTown_G</v>
      </c>
      <c r="U1214" s="27" t="str">
        <f>_xlfn.XLOOKUP(表格1[[#This Row],[服務類別(英)]],參考2_服務標準對照!$B:$B,參考2_服務標準對照!$C:$C,"")&amp;""</f>
        <v/>
      </c>
      <c r="V1214" s="29" t="s">
        <v>17</v>
      </c>
      <c r="W1214" s="29" t="s">
        <v>5123</v>
      </c>
      <c r="X1214" s="29" t="s">
        <v>81</v>
      </c>
      <c r="Y1214" s="36" t="s">
        <v>83</v>
      </c>
      <c r="Z1214" s="36" t="s">
        <v>157</v>
      </c>
      <c r="AA1214" s="36" t="s">
        <v>5134</v>
      </c>
      <c r="AB1214" s="36"/>
      <c r="AC1214" s="36"/>
      <c r="AD1214" s="29" t="s">
        <v>119</v>
      </c>
      <c r="AE1214" s="36" t="str">
        <f>_xlfn.XLOOKUP(表格1[[#This Row],[唯一識別碼]],API清冊0707!B:B,API清冊0707!T:T,"")&amp;""</f>
        <v>無下拉選單</v>
      </c>
    </row>
    <row r="1215" spans="1:31" ht="95.25" customHeight="1" x14ac:dyDescent="0.4">
      <c r="A1215" s="29" t="s">
        <v>5139</v>
      </c>
      <c r="B1215" s="29"/>
      <c r="C1215" s="29"/>
      <c r="D1215" s="29" t="s">
        <v>5140</v>
      </c>
      <c r="E1215" s="29" t="s">
        <v>5141</v>
      </c>
      <c r="F1215" s="29" t="s">
        <v>5142</v>
      </c>
      <c r="G1215" s="35"/>
      <c r="H1215" s="35" t="s">
        <v>151</v>
      </c>
      <c r="I1215" s="36" t="s">
        <v>5139</v>
      </c>
      <c r="J1215" s="37"/>
      <c r="K1215" s="38"/>
      <c r="L1215" s="38"/>
      <c r="M1215" s="36" t="s">
        <v>60</v>
      </c>
      <c r="N1215" s="15" t="s">
        <v>152</v>
      </c>
      <c r="O1215" s="36" t="s">
        <v>5122</v>
      </c>
      <c r="P1215" s="36" t="str">
        <f t="shared" si="38"/>
        <v>API_開放_鄉鎮市區清單(地政)_花蓮縣</v>
      </c>
      <c r="Q1215" s="36" t="s">
        <v>5142</v>
      </c>
      <c r="R1215" s="29" t="str">
        <f t="shared" si="39"/>
        <v>2dms_pubapi_v1_ListTown_U</v>
      </c>
      <c r="U1215" s="27" t="str">
        <f>_xlfn.XLOOKUP(表格1[[#This Row],[服務類別(英)]],參考2_服務標準對照!$B:$B,參考2_服務標準對照!$C:$C,"")&amp;""</f>
        <v/>
      </c>
      <c r="V1215" s="29" t="s">
        <v>17</v>
      </c>
      <c r="W1215" s="29" t="s">
        <v>5123</v>
      </c>
      <c r="X1215" s="29" t="s">
        <v>81</v>
      </c>
      <c r="Y1215" s="36" t="s">
        <v>83</v>
      </c>
      <c r="Z1215" s="36" t="s">
        <v>157</v>
      </c>
      <c r="AA1215" s="36" t="s">
        <v>5134</v>
      </c>
      <c r="AB1215" s="36"/>
      <c r="AC1215" s="36"/>
      <c r="AD1215" s="29" t="s">
        <v>119</v>
      </c>
      <c r="AE1215" s="36" t="str">
        <f>_xlfn.XLOOKUP(表格1[[#This Row],[唯一識別碼]],API清冊0707!B:B,API清冊0707!T:T,"")&amp;""</f>
        <v>無下拉選單</v>
      </c>
    </row>
    <row r="1216" spans="1:31" ht="95.25" customHeight="1" x14ac:dyDescent="0.4">
      <c r="A1216" s="29" t="s">
        <v>5143</v>
      </c>
      <c r="B1216" s="29"/>
      <c r="C1216" s="29"/>
      <c r="D1216" s="29" t="s">
        <v>5144</v>
      </c>
      <c r="E1216" s="29" t="s">
        <v>5145</v>
      </c>
      <c r="F1216" s="29" t="s">
        <v>5146</v>
      </c>
      <c r="G1216" s="35"/>
      <c r="H1216" s="35" t="s">
        <v>151</v>
      </c>
      <c r="I1216" s="36" t="s">
        <v>5143</v>
      </c>
      <c r="J1216" s="37"/>
      <c r="K1216" s="38"/>
      <c r="L1216" s="38"/>
      <c r="M1216" s="36" t="s">
        <v>60</v>
      </c>
      <c r="N1216" s="15" t="s">
        <v>152</v>
      </c>
      <c r="O1216" s="36" t="s">
        <v>5122</v>
      </c>
      <c r="P1216" s="36" t="str">
        <f t="shared" si="38"/>
        <v>API_開放_鄉鎮市區清單(地政)_金門縣</v>
      </c>
      <c r="Q1216" s="36" t="s">
        <v>5146</v>
      </c>
      <c r="R1216" s="29" t="str">
        <f t="shared" si="39"/>
        <v>2dms_pubapi_v1_ListTown_W</v>
      </c>
      <c r="U1216" s="27" t="str">
        <f>_xlfn.XLOOKUP(表格1[[#This Row],[服務類別(英)]],參考2_服務標準對照!$B:$B,參考2_服務標準對照!$C:$C,"")&amp;""</f>
        <v/>
      </c>
      <c r="V1216" s="29" t="s">
        <v>17</v>
      </c>
      <c r="W1216" s="29" t="s">
        <v>5123</v>
      </c>
      <c r="X1216" s="29" t="s">
        <v>81</v>
      </c>
      <c r="Y1216" s="36" t="s">
        <v>83</v>
      </c>
      <c r="Z1216" s="36" t="s">
        <v>157</v>
      </c>
      <c r="AA1216" s="36" t="s">
        <v>5134</v>
      </c>
      <c r="AB1216" s="36"/>
      <c r="AC1216" s="36"/>
      <c r="AD1216" s="29" t="s">
        <v>119</v>
      </c>
      <c r="AE1216" s="36" t="str">
        <f>_xlfn.XLOOKUP(表格1[[#This Row],[唯一識別碼]],API清冊0707!B:B,API清冊0707!T:T,"")&amp;""</f>
        <v>無下拉選單</v>
      </c>
    </row>
    <row r="1217" spans="1:31" ht="95.25" customHeight="1" x14ac:dyDescent="0.4">
      <c r="A1217" s="29" t="s">
        <v>5147</v>
      </c>
      <c r="B1217" s="29"/>
      <c r="C1217" s="29"/>
      <c r="D1217" s="29" t="s">
        <v>5148</v>
      </c>
      <c r="E1217" s="29" t="s">
        <v>5149</v>
      </c>
      <c r="F1217" s="29" t="s">
        <v>5150</v>
      </c>
      <c r="G1217" s="35"/>
      <c r="H1217" s="35" t="s">
        <v>151</v>
      </c>
      <c r="I1217" s="36" t="s">
        <v>5147</v>
      </c>
      <c r="J1217" s="37"/>
      <c r="K1217" s="38"/>
      <c r="L1217" s="38"/>
      <c r="M1217" s="36" t="s">
        <v>60</v>
      </c>
      <c r="N1217" s="15" t="s">
        <v>152</v>
      </c>
      <c r="O1217" s="36" t="s">
        <v>5122</v>
      </c>
      <c r="P1217" s="36" t="str">
        <f t="shared" si="38"/>
        <v>API_開放_鄉鎮市區清單(地政)_南投縣</v>
      </c>
      <c r="Q1217" s="36" t="s">
        <v>5150</v>
      </c>
      <c r="R1217" s="29" t="str">
        <f t="shared" si="39"/>
        <v>2dms_pubapi_v1_ListTown_M</v>
      </c>
      <c r="U1217" s="27" t="str">
        <f>_xlfn.XLOOKUP(表格1[[#This Row],[服務類別(英)]],參考2_服務標準對照!$B:$B,參考2_服務標準對照!$C:$C,"")&amp;""</f>
        <v/>
      </c>
      <c r="V1217" s="29" t="s">
        <v>17</v>
      </c>
      <c r="W1217" s="29" t="s">
        <v>5123</v>
      </c>
      <c r="X1217" s="29" t="s">
        <v>81</v>
      </c>
      <c r="Y1217" s="36" t="s">
        <v>83</v>
      </c>
      <c r="Z1217" s="36" t="s">
        <v>157</v>
      </c>
      <c r="AA1217" s="36" t="s">
        <v>5134</v>
      </c>
      <c r="AB1217" s="36"/>
      <c r="AC1217" s="36"/>
      <c r="AD1217" s="29" t="s">
        <v>119</v>
      </c>
      <c r="AE1217" s="36" t="str">
        <f>_xlfn.XLOOKUP(表格1[[#This Row],[唯一識別碼]],API清冊0707!B:B,API清冊0707!T:T,"")&amp;""</f>
        <v>無下拉選單</v>
      </c>
    </row>
    <row r="1218" spans="1:31" ht="95.25" customHeight="1" x14ac:dyDescent="0.4">
      <c r="A1218" s="29" t="s">
        <v>5151</v>
      </c>
      <c r="B1218" s="29"/>
      <c r="C1218" s="29"/>
      <c r="D1218" s="29" t="s">
        <v>5152</v>
      </c>
      <c r="E1218" s="29" t="s">
        <v>5153</v>
      </c>
      <c r="F1218" s="29" t="s">
        <v>5154</v>
      </c>
      <c r="G1218" s="35"/>
      <c r="H1218" s="35" t="s">
        <v>151</v>
      </c>
      <c r="I1218" s="36" t="s">
        <v>5151</v>
      </c>
      <c r="J1218" s="37"/>
      <c r="K1218" s="38"/>
      <c r="L1218" s="38"/>
      <c r="M1218" s="36" t="s">
        <v>60</v>
      </c>
      <c r="N1218" s="15" t="s">
        <v>152</v>
      </c>
      <c r="O1218" s="36" t="s">
        <v>5122</v>
      </c>
      <c r="P1218" s="36" t="str">
        <f t="shared" si="38"/>
        <v>API_開放_鄉鎮市區清單(地政)_屏東縣</v>
      </c>
      <c r="Q1218" s="36" t="s">
        <v>5154</v>
      </c>
      <c r="R1218" s="29" t="str">
        <f t="shared" si="39"/>
        <v>2dms_pubapi_v1_ListTown_T</v>
      </c>
      <c r="U1218" s="27" t="str">
        <f>_xlfn.XLOOKUP(表格1[[#This Row],[服務類別(英)]],參考2_服務標準對照!$B:$B,參考2_服務標準對照!$C:$C,"")&amp;""</f>
        <v/>
      </c>
      <c r="V1218" s="29" t="s">
        <v>17</v>
      </c>
      <c r="W1218" s="29" t="s">
        <v>5123</v>
      </c>
      <c r="X1218" s="29" t="s">
        <v>81</v>
      </c>
      <c r="Y1218" s="36" t="s">
        <v>83</v>
      </c>
      <c r="Z1218" s="36" t="s">
        <v>157</v>
      </c>
      <c r="AA1218" s="36" t="s">
        <v>5134</v>
      </c>
      <c r="AB1218" s="36"/>
      <c r="AC1218" s="36"/>
      <c r="AD1218" s="29" t="s">
        <v>119</v>
      </c>
      <c r="AE1218" s="36" t="str">
        <f>_xlfn.XLOOKUP(表格1[[#This Row],[唯一識別碼]],API清冊0707!B:B,API清冊0707!T:T,"")&amp;""</f>
        <v>無下拉選單</v>
      </c>
    </row>
    <row r="1219" spans="1:31" ht="95.25" customHeight="1" x14ac:dyDescent="0.4">
      <c r="A1219" s="29" t="s">
        <v>5155</v>
      </c>
      <c r="B1219" s="29"/>
      <c r="C1219" s="29"/>
      <c r="D1219" s="29" t="s">
        <v>5156</v>
      </c>
      <c r="E1219" s="29" t="s">
        <v>5157</v>
      </c>
      <c r="F1219" s="29" t="s">
        <v>5158</v>
      </c>
      <c r="G1219" s="35"/>
      <c r="H1219" s="35" t="s">
        <v>151</v>
      </c>
      <c r="I1219" s="36" t="s">
        <v>5155</v>
      </c>
      <c r="J1219" s="37"/>
      <c r="K1219" s="38"/>
      <c r="L1219" s="38"/>
      <c r="M1219" s="36" t="s">
        <v>60</v>
      </c>
      <c r="N1219" s="15" t="s">
        <v>152</v>
      </c>
      <c r="O1219" s="36" t="s">
        <v>5122</v>
      </c>
      <c r="P1219" s="36" t="str">
        <f t="shared" si="38"/>
        <v>API_開放_鄉鎮市區清單(地政)_苗栗縣</v>
      </c>
      <c r="Q1219" s="36" t="s">
        <v>5158</v>
      </c>
      <c r="R1219" s="29" t="str">
        <f t="shared" si="39"/>
        <v>2dms_pubapi_v1_ListTown_K</v>
      </c>
      <c r="U1219" s="27" t="str">
        <f>_xlfn.XLOOKUP(表格1[[#This Row],[服務類別(英)]],參考2_服務標準對照!$B:$B,參考2_服務標準對照!$C:$C,"")&amp;""</f>
        <v/>
      </c>
      <c r="V1219" s="29" t="s">
        <v>17</v>
      </c>
      <c r="W1219" s="29" t="s">
        <v>5123</v>
      </c>
      <c r="X1219" s="29" t="s">
        <v>81</v>
      </c>
      <c r="Y1219" s="36" t="s">
        <v>83</v>
      </c>
      <c r="Z1219" s="36" t="s">
        <v>157</v>
      </c>
      <c r="AA1219" s="36" t="s">
        <v>5134</v>
      </c>
      <c r="AB1219" s="36"/>
      <c r="AC1219" s="36"/>
      <c r="AD1219" s="29" t="s">
        <v>119</v>
      </c>
      <c r="AE1219" s="36" t="str">
        <f>_xlfn.XLOOKUP(表格1[[#This Row],[唯一識別碼]],API清冊0707!B:B,API清冊0707!T:T,"")&amp;""</f>
        <v>無下拉選單</v>
      </c>
    </row>
    <row r="1220" spans="1:31" ht="95.25" customHeight="1" x14ac:dyDescent="0.4">
      <c r="A1220" s="29" t="s">
        <v>5159</v>
      </c>
      <c r="B1220" s="29"/>
      <c r="C1220" s="29"/>
      <c r="D1220" s="29" t="s">
        <v>5160</v>
      </c>
      <c r="E1220" s="29" t="s">
        <v>5161</v>
      </c>
      <c r="F1220" s="29" t="s">
        <v>5162</v>
      </c>
      <c r="G1220" s="35"/>
      <c r="H1220" s="35" t="s">
        <v>151</v>
      </c>
      <c r="I1220" s="36" t="s">
        <v>5159</v>
      </c>
      <c r="J1220" s="37"/>
      <c r="K1220" s="38"/>
      <c r="L1220" s="38"/>
      <c r="M1220" s="36" t="s">
        <v>60</v>
      </c>
      <c r="N1220" s="15" t="s">
        <v>152</v>
      </c>
      <c r="O1220" s="36" t="s">
        <v>5122</v>
      </c>
      <c r="P1220" s="36" t="str">
        <f t="shared" si="38"/>
        <v>API_開放_鄉鎮市區清單(地政)_桃園市</v>
      </c>
      <c r="Q1220" s="36" t="s">
        <v>5162</v>
      </c>
      <c r="R1220" s="29" t="str">
        <f t="shared" si="39"/>
        <v>2dms_pubapi_v1_ListTown_H</v>
      </c>
      <c r="U1220" s="27" t="str">
        <f>_xlfn.XLOOKUP(表格1[[#This Row],[服務類別(英)]],參考2_服務標準對照!$B:$B,參考2_服務標準對照!$C:$C,"")&amp;""</f>
        <v/>
      </c>
      <c r="V1220" s="29" t="s">
        <v>17</v>
      </c>
      <c r="W1220" s="29" t="s">
        <v>5123</v>
      </c>
      <c r="X1220" s="29" t="s">
        <v>81</v>
      </c>
      <c r="Y1220" s="36" t="s">
        <v>83</v>
      </c>
      <c r="Z1220" s="36" t="s">
        <v>157</v>
      </c>
      <c r="AA1220" s="36" t="s">
        <v>5134</v>
      </c>
      <c r="AB1220" s="36"/>
      <c r="AC1220" s="36"/>
      <c r="AD1220" s="29" t="s">
        <v>119</v>
      </c>
      <c r="AE1220" s="36" t="str">
        <f>_xlfn.XLOOKUP(表格1[[#This Row],[唯一識別碼]],API清冊0707!B:B,API清冊0707!T:T,"")&amp;""</f>
        <v>無下拉選單</v>
      </c>
    </row>
    <row r="1221" spans="1:31" ht="95.25" customHeight="1" x14ac:dyDescent="0.4">
      <c r="A1221" s="29" t="s">
        <v>5163</v>
      </c>
      <c r="B1221" s="29"/>
      <c r="C1221" s="29"/>
      <c r="D1221" s="29" t="s">
        <v>5164</v>
      </c>
      <c r="E1221" s="29" t="s">
        <v>5165</v>
      </c>
      <c r="F1221" s="29" t="s">
        <v>5166</v>
      </c>
      <c r="G1221" s="35"/>
      <c r="H1221" s="35" t="s">
        <v>151</v>
      </c>
      <c r="I1221" s="36" t="s">
        <v>5163</v>
      </c>
      <c r="J1221" s="37"/>
      <c r="K1221" s="38"/>
      <c r="L1221" s="38"/>
      <c r="M1221" s="36" t="s">
        <v>60</v>
      </c>
      <c r="N1221" s="15" t="s">
        <v>152</v>
      </c>
      <c r="O1221" s="36" t="s">
        <v>5122</v>
      </c>
      <c r="P1221" s="36" t="str">
        <f t="shared" si="38"/>
        <v>API_開放_鄉鎮市區清單(地政)_高雄市</v>
      </c>
      <c r="Q1221" s="36" t="s">
        <v>5166</v>
      </c>
      <c r="R1221" s="29" t="str">
        <f t="shared" si="39"/>
        <v>2dms_pubapi_v1_ListTown_E</v>
      </c>
      <c r="U1221" s="27" t="str">
        <f>_xlfn.XLOOKUP(表格1[[#This Row],[服務類別(英)]],參考2_服務標準對照!$B:$B,參考2_服務標準對照!$C:$C,"")&amp;""</f>
        <v/>
      </c>
      <c r="V1221" s="29" t="s">
        <v>17</v>
      </c>
      <c r="W1221" s="29" t="s">
        <v>5123</v>
      </c>
      <c r="X1221" s="29" t="s">
        <v>81</v>
      </c>
      <c r="Y1221" s="36" t="s">
        <v>83</v>
      </c>
      <c r="Z1221" s="36" t="s">
        <v>157</v>
      </c>
      <c r="AA1221" s="36" t="s">
        <v>5134</v>
      </c>
      <c r="AB1221" s="36"/>
      <c r="AC1221" s="36"/>
      <c r="AD1221" s="29" t="s">
        <v>119</v>
      </c>
      <c r="AE1221" s="36" t="str">
        <f>_xlfn.XLOOKUP(表格1[[#This Row],[唯一識別碼]],API清冊0707!B:B,API清冊0707!T:T,"")&amp;""</f>
        <v>無下拉選單</v>
      </c>
    </row>
    <row r="1222" spans="1:31" ht="95.25" customHeight="1" x14ac:dyDescent="0.4">
      <c r="A1222" s="29" t="s">
        <v>5167</v>
      </c>
      <c r="B1222" s="29"/>
      <c r="C1222" s="29"/>
      <c r="D1222" s="29" t="s">
        <v>5168</v>
      </c>
      <c r="E1222" s="29" t="s">
        <v>5169</v>
      </c>
      <c r="F1222" s="29" t="s">
        <v>5170</v>
      </c>
      <c r="G1222" s="35"/>
      <c r="H1222" s="35" t="s">
        <v>151</v>
      </c>
      <c r="I1222" s="36" t="s">
        <v>5167</v>
      </c>
      <c r="J1222" s="37"/>
      <c r="K1222" s="38"/>
      <c r="L1222" s="38"/>
      <c r="M1222" s="36" t="s">
        <v>60</v>
      </c>
      <c r="N1222" s="15" t="s">
        <v>152</v>
      </c>
      <c r="O1222" s="36" t="s">
        <v>5122</v>
      </c>
      <c r="P1222" s="36" t="str">
        <f t="shared" si="38"/>
        <v>API_開放_鄉鎮市區清單(地政)_基隆市</v>
      </c>
      <c r="Q1222" s="36" t="s">
        <v>5170</v>
      </c>
      <c r="R1222" s="29" t="str">
        <f t="shared" si="39"/>
        <v>2dms_pubapi_v1_ListTown_C</v>
      </c>
      <c r="U1222" s="27" t="str">
        <f>_xlfn.XLOOKUP(表格1[[#This Row],[服務類別(英)]],參考2_服務標準對照!$B:$B,參考2_服務標準對照!$C:$C,"")&amp;""</f>
        <v/>
      </c>
      <c r="V1222" s="29" t="s">
        <v>17</v>
      </c>
      <c r="W1222" s="29" t="s">
        <v>5123</v>
      </c>
      <c r="X1222" s="29" t="s">
        <v>81</v>
      </c>
      <c r="Y1222" s="36" t="s">
        <v>83</v>
      </c>
      <c r="Z1222" s="36" t="s">
        <v>157</v>
      </c>
      <c r="AA1222" s="36" t="s">
        <v>5134</v>
      </c>
      <c r="AB1222" s="36"/>
      <c r="AC1222" s="36"/>
      <c r="AD1222" s="29" t="s">
        <v>119</v>
      </c>
      <c r="AE1222" s="36" t="str">
        <f>_xlfn.XLOOKUP(表格1[[#This Row],[唯一識別碼]],API清冊0707!B:B,API清冊0707!T:T,"")&amp;""</f>
        <v>無下拉選單</v>
      </c>
    </row>
    <row r="1223" spans="1:31" ht="95.25" customHeight="1" x14ac:dyDescent="0.4">
      <c r="A1223" s="29" t="s">
        <v>5171</v>
      </c>
      <c r="B1223" s="29"/>
      <c r="C1223" s="29"/>
      <c r="D1223" s="29" t="s">
        <v>5172</v>
      </c>
      <c r="E1223" s="29" t="s">
        <v>5173</v>
      </c>
      <c r="F1223" s="29" t="s">
        <v>5174</v>
      </c>
      <c r="G1223" s="35"/>
      <c r="H1223" s="35" t="s">
        <v>151</v>
      </c>
      <c r="I1223" s="36" t="s">
        <v>5171</v>
      </c>
      <c r="J1223" s="37"/>
      <c r="K1223" s="38"/>
      <c r="L1223" s="38"/>
      <c r="M1223" s="36" t="s">
        <v>60</v>
      </c>
      <c r="N1223" s="15" t="s">
        <v>152</v>
      </c>
      <c r="O1223" s="36" t="s">
        <v>5122</v>
      </c>
      <c r="P1223" s="36" t="str">
        <f t="shared" si="38"/>
        <v>API_開放_鄉鎮市區清單(地政)_連江縣</v>
      </c>
      <c r="Q1223" s="36" t="s">
        <v>5174</v>
      </c>
      <c r="R1223" s="29" t="str">
        <f t="shared" si="39"/>
        <v>2dms_pubapi_v1_ListTown_Z</v>
      </c>
      <c r="U1223" s="27" t="str">
        <f>_xlfn.XLOOKUP(表格1[[#This Row],[服務類別(英)]],參考2_服務標準對照!$B:$B,參考2_服務標準對照!$C:$C,"")&amp;""</f>
        <v/>
      </c>
      <c r="V1223" s="29" t="s">
        <v>17</v>
      </c>
      <c r="W1223" s="29" t="s">
        <v>5123</v>
      </c>
      <c r="X1223" s="29" t="s">
        <v>81</v>
      </c>
      <c r="Y1223" s="36" t="s">
        <v>83</v>
      </c>
      <c r="Z1223" s="36" t="s">
        <v>157</v>
      </c>
      <c r="AA1223" s="36" t="s">
        <v>5134</v>
      </c>
      <c r="AB1223" s="36"/>
      <c r="AC1223" s="36"/>
      <c r="AD1223" s="29" t="s">
        <v>119</v>
      </c>
      <c r="AE1223" s="36" t="str">
        <f>_xlfn.XLOOKUP(表格1[[#This Row],[唯一識別碼]],API清冊0707!B:B,API清冊0707!T:T,"")&amp;""</f>
        <v>無下拉選單</v>
      </c>
    </row>
    <row r="1224" spans="1:31" ht="95.25" customHeight="1" x14ac:dyDescent="0.4">
      <c r="A1224" s="29" t="s">
        <v>5175</v>
      </c>
      <c r="B1224" s="29"/>
      <c r="C1224" s="29"/>
      <c r="D1224" s="29" t="s">
        <v>5176</v>
      </c>
      <c r="E1224" s="29" t="s">
        <v>5177</v>
      </c>
      <c r="F1224" s="29" t="s">
        <v>5178</v>
      </c>
      <c r="G1224" s="35"/>
      <c r="H1224" s="35" t="s">
        <v>151</v>
      </c>
      <c r="I1224" s="36" t="s">
        <v>5175</v>
      </c>
      <c r="J1224" s="37"/>
      <c r="K1224" s="38"/>
      <c r="L1224" s="38"/>
      <c r="M1224" s="36" t="s">
        <v>60</v>
      </c>
      <c r="N1224" s="15" t="s">
        <v>152</v>
      </c>
      <c r="O1224" s="36" t="s">
        <v>5122</v>
      </c>
      <c r="P1224" s="36" t="str">
        <f t="shared" si="38"/>
        <v>API_開放_鄉鎮市區清單(地政)_雲林縣</v>
      </c>
      <c r="Q1224" s="36" t="s">
        <v>5178</v>
      </c>
      <c r="R1224" s="29" t="str">
        <f t="shared" si="39"/>
        <v>2dms_pubapi_v1_ListTown_P</v>
      </c>
      <c r="U1224" s="27" t="str">
        <f>_xlfn.XLOOKUP(表格1[[#This Row],[服務類別(英)]],參考2_服務標準對照!$B:$B,參考2_服務標準對照!$C:$C,"")&amp;""</f>
        <v/>
      </c>
      <c r="V1224" s="29" t="s">
        <v>17</v>
      </c>
      <c r="W1224" s="29" t="s">
        <v>5123</v>
      </c>
      <c r="X1224" s="29" t="s">
        <v>81</v>
      </c>
      <c r="Y1224" s="36" t="s">
        <v>83</v>
      </c>
      <c r="Z1224" s="36" t="s">
        <v>157</v>
      </c>
      <c r="AA1224" s="36" t="s">
        <v>5134</v>
      </c>
      <c r="AB1224" s="36"/>
      <c r="AC1224" s="36"/>
      <c r="AD1224" s="29" t="s">
        <v>119</v>
      </c>
      <c r="AE1224" s="36" t="str">
        <f>_xlfn.XLOOKUP(表格1[[#This Row],[唯一識別碼]],API清冊0707!B:B,API清冊0707!T:T,"")&amp;""</f>
        <v>無下拉選單</v>
      </c>
    </row>
    <row r="1225" spans="1:31" ht="95.25" customHeight="1" x14ac:dyDescent="0.4">
      <c r="A1225" s="29" t="s">
        <v>5179</v>
      </c>
      <c r="B1225" s="29"/>
      <c r="C1225" s="29"/>
      <c r="D1225" s="29" t="s">
        <v>5180</v>
      </c>
      <c r="E1225" s="29" t="s">
        <v>5181</v>
      </c>
      <c r="F1225" s="29" t="s">
        <v>5182</v>
      </c>
      <c r="G1225" s="35"/>
      <c r="H1225" s="35" t="s">
        <v>151</v>
      </c>
      <c r="I1225" s="36" t="s">
        <v>5179</v>
      </c>
      <c r="J1225" s="37"/>
      <c r="K1225" s="38"/>
      <c r="L1225" s="38"/>
      <c r="M1225" s="36" t="s">
        <v>60</v>
      </c>
      <c r="N1225" s="15" t="s">
        <v>152</v>
      </c>
      <c r="O1225" s="36" t="s">
        <v>5122</v>
      </c>
      <c r="P1225" s="36" t="str">
        <f t="shared" si="38"/>
        <v>API_開放_鄉鎮市區清單(地政)_新北市</v>
      </c>
      <c r="Q1225" s="36" t="s">
        <v>5182</v>
      </c>
      <c r="R1225" s="29" t="str">
        <f t="shared" si="39"/>
        <v>2dms_pubapi_v1_ListTown_F</v>
      </c>
      <c r="U1225" s="27" t="str">
        <f>_xlfn.XLOOKUP(表格1[[#This Row],[服務類別(英)]],參考2_服務標準對照!$B:$B,參考2_服務標準對照!$C:$C,"")&amp;""</f>
        <v/>
      </c>
      <c r="V1225" s="29" t="s">
        <v>17</v>
      </c>
      <c r="W1225" s="29" t="s">
        <v>5123</v>
      </c>
      <c r="X1225" s="29" t="s">
        <v>81</v>
      </c>
      <c r="Y1225" s="36" t="s">
        <v>83</v>
      </c>
      <c r="Z1225" s="36" t="s">
        <v>157</v>
      </c>
      <c r="AA1225" s="36" t="s">
        <v>5134</v>
      </c>
      <c r="AB1225" s="36"/>
      <c r="AC1225" s="36"/>
      <c r="AD1225" s="29" t="s">
        <v>119</v>
      </c>
      <c r="AE1225" s="36" t="str">
        <f>_xlfn.XLOOKUP(表格1[[#This Row],[唯一識別碼]],API清冊0707!B:B,API清冊0707!T:T,"")&amp;""</f>
        <v>無下拉選單</v>
      </c>
    </row>
    <row r="1226" spans="1:31" ht="95.25" customHeight="1" x14ac:dyDescent="0.4">
      <c r="A1226" s="29" t="s">
        <v>5183</v>
      </c>
      <c r="B1226" s="29"/>
      <c r="C1226" s="29"/>
      <c r="D1226" s="29" t="s">
        <v>5184</v>
      </c>
      <c r="E1226" s="29" t="s">
        <v>5185</v>
      </c>
      <c r="F1226" s="29" t="s">
        <v>5186</v>
      </c>
      <c r="G1226" s="35"/>
      <c r="H1226" s="35" t="s">
        <v>151</v>
      </c>
      <c r="I1226" s="36" t="s">
        <v>5183</v>
      </c>
      <c r="J1226" s="37"/>
      <c r="K1226" s="38"/>
      <c r="L1226" s="38"/>
      <c r="M1226" s="36" t="s">
        <v>60</v>
      </c>
      <c r="N1226" s="15" t="s">
        <v>152</v>
      </c>
      <c r="O1226" s="36" t="s">
        <v>5122</v>
      </c>
      <c r="P1226" s="36" t="str">
        <f t="shared" si="38"/>
        <v>API_開放_鄉鎮市區清單(地政)_新竹市</v>
      </c>
      <c r="Q1226" s="36" t="s">
        <v>5186</v>
      </c>
      <c r="R1226" s="29" t="str">
        <f t="shared" si="39"/>
        <v>2dms_pubapi_v1_ListTown_O</v>
      </c>
      <c r="U1226" s="27" t="str">
        <f>_xlfn.XLOOKUP(表格1[[#This Row],[服務類別(英)]],參考2_服務標準對照!$B:$B,參考2_服務標準對照!$C:$C,"")&amp;""</f>
        <v/>
      </c>
      <c r="V1226" s="29" t="s">
        <v>17</v>
      </c>
      <c r="W1226" s="29" t="s">
        <v>5123</v>
      </c>
      <c r="X1226" s="29" t="s">
        <v>81</v>
      </c>
      <c r="Y1226" s="36" t="s">
        <v>83</v>
      </c>
      <c r="Z1226" s="36" t="s">
        <v>157</v>
      </c>
      <c r="AA1226" s="36" t="s">
        <v>5134</v>
      </c>
      <c r="AB1226" s="36"/>
      <c r="AC1226" s="36"/>
      <c r="AD1226" s="29" t="s">
        <v>119</v>
      </c>
      <c r="AE1226" s="36" t="str">
        <f>_xlfn.XLOOKUP(表格1[[#This Row],[唯一識別碼]],API清冊0707!B:B,API清冊0707!T:T,"")&amp;""</f>
        <v>無下拉選單</v>
      </c>
    </row>
    <row r="1227" spans="1:31" ht="95.25" customHeight="1" x14ac:dyDescent="0.4">
      <c r="A1227" s="29" t="s">
        <v>5187</v>
      </c>
      <c r="B1227" s="29"/>
      <c r="C1227" s="29"/>
      <c r="D1227" s="29" t="s">
        <v>5188</v>
      </c>
      <c r="E1227" s="29" t="s">
        <v>5189</v>
      </c>
      <c r="F1227" s="29" t="s">
        <v>5190</v>
      </c>
      <c r="G1227" s="35"/>
      <c r="H1227" s="35" t="s">
        <v>151</v>
      </c>
      <c r="I1227" s="36" t="s">
        <v>5187</v>
      </c>
      <c r="J1227" s="37"/>
      <c r="K1227" s="38"/>
      <c r="L1227" s="38"/>
      <c r="M1227" s="36" t="s">
        <v>60</v>
      </c>
      <c r="N1227" s="15" t="s">
        <v>152</v>
      </c>
      <c r="O1227" s="36" t="s">
        <v>5122</v>
      </c>
      <c r="P1227" s="36" t="str">
        <f t="shared" si="38"/>
        <v>API_開放_鄉鎮市區清單(地政)_新竹縣</v>
      </c>
      <c r="Q1227" s="36" t="s">
        <v>5190</v>
      </c>
      <c r="R1227" s="29" t="str">
        <f t="shared" si="39"/>
        <v>2dms_pubapi_v1_ListTown_J</v>
      </c>
      <c r="U1227" s="27" t="str">
        <f>_xlfn.XLOOKUP(表格1[[#This Row],[服務類別(英)]],參考2_服務標準對照!$B:$B,參考2_服務標準對照!$C:$C,"")&amp;""</f>
        <v/>
      </c>
      <c r="V1227" s="29" t="s">
        <v>17</v>
      </c>
      <c r="W1227" s="29" t="s">
        <v>5123</v>
      </c>
      <c r="X1227" s="29" t="s">
        <v>81</v>
      </c>
      <c r="Y1227" s="36" t="s">
        <v>83</v>
      </c>
      <c r="Z1227" s="36" t="s">
        <v>157</v>
      </c>
      <c r="AA1227" s="36" t="s">
        <v>5134</v>
      </c>
      <c r="AB1227" s="36"/>
      <c r="AC1227" s="36"/>
      <c r="AD1227" s="29" t="s">
        <v>119</v>
      </c>
      <c r="AE1227" s="36" t="str">
        <f>_xlfn.XLOOKUP(表格1[[#This Row],[唯一識別碼]],API清冊0707!B:B,API清冊0707!T:T,"")&amp;""</f>
        <v>無下拉選單</v>
      </c>
    </row>
    <row r="1228" spans="1:31" ht="95.25" customHeight="1" x14ac:dyDescent="0.4">
      <c r="A1228" s="29" t="s">
        <v>5191</v>
      </c>
      <c r="B1228" s="29"/>
      <c r="C1228" s="29"/>
      <c r="D1228" s="29" t="s">
        <v>5192</v>
      </c>
      <c r="E1228" s="29" t="s">
        <v>5193</v>
      </c>
      <c r="F1228" s="29" t="s">
        <v>5194</v>
      </c>
      <c r="G1228" s="35"/>
      <c r="H1228" s="35" t="s">
        <v>151</v>
      </c>
      <c r="I1228" s="36" t="s">
        <v>5191</v>
      </c>
      <c r="J1228" s="37"/>
      <c r="K1228" s="38"/>
      <c r="L1228" s="38"/>
      <c r="M1228" s="36" t="s">
        <v>60</v>
      </c>
      <c r="N1228" s="15" t="s">
        <v>152</v>
      </c>
      <c r="O1228" s="36" t="s">
        <v>5122</v>
      </c>
      <c r="P1228" s="36" t="str">
        <f t="shared" si="38"/>
        <v>API_開放_鄉鎮市區清單(地政)_嘉義市</v>
      </c>
      <c r="Q1228" s="36" t="s">
        <v>5194</v>
      </c>
      <c r="R1228" s="29" t="str">
        <f t="shared" si="39"/>
        <v>2dms_pubapi_v1_ListTown_I</v>
      </c>
      <c r="U1228" s="27" t="str">
        <f>_xlfn.XLOOKUP(表格1[[#This Row],[服務類別(英)]],參考2_服務標準對照!$B:$B,參考2_服務標準對照!$C:$C,"")&amp;""</f>
        <v/>
      </c>
      <c r="V1228" s="29" t="s">
        <v>17</v>
      </c>
      <c r="W1228" s="29" t="s">
        <v>5123</v>
      </c>
      <c r="X1228" s="29" t="s">
        <v>81</v>
      </c>
      <c r="Y1228" s="36" t="s">
        <v>83</v>
      </c>
      <c r="Z1228" s="36" t="s">
        <v>157</v>
      </c>
      <c r="AA1228" s="36" t="s">
        <v>5134</v>
      </c>
      <c r="AB1228" s="36"/>
      <c r="AC1228" s="36"/>
      <c r="AD1228" s="29" t="s">
        <v>119</v>
      </c>
      <c r="AE1228" s="36" t="str">
        <f>_xlfn.XLOOKUP(表格1[[#This Row],[唯一識別碼]],API清冊0707!B:B,API清冊0707!T:T,"")&amp;""</f>
        <v>無下拉選單</v>
      </c>
    </row>
    <row r="1229" spans="1:31" ht="95.25" customHeight="1" x14ac:dyDescent="0.4">
      <c r="A1229" s="29" t="s">
        <v>5195</v>
      </c>
      <c r="B1229" s="29"/>
      <c r="C1229" s="29"/>
      <c r="D1229" s="29" t="s">
        <v>5196</v>
      </c>
      <c r="E1229" s="29" t="s">
        <v>5197</v>
      </c>
      <c r="F1229" s="29" t="s">
        <v>5198</v>
      </c>
      <c r="G1229" s="35"/>
      <c r="H1229" s="35" t="s">
        <v>151</v>
      </c>
      <c r="I1229" s="36" t="s">
        <v>5195</v>
      </c>
      <c r="J1229" s="37"/>
      <c r="K1229" s="38"/>
      <c r="L1229" s="38"/>
      <c r="M1229" s="36" t="s">
        <v>60</v>
      </c>
      <c r="N1229" s="15" t="s">
        <v>152</v>
      </c>
      <c r="O1229" s="36" t="s">
        <v>5122</v>
      </c>
      <c r="P1229" s="36" t="str">
        <f t="shared" si="38"/>
        <v>API_開放_鄉鎮市區清單(地政)_嘉義縣</v>
      </c>
      <c r="Q1229" s="36" t="s">
        <v>5198</v>
      </c>
      <c r="R1229" s="29" t="str">
        <f t="shared" si="39"/>
        <v>2dms_pubapi_v1_ListTown_Q</v>
      </c>
      <c r="U1229" s="27" t="str">
        <f>_xlfn.XLOOKUP(表格1[[#This Row],[服務類別(英)]],參考2_服務標準對照!$B:$B,參考2_服務標準對照!$C:$C,"")&amp;""</f>
        <v/>
      </c>
      <c r="V1229" s="29" t="s">
        <v>17</v>
      </c>
      <c r="W1229" s="29" t="s">
        <v>5123</v>
      </c>
      <c r="X1229" s="29" t="s">
        <v>81</v>
      </c>
      <c r="Y1229" s="36" t="s">
        <v>83</v>
      </c>
      <c r="Z1229" s="36" t="s">
        <v>157</v>
      </c>
      <c r="AA1229" s="36" t="s">
        <v>5134</v>
      </c>
      <c r="AB1229" s="36"/>
      <c r="AC1229" s="36"/>
      <c r="AD1229" s="29" t="s">
        <v>119</v>
      </c>
      <c r="AE1229" s="36" t="str">
        <f>_xlfn.XLOOKUP(表格1[[#This Row],[唯一識別碼]],API清冊0707!B:B,API清冊0707!T:T,"")&amp;""</f>
        <v>無下拉選單</v>
      </c>
    </row>
    <row r="1230" spans="1:31" ht="95.25" customHeight="1" x14ac:dyDescent="0.4">
      <c r="A1230" s="29" t="s">
        <v>5199</v>
      </c>
      <c r="B1230" s="29"/>
      <c r="C1230" s="29"/>
      <c r="D1230" s="29" t="s">
        <v>5200</v>
      </c>
      <c r="E1230" s="29" t="s">
        <v>5201</v>
      </c>
      <c r="F1230" s="29" t="s">
        <v>5202</v>
      </c>
      <c r="G1230" s="35"/>
      <c r="H1230" s="35" t="s">
        <v>151</v>
      </c>
      <c r="I1230" s="36" t="s">
        <v>5199</v>
      </c>
      <c r="J1230" s="37"/>
      <c r="K1230" s="38"/>
      <c r="L1230" s="38"/>
      <c r="M1230" s="36" t="s">
        <v>60</v>
      </c>
      <c r="N1230" s="15" t="s">
        <v>152</v>
      </c>
      <c r="O1230" s="36" t="s">
        <v>5122</v>
      </c>
      <c r="P1230" s="36" t="str">
        <f t="shared" si="38"/>
        <v>API_開放_鄉鎮市區清單(地政)_彰化縣</v>
      </c>
      <c r="Q1230" s="36" t="s">
        <v>5202</v>
      </c>
      <c r="R1230" s="29" t="str">
        <f t="shared" si="39"/>
        <v>2dms_pubapi_v1_ListTown_N</v>
      </c>
      <c r="U1230" s="27" t="str">
        <f>_xlfn.XLOOKUP(表格1[[#This Row],[服務類別(英)]],參考2_服務標準對照!$B:$B,參考2_服務標準對照!$C:$C,"")&amp;""</f>
        <v/>
      </c>
      <c r="V1230" s="29" t="s">
        <v>17</v>
      </c>
      <c r="W1230" s="29" t="s">
        <v>5123</v>
      </c>
      <c r="X1230" s="29" t="s">
        <v>81</v>
      </c>
      <c r="Y1230" s="36" t="s">
        <v>83</v>
      </c>
      <c r="Z1230" s="36" t="s">
        <v>157</v>
      </c>
      <c r="AA1230" s="36" t="s">
        <v>5134</v>
      </c>
      <c r="AB1230" s="36"/>
      <c r="AC1230" s="36"/>
      <c r="AD1230" s="29" t="s">
        <v>119</v>
      </c>
      <c r="AE1230" s="36" t="str">
        <f>_xlfn.XLOOKUP(表格1[[#This Row],[唯一識別碼]],API清冊0707!B:B,API清冊0707!T:T,"")&amp;""</f>
        <v>無下拉選單</v>
      </c>
    </row>
    <row r="1231" spans="1:31" ht="95.25" customHeight="1" x14ac:dyDescent="0.4">
      <c r="A1231" s="29" t="s">
        <v>5203</v>
      </c>
      <c r="B1231" s="29"/>
      <c r="C1231" s="29"/>
      <c r="D1231" s="29" t="s">
        <v>5204</v>
      </c>
      <c r="E1231" s="29" t="s">
        <v>5205</v>
      </c>
      <c r="F1231" s="29" t="s">
        <v>5206</v>
      </c>
      <c r="G1231" s="35"/>
      <c r="H1231" s="35" t="s">
        <v>151</v>
      </c>
      <c r="I1231" s="36" t="s">
        <v>5203</v>
      </c>
      <c r="J1231" s="37"/>
      <c r="K1231" s="38"/>
      <c r="L1231" s="38"/>
      <c r="M1231" s="36" t="s">
        <v>60</v>
      </c>
      <c r="N1231" s="15" t="s">
        <v>152</v>
      </c>
      <c r="O1231" s="36" t="s">
        <v>5122</v>
      </c>
      <c r="P1231" s="36" t="str">
        <f t="shared" si="38"/>
        <v>API_開放_鄉鎮市區清單(地政)_臺中市</v>
      </c>
      <c r="Q1231" s="36" t="s">
        <v>5206</v>
      </c>
      <c r="R1231" s="29" t="str">
        <f t="shared" si="39"/>
        <v>2dms_pubapi_v1_ListTown_B</v>
      </c>
      <c r="U1231" s="27" t="str">
        <f>_xlfn.XLOOKUP(表格1[[#This Row],[服務類別(英)]],參考2_服務標準對照!$B:$B,參考2_服務標準對照!$C:$C,"")&amp;""</f>
        <v/>
      </c>
      <c r="V1231" s="29" t="s">
        <v>17</v>
      </c>
      <c r="W1231" s="29" t="s">
        <v>5123</v>
      </c>
      <c r="X1231" s="29" t="s">
        <v>81</v>
      </c>
      <c r="Y1231" s="36" t="s">
        <v>83</v>
      </c>
      <c r="Z1231" s="36" t="s">
        <v>157</v>
      </c>
      <c r="AA1231" s="36" t="s">
        <v>5134</v>
      </c>
      <c r="AB1231" s="36"/>
      <c r="AC1231" s="36"/>
      <c r="AD1231" s="29" t="s">
        <v>119</v>
      </c>
      <c r="AE1231" s="36" t="str">
        <f>_xlfn.XLOOKUP(表格1[[#This Row],[唯一識別碼]],API清冊0707!B:B,API清冊0707!T:T,"")&amp;""</f>
        <v>無下拉選單</v>
      </c>
    </row>
    <row r="1232" spans="1:31" ht="95.25" customHeight="1" x14ac:dyDescent="0.4">
      <c r="A1232" s="29" t="s">
        <v>5207</v>
      </c>
      <c r="B1232" s="29"/>
      <c r="C1232" s="29"/>
      <c r="D1232" s="29" t="s">
        <v>5208</v>
      </c>
      <c r="E1232" s="29" t="s">
        <v>5209</v>
      </c>
      <c r="F1232" s="29" t="s">
        <v>5210</v>
      </c>
      <c r="G1232" s="35"/>
      <c r="H1232" s="35" t="s">
        <v>151</v>
      </c>
      <c r="I1232" s="36" t="s">
        <v>5207</v>
      </c>
      <c r="J1232" s="37"/>
      <c r="K1232" s="38"/>
      <c r="L1232" s="38"/>
      <c r="M1232" s="36" t="s">
        <v>60</v>
      </c>
      <c r="N1232" s="15" t="s">
        <v>152</v>
      </c>
      <c r="O1232" s="36" t="s">
        <v>5122</v>
      </c>
      <c r="P1232" s="36" t="str">
        <f t="shared" si="38"/>
        <v>API_開放_鄉鎮市區清單(地政)_臺北市</v>
      </c>
      <c r="Q1232" s="36" t="s">
        <v>5210</v>
      </c>
      <c r="R1232" s="29" t="str">
        <f t="shared" si="39"/>
        <v>2dms_pubapi_v1_ListTown_A</v>
      </c>
      <c r="U1232" s="27" t="str">
        <f>_xlfn.XLOOKUP(表格1[[#This Row],[服務類別(英)]],參考2_服務標準對照!$B:$B,參考2_服務標準對照!$C:$C,"")&amp;""</f>
        <v/>
      </c>
      <c r="V1232" s="29" t="s">
        <v>17</v>
      </c>
      <c r="W1232" s="29" t="s">
        <v>5123</v>
      </c>
      <c r="X1232" s="29" t="s">
        <v>81</v>
      </c>
      <c r="Y1232" s="36" t="s">
        <v>83</v>
      </c>
      <c r="Z1232" s="36" t="s">
        <v>157</v>
      </c>
      <c r="AA1232" s="36" t="s">
        <v>5134</v>
      </c>
      <c r="AB1232" s="36"/>
      <c r="AC1232" s="36"/>
      <c r="AD1232" s="29" t="s">
        <v>119</v>
      </c>
      <c r="AE1232" s="36" t="str">
        <f>_xlfn.XLOOKUP(表格1[[#This Row],[唯一識別碼]],API清冊0707!B:B,API清冊0707!T:T,"")&amp;""</f>
        <v>無下拉選單</v>
      </c>
    </row>
    <row r="1233" spans="1:31" ht="95.25" customHeight="1" x14ac:dyDescent="0.4">
      <c r="A1233" s="29" t="s">
        <v>5211</v>
      </c>
      <c r="B1233" s="29"/>
      <c r="C1233" s="29"/>
      <c r="D1233" s="29" t="s">
        <v>5212</v>
      </c>
      <c r="E1233" s="29" t="s">
        <v>5213</v>
      </c>
      <c r="F1233" s="29" t="s">
        <v>5214</v>
      </c>
      <c r="G1233" s="35"/>
      <c r="H1233" s="35" t="s">
        <v>151</v>
      </c>
      <c r="I1233" s="36" t="s">
        <v>5211</v>
      </c>
      <c r="J1233" s="37"/>
      <c r="K1233" s="38"/>
      <c r="L1233" s="38"/>
      <c r="M1233" s="36" t="s">
        <v>60</v>
      </c>
      <c r="N1233" s="15" t="s">
        <v>152</v>
      </c>
      <c r="O1233" s="36" t="s">
        <v>5122</v>
      </c>
      <c r="P1233" s="36" t="str">
        <f t="shared" si="38"/>
        <v>API_開放_鄉鎮市區清單(地政)_臺東縣</v>
      </c>
      <c r="Q1233" s="36" t="s">
        <v>5214</v>
      </c>
      <c r="R1233" s="29" t="str">
        <f t="shared" si="39"/>
        <v>2dms_pubapi_v1_ListTown_V</v>
      </c>
      <c r="U1233" s="27" t="str">
        <f>_xlfn.XLOOKUP(表格1[[#This Row],[服務類別(英)]],參考2_服務標準對照!$B:$B,參考2_服務標準對照!$C:$C,"")&amp;""</f>
        <v/>
      </c>
      <c r="V1233" s="29" t="s">
        <v>17</v>
      </c>
      <c r="W1233" s="29" t="s">
        <v>5123</v>
      </c>
      <c r="X1233" s="29" t="s">
        <v>81</v>
      </c>
      <c r="Y1233" s="36" t="s">
        <v>83</v>
      </c>
      <c r="Z1233" s="36" t="s">
        <v>157</v>
      </c>
      <c r="AA1233" s="36" t="s">
        <v>5134</v>
      </c>
      <c r="AB1233" s="36"/>
      <c r="AC1233" s="36"/>
      <c r="AD1233" s="29" t="s">
        <v>119</v>
      </c>
      <c r="AE1233" s="36" t="str">
        <f>_xlfn.XLOOKUP(表格1[[#This Row],[唯一識別碼]],API清冊0707!B:B,API清冊0707!T:T,"")&amp;""</f>
        <v>無下拉選單</v>
      </c>
    </row>
    <row r="1234" spans="1:31" ht="95.25" customHeight="1" x14ac:dyDescent="0.4">
      <c r="A1234" s="29" t="s">
        <v>5215</v>
      </c>
      <c r="B1234" s="29"/>
      <c r="C1234" s="29"/>
      <c r="D1234" s="29" t="s">
        <v>5216</v>
      </c>
      <c r="E1234" s="29" t="s">
        <v>5217</v>
      </c>
      <c r="F1234" s="29" t="s">
        <v>5218</v>
      </c>
      <c r="G1234" s="35"/>
      <c r="H1234" s="35" t="s">
        <v>151</v>
      </c>
      <c r="I1234" s="36" t="s">
        <v>5215</v>
      </c>
      <c r="J1234" s="37"/>
      <c r="K1234" s="38"/>
      <c r="L1234" s="38"/>
      <c r="M1234" s="36" t="s">
        <v>60</v>
      </c>
      <c r="N1234" s="15" t="s">
        <v>152</v>
      </c>
      <c r="O1234" s="36" t="s">
        <v>5122</v>
      </c>
      <c r="P1234" s="36" t="str">
        <f t="shared" si="38"/>
        <v>API_開放_鄉鎮市區清單(地政)_臺南市</v>
      </c>
      <c r="Q1234" s="36" t="s">
        <v>5218</v>
      </c>
      <c r="R1234" s="29" t="str">
        <f t="shared" si="39"/>
        <v>2dms_pubapi_v1_ListTown_D</v>
      </c>
      <c r="U1234" s="27" t="str">
        <f>_xlfn.XLOOKUP(表格1[[#This Row],[服務類別(英)]],參考2_服務標準對照!$B:$B,參考2_服務標準對照!$C:$C,"")&amp;""</f>
        <v/>
      </c>
      <c r="V1234" s="29" t="s">
        <v>17</v>
      </c>
      <c r="W1234" s="29" t="s">
        <v>5123</v>
      </c>
      <c r="X1234" s="29" t="s">
        <v>81</v>
      </c>
      <c r="Y1234" s="36" t="s">
        <v>83</v>
      </c>
      <c r="Z1234" s="36" t="s">
        <v>157</v>
      </c>
      <c r="AA1234" s="36" t="s">
        <v>5134</v>
      </c>
      <c r="AB1234" s="36"/>
      <c r="AC1234" s="36"/>
      <c r="AD1234" s="29" t="s">
        <v>119</v>
      </c>
      <c r="AE1234" s="36" t="str">
        <f>_xlfn.XLOOKUP(表格1[[#This Row],[唯一識別碼]],API清冊0707!B:B,API清冊0707!T:T,"")&amp;""</f>
        <v>無下拉選單</v>
      </c>
    </row>
    <row r="1235" spans="1:31" ht="95.25" customHeight="1" x14ac:dyDescent="0.4">
      <c r="A1235" s="29" t="s">
        <v>5219</v>
      </c>
      <c r="B1235" s="29"/>
      <c r="C1235" s="29"/>
      <c r="D1235" s="29" t="s">
        <v>5220</v>
      </c>
      <c r="E1235" s="29" t="s">
        <v>5221</v>
      </c>
      <c r="F1235" s="29" t="s">
        <v>5222</v>
      </c>
      <c r="G1235" s="35"/>
      <c r="H1235" s="35" t="s">
        <v>151</v>
      </c>
      <c r="I1235" s="36" t="s">
        <v>5219</v>
      </c>
      <c r="J1235" s="37"/>
      <c r="K1235" s="38"/>
      <c r="L1235" s="38"/>
      <c r="M1235" s="36" t="s">
        <v>60</v>
      </c>
      <c r="N1235" s="15" t="s">
        <v>152</v>
      </c>
      <c r="O1235" s="36" t="s">
        <v>5122</v>
      </c>
      <c r="P1235" s="36" t="str">
        <f t="shared" si="38"/>
        <v>API_開放_鄉鎮市區清單(地政)_澎湖縣</v>
      </c>
      <c r="Q1235" s="36" t="s">
        <v>5222</v>
      </c>
      <c r="R1235" s="29" t="str">
        <f t="shared" si="39"/>
        <v>2dms_pubapi_v1_ListTown_X</v>
      </c>
      <c r="U1235" s="27" t="str">
        <f>_xlfn.XLOOKUP(表格1[[#This Row],[服務類別(英)]],參考2_服務標準對照!$B:$B,參考2_服務標準對照!$C:$C,"")&amp;""</f>
        <v/>
      </c>
      <c r="V1235" s="29" t="s">
        <v>17</v>
      </c>
      <c r="W1235" s="29" t="s">
        <v>5123</v>
      </c>
      <c r="X1235" s="29" t="s">
        <v>81</v>
      </c>
      <c r="Y1235" s="36" t="s">
        <v>83</v>
      </c>
      <c r="Z1235" s="36" t="s">
        <v>157</v>
      </c>
      <c r="AA1235" s="36" t="s">
        <v>5134</v>
      </c>
      <c r="AB1235" s="36"/>
      <c r="AC1235" s="36"/>
      <c r="AD1235" s="29" t="s">
        <v>119</v>
      </c>
      <c r="AE1235" s="36" t="str">
        <f>_xlfn.XLOOKUP(表格1[[#This Row],[唯一識別碼]],API清冊0707!B:B,API清冊0707!T:T,"")&amp;""</f>
        <v>無下拉選單</v>
      </c>
    </row>
    <row r="1236" spans="1:31" ht="95.25" customHeight="1" x14ac:dyDescent="0.4">
      <c r="A1236" s="29" t="s">
        <v>5223</v>
      </c>
      <c r="B1236" s="29"/>
      <c r="C1236" s="29"/>
      <c r="D1236" s="29" t="s">
        <v>5224</v>
      </c>
      <c r="E1236" s="29" t="s">
        <v>5225</v>
      </c>
      <c r="F1236" s="29" t="s">
        <v>5226</v>
      </c>
      <c r="G1236" s="35"/>
      <c r="H1236" s="35" t="s">
        <v>151</v>
      </c>
      <c r="I1236" s="36" t="s">
        <v>5223</v>
      </c>
      <c r="J1236" s="37"/>
      <c r="K1236" s="38"/>
      <c r="L1236" s="38"/>
      <c r="M1236" s="36" t="s">
        <v>60</v>
      </c>
      <c r="N1236" s="15" t="s">
        <v>152</v>
      </c>
      <c r="O1236" s="36" t="s">
        <v>5122</v>
      </c>
      <c r="P1236" s="36" t="str">
        <f t="shared" si="38"/>
        <v>API_開放_鄉鎮市區清單(戶政)_宜蘭縣</v>
      </c>
      <c r="Q1236" s="36" t="s">
        <v>5226</v>
      </c>
      <c r="R1236" s="29" t="str">
        <f t="shared" si="39"/>
        <v>2dms_pubapi_v1_ListTown1_G</v>
      </c>
      <c r="U1236" s="27" t="str">
        <f>_xlfn.XLOOKUP(表格1[[#This Row],[服務類別(英)]],參考2_服務標準對照!$B:$B,參考2_服務標準對照!$C:$C,"")&amp;""</f>
        <v/>
      </c>
      <c r="V1236" s="29" t="s">
        <v>17</v>
      </c>
      <c r="W1236" s="29" t="s">
        <v>5123</v>
      </c>
      <c r="X1236" s="29" t="s">
        <v>81</v>
      </c>
      <c r="Y1236" s="36" t="s">
        <v>83</v>
      </c>
      <c r="Z1236" s="36" t="s">
        <v>157</v>
      </c>
      <c r="AA1236" s="36" t="s">
        <v>5134</v>
      </c>
      <c r="AB1236" s="36"/>
      <c r="AC1236" s="36"/>
      <c r="AD1236" s="29" t="s">
        <v>119</v>
      </c>
      <c r="AE1236" s="36" t="str">
        <f>_xlfn.XLOOKUP(表格1[[#This Row],[唯一識別碼]],API清冊0707!B:B,API清冊0707!T:T,"")&amp;""</f>
        <v>無下拉選單</v>
      </c>
    </row>
    <row r="1237" spans="1:31" ht="95.25" customHeight="1" x14ac:dyDescent="0.4">
      <c r="A1237" s="29" t="s">
        <v>5227</v>
      </c>
      <c r="B1237" s="29"/>
      <c r="C1237" s="29"/>
      <c r="D1237" s="29" t="s">
        <v>5228</v>
      </c>
      <c r="E1237" s="29" t="s">
        <v>5229</v>
      </c>
      <c r="F1237" s="29" t="s">
        <v>5230</v>
      </c>
      <c r="G1237" s="35"/>
      <c r="H1237" s="35" t="s">
        <v>151</v>
      </c>
      <c r="I1237" s="36" t="s">
        <v>5227</v>
      </c>
      <c r="J1237" s="37"/>
      <c r="K1237" s="38"/>
      <c r="L1237" s="38"/>
      <c r="M1237" s="36" t="s">
        <v>60</v>
      </c>
      <c r="N1237" s="15" t="s">
        <v>152</v>
      </c>
      <c r="O1237" s="36" t="s">
        <v>5122</v>
      </c>
      <c r="P1237" s="36" t="str">
        <f t="shared" si="38"/>
        <v>API_開放_鄉鎮市區清單(戶政)_花蓮縣</v>
      </c>
      <c r="Q1237" s="36" t="s">
        <v>5230</v>
      </c>
      <c r="R1237" s="29" t="str">
        <f t="shared" si="39"/>
        <v>2dms_pubapi_v1_ListTown1_U</v>
      </c>
      <c r="U1237" s="27" t="str">
        <f>_xlfn.XLOOKUP(表格1[[#This Row],[服務類別(英)]],參考2_服務標準對照!$B:$B,參考2_服務標準對照!$C:$C,"")&amp;""</f>
        <v/>
      </c>
      <c r="V1237" s="29" t="s">
        <v>17</v>
      </c>
      <c r="W1237" s="29" t="s">
        <v>5123</v>
      </c>
      <c r="X1237" s="29" t="s">
        <v>81</v>
      </c>
      <c r="Y1237" s="36" t="s">
        <v>83</v>
      </c>
      <c r="Z1237" s="36" t="s">
        <v>157</v>
      </c>
      <c r="AA1237" s="36" t="s">
        <v>5134</v>
      </c>
      <c r="AB1237" s="36"/>
      <c r="AC1237" s="36"/>
      <c r="AD1237" s="29" t="s">
        <v>119</v>
      </c>
      <c r="AE1237" s="36" t="str">
        <f>_xlfn.XLOOKUP(表格1[[#This Row],[唯一識別碼]],API清冊0707!B:B,API清冊0707!T:T,"")&amp;""</f>
        <v>無下拉選單</v>
      </c>
    </row>
    <row r="1238" spans="1:31" ht="95.25" customHeight="1" x14ac:dyDescent="0.4">
      <c r="A1238" s="29" t="s">
        <v>5231</v>
      </c>
      <c r="B1238" s="29"/>
      <c r="C1238" s="29"/>
      <c r="D1238" s="29" t="s">
        <v>5232</v>
      </c>
      <c r="E1238" s="29" t="s">
        <v>5233</v>
      </c>
      <c r="F1238" s="29" t="s">
        <v>5234</v>
      </c>
      <c r="G1238" s="35"/>
      <c r="H1238" s="35" t="s">
        <v>151</v>
      </c>
      <c r="I1238" s="36" t="s">
        <v>5231</v>
      </c>
      <c r="J1238" s="37"/>
      <c r="K1238" s="38"/>
      <c r="L1238" s="38"/>
      <c r="M1238" s="36" t="s">
        <v>60</v>
      </c>
      <c r="N1238" s="15" t="s">
        <v>152</v>
      </c>
      <c r="O1238" s="36" t="s">
        <v>5122</v>
      </c>
      <c r="P1238" s="36" t="str">
        <f t="shared" si="38"/>
        <v>API_開放_鄉鎮市區清單(戶政)_金門縣</v>
      </c>
      <c r="Q1238" s="36" t="s">
        <v>5234</v>
      </c>
      <c r="R1238" s="29" t="str">
        <f t="shared" si="39"/>
        <v>2dms_pubapi_v1_ListTown1_W</v>
      </c>
      <c r="U1238" s="27" t="str">
        <f>_xlfn.XLOOKUP(表格1[[#This Row],[服務類別(英)]],參考2_服務標準對照!$B:$B,參考2_服務標準對照!$C:$C,"")&amp;""</f>
        <v/>
      </c>
      <c r="V1238" s="29" t="s">
        <v>17</v>
      </c>
      <c r="W1238" s="29" t="s">
        <v>5123</v>
      </c>
      <c r="X1238" s="29" t="s">
        <v>81</v>
      </c>
      <c r="Y1238" s="36" t="s">
        <v>83</v>
      </c>
      <c r="Z1238" s="36" t="s">
        <v>157</v>
      </c>
      <c r="AA1238" s="36" t="s">
        <v>5134</v>
      </c>
      <c r="AB1238" s="36"/>
      <c r="AC1238" s="36"/>
      <c r="AD1238" s="29" t="s">
        <v>119</v>
      </c>
      <c r="AE1238" s="36" t="str">
        <f>_xlfn.XLOOKUP(表格1[[#This Row],[唯一識別碼]],API清冊0707!B:B,API清冊0707!T:T,"")&amp;""</f>
        <v>無下拉選單</v>
      </c>
    </row>
    <row r="1239" spans="1:31" ht="95.25" customHeight="1" x14ac:dyDescent="0.4">
      <c r="A1239" s="29" t="s">
        <v>5235</v>
      </c>
      <c r="B1239" s="29"/>
      <c r="C1239" s="29"/>
      <c r="D1239" s="29" t="s">
        <v>5236</v>
      </c>
      <c r="E1239" s="29" t="s">
        <v>5237</v>
      </c>
      <c r="F1239" s="29" t="s">
        <v>5238</v>
      </c>
      <c r="G1239" s="35"/>
      <c r="H1239" s="35" t="s">
        <v>151</v>
      </c>
      <c r="I1239" s="36" t="s">
        <v>5235</v>
      </c>
      <c r="J1239" s="37"/>
      <c r="K1239" s="38"/>
      <c r="L1239" s="38"/>
      <c r="M1239" s="36" t="s">
        <v>60</v>
      </c>
      <c r="N1239" s="15" t="s">
        <v>152</v>
      </c>
      <c r="O1239" s="36" t="s">
        <v>5122</v>
      </c>
      <c r="P1239" s="36" t="str">
        <f t="shared" si="38"/>
        <v>API_開放_鄉鎮市區清單(戶政)_南投縣</v>
      </c>
      <c r="Q1239" s="36" t="s">
        <v>5238</v>
      </c>
      <c r="R1239" s="29" t="str">
        <f t="shared" si="39"/>
        <v>2dms_pubapi_v1_ListTown1_M</v>
      </c>
      <c r="U1239" s="27" t="str">
        <f>_xlfn.XLOOKUP(表格1[[#This Row],[服務類別(英)]],參考2_服務標準對照!$B:$B,參考2_服務標準對照!$C:$C,"")&amp;""</f>
        <v/>
      </c>
      <c r="V1239" s="29" t="s">
        <v>17</v>
      </c>
      <c r="W1239" s="29" t="s">
        <v>5123</v>
      </c>
      <c r="X1239" s="29" t="s">
        <v>81</v>
      </c>
      <c r="Y1239" s="36" t="s">
        <v>83</v>
      </c>
      <c r="Z1239" s="36" t="s">
        <v>157</v>
      </c>
      <c r="AA1239" s="36" t="s">
        <v>5134</v>
      </c>
      <c r="AB1239" s="36"/>
      <c r="AC1239" s="36"/>
      <c r="AD1239" s="29" t="s">
        <v>119</v>
      </c>
      <c r="AE1239" s="36" t="str">
        <f>_xlfn.XLOOKUP(表格1[[#This Row],[唯一識別碼]],API清冊0707!B:B,API清冊0707!T:T,"")&amp;""</f>
        <v>無下拉選單</v>
      </c>
    </row>
    <row r="1240" spans="1:31" ht="95.25" customHeight="1" x14ac:dyDescent="0.4">
      <c r="A1240" s="29" t="s">
        <v>5239</v>
      </c>
      <c r="B1240" s="29"/>
      <c r="C1240" s="29"/>
      <c r="D1240" s="29" t="s">
        <v>5240</v>
      </c>
      <c r="E1240" s="29" t="s">
        <v>5241</v>
      </c>
      <c r="F1240" s="29" t="s">
        <v>5242</v>
      </c>
      <c r="G1240" s="35"/>
      <c r="H1240" s="35" t="s">
        <v>151</v>
      </c>
      <c r="I1240" s="36" t="s">
        <v>5239</v>
      </c>
      <c r="J1240" s="37"/>
      <c r="K1240" s="38"/>
      <c r="L1240" s="38"/>
      <c r="M1240" s="36" t="s">
        <v>60</v>
      </c>
      <c r="N1240" s="15" t="s">
        <v>152</v>
      </c>
      <c r="O1240" s="36" t="s">
        <v>5122</v>
      </c>
      <c r="P1240" s="36" t="str">
        <f t="shared" si="38"/>
        <v>API_開放_鄉鎮市區清單(戶政)_屏東縣</v>
      </c>
      <c r="Q1240" s="36" t="s">
        <v>5242</v>
      </c>
      <c r="R1240" s="29" t="str">
        <f t="shared" si="39"/>
        <v>2dms_pubapi_v1_ListTown1_T</v>
      </c>
      <c r="U1240" s="27" t="str">
        <f>_xlfn.XLOOKUP(表格1[[#This Row],[服務類別(英)]],參考2_服務標準對照!$B:$B,參考2_服務標準對照!$C:$C,"")&amp;""</f>
        <v/>
      </c>
      <c r="V1240" s="29" t="s">
        <v>17</v>
      </c>
      <c r="W1240" s="29" t="s">
        <v>5123</v>
      </c>
      <c r="X1240" s="29" t="s">
        <v>81</v>
      </c>
      <c r="Y1240" s="36" t="s">
        <v>83</v>
      </c>
      <c r="Z1240" s="36" t="s">
        <v>157</v>
      </c>
      <c r="AA1240" s="36" t="s">
        <v>5134</v>
      </c>
      <c r="AB1240" s="36"/>
      <c r="AC1240" s="36"/>
      <c r="AD1240" s="29" t="s">
        <v>119</v>
      </c>
      <c r="AE1240" s="36" t="str">
        <f>_xlfn.XLOOKUP(表格1[[#This Row],[唯一識別碼]],API清冊0707!B:B,API清冊0707!T:T,"")&amp;""</f>
        <v>無下拉選單</v>
      </c>
    </row>
    <row r="1241" spans="1:31" ht="95.25" customHeight="1" x14ac:dyDescent="0.4">
      <c r="A1241" s="29" t="s">
        <v>5243</v>
      </c>
      <c r="B1241" s="29"/>
      <c r="C1241" s="29"/>
      <c r="D1241" s="29" t="s">
        <v>5244</v>
      </c>
      <c r="E1241" s="29" t="s">
        <v>5245</v>
      </c>
      <c r="F1241" s="29" t="s">
        <v>5246</v>
      </c>
      <c r="G1241" s="35"/>
      <c r="H1241" s="35" t="s">
        <v>151</v>
      </c>
      <c r="I1241" s="36" t="s">
        <v>5243</v>
      </c>
      <c r="J1241" s="37"/>
      <c r="K1241" s="38"/>
      <c r="L1241" s="38"/>
      <c r="M1241" s="36" t="s">
        <v>60</v>
      </c>
      <c r="N1241" s="15" t="s">
        <v>152</v>
      </c>
      <c r="O1241" s="36" t="s">
        <v>5122</v>
      </c>
      <c r="P1241" s="36" t="str">
        <f t="shared" si="38"/>
        <v>API_開放_鄉鎮市區清單(戶政)_苗栗縣</v>
      </c>
      <c r="Q1241" s="36" t="s">
        <v>5246</v>
      </c>
      <c r="R1241" s="29" t="str">
        <f t="shared" si="39"/>
        <v>2dms_pubapi_v1_ListTown1_K</v>
      </c>
      <c r="U1241" s="27" t="str">
        <f>_xlfn.XLOOKUP(表格1[[#This Row],[服務類別(英)]],參考2_服務標準對照!$B:$B,參考2_服務標準對照!$C:$C,"")&amp;""</f>
        <v/>
      </c>
      <c r="V1241" s="29" t="s">
        <v>17</v>
      </c>
      <c r="W1241" s="29" t="s">
        <v>5123</v>
      </c>
      <c r="X1241" s="29" t="s">
        <v>81</v>
      </c>
      <c r="Y1241" s="36" t="s">
        <v>83</v>
      </c>
      <c r="Z1241" s="36" t="s">
        <v>157</v>
      </c>
      <c r="AA1241" s="36" t="s">
        <v>5134</v>
      </c>
      <c r="AB1241" s="36"/>
      <c r="AC1241" s="36"/>
      <c r="AD1241" s="29" t="s">
        <v>119</v>
      </c>
      <c r="AE1241" s="36" t="str">
        <f>_xlfn.XLOOKUP(表格1[[#This Row],[唯一識別碼]],API清冊0707!B:B,API清冊0707!T:T,"")&amp;""</f>
        <v>無下拉選單</v>
      </c>
    </row>
    <row r="1242" spans="1:31" ht="95.25" customHeight="1" x14ac:dyDescent="0.4">
      <c r="A1242" s="29" t="s">
        <v>5247</v>
      </c>
      <c r="B1242" s="29"/>
      <c r="C1242" s="29"/>
      <c r="D1242" s="29" t="s">
        <v>5248</v>
      </c>
      <c r="E1242" s="29" t="s">
        <v>5249</v>
      </c>
      <c r="F1242" s="29" t="s">
        <v>5250</v>
      </c>
      <c r="G1242" s="35"/>
      <c r="H1242" s="35" t="s">
        <v>151</v>
      </c>
      <c r="I1242" s="36" t="s">
        <v>5247</v>
      </c>
      <c r="J1242" s="37"/>
      <c r="K1242" s="38"/>
      <c r="L1242" s="38"/>
      <c r="M1242" s="36" t="s">
        <v>60</v>
      </c>
      <c r="N1242" s="15" t="s">
        <v>152</v>
      </c>
      <c r="O1242" s="36" t="s">
        <v>5122</v>
      </c>
      <c r="P1242" s="36" t="str">
        <f t="shared" si="38"/>
        <v>API_開放_鄉鎮市區清單(戶政)_桃園市</v>
      </c>
      <c r="Q1242" s="36" t="s">
        <v>5250</v>
      </c>
      <c r="R1242" s="29" t="str">
        <f t="shared" si="39"/>
        <v>2dms_pubapi_v1_ListTown1_H</v>
      </c>
      <c r="U1242" s="27" t="str">
        <f>_xlfn.XLOOKUP(表格1[[#This Row],[服務類別(英)]],參考2_服務標準對照!$B:$B,參考2_服務標準對照!$C:$C,"")&amp;""</f>
        <v/>
      </c>
      <c r="V1242" s="29" t="s">
        <v>17</v>
      </c>
      <c r="W1242" s="29" t="s">
        <v>5123</v>
      </c>
      <c r="X1242" s="29" t="s">
        <v>81</v>
      </c>
      <c r="Y1242" s="36" t="s">
        <v>83</v>
      </c>
      <c r="Z1242" s="36" t="s">
        <v>157</v>
      </c>
      <c r="AA1242" s="36" t="s">
        <v>5134</v>
      </c>
      <c r="AB1242" s="36"/>
      <c r="AC1242" s="36"/>
      <c r="AD1242" s="29" t="s">
        <v>119</v>
      </c>
      <c r="AE1242" s="36" t="str">
        <f>_xlfn.XLOOKUP(表格1[[#This Row],[唯一識別碼]],API清冊0707!B:B,API清冊0707!T:T,"")&amp;""</f>
        <v>無下拉選單</v>
      </c>
    </row>
    <row r="1243" spans="1:31" ht="95.25" customHeight="1" x14ac:dyDescent="0.4">
      <c r="A1243" s="29" t="s">
        <v>5251</v>
      </c>
      <c r="B1243" s="29"/>
      <c r="C1243" s="29"/>
      <c r="D1243" s="29" t="s">
        <v>5252</v>
      </c>
      <c r="E1243" s="29" t="s">
        <v>5253</v>
      </c>
      <c r="F1243" s="29" t="s">
        <v>5254</v>
      </c>
      <c r="G1243" s="35"/>
      <c r="H1243" s="35" t="s">
        <v>151</v>
      </c>
      <c r="I1243" s="36" t="s">
        <v>5251</v>
      </c>
      <c r="J1243" s="37"/>
      <c r="K1243" s="38"/>
      <c r="L1243" s="38"/>
      <c r="M1243" s="36" t="s">
        <v>60</v>
      </c>
      <c r="N1243" s="15" t="s">
        <v>152</v>
      </c>
      <c r="O1243" s="36" t="s">
        <v>5122</v>
      </c>
      <c r="P1243" s="36" t="str">
        <f t="shared" si="38"/>
        <v>API_開放_鄉鎮市區清單(戶政)_高雄市</v>
      </c>
      <c r="Q1243" s="36" t="s">
        <v>5254</v>
      </c>
      <c r="R1243" s="29" t="str">
        <f t="shared" si="39"/>
        <v>2dms_pubapi_v1_ListTown1_E</v>
      </c>
      <c r="U1243" s="27" t="str">
        <f>_xlfn.XLOOKUP(表格1[[#This Row],[服務類別(英)]],參考2_服務標準對照!$B:$B,參考2_服務標準對照!$C:$C,"")&amp;""</f>
        <v/>
      </c>
      <c r="V1243" s="29" t="s">
        <v>17</v>
      </c>
      <c r="W1243" s="29" t="s">
        <v>5123</v>
      </c>
      <c r="X1243" s="29" t="s">
        <v>81</v>
      </c>
      <c r="Y1243" s="36" t="s">
        <v>83</v>
      </c>
      <c r="Z1243" s="36" t="s">
        <v>157</v>
      </c>
      <c r="AA1243" s="36" t="s">
        <v>5134</v>
      </c>
      <c r="AB1243" s="36"/>
      <c r="AC1243" s="36"/>
      <c r="AD1243" s="29" t="s">
        <v>119</v>
      </c>
      <c r="AE1243" s="36" t="str">
        <f>_xlfn.XLOOKUP(表格1[[#This Row],[唯一識別碼]],API清冊0707!B:B,API清冊0707!T:T,"")&amp;""</f>
        <v>無下拉選單</v>
      </c>
    </row>
    <row r="1244" spans="1:31" ht="95.25" customHeight="1" x14ac:dyDescent="0.4">
      <c r="A1244" s="29" t="s">
        <v>5255</v>
      </c>
      <c r="B1244" s="29"/>
      <c r="C1244" s="29"/>
      <c r="D1244" s="29" t="s">
        <v>5256</v>
      </c>
      <c r="E1244" s="29" t="s">
        <v>5257</v>
      </c>
      <c r="F1244" s="29" t="s">
        <v>5258</v>
      </c>
      <c r="G1244" s="35"/>
      <c r="H1244" s="35" t="s">
        <v>151</v>
      </c>
      <c r="I1244" s="36" t="s">
        <v>5255</v>
      </c>
      <c r="J1244" s="37"/>
      <c r="K1244" s="38"/>
      <c r="L1244" s="38"/>
      <c r="M1244" s="36" t="s">
        <v>60</v>
      </c>
      <c r="N1244" s="15" t="s">
        <v>152</v>
      </c>
      <c r="O1244" s="36" t="s">
        <v>5122</v>
      </c>
      <c r="P1244" s="36" t="str">
        <f t="shared" si="38"/>
        <v>API_開放_鄉鎮市區清單(戶政)_基隆市</v>
      </c>
      <c r="Q1244" s="36" t="s">
        <v>5258</v>
      </c>
      <c r="R1244" s="29" t="str">
        <f t="shared" si="39"/>
        <v>2dms_pubapi_v1_ListTown1_C</v>
      </c>
      <c r="U1244" s="27" t="str">
        <f>_xlfn.XLOOKUP(表格1[[#This Row],[服務類別(英)]],參考2_服務標準對照!$B:$B,參考2_服務標準對照!$C:$C,"")&amp;""</f>
        <v/>
      </c>
      <c r="V1244" s="29" t="s">
        <v>17</v>
      </c>
      <c r="W1244" s="29" t="s">
        <v>5123</v>
      </c>
      <c r="X1244" s="29" t="s">
        <v>81</v>
      </c>
      <c r="Y1244" s="36" t="s">
        <v>83</v>
      </c>
      <c r="Z1244" s="36" t="s">
        <v>157</v>
      </c>
      <c r="AA1244" s="36" t="s">
        <v>5134</v>
      </c>
      <c r="AB1244" s="36"/>
      <c r="AC1244" s="36"/>
      <c r="AD1244" s="29" t="s">
        <v>119</v>
      </c>
      <c r="AE1244" s="36" t="str">
        <f>_xlfn.XLOOKUP(表格1[[#This Row],[唯一識別碼]],API清冊0707!B:B,API清冊0707!T:T,"")&amp;""</f>
        <v>無下拉選單</v>
      </c>
    </row>
    <row r="1245" spans="1:31" ht="95.25" customHeight="1" x14ac:dyDescent="0.4">
      <c r="A1245" s="29" t="s">
        <v>5259</v>
      </c>
      <c r="B1245" s="29"/>
      <c r="C1245" s="29"/>
      <c r="D1245" s="29" t="s">
        <v>5260</v>
      </c>
      <c r="E1245" s="29" t="s">
        <v>5261</v>
      </c>
      <c r="F1245" s="29" t="s">
        <v>5262</v>
      </c>
      <c r="G1245" s="35"/>
      <c r="H1245" s="35" t="s">
        <v>151</v>
      </c>
      <c r="I1245" s="36" t="s">
        <v>5259</v>
      </c>
      <c r="J1245" s="37"/>
      <c r="K1245" s="38"/>
      <c r="L1245" s="38"/>
      <c r="M1245" s="36" t="s">
        <v>60</v>
      </c>
      <c r="N1245" s="15" t="s">
        <v>152</v>
      </c>
      <c r="O1245" s="36" t="s">
        <v>5122</v>
      </c>
      <c r="P1245" s="36" t="str">
        <f t="shared" si="38"/>
        <v>API_開放_鄉鎮市區清單(戶政)_連江縣</v>
      </c>
      <c r="Q1245" s="36" t="s">
        <v>5262</v>
      </c>
      <c r="R1245" s="29" t="str">
        <f t="shared" si="39"/>
        <v>2dms_pubapi_v1_ListTown1_Z</v>
      </c>
      <c r="U1245" s="27" t="str">
        <f>_xlfn.XLOOKUP(表格1[[#This Row],[服務類別(英)]],參考2_服務標準對照!$B:$B,參考2_服務標準對照!$C:$C,"")&amp;""</f>
        <v/>
      </c>
      <c r="V1245" s="29" t="s">
        <v>17</v>
      </c>
      <c r="W1245" s="29" t="s">
        <v>5123</v>
      </c>
      <c r="X1245" s="29" t="s">
        <v>81</v>
      </c>
      <c r="Y1245" s="36" t="s">
        <v>83</v>
      </c>
      <c r="Z1245" s="36" t="s">
        <v>157</v>
      </c>
      <c r="AA1245" s="36" t="s">
        <v>5134</v>
      </c>
      <c r="AB1245" s="36"/>
      <c r="AC1245" s="36"/>
      <c r="AD1245" s="29" t="s">
        <v>119</v>
      </c>
      <c r="AE1245" s="36" t="str">
        <f>_xlfn.XLOOKUP(表格1[[#This Row],[唯一識別碼]],API清冊0707!B:B,API清冊0707!T:T,"")&amp;""</f>
        <v>無下拉選單</v>
      </c>
    </row>
    <row r="1246" spans="1:31" ht="95.25" customHeight="1" x14ac:dyDescent="0.4">
      <c r="A1246" s="29" t="s">
        <v>5263</v>
      </c>
      <c r="B1246" s="29"/>
      <c r="C1246" s="29"/>
      <c r="D1246" s="29" t="s">
        <v>5264</v>
      </c>
      <c r="E1246" s="29" t="s">
        <v>5265</v>
      </c>
      <c r="F1246" s="29" t="s">
        <v>5266</v>
      </c>
      <c r="G1246" s="35"/>
      <c r="H1246" s="35" t="s">
        <v>151</v>
      </c>
      <c r="I1246" s="36" t="s">
        <v>5263</v>
      </c>
      <c r="J1246" s="37"/>
      <c r="K1246" s="38"/>
      <c r="L1246" s="38"/>
      <c r="M1246" s="36" t="s">
        <v>60</v>
      </c>
      <c r="N1246" s="15" t="s">
        <v>152</v>
      </c>
      <c r="O1246" s="36" t="s">
        <v>5122</v>
      </c>
      <c r="P1246" s="36" t="str">
        <f t="shared" si="38"/>
        <v>API_開放_鄉鎮市區清單(戶政)_雲林縣</v>
      </c>
      <c r="Q1246" s="36" t="s">
        <v>5266</v>
      </c>
      <c r="R1246" s="29" t="str">
        <f t="shared" si="39"/>
        <v>2dms_pubapi_v1_ListTown1_P</v>
      </c>
      <c r="U1246" s="27" t="str">
        <f>_xlfn.XLOOKUP(表格1[[#This Row],[服務類別(英)]],參考2_服務標準對照!$B:$B,參考2_服務標準對照!$C:$C,"")&amp;""</f>
        <v/>
      </c>
      <c r="V1246" s="29" t="s">
        <v>17</v>
      </c>
      <c r="W1246" s="29" t="s">
        <v>5123</v>
      </c>
      <c r="X1246" s="29" t="s">
        <v>81</v>
      </c>
      <c r="Y1246" s="36" t="s">
        <v>83</v>
      </c>
      <c r="Z1246" s="36" t="s">
        <v>157</v>
      </c>
      <c r="AA1246" s="36" t="s">
        <v>5134</v>
      </c>
      <c r="AB1246" s="36"/>
      <c r="AC1246" s="36"/>
      <c r="AD1246" s="29" t="s">
        <v>119</v>
      </c>
      <c r="AE1246" s="36" t="str">
        <f>_xlfn.XLOOKUP(表格1[[#This Row],[唯一識別碼]],API清冊0707!B:B,API清冊0707!T:T,"")&amp;""</f>
        <v>無下拉選單</v>
      </c>
    </row>
    <row r="1247" spans="1:31" ht="95.25" customHeight="1" x14ac:dyDescent="0.4">
      <c r="A1247" s="29" t="s">
        <v>5267</v>
      </c>
      <c r="B1247" s="29"/>
      <c r="C1247" s="29"/>
      <c r="D1247" s="29" t="s">
        <v>5268</v>
      </c>
      <c r="E1247" s="29" t="s">
        <v>5269</v>
      </c>
      <c r="F1247" s="29" t="s">
        <v>5270</v>
      </c>
      <c r="G1247" s="35"/>
      <c r="H1247" s="35" t="s">
        <v>151</v>
      </c>
      <c r="I1247" s="36" t="s">
        <v>5267</v>
      </c>
      <c r="J1247" s="37"/>
      <c r="K1247" s="38"/>
      <c r="L1247" s="38"/>
      <c r="M1247" s="36" t="s">
        <v>60</v>
      </c>
      <c r="N1247" s="15" t="s">
        <v>152</v>
      </c>
      <c r="O1247" s="36" t="s">
        <v>5122</v>
      </c>
      <c r="P1247" s="36" t="str">
        <f t="shared" si="38"/>
        <v>API_開放_鄉鎮市區清單(戶政)_新北市</v>
      </c>
      <c r="Q1247" s="36" t="s">
        <v>5270</v>
      </c>
      <c r="R1247" s="29" t="str">
        <f t="shared" si="39"/>
        <v>2dms_pubapi_v1_ListTown1_F</v>
      </c>
      <c r="U1247" s="27" t="str">
        <f>_xlfn.XLOOKUP(表格1[[#This Row],[服務類別(英)]],參考2_服務標準對照!$B:$B,參考2_服務標準對照!$C:$C,"")&amp;""</f>
        <v/>
      </c>
      <c r="V1247" s="29" t="s">
        <v>17</v>
      </c>
      <c r="W1247" s="29" t="s">
        <v>5123</v>
      </c>
      <c r="X1247" s="29" t="s">
        <v>81</v>
      </c>
      <c r="Y1247" s="36" t="s">
        <v>83</v>
      </c>
      <c r="Z1247" s="36" t="s">
        <v>157</v>
      </c>
      <c r="AA1247" s="36" t="s">
        <v>5134</v>
      </c>
      <c r="AB1247" s="36"/>
      <c r="AC1247" s="36"/>
      <c r="AD1247" s="29" t="s">
        <v>119</v>
      </c>
      <c r="AE1247" s="36" t="str">
        <f>_xlfn.XLOOKUP(表格1[[#This Row],[唯一識別碼]],API清冊0707!B:B,API清冊0707!T:T,"")&amp;""</f>
        <v>無下拉選單</v>
      </c>
    </row>
    <row r="1248" spans="1:31" ht="95.25" customHeight="1" x14ac:dyDescent="0.4">
      <c r="A1248" s="29" t="s">
        <v>5271</v>
      </c>
      <c r="B1248" s="29"/>
      <c r="C1248" s="29"/>
      <c r="D1248" s="29" t="s">
        <v>5272</v>
      </c>
      <c r="E1248" s="29" t="s">
        <v>5273</v>
      </c>
      <c r="F1248" s="29" t="s">
        <v>5274</v>
      </c>
      <c r="G1248" s="35"/>
      <c r="H1248" s="35" t="s">
        <v>151</v>
      </c>
      <c r="I1248" s="36" t="s">
        <v>5271</v>
      </c>
      <c r="J1248" s="37"/>
      <c r="K1248" s="38"/>
      <c r="L1248" s="38"/>
      <c r="M1248" s="36" t="s">
        <v>60</v>
      </c>
      <c r="N1248" s="15" t="s">
        <v>152</v>
      </c>
      <c r="O1248" s="36" t="s">
        <v>5122</v>
      </c>
      <c r="P1248" s="36" t="str">
        <f t="shared" si="38"/>
        <v>API_開放_鄉鎮市區清單(戶政)_新竹市</v>
      </c>
      <c r="Q1248" s="36" t="s">
        <v>5274</v>
      </c>
      <c r="R1248" s="29" t="str">
        <f t="shared" si="39"/>
        <v>2dms_pubapi_v1_ListTown1_O</v>
      </c>
      <c r="U1248" s="27" t="str">
        <f>_xlfn.XLOOKUP(表格1[[#This Row],[服務類別(英)]],參考2_服務標準對照!$B:$B,參考2_服務標準對照!$C:$C,"")&amp;""</f>
        <v/>
      </c>
      <c r="V1248" s="29" t="s">
        <v>17</v>
      </c>
      <c r="W1248" s="29" t="s">
        <v>5123</v>
      </c>
      <c r="X1248" s="29" t="s">
        <v>81</v>
      </c>
      <c r="Y1248" s="36" t="s">
        <v>83</v>
      </c>
      <c r="Z1248" s="36" t="s">
        <v>157</v>
      </c>
      <c r="AA1248" s="36" t="s">
        <v>5134</v>
      </c>
      <c r="AB1248" s="36"/>
      <c r="AC1248" s="36"/>
      <c r="AD1248" s="29" t="s">
        <v>119</v>
      </c>
      <c r="AE1248" s="36" t="str">
        <f>_xlfn.XLOOKUP(表格1[[#This Row],[唯一識別碼]],API清冊0707!B:B,API清冊0707!T:T,"")&amp;""</f>
        <v>無下拉選單</v>
      </c>
    </row>
    <row r="1249" spans="1:31" ht="95.25" customHeight="1" x14ac:dyDescent="0.4">
      <c r="A1249" s="29" t="s">
        <v>5275</v>
      </c>
      <c r="B1249" s="29"/>
      <c r="C1249" s="29"/>
      <c r="D1249" s="29" t="s">
        <v>5276</v>
      </c>
      <c r="E1249" s="29" t="s">
        <v>5277</v>
      </c>
      <c r="F1249" s="29" t="s">
        <v>5278</v>
      </c>
      <c r="G1249" s="35"/>
      <c r="H1249" s="35" t="s">
        <v>151</v>
      </c>
      <c r="I1249" s="36" t="s">
        <v>5275</v>
      </c>
      <c r="J1249" s="37"/>
      <c r="K1249" s="38"/>
      <c r="L1249" s="38"/>
      <c r="M1249" s="36" t="s">
        <v>60</v>
      </c>
      <c r="N1249" s="15" t="s">
        <v>152</v>
      </c>
      <c r="O1249" s="36" t="s">
        <v>5122</v>
      </c>
      <c r="P1249" s="36" t="str">
        <f t="shared" si="38"/>
        <v>API_開放_鄉鎮市區清單(戶政)_新竹縣</v>
      </c>
      <c r="Q1249" s="36" t="s">
        <v>5278</v>
      </c>
      <c r="R1249" s="29" t="str">
        <f t="shared" si="39"/>
        <v>2dms_pubapi_v1_ListTown1_J</v>
      </c>
      <c r="U1249" s="27" t="str">
        <f>_xlfn.XLOOKUP(表格1[[#This Row],[服務類別(英)]],參考2_服務標準對照!$B:$B,參考2_服務標準對照!$C:$C,"")&amp;""</f>
        <v/>
      </c>
      <c r="V1249" s="29" t="s">
        <v>17</v>
      </c>
      <c r="W1249" s="29" t="s">
        <v>5123</v>
      </c>
      <c r="X1249" s="29" t="s">
        <v>81</v>
      </c>
      <c r="Y1249" s="36" t="s">
        <v>83</v>
      </c>
      <c r="Z1249" s="36" t="s">
        <v>157</v>
      </c>
      <c r="AA1249" s="36" t="s">
        <v>5134</v>
      </c>
      <c r="AB1249" s="36"/>
      <c r="AC1249" s="36"/>
      <c r="AD1249" s="29" t="s">
        <v>119</v>
      </c>
      <c r="AE1249" s="36" t="str">
        <f>_xlfn.XLOOKUP(表格1[[#This Row],[唯一識別碼]],API清冊0707!B:B,API清冊0707!T:T,"")&amp;""</f>
        <v>無下拉選單</v>
      </c>
    </row>
    <row r="1250" spans="1:31" ht="95.25" customHeight="1" x14ac:dyDescent="0.4">
      <c r="A1250" s="29" t="s">
        <v>5279</v>
      </c>
      <c r="B1250" s="29"/>
      <c r="C1250" s="29"/>
      <c r="D1250" s="29" t="s">
        <v>5280</v>
      </c>
      <c r="E1250" s="29" t="s">
        <v>5281</v>
      </c>
      <c r="F1250" s="29" t="s">
        <v>5282</v>
      </c>
      <c r="G1250" s="35"/>
      <c r="H1250" s="35" t="s">
        <v>151</v>
      </c>
      <c r="I1250" s="36" t="s">
        <v>5279</v>
      </c>
      <c r="J1250" s="37"/>
      <c r="K1250" s="38"/>
      <c r="L1250" s="38"/>
      <c r="M1250" s="36" t="s">
        <v>60</v>
      </c>
      <c r="N1250" s="15" t="s">
        <v>152</v>
      </c>
      <c r="O1250" s="36" t="s">
        <v>5122</v>
      </c>
      <c r="P1250" s="36" t="str">
        <f t="shared" si="38"/>
        <v>API_開放_鄉鎮市區清單(戶政)_嘉義市</v>
      </c>
      <c r="Q1250" s="36" t="s">
        <v>5282</v>
      </c>
      <c r="R1250" s="29" t="str">
        <f t="shared" si="39"/>
        <v>2dms_pubapi_v1_ListTown1_I</v>
      </c>
      <c r="U1250" s="27" t="str">
        <f>_xlfn.XLOOKUP(表格1[[#This Row],[服務類別(英)]],參考2_服務標準對照!$B:$B,參考2_服務標準對照!$C:$C,"")&amp;""</f>
        <v/>
      </c>
      <c r="V1250" s="29" t="s">
        <v>17</v>
      </c>
      <c r="W1250" s="29" t="s">
        <v>5123</v>
      </c>
      <c r="X1250" s="29" t="s">
        <v>81</v>
      </c>
      <c r="Y1250" s="36" t="s">
        <v>83</v>
      </c>
      <c r="Z1250" s="36" t="s">
        <v>157</v>
      </c>
      <c r="AA1250" s="36" t="s">
        <v>5134</v>
      </c>
      <c r="AB1250" s="36"/>
      <c r="AC1250" s="36"/>
      <c r="AD1250" s="29" t="s">
        <v>119</v>
      </c>
      <c r="AE1250" s="36" t="str">
        <f>_xlfn.XLOOKUP(表格1[[#This Row],[唯一識別碼]],API清冊0707!B:B,API清冊0707!T:T,"")&amp;""</f>
        <v>無下拉選單</v>
      </c>
    </row>
    <row r="1251" spans="1:31" ht="95.25" customHeight="1" x14ac:dyDescent="0.4">
      <c r="A1251" s="29" t="s">
        <v>5283</v>
      </c>
      <c r="B1251" s="29"/>
      <c r="C1251" s="29"/>
      <c r="D1251" s="29" t="s">
        <v>5284</v>
      </c>
      <c r="E1251" s="29" t="s">
        <v>5285</v>
      </c>
      <c r="F1251" s="29" t="s">
        <v>5286</v>
      </c>
      <c r="G1251" s="35"/>
      <c r="H1251" s="35" t="s">
        <v>151</v>
      </c>
      <c r="I1251" s="36" t="s">
        <v>5283</v>
      </c>
      <c r="J1251" s="37"/>
      <c r="K1251" s="38"/>
      <c r="L1251" s="38"/>
      <c r="M1251" s="36" t="s">
        <v>60</v>
      </c>
      <c r="N1251" s="15" t="s">
        <v>152</v>
      </c>
      <c r="O1251" s="36" t="s">
        <v>5122</v>
      </c>
      <c r="P1251" s="36" t="str">
        <f t="shared" si="38"/>
        <v>API_開放_鄉鎮市區清單(戶政)_嘉義縣</v>
      </c>
      <c r="Q1251" s="36" t="s">
        <v>5286</v>
      </c>
      <c r="R1251" s="29" t="str">
        <f t="shared" si="39"/>
        <v>2dms_pubapi_v1_ListTown1_Q</v>
      </c>
      <c r="U1251" s="27" t="str">
        <f>_xlfn.XLOOKUP(表格1[[#This Row],[服務類別(英)]],參考2_服務標準對照!$B:$B,參考2_服務標準對照!$C:$C,"")&amp;""</f>
        <v/>
      </c>
      <c r="V1251" s="29" t="s">
        <v>17</v>
      </c>
      <c r="W1251" s="29" t="s">
        <v>5123</v>
      </c>
      <c r="X1251" s="29" t="s">
        <v>81</v>
      </c>
      <c r="Y1251" s="36" t="s">
        <v>83</v>
      </c>
      <c r="Z1251" s="36" t="s">
        <v>157</v>
      </c>
      <c r="AA1251" s="36" t="s">
        <v>5134</v>
      </c>
      <c r="AB1251" s="36"/>
      <c r="AC1251" s="36"/>
      <c r="AD1251" s="29" t="s">
        <v>119</v>
      </c>
      <c r="AE1251" s="36" t="str">
        <f>_xlfn.XLOOKUP(表格1[[#This Row],[唯一識別碼]],API清冊0707!B:B,API清冊0707!T:T,"")&amp;""</f>
        <v>無下拉選單</v>
      </c>
    </row>
    <row r="1252" spans="1:31" ht="95.25" customHeight="1" x14ac:dyDescent="0.4">
      <c r="A1252" s="29" t="s">
        <v>5287</v>
      </c>
      <c r="B1252" s="29"/>
      <c r="C1252" s="29"/>
      <c r="D1252" s="29" t="s">
        <v>5288</v>
      </c>
      <c r="E1252" s="29" t="s">
        <v>5289</v>
      </c>
      <c r="F1252" s="29" t="s">
        <v>5290</v>
      </c>
      <c r="G1252" s="35"/>
      <c r="H1252" s="35" t="s">
        <v>151</v>
      </c>
      <c r="I1252" s="36" t="s">
        <v>5287</v>
      </c>
      <c r="J1252" s="37"/>
      <c r="K1252" s="38"/>
      <c r="L1252" s="38"/>
      <c r="M1252" s="36" t="s">
        <v>60</v>
      </c>
      <c r="N1252" s="15" t="s">
        <v>152</v>
      </c>
      <c r="O1252" s="36" t="s">
        <v>5122</v>
      </c>
      <c r="P1252" s="36" t="str">
        <f t="shared" si="38"/>
        <v>API_開放_鄉鎮市區清單(戶政)_彰化縣</v>
      </c>
      <c r="Q1252" s="36" t="s">
        <v>5290</v>
      </c>
      <c r="R1252" s="29" t="str">
        <f t="shared" si="39"/>
        <v>2dms_pubapi_v1_ListTown1_N</v>
      </c>
      <c r="U1252" s="27" t="str">
        <f>_xlfn.XLOOKUP(表格1[[#This Row],[服務類別(英)]],參考2_服務標準對照!$B:$B,參考2_服務標準對照!$C:$C,"")&amp;""</f>
        <v/>
      </c>
      <c r="V1252" s="29" t="s">
        <v>17</v>
      </c>
      <c r="W1252" s="29" t="s">
        <v>5123</v>
      </c>
      <c r="X1252" s="29" t="s">
        <v>81</v>
      </c>
      <c r="Y1252" s="36" t="s">
        <v>83</v>
      </c>
      <c r="Z1252" s="36" t="s">
        <v>157</v>
      </c>
      <c r="AA1252" s="36" t="s">
        <v>5134</v>
      </c>
      <c r="AB1252" s="36"/>
      <c r="AC1252" s="36"/>
      <c r="AD1252" s="29" t="s">
        <v>119</v>
      </c>
      <c r="AE1252" s="36" t="str">
        <f>_xlfn.XLOOKUP(表格1[[#This Row],[唯一識別碼]],API清冊0707!B:B,API清冊0707!T:T,"")&amp;""</f>
        <v>無下拉選單</v>
      </c>
    </row>
    <row r="1253" spans="1:31" ht="95.25" customHeight="1" x14ac:dyDescent="0.4">
      <c r="A1253" s="29" t="s">
        <v>5291</v>
      </c>
      <c r="B1253" s="29"/>
      <c r="C1253" s="29"/>
      <c r="D1253" s="29" t="s">
        <v>5292</v>
      </c>
      <c r="E1253" s="29" t="s">
        <v>5293</v>
      </c>
      <c r="F1253" s="29" t="s">
        <v>5294</v>
      </c>
      <c r="G1253" s="35"/>
      <c r="H1253" s="35" t="s">
        <v>151</v>
      </c>
      <c r="I1253" s="36" t="s">
        <v>5291</v>
      </c>
      <c r="J1253" s="37"/>
      <c r="K1253" s="38"/>
      <c r="L1253" s="38"/>
      <c r="M1253" s="36" t="s">
        <v>60</v>
      </c>
      <c r="N1253" s="15" t="s">
        <v>152</v>
      </c>
      <c r="O1253" s="36" t="s">
        <v>5122</v>
      </c>
      <c r="P1253" s="36" t="str">
        <f t="shared" si="38"/>
        <v>API_開放_鄉鎮市區清單(戶政)_臺中市</v>
      </c>
      <c r="Q1253" s="36" t="s">
        <v>5294</v>
      </c>
      <c r="R1253" s="29" t="str">
        <f t="shared" si="39"/>
        <v>2dms_pubapi_v1_ListTown1_B</v>
      </c>
      <c r="U1253" s="27" t="str">
        <f>_xlfn.XLOOKUP(表格1[[#This Row],[服務類別(英)]],參考2_服務標準對照!$B:$B,參考2_服務標準對照!$C:$C,"")&amp;""</f>
        <v/>
      </c>
      <c r="V1253" s="29" t="s">
        <v>17</v>
      </c>
      <c r="W1253" s="29" t="s">
        <v>5123</v>
      </c>
      <c r="X1253" s="29" t="s">
        <v>81</v>
      </c>
      <c r="Y1253" s="36" t="s">
        <v>83</v>
      </c>
      <c r="Z1253" s="36" t="s">
        <v>157</v>
      </c>
      <c r="AA1253" s="36" t="s">
        <v>5134</v>
      </c>
      <c r="AB1253" s="36"/>
      <c r="AC1253" s="36"/>
      <c r="AD1253" s="29" t="s">
        <v>119</v>
      </c>
      <c r="AE1253" s="36" t="str">
        <f>_xlfn.XLOOKUP(表格1[[#This Row],[唯一識別碼]],API清冊0707!B:B,API清冊0707!T:T,"")&amp;""</f>
        <v>無下拉選單</v>
      </c>
    </row>
    <row r="1254" spans="1:31" ht="95.25" customHeight="1" x14ac:dyDescent="0.4">
      <c r="A1254" s="29" t="s">
        <v>5295</v>
      </c>
      <c r="B1254" s="29"/>
      <c r="C1254" s="29"/>
      <c r="D1254" s="29" t="s">
        <v>5296</v>
      </c>
      <c r="E1254" s="29" t="s">
        <v>5297</v>
      </c>
      <c r="F1254" s="29" t="s">
        <v>5298</v>
      </c>
      <c r="G1254" s="35"/>
      <c r="H1254" s="35" t="s">
        <v>151</v>
      </c>
      <c r="I1254" s="36" t="s">
        <v>5295</v>
      </c>
      <c r="J1254" s="37"/>
      <c r="K1254" s="38"/>
      <c r="L1254" s="38"/>
      <c r="M1254" s="36" t="s">
        <v>60</v>
      </c>
      <c r="N1254" s="15" t="s">
        <v>152</v>
      </c>
      <c r="O1254" s="36" t="s">
        <v>5122</v>
      </c>
      <c r="P1254" s="36" t="str">
        <f t="shared" si="38"/>
        <v>API_開放_鄉鎮市區清單(戶政)_臺北市</v>
      </c>
      <c r="Q1254" s="36" t="s">
        <v>5298</v>
      </c>
      <c r="R1254" s="29" t="str">
        <f t="shared" si="39"/>
        <v>2dms_pubapi_v1_ListTown1_A</v>
      </c>
      <c r="U1254" s="27" t="str">
        <f>_xlfn.XLOOKUP(表格1[[#This Row],[服務類別(英)]],參考2_服務標準對照!$B:$B,參考2_服務標準對照!$C:$C,"")&amp;""</f>
        <v/>
      </c>
      <c r="V1254" s="29" t="s">
        <v>17</v>
      </c>
      <c r="W1254" s="29" t="s">
        <v>5123</v>
      </c>
      <c r="X1254" s="29" t="s">
        <v>81</v>
      </c>
      <c r="Y1254" s="36" t="s">
        <v>83</v>
      </c>
      <c r="Z1254" s="36" t="s">
        <v>157</v>
      </c>
      <c r="AA1254" s="36" t="s">
        <v>5134</v>
      </c>
      <c r="AB1254" s="36"/>
      <c r="AC1254" s="36"/>
      <c r="AD1254" s="29" t="s">
        <v>119</v>
      </c>
      <c r="AE1254" s="36" t="str">
        <f>_xlfn.XLOOKUP(表格1[[#This Row],[唯一識別碼]],API清冊0707!B:B,API清冊0707!T:T,"")&amp;""</f>
        <v>無下拉選單</v>
      </c>
    </row>
    <row r="1255" spans="1:31" ht="95.25" customHeight="1" x14ac:dyDescent="0.4">
      <c r="A1255" s="29" t="s">
        <v>5299</v>
      </c>
      <c r="B1255" s="29"/>
      <c r="C1255" s="29"/>
      <c r="D1255" s="29" t="s">
        <v>5300</v>
      </c>
      <c r="E1255" s="29" t="s">
        <v>5301</v>
      </c>
      <c r="F1255" s="29" t="s">
        <v>5302</v>
      </c>
      <c r="G1255" s="35"/>
      <c r="H1255" s="35" t="s">
        <v>151</v>
      </c>
      <c r="I1255" s="36" t="s">
        <v>5299</v>
      </c>
      <c r="J1255" s="37"/>
      <c r="K1255" s="38"/>
      <c r="L1255" s="38"/>
      <c r="M1255" s="36" t="s">
        <v>60</v>
      </c>
      <c r="N1255" s="15" t="s">
        <v>152</v>
      </c>
      <c r="O1255" s="36" t="s">
        <v>5122</v>
      </c>
      <c r="P1255" s="36" t="str">
        <f t="shared" si="38"/>
        <v>API_開放_鄉鎮市區清單(戶政)_臺東縣</v>
      </c>
      <c r="Q1255" s="36" t="s">
        <v>5302</v>
      </c>
      <c r="R1255" s="29" t="str">
        <f t="shared" si="39"/>
        <v>2dms_pubapi_v1_ListTown1_V</v>
      </c>
      <c r="U1255" s="27" t="str">
        <f>_xlfn.XLOOKUP(表格1[[#This Row],[服務類別(英)]],參考2_服務標準對照!$B:$B,參考2_服務標準對照!$C:$C,"")&amp;""</f>
        <v/>
      </c>
      <c r="V1255" s="29" t="s">
        <v>17</v>
      </c>
      <c r="W1255" s="29" t="s">
        <v>5123</v>
      </c>
      <c r="X1255" s="29" t="s">
        <v>81</v>
      </c>
      <c r="Y1255" s="36" t="s">
        <v>83</v>
      </c>
      <c r="Z1255" s="36" t="s">
        <v>157</v>
      </c>
      <c r="AA1255" s="36" t="s">
        <v>5134</v>
      </c>
      <c r="AB1255" s="36"/>
      <c r="AC1255" s="36"/>
      <c r="AD1255" s="29" t="s">
        <v>119</v>
      </c>
      <c r="AE1255" s="36" t="str">
        <f>_xlfn.XLOOKUP(表格1[[#This Row],[唯一識別碼]],API清冊0707!B:B,API清冊0707!T:T,"")&amp;""</f>
        <v>無下拉選單</v>
      </c>
    </row>
    <row r="1256" spans="1:31" ht="95.25" customHeight="1" x14ac:dyDescent="0.4">
      <c r="A1256" s="29" t="s">
        <v>5303</v>
      </c>
      <c r="B1256" s="29"/>
      <c r="C1256" s="29"/>
      <c r="D1256" s="29" t="s">
        <v>5304</v>
      </c>
      <c r="E1256" s="29" t="s">
        <v>5305</v>
      </c>
      <c r="F1256" s="29" t="s">
        <v>5306</v>
      </c>
      <c r="G1256" s="35"/>
      <c r="H1256" s="35" t="s">
        <v>151</v>
      </c>
      <c r="I1256" s="36" t="s">
        <v>5303</v>
      </c>
      <c r="J1256" s="37"/>
      <c r="K1256" s="38"/>
      <c r="L1256" s="38"/>
      <c r="M1256" s="36" t="s">
        <v>60</v>
      </c>
      <c r="N1256" s="15" t="s">
        <v>152</v>
      </c>
      <c r="O1256" s="36" t="s">
        <v>5122</v>
      </c>
      <c r="P1256" s="36" t="str">
        <f t="shared" si="38"/>
        <v>API_開放_鄉鎮市區清單(戶政)_臺南市</v>
      </c>
      <c r="Q1256" s="36" t="s">
        <v>5306</v>
      </c>
      <c r="R1256" s="29" t="str">
        <f t="shared" si="39"/>
        <v>2dms_pubapi_v1_ListTown1_D</v>
      </c>
      <c r="U1256" s="27" t="str">
        <f>_xlfn.XLOOKUP(表格1[[#This Row],[服務類別(英)]],參考2_服務標準對照!$B:$B,參考2_服務標準對照!$C:$C,"")&amp;""</f>
        <v/>
      </c>
      <c r="V1256" s="29" t="s">
        <v>17</v>
      </c>
      <c r="W1256" s="29" t="s">
        <v>5123</v>
      </c>
      <c r="X1256" s="29" t="s">
        <v>81</v>
      </c>
      <c r="Y1256" s="36" t="s">
        <v>83</v>
      </c>
      <c r="Z1256" s="36" t="s">
        <v>157</v>
      </c>
      <c r="AA1256" s="36" t="s">
        <v>5134</v>
      </c>
      <c r="AB1256" s="36"/>
      <c r="AC1256" s="36"/>
      <c r="AD1256" s="29" t="s">
        <v>119</v>
      </c>
      <c r="AE1256" s="36" t="str">
        <f>_xlfn.XLOOKUP(表格1[[#This Row],[唯一識別碼]],API清冊0707!B:B,API清冊0707!T:T,"")&amp;""</f>
        <v>無下拉選單</v>
      </c>
    </row>
    <row r="1257" spans="1:31" ht="95.25" customHeight="1" x14ac:dyDescent="0.4">
      <c r="A1257" s="29" t="s">
        <v>5307</v>
      </c>
      <c r="B1257" s="29"/>
      <c r="C1257" s="29"/>
      <c r="D1257" s="29" t="s">
        <v>5308</v>
      </c>
      <c r="E1257" s="29" t="s">
        <v>5309</v>
      </c>
      <c r="F1257" s="29" t="s">
        <v>5310</v>
      </c>
      <c r="G1257" s="35"/>
      <c r="H1257" s="35" t="s">
        <v>151</v>
      </c>
      <c r="I1257" s="36" t="s">
        <v>5307</v>
      </c>
      <c r="J1257" s="37"/>
      <c r="K1257" s="38"/>
      <c r="L1257" s="38"/>
      <c r="M1257" s="36" t="s">
        <v>60</v>
      </c>
      <c r="N1257" s="15" t="s">
        <v>152</v>
      </c>
      <c r="O1257" s="36" t="s">
        <v>5122</v>
      </c>
      <c r="P1257" s="36" t="str">
        <f t="shared" si="38"/>
        <v>API_開放_鄉鎮市區清單(戶政)_澎湖縣</v>
      </c>
      <c r="Q1257" s="36" t="s">
        <v>5310</v>
      </c>
      <c r="R1257" s="29" t="str">
        <f t="shared" si="39"/>
        <v>2dms_pubapi_v1_ListTown1_X</v>
      </c>
      <c r="U1257" s="27" t="str">
        <f>_xlfn.XLOOKUP(表格1[[#This Row],[服務類別(英)]],參考2_服務標準對照!$B:$B,參考2_服務標準對照!$C:$C,"")&amp;""</f>
        <v/>
      </c>
      <c r="V1257" s="29" t="s">
        <v>17</v>
      </c>
      <c r="W1257" s="29" t="s">
        <v>5123</v>
      </c>
      <c r="X1257" s="29" t="s">
        <v>81</v>
      </c>
      <c r="Y1257" s="36" t="s">
        <v>83</v>
      </c>
      <c r="Z1257" s="36" t="s">
        <v>157</v>
      </c>
      <c r="AA1257" s="36" t="s">
        <v>5134</v>
      </c>
      <c r="AB1257" s="36"/>
      <c r="AC1257" s="36"/>
      <c r="AD1257" s="29" t="s">
        <v>119</v>
      </c>
      <c r="AE1257" s="36" t="str">
        <f>_xlfn.XLOOKUP(表格1[[#This Row],[唯一識別碼]],API清冊0707!B:B,API清冊0707!T:T,"")&amp;""</f>
        <v>無下拉選單</v>
      </c>
    </row>
    <row r="1258" spans="1:31" ht="111" customHeight="1" x14ac:dyDescent="0.4">
      <c r="A1258" s="29" t="s">
        <v>5311</v>
      </c>
      <c r="B1258" s="29" t="s">
        <v>31</v>
      </c>
      <c r="C1258" s="29" t="s">
        <v>5312</v>
      </c>
      <c r="D1258" s="29" t="s">
        <v>5313</v>
      </c>
      <c r="E1258" s="29" t="s">
        <v>5314</v>
      </c>
      <c r="F1258" s="29" t="s">
        <v>5315</v>
      </c>
      <c r="G1258" s="35" t="s">
        <v>31</v>
      </c>
      <c r="H1258" s="35" t="s">
        <v>151</v>
      </c>
      <c r="I1258" s="36" t="s">
        <v>5316</v>
      </c>
      <c r="J1258" s="37"/>
      <c r="K1258" s="38"/>
      <c r="L1258" s="38"/>
      <c r="M1258" s="36" t="s">
        <v>60</v>
      </c>
      <c r="N1258" s="15" t="s">
        <v>152</v>
      </c>
      <c r="O1258" s="36" t="s">
        <v>5122</v>
      </c>
      <c r="P1258" s="36" t="str">
        <f t="shared" si="38"/>
        <v>API_開放_地段清單_宜蘭縣</v>
      </c>
      <c r="Q1258" s="36" t="s">
        <v>5315</v>
      </c>
      <c r="R1258" s="29" t="str">
        <f t="shared" si="39"/>
        <v>2dms_pubapi_v1_ListLandSection_G</v>
      </c>
      <c r="U1258" s="27" t="str">
        <f>_xlfn.XLOOKUP(表格1[[#This Row],[服務類別(英)]],參考2_服務標準對照!$B:$B,參考2_服務標準對照!$C:$C,"")&amp;""</f>
        <v/>
      </c>
      <c r="V1258" s="29" t="s">
        <v>17</v>
      </c>
      <c r="W1258" s="29" t="s">
        <v>5123</v>
      </c>
      <c r="X1258" s="29" t="s">
        <v>81</v>
      </c>
      <c r="Y1258" s="36" t="s">
        <v>83</v>
      </c>
      <c r="Z1258" s="36" t="s">
        <v>157</v>
      </c>
      <c r="AA1258" s="36" t="s">
        <v>5317</v>
      </c>
      <c r="AB1258" s="36"/>
      <c r="AC1258" s="36"/>
      <c r="AD1258" s="29" t="s">
        <v>96</v>
      </c>
      <c r="AE1258" s="36" t="str">
        <f>_xlfn.XLOOKUP(表格1[[#This Row],[唯一識別碼]],API清冊0707!B:B,API清冊0707!T:T,"")&amp;""</f>
        <v>有下拉選單</v>
      </c>
    </row>
    <row r="1259" spans="1:31" ht="111" customHeight="1" x14ac:dyDescent="0.4">
      <c r="A1259" s="29" t="s">
        <v>5318</v>
      </c>
      <c r="B1259" s="29" t="s">
        <v>31</v>
      </c>
      <c r="C1259" s="29" t="s">
        <v>5312</v>
      </c>
      <c r="D1259" s="29" t="s">
        <v>5319</v>
      </c>
      <c r="E1259" s="29" t="s">
        <v>5320</v>
      </c>
      <c r="F1259" s="29" t="s">
        <v>5321</v>
      </c>
      <c r="G1259" s="35" t="s">
        <v>31</v>
      </c>
      <c r="H1259" s="35" t="s">
        <v>151</v>
      </c>
      <c r="I1259" s="36" t="s">
        <v>5322</v>
      </c>
      <c r="J1259" s="37"/>
      <c r="K1259" s="38"/>
      <c r="L1259" s="38"/>
      <c r="M1259" s="36" t="s">
        <v>60</v>
      </c>
      <c r="N1259" s="15" t="s">
        <v>152</v>
      </c>
      <c r="O1259" s="36" t="s">
        <v>5122</v>
      </c>
      <c r="P1259" s="36" t="str">
        <f t="shared" si="38"/>
        <v>API_開放_地段清單_花蓮縣</v>
      </c>
      <c r="Q1259" s="36" t="s">
        <v>5321</v>
      </c>
      <c r="R1259" s="29" t="str">
        <f t="shared" si="39"/>
        <v>2dms_pubapi_v1_ListLandSection_U</v>
      </c>
      <c r="U1259" s="27" t="str">
        <f>_xlfn.XLOOKUP(表格1[[#This Row],[服務類別(英)]],參考2_服務標準對照!$B:$B,參考2_服務標準對照!$C:$C,"")&amp;""</f>
        <v/>
      </c>
      <c r="V1259" s="29" t="s">
        <v>17</v>
      </c>
      <c r="W1259" s="29" t="s">
        <v>5123</v>
      </c>
      <c r="X1259" s="29" t="s">
        <v>81</v>
      </c>
      <c r="Y1259" s="36" t="s">
        <v>83</v>
      </c>
      <c r="Z1259" s="36" t="s">
        <v>157</v>
      </c>
      <c r="AA1259" s="36" t="s">
        <v>5317</v>
      </c>
      <c r="AB1259" s="36"/>
      <c r="AC1259" s="36"/>
      <c r="AD1259" s="29" t="s">
        <v>96</v>
      </c>
      <c r="AE1259" s="36" t="str">
        <f>_xlfn.XLOOKUP(表格1[[#This Row],[唯一識別碼]],API清冊0707!B:B,API清冊0707!T:T,"")&amp;""</f>
        <v>有下拉選單</v>
      </c>
    </row>
    <row r="1260" spans="1:31" ht="111" customHeight="1" x14ac:dyDescent="0.4">
      <c r="A1260" s="29" t="s">
        <v>5323</v>
      </c>
      <c r="B1260" s="29" t="s">
        <v>31</v>
      </c>
      <c r="C1260" s="29" t="s">
        <v>5312</v>
      </c>
      <c r="D1260" s="29" t="s">
        <v>5324</v>
      </c>
      <c r="E1260" s="29" t="s">
        <v>5325</v>
      </c>
      <c r="F1260" s="29" t="s">
        <v>5326</v>
      </c>
      <c r="G1260" s="35" t="s">
        <v>31</v>
      </c>
      <c r="H1260" s="35" t="s">
        <v>151</v>
      </c>
      <c r="I1260" s="36" t="s">
        <v>5327</v>
      </c>
      <c r="J1260" s="37"/>
      <c r="K1260" s="38"/>
      <c r="L1260" s="38"/>
      <c r="M1260" s="36" t="s">
        <v>60</v>
      </c>
      <c r="N1260" s="15" t="s">
        <v>152</v>
      </c>
      <c r="O1260" s="36" t="s">
        <v>5122</v>
      </c>
      <c r="P1260" s="36" t="str">
        <f t="shared" si="38"/>
        <v>API_開放_地段清單_金門縣</v>
      </c>
      <c r="Q1260" s="36" t="s">
        <v>5326</v>
      </c>
      <c r="R1260" s="29" t="str">
        <f t="shared" si="39"/>
        <v>2dms_pubapi_v1_ListLandSection_W</v>
      </c>
      <c r="U1260" s="27" t="str">
        <f>_xlfn.XLOOKUP(表格1[[#This Row],[服務類別(英)]],參考2_服務標準對照!$B:$B,參考2_服務標準對照!$C:$C,"")&amp;""</f>
        <v/>
      </c>
      <c r="V1260" s="29" t="s">
        <v>17</v>
      </c>
      <c r="W1260" s="29" t="s">
        <v>5123</v>
      </c>
      <c r="X1260" s="29" t="s">
        <v>81</v>
      </c>
      <c r="Y1260" s="36" t="s">
        <v>83</v>
      </c>
      <c r="Z1260" s="36" t="s">
        <v>157</v>
      </c>
      <c r="AA1260" s="36" t="s">
        <v>5317</v>
      </c>
      <c r="AB1260" s="36"/>
      <c r="AC1260" s="36"/>
      <c r="AD1260" s="29" t="s">
        <v>96</v>
      </c>
      <c r="AE1260" s="36" t="str">
        <f>_xlfn.XLOOKUP(表格1[[#This Row],[唯一識別碼]],API清冊0707!B:B,API清冊0707!T:T,"")&amp;""</f>
        <v>有下拉選單</v>
      </c>
    </row>
    <row r="1261" spans="1:31" ht="111" customHeight="1" x14ac:dyDescent="0.4">
      <c r="A1261" s="29" t="s">
        <v>5328</v>
      </c>
      <c r="B1261" s="29" t="s">
        <v>31</v>
      </c>
      <c r="C1261" s="29" t="s">
        <v>5312</v>
      </c>
      <c r="D1261" s="29" t="s">
        <v>5329</v>
      </c>
      <c r="E1261" s="29" t="s">
        <v>5330</v>
      </c>
      <c r="F1261" s="29" t="s">
        <v>5331</v>
      </c>
      <c r="G1261" s="35" t="s">
        <v>31</v>
      </c>
      <c r="H1261" s="35" t="s">
        <v>151</v>
      </c>
      <c r="I1261" s="36" t="s">
        <v>5332</v>
      </c>
      <c r="J1261" s="37"/>
      <c r="K1261" s="38"/>
      <c r="L1261" s="38"/>
      <c r="M1261" s="36" t="s">
        <v>60</v>
      </c>
      <c r="N1261" s="15" t="s">
        <v>152</v>
      </c>
      <c r="O1261" s="36" t="s">
        <v>5122</v>
      </c>
      <c r="P1261" s="36" t="str">
        <f t="shared" si="38"/>
        <v>API_開放_地段清單_南投縣</v>
      </c>
      <c r="Q1261" s="36" t="s">
        <v>5331</v>
      </c>
      <c r="R1261" s="29" t="str">
        <f t="shared" si="39"/>
        <v>2dms_pubapi_v1_ListLandSection_M</v>
      </c>
      <c r="U1261" s="27" t="str">
        <f>_xlfn.XLOOKUP(表格1[[#This Row],[服務類別(英)]],參考2_服務標準對照!$B:$B,參考2_服務標準對照!$C:$C,"")&amp;""</f>
        <v/>
      </c>
      <c r="V1261" s="29" t="s">
        <v>17</v>
      </c>
      <c r="W1261" s="29" t="s">
        <v>5123</v>
      </c>
      <c r="X1261" s="29" t="s">
        <v>81</v>
      </c>
      <c r="Y1261" s="36" t="s">
        <v>83</v>
      </c>
      <c r="Z1261" s="36" t="s">
        <v>157</v>
      </c>
      <c r="AA1261" s="36" t="s">
        <v>5317</v>
      </c>
      <c r="AB1261" s="36"/>
      <c r="AC1261" s="36"/>
      <c r="AD1261" s="29" t="s">
        <v>96</v>
      </c>
      <c r="AE1261" s="36" t="str">
        <f>_xlfn.XLOOKUP(表格1[[#This Row],[唯一識別碼]],API清冊0707!B:B,API清冊0707!T:T,"")&amp;""</f>
        <v>有下拉選單</v>
      </c>
    </row>
    <row r="1262" spans="1:31" ht="111" customHeight="1" x14ac:dyDescent="0.4">
      <c r="A1262" s="29" t="s">
        <v>5333</v>
      </c>
      <c r="B1262" s="29" t="s">
        <v>31</v>
      </c>
      <c r="C1262" s="29" t="s">
        <v>5312</v>
      </c>
      <c r="D1262" s="29" t="s">
        <v>5334</v>
      </c>
      <c r="E1262" s="29" t="s">
        <v>5335</v>
      </c>
      <c r="F1262" s="29" t="s">
        <v>5336</v>
      </c>
      <c r="G1262" s="35" t="s">
        <v>31</v>
      </c>
      <c r="H1262" s="35" t="s">
        <v>151</v>
      </c>
      <c r="I1262" s="36" t="s">
        <v>5337</v>
      </c>
      <c r="J1262" s="37"/>
      <c r="K1262" s="38"/>
      <c r="L1262" s="38"/>
      <c r="M1262" s="36" t="s">
        <v>60</v>
      </c>
      <c r="N1262" s="15" t="s">
        <v>152</v>
      </c>
      <c r="O1262" s="36" t="s">
        <v>5122</v>
      </c>
      <c r="P1262" s="36" t="str">
        <f t="shared" si="38"/>
        <v>API_開放_地段清單_屏東縣</v>
      </c>
      <c r="Q1262" s="36" t="s">
        <v>5336</v>
      </c>
      <c r="R1262" s="29" t="str">
        <f t="shared" si="39"/>
        <v>2dms_pubapi_v1_ListLandSection_T</v>
      </c>
      <c r="U1262" s="27" t="str">
        <f>_xlfn.XLOOKUP(表格1[[#This Row],[服務類別(英)]],參考2_服務標準對照!$B:$B,參考2_服務標準對照!$C:$C,"")&amp;""</f>
        <v/>
      </c>
      <c r="V1262" s="29" t="s">
        <v>17</v>
      </c>
      <c r="W1262" s="29" t="s">
        <v>5123</v>
      </c>
      <c r="X1262" s="29" t="s">
        <v>81</v>
      </c>
      <c r="Y1262" s="36" t="s">
        <v>83</v>
      </c>
      <c r="Z1262" s="36" t="s">
        <v>157</v>
      </c>
      <c r="AA1262" s="36" t="s">
        <v>5317</v>
      </c>
      <c r="AB1262" s="36"/>
      <c r="AC1262" s="36"/>
      <c r="AD1262" s="29" t="s">
        <v>96</v>
      </c>
      <c r="AE1262" s="36" t="str">
        <f>_xlfn.XLOOKUP(表格1[[#This Row],[唯一識別碼]],API清冊0707!B:B,API清冊0707!T:T,"")&amp;""</f>
        <v>有下拉選單</v>
      </c>
    </row>
    <row r="1263" spans="1:31" ht="111" customHeight="1" x14ac:dyDescent="0.4">
      <c r="A1263" s="29" t="s">
        <v>5338</v>
      </c>
      <c r="B1263" s="29" t="s">
        <v>31</v>
      </c>
      <c r="C1263" s="29" t="s">
        <v>5312</v>
      </c>
      <c r="D1263" s="29" t="s">
        <v>5339</v>
      </c>
      <c r="E1263" s="29" t="s">
        <v>5340</v>
      </c>
      <c r="F1263" s="29" t="s">
        <v>5341</v>
      </c>
      <c r="G1263" s="35" t="s">
        <v>31</v>
      </c>
      <c r="H1263" s="35" t="s">
        <v>151</v>
      </c>
      <c r="I1263" s="36" t="s">
        <v>5342</v>
      </c>
      <c r="J1263" s="37"/>
      <c r="K1263" s="38"/>
      <c r="L1263" s="38"/>
      <c r="M1263" s="36" t="s">
        <v>60</v>
      </c>
      <c r="N1263" s="15" t="s">
        <v>152</v>
      </c>
      <c r="O1263" s="36" t="s">
        <v>5122</v>
      </c>
      <c r="P1263" s="36" t="str">
        <f t="shared" si="38"/>
        <v>API_開放_地段清單_苗栗縣</v>
      </c>
      <c r="Q1263" s="36" t="s">
        <v>5341</v>
      </c>
      <c r="R1263" s="29" t="str">
        <f t="shared" si="39"/>
        <v>2dms_pubapi_v1_ListLandSection_K</v>
      </c>
      <c r="U1263" s="27" t="str">
        <f>_xlfn.XLOOKUP(表格1[[#This Row],[服務類別(英)]],參考2_服務標準對照!$B:$B,參考2_服務標準對照!$C:$C,"")&amp;""</f>
        <v/>
      </c>
      <c r="V1263" s="29" t="s">
        <v>17</v>
      </c>
      <c r="W1263" s="29" t="s">
        <v>5123</v>
      </c>
      <c r="X1263" s="29" t="s">
        <v>81</v>
      </c>
      <c r="Y1263" s="36" t="s">
        <v>83</v>
      </c>
      <c r="Z1263" s="36" t="s">
        <v>157</v>
      </c>
      <c r="AA1263" s="36" t="s">
        <v>5317</v>
      </c>
      <c r="AB1263" s="36"/>
      <c r="AC1263" s="36"/>
      <c r="AD1263" s="29" t="s">
        <v>96</v>
      </c>
      <c r="AE1263" s="36" t="str">
        <f>_xlfn.XLOOKUP(表格1[[#This Row],[唯一識別碼]],API清冊0707!B:B,API清冊0707!T:T,"")&amp;""</f>
        <v>有下拉選單</v>
      </c>
    </row>
    <row r="1264" spans="1:31" ht="111" customHeight="1" x14ac:dyDescent="0.4">
      <c r="A1264" s="29" t="s">
        <v>5343</v>
      </c>
      <c r="B1264" s="29" t="s">
        <v>31</v>
      </c>
      <c r="C1264" s="29" t="s">
        <v>5312</v>
      </c>
      <c r="D1264" s="29" t="s">
        <v>5344</v>
      </c>
      <c r="E1264" s="29" t="s">
        <v>5345</v>
      </c>
      <c r="F1264" s="29" t="s">
        <v>5346</v>
      </c>
      <c r="G1264" s="35" t="s">
        <v>31</v>
      </c>
      <c r="H1264" s="35" t="s">
        <v>151</v>
      </c>
      <c r="I1264" s="36" t="s">
        <v>5347</v>
      </c>
      <c r="J1264" s="37"/>
      <c r="K1264" s="38"/>
      <c r="L1264" s="38"/>
      <c r="M1264" s="36" t="s">
        <v>60</v>
      </c>
      <c r="N1264" s="15" t="s">
        <v>152</v>
      </c>
      <c r="O1264" s="36" t="s">
        <v>5122</v>
      </c>
      <c r="P1264" s="36" t="str">
        <f t="shared" si="38"/>
        <v>API_開放_地段清單_桃園市</v>
      </c>
      <c r="Q1264" s="36" t="s">
        <v>5346</v>
      </c>
      <c r="R1264" s="29" t="str">
        <f t="shared" si="39"/>
        <v>2dms_pubapi_v1_ListLandSection_H</v>
      </c>
      <c r="U1264" s="27" t="str">
        <f>_xlfn.XLOOKUP(表格1[[#This Row],[服務類別(英)]],參考2_服務標準對照!$B:$B,參考2_服務標準對照!$C:$C,"")&amp;""</f>
        <v/>
      </c>
      <c r="V1264" s="29" t="s">
        <v>17</v>
      </c>
      <c r="W1264" s="29" t="s">
        <v>5123</v>
      </c>
      <c r="X1264" s="29" t="s">
        <v>81</v>
      </c>
      <c r="Y1264" s="36" t="s">
        <v>83</v>
      </c>
      <c r="Z1264" s="36" t="s">
        <v>157</v>
      </c>
      <c r="AA1264" s="36" t="s">
        <v>5317</v>
      </c>
      <c r="AB1264" s="36"/>
      <c r="AC1264" s="36"/>
      <c r="AD1264" s="29" t="s">
        <v>96</v>
      </c>
      <c r="AE1264" s="36" t="str">
        <f>_xlfn.XLOOKUP(表格1[[#This Row],[唯一識別碼]],API清冊0707!B:B,API清冊0707!T:T,"")&amp;""</f>
        <v>有下拉選單</v>
      </c>
    </row>
    <row r="1265" spans="1:31" ht="111" customHeight="1" x14ac:dyDescent="0.4">
      <c r="A1265" s="29" t="s">
        <v>5348</v>
      </c>
      <c r="B1265" s="29" t="s">
        <v>31</v>
      </c>
      <c r="C1265" s="29" t="s">
        <v>5312</v>
      </c>
      <c r="D1265" s="29" t="s">
        <v>5349</v>
      </c>
      <c r="E1265" s="29" t="s">
        <v>5350</v>
      </c>
      <c r="F1265" s="29" t="s">
        <v>5351</v>
      </c>
      <c r="G1265" s="35" t="s">
        <v>31</v>
      </c>
      <c r="H1265" s="35" t="s">
        <v>151</v>
      </c>
      <c r="I1265" s="36" t="s">
        <v>5352</v>
      </c>
      <c r="J1265" s="37"/>
      <c r="K1265" s="38"/>
      <c r="L1265" s="38"/>
      <c r="M1265" s="36" t="s">
        <v>60</v>
      </c>
      <c r="N1265" s="15" t="s">
        <v>152</v>
      </c>
      <c r="O1265" s="36" t="s">
        <v>5122</v>
      </c>
      <c r="P1265" s="36" t="str">
        <f t="shared" si="38"/>
        <v>API_開放_地段清單_高雄市</v>
      </c>
      <c r="Q1265" s="36" t="s">
        <v>5351</v>
      </c>
      <c r="R1265" s="29" t="str">
        <f t="shared" si="39"/>
        <v>2dms_pubapi_v1_ListLandSection_E</v>
      </c>
      <c r="U1265" s="27" t="str">
        <f>_xlfn.XLOOKUP(表格1[[#This Row],[服務類別(英)]],參考2_服務標準對照!$B:$B,參考2_服務標準對照!$C:$C,"")&amp;""</f>
        <v/>
      </c>
      <c r="V1265" s="29" t="s">
        <v>17</v>
      </c>
      <c r="W1265" s="29" t="s">
        <v>5123</v>
      </c>
      <c r="X1265" s="29" t="s">
        <v>81</v>
      </c>
      <c r="Y1265" s="36" t="s">
        <v>83</v>
      </c>
      <c r="Z1265" s="36" t="s">
        <v>157</v>
      </c>
      <c r="AA1265" s="36" t="s">
        <v>5317</v>
      </c>
      <c r="AB1265" s="36"/>
      <c r="AC1265" s="36"/>
      <c r="AD1265" s="29" t="s">
        <v>96</v>
      </c>
      <c r="AE1265" s="36" t="str">
        <f>_xlfn.XLOOKUP(表格1[[#This Row],[唯一識別碼]],API清冊0707!B:B,API清冊0707!T:T,"")&amp;""</f>
        <v>有下拉選單</v>
      </c>
    </row>
    <row r="1266" spans="1:31" ht="111" customHeight="1" x14ac:dyDescent="0.4">
      <c r="A1266" s="29" t="s">
        <v>5353</v>
      </c>
      <c r="B1266" s="29" t="s">
        <v>31</v>
      </c>
      <c r="C1266" s="29" t="s">
        <v>5312</v>
      </c>
      <c r="D1266" s="29" t="s">
        <v>5354</v>
      </c>
      <c r="E1266" s="29" t="s">
        <v>5355</v>
      </c>
      <c r="F1266" s="29" t="s">
        <v>5356</v>
      </c>
      <c r="G1266" s="35" t="s">
        <v>31</v>
      </c>
      <c r="H1266" s="35" t="s">
        <v>151</v>
      </c>
      <c r="I1266" s="36" t="s">
        <v>5357</v>
      </c>
      <c r="J1266" s="37"/>
      <c r="K1266" s="38"/>
      <c r="L1266" s="38"/>
      <c r="M1266" s="36" t="s">
        <v>60</v>
      </c>
      <c r="N1266" s="15" t="s">
        <v>152</v>
      </c>
      <c r="O1266" s="36" t="s">
        <v>5122</v>
      </c>
      <c r="P1266" s="36" t="str">
        <f t="shared" si="38"/>
        <v>API_開放_地段清單_基隆市</v>
      </c>
      <c r="Q1266" s="36" t="s">
        <v>5356</v>
      </c>
      <c r="R1266" s="29" t="str">
        <f t="shared" si="39"/>
        <v>2dms_pubapi_v1_ListLandSection_C</v>
      </c>
      <c r="U1266" s="27" t="str">
        <f>_xlfn.XLOOKUP(表格1[[#This Row],[服務類別(英)]],參考2_服務標準對照!$B:$B,參考2_服務標準對照!$C:$C,"")&amp;""</f>
        <v/>
      </c>
      <c r="V1266" s="29" t="s">
        <v>17</v>
      </c>
      <c r="W1266" s="29" t="s">
        <v>5123</v>
      </c>
      <c r="X1266" s="29" t="s">
        <v>81</v>
      </c>
      <c r="Y1266" s="36" t="s">
        <v>83</v>
      </c>
      <c r="Z1266" s="36" t="s">
        <v>157</v>
      </c>
      <c r="AA1266" s="36" t="s">
        <v>5317</v>
      </c>
      <c r="AB1266" s="36"/>
      <c r="AC1266" s="36"/>
      <c r="AD1266" s="29" t="s">
        <v>96</v>
      </c>
      <c r="AE1266" s="36" t="str">
        <f>_xlfn.XLOOKUP(表格1[[#This Row],[唯一識別碼]],API清冊0707!B:B,API清冊0707!T:T,"")&amp;""</f>
        <v>有下拉選單</v>
      </c>
    </row>
    <row r="1267" spans="1:31" ht="111" customHeight="1" x14ac:dyDescent="0.4">
      <c r="A1267" s="29" t="s">
        <v>5358</v>
      </c>
      <c r="B1267" s="29" t="s">
        <v>31</v>
      </c>
      <c r="C1267" s="29" t="s">
        <v>5312</v>
      </c>
      <c r="D1267" s="29" t="s">
        <v>5359</v>
      </c>
      <c r="E1267" s="29" t="s">
        <v>5360</v>
      </c>
      <c r="F1267" s="29" t="s">
        <v>5361</v>
      </c>
      <c r="G1267" s="35" t="s">
        <v>31</v>
      </c>
      <c r="H1267" s="35" t="s">
        <v>151</v>
      </c>
      <c r="I1267" s="36" t="s">
        <v>5362</v>
      </c>
      <c r="J1267" s="37"/>
      <c r="K1267" s="38"/>
      <c r="L1267" s="38"/>
      <c r="M1267" s="36" t="s">
        <v>60</v>
      </c>
      <c r="N1267" s="15" t="s">
        <v>152</v>
      </c>
      <c r="O1267" s="36" t="s">
        <v>5122</v>
      </c>
      <c r="P1267" s="36" t="str">
        <f t="shared" si="38"/>
        <v>API_開放_地段清單_連江縣</v>
      </c>
      <c r="Q1267" s="36" t="s">
        <v>5361</v>
      </c>
      <c r="R1267" s="29" t="str">
        <f t="shared" si="39"/>
        <v>2dms_pubapi_v1_ListLandSection_Z</v>
      </c>
      <c r="U1267" s="27" t="str">
        <f>_xlfn.XLOOKUP(表格1[[#This Row],[服務類別(英)]],參考2_服務標準對照!$B:$B,參考2_服務標準對照!$C:$C,"")&amp;""</f>
        <v/>
      </c>
      <c r="V1267" s="29" t="s">
        <v>17</v>
      </c>
      <c r="W1267" s="29" t="s">
        <v>5123</v>
      </c>
      <c r="X1267" s="29" t="s">
        <v>81</v>
      </c>
      <c r="Y1267" s="36" t="s">
        <v>83</v>
      </c>
      <c r="Z1267" s="36" t="s">
        <v>157</v>
      </c>
      <c r="AA1267" s="36" t="s">
        <v>5317</v>
      </c>
      <c r="AB1267" s="36"/>
      <c r="AC1267" s="36"/>
      <c r="AD1267" s="29" t="s">
        <v>96</v>
      </c>
      <c r="AE1267" s="36" t="str">
        <f>_xlfn.XLOOKUP(表格1[[#This Row],[唯一識別碼]],API清冊0707!B:B,API清冊0707!T:T,"")&amp;""</f>
        <v>有下拉選單</v>
      </c>
    </row>
    <row r="1268" spans="1:31" ht="111" customHeight="1" x14ac:dyDescent="0.4">
      <c r="A1268" s="29" t="s">
        <v>5363</v>
      </c>
      <c r="B1268" s="29" t="s">
        <v>31</v>
      </c>
      <c r="C1268" s="29" t="s">
        <v>5312</v>
      </c>
      <c r="D1268" s="29" t="s">
        <v>5364</v>
      </c>
      <c r="E1268" s="29" t="s">
        <v>5365</v>
      </c>
      <c r="F1268" s="29" t="s">
        <v>5366</v>
      </c>
      <c r="G1268" s="35" t="s">
        <v>31</v>
      </c>
      <c r="H1268" s="35" t="s">
        <v>151</v>
      </c>
      <c r="I1268" s="36" t="s">
        <v>5367</v>
      </c>
      <c r="J1268" s="37"/>
      <c r="K1268" s="38"/>
      <c r="L1268" s="38"/>
      <c r="M1268" s="36" t="s">
        <v>60</v>
      </c>
      <c r="N1268" s="15" t="s">
        <v>152</v>
      </c>
      <c r="O1268" s="36" t="s">
        <v>5122</v>
      </c>
      <c r="P1268" s="36" t="str">
        <f t="shared" si="38"/>
        <v>API_開放_地段清單_雲林縣</v>
      </c>
      <c r="Q1268" s="36" t="s">
        <v>5366</v>
      </c>
      <c r="R1268" s="29" t="str">
        <f t="shared" si="39"/>
        <v>2dms_pubapi_v1_ListLandSection_P</v>
      </c>
      <c r="U1268" s="27" t="str">
        <f>_xlfn.XLOOKUP(表格1[[#This Row],[服務類別(英)]],參考2_服務標準對照!$B:$B,參考2_服務標準對照!$C:$C,"")&amp;""</f>
        <v/>
      </c>
      <c r="V1268" s="29" t="s">
        <v>17</v>
      </c>
      <c r="W1268" s="29" t="s">
        <v>5123</v>
      </c>
      <c r="X1268" s="29" t="s">
        <v>81</v>
      </c>
      <c r="Y1268" s="36" t="s">
        <v>83</v>
      </c>
      <c r="Z1268" s="36" t="s">
        <v>157</v>
      </c>
      <c r="AA1268" s="36" t="s">
        <v>5317</v>
      </c>
      <c r="AB1268" s="36"/>
      <c r="AC1268" s="36"/>
      <c r="AD1268" s="29" t="s">
        <v>96</v>
      </c>
      <c r="AE1268" s="36" t="str">
        <f>_xlfn.XLOOKUP(表格1[[#This Row],[唯一識別碼]],API清冊0707!B:B,API清冊0707!T:T,"")&amp;""</f>
        <v>有下拉選單</v>
      </c>
    </row>
    <row r="1269" spans="1:31" ht="111" customHeight="1" x14ac:dyDescent="0.4">
      <c r="A1269" s="29" t="s">
        <v>5368</v>
      </c>
      <c r="B1269" s="29" t="s">
        <v>31</v>
      </c>
      <c r="C1269" s="29" t="s">
        <v>5312</v>
      </c>
      <c r="D1269" s="29" t="s">
        <v>5369</v>
      </c>
      <c r="E1269" s="29" t="s">
        <v>5370</v>
      </c>
      <c r="F1269" s="29" t="s">
        <v>5371</v>
      </c>
      <c r="G1269" s="35" t="s">
        <v>31</v>
      </c>
      <c r="H1269" s="35" t="s">
        <v>151</v>
      </c>
      <c r="I1269" s="36" t="s">
        <v>5372</v>
      </c>
      <c r="J1269" s="37"/>
      <c r="K1269" s="38"/>
      <c r="L1269" s="38"/>
      <c r="M1269" s="36" t="s">
        <v>60</v>
      </c>
      <c r="N1269" s="15" t="s">
        <v>152</v>
      </c>
      <c r="O1269" s="36" t="s">
        <v>5122</v>
      </c>
      <c r="P1269" s="36" t="str">
        <f t="shared" si="38"/>
        <v>API_開放_地段清單_新北市</v>
      </c>
      <c r="Q1269" s="36" t="s">
        <v>5371</v>
      </c>
      <c r="R1269" s="29" t="str">
        <f t="shared" si="39"/>
        <v>2dms_pubapi_v1_ListLandSection_F</v>
      </c>
      <c r="U1269" s="27" t="str">
        <f>_xlfn.XLOOKUP(表格1[[#This Row],[服務類別(英)]],參考2_服務標準對照!$B:$B,參考2_服務標準對照!$C:$C,"")&amp;""</f>
        <v/>
      </c>
      <c r="V1269" s="29" t="s">
        <v>17</v>
      </c>
      <c r="W1269" s="29" t="s">
        <v>5123</v>
      </c>
      <c r="X1269" s="29" t="s">
        <v>81</v>
      </c>
      <c r="Y1269" s="36" t="s">
        <v>83</v>
      </c>
      <c r="Z1269" s="36" t="s">
        <v>157</v>
      </c>
      <c r="AA1269" s="36" t="s">
        <v>5317</v>
      </c>
      <c r="AB1269" s="36"/>
      <c r="AC1269" s="36"/>
      <c r="AD1269" s="29" t="s">
        <v>96</v>
      </c>
      <c r="AE1269" s="36" t="str">
        <f>_xlfn.XLOOKUP(表格1[[#This Row],[唯一識別碼]],API清冊0707!B:B,API清冊0707!T:T,"")&amp;""</f>
        <v>有下拉選單</v>
      </c>
    </row>
    <row r="1270" spans="1:31" ht="111" customHeight="1" x14ac:dyDescent="0.4">
      <c r="A1270" s="29" t="s">
        <v>5373</v>
      </c>
      <c r="B1270" s="29" t="s">
        <v>31</v>
      </c>
      <c r="C1270" s="29" t="s">
        <v>5312</v>
      </c>
      <c r="D1270" s="29" t="s">
        <v>5374</v>
      </c>
      <c r="E1270" s="29" t="s">
        <v>5375</v>
      </c>
      <c r="F1270" s="29" t="s">
        <v>5376</v>
      </c>
      <c r="G1270" s="35" t="s">
        <v>31</v>
      </c>
      <c r="H1270" s="35" t="s">
        <v>151</v>
      </c>
      <c r="I1270" s="36" t="s">
        <v>5377</v>
      </c>
      <c r="J1270" s="37"/>
      <c r="K1270" s="38"/>
      <c r="L1270" s="38"/>
      <c r="M1270" s="36" t="s">
        <v>60</v>
      </c>
      <c r="N1270" s="15" t="s">
        <v>152</v>
      </c>
      <c r="O1270" s="36" t="s">
        <v>5122</v>
      </c>
      <c r="P1270" s="36" t="str">
        <f t="shared" si="38"/>
        <v>API_開放_地段清單_新竹市</v>
      </c>
      <c r="Q1270" s="36" t="s">
        <v>5376</v>
      </c>
      <c r="R1270" s="29" t="str">
        <f t="shared" si="39"/>
        <v>2dms_pubapi_v1_ListLandSection_O</v>
      </c>
      <c r="U1270" s="27" t="str">
        <f>_xlfn.XLOOKUP(表格1[[#This Row],[服務類別(英)]],參考2_服務標準對照!$B:$B,參考2_服務標準對照!$C:$C,"")&amp;""</f>
        <v/>
      </c>
      <c r="V1270" s="29" t="s">
        <v>17</v>
      </c>
      <c r="W1270" s="29" t="s">
        <v>5123</v>
      </c>
      <c r="X1270" s="29" t="s">
        <v>81</v>
      </c>
      <c r="Y1270" s="36" t="s">
        <v>83</v>
      </c>
      <c r="Z1270" s="36" t="s">
        <v>157</v>
      </c>
      <c r="AA1270" s="36" t="s">
        <v>5317</v>
      </c>
      <c r="AB1270" s="36"/>
      <c r="AC1270" s="36"/>
      <c r="AD1270" s="29" t="s">
        <v>96</v>
      </c>
      <c r="AE1270" s="36" t="str">
        <f>_xlfn.XLOOKUP(表格1[[#This Row],[唯一識別碼]],API清冊0707!B:B,API清冊0707!T:T,"")&amp;""</f>
        <v>有下拉選單</v>
      </c>
    </row>
    <row r="1271" spans="1:31" ht="111" customHeight="1" x14ac:dyDescent="0.4">
      <c r="A1271" s="29" t="s">
        <v>5378</v>
      </c>
      <c r="B1271" s="29" t="s">
        <v>31</v>
      </c>
      <c r="C1271" s="29" t="s">
        <v>5312</v>
      </c>
      <c r="D1271" s="29" t="s">
        <v>5379</v>
      </c>
      <c r="E1271" s="29" t="s">
        <v>5380</v>
      </c>
      <c r="F1271" s="29" t="s">
        <v>5381</v>
      </c>
      <c r="G1271" s="35" t="s">
        <v>31</v>
      </c>
      <c r="H1271" s="35" t="s">
        <v>151</v>
      </c>
      <c r="I1271" s="36" t="s">
        <v>5382</v>
      </c>
      <c r="J1271" s="37"/>
      <c r="K1271" s="38"/>
      <c r="L1271" s="38"/>
      <c r="M1271" s="36" t="s">
        <v>60</v>
      </c>
      <c r="N1271" s="15" t="s">
        <v>152</v>
      </c>
      <c r="O1271" s="36" t="s">
        <v>5122</v>
      </c>
      <c r="P1271" s="36" t="str">
        <f t="shared" ref="P1271:P1334" si="40">IF(LEN(TRIM(F1271))&gt;0,F1271,E1271)</f>
        <v>API_開放_地段清單_新竹縣</v>
      </c>
      <c r="Q1271" s="36" t="s">
        <v>5381</v>
      </c>
      <c r="R1271" s="29" t="str">
        <f t="shared" ref="R1271:R1334" si="41">D1271</f>
        <v>2dms_pubapi_v1_ListLandSection_J</v>
      </c>
      <c r="U1271" s="27" t="str">
        <f>_xlfn.XLOOKUP(表格1[[#This Row],[服務類別(英)]],參考2_服務標準對照!$B:$B,參考2_服務標準對照!$C:$C,"")&amp;""</f>
        <v/>
      </c>
      <c r="V1271" s="29" t="s">
        <v>17</v>
      </c>
      <c r="W1271" s="29" t="s">
        <v>5123</v>
      </c>
      <c r="X1271" s="29" t="s">
        <v>81</v>
      </c>
      <c r="Y1271" s="36" t="s">
        <v>83</v>
      </c>
      <c r="Z1271" s="36" t="s">
        <v>157</v>
      </c>
      <c r="AA1271" s="36" t="s">
        <v>5317</v>
      </c>
      <c r="AB1271" s="36"/>
      <c r="AC1271" s="36"/>
      <c r="AD1271" s="29" t="s">
        <v>96</v>
      </c>
      <c r="AE1271" s="36" t="str">
        <f>_xlfn.XLOOKUP(表格1[[#This Row],[唯一識別碼]],API清冊0707!B:B,API清冊0707!T:T,"")&amp;""</f>
        <v>有下拉選單</v>
      </c>
    </row>
    <row r="1272" spans="1:31" ht="111" customHeight="1" x14ac:dyDescent="0.4">
      <c r="A1272" s="29" t="s">
        <v>5383</v>
      </c>
      <c r="B1272" s="29" t="s">
        <v>31</v>
      </c>
      <c r="C1272" s="29" t="s">
        <v>5312</v>
      </c>
      <c r="D1272" s="29" t="s">
        <v>5384</v>
      </c>
      <c r="E1272" s="29" t="s">
        <v>5385</v>
      </c>
      <c r="F1272" s="29" t="s">
        <v>5386</v>
      </c>
      <c r="G1272" s="35" t="s">
        <v>31</v>
      </c>
      <c r="H1272" s="35" t="s">
        <v>151</v>
      </c>
      <c r="I1272" s="36" t="s">
        <v>5387</v>
      </c>
      <c r="J1272" s="37"/>
      <c r="K1272" s="38"/>
      <c r="L1272" s="38"/>
      <c r="M1272" s="36" t="s">
        <v>60</v>
      </c>
      <c r="N1272" s="15" t="s">
        <v>152</v>
      </c>
      <c r="O1272" s="36" t="s">
        <v>5122</v>
      </c>
      <c r="P1272" s="36" t="str">
        <f t="shared" si="40"/>
        <v>API_開放_地段清單_嘉義市</v>
      </c>
      <c r="Q1272" s="36" t="s">
        <v>5386</v>
      </c>
      <c r="R1272" s="29" t="str">
        <f t="shared" si="41"/>
        <v>2dms_pubapi_v1_ListLandSection_I</v>
      </c>
      <c r="U1272" s="27" t="str">
        <f>_xlfn.XLOOKUP(表格1[[#This Row],[服務類別(英)]],參考2_服務標準對照!$B:$B,參考2_服務標準對照!$C:$C,"")&amp;""</f>
        <v/>
      </c>
      <c r="V1272" s="29" t="s">
        <v>17</v>
      </c>
      <c r="W1272" s="29" t="s">
        <v>5123</v>
      </c>
      <c r="X1272" s="29" t="s">
        <v>81</v>
      </c>
      <c r="Y1272" s="36" t="s">
        <v>83</v>
      </c>
      <c r="Z1272" s="36" t="s">
        <v>157</v>
      </c>
      <c r="AA1272" s="36" t="s">
        <v>5317</v>
      </c>
      <c r="AB1272" s="36"/>
      <c r="AC1272" s="36"/>
      <c r="AD1272" s="29" t="s">
        <v>96</v>
      </c>
      <c r="AE1272" s="36" t="str">
        <f>_xlfn.XLOOKUP(表格1[[#This Row],[唯一識別碼]],API清冊0707!B:B,API清冊0707!T:T,"")&amp;""</f>
        <v>有下拉選單</v>
      </c>
    </row>
    <row r="1273" spans="1:31" ht="111" customHeight="1" x14ac:dyDescent="0.4">
      <c r="A1273" s="29" t="s">
        <v>5388</v>
      </c>
      <c r="B1273" s="29" t="s">
        <v>31</v>
      </c>
      <c r="C1273" s="29" t="s">
        <v>5312</v>
      </c>
      <c r="D1273" s="29" t="s">
        <v>5389</v>
      </c>
      <c r="E1273" s="29" t="s">
        <v>5390</v>
      </c>
      <c r="F1273" s="29" t="s">
        <v>5391</v>
      </c>
      <c r="G1273" s="35" t="s">
        <v>31</v>
      </c>
      <c r="H1273" s="35" t="s">
        <v>151</v>
      </c>
      <c r="I1273" s="36" t="s">
        <v>5392</v>
      </c>
      <c r="J1273" s="37"/>
      <c r="K1273" s="38"/>
      <c r="L1273" s="38"/>
      <c r="M1273" s="36" t="s">
        <v>60</v>
      </c>
      <c r="N1273" s="15" t="s">
        <v>152</v>
      </c>
      <c r="O1273" s="36" t="s">
        <v>5122</v>
      </c>
      <c r="P1273" s="36" t="str">
        <f t="shared" si="40"/>
        <v>API_開放_地段清單_嘉義縣</v>
      </c>
      <c r="Q1273" s="36" t="s">
        <v>5391</v>
      </c>
      <c r="R1273" s="29" t="str">
        <f t="shared" si="41"/>
        <v>2dms_pubapi_v1_ListLandSection_Q</v>
      </c>
      <c r="U1273" s="27" t="str">
        <f>_xlfn.XLOOKUP(表格1[[#This Row],[服務類別(英)]],參考2_服務標準對照!$B:$B,參考2_服務標準對照!$C:$C,"")&amp;""</f>
        <v/>
      </c>
      <c r="V1273" s="29" t="s">
        <v>17</v>
      </c>
      <c r="W1273" s="29" t="s">
        <v>5123</v>
      </c>
      <c r="X1273" s="29" t="s">
        <v>81</v>
      </c>
      <c r="Y1273" s="36" t="s">
        <v>83</v>
      </c>
      <c r="Z1273" s="36" t="s">
        <v>157</v>
      </c>
      <c r="AA1273" s="36" t="s">
        <v>5317</v>
      </c>
      <c r="AB1273" s="36"/>
      <c r="AC1273" s="36"/>
      <c r="AD1273" s="29" t="s">
        <v>96</v>
      </c>
      <c r="AE1273" s="36" t="str">
        <f>_xlfn.XLOOKUP(表格1[[#This Row],[唯一識別碼]],API清冊0707!B:B,API清冊0707!T:T,"")&amp;""</f>
        <v>有下拉選單</v>
      </c>
    </row>
    <row r="1274" spans="1:31" ht="111" customHeight="1" x14ac:dyDescent="0.4">
      <c r="A1274" s="29" t="s">
        <v>5393</v>
      </c>
      <c r="B1274" s="29" t="s">
        <v>31</v>
      </c>
      <c r="C1274" s="29" t="s">
        <v>5312</v>
      </c>
      <c r="D1274" s="29" t="s">
        <v>5394</v>
      </c>
      <c r="E1274" s="29" t="s">
        <v>5395</v>
      </c>
      <c r="F1274" s="29" t="s">
        <v>5396</v>
      </c>
      <c r="G1274" s="35" t="s">
        <v>31</v>
      </c>
      <c r="H1274" s="35" t="s">
        <v>151</v>
      </c>
      <c r="I1274" s="36" t="s">
        <v>5397</v>
      </c>
      <c r="J1274" s="37"/>
      <c r="K1274" s="38"/>
      <c r="L1274" s="38"/>
      <c r="M1274" s="36" t="s">
        <v>60</v>
      </c>
      <c r="N1274" s="15" t="s">
        <v>152</v>
      </c>
      <c r="O1274" s="36" t="s">
        <v>5122</v>
      </c>
      <c r="P1274" s="36" t="str">
        <f t="shared" si="40"/>
        <v>API_開放_地段清單_彰化縣</v>
      </c>
      <c r="Q1274" s="36" t="s">
        <v>5396</v>
      </c>
      <c r="R1274" s="29" t="str">
        <f t="shared" si="41"/>
        <v>2dms_pubapi_v1_ListLandSection_N</v>
      </c>
      <c r="U1274" s="27" t="str">
        <f>_xlfn.XLOOKUP(表格1[[#This Row],[服務類別(英)]],參考2_服務標準對照!$B:$B,參考2_服務標準對照!$C:$C,"")&amp;""</f>
        <v/>
      </c>
      <c r="V1274" s="29" t="s">
        <v>17</v>
      </c>
      <c r="W1274" s="29" t="s">
        <v>5123</v>
      </c>
      <c r="X1274" s="29" t="s">
        <v>81</v>
      </c>
      <c r="Y1274" s="36" t="s">
        <v>83</v>
      </c>
      <c r="Z1274" s="36" t="s">
        <v>157</v>
      </c>
      <c r="AA1274" s="36" t="s">
        <v>5317</v>
      </c>
      <c r="AB1274" s="36"/>
      <c r="AC1274" s="36"/>
      <c r="AD1274" s="29" t="s">
        <v>96</v>
      </c>
      <c r="AE1274" s="36" t="str">
        <f>_xlfn.XLOOKUP(表格1[[#This Row],[唯一識別碼]],API清冊0707!B:B,API清冊0707!T:T,"")&amp;""</f>
        <v>有下拉選單</v>
      </c>
    </row>
    <row r="1275" spans="1:31" ht="111" customHeight="1" x14ac:dyDescent="0.4">
      <c r="A1275" s="29" t="s">
        <v>5398</v>
      </c>
      <c r="B1275" s="29" t="s">
        <v>31</v>
      </c>
      <c r="C1275" s="29" t="s">
        <v>5312</v>
      </c>
      <c r="D1275" s="29" t="s">
        <v>5399</v>
      </c>
      <c r="E1275" s="29" t="s">
        <v>5400</v>
      </c>
      <c r="F1275" s="29" t="s">
        <v>5401</v>
      </c>
      <c r="G1275" s="35" t="s">
        <v>31</v>
      </c>
      <c r="H1275" s="35" t="s">
        <v>151</v>
      </c>
      <c r="I1275" s="36" t="s">
        <v>5402</v>
      </c>
      <c r="J1275" s="37"/>
      <c r="K1275" s="38"/>
      <c r="L1275" s="38"/>
      <c r="M1275" s="36" t="s">
        <v>60</v>
      </c>
      <c r="N1275" s="15" t="s">
        <v>152</v>
      </c>
      <c r="O1275" s="36" t="s">
        <v>5122</v>
      </c>
      <c r="P1275" s="36" t="str">
        <f t="shared" si="40"/>
        <v>API_開放_地段清單_臺中市</v>
      </c>
      <c r="Q1275" s="36" t="s">
        <v>5401</v>
      </c>
      <c r="R1275" s="29" t="str">
        <f t="shared" si="41"/>
        <v>2dms_pubapi_v1_ListLandSection_B</v>
      </c>
      <c r="U1275" s="27" t="str">
        <f>_xlfn.XLOOKUP(表格1[[#This Row],[服務類別(英)]],參考2_服務標準對照!$B:$B,參考2_服務標準對照!$C:$C,"")&amp;""</f>
        <v/>
      </c>
      <c r="V1275" s="29" t="s">
        <v>17</v>
      </c>
      <c r="W1275" s="29" t="s">
        <v>5123</v>
      </c>
      <c r="X1275" s="29" t="s">
        <v>81</v>
      </c>
      <c r="Y1275" s="36" t="s">
        <v>83</v>
      </c>
      <c r="Z1275" s="36" t="s">
        <v>157</v>
      </c>
      <c r="AA1275" s="36" t="s">
        <v>5317</v>
      </c>
      <c r="AB1275" s="36"/>
      <c r="AC1275" s="36"/>
      <c r="AD1275" s="29" t="s">
        <v>96</v>
      </c>
      <c r="AE1275" s="36" t="str">
        <f>_xlfn.XLOOKUP(表格1[[#This Row],[唯一識別碼]],API清冊0707!B:B,API清冊0707!T:T,"")&amp;""</f>
        <v>有下拉選單</v>
      </c>
    </row>
    <row r="1276" spans="1:31" ht="111" customHeight="1" x14ac:dyDescent="0.4">
      <c r="A1276" s="29" t="s">
        <v>5403</v>
      </c>
      <c r="B1276" s="29" t="s">
        <v>31</v>
      </c>
      <c r="C1276" s="29" t="s">
        <v>5312</v>
      </c>
      <c r="D1276" s="29" t="s">
        <v>5404</v>
      </c>
      <c r="E1276" s="29" t="s">
        <v>5405</v>
      </c>
      <c r="F1276" s="29" t="s">
        <v>5406</v>
      </c>
      <c r="G1276" s="35" t="s">
        <v>31</v>
      </c>
      <c r="H1276" s="35" t="s">
        <v>151</v>
      </c>
      <c r="I1276" s="36" t="s">
        <v>5407</v>
      </c>
      <c r="J1276" s="37"/>
      <c r="K1276" s="38"/>
      <c r="L1276" s="38"/>
      <c r="M1276" s="36" t="s">
        <v>60</v>
      </c>
      <c r="N1276" s="15" t="s">
        <v>152</v>
      </c>
      <c r="O1276" s="36" t="s">
        <v>5122</v>
      </c>
      <c r="P1276" s="36" t="str">
        <f t="shared" si="40"/>
        <v>API_開放_地段清單_臺北市</v>
      </c>
      <c r="Q1276" s="36" t="s">
        <v>5406</v>
      </c>
      <c r="R1276" s="29" t="str">
        <f t="shared" si="41"/>
        <v>2dms_pubapi_v1_ListLandSection_A</v>
      </c>
      <c r="U1276" s="27" t="str">
        <f>_xlfn.XLOOKUP(表格1[[#This Row],[服務類別(英)]],參考2_服務標準對照!$B:$B,參考2_服務標準對照!$C:$C,"")&amp;""</f>
        <v/>
      </c>
      <c r="V1276" s="29" t="s">
        <v>17</v>
      </c>
      <c r="W1276" s="29" t="s">
        <v>5123</v>
      </c>
      <c r="X1276" s="29" t="s">
        <v>81</v>
      </c>
      <c r="Y1276" s="36" t="s">
        <v>83</v>
      </c>
      <c r="Z1276" s="36" t="s">
        <v>157</v>
      </c>
      <c r="AA1276" s="36" t="s">
        <v>5317</v>
      </c>
      <c r="AB1276" s="36"/>
      <c r="AC1276" s="36"/>
      <c r="AD1276" s="29" t="s">
        <v>96</v>
      </c>
      <c r="AE1276" s="36" t="str">
        <f>_xlfn.XLOOKUP(表格1[[#This Row],[唯一識別碼]],API清冊0707!B:B,API清冊0707!T:T,"")&amp;""</f>
        <v>有下拉選單</v>
      </c>
    </row>
    <row r="1277" spans="1:31" ht="111" customHeight="1" x14ac:dyDescent="0.4">
      <c r="A1277" s="29" t="s">
        <v>5408</v>
      </c>
      <c r="B1277" s="29" t="s">
        <v>31</v>
      </c>
      <c r="C1277" s="29" t="s">
        <v>5312</v>
      </c>
      <c r="D1277" s="29" t="s">
        <v>5409</v>
      </c>
      <c r="E1277" s="29" t="s">
        <v>5410</v>
      </c>
      <c r="F1277" s="29" t="s">
        <v>5411</v>
      </c>
      <c r="G1277" s="35" t="s">
        <v>31</v>
      </c>
      <c r="H1277" s="35" t="s">
        <v>151</v>
      </c>
      <c r="I1277" s="36" t="s">
        <v>5412</v>
      </c>
      <c r="J1277" s="37"/>
      <c r="K1277" s="38"/>
      <c r="L1277" s="38"/>
      <c r="M1277" s="36" t="s">
        <v>60</v>
      </c>
      <c r="N1277" s="15" t="s">
        <v>152</v>
      </c>
      <c r="O1277" s="36" t="s">
        <v>5122</v>
      </c>
      <c r="P1277" s="36" t="str">
        <f t="shared" si="40"/>
        <v>API_開放_地段清單_臺東縣</v>
      </c>
      <c r="Q1277" s="36" t="s">
        <v>5411</v>
      </c>
      <c r="R1277" s="29" t="str">
        <f t="shared" si="41"/>
        <v>2dms_pubapi_v1_ListLandSection_V</v>
      </c>
      <c r="U1277" s="27" t="str">
        <f>_xlfn.XLOOKUP(表格1[[#This Row],[服務類別(英)]],參考2_服務標準對照!$B:$B,參考2_服務標準對照!$C:$C,"")&amp;""</f>
        <v/>
      </c>
      <c r="V1277" s="29" t="s">
        <v>17</v>
      </c>
      <c r="W1277" s="29" t="s">
        <v>5123</v>
      </c>
      <c r="X1277" s="29" t="s">
        <v>81</v>
      </c>
      <c r="Y1277" s="36" t="s">
        <v>83</v>
      </c>
      <c r="Z1277" s="36" t="s">
        <v>157</v>
      </c>
      <c r="AA1277" s="36" t="s">
        <v>5317</v>
      </c>
      <c r="AB1277" s="36"/>
      <c r="AC1277" s="36"/>
      <c r="AD1277" s="29" t="s">
        <v>96</v>
      </c>
      <c r="AE1277" s="36" t="str">
        <f>_xlfn.XLOOKUP(表格1[[#This Row],[唯一識別碼]],API清冊0707!B:B,API清冊0707!T:T,"")&amp;""</f>
        <v>有下拉選單</v>
      </c>
    </row>
    <row r="1278" spans="1:31" ht="111" customHeight="1" x14ac:dyDescent="0.4">
      <c r="A1278" s="29" t="s">
        <v>5413</v>
      </c>
      <c r="B1278" s="29" t="s">
        <v>31</v>
      </c>
      <c r="C1278" s="29" t="s">
        <v>5312</v>
      </c>
      <c r="D1278" s="29" t="s">
        <v>5414</v>
      </c>
      <c r="E1278" s="29" t="s">
        <v>5415</v>
      </c>
      <c r="F1278" s="29" t="s">
        <v>5416</v>
      </c>
      <c r="G1278" s="35" t="s">
        <v>31</v>
      </c>
      <c r="H1278" s="35" t="s">
        <v>151</v>
      </c>
      <c r="I1278" s="36" t="s">
        <v>5417</v>
      </c>
      <c r="J1278" s="37"/>
      <c r="K1278" s="38"/>
      <c r="L1278" s="38"/>
      <c r="M1278" s="36" t="s">
        <v>60</v>
      </c>
      <c r="N1278" s="15" t="s">
        <v>152</v>
      </c>
      <c r="O1278" s="36" t="s">
        <v>5122</v>
      </c>
      <c r="P1278" s="36" t="str">
        <f t="shared" si="40"/>
        <v>API_開放_地段清單_臺南市</v>
      </c>
      <c r="Q1278" s="36" t="s">
        <v>5416</v>
      </c>
      <c r="R1278" s="29" t="str">
        <f t="shared" si="41"/>
        <v>2dms_pubapi_v1_ListLandSection_D</v>
      </c>
      <c r="U1278" s="27" t="str">
        <f>_xlfn.XLOOKUP(表格1[[#This Row],[服務類別(英)]],參考2_服務標準對照!$B:$B,參考2_服務標準對照!$C:$C,"")&amp;""</f>
        <v/>
      </c>
      <c r="V1278" s="29" t="s">
        <v>17</v>
      </c>
      <c r="W1278" s="29" t="s">
        <v>5123</v>
      </c>
      <c r="X1278" s="29" t="s">
        <v>81</v>
      </c>
      <c r="Y1278" s="36" t="s">
        <v>83</v>
      </c>
      <c r="Z1278" s="36" t="s">
        <v>157</v>
      </c>
      <c r="AA1278" s="36" t="s">
        <v>5317</v>
      </c>
      <c r="AB1278" s="36"/>
      <c r="AC1278" s="36"/>
      <c r="AD1278" s="29" t="s">
        <v>96</v>
      </c>
      <c r="AE1278" s="36" t="str">
        <f>_xlfn.XLOOKUP(表格1[[#This Row],[唯一識別碼]],API清冊0707!B:B,API清冊0707!T:T,"")&amp;""</f>
        <v>有下拉選單</v>
      </c>
    </row>
    <row r="1279" spans="1:31" ht="111" customHeight="1" x14ac:dyDescent="0.4">
      <c r="A1279" s="29" t="s">
        <v>5418</v>
      </c>
      <c r="B1279" s="29" t="s">
        <v>31</v>
      </c>
      <c r="C1279" s="29" t="s">
        <v>5312</v>
      </c>
      <c r="D1279" s="29" t="s">
        <v>5419</v>
      </c>
      <c r="E1279" s="29" t="s">
        <v>5420</v>
      </c>
      <c r="F1279" s="29" t="s">
        <v>5421</v>
      </c>
      <c r="G1279" s="35" t="s">
        <v>31</v>
      </c>
      <c r="H1279" s="35" t="s">
        <v>151</v>
      </c>
      <c r="I1279" s="36" t="s">
        <v>5422</v>
      </c>
      <c r="J1279" s="37"/>
      <c r="K1279" s="38"/>
      <c r="L1279" s="38"/>
      <c r="M1279" s="36" t="s">
        <v>60</v>
      </c>
      <c r="N1279" s="15" t="s">
        <v>152</v>
      </c>
      <c r="O1279" s="36" t="s">
        <v>5122</v>
      </c>
      <c r="P1279" s="36" t="str">
        <f t="shared" si="40"/>
        <v>API_開放_地段清單_澎湖縣</v>
      </c>
      <c r="Q1279" s="36" t="s">
        <v>5421</v>
      </c>
      <c r="R1279" s="29" t="str">
        <f t="shared" si="41"/>
        <v>2dms_pubapi_v1_ListLandSection_X</v>
      </c>
      <c r="U1279" s="27" t="str">
        <f>_xlfn.XLOOKUP(表格1[[#This Row],[服務類別(英)]],參考2_服務標準對照!$B:$B,參考2_服務標準對照!$C:$C,"")&amp;""</f>
        <v/>
      </c>
      <c r="V1279" s="29" t="s">
        <v>17</v>
      </c>
      <c r="W1279" s="29" t="s">
        <v>5123</v>
      </c>
      <c r="X1279" s="29" t="s">
        <v>81</v>
      </c>
      <c r="Y1279" s="36" t="s">
        <v>83</v>
      </c>
      <c r="Z1279" s="36" t="s">
        <v>157</v>
      </c>
      <c r="AA1279" s="36" t="s">
        <v>5317</v>
      </c>
      <c r="AB1279" s="36"/>
      <c r="AC1279" s="36"/>
      <c r="AD1279" s="29" t="s">
        <v>96</v>
      </c>
      <c r="AE1279" s="36" t="str">
        <f>_xlfn.XLOOKUP(表格1[[#This Row],[唯一識別碼]],API清冊0707!B:B,API清冊0707!T:T,"")&amp;""</f>
        <v>有下拉選單</v>
      </c>
    </row>
    <row r="1280" spans="1:31" ht="111" customHeight="1" x14ac:dyDescent="0.4">
      <c r="A1280" s="29" t="s">
        <v>5423</v>
      </c>
      <c r="B1280" s="29" t="s">
        <v>31</v>
      </c>
      <c r="C1280" s="29" t="s">
        <v>5312</v>
      </c>
      <c r="D1280" s="29" t="s">
        <v>5424</v>
      </c>
      <c r="E1280" s="29" t="s">
        <v>5425</v>
      </c>
      <c r="F1280" s="29" t="s">
        <v>5426</v>
      </c>
      <c r="G1280" s="35" t="s">
        <v>31</v>
      </c>
      <c r="H1280" s="35" t="s">
        <v>151</v>
      </c>
      <c r="I1280" s="36" t="s">
        <v>5427</v>
      </c>
      <c r="J1280" s="37"/>
      <c r="K1280" s="38"/>
      <c r="L1280" s="38"/>
      <c r="M1280" s="36" t="s">
        <v>60</v>
      </c>
      <c r="N1280" s="15" t="s">
        <v>152</v>
      </c>
      <c r="O1280" s="36" t="s">
        <v>5122</v>
      </c>
      <c r="P1280" s="36" t="str">
        <f t="shared" si="40"/>
        <v>API_開放_村里清單_宜蘭縣</v>
      </c>
      <c r="Q1280" s="36" t="s">
        <v>5426</v>
      </c>
      <c r="R1280" s="29" t="str">
        <f t="shared" si="41"/>
        <v>2dms_pubapi_v1_ListVillage_G</v>
      </c>
      <c r="U1280" s="27" t="str">
        <f>_xlfn.XLOOKUP(表格1[[#This Row],[服務類別(英)]],參考2_服務標準對照!$B:$B,參考2_服務標準對照!$C:$C,"")&amp;""</f>
        <v/>
      </c>
      <c r="V1280" s="29" t="s">
        <v>17</v>
      </c>
      <c r="W1280" s="29" t="s">
        <v>5123</v>
      </c>
      <c r="X1280" s="29" t="s">
        <v>81</v>
      </c>
      <c r="Y1280" s="36" t="s">
        <v>83</v>
      </c>
      <c r="Z1280" s="36" t="s">
        <v>157</v>
      </c>
      <c r="AA1280" s="36" t="s">
        <v>5134</v>
      </c>
      <c r="AB1280" s="36"/>
      <c r="AC1280" s="36"/>
      <c r="AD1280" s="29" t="s">
        <v>96</v>
      </c>
      <c r="AE1280" s="36" t="str">
        <f>_xlfn.XLOOKUP(表格1[[#This Row],[唯一識別碼]],API清冊0707!B:B,API清冊0707!T:T,"")&amp;""</f>
        <v>有下拉選單</v>
      </c>
    </row>
    <row r="1281" spans="1:31" ht="111" customHeight="1" x14ac:dyDescent="0.4">
      <c r="A1281" s="29" t="s">
        <v>5428</v>
      </c>
      <c r="B1281" s="29" t="s">
        <v>31</v>
      </c>
      <c r="C1281" s="29" t="s">
        <v>5312</v>
      </c>
      <c r="D1281" s="29" t="s">
        <v>5429</v>
      </c>
      <c r="E1281" s="29" t="s">
        <v>5430</v>
      </c>
      <c r="F1281" s="29" t="s">
        <v>5431</v>
      </c>
      <c r="G1281" s="35" t="s">
        <v>31</v>
      </c>
      <c r="H1281" s="35" t="s">
        <v>151</v>
      </c>
      <c r="I1281" s="36" t="s">
        <v>5432</v>
      </c>
      <c r="J1281" s="37"/>
      <c r="K1281" s="38"/>
      <c r="L1281" s="38"/>
      <c r="M1281" s="36" t="s">
        <v>60</v>
      </c>
      <c r="N1281" s="15" t="s">
        <v>152</v>
      </c>
      <c r="O1281" s="36" t="s">
        <v>5122</v>
      </c>
      <c r="P1281" s="36" t="str">
        <f t="shared" si="40"/>
        <v>API_開放_村里清單_花蓮縣</v>
      </c>
      <c r="Q1281" s="36" t="s">
        <v>5431</v>
      </c>
      <c r="R1281" s="29" t="str">
        <f t="shared" si="41"/>
        <v>2dms_pubapi_v1_ListVillage_U</v>
      </c>
      <c r="U1281" s="27" t="str">
        <f>_xlfn.XLOOKUP(表格1[[#This Row],[服務類別(英)]],參考2_服務標準對照!$B:$B,參考2_服務標準對照!$C:$C,"")&amp;""</f>
        <v/>
      </c>
      <c r="V1281" s="29" t="s">
        <v>17</v>
      </c>
      <c r="W1281" s="29" t="s">
        <v>5123</v>
      </c>
      <c r="X1281" s="29" t="s">
        <v>81</v>
      </c>
      <c r="Y1281" s="36" t="s">
        <v>83</v>
      </c>
      <c r="Z1281" s="36" t="s">
        <v>157</v>
      </c>
      <c r="AA1281" s="36" t="s">
        <v>5134</v>
      </c>
      <c r="AB1281" s="36"/>
      <c r="AC1281" s="36"/>
      <c r="AD1281" s="29" t="s">
        <v>96</v>
      </c>
      <c r="AE1281" s="36" t="str">
        <f>_xlfn.XLOOKUP(表格1[[#This Row],[唯一識別碼]],API清冊0707!B:B,API清冊0707!T:T,"")&amp;""</f>
        <v>有下拉選單</v>
      </c>
    </row>
    <row r="1282" spans="1:31" ht="111" customHeight="1" x14ac:dyDescent="0.4">
      <c r="A1282" s="29" t="s">
        <v>5433</v>
      </c>
      <c r="B1282" s="29" t="s">
        <v>31</v>
      </c>
      <c r="C1282" s="29" t="s">
        <v>5312</v>
      </c>
      <c r="D1282" s="29" t="s">
        <v>5434</v>
      </c>
      <c r="E1282" s="29" t="s">
        <v>5435</v>
      </c>
      <c r="F1282" s="29" t="s">
        <v>5436</v>
      </c>
      <c r="G1282" s="35" t="s">
        <v>31</v>
      </c>
      <c r="H1282" s="35" t="s">
        <v>151</v>
      </c>
      <c r="I1282" s="36" t="s">
        <v>5437</v>
      </c>
      <c r="J1282" s="37"/>
      <c r="K1282" s="38"/>
      <c r="L1282" s="38"/>
      <c r="M1282" s="36" t="s">
        <v>60</v>
      </c>
      <c r="N1282" s="15" t="s">
        <v>152</v>
      </c>
      <c r="O1282" s="36" t="s">
        <v>5122</v>
      </c>
      <c r="P1282" s="36" t="str">
        <f t="shared" si="40"/>
        <v>API_開放_村里清單_金門縣</v>
      </c>
      <c r="Q1282" s="36" t="s">
        <v>5436</v>
      </c>
      <c r="R1282" s="29" t="str">
        <f t="shared" si="41"/>
        <v>2dms_pubapi_v1_ListVillage_W</v>
      </c>
      <c r="U1282" s="27" t="str">
        <f>_xlfn.XLOOKUP(表格1[[#This Row],[服務類別(英)]],參考2_服務標準對照!$B:$B,參考2_服務標準對照!$C:$C,"")&amp;""</f>
        <v/>
      </c>
      <c r="V1282" s="29" t="s">
        <v>17</v>
      </c>
      <c r="W1282" s="29" t="s">
        <v>5123</v>
      </c>
      <c r="X1282" s="29" t="s">
        <v>81</v>
      </c>
      <c r="Y1282" s="36" t="s">
        <v>83</v>
      </c>
      <c r="Z1282" s="36" t="s">
        <v>157</v>
      </c>
      <c r="AA1282" s="36" t="s">
        <v>5134</v>
      </c>
      <c r="AB1282" s="36"/>
      <c r="AC1282" s="36"/>
      <c r="AD1282" s="29" t="s">
        <v>96</v>
      </c>
      <c r="AE1282" s="36" t="str">
        <f>_xlfn.XLOOKUP(表格1[[#This Row],[唯一識別碼]],API清冊0707!B:B,API清冊0707!T:T,"")&amp;""</f>
        <v>有下拉選單</v>
      </c>
    </row>
    <row r="1283" spans="1:31" ht="111" customHeight="1" x14ac:dyDescent="0.4">
      <c r="A1283" s="29" t="s">
        <v>5438</v>
      </c>
      <c r="B1283" s="29" t="s">
        <v>31</v>
      </c>
      <c r="C1283" s="29" t="s">
        <v>5312</v>
      </c>
      <c r="D1283" s="29" t="s">
        <v>5439</v>
      </c>
      <c r="E1283" s="29" t="s">
        <v>5440</v>
      </c>
      <c r="F1283" s="29" t="s">
        <v>5441</v>
      </c>
      <c r="G1283" s="35" t="s">
        <v>31</v>
      </c>
      <c r="H1283" s="35" t="s">
        <v>151</v>
      </c>
      <c r="I1283" s="36" t="s">
        <v>5442</v>
      </c>
      <c r="J1283" s="37"/>
      <c r="K1283" s="38"/>
      <c r="L1283" s="38"/>
      <c r="M1283" s="36" t="s">
        <v>60</v>
      </c>
      <c r="N1283" s="15" t="s">
        <v>152</v>
      </c>
      <c r="O1283" s="36" t="s">
        <v>5122</v>
      </c>
      <c r="P1283" s="36" t="str">
        <f t="shared" si="40"/>
        <v>API_開放_村里清單_南投縣</v>
      </c>
      <c r="Q1283" s="36" t="s">
        <v>5441</v>
      </c>
      <c r="R1283" s="29" t="str">
        <f t="shared" si="41"/>
        <v>2dms_pubapi_v1_ListVillage_M</v>
      </c>
      <c r="U1283" s="27" t="str">
        <f>_xlfn.XLOOKUP(表格1[[#This Row],[服務類別(英)]],參考2_服務標準對照!$B:$B,參考2_服務標準對照!$C:$C,"")&amp;""</f>
        <v/>
      </c>
      <c r="V1283" s="29" t="s">
        <v>17</v>
      </c>
      <c r="W1283" s="29" t="s">
        <v>5123</v>
      </c>
      <c r="X1283" s="29" t="s">
        <v>81</v>
      </c>
      <c r="Y1283" s="36" t="s">
        <v>83</v>
      </c>
      <c r="Z1283" s="36" t="s">
        <v>157</v>
      </c>
      <c r="AA1283" s="36" t="s">
        <v>5134</v>
      </c>
      <c r="AB1283" s="36"/>
      <c r="AC1283" s="36"/>
      <c r="AD1283" s="29" t="s">
        <v>96</v>
      </c>
      <c r="AE1283" s="36" t="str">
        <f>_xlfn.XLOOKUP(表格1[[#This Row],[唯一識別碼]],API清冊0707!B:B,API清冊0707!T:T,"")&amp;""</f>
        <v>有下拉選單</v>
      </c>
    </row>
    <row r="1284" spans="1:31" ht="111" customHeight="1" x14ac:dyDescent="0.4">
      <c r="A1284" s="29" t="s">
        <v>5443</v>
      </c>
      <c r="B1284" s="29" t="s">
        <v>31</v>
      </c>
      <c r="C1284" s="29" t="s">
        <v>5312</v>
      </c>
      <c r="D1284" s="29" t="s">
        <v>5444</v>
      </c>
      <c r="E1284" s="29" t="s">
        <v>5445</v>
      </c>
      <c r="F1284" s="29" t="s">
        <v>5446</v>
      </c>
      <c r="G1284" s="35" t="s">
        <v>31</v>
      </c>
      <c r="H1284" s="35" t="s">
        <v>151</v>
      </c>
      <c r="I1284" s="36" t="s">
        <v>5447</v>
      </c>
      <c r="J1284" s="37"/>
      <c r="K1284" s="38"/>
      <c r="L1284" s="38"/>
      <c r="M1284" s="36" t="s">
        <v>60</v>
      </c>
      <c r="N1284" s="15" t="s">
        <v>152</v>
      </c>
      <c r="O1284" s="36" t="s">
        <v>5122</v>
      </c>
      <c r="P1284" s="36" t="str">
        <f t="shared" si="40"/>
        <v>API_開放_村里清單_屏東縣</v>
      </c>
      <c r="Q1284" s="36" t="s">
        <v>5446</v>
      </c>
      <c r="R1284" s="29" t="str">
        <f t="shared" si="41"/>
        <v>2dms_pubapi_v1_ListVillage_T</v>
      </c>
      <c r="U1284" s="27" t="str">
        <f>_xlfn.XLOOKUP(表格1[[#This Row],[服務類別(英)]],參考2_服務標準對照!$B:$B,參考2_服務標準對照!$C:$C,"")&amp;""</f>
        <v/>
      </c>
      <c r="V1284" s="29" t="s">
        <v>17</v>
      </c>
      <c r="W1284" s="29" t="s">
        <v>5123</v>
      </c>
      <c r="X1284" s="29" t="s">
        <v>81</v>
      </c>
      <c r="Y1284" s="36" t="s">
        <v>83</v>
      </c>
      <c r="Z1284" s="36" t="s">
        <v>157</v>
      </c>
      <c r="AA1284" s="36" t="s">
        <v>5134</v>
      </c>
      <c r="AB1284" s="36"/>
      <c r="AC1284" s="36"/>
      <c r="AD1284" s="29" t="s">
        <v>96</v>
      </c>
      <c r="AE1284" s="36" t="str">
        <f>_xlfn.XLOOKUP(表格1[[#This Row],[唯一識別碼]],API清冊0707!B:B,API清冊0707!T:T,"")&amp;""</f>
        <v>有下拉選單</v>
      </c>
    </row>
    <row r="1285" spans="1:31" ht="111" customHeight="1" x14ac:dyDescent="0.4">
      <c r="A1285" s="29" t="s">
        <v>5448</v>
      </c>
      <c r="B1285" s="29" t="s">
        <v>31</v>
      </c>
      <c r="C1285" s="29" t="s">
        <v>5312</v>
      </c>
      <c r="D1285" s="29" t="s">
        <v>5449</v>
      </c>
      <c r="E1285" s="29" t="s">
        <v>5450</v>
      </c>
      <c r="F1285" s="29" t="s">
        <v>5451</v>
      </c>
      <c r="G1285" s="35" t="s">
        <v>31</v>
      </c>
      <c r="H1285" s="35" t="s">
        <v>151</v>
      </c>
      <c r="I1285" s="36" t="s">
        <v>5452</v>
      </c>
      <c r="J1285" s="37"/>
      <c r="K1285" s="38"/>
      <c r="L1285" s="38"/>
      <c r="M1285" s="36" t="s">
        <v>60</v>
      </c>
      <c r="N1285" s="15" t="s">
        <v>152</v>
      </c>
      <c r="O1285" s="36" t="s">
        <v>5122</v>
      </c>
      <c r="P1285" s="36" t="str">
        <f t="shared" si="40"/>
        <v>API_開放_村里清單_苗栗縣</v>
      </c>
      <c r="Q1285" s="36" t="s">
        <v>5451</v>
      </c>
      <c r="R1285" s="29" t="str">
        <f t="shared" si="41"/>
        <v>2dms_pubapi_v1_ListVillage_K</v>
      </c>
      <c r="U1285" s="27" t="str">
        <f>_xlfn.XLOOKUP(表格1[[#This Row],[服務類別(英)]],參考2_服務標準對照!$B:$B,參考2_服務標準對照!$C:$C,"")&amp;""</f>
        <v/>
      </c>
      <c r="V1285" s="29" t="s">
        <v>17</v>
      </c>
      <c r="W1285" s="29" t="s">
        <v>5123</v>
      </c>
      <c r="X1285" s="29" t="s">
        <v>81</v>
      </c>
      <c r="Y1285" s="36" t="s">
        <v>83</v>
      </c>
      <c r="Z1285" s="36" t="s">
        <v>157</v>
      </c>
      <c r="AA1285" s="36" t="s">
        <v>5134</v>
      </c>
      <c r="AB1285" s="36"/>
      <c r="AC1285" s="36"/>
      <c r="AD1285" s="29" t="s">
        <v>96</v>
      </c>
      <c r="AE1285" s="36" t="str">
        <f>_xlfn.XLOOKUP(表格1[[#This Row],[唯一識別碼]],API清冊0707!B:B,API清冊0707!T:T,"")&amp;""</f>
        <v>有下拉選單</v>
      </c>
    </row>
    <row r="1286" spans="1:31" ht="111" customHeight="1" x14ac:dyDescent="0.4">
      <c r="A1286" s="29" t="s">
        <v>5453</v>
      </c>
      <c r="B1286" s="29" t="s">
        <v>31</v>
      </c>
      <c r="C1286" s="29" t="s">
        <v>5312</v>
      </c>
      <c r="D1286" s="29" t="s">
        <v>5454</v>
      </c>
      <c r="E1286" s="29" t="s">
        <v>5455</v>
      </c>
      <c r="F1286" s="29" t="s">
        <v>5456</v>
      </c>
      <c r="G1286" s="35" t="s">
        <v>31</v>
      </c>
      <c r="H1286" s="35" t="s">
        <v>151</v>
      </c>
      <c r="I1286" s="36" t="s">
        <v>5457</v>
      </c>
      <c r="J1286" s="37"/>
      <c r="K1286" s="38"/>
      <c r="L1286" s="38"/>
      <c r="M1286" s="36" t="s">
        <v>60</v>
      </c>
      <c r="N1286" s="15" t="s">
        <v>152</v>
      </c>
      <c r="O1286" s="36" t="s">
        <v>5122</v>
      </c>
      <c r="P1286" s="36" t="str">
        <f t="shared" si="40"/>
        <v>API_開放_村里清單_桃園市</v>
      </c>
      <c r="Q1286" s="36" t="s">
        <v>5456</v>
      </c>
      <c r="R1286" s="29" t="str">
        <f t="shared" si="41"/>
        <v>2dms_pubapi_v1_ListVillage_H</v>
      </c>
      <c r="U1286" s="27" t="str">
        <f>_xlfn.XLOOKUP(表格1[[#This Row],[服務類別(英)]],參考2_服務標準對照!$B:$B,參考2_服務標準對照!$C:$C,"")&amp;""</f>
        <v/>
      </c>
      <c r="V1286" s="29" t="s">
        <v>17</v>
      </c>
      <c r="W1286" s="29" t="s">
        <v>5123</v>
      </c>
      <c r="X1286" s="29" t="s">
        <v>81</v>
      </c>
      <c r="Y1286" s="36" t="s">
        <v>83</v>
      </c>
      <c r="Z1286" s="36" t="s">
        <v>157</v>
      </c>
      <c r="AA1286" s="36" t="s">
        <v>5134</v>
      </c>
      <c r="AB1286" s="36"/>
      <c r="AC1286" s="36"/>
      <c r="AD1286" s="29" t="s">
        <v>96</v>
      </c>
      <c r="AE1286" s="36" t="str">
        <f>_xlfn.XLOOKUP(表格1[[#This Row],[唯一識別碼]],API清冊0707!B:B,API清冊0707!T:T,"")&amp;""</f>
        <v>有下拉選單</v>
      </c>
    </row>
    <row r="1287" spans="1:31" ht="111" customHeight="1" x14ac:dyDescent="0.4">
      <c r="A1287" s="29" t="s">
        <v>5458</v>
      </c>
      <c r="B1287" s="29" t="s">
        <v>31</v>
      </c>
      <c r="C1287" s="29" t="s">
        <v>5312</v>
      </c>
      <c r="D1287" s="29" t="s">
        <v>5459</v>
      </c>
      <c r="E1287" s="29" t="s">
        <v>5460</v>
      </c>
      <c r="F1287" s="29" t="s">
        <v>5461</v>
      </c>
      <c r="G1287" s="35" t="s">
        <v>31</v>
      </c>
      <c r="H1287" s="35" t="s">
        <v>151</v>
      </c>
      <c r="I1287" s="36" t="s">
        <v>5462</v>
      </c>
      <c r="J1287" s="37"/>
      <c r="K1287" s="38"/>
      <c r="L1287" s="38"/>
      <c r="M1287" s="36" t="s">
        <v>60</v>
      </c>
      <c r="N1287" s="15" t="s">
        <v>152</v>
      </c>
      <c r="O1287" s="36" t="s">
        <v>5122</v>
      </c>
      <c r="P1287" s="36" t="str">
        <f t="shared" si="40"/>
        <v>API_開放_村里清單_高雄市</v>
      </c>
      <c r="Q1287" s="36" t="s">
        <v>5461</v>
      </c>
      <c r="R1287" s="29" t="str">
        <f t="shared" si="41"/>
        <v>2dms_pubapi_v1_ListVillage_E</v>
      </c>
      <c r="U1287" s="27" t="str">
        <f>_xlfn.XLOOKUP(表格1[[#This Row],[服務類別(英)]],參考2_服務標準對照!$B:$B,參考2_服務標準對照!$C:$C,"")&amp;""</f>
        <v/>
      </c>
      <c r="V1287" s="29" t="s">
        <v>17</v>
      </c>
      <c r="W1287" s="29" t="s">
        <v>5123</v>
      </c>
      <c r="X1287" s="29" t="s">
        <v>81</v>
      </c>
      <c r="Y1287" s="36" t="s">
        <v>83</v>
      </c>
      <c r="Z1287" s="36" t="s">
        <v>157</v>
      </c>
      <c r="AA1287" s="36" t="s">
        <v>5134</v>
      </c>
      <c r="AB1287" s="36"/>
      <c r="AC1287" s="36"/>
      <c r="AD1287" s="29" t="s">
        <v>96</v>
      </c>
      <c r="AE1287" s="36" t="str">
        <f>_xlfn.XLOOKUP(表格1[[#This Row],[唯一識別碼]],API清冊0707!B:B,API清冊0707!T:T,"")&amp;""</f>
        <v>有下拉選單</v>
      </c>
    </row>
    <row r="1288" spans="1:31" ht="111" customHeight="1" x14ac:dyDescent="0.4">
      <c r="A1288" s="29" t="s">
        <v>5463</v>
      </c>
      <c r="B1288" s="29" t="s">
        <v>31</v>
      </c>
      <c r="C1288" s="29" t="s">
        <v>5312</v>
      </c>
      <c r="D1288" s="29" t="s">
        <v>5464</v>
      </c>
      <c r="E1288" s="29" t="s">
        <v>5465</v>
      </c>
      <c r="F1288" s="29" t="s">
        <v>5466</v>
      </c>
      <c r="G1288" s="35" t="s">
        <v>31</v>
      </c>
      <c r="H1288" s="35" t="s">
        <v>151</v>
      </c>
      <c r="I1288" s="36" t="s">
        <v>5467</v>
      </c>
      <c r="J1288" s="37"/>
      <c r="K1288" s="38"/>
      <c r="L1288" s="38"/>
      <c r="M1288" s="36" t="s">
        <v>60</v>
      </c>
      <c r="N1288" s="15" t="s">
        <v>152</v>
      </c>
      <c r="O1288" s="36" t="s">
        <v>5122</v>
      </c>
      <c r="P1288" s="36" t="str">
        <f t="shared" si="40"/>
        <v>API_開放_村里清單_基隆市</v>
      </c>
      <c r="Q1288" s="36" t="s">
        <v>5466</v>
      </c>
      <c r="R1288" s="29" t="str">
        <f t="shared" si="41"/>
        <v>2dms_pubapi_v1_ListVillage_C</v>
      </c>
      <c r="U1288" s="27" t="str">
        <f>_xlfn.XLOOKUP(表格1[[#This Row],[服務類別(英)]],參考2_服務標準對照!$B:$B,參考2_服務標準對照!$C:$C,"")&amp;""</f>
        <v/>
      </c>
      <c r="V1288" s="29" t="s">
        <v>17</v>
      </c>
      <c r="W1288" s="29" t="s">
        <v>5123</v>
      </c>
      <c r="X1288" s="29" t="s">
        <v>81</v>
      </c>
      <c r="Y1288" s="36" t="s">
        <v>83</v>
      </c>
      <c r="Z1288" s="36" t="s">
        <v>157</v>
      </c>
      <c r="AA1288" s="36" t="s">
        <v>5134</v>
      </c>
      <c r="AB1288" s="36"/>
      <c r="AC1288" s="36"/>
      <c r="AD1288" s="29" t="s">
        <v>96</v>
      </c>
      <c r="AE1288" s="36" t="str">
        <f>_xlfn.XLOOKUP(表格1[[#This Row],[唯一識別碼]],API清冊0707!B:B,API清冊0707!T:T,"")&amp;""</f>
        <v>有下拉選單</v>
      </c>
    </row>
    <row r="1289" spans="1:31" ht="111" customHeight="1" x14ac:dyDescent="0.4">
      <c r="A1289" s="29" t="s">
        <v>5468</v>
      </c>
      <c r="B1289" s="29" t="s">
        <v>31</v>
      </c>
      <c r="C1289" s="29" t="s">
        <v>5312</v>
      </c>
      <c r="D1289" s="29" t="s">
        <v>5469</v>
      </c>
      <c r="E1289" s="29" t="s">
        <v>5470</v>
      </c>
      <c r="F1289" s="29" t="s">
        <v>5471</v>
      </c>
      <c r="G1289" s="35" t="s">
        <v>31</v>
      </c>
      <c r="H1289" s="35" t="s">
        <v>151</v>
      </c>
      <c r="I1289" s="36" t="s">
        <v>5472</v>
      </c>
      <c r="J1289" s="37"/>
      <c r="K1289" s="38"/>
      <c r="L1289" s="38"/>
      <c r="M1289" s="36" t="s">
        <v>60</v>
      </c>
      <c r="N1289" s="15" t="s">
        <v>152</v>
      </c>
      <c r="O1289" s="36" t="s">
        <v>5122</v>
      </c>
      <c r="P1289" s="36" t="str">
        <f t="shared" si="40"/>
        <v>API_開放_村里清單_連江縣</v>
      </c>
      <c r="Q1289" s="36" t="s">
        <v>5471</v>
      </c>
      <c r="R1289" s="29" t="str">
        <f t="shared" si="41"/>
        <v>2dms_pubapi_v1_ListVillage_Z</v>
      </c>
      <c r="U1289" s="27" t="str">
        <f>_xlfn.XLOOKUP(表格1[[#This Row],[服務類別(英)]],參考2_服務標準對照!$B:$B,參考2_服務標準對照!$C:$C,"")&amp;""</f>
        <v/>
      </c>
      <c r="V1289" s="29" t="s">
        <v>17</v>
      </c>
      <c r="W1289" s="29" t="s">
        <v>5123</v>
      </c>
      <c r="X1289" s="29" t="s">
        <v>81</v>
      </c>
      <c r="Y1289" s="36" t="s">
        <v>83</v>
      </c>
      <c r="Z1289" s="36" t="s">
        <v>157</v>
      </c>
      <c r="AA1289" s="36" t="s">
        <v>5134</v>
      </c>
      <c r="AB1289" s="36"/>
      <c r="AC1289" s="36"/>
      <c r="AD1289" s="29" t="s">
        <v>96</v>
      </c>
      <c r="AE1289" s="36" t="str">
        <f>_xlfn.XLOOKUP(表格1[[#This Row],[唯一識別碼]],API清冊0707!B:B,API清冊0707!T:T,"")&amp;""</f>
        <v>有下拉選單</v>
      </c>
    </row>
    <row r="1290" spans="1:31" ht="111" customHeight="1" x14ac:dyDescent="0.4">
      <c r="A1290" s="29" t="s">
        <v>5473</v>
      </c>
      <c r="B1290" s="29" t="s">
        <v>31</v>
      </c>
      <c r="C1290" s="29" t="s">
        <v>5312</v>
      </c>
      <c r="D1290" s="29" t="s">
        <v>5474</v>
      </c>
      <c r="E1290" s="29" t="s">
        <v>5475</v>
      </c>
      <c r="F1290" s="29" t="s">
        <v>5476</v>
      </c>
      <c r="G1290" s="35" t="s">
        <v>31</v>
      </c>
      <c r="H1290" s="35" t="s">
        <v>151</v>
      </c>
      <c r="I1290" s="36" t="s">
        <v>5477</v>
      </c>
      <c r="J1290" s="37"/>
      <c r="K1290" s="38"/>
      <c r="L1290" s="38"/>
      <c r="M1290" s="36" t="s">
        <v>60</v>
      </c>
      <c r="N1290" s="15" t="s">
        <v>152</v>
      </c>
      <c r="O1290" s="36" t="s">
        <v>5122</v>
      </c>
      <c r="P1290" s="36" t="str">
        <f t="shared" si="40"/>
        <v>API_開放_村里清單_雲林縣</v>
      </c>
      <c r="Q1290" s="36" t="s">
        <v>5476</v>
      </c>
      <c r="R1290" s="29" t="str">
        <f t="shared" si="41"/>
        <v>2dms_pubapi_v1_ListVillage_P</v>
      </c>
      <c r="U1290" s="27" t="str">
        <f>_xlfn.XLOOKUP(表格1[[#This Row],[服務類別(英)]],參考2_服務標準對照!$B:$B,參考2_服務標準對照!$C:$C,"")&amp;""</f>
        <v/>
      </c>
      <c r="V1290" s="29" t="s">
        <v>17</v>
      </c>
      <c r="W1290" s="29" t="s">
        <v>5123</v>
      </c>
      <c r="X1290" s="29" t="s">
        <v>81</v>
      </c>
      <c r="Y1290" s="36" t="s">
        <v>83</v>
      </c>
      <c r="Z1290" s="36" t="s">
        <v>157</v>
      </c>
      <c r="AA1290" s="36" t="s">
        <v>5134</v>
      </c>
      <c r="AB1290" s="36"/>
      <c r="AC1290" s="36"/>
      <c r="AD1290" s="29" t="s">
        <v>96</v>
      </c>
      <c r="AE1290" s="36" t="str">
        <f>_xlfn.XLOOKUP(表格1[[#This Row],[唯一識別碼]],API清冊0707!B:B,API清冊0707!T:T,"")&amp;""</f>
        <v>有下拉選單</v>
      </c>
    </row>
    <row r="1291" spans="1:31" ht="111" customHeight="1" x14ac:dyDescent="0.4">
      <c r="A1291" s="29" t="s">
        <v>5478</v>
      </c>
      <c r="B1291" s="29" t="s">
        <v>31</v>
      </c>
      <c r="C1291" s="29" t="s">
        <v>5312</v>
      </c>
      <c r="D1291" s="29" t="s">
        <v>5479</v>
      </c>
      <c r="E1291" s="29" t="s">
        <v>5480</v>
      </c>
      <c r="F1291" s="29" t="s">
        <v>5481</v>
      </c>
      <c r="G1291" s="35" t="s">
        <v>31</v>
      </c>
      <c r="H1291" s="35" t="s">
        <v>151</v>
      </c>
      <c r="I1291" s="36" t="s">
        <v>5482</v>
      </c>
      <c r="J1291" s="37"/>
      <c r="K1291" s="38"/>
      <c r="L1291" s="38"/>
      <c r="M1291" s="36" t="s">
        <v>60</v>
      </c>
      <c r="N1291" s="15" t="s">
        <v>152</v>
      </c>
      <c r="O1291" s="36" t="s">
        <v>5122</v>
      </c>
      <c r="P1291" s="36" t="str">
        <f t="shared" si="40"/>
        <v>API_開放_村里清單_新北市</v>
      </c>
      <c r="Q1291" s="36" t="s">
        <v>5481</v>
      </c>
      <c r="R1291" s="29" t="str">
        <f t="shared" si="41"/>
        <v>2dms_pubapi_v1_ListVillage_F</v>
      </c>
      <c r="U1291" s="27" t="str">
        <f>_xlfn.XLOOKUP(表格1[[#This Row],[服務類別(英)]],參考2_服務標準對照!$B:$B,參考2_服務標準對照!$C:$C,"")&amp;""</f>
        <v/>
      </c>
      <c r="V1291" s="29" t="s">
        <v>17</v>
      </c>
      <c r="W1291" s="29" t="s">
        <v>5123</v>
      </c>
      <c r="X1291" s="29" t="s">
        <v>81</v>
      </c>
      <c r="Y1291" s="36" t="s">
        <v>83</v>
      </c>
      <c r="Z1291" s="36" t="s">
        <v>157</v>
      </c>
      <c r="AA1291" s="36" t="s">
        <v>5134</v>
      </c>
      <c r="AB1291" s="36"/>
      <c r="AC1291" s="36"/>
      <c r="AD1291" s="29" t="s">
        <v>96</v>
      </c>
      <c r="AE1291" s="36" t="str">
        <f>_xlfn.XLOOKUP(表格1[[#This Row],[唯一識別碼]],API清冊0707!B:B,API清冊0707!T:T,"")&amp;""</f>
        <v>有下拉選單</v>
      </c>
    </row>
    <row r="1292" spans="1:31" ht="111" customHeight="1" x14ac:dyDescent="0.4">
      <c r="A1292" s="29" t="s">
        <v>5483</v>
      </c>
      <c r="B1292" s="29" t="s">
        <v>31</v>
      </c>
      <c r="C1292" s="29" t="s">
        <v>5312</v>
      </c>
      <c r="D1292" s="29" t="s">
        <v>5484</v>
      </c>
      <c r="E1292" s="29" t="s">
        <v>5485</v>
      </c>
      <c r="F1292" s="29" t="s">
        <v>5486</v>
      </c>
      <c r="G1292" s="35" t="s">
        <v>31</v>
      </c>
      <c r="H1292" s="35" t="s">
        <v>151</v>
      </c>
      <c r="I1292" s="36" t="s">
        <v>5487</v>
      </c>
      <c r="J1292" s="37"/>
      <c r="K1292" s="38"/>
      <c r="L1292" s="38"/>
      <c r="M1292" s="36" t="s">
        <v>60</v>
      </c>
      <c r="N1292" s="15" t="s">
        <v>152</v>
      </c>
      <c r="O1292" s="36" t="s">
        <v>5122</v>
      </c>
      <c r="P1292" s="36" t="str">
        <f t="shared" si="40"/>
        <v>API_開放_村里清單_新竹市</v>
      </c>
      <c r="Q1292" s="36" t="s">
        <v>5486</v>
      </c>
      <c r="R1292" s="29" t="str">
        <f t="shared" si="41"/>
        <v>2dms_pubapi_v1_ListVillage_O</v>
      </c>
      <c r="U1292" s="27" t="str">
        <f>_xlfn.XLOOKUP(表格1[[#This Row],[服務類別(英)]],參考2_服務標準對照!$B:$B,參考2_服務標準對照!$C:$C,"")&amp;""</f>
        <v/>
      </c>
      <c r="V1292" s="29" t="s">
        <v>17</v>
      </c>
      <c r="W1292" s="29" t="s">
        <v>5123</v>
      </c>
      <c r="X1292" s="29" t="s">
        <v>81</v>
      </c>
      <c r="Y1292" s="36" t="s">
        <v>83</v>
      </c>
      <c r="Z1292" s="36" t="s">
        <v>157</v>
      </c>
      <c r="AA1292" s="36" t="s">
        <v>5134</v>
      </c>
      <c r="AB1292" s="36"/>
      <c r="AC1292" s="36"/>
      <c r="AD1292" s="29" t="s">
        <v>96</v>
      </c>
      <c r="AE1292" s="36" t="str">
        <f>_xlfn.XLOOKUP(表格1[[#This Row],[唯一識別碼]],API清冊0707!B:B,API清冊0707!T:T,"")&amp;""</f>
        <v>有下拉選單</v>
      </c>
    </row>
    <row r="1293" spans="1:31" ht="111" customHeight="1" x14ac:dyDescent="0.4">
      <c r="A1293" s="29" t="s">
        <v>5488</v>
      </c>
      <c r="B1293" s="29" t="s">
        <v>31</v>
      </c>
      <c r="C1293" s="29" t="s">
        <v>5312</v>
      </c>
      <c r="D1293" s="29" t="s">
        <v>5489</v>
      </c>
      <c r="E1293" s="29" t="s">
        <v>5490</v>
      </c>
      <c r="F1293" s="29" t="s">
        <v>5491</v>
      </c>
      <c r="G1293" s="35" t="s">
        <v>31</v>
      </c>
      <c r="H1293" s="35" t="s">
        <v>151</v>
      </c>
      <c r="I1293" s="36" t="s">
        <v>5492</v>
      </c>
      <c r="J1293" s="37"/>
      <c r="K1293" s="38"/>
      <c r="L1293" s="38"/>
      <c r="M1293" s="36" t="s">
        <v>60</v>
      </c>
      <c r="N1293" s="15" t="s">
        <v>152</v>
      </c>
      <c r="O1293" s="36" t="s">
        <v>5122</v>
      </c>
      <c r="P1293" s="36" t="str">
        <f t="shared" si="40"/>
        <v>API_開放_村里清單_新竹縣</v>
      </c>
      <c r="Q1293" s="36" t="s">
        <v>5491</v>
      </c>
      <c r="R1293" s="29" t="str">
        <f t="shared" si="41"/>
        <v>2dms_pubapi_v1_ListVillage_J</v>
      </c>
      <c r="U1293" s="27" t="str">
        <f>_xlfn.XLOOKUP(表格1[[#This Row],[服務類別(英)]],參考2_服務標準對照!$B:$B,參考2_服務標準對照!$C:$C,"")&amp;""</f>
        <v/>
      </c>
      <c r="V1293" s="29" t="s">
        <v>17</v>
      </c>
      <c r="W1293" s="29" t="s">
        <v>5123</v>
      </c>
      <c r="X1293" s="29" t="s">
        <v>81</v>
      </c>
      <c r="Y1293" s="36" t="s">
        <v>83</v>
      </c>
      <c r="Z1293" s="36" t="s">
        <v>157</v>
      </c>
      <c r="AA1293" s="36" t="s">
        <v>5134</v>
      </c>
      <c r="AB1293" s="36"/>
      <c r="AC1293" s="36"/>
      <c r="AD1293" s="29" t="s">
        <v>96</v>
      </c>
      <c r="AE1293" s="36" t="str">
        <f>_xlfn.XLOOKUP(表格1[[#This Row],[唯一識別碼]],API清冊0707!B:B,API清冊0707!T:T,"")&amp;""</f>
        <v>有下拉選單</v>
      </c>
    </row>
    <row r="1294" spans="1:31" ht="111" customHeight="1" x14ac:dyDescent="0.4">
      <c r="A1294" s="29" t="s">
        <v>5493</v>
      </c>
      <c r="B1294" s="29" t="s">
        <v>31</v>
      </c>
      <c r="C1294" s="29" t="s">
        <v>5312</v>
      </c>
      <c r="D1294" s="29" t="s">
        <v>5494</v>
      </c>
      <c r="E1294" s="29" t="s">
        <v>5495</v>
      </c>
      <c r="F1294" s="29" t="s">
        <v>5496</v>
      </c>
      <c r="G1294" s="35" t="s">
        <v>31</v>
      </c>
      <c r="H1294" s="35" t="s">
        <v>151</v>
      </c>
      <c r="I1294" s="36" t="s">
        <v>5497</v>
      </c>
      <c r="J1294" s="37"/>
      <c r="K1294" s="38"/>
      <c r="L1294" s="38"/>
      <c r="M1294" s="36" t="s">
        <v>60</v>
      </c>
      <c r="N1294" s="15" t="s">
        <v>152</v>
      </c>
      <c r="O1294" s="36" t="s">
        <v>5122</v>
      </c>
      <c r="P1294" s="36" t="str">
        <f t="shared" si="40"/>
        <v>API_開放_村里清單_嘉義市</v>
      </c>
      <c r="Q1294" s="36" t="s">
        <v>5496</v>
      </c>
      <c r="R1294" s="29" t="str">
        <f t="shared" si="41"/>
        <v>2dms_pubapi_v1_ListVillage_I</v>
      </c>
      <c r="U1294" s="27" t="str">
        <f>_xlfn.XLOOKUP(表格1[[#This Row],[服務類別(英)]],參考2_服務標準對照!$B:$B,參考2_服務標準對照!$C:$C,"")&amp;""</f>
        <v/>
      </c>
      <c r="V1294" s="29" t="s">
        <v>17</v>
      </c>
      <c r="W1294" s="29" t="s">
        <v>5123</v>
      </c>
      <c r="X1294" s="29" t="s">
        <v>81</v>
      </c>
      <c r="Y1294" s="36" t="s">
        <v>83</v>
      </c>
      <c r="Z1294" s="36" t="s">
        <v>157</v>
      </c>
      <c r="AA1294" s="36" t="s">
        <v>5134</v>
      </c>
      <c r="AB1294" s="36"/>
      <c r="AC1294" s="36"/>
      <c r="AD1294" s="29" t="s">
        <v>96</v>
      </c>
      <c r="AE1294" s="36" t="str">
        <f>_xlfn.XLOOKUP(表格1[[#This Row],[唯一識別碼]],API清冊0707!B:B,API清冊0707!T:T,"")&amp;""</f>
        <v>有下拉選單</v>
      </c>
    </row>
    <row r="1295" spans="1:31" ht="111" customHeight="1" x14ac:dyDescent="0.4">
      <c r="A1295" s="29" t="s">
        <v>5498</v>
      </c>
      <c r="B1295" s="29" t="s">
        <v>31</v>
      </c>
      <c r="C1295" s="29" t="s">
        <v>5312</v>
      </c>
      <c r="D1295" s="29" t="s">
        <v>5499</v>
      </c>
      <c r="E1295" s="29" t="s">
        <v>5500</v>
      </c>
      <c r="F1295" s="29" t="s">
        <v>5501</v>
      </c>
      <c r="G1295" s="35" t="s">
        <v>31</v>
      </c>
      <c r="H1295" s="35" t="s">
        <v>151</v>
      </c>
      <c r="I1295" s="36" t="s">
        <v>5502</v>
      </c>
      <c r="J1295" s="37"/>
      <c r="K1295" s="38"/>
      <c r="L1295" s="38"/>
      <c r="M1295" s="36" t="s">
        <v>60</v>
      </c>
      <c r="N1295" s="15" t="s">
        <v>152</v>
      </c>
      <c r="O1295" s="36" t="s">
        <v>5122</v>
      </c>
      <c r="P1295" s="36" t="str">
        <f t="shared" si="40"/>
        <v>API_開放_村里清單_嘉義縣</v>
      </c>
      <c r="Q1295" s="36" t="s">
        <v>5501</v>
      </c>
      <c r="R1295" s="29" t="str">
        <f t="shared" si="41"/>
        <v>2dms_pubapi_v1_ListVillage_Q</v>
      </c>
      <c r="U1295" s="27" t="str">
        <f>_xlfn.XLOOKUP(表格1[[#This Row],[服務類別(英)]],參考2_服務標準對照!$B:$B,參考2_服務標準對照!$C:$C,"")&amp;""</f>
        <v/>
      </c>
      <c r="V1295" s="29" t="s">
        <v>17</v>
      </c>
      <c r="W1295" s="29" t="s">
        <v>5123</v>
      </c>
      <c r="X1295" s="29" t="s">
        <v>81</v>
      </c>
      <c r="Y1295" s="36" t="s">
        <v>83</v>
      </c>
      <c r="Z1295" s="36" t="s">
        <v>157</v>
      </c>
      <c r="AA1295" s="36" t="s">
        <v>5134</v>
      </c>
      <c r="AB1295" s="36"/>
      <c r="AC1295" s="36"/>
      <c r="AD1295" s="29" t="s">
        <v>96</v>
      </c>
      <c r="AE1295" s="36" t="str">
        <f>_xlfn.XLOOKUP(表格1[[#This Row],[唯一識別碼]],API清冊0707!B:B,API清冊0707!T:T,"")&amp;""</f>
        <v>有下拉選單</v>
      </c>
    </row>
    <row r="1296" spans="1:31" ht="111" customHeight="1" x14ac:dyDescent="0.4">
      <c r="A1296" s="29" t="s">
        <v>5503</v>
      </c>
      <c r="B1296" s="29" t="s">
        <v>31</v>
      </c>
      <c r="C1296" s="29" t="s">
        <v>5312</v>
      </c>
      <c r="D1296" s="29" t="s">
        <v>5504</v>
      </c>
      <c r="E1296" s="29" t="s">
        <v>5505</v>
      </c>
      <c r="F1296" s="29" t="s">
        <v>5506</v>
      </c>
      <c r="G1296" s="35" t="s">
        <v>31</v>
      </c>
      <c r="H1296" s="35" t="s">
        <v>151</v>
      </c>
      <c r="I1296" s="36" t="s">
        <v>5507</v>
      </c>
      <c r="J1296" s="37"/>
      <c r="K1296" s="38"/>
      <c r="L1296" s="38"/>
      <c r="M1296" s="36" t="s">
        <v>60</v>
      </c>
      <c r="N1296" s="15" t="s">
        <v>152</v>
      </c>
      <c r="O1296" s="36" t="s">
        <v>5122</v>
      </c>
      <c r="P1296" s="36" t="str">
        <f t="shared" si="40"/>
        <v>API_開放_村里清單_彰化縣</v>
      </c>
      <c r="Q1296" s="36" t="s">
        <v>5506</v>
      </c>
      <c r="R1296" s="29" t="str">
        <f t="shared" si="41"/>
        <v>2dms_pubapi_v1_ListVillage_N</v>
      </c>
      <c r="U1296" s="27" t="str">
        <f>_xlfn.XLOOKUP(表格1[[#This Row],[服務類別(英)]],參考2_服務標準對照!$B:$B,參考2_服務標準對照!$C:$C,"")&amp;""</f>
        <v/>
      </c>
      <c r="V1296" s="29" t="s">
        <v>17</v>
      </c>
      <c r="W1296" s="29" t="s">
        <v>5123</v>
      </c>
      <c r="X1296" s="29" t="s">
        <v>81</v>
      </c>
      <c r="Y1296" s="36" t="s">
        <v>83</v>
      </c>
      <c r="Z1296" s="36" t="s">
        <v>157</v>
      </c>
      <c r="AA1296" s="36" t="s">
        <v>5134</v>
      </c>
      <c r="AB1296" s="36"/>
      <c r="AC1296" s="36"/>
      <c r="AD1296" s="29" t="s">
        <v>96</v>
      </c>
      <c r="AE1296" s="36" t="str">
        <f>_xlfn.XLOOKUP(表格1[[#This Row],[唯一識別碼]],API清冊0707!B:B,API清冊0707!T:T,"")&amp;""</f>
        <v>有下拉選單</v>
      </c>
    </row>
    <row r="1297" spans="1:31" ht="111" customHeight="1" x14ac:dyDescent="0.4">
      <c r="A1297" s="29" t="s">
        <v>5508</v>
      </c>
      <c r="B1297" s="29" t="s">
        <v>31</v>
      </c>
      <c r="C1297" s="29" t="s">
        <v>5312</v>
      </c>
      <c r="D1297" s="29" t="s">
        <v>5509</v>
      </c>
      <c r="E1297" s="29" t="s">
        <v>5510</v>
      </c>
      <c r="F1297" s="29" t="s">
        <v>5511</v>
      </c>
      <c r="G1297" s="35" t="s">
        <v>31</v>
      </c>
      <c r="H1297" s="35" t="s">
        <v>151</v>
      </c>
      <c r="I1297" s="36" t="s">
        <v>5512</v>
      </c>
      <c r="J1297" s="37"/>
      <c r="K1297" s="38"/>
      <c r="L1297" s="38"/>
      <c r="M1297" s="36" t="s">
        <v>60</v>
      </c>
      <c r="N1297" s="15" t="s">
        <v>152</v>
      </c>
      <c r="O1297" s="36" t="s">
        <v>5122</v>
      </c>
      <c r="P1297" s="36" t="str">
        <f t="shared" si="40"/>
        <v>API_開放_村里清單_臺中市</v>
      </c>
      <c r="Q1297" s="36" t="s">
        <v>5511</v>
      </c>
      <c r="R1297" s="29" t="str">
        <f t="shared" si="41"/>
        <v>2dms_pubapi_v1_ListVillage_B</v>
      </c>
      <c r="U1297" s="27" t="str">
        <f>_xlfn.XLOOKUP(表格1[[#This Row],[服務類別(英)]],參考2_服務標準對照!$B:$B,參考2_服務標準對照!$C:$C,"")&amp;""</f>
        <v/>
      </c>
      <c r="V1297" s="29" t="s">
        <v>17</v>
      </c>
      <c r="W1297" s="29" t="s">
        <v>5123</v>
      </c>
      <c r="X1297" s="29" t="s">
        <v>81</v>
      </c>
      <c r="Y1297" s="36" t="s">
        <v>83</v>
      </c>
      <c r="Z1297" s="36" t="s">
        <v>157</v>
      </c>
      <c r="AA1297" s="36" t="s">
        <v>5134</v>
      </c>
      <c r="AB1297" s="36"/>
      <c r="AC1297" s="36"/>
      <c r="AD1297" s="29" t="s">
        <v>96</v>
      </c>
      <c r="AE1297" s="36" t="str">
        <f>_xlfn.XLOOKUP(表格1[[#This Row],[唯一識別碼]],API清冊0707!B:B,API清冊0707!T:T,"")&amp;""</f>
        <v>有下拉選單</v>
      </c>
    </row>
    <row r="1298" spans="1:31" ht="111" customHeight="1" x14ac:dyDescent="0.4">
      <c r="A1298" s="29" t="s">
        <v>5513</v>
      </c>
      <c r="B1298" s="29" t="s">
        <v>31</v>
      </c>
      <c r="C1298" s="29" t="s">
        <v>5312</v>
      </c>
      <c r="D1298" s="29" t="s">
        <v>5514</v>
      </c>
      <c r="E1298" s="29" t="s">
        <v>5515</v>
      </c>
      <c r="F1298" s="29" t="s">
        <v>5516</v>
      </c>
      <c r="G1298" s="35" t="s">
        <v>31</v>
      </c>
      <c r="H1298" s="35" t="s">
        <v>151</v>
      </c>
      <c r="I1298" s="36" t="s">
        <v>5517</v>
      </c>
      <c r="J1298" s="37"/>
      <c r="K1298" s="38"/>
      <c r="L1298" s="38"/>
      <c r="M1298" s="36" t="s">
        <v>60</v>
      </c>
      <c r="N1298" s="15" t="s">
        <v>152</v>
      </c>
      <c r="O1298" s="36" t="s">
        <v>5122</v>
      </c>
      <c r="P1298" s="36" t="str">
        <f t="shared" si="40"/>
        <v>API_開放_村里清單_臺北市</v>
      </c>
      <c r="Q1298" s="36" t="s">
        <v>5516</v>
      </c>
      <c r="R1298" s="29" t="str">
        <f t="shared" si="41"/>
        <v>2dms_pubapi_v1_ListVillage_A</v>
      </c>
      <c r="U1298" s="27" t="str">
        <f>_xlfn.XLOOKUP(表格1[[#This Row],[服務類別(英)]],參考2_服務標準對照!$B:$B,參考2_服務標準對照!$C:$C,"")&amp;""</f>
        <v/>
      </c>
      <c r="V1298" s="29" t="s">
        <v>17</v>
      </c>
      <c r="W1298" s="29" t="s">
        <v>5123</v>
      </c>
      <c r="X1298" s="29" t="s">
        <v>81</v>
      </c>
      <c r="Y1298" s="36" t="s">
        <v>83</v>
      </c>
      <c r="Z1298" s="36" t="s">
        <v>157</v>
      </c>
      <c r="AA1298" s="36" t="s">
        <v>5134</v>
      </c>
      <c r="AB1298" s="36"/>
      <c r="AC1298" s="36"/>
      <c r="AD1298" s="29" t="s">
        <v>96</v>
      </c>
      <c r="AE1298" s="36" t="str">
        <f>_xlfn.XLOOKUP(表格1[[#This Row],[唯一識別碼]],API清冊0707!B:B,API清冊0707!T:T,"")&amp;""</f>
        <v>有下拉選單</v>
      </c>
    </row>
    <row r="1299" spans="1:31" ht="111" customHeight="1" x14ac:dyDescent="0.4">
      <c r="A1299" s="29" t="s">
        <v>5518</v>
      </c>
      <c r="B1299" s="29" t="s">
        <v>31</v>
      </c>
      <c r="C1299" s="29" t="s">
        <v>5312</v>
      </c>
      <c r="D1299" s="29" t="s">
        <v>5519</v>
      </c>
      <c r="E1299" s="29" t="s">
        <v>5520</v>
      </c>
      <c r="F1299" s="29" t="s">
        <v>5521</v>
      </c>
      <c r="G1299" s="35" t="s">
        <v>31</v>
      </c>
      <c r="H1299" s="35" t="s">
        <v>151</v>
      </c>
      <c r="I1299" s="36" t="s">
        <v>5522</v>
      </c>
      <c r="J1299" s="37"/>
      <c r="K1299" s="38"/>
      <c r="L1299" s="38"/>
      <c r="M1299" s="36" t="s">
        <v>60</v>
      </c>
      <c r="N1299" s="15" t="s">
        <v>152</v>
      </c>
      <c r="O1299" s="36" t="s">
        <v>5122</v>
      </c>
      <c r="P1299" s="36" t="str">
        <f t="shared" si="40"/>
        <v>API_開放_村里清單_臺東縣</v>
      </c>
      <c r="Q1299" s="36" t="s">
        <v>5521</v>
      </c>
      <c r="R1299" s="29" t="str">
        <f t="shared" si="41"/>
        <v>2dms_pubapi_v1_ListVillage_V</v>
      </c>
      <c r="U1299" s="27" t="str">
        <f>_xlfn.XLOOKUP(表格1[[#This Row],[服務類別(英)]],參考2_服務標準對照!$B:$B,參考2_服務標準對照!$C:$C,"")&amp;""</f>
        <v/>
      </c>
      <c r="V1299" s="29" t="s">
        <v>17</v>
      </c>
      <c r="W1299" s="29" t="s">
        <v>5123</v>
      </c>
      <c r="X1299" s="29" t="s">
        <v>81</v>
      </c>
      <c r="Y1299" s="36" t="s">
        <v>83</v>
      </c>
      <c r="Z1299" s="36" t="s">
        <v>157</v>
      </c>
      <c r="AA1299" s="36" t="s">
        <v>5134</v>
      </c>
      <c r="AB1299" s="36"/>
      <c r="AC1299" s="36"/>
      <c r="AD1299" s="29" t="s">
        <v>96</v>
      </c>
      <c r="AE1299" s="36" t="str">
        <f>_xlfn.XLOOKUP(表格1[[#This Row],[唯一識別碼]],API清冊0707!B:B,API清冊0707!T:T,"")&amp;""</f>
        <v>有下拉選單</v>
      </c>
    </row>
    <row r="1300" spans="1:31" ht="111" customHeight="1" x14ac:dyDescent="0.4">
      <c r="A1300" s="29" t="s">
        <v>5523</v>
      </c>
      <c r="B1300" s="29" t="s">
        <v>31</v>
      </c>
      <c r="C1300" s="29" t="s">
        <v>5312</v>
      </c>
      <c r="D1300" s="29" t="s">
        <v>5524</v>
      </c>
      <c r="E1300" s="29" t="s">
        <v>5525</v>
      </c>
      <c r="F1300" s="29" t="s">
        <v>5526</v>
      </c>
      <c r="G1300" s="35" t="s">
        <v>31</v>
      </c>
      <c r="H1300" s="35" t="s">
        <v>151</v>
      </c>
      <c r="I1300" s="36" t="s">
        <v>5527</v>
      </c>
      <c r="J1300" s="37"/>
      <c r="K1300" s="38"/>
      <c r="L1300" s="38"/>
      <c r="M1300" s="36" t="s">
        <v>60</v>
      </c>
      <c r="N1300" s="15" t="s">
        <v>152</v>
      </c>
      <c r="O1300" s="36" t="s">
        <v>5122</v>
      </c>
      <c r="P1300" s="36" t="str">
        <f t="shared" si="40"/>
        <v>API_開放_村里清單_臺南市</v>
      </c>
      <c r="Q1300" s="36" t="s">
        <v>5526</v>
      </c>
      <c r="R1300" s="29" t="str">
        <f t="shared" si="41"/>
        <v>2dms_pubapi_v1_ListVillage_D</v>
      </c>
      <c r="U1300" s="27" t="str">
        <f>_xlfn.XLOOKUP(表格1[[#This Row],[服務類別(英)]],參考2_服務標準對照!$B:$B,參考2_服務標準對照!$C:$C,"")&amp;""</f>
        <v/>
      </c>
      <c r="V1300" s="29" t="s">
        <v>17</v>
      </c>
      <c r="W1300" s="29" t="s">
        <v>5123</v>
      </c>
      <c r="X1300" s="29" t="s">
        <v>81</v>
      </c>
      <c r="Y1300" s="36" t="s">
        <v>83</v>
      </c>
      <c r="Z1300" s="36" t="s">
        <v>157</v>
      </c>
      <c r="AA1300" s="36" t="s">
        <v>5134</v>
      </c>
      <c r="AB1300" s="36"/>
      <c r="AC1300" s="36"/>
      <c r="AD1300" s="29" t="s">
        <v>96</v>
      </c>
      <c r="AE1300" s="36" t="str">
        <f>_xlfn.XLOOKUP(表格1[[#This Row],[唯一識別碼]],API清冊0707!B:B,API清冊0707!T:T,"")&amp;""</f>
        <v>有下拉選單</v>
      </c>
    </row>
    <row r="1301" spans="1:31" ht="111" customHeight="1" x14ac:dyDescent="0.4">
      <c r="A1301" s="29" t="s">
        <v>5528</v>
      </c>
      <c r="B1301" s="29" t="s">
        <v>31</v>
      </c>
      <c r="C1301" s="29" t="s">
        <v>5312</v>
      </c>
      <c r="D1301" s="29" t="s">
        <v>5529</v>
      </c>
      <c r="E1301" s="29" t="s">
        <v>5530</v>
      </c>
      <c r="F1301" s="29" t="s">
        <v>5531</v>
      </c>
      <c r="G1301" s="35" t="s">
        <v>31</v>
      </c>
      <c r="H1301" s="35" t="s">
        <v>151</v>
      </c>
      <c r="I1301" s="36" t="s">
        <v>5532</v>
      </c>
      <c r="J1301" s="37"/>
      <c r="K1301" s="38"/>
      <c r="L1301" s="38"/>
      <c r="M1301" s="36" t="s">
        <v>60</v>
      </c>
      <c r="N1301" s="15" t="s">
        <v>152</v>
      </c>
      <c r="O1301" s="36" t="s">
        <v>5122</v>
      </c>
      <c r="P1301" s="36" t="str">
        <f t="shared" si="40"/>
        <v>API_開放_村里清單_澎湖縣</v>
      </c>
      <c r="Q1301" s="36" t="s">
        <v>5531</v>
      </c>
      <c r="R1301" s="29" t="str">
        <f t="shared" si="41"/>
        <v>2dms_pubapi_v1_ListVillage_X</v>
      </c>
      <c r="U1301" s="27" t="str">
        <f>_xlfn.XLOOKUP(表格1[[#This Row],[服務類別(英)]],參考2_服務標準對照!$B:$B,參考2_服務標準對照!$C:$C,"")&amp;""</f>
        <v/>
      </c>
      <c r="V1301" s="29" t="s">
        <v>17</v>
      </c>
      <c r="W1301" s="29" t="s">
        <v>5123</v>
      </c>
      <c r="X1301" s="29" t="s">
        <v>81</v>
      </c>
      <c r="Y1301" s="36" t="s">
        <v>83</v>
      </c>
      <c r="Z1301" s="36" t="s">
        <v>157</v>
      </c>
      <c r="AA1301" s="36" t="s">
        <v>5134</v>
      </c>
      <c r="AB1301" s="36"/>
      <c r="AC1301" s="36"/>
      <c r="AD1301" s="29" t="s">
        <v>96</v>
      </c>
      <c r="AE1301" s="36" t="str">
        <f>_xlfn.XLOOKUP(表格1[[#This Row],[唯一識別碼]],API清冊0707!B:B,API清冊0707!T:T,"")&amp;""</f>
        <v>有下拉選單</v>
      </c>
    </row>
    <row r="1302" spans="1:31" ht="157.5" customHeight="1" x14ac:dyDescent="0.4">
      <c r="A1302" s="29" t="s">
        <v>5533</v>
      </c>
      <c r="B1302" s="29" t="s">
        <v>31</v>
      </c>
      <c r="C1302" s="29" t="s">
        <v>5534</v>
      </c>
      <c r="D1302" s="29" t="s">
        <v>5535</v>
      </c>
      <c r="E1302" s="29" t="s">
        <v>5536</v>
      </c>
      <c r="F1302" s="29" t="s">
        <v>5537</v>
      </c>
      <c r="G1302" s="35"/>
      <c r="H1302" s="35" t="s">
        <v>151</v>
      </c>
      <c r="I1302" s="36" t="s">
        <v>5538</v>
      </c>
      <c r="J1302" s="37"/>
      <c r="K1302" s="38"/>
      <c r="L1302" s="38"/>
      <c r="M1302" s="36" t="s">
        <v>60</v>
      </c>
      <c r="N1302" s="15" t="s">
        <v>152</v>
      </c>
      <c r="O1302" s="36" t="s">
        <v>5122</v>
      </c>
      <c r="P1302" s="36" t="str">
        <f t="shared" si="40"/>
        <v>API_開放_村里界線範圍圖形(戶政)_全國</v>
      </c>
      <c r="Q1302" s="36" t="s">
        <v>5537</v>
      </c>
      <c r="R1302" s="29" t="str">
        <f t="shared" si="41"/>
        <v>2dms_pubapi_v1_GetMapVillage</v>
      </c>
      <c r="U1302" s="27" t="str">
        <f>_xlfn.XLOOKUP(表格1[[#This Row],[服務類別(英)]],參考2_服務標準對照!$B:$B,參考2_服務標準對照!$C:$C,"")&amp;""</f>
        <v/>
      </c>
      <c r="V1302" s="29" t="s">
        <v>17</v>
      </c>
      <c r="W1302" s="29" t="s">
        <v>5123</v>
      </c>
      <c r="X1302" s="29" t="s">
        <v>81</v>
      </c>
      <c r="Y1302" s="36" t="s">
        <v>83</v>
      </c>
      <c r="Z1302" s="36" t="s">
        <v>157</v>
      </c>
      <c r="AA1302" s="36" t="s">
        <v>5124</v>
      </c>
      <c r="AB1302" s="36"/>
      <c r="AC1302" s="36"/>
      <c r="AD1302" s="29" t="s">
        <v>119</v>
      </c>
      <c r="AE1302" s="36" t="str">
        <f>_xlfn.XLOOKUP(表格1[[#This Row],[唯一識別碼]],API清冊0707!B:B,API清冊0707!T:T,"")&amp;""</f>
        <v>無下拉選單</v>
      </c>
    </row>
    <row r="1303" spans="1:31" ht="142.5" customHeight="1" x14ac:dyDescent="0.4">
      <c r="A1303" s="29" t="s">
        <v>5539</v>
      </c>
      <c r="B1303" s="29" t="s">
        <v>31</v>
      </c>
      <c r="C1303" s="29" t="s">
        <v>5540</v>
      </c>
      <c r="D1303" s="29" t="s">
        <v>5541</v>
      </c>
      <c r="E1303" s="29" t="s">
        <v>5542</v>
      </c>
      <c r="F1303" s="29" t="s">
        <v>5543</v>
      </c>
      <c r="G1303" s="35"/>
      <c r="H1303" s="35" t="s">
        <v>151</v>
      </c>
      <c r="I1303" s="36" t="s">
        <v>5544</v>
      </c>
      <c r="J1303" s="37"/>
      <c r="K1303" s="38"/>
      <c r="L1303" s="38"/>
      <c r="M1303" s="36" t="s">
        <v>60</v>
      </c>
      <c r="N1303" s="15" t="s">
        <v>152</v>
      </c>
      <c r="O1303" s="36" t="s">
        <v>5122</v>
      </c>
      <c r="P1303" s="36" t="str">
        <f t="shared" si="40"/>
        <v>API_開放_查詢文教設施_全國</v>
      </c>
      <c r="Q1303" s="36" t="s">
        <v>5543</v>
      </c>
      <c r="R1303" s="29" t="str">
        <f t="shared" si="41"/>
        <v>2dms_pubapi_v1_MarkBufferAnlysEdu</v>
      </c>
      <c r="U1303" s="27" t="str">
        <f>_xlfn.XLOOKUP(表格1[[#This Row],[服務類別(英)]],參考2_服務標準對照!$B:$B,參考2_服務標準對照!$C:$C,"")&amp;""</f>
        <v/>
      </c>
      <c r="V1303" s="29" t="s">
        <v>17</v>
      </c>
      <c r="W1303" s="29" t="s">
        <v>5123</v>
      </c>
      <c r="X1303" s="29" t="s">
        <v>81</v>
      </c>
      <c r="Y1303" s="36" t="s">
        <v>83</v>
      </c>
      <c r="Z1303" s="36" t="s">
        <v>157</v>
      </c>
      <c r="AA1303" s="36" t="s">
        <v>5545</v>
      </c>
      <c r="AB1303" s="36"/>
      <c r="AC1303" s="36"/>
      <c r="AD1303" s="29" t="s">
        <v>119</v>
      </c>
      <c r="AE1303" s="36" t="str">
        <f>_xlfn.XLOOKUP(表格1[[#This Row],[唯一識別碼]],API清冊0707!B:B,API清冊0707!T:T,"")&amp;""</f>
        <v>無下拉選單</v>
      </c>
    </row>
    <row r="1304" spans="1:31" ht="142.5" customHeight="1" x14ac:dyDescent="0.4">
      <c r="A1304" s="29" t="s">
        <v>5546</v>
      </c>
      <c r="B1304" s="29" t="s">
        <v>31</v>
      </c>
      <c r="C1304" s="29" t="s">
        <v>5540</v>
      </c>
      <c r="D1304" s="29" t="s">
        <v>5547</v>
      </c>
      <c r="E1304" s="29" t="s">
        <v>5548</v>
      </c>
      <c r="F1304" s="29" t="s">
        <v>5549</v>
      </c>
      <c r="G1304" s="35"/>
      <c r="H1304" s="35" t="s">
        <v>151</v>
      </c>
      <c r="I1304" s="36" t="s">
        <v>5550</v>
      </c>
      <c r="J1304" s="37"/>
      <c r="K1304" s="38"/>
      <c r="L1304" s="38"/>
      <c r="M1304" s="36" t="s">
        <v>60</v>
      </c>
      <c r="N1304" s="15" t="s">
        <v>152</v>
      </c>
      <c r="O1304" s="36" t="s">
        <v>5122</v>
      </c>
      <c r="P1304" s="36" t="str">
        <f t="shared" si="40"/>
        <v>API_開放_查詢醫療設施_全國</v>
      </c>
      <c r="Q1304" s="36" t="s">
        <v>5549</v>
      </c>
      <c r="R1304" s="29" t="str">
        <f t="shared" si="41"/>
        <v>2dms_pubapi_v1_MarkBufferAnlysMed</v>
      </c>
      <c r="U1304" s="27" t="str">
        <f>_xlfn.XLOOKUP(表格1[[#This Row],[服務類別(英)]],參考2_服務標準對照!$B:$B,參考2_服務標準對照!$C:$C,"")&amp;""</f>
        <v/>
      </c>
      <c r="V1304" s="29" t="s">
        <v>17</v>
      </c>
      <c r="W1304" s="29" t="s">
        <v>5123</v>
      </c>
      <c r="X1304" s="29" t="s">
        <v>81</v>
      </c>
      <c r="Y1304" s="36" t="s">
        <v>83</v>
      </c>
      <c r="Z1304" s="36" t="s">
        <v>157</v>
      </c>
      <c r="AA1304" s="36" t="s">
        <v>5545</v>
      </c>
      <c r="AB1304" s="36"/>
      <c r="AC1304" s="36"/>
      <c r="AD1304" s="29" t="s">
        <v>119</v>
      </c>
      <c r="AE1304" s="36" t="str">
        <f>_xlfn.XLOOKUP(表格1[[#This Row],[唯一識別碼]],API清冊0707!B:B,API清冊0707!T:T,"")&amp;""</f>
        <v>無下拉選單</v>
      </c>
    </row>
    <row r="1305" spans="1:31" ht="142.5" customHeight="1" x14ac:dyDescent="0.4">
      <c r="A1305" s="29" t="s">
        <v>5551</v>
      </c>
      <c r="B1305" s="29" t="s">
        <v>31</v>
      </c>
      <c r="C1305" s="29" t="s">
        <v>5540</v>
      </c>
      <c r="D1305" s="29" t="s">
        <v>5552</v>
      </c>
      <c r="E1305" s="29" t="s">
        <v>5553</v>
      </c>
      <c r="F1305" s="29" t="s">
        <v>5554</v>
      </c>
      <c r="G1305" s="35"/>
      <c r="H1305" s="35" t="s">
        <v>151</v>
      </c>
      <c r="I1305" s="36" t="s">
        <v>5555</v>
      </c>
      <c r="J1305" s="37"/>
      <c r="K1305" s="38"/>
      <c r="L1305" s="38"/>
      <c r="M1305" s="36" t="s">
        <v>60</v>
      </c>
      <c r="N1305" s="15" t="s">
        <v>152</v>
      </c>
      <c r="O1305" s="36" t="s">
        <v>5122</v>
      </c>
      <c r="P1305" s="36" t="str">
        <f t="shared" si="40"/>
        <v>API_開放_查詢工商設施_全國</v>
      </c>
      <c r="Q1305" s="36" t="s">
        <v>5554</v>
      </c>
      <c r="R1305" s="29" t="str">
        <f t="shared" si="41"/>
        <v>2dms_pubapi_v1_MarkBufferAnlysBus</v>
      </c>
      <c r="U1305" s="27" t="str">
        <f>_xlfn.XLOOKUP(表格1[[#This Row],[服務類別(英)]],參考2_服務標準對照!$B:$B,參考2_服務標準對照!$C:$C,"")&amp;""</f>
        <v/>
      </c>
      <c r="V1305" s="29" t="s">
        <v>17</v>
      </c>
      <c r="W1305" s="29" t="s">
        <v>5123</v>
      </c>
      <c r="X1305" s="29" t="s">
        <v>81</v>
      </c>
      <c r="Y1305" s="36" t="s">
        <v>83</v>
      </c>
      <c r="Z1305" s="36" t="s">
        <v>157</v>
      </c>
      <c r="AA1305" s="36" t="s">
        <v>5545</v>
      </c>
      <c r="AB1305" s="36"/>
      <c r="AC1305" s="36"/>
      <c r="AD1305" s="29" t="s">
        <v>119</v>
      </c>
      <c r="AE1305" s="36" t="str">
        <f>_xlfn.XLOOKUP(表格1[[#This Row],[唯一識別碼]],API清冊0707!B:B,API清冊0707!T:T,"")&amp;""</f>
        <v>無下拉選單</v>
      </c>
    </row>
    <row r="1306" spans="1:31" ht="142.5" customHeight="1" x14ac:dyDescent="0.4">
      <c r="A1306" s="29" t="s">
        <v>5556</v>
      </c>
      <c r="B1306" s="29" t="s">
        <v>31</v>
      </c>
      <c r="C1306" s="29" t="s">
        <v>5540</v>
      </c>
      <c r="D1306" s="29" t="s">
        <v>5557</v>
      </c>
      <c r="E1306" s="29" t="s">
        <v>5558</v>
      </c>
      <c r="F1306" s="29" t="s">
        <v>5559</v>
      </c>
      <c r="G1306" s="35"/>
      <c r="H1306" s="35" t="s">
        <v>151</v>
      </c>
      <c r="I1306" s="36" t="s">
        <v>5560</v>
      </c>
      <c r="J1306" s="37"/>
      <c r="K1306" s="38"/>
      <c r="L1306" s="38"/>
      <c r="M1306" s="36" t="s">
        <v>60</v>
      </c>
      <c r="N1306" s="15" t="s">
        <v>152</v>
      </c>
      <c r="O1306" s="36" t="s">
        <v>5122</v>
      </c>
      <c r="P1306" s="36" t="str">
        <f t="shared" si="40"/>
        <v>API_開放_查詢鄰避設施_全國</v>
      </c>
      <c r="Q1306" s="36" t="s">
        <v>5559</v>
      </c>
      <c r="R1306" s="29" t="str">
        <f t="shared" si="41"/>
        <v>2dms_pubapi_v1_MarkBufferAnlysDis</v>
      </c>
      <c r="U1306" s="27" t="str">
        <f>_xlfn.XLOOKUP(表格1[[#This Row],[服務類別(英)]],參考2_服務標準對照!$B:$B,參考2_服務標準對照!$C:$C,"")&amp;""</f>
        <v/>
      </c>
      <c r="V1306" s="29" t="s">
        <v>17</v>
      </c>
      <c r="W1306" s="29" t="s">
        <v>5123</v>
      </c>
      <c r="X1306" s="29" t="s">
        <v>81</v>
      </c>
      <c r="Y1306" s="36" t="s">
        <v>83</v>
      </c>
      <c r="Z1306" s="36" t="s">
        <v>157</v>
      </c>
      <c r="AA1306" s="36" t="s">
        <v>5545</v>
      </c>
      <c r="AB1306" s="36"/>
      <c r="AC1306" s="36"/>
      <c r="AD1306" s="29" t="s">
        <v>119</v>
      </c>
      <c r="AE1306" s="36" t="str">
        <f>_xlfn.XLOOKUP(表格1[[#This Row],[唯一識別碼]],API清冊0707!B:B,API清冊0707!T:T,"")&amp;""</f>
        <v>無下拉選單</v>
      </c>
    </row>
    <row r="1307" spans="1:31" ht="111" customHeight="1" x14ac:dyDescent="0.4">
      <c r="A1307" s="29" t="s">
        <v>5561</v>
      </c>
      <c r="B1307" s="29" t="s">
        <v>31</v>
      </c>
      <c r="C1307" s="29" t="s">
        <v>5312</v>
      </c>
      <c r="D1307" s="29" t="s">
        <v>5562</v>
      </c>
      <c r="E1307" s="29" t="s">
        <v>5563</v>
      </c>
      <c r="F1307" s="29" t="s">
        <v>5564</v>
      </c>
      <c r="G1307" s="35" t="s">
        <v>31</v>
      </c>
      <c r="H1307" s="35" t="s">
        <v>151</v>
      </c>
      <c r="I1307" s="36" t="s">
        <v>5565</v>
      </c>
      <c r="J1307" s="37"/>
      <c r="K1307" s="38"/>
      <c r="L1307" s="38"/>
      <c r="M1307" s="36" t="s">
        <v>60</v>
      </c>
      <c r="N1307" s="15" t="s">
        <v>152</v>
      </c>
      <c r="O1307" s="36" t="s">
        <v>5122</v>
      </c>
      <c r="P1307" s="36" t="str">
        <f t="shared" si="40"/>
        <v>API_開放_鄉鎮市區查詢道路列表_宜蘭縣</v>
      </c>
      <c r="Q1307" s="36" t="s">
        <v>5564</v>
      </c>
      <c r="R1307" s="29" t="str">
        <f t="shared" si="41"/>
        <v>2dms_pubapi_v1_ListRoadM_G</v>
      </c>
      <c r="U1307" s="27" t="str">
        <f>_xlfn.XLOOKUP(表格1[[#This Row],[服務類別(英)]],參考2_服務標準對照!$B:$B,參考2_服務標準對照!$C:$C,"")&amp;""</f>
        <v/>
      </c>
      <c r="V1307" s="29" t="s">
        <v>17</v>
      </c>
      <c r="W1307" s="29" t="s">
        <v>5123</v>
      </c>
      <c r="X1307" s="29" t="s">
        <v>81</v>
      </c>
      <c r="Y1307" s="36" t="s">
        <v>83</v>
      </c>
      <c r="Z1307" s="36" t="s">
        <v>157</v>
      </c>
      <c r="AA1307" s="36" t="s">
        <v>5566</v>
      </c>
      <c r="AB1307" s="36"/>
      <c r="AC1307" s="36"/>
      <c r="AD1307" s="29" t="s">
        <v>96</v>
      </c>
      <c r="AE1307" s="36" t="str">
        <f>_xlfn.XLOOKUP(表格1[[#This Row],[唯一識別碼]],API清冊0707!B:B,API清冊0707!T:T,"")&amp;""</f>
        <v>有下拉選單</v>
      </c>
    </row>
    <row r="1308" spans="1:31" ht="111" customHeight="1" x14ac:dyDescent="0.4">
      <c r="A1308" s="29" t="s">
        <v>5567</v>
      </c>
      <c r="B1308" s="29" t="s">
        <v>31</v>
      </c>
      <c r="C1308" s="29" t="s">
        <v>5312</v>
      </c>
      <c r="D1308" s="29" t="s">
        <v>5568</v>
      </c>
      <c r="E1308" s="29" t="s">
        <v>5569</v>
      </c>
      <c r="F1308" s="29" t="s">
        <v>5570</v>
      </c>
      <c r="G1308" s="35" t="s">
        <v>31</v>
      </c>
      <c r="H1308" s="35" t="s">
        <v>151</v>
      </c>
      <c r="I1308" s="36" t="s">
        <v>5571</v>
      </c>
      <c r="J1308" s="37"/>
      <c r="K1308" s="38"/>
      <c r="L1308" s="38"/>
      <c r="M1308" s="36" t="s">
        <v>60</v>
      </c>
      <c r="N1308" s="15" t="s">
        <v>152</v>
      </c>
      <c r="O1308" s="36" t="s">
        <v>5122</v>
      </c>
      <c r="P1308" s="36" t="str">
        <f t="shared" si="40"/>
        <v>API_開放_鄉鎮市區查詢道路列表_花蓮縣</v>
      </c>
      <c r="Q1308" s="36" t="s">
        <v>5570</v>
      </c>
      <c r="R1308" s="29" t="str">
        <f t="shared" si="41"/>
        <v>2dms_pubapi_v1_ListRoadM_U</v>
      </c>
      <c r="U1308" s="27" t="str">
        <f>_xlfn.XLOOKUP(表格1[[#This Row],[服務類別(英)]],參考2_服務標準對照!$B:$B,參考2_服務標準對照!$C:$C,"")&amp;""</f>
        <v/>
      </c>
      <c r="V1308" s="29" t="s">
        <v>17</v>
      </c>
      <c r="W1308" s="29" t="s">
        <v>5123</v>
      </c>
      <c r="X1308" s="29" t="s">
        <v>81</v>
      </c>
      <c r="Y1308" s="36" t="s">
        <v>83</v>
      </c>
      <c r="Z1308" s="36" t="s">
        <v>157</v>
      </c>
      <c r="AA1308" s="36" t="s">
        <v>5566</v>
      </c>
      <c r="AB1308" s="36"/>
      <c r="AC1308" s="36"/>
      <c r="AD1308" s="29" t="s">
        <v>96</v>
      </c>
      <c r="AE1308" s="36" t="str">
        <f>_xlfn.XLOOKUP(表格1[[#This Row],[唯一識別碼]],API清冊0707!B:B,API清冊0707!T:T,"")&amp;""</f>
        <v>有下拉選單</v>
      </c>
    </row>
    <row r="1309" spans="1:31" ht="111" customHeight="1" x14ac:dyDescent="0.4">
      <c r="A1309" s="29" t="s">
        <v>5572</v>
      </c>
      <c r="B1309" s="29" t="s">
        <v>31</v>
      </c>
      <c r="C1309" s="29" t="s">
        <v>5312</v>
      </c>
      <c r="D1309" s="29" t="s">
        <v>5573</v>
      </c>
      <c r="E1309" s="29" t="s">
        <v>5574</v>
      </c>
      <c r="F1309" s="29" t="s">
        <v>5575</v>
      </c>
      <c r="G1309" s="35" t="s">
        <v>31</v>
      </c>
      <c r="H1309" s="35" t="s">
        <v>151</v>
      </c>
      <c r="I1309" s="36" t="s">
        <v>5576</v>
      </c>
      <c r="J1309" s="37"/>
      <c r="K1309" s="38"/>
      <c r="L1309" s="38"/>
      <c r="M1309" s="36" t="s">
        <v>60</v>
      </c>
      <c r="N1309" s="15" t="s">
        <v>152</v>
      </c>
      <c r="O1309" s="36" t="s">
        <v>5122</v>
      </c>
      <c r="P1309" s="36" t="str">
        <f t="shared" si="40"/>
        <v>API_開放_鄉鎮市區查詢道路列表_金門縣</v>
      </c>
      <c r="Q1309" s="36" t="s">
        <v>5575</v>
      </c>
      <c r="R1309" s="29" t="str">
        <f t="shared" si="41"/>
        <v>2dms_pubapi_v1_ListRoadM_W</v>
      </c>
      <c r="U1309" s="27" t="str">
        <f>_xlfn.XLOOKUP(表格1[[#This Row],[服務類別(英)]],參考2_服務標準對照!$B:$B,參考2_服務標準對照!$C:$C,"")&amp;""</f>
        <v/>
      </c>
      <c r="V1309" s="29" t="s">
        <v>17</v>
      </c>
      <c r="W1309" s="29" t="s">
        <v>5123</v>
      </c>
      <c r="X1309" s="29" t="s">
        <v>81</v>
      </c>
      <c r="Y1309" s="36" t="s">
        <v>83</v>
      </c>
      <c r="Z1309" s="36" t="s">
        <v>157</v>
      </c>
      <c r="AA1309" s="36" t="s">
        <v>5566</v>
      </c>
      <c r="AB1309" s="36"/>
      <c r="AC1309" s="36"/>
      <c r="AD1309" s="29" t="s">
        <v>96</v>
      </c>
      <c r="AE1309" s="36" t="str">
        <f>_xlfn.XLOOKUP(表格1[[#This Row],[唯一識別碼]],API清冊0707!B:B,API清冊0707!T:T,"")&amp;""</f>
        <v>有下拉選單</v>
      </c>
    </row>
    <row r="1310" spans="1:31" ht="111" customHeight="1" x14ac:dyDescent="0.4">
      <c r="A1310" s="29" t="s">
        <v>5577</v>
      </c>
      <c r="B1310" s="29" t="s">
        <v>31</v>
      </c>
      <c r="C1310" s="29" t="s">
        <v>5312</v>
      </c>
      <c r="D1310" s="29" t="s">
        <v>5578</v>
      </c>
      <c r="E1310" s="29" t="s">
        <v>5579</v>
      </c>
      <c r="F1310" s="29" t="s">
        <v>5580</v>
      </c>
      <c r="G1310" s="35" t="s">
        <v>31</v>
      </c>
      <c r="H1310" s="35" t="s">
        <v>151</v>
      </c>
      <c r="I1310" s="36" t="s">
        <v>5581</v>
      </c>
      <c r="J1310" s="37"/>
      <c r="K1310" s="38"/>
      <c r="L1310" s="38"/>
      <c r="M1310" s="36" t="s">
        <v>60</v>
      </c>
      <c r="N1310" s="15" t="s">
        <v>152</v>
      </c>
      <c r="O1310" s="36" t="s">
        <v>5122</v>
      </c>
      <c r="P1310" s="36" t="str">
        <f t="shared" si="40"/>
        <v>API_開放_鄉鎮市區查詢道路列表_南投縣</v>
      </c>
      <c r="Q1310" s="36" t="s">
        <v>5580</v>
      </c>
      <c r="R1310" s="29" t="str">
        <f t="shared" si="41"/>
        <v>2dms_pubapi_v1_ListRoadM_M</v>
      </c>
      <c r="U1310" s="27" t="str">
        <f>_xlfn.XLOOKUP(表格1[[#This Row],[服務類別(英)]],參考2_服務標準對照!$B:$B,參考2_服務標準對照!$C:$C,"")&amp;""</f>
        <v/>
      </c>
      <c r="V1310" s="29" t="s">
        <v>17</v>
      </c>
      <c r="W1310" s="29" t="s">
        <v>5123</v>
      </c>
      <c r="X1310" s="29" t="s">
        <v>81</v>
      </c>
      <c r="Y1310" s="36" t="s">
        <v>83</v>
      </c>
      <c r="Z1310" s="36" t="s">
        <v>157</v>
      </c>
      <c r="AA1310" s="36" t="s">
        <v>5566</v>
      </c>
      <c r="AB1310" s="36"/>
      <c r="AC1310" s="36"/>
      <c r="AD1310" s="29" t="s">
        <v>96</v>
      </c>
      <c r="AE1310" s="36" t="str">
        <f>_xlfn.XLOOKUP(表格1[[#This Row],[唯一識別碼]],API清冊0707!B:B,API清冊0707!T:T,"")&amp;""</f>
        <v>有下拉選單</v>
      </c>
    </row>
    <row r="1311" spans="1:31" ht="111" customHeight="1" x14ac:dyDescent="0.4">
      <c r="A1311" s="29" t="s">
        <v>5582</v>
      </c>
      <c r="B1311" s="29" t="s">
        <v>31</v>
      </c>
      <c r="C1311" s="29" t="s">
        <v>5312</v>
      </c>
      <c r="D1311" s="29" t="s">
        <v>5583</v>
      </c>
      <c r="E1311" s="29" t="s">
        <v>5584</v>
      </c>
      <c r="F1311" s="29" t="s">
        <v>5585</v>
      </c>
      <c r="G1311" s="35" t="s">
        <v>31</v>
      </c>
      <c r="H1311" s="35" t="s">
        <v>151</v>
      </c>
      <c r="I1311" s="36" t="s">
        <v>5586</v>
      </c>
      <c r="J1311" s="37"/>
      <c r="K1311" s="38"/>
      <c r="L1311" s="38"/>
      <c r="M1311" s="36" t="s">
        <v>60</v>
      </c>
      <c r="N1311" s="15" t="s">
        <v>152</v>
      </c>
      <c r="O1311" s="36" t="s">
        <v>5122</v>
      </c>
      <c r="P1311" s="36" t="str">
        <f t="shared" si="40"/>
        <v>API_開放_鄉鎮市區查詢道路列表_屏東縣</v>
      </c>
      <c r="Q1311" s="36" t="s">
        <v>5585</v>
      </c>
      <c r="R1311" s="29" t="str">
        <f t="shared" si="41"/>
        <v>2dms_pubapi_v1_ListRoadM_T</v>
      </c>
      <c r="U1311" s="27" t="str">
        <f>_xlfn.XLOOKUP(表格1[[#This Row],[服務類別(英)]],參考2_服務標準對照!$B:$B,參考2_服務標準對照!$C:$C,"")&amp;""</f>
        <v/>
      </c>
      <c r="V1311" s="29" t="s">
        <v>17</v>
      </c>
      <c r="W1311" s="29" t="s">
        <v>5123</v>
      </c>
      <c r="X1311" s="29" t="s">
        <v>81</v>
      </c>
      <c r="Y1311" s="36" t="s">
        <v>83</v>
      </c>
      <c r="Z1311" s="36" t="s">
        <v>157</v>
      </c>
      <c r="AA1311" s="36" t="s">
        <v>5566</v>
      </c>
      <c r="AB1311" s="36"/>
      <c r="AC1311" s="36"/>
      <c r="AD1311" s="29" t="s">
        <v>96</v>
      </c>
      <c r="AE1311" s="36" t="str">
        <f>_xlfn.XLOOKUP(表格1[[#This Row],[唯一識別碼]],API清冊0707!B:B,API清冊0707!T:T,"")&amp;""</f>
        <v>有下拉選單</v>
      </c>
    </row>
    <row r="1312" spans="1:31" ht="111" customHeight="1" x14ac:dyDescent="0.4">
      <c r="A1312" s="29" t="s">
        <v>5587</v>
      </c>
      <c r="B1312" s="29" t="s">
        <v>31</v>
      </c>
      <c r="C1312" s="29" t="s">
        <v>5312</v>
      </c>
      <c r="D1312" s="29" t="s">
        <v>5588</v>
      </c>
      <c r="E1312" s="29" t="s">
        <v>5589</v>
      </c>
      <c r="F1312" s="29" t="s">
        <v>5590</v>
      </c>
      <c r="G1312" s="35" t="s">
        <v>31</v>
      </c>
      <c r="H1312" s="35" t="s">
        <v>151</v>
      </c>
      <c r="I1312" s="36" t="s">
        <v>5591</v>
      </c>
      <c r="J1312" s="37"/>
      <c r="K1312" s="38"/>
      <c r="L1312" s="38"/>
      <c r="M1312" s="36" t="s">
        <v>60</v>
      </c>
      <c r="N1312" s="15" t="s">
        <v>152</v>
      </c>
      <c r="O1312" s="36" t="s">
        <v>5122</v>
      </c>
      <c r="P1312" s="36" t="str">
        <f t="shared" si="40"/>
        <v>API_開放_鄉鎮市區查詢道路列表_苗栗縣</v>
      </c>
      <c r="Q1312" s="36" t="s">
        <v>5590</v>
      </c>
      <c r="R1312" s="29" t="str">
        <f t="shared" si="41"/>
        <v>2dms_pubapi_v1_ListRoadM_K</v>
      </c>
      <c r="U1312" s="27" t="str">
        <f>_xlfn.XLOOKUP(表格1[[#This Row],[服務類別(英)]],參考2_服務標準對照!$B:$B,參考2_服務標準對照!$C:$C,"")&amp;""</f>
        <v/>
      </c>
      <c r="V1312" s="29" t="s">
        <v>17</v>
      </c>
      <c r="W1312" s="29" t="s">
        <v>5123</v>
      </c>
      <c r="X1312" s="29" t="s">
        <v>81</v>
      </c>
      <c r="Y1312" s="36" t="s">
        <v>83</v>
      </c>
      <c r="Z1312" s="36" t="s">
        <v>157</v>
      </c>
      <c r="AA1312" s="36" t="s">
        <v>5566</v>
      </c>
      <c r="AB1312" s="36"/>
      <c r="AC1312" s="36"/>
      <c r="AD1312" s="29" t="s">
        <v>96</v>
      </c>
      <c r="AE1312" s="36" t="str">
        <f>_xlfn.XLOOKUP(表格1[[#This Row],[唯一識別碼]],API清冊0707!B:B,API清冊0707!T:T,"")&amp;""</f>
        <v>有下拉選單</v>
      </c>
    </row>
    <row r="1313" spans="1:31" ht="111" customHeight="1" x14ac:dyDescent="0.4">
      <c r="A1313" s="29" t="s">
        <v>5592</v>
      </c>
      <c r="B1313" s="29" t="s">
        <v>31</v>
      </c>
      <c r="C1313" s="29" t="s">
        <v>5312</v>
      </c>
      <c r="D1313" s="29" t="s">
        <v>5593</v>
      </c>
      <c r="E1313" s="29" t="s">
        <v>5594</v>
      </c>
      <c r="F1313" s="29" t="s">
        <v>5595</v>
      </c>
      <c r="G1313" s="35" t="s">
        <v>31</v>
      </c>
      <c r="H1313" s="35" t="s">
        <v>151</v>
      </c>
      <c r="I1313" s="36" t="s">
        <v>5596</v>
      </c>
      <c r="J1313" s="37"/>
      <c r="K1313" s="38"/>
      <c r="L1313" s="38"/>
      <c r="M1313" s="36" t="s">
        <v>60</v>
      </c>
      <c r="N1313" s="15" t="s">
        <v>152</v>
      </c>
      <c r="O1313" s="36" t="s">
        <v>5122</v>
      </c>
      <c r="P1313" s="36" t="str">
        <f t="shared" si="40"/>
        <v>API_開放_鄉鎮市區查詢道路列表_桃園市</v>
      </c>
      <c r="Q1313" s="36" t="s">
        <v>5595</v>
      </c>
      <c r="R1313" s="29" t="str">
        <f t="shared" si="41"/>
        <v>2dms_pubapi_v1_ListRoadM_H</v>
      </c>
      <c r="U1313" s="27" t="str">
        <f>_xlfn.XLOOKUP(表格1[[#This Row],[服務類別(英)]],參考2_服務標準對照!$B:$B,參考2_服務標準對照!$C:$C,"")&amp;""</f>
        <v/>
      </c>
      <c r="V1313" s="29" t="s">
        <v>17</v>
      </c>
      <c r="W1313" s="29" t="s">
        <v>5123</v>
      </c>
      <c r="X1313" s="29" t="s">
        <v>81</v>
      </c>
      <c r="Y1313" s="36" t="s">
        <v>83</v>
      </c>
      <c r="Z1313" s="36" t="s">
        <v>157</v>
      </c>
      <c r="AA1313" s="36" t="s">
        <v>5566</v>
      </c>
      <c r="AB1313" s="36"/>
      <c r="AC1313" s="36"/>
      <c r="AD1313" s="29" t="s">
        <v>96</v>
      </c>
      <c r="AE1313" s="36" t="str">
        <f>_xlfn.XLOOKUP(表格1[[#This Row],[唯一識別碼]],API清冊0707!B:B,API清冊0707!T:T,"")&amp;""</f>
        <v>有下拉選單</v>
      </c>
    </row>
    <row r="1314" spans="1:31" ht="111" customHeight="1" x14ac:dyDescent="0.4">
      <c r="A1314" s="29" t="s">
        <v>5597</v>
      </c>
      <c r="B1314" s="29" t="s">
        <v>31</v>
      </c>
      <c r="C1314" s="29" t="s">
        <v>5312</v>
      </c>
      <c r="D1314" s="29" t="s">
        <v>5598</v>
      </c>
      <c r="E1314" s="29" t="s">
        <v>5599</v>
      </c>
      <c r="F1314" s="29" t="s">
        <v>5600</v>
      </c>
      <c r="G1314" s="35" t="s">
        <v>31</v>
      </c>
      <c r="H1314" s="35" t="s">
        <v>151</v>
      </c>
      <c r="I1314" s="36" t="s">
        <v>5601</v>
      </c>
      <c r="J1314" s="37"/>
      <c r="K1314" s="38"/>
      <c r="L1314" s="38"/>
      <c r="M1314" s="36" t="s">
        <v>60</v>
      </c>
      <c r="N1314" s="15" t="s">
        <v>152</v>
      </c>
      <c r="O1314" s="36" t="s">
        <v>5122</v>
      </c>
      <c r="P1314" s="36" t="str">
        <f t="shared" si="40"/>
        <v>API_開放_鄉鎮市區查詢道路列表_高雄市</v>
      </c>
      <c r="Q1314" s="36" t="s">
        <v>5600</v>
      </c>
      <c r="R1314" s="29" t="str">
        <f t="shared" si="41"/>
        <v>2dms_pubapi_v1_ListRoadM_E</v>
      </c>
      <c r="U1314" s="27" t="str">
        <f>_xlfn.XLOOKUP(表格1[[#This Row],[服務類別(英)]],參考2_服務標準對照!$B:$B,參考2_服務標準對照!$C:$C,"")&amp;""</f>
        <v/>
      </c>
      <c r="V1314" s="29" t="s">
        <v>17</v>
      </c>
      <c r="W1314" s="29" t="s">
        <v>5123</v>
      </c>
      <c r="X1314" s="29" t="s">
        <v>81</v>
      </c>
      <c r="Y1314" s="36" t="s">
        <v>83</v>
      </c>
      <c r="Z1314" s="36" t="s">
        <v>157</v>
      </c>
      <c r="AA1314" s="36" t="s">
        <v>5566</v>
      </c>
      <c r="AB1314" s="36"/>
      <c r="AC1314" s="36"/>
      <c r="AD1314" s="29" t="s">
        <v>96</v>
      </c>
      <c r="AE1314" s="36" t="str">
        <f>_xlfn.XLOOKUP(表格1[[#This Row],[唯一識別碼]],API清冊0707!B:B,API清冊0707!T:T,"")&amp;""</f>
        <v>有下拉選單</v>
      </c>
    </row>
    <row r="1315" spans="1:31" ht="111" customHeight="1" x14ac:dyDescent="0.4">
      <c r="A1315" s="29" t="s">
        <v>5602</v>
      </c>
      <c r="B1315" s="29" t="s">
        <v>31</v>
      </c>
      <c r="C1315" s="29" t="s">
        <v>5312</v>
      </c>
      <c r="D1315" s="29" t="s">
        <v>5603</v>
      </c>
      <c r="E1315" s="29" t="s">
        <v>5604</v>
      </c>
      <c r="F1315" s="29" t="s">
        <v>5605</v>
      </c>
      <c r="G1315" s="35" t="s">
        <v>31</v>
      </c>
      <c r="H1315" s="35" t="s">
        <v>151</v>
      </c>
      <c r="I1315" s="36" t="s">
        <v>5606</v>
      </c>
      <c r="J1315" s="37"/>
      <c r="K1315" s="38"/>
      <c r="L1315" s="38"/>
      <c r="M1315" s="36" t="s">
        <v>60</v>
      </c>
      <c r="N1315" s="15" t="s">
        <v>152</v>
      </c>
      <c r="O1315" s="36" t="s">
        <v>5122</v>
      </c>
      <c r="P1315" s="36" t="str">
        <f t="shared" si="40"/>
        <v>API_開放_鄉鎮市區查詢道路列表_基隆市</v>
      </c>
      <c r="Q1315" s="36" t="s">
        <v>5605</v>
      </c>
      <c r="R1315" s="29" t="str">
        <f t="shared" si="41"/>
        <v>2dms_pubapi_v1_ListRoadM_C</v>
      </c>
      <c r="U1315" s="27" t="str">
        <f>_xlfn.XLOOKUP(表格1[[#This Row],[服務類別(英)]],參考2_服務標準對照!$B:$B,參考2_服務標準對照!$C:$C,"")&amp;""</f>
        <v/>
      </c>
      <c r="V1315" s="29" t="s">
        <v>17</v>
      </c>
      <c r="W1315" s="29" t="s">
        <v>5123</v>
      </c>
      <c r="X1315" s="29" t="s">
        <v>81</v>
      </c>
      <c r="Y1315" s="36" t="s">
        <v>83</v>
      </c>
      <c r="Z1315" s="36" t="s">
        <v>157</v>
      </c>
      <c r="AA1315" s="36" t="s">
        <v>5566</v>
      </c>
      <c r="AB1315" s="36"/>
      <c r="AC1315" s="36"/>
      <c r="AD1315" s="29" t="s">
        <v>96</v>
      </c>
      <c r="AE1315" s="36" t="str">
        <f>_xlfn.XLOOKUP(表格1[[#This Row],[唯一識別碼]],API清冊0707!B:B,API清冊0707!T:T,"")&amp;""</f>
        <v>有下拉選單</v>
      </c>
    </row>
    <row r="1316" spans="1:31" ht="111" customHeight="1" x14ac:dyDescent="0.4">
      <c r="A1316" s="29" t="s">
        <v>5607</v>
      </c>
      <c r="B1316" s="29" t="s">
        <v>31</v>
      </c>
      <c r="C1316" s="29" t="s">
        <v>5312</v>
      </c>
      <c r="D1316" s="29" t="s">
        <v>5608</v>
      </c>
      <c r="E1316" s="29" t="s">
        <v>5609</v>
      </c>
      <c r="F1316" s="29" t="s">
        <v>5610</v>
      </c>
      <c r="G1316" s="35" t="s">
        <v>31</v>
      </c>
      <c r="H1316" s="35" t="s">
        <v>151</v>
      </c>
      <c r="I1316" s="36" t="s">
        <v>5611</v>
      </c>
      <c r="J1316" s="37"/>
      <c r="K1316" s="38"/>
      <c r="L1316" s="38"/>
      <c r="M1316" s="36" t="s">
        <v>60</v>
      </c>
      <c r="N1316" s="15" t="s">
        <v>152</v>
      </c>
      <c r="O1316" s="36" t="s">
        <v>5122</v>
      </c>
      <c r="P1316" s="36" t="str">
        <f t="shared" si="40"/>
        <v>API_開放_鄉鎮市區查詢道路列表_連江縣</v>
      </c>
      <c r="Q1316" s="36" t="s">
        <v>5610</v>
      </c>
      <c r="R1316" s="29" t="str">
        <f t="shared" si="41"/>
        <v>2dms_pubapi_v1_ListRoadM_Z</v>
      </c>
      <c r="U1316" s="27" t="str">
        <f>_xlfn.XLOOKUP(表格1[[#This Row],[服務類別(英)]],參考2_服務標準對照!$B:$B,參考2_服務標準對照!$C:$C,"")&amp;""</f>
        <v/>
      </c>
      <c r="V1316" s="29" t="s">
        <v>17</v>
      </c>
      <c r="W1316" s="29" t="s">
        <v>5123</v>
      </c>
      <c r="X1316" s="29" t="s">
        <v>81</v>
      </c>
      <c r="Y1316" s="36" t="s">
        <v>83</v>
      </c>
      <c r="Z1316" s="36" t="s">
        <v>157</v>
      </c>
      <c r="AA1316" s="36" t="s">
        <v>5566</v>
      </c>
      <c r="AB1316" s="36"/>
      <c r="AC1316" s="36"/>
      <c r="AD1316" s="29" t="s">
        <v>96</v>
      </c>
      <c r="AE1316" s="36" t="str">
        <f>_xlfn.XLOOKUP(表格1[[#This Row],[唯一識別碼]],API清冊0707!B:B,API清冊0707!T:T,"")&amp;""</f>
        <v>有下拉選單</v>
      </c>
    </row>
    <row r="1317" spans="1:31" ht="111" customHeight="1" x14ac:dyDescent="0.4">
      <c r="A1317" s="29" t="s">
        <v>5612</v>
      </c>
      <c r="B1317" s="29" t="s">
        <v>31</v>
      </c>
      <c r="C1317" s="29" t="s">
        <v>5312</v>
      </c>
      <c r="D1317" s="29" t="s">
        <v>5613</v>
      </c>
      <c r="E1317" s="29" t="s">
        <v>5614</v>
      </c>
      <c r="F1317" s="29" t="s">
        <v>5615</v>
      </c>
      <c r="G1317" s="35" t="s">
        <v>31</v>
      </c>
      <c r="H1317" s="35" t="s">
        <v>151</v>
      </c>
      <c r="I1317" s="36" t="s">
        <v>5616</v>
      </c>
      <c r="J1317" s="37"/>
      <c r="K1317" s="38"/>
      <c r="L1317" s="38"/>
      <c r="M1317" s="36" t="s">
        <v>60</v>
      </c>
      <c r="N1317" s="15" t="s">
        <v>152</v>
      </c>
      <c r="O1317" s="36" t="s">
        <v>5122</v>
      </c>
      <c r="P1317" s="36" t="str">
        <f t="shared" si="40"/>
        <v>API_開放_鄉鎮市區查詢道路列表_雲林縣</v>
      </c>
      <c r="Q1317" s="36" t="s">
        <v>5615</v>
      </c>
      <c r="R1317" s="29" t="str">
        <f t="shared" si="41"/>
        <v>2dms_pubapi_v1_ListRoadM_P</v>
      </c>
      <c r="U1317" s="27" t="str">
        <f>_xlfn.XLOOKUP(表格1[[#This Row],[服務類別(英)]],參考2_服務標準對照!$B:$B,參考2_服務標準對照!$C:$C,"")&amp;""</f>
        <v/>
      </c>
      <c r="V1317" s="29" t="s">
        <v>17</v>
      </c>
      <c r="W1317" s="29" t="s">
        <v>5123</v>
      </c>
      <c r="X1317" s="29" t="s">
        <v>81</v>
      </c>
      <c r="Y1317" s="36" t="s">
        <v>83</v>
      </c>
      <c r="Z1317" s="36" t="s">
        <v>157</v>
      </c>
      <c r="AA1317" s="36" t="s">
        <v>5566</v>
      </c>
      <c r="AB1317" s="36"/>
      <c r="AC1317" s="36"/>
      <c r="AD1317" s="29" t="s">
        <v>96</v>
      </c>
      <c r="AE1317" s="36" t="str">
        <f>_xlfn.XLOOKUP(表格1[[#This Row],[唯一識別碼]],API清冊0707!B:B,API清冊0707!T:T,"")&amp;""</f>
        <v>有下拉選單</v>
      </c>
    </row>
    <row r="1318" spans="1:31" ht="111" customHeight="1" x14ac:dyDescent="0.4">
      <c r="A1318" s="29" t="s">
        <v>5617</v>
      </c>
      <c r="B1318" s="29" t="s">
        <v>31</v>
      </c>
      <c r="C1318" s="29" t="s">
        <v>5312</v>
      </c>
      <c r="D1318" s="29" t="s">
        <v>5618</v>
      </c>
      <c r="E1318" s="29" t="s">
        <v>5619</v>
      </c>
      <c r="F1318" s="29" t="s">
        <v>5620</v>
      </c>
      <c r="G1318" s="35" t="s">
        <v>31</v>
      </c>
      <c r="H1318" s="35" t="s">
        <v>151</v>
      </c>
      <c r="I1318" s="36" t="s">
        <v>5621</v>
      </c>
      <c r="J1318" s="37"/>
      <c r="K1318" s="38"/>
      <c r="L1318" s="38"/>
      <c r="M1318" s="36" t="s">
        <v>60</v>
      </c>
      <c r="N1318" s="15" t="s">
        <v>152</v>
      </c>
      <c r="O1318" s="36" t="s">
        <v>5122</v>
      </c>
      <c r="P1318" s="36" t="str">
        <f t="shared" si="40"/>
        <v>API_開放_鄉鎮市區查詢道路列表_新北市</v>
      </c>
      <c r="Q1318" s="36" t="s">
        <v>5620</v>
      </c>
      <c r="R1318" s="29" t="str">
        <f t="shared" si="41"/>
        <v>2dms_pubapi_v1_ListRoadM_F</v>
      </c>
      <c r="U1318" s="27" t="str">
        <f>_xlfn.XLOOKUP(表格1[[#This Row],[服務類別(英)]],參考2_服務標準對照!$B:$B,參考2_服務標準對照!$C:$C,"")&amp;""</f>
        <v/>
      </c>
      <c r="V1318" s="29" t="s">
        <v>17</v>
      </c>
      <c r="W1318" s="29" t="s">
        <v>5123</v>
      </c>
      <c r="X1318" s="29" t="s">
        <v>81</v>
      </c>
      <c r="Y1318" s="36" t="s">
        <v>83</v>
      </c>
      <c r="Z1318" s="36" t="s">
        <v>157</v>
      </c>
      <c r="AA1318" s="36" t="s">
        <v>5566</v>
      </c>
      <c r="AB1318" s="36"/>
      <c r="AC1318" s="36"/>
      <c r="AD1318" s="29" t="s">
        <v>96</v>
      </c>
      <c r="AE1318" s="36" t="str">
        <f>_xlfn.XLOOKUP(表格1[[#This Row],[唯一識別碼]],API清冊0707!B:B,API清冊0707!T:T,"")&amp;""</f>
        <v>有下拉選單</v>
      </c>
    </row>
    <row r="1319" spans="1:31" ht="111" customHeight="1" x14ac:dyDescent="0.4">
      <c r="A1319" s="29" t="s">
        <v>5622</v>
      </c>
      <c r="B1319" s="29" t="s">
        <v>31</v>
      </c>
      <c r="C1319" s="29" t="s">
        <v>5312</v>
      </c>
      <c r="D1319" s="29" t="s">
        <v>5623</v>
      </c>
      <c r="E1319" s="29" t="s">
        <v>5624</v>
      </c>
      <c r="F1319" s="29" t="s">
        <v>5625</v>
      </c>
      <c r="G1319" s="35" t="s">
        <v>31</v>
      </c>
      <c r="H1319" s="35" t="s">
        <v>151</v>
      </c>
      <c r="I1319" s="36" t="s">
        <v>5626</v>
      </c>
      <c r="J1319" s="37"/>
      <c r="K1319" s="38"/>
      <c r="L1319" s="38"/>
      <c r="M1319" s="36" t="s">
        <v>60</v>
      </c>
      <c r="N1319" s="15" t="s">
        <v>152</v>
      </c>
      <c r="O1319" s="36" t="s">
        <v>5122</v>
      </c>
      <c r="P1319" s="36" t="str">
        <f t="shared" si="40"/>
        <v>API_開放_鄉鎮市區查詢道路列表_新竹市</v>
      </c>
      <c r="Q1319" s="36" t="s">
        <v>5625</v>
      </c>
      <c r="R1319" s="29" t="str">
        <f t="shared" si="41"/>
        <v>2dms_pubapi_v1_ListRoadM_O</v>
      </c>
      <c r="U1319" s="27" t="str">
        <f>_xlfn.XLOOKUP(表格1[[#This Row],[服務類別(英)]],參考2_服務標準對照!$B:$B,參考2_服務標準對照!$C:$C,"")&amp;""</f>
        <v/>
      </c>
      <c r="V1319" s="29" t="s">
        <v>17</v>
      </c>
      <c r="W1319" s="29" t="s">
        <v>5123</v>
      </c>
      <c r="X1319" s="29" t="s">
        <v>81</v>
      </c>
      <c r="Y1319" s="36" t="s">
        <v>83</v>
      </c>
      <c r="Z1319" s="36" t="s">
        <v>157</v>
      </c>
      <c r="AA1319" s="36" t="s">
        <v>5566</v>
      </c>
      <c r="AB1319" s="36"/>
      <c r="AC1319" s="36"/>
      <c r="AD1319" s="29" t="s">
        <v>96</v>
      </c>
      <c r="AE1319" s="36" t="str">
        <f>_xlfn.XLOOKUP(表格1[[#This Row],[唯一識別碼]],API清冊0707!B:B,API清冊0707!T:T,"")&amp;""</f>
        <v>有下拉選單</v>
      </c>
    </row>
    <row r="1320" spans="1:31" ht="111" customHeight="1" x14ac:dyDescent="0.4">
      <c r="A1320" s="29" t="s">
        <v>5627</v>
      </c>
      <c r="B1320" s="29" t="s">
        <v>31</v>
      </c>
      <c r="C1320" s="29" t="s">
        <v>5312</v>
      </c>
      <c r="D1320" s="29" t="s">
        <v>5628</v>
      </c>
      <c r="E1320" s="29" t="s">
        <v>5629</v>
      </c>
      <c r="F1320" s="29" t="s">
        <v>5630</v>
      </c>
      <c r="G1320" s="35" t="s">
        <v>31</v>
      </c>
      <c r="H1320" s="35" t="s">
        <v>151</v>
      </c>
      <c r="I1320" s="36" t="s">
        <v>5631</v>
      </c>
      <c r="J1320" s="37"/>
      <c r="K1320" s="38"/>
      <c r="L1320" s="38"/>
      <c r="M1320" s="36" t="s">
        <v>60</v>
      </c>
      <c r="N1320" s="15" t="s">
        <v>152</v>
      </c>
      <c r="O1320" s="36" t="s">
        <v>5122</v>
      </c>
      <c r="P1320" s="36" t="str">
        <f t="shared" si="40"/>
        <v>API_開放_鄉鎮市區查詢道路列表_新竹縣</v>
      </c>
      <c r="Q1320" s="36" t="s">
        <v>5630</v>
      </c>
      <c r="R1320" s="29" t="str">
        <f t="shared" si="41"/>
        <v>2dms_pubapi_v1_ListRoadM_J</v>
      </c>
      <c r="U1320" s="27" t="str">
        <f>_xlfn.XLOOKUP(表格1[[#This Row],[服務類別(英)]],參考2_服務標準對照!$B:$B,參考2_服務標準對照!$C:$C,"")&amp;""</f>
        <v/>
      </c>
      <c r="V1320" s="29" t="s">
        <v>17</v>
      </c>
      <c r="W1320" s="29" t="s">
        <v>5123</v>
      </c>
      <c r="X1320" s="29" t="s">
        <v>81</v>
      </c>
      <c r="Y1320" s="36" t="s">
        <v>83</v>
      </c>
      <c r="Z1320" s="36" t="s">
        <v>157</v>
      </c>
      <c r="AA1320" s="36" t="s">
        <v>5566</v>
      </c>
      <c r="AB1320" s="36"/>
      <c r="AC1320" s="36"/>
      <c r="AD1320" s="29" t="s">
        <v>96</v>
      </c>
      <c r="AE1320" s="36" t="str">
        <f>_xlfn.XLOOKUP(表格1[[#This Row],[唯一識別碼]],API清冊0707!B:B,API清冊0707!T:T,"")&amp;""</f>
        <v>有下拉選單</v>
      </c>
    </row>
    <row r="1321" spans="1:31" ht="111" customHeight="1" x14ac:dyDescent="0.4">
      <c r="A1321" s="29" t="s">
        <v>5632</v>
      </c>
      <c r="B1321" s="29" t="s">
        <v>31</v>
      </c>
      <c r="C1321" s="29" t="s">
        <v>5312</v>
      </c>
      <c r="D1321" s="29" t="s">
        <v>5633</v>
      </c>
      <c r="E1321" s="29" t="s">
        <v>5634</v>
      </c>
      <c r="F1321" s="29" t="s">
        <v>5635</v>
      </c>
      <c r="G1321" s="35" t="s">
        <v>31</v>
      </c>
      <c r="H1321" s="35" t="s">
        <v>151</v>
      </c>
      <c r="I1321" s="36" t="s">
        <v>5636</v>
      </c>
      <c r="J1321" s="37"/>
      <c r="K1321" s="38"/>
      <c r="L1321" s="38"/>
      <c r="M1321" s="36" t="s">
        <v>60</v>
      </c>
      <c r="N1321" s="15" t="s">
        <v>152</v>
      </c>
      <c r="O1321" s="36" t="s">
        <v>5122</v>
      </c>
      <c r="P1321" s="36" t="str">
        <f t="shared" si="40"/>
        <v>API_開放_鄉鎮市區查詢道路列表_嘉義市</v>
      </c>
      <c r="Q1321" s="36" t="s">
        <v>5635</v>
      </c>
      <c r="R1321" s="29" t="str">
        <f t="shared" si="41"/>
        <v>2dms_pubapi_v1_ListRoadM_I</v>
      </c>
      <c r="U1321" s="27" t="str">
        <f>_xlfn.XLOOKUP(表格1[[#This Row],[服務類別(英)]],參考2_服務標準對照!$B:$B,參考2_服務標準對照!$C:$C,"")&amp;""</f>
        <v/>
      </c>
      <c r="V1321" s="29" t="s">
        <v>17</v>
      </c>
      <c r="W1321" s="29" t="s">
        <v>5123</v>
      </c>
      <c r="X1321" s="29" t="s">
        <v>81</v>
      </c>
      <c r="Y1321" s="36" t="s">
        <v>83</v>
      </c>
      <c r="Z1321" s="36" t="s">
        <v>157</v>
      </c>
      <c r="AA1321" s="36" t="s">
        <v>5566</v>
      </c>
      <c r="AB1321" s="36"/>
      <c r="AC1321" s="36"/>
      <c r="AD1321" s="29" t="s">
        <v>96</v>
      </c>
      <c r="AE1321" s="36" t="str">
        <f>_xlfn.XLOOKUP(表格1[[#This Row],[唯一識別碼]],API清冊0707!B:B,API清冊0707!T:T,"")&amp;""</f>
        <v>有下拉選單</v>
      </c>
    </row>
    <row r="1322" spans="1:31" ht="111" customHeight="1" x14ac:dyDescent="0.4">
      <c r="A1322" s="29" t="s">
        <v>5637</v>
      </c>
      <c r="B1322" s="29" t="s">
        <v>31</v>
      </c>
      <c r="C1322" s="29" t="s">
        <v>5312</v>
      </c>
      <c r="D1322" s="29" t="s">
        <v>5638</v>
      </c>
      <c r="E1322" s="29" t="s">
        <v>5639</v>
      </c>
      <c r="F1322" s="29" t="s">
        <v>5640</v>
      </c>
      <c r="G1322" s="35" t="s">
        <v>31</v>
      </c>
      <c r="H1322" s="35" t="s">
        <v>151</v>
      </c>
      <c r="I1322" s="36" t="s">
        <v>5641</v>
      </c>
      <c r="J1322" s="37"/>
      <c r="K1322" s="38"/>
      <c r="L1322" s="38"/>
      <c r="M1322" s="36" t="s">
        <v>60</v>
      </c>
      <c r="N1322" s="15" t="s">
        <v>152</v>
      </c>
      <c r="O1322" s="36" t="s">
        <v>5122</v>
      </c>
      <c r="P1322" s="36" t="str">
        <f t="shared" si="40"/>
        <v>API_開放_鄉鎮市區查詢道路列表_嘉義縣</v>
      </c>
      <c r="Q1322" s="36" t="s">
        <v>5640</v>
      </c>
      <c r="R1322" s="29" t="str">
        <f t="shared" si="41"/>
        <v>2dms_pubapi_v1_ListRoadM_Q</v>
      </c>
      <c r="U1322" s="27" t="str">
        <f>_xlfn.XLOOKUP(表格1[[#This Row],[服務類別(英)]],參考2_服務標準對照!$B:$B,參考2_服務標準對照!$C:$C,"")&amp;""</f>
        <v/>
      </c>
      <c r="V1322" s="29" t="s">
        <v>17</v>
      </c>
      <c r="W1322" s="29" t="s">
        <v>5123</v>
      </c>
      <c r="X1322" s="29" t="s">
        <v>81</v>
      </c>
      <c r="Y1322" s="36" t="s">
        <v>83</v>
      </c>
      <c r="Z1322" s="36" t="s">
        <v>157</v>
      </c>
      <c r="AA1322" s="36" t="s">
        <v>5566</v>
      </c>
      <c r="AB1322" s="36"/>
      <c r="AC1322" s="36"/>
      <c r="AD1322" s="29" t="s">
        <v>96</v>
      </c>
      <c r="AE1322" s="36" t="str">
        <f>_xlfn.XLOOKUP(表格1[[#This Row],[唯一識別碼]],API清冊0707!B:B,API清冊0707!T:T,"")&amp;""</f>
        <v>有下拉選單</v>
      </c>
    </row>
    <row r="1323" spans="1:31" ht="111" customHeight="1" x14ac:dyDescent="0.4">
      <c r="A1323" s="29" t="s">
        <v>5642</v>
      </c>
      <c r="B1323" s="29" t="s">
        <v>31</v>
      </c>
      <c r="C1323" s="29" t="s">
        <v>5312</v>
      </c>
      <c r="D1323" s="29" t="s">
        <v>5643</v>
      </c>
      <c r="E1323" s="29" t="s">
        <v>5644</v>
      </c>
      <c r="F1323" s="29" t="s">
        <v>5645</v>
      </c>
      <c r="G1323" s="35" t="s">
        <v>31</v>
      </c>
      <c r="H1323" s="35" t="s">
        <v>151</v>
      </c>
      <c r="I1323" s="36" t="s">
        <v>5646</v>
      </c>
      <c r="J1323" s="37"/>
      <c r="K1323" s="38"/>
      <c r="L1323" s="38"/>
      <c r="M1323" s="36" t="s">
        <v>60</v>
      </c>
      <c r="N1323" s="15" t="s">
        <v>152</v>
      </c>
      <c r="O1323" s="36" t="s">
        <v>5122</v>
      </c>
      <c r="P1323" s="36" t="str">
        <f t="shared" si="40"/>
        <v>API_開放_鄉鎮市區查詢道路列表_彰化縣</v>
      </c>
      <c r="Q1323" s="36" t="s">
        <v>5645</v>
      </c>
      <c r="R1323" s="29" t="str">
        <f t="shared" si="41"/>
        <v>2dms_pubapi_v1_ListRoadM_N</v>
      </c>
      <c r="U1323" s="27" t="str">
        <f>_xlfn.XLOOKUP(表格1[[#This Row],[服務類別(英)]],參考2_服務標準對照!$B:$B,參考2_服務標準對照!$C:$C,"")&amp;""</f>
        <v/>
      </c>
      <c r="V1323" s="29" t="s">
        <v>17</v>
      </c>
      <c r="W1323" s="29" t="s">
        <v>5123</v>
      </c>
      <c r="X1323" s="29" t="s">
        <v>81</v>
      </c>
      <c r="Y1323" s="36" t="s">
        <v>83</v>
      </c>
      <c r="Z1323" s="36" t="s">
        <v>157</v>
      </c>
      <c r="AA1323" s="36" t="s">
        <v>5566</v>
      </c>
      <c r="AB1323" s="36"/>
      <c r="AC1323" s="36"/>
      <c r="AD1323" s="29" t="s">
        <v>96</v>
      </c>
      <c r="AE1323" s="36" t="str">
        <f>_xlfn.XLOOKUP(表格1[[#This Row],[唯一識別碼]],API清冊0707!B:B,API清冊0707!T:T,"")&amp;""</f>
        <v>有下拉選單</v>
      </c>
    </row>
    <row r="1324" spans="1:31" ht="111" customHeight="1" x14ac:dyDescent="0.4">
      <c r="A1324" s="29" t="s">
        <v>5647</v>
      </c>
      <c r="B1324" s="29" t="s">
        <v>31</v>
      </c>
      <c r="C1324" s="29" t="s">
        <v>5312</v>
      </c>
      <c r="D1324" s="29" t="s">
        <v>5648</v>
      </c>
      <c r="E1324" s="29" t="s">
        <v>5649</v>
      </c>
      <c r="F1324" s="29" t="s">
        <v>5650</v>
      </c>
      <c r="G1324" s="35" t="s">
        <v>31</v>
      </c>
      <c r="H1324" s="35" t="s">
        <v>151</v>
      </c>
      <c r="I1324" s="36" t="s">
        <v>5651</v>
      </c>
      <c r="J1324" s="37"/>
      <c r="K1324" s="38"/>
      <c r="L1324" s="38"/>
      <c r="M1324" s="36" t="s">
        <v>60</v>
      </c>
      <c r="N1324" s="15" t="s">
        <v>152</v>
      </c>
      <c r="O1324" s="36" t="s">
        <v>5122</v>
      </c>
      <c r="P1324" s="36" t="str">
        <f t="shared" si="40"/>
        <v>API_開放_鄉鎮市區查詢道路列表_臺中市</v>
      </c>
      <c r="Q1324" s="36" t="s">
        <v>5650</v>
      </c>
      <c r="R1324" s="29" t="str">
        <f t="shared" si="41"/>
        <v>2dms_pubapi_v1_ListRoadM_B</v>
      </c>
      <c r="U1324" s="27" t="str">
        <f>_xlfn.XLOOKUP(表格1[[#This Row],[服務類別(英)]],參考2_服務標準對照!$B:$B,參考2_服務標準對照!$C:$C,"")&amp;""</f>
        <v/>
      </c>
      <c r="V1324" s="29" t="s">
        <v>17</v>
      </c>
      <c r="W1324" s="29" t="s">
        <v>5123</v>
      </c>
      <c r="X1324" s="29" t="s">
        <v>81</v>
      </c>
      <c r="Y1324" s="36" t="s">
        <v>83</v>
      </c>
      <c r="Z1324" s="36" t="s">
        <v>157</v>
      </c>
      <c r="AA1324" s="36" t="s">
        <v>5566</v>
      </c>
      <c r="AB1324" s="36"/>
      <c r="AC1324" s="36"/>
      <c r="AD1324" s="29" t="s">
        <v>96</v>
      </c>
      <c r="AE1324" s="36" t="str">
        <f>_xlfn.XLOOKUP(表格1[[#This Row],[唯一識別碼]],API清冊0707!B:B,API清冊0707!T:T,"")&amp;""</f>
        <v>有下拉選單</v>
      </c>
    </row>
    <row r="1325" spans="1:31" ht="111" customHeight="1" x14ac:dyDescent="0.4">
      <c r="A1325" s="29" t="s">
        <v>5652</v>
      </c>
      <c r="B1325" s="29" t="s">
        <v>31</v>
      </c>
      <c r="C1325" s="29" t="s">
        <v>5312</v>
      </c>
      <c r="D1325" s="29" t="s">
        <v>5653</v>
      </c>
      <c r="E1325" s="29" t="s">
        <v>5654</v>
      </c>
      <c r="F1325" s="29" t="s">
        <v>5655</v>
      </c>
      <c r="G1325" s="35" t="s">
        <v>31</v>
      </c>
      <c r="H1325" s="35" t="s">
        <v>151</v>
      </c>
      <c r="I1325" s="36" t="s">
        <v>5656</v>
      </c>
      <c r="J1325" s="37"/>
      <c r="K1325" s="38"/>
      <c r="L1325" s="38"/>
      <c r="M1325" s="36" t="s">
        <v>60</v>
      </c>
      <c r="N1325" s="15" t="s">
        <v>152</v>
      </c>
      <c r="O1325" s="36" t="s">
        <v>5122</v>
      </c>
      <c r="P1325" s="36" t="str">
        <f t="shared" si="40"/>
        <v>API_開放_鄉鎮市區查詢道路列表_臺北市</v>
      </c>
      <c r="Q1325" s="36" t="s">
        <v>5655</v>
      </c>
      <c r="R1325" s="29" t="str">
        <f t="shared" si="41"/>
        <v>2dms_pubapi_v1_ListRoadM_A</v>
      </c>
      <c r="U1325" s="27" t="str">
        <f>_xlfn.XLOOKUP(表格1[[#This Row],[服務類別(英)]],參考2_服務標準對照!$B:$B,參考2_服務標準對照!$C:$C,"")&amp;""</f>
        <v/>
      </c>
      <c r="V1325" s="29" t="s">
        <v>17</v>
      </c>
      <c r="W1325" s="29" t="s">
        <v>5123</v>
      </c>
      <c r="X1325" s="29" t="s">
        <v>81</v>
      </c>
      <c r="Y1325" s="36" t="s">
        <v>83</v>
      </c>
      <c r="Z1325" s="36" t="s">
        <v>157</v>
      </c>
      <c r="AA1325" s="36" t="s">
        <v>5566</v>
      </c>
      <c r="AB1325" s="36"/>
      <c r="AC1325" s="36"/>
      <c r="AD1325" s="29" t="s">
        <v>96</v>
      </c>
      <c r="AE1325" s="36" t="str">
        <f>_xlfn.XLOOKUP(表格1[[#This Row],[唯一識別碼]],API清冊0707!B:B,API清冊0707!T:T,"")&amp;""</f>
        <v>有下拉選單</v>
      </c>
    </row>
    <row r="1326" spans="1:31" ht="111" customHeight="1" x14ac:dyDescent="0.4">
      <c r="A1326" s="29" t="s">
        <v>5657</v>
      </c>
      <c r="B1326" s="29" t="s">
        <v>31</v>
      </c>
      <c r="C1326" s="29" t="s">
        <v>5312</v>
      </c>
      <c r="D1326" s="29" t="s">
        <v>5658</v>
      </c>
      <c r="E1326" s="29" t="s">
        <v>5659</v>
      </c>
      <c r="F1326" s="29" t="s">
        <v>5660</v>
      </c>
      <c r="G1326" s="35" t="s">
        <v>31</v>
      </c>
      <c r="H1326" s="35" t="s">
        <v>151</v>
      </c>
      <c r="I1326" s="36" t="s">
        <v>5661</v>
      </c>
      <c r="J1326" s="37"/>
      <c r="K1326" s="38"/>
      <c r="L1326" s="38"/>
      <c r="M1326" s="36" t="s">
        <v>60</v>
      </c>
      <c r="N1326" s="15" t="s">
        <v>152</v>
      </c>
      <c r="O1326" s="36" t="s">
        <v>5122</v>
      </c>
      <c r="P1326" s="36" t="str">
        <f t="shared" si="40"/>
        <v>API_開放_鄉鎮市區查詢道路列表_臺東縣</v>
      </c>
      <c r="Q1326" s="36" t="s">
        <v>5660</v>
      </c>
      <c r="R1326" s="29" t="str">
        <f t="shared" si="41"/>
        <v>2dms_pubapi_v1_ListRoadM_V</v>
      </c>
      <c r="U1326" s="27" t="str">
        <f>_xlfn.XLOOKUP(表格1[[#This Row],[服務類別(英)]],參考2_服務標準對照!$B:$B,參考2_服務標準對照!$C:$C,"")&amp;""</f>
        <v/>
      </c>
      <c r="V1326" s="29" t="s">
        <v>17</v>
      </c>
      <c r="W1326" s="29" t="s">
        <v>5123</v>
      </c>
      <c r="X1326" s="29" t="s">
        <v>81</v>
      </c>
      <c r="Y1326" s="36" t="s">
        <v>83</v>
      </c>
      <c r="Z1326" s="36" t="s">
        <v>157</v>
      </c>
      <c r="AA1326" s="36" t="s">
        <v>5566</v>
      </c>
      <c r="AB1326" s="36"/>
      <c r="AC1326" s="36"/>
      <c r="AD1326" s="29" t="s">
        <v>96</v>
      </c>
      <c r="AE1326" s="36" t="str">
        <f>_xlfn.XLOOKUP(表格1[[#This Row],[唯一識別碼]],API清冊0707!B:B,API清冊0707!T:T,"")&amp;""</f>
        <v>有下拉選單</v>
      </c>
    </row>
    <row r="1327" spans="1:31" ht="111" customHeight="1" x14ac:dyDescent="0.4">
      <c r="A1327" s="29" t="s">
        <v>5662</v>
      </c>
      <c r="B1327" s="29" t="s">
        <v>31</v>
      </c>
      <c r="C1327" s="29" t="s">
        <v>5312</v>
      </c>
      <c r="D1327" s="29" t="s">
        <v>5663</v>
      </c>
      <c r="E1327" s="29" t="s">
        <v>5664</v>
      </c>
      <c r="F1327" s="29" t="s">
        <v>5665</v>
      </c>
      <c r="G1327" s="35" t="s">
        <v>31</v>
      </c>
      <c r="H1327" s="35" t="s">
        <v>151</v>
      </c>
      <c r="I1327" s="36" t="s">
        <v>5666</v>
      </c>
      <c r="J1327" s="37"/>
      <c r="K1327" s="38"/>
      <c r="L1327" s="38"/>
      <c r="M1327" s="36" t="s">
        <v>60</v>
      </c>
      <c r="N1327" s="15" t="s">
        <v>152</v>
      </c>
      <c r="O1327" s="36" t="s">
        <v>5122</v>
      </c>
      <c r="P1327" s="36" t="str">
        <f t="shared" si="40"/>
        <v>API_開放_鄉鎮市區查詢道路列表_臺南市</v>
      </c>
      <c r="Q1327" s="36" t="s">
        <v>5665</v>
      </c>
      <c r="R1327" s="29" t="str">
        <f t="shared" si="41"/>
        <v>2dms_pubapi_v1_ListRoadM_D</v>
      </c>
      <c r="U1327" s="27" t="str">
        <f>_xlfn.XLOOKUP(表格1[[#This Row],[服務類別(英)]],參考2_服務標準對照!$B:$B,參考2_服務標準對照!$C:$C,"")&amp;""</f>
        <v/>
      </c>
      <c r="V1327" s="29" t="s">
        <v>17</v>
      </c>
      <c r="W1327" s="29" t="s">
        <v>5123</v>
      </c>
      <c r="X1327" s="29" t="s">
        <v>81</v>
      </c>
      <c r="Y1327" s="36" t="s">
        <v>83</v>
      </c>
      <c r="Z1327" s="36" t="s">
        <v>157</v>
      </c>
      <c r="AA1327" s="36" t="s">
        <v>5566</v>
      </c>
      <c r="AB1327" s="36"/>
      <c r="AC1327" s="36"/>
      <c r="AD1327" s="29" t="s">
        <v>96</v>
      </c>
      <c r="AE1327" s="36" t="str">
        <f>_xlfn.XLOOKUP(表格1[[#This Row],[唯一識別碼]],API清冊0707!B:B,API清冊0707!T:T,"")&amp;""</f>
        <v>有下拉選單</v>
      </c>
    </row>
    <row r="1328" spans="1:31" ht="111" customHeight="1" x14ac:dyDescent="0.4">
      <c r="A1328" s="29" t="s">
        <v>5667</v>
      </c>
      <c r="B1328" s="29" t="s">
        <v>31</v>
      </c>
      <c r="C1328" s="29" t="s">
        <v>5312</v>
      </c>
      <c r="D1328" s="29" t="s">
        <v>5668</v>
      </c>
      <c r="E1328" s="29" t="s">
        <v>5669</v>
      </c>
      <c r="F1328" s="29" t="s">
        <v>5670</v>
      </c>
      <c r="G1328" s="35" t="s">
        <v>31</v>
      </c>
      <c r="H1328" s="35" t="s">
        <v>151</v>
      </c>
      <c r="I1328" s="36" t="s">
        <v>5671</v>
      </c>
      <c r="J1328" s="37"/>
      <c r="K1328" s="38"/>
      <c r="L1328" s="38"/>
      <c r="M1328" s="36" t="s">
        <v>60</v>
      </c>
      <c r="N1328" s="15" t="s">
        <v>152</v>
      </c>
      <c r="O1328" s="36" t="s">
        <v>5122</v>
      </c>
      <c r="P1328" s="36" t="str">
        <f t="shared" si="40"/>
        <v>API_開放_鄉鎮市區查詢道路列表_澎湖縣</v>
      </c>
      <c r="Q1328" s="36" t="s">
        <v>5670</v>
      </c>
      <c r="R1328" s="29" t="str">
        <f t="shared" si="41"/>
        <v>2dms_pubapi_v1_ListRoadM_X</v>
      </c>
      <c r="U1328" s="27" t="str">
        <f>_xlfn.XLOOKUP(表格1[[#This Row],[服務類別(英)]],參考2_服務標準對照!$B:$B,參考2_服務標準對照!$C:$C,"")&amp;""</f>
        <v/>
      </c>
      <c r="V1328" s="29" t="s">
        <v>17</v>
      </c>
      <c r="W1328" s="29" t="s">
        <v>5123</v>
      </c>
      <c r="X1328" s="29" t="s">
        <v>81</v>
      </c>
      <c r="Y1328" s="36" t="s">
        <v>83</v>
      </c>
      <c r="Z1328" s="36" t="s">
        <v>157</v>
      </c>
      <c r="AA1328" s="36" t="s">
        <v>5566</v>
      </c>
      <c r="AB1328" s="36"/>
      <c r="AC1328" s="36"/>
      <c r="AD1328" s="29" t="s">
        <v>96</v>
      </c>
      <c r="AE1328" s="36" t="str">
        <f>_xlfn.XLOOKUP(表格1[[#This Row],[唯一識別碼]],API清冊0707!B:B,API清冊0707!T:T,"")&amp;""</f>
        <v>有下拉選單</v>
      </c>
    </row>
    <row r="1329" spans="1:31" ht="142.5" customHeight="1" x14ac:dyDescent="0.4">
      <c r="A1329" s="29" t="s">
        <v>5672</v>
      </c>
      <c r="B1329" s="29" t="s">
        <v>31</v>
      </c>
      <c r="C1329" s="29" t="s">
        <v>5673</v>
      </c>
      <c r="D1329" s="29" t="s">
        <v>5674</v>
      </c>
      <c r="E1329" s="29" t="s">
        <v>5675</v>
      </c>
      <c r="F1329" s="29" t="s">
        <v>5676</v>
      </c>
      <c r="G1329" s="35"/>
      <c r="H1329" s="35" t="s">
        <v>151</v>
      </c>
      <c r="I1329" s="36" t="s">
        <v>5677</v>
      </c>
      <c r="J1329" s="37"/>
      <c r="K1329" s="38"/>
      <c r="L1329" s="38"/>
      <c r="M1329" s="36" t="s">
        <v>60</v>
      </c>
      <c r="N1329" s="15" t="s">
        <v>152</v>
      </c>
      <c r="O1329" s="36" t="s">
        <v>5122</v>
      </c>
      <c r="P1329" s="36" t="str">
        <f t="shared" si="40"/>
        <v>API_開放_縣市道路關鍵字查詢主要道路_宜蘭縣</v>
      </c>
      <c r="Q1329" s="36" t="s">
        <v>5676</v>
      </c>
      <c r="R1329" s="29" t="str">
        <f t="shared" si="41"/>
        <v>2dms_pubapi_v1_TextQueryRoad_G</v>
      </c>
      <c r="U1329" s="27" t="str">
        <f>_xlfn.XLOOKUP(表格1[[#This Row],[服務類別(英)]],參考2_服務標準對照!$B:$B,參考2_服務標準對照!$C:$C,"")&amp;""</f>
        <v/>
      </c>
      <c r="V1329" s="29" t="s">
        <v>17</v>
      </c>
      <c r="W1329" s="29" t="s">
        <v>5123</v>
      </c>
      <c r="X1329" s="29" t="s">
        <v>81</v>
      </c>
      <c r="Y1329" s="36" t="s">
        <v>83</v>
      </c>
      <c r="Z1329" s="36" t="s">
        <v>157</v>
      </c>
      <c r="AA1329" s="36" t="s">
        <v>5566</v>
      </c>
      <c r="AB1329" s="36"/>
      <c r="AC1329" s="36"/>
      <c r="AD1329" s="29" t="s">
        <v>119</v>
      </c>
      <c r="AE1329" s="36" t="str">
        <f>_xlfn.XLOOKUP(表格1[[#This Row],[唯一識別碼]],API清冊0707!B:B,API清冊0707!T:T,"")&amp;""</f>
        <v>無下拉選單</v>
      </c>
    </row>
    <row r="1330" spans="1:31" ht="142.5" customHeight="1" x14ac:dyDescent="0.4">
      <c r="A1330" s="29" t="s">
        <v>5678</v>
      </c>
      <c r="B1330" s="29" t="s">
        <v>31</v>
      </c>
      <c r="C1330" s="29" t="s">
        <v>5673</v>
      </c>
      <c r="D1330" s="29" t="s">
        <v>5679</v>
      </c>
      <c r="E1330" s="29" t="s">
        <v>5680</v>
      </c>
      <c r="F1330" s="29" t="s">
        <v>5681</v>
      </c>
      <c r="G1330" s="35"/>
      <c r="H1330" s="35" t="s">
        <v>151</v>
      </c>
      <c r="I1330" s="36" t="s">
        <v>5682</v>
      </c>
      <c r="J1330" s="37"/>
      <c r="K1330" s="38"/>
      <c r="L1330" s="38"/>
      <c r="M1330" s="36" t="s">
        <v>60</v>
      </c>
      <c r="N1330" s="15" t="s">
        <v>152</v>
      </c>
      <c r="O1330" s="36" t="s">
        <v>5122</v>
      </c>
      <c r="P1330" s="36" t="str">
        <f t="shared" si="40"/>
        <v>API_開放_縣市道路關鍵字查詢主要道路_花蓮縣</v>
      </c>
      <c r="Q1330" s="36" t="s">
        <v>5681</v>
      </c>
      <c r="R1330" s="29" t="str">
        <f t="shared" si="41"/>
        <v>2dms_pubapi_v1_TextQueryRoad_U</v>
      </c>
      <c r="U1330" s="27" t="str">
        <f>_xlfn.XLOOKUP(表格1[[#This Row],[服務類別(英)]],參考2_服務標準對照!$B:$B,參考2_服務標準對照!$C:$C,"")&amp;""</f>
        <v/>
      </c>
      <c r="V1330" s="29" t="s">
        <v>17</v>
      </c>
      <c r="W1330" s="29" t="s">
        <v>5123</v>
      </c>
      <c r="X1330" s="29" t="s">
        <v>81</v>
      </c>
      <c r="Y1330" s="36" t="s">
        <v>83</v>
      </c>
      <c r="Z1330" s="36" t="s">
        <v>157</v>
      </c>
      <c r="AA1330" s="36" t="s">
        <v>5566</v>
      </c>
      <c r="AB1330" s="36"/>
      <c r="AC1330" s="36"/>
      <c r="AD1330" s="29" t="s">
        <v>119</v>
      </c>
      <c r="AE1330" s="36" t="str">
        <f>_xlfn.XLOOKUP(表格1[[#This Row],[唯一識別碼]],API清冊0707!B:B,API清冊0707!T:T,"")&amp;""</f>
        <v>無下拉選單</v>
      </c>
    </row>
    <row r="1331" spans="1:31" ht="142.5" customHeight="1" x14ac:dyDescent="0.4">
      <c r="A1331" s="29" t="s">
        <v>5683</v>
      </c>
      <c r="B1331" s="29" t="s">
        <v>31</v>
      </c>
      <c r="C1331" s="29" t="s">
        <v>5673</v>
      </c>
      <c r="D1331" s="29" t="s">
        <v>5684</v>
      </c>
      <c r="E1331" s="29" t="s">
        <v>5685</v>
      </c>
      <c r="F1331" s="29" t="s">
        <v>5686</v>
      </c>
      <c r="G1331" s="35"/>
      <c r="H1331" s="35" t="s">
        <v>151</v>
      </c>
      <c r="I1331" s="36" t="s">
        <v>5687</v>
      </c>
      <c r="J1331" s="37"/>
      <c r="K1331" s="38"/>
      <c r="L1331" s="38"/>
      <c r="M1331" s="36" t="s">
        <v>60</v>
      </c>
      <c r="N1331" s="15" t="s">
        <v>152</v>
      </c>
      <c r="O1331" s="36" t="s">
        <v>5122</v>
      </c>
      <c r="P1331" s="36" t="str">
        <f t="shared" si="40"/>
        <v>API_開放_縣市道路關鍵字查詢主要道路_金門縣</v>
      </c>
      <c r="Q1331" s="36" t="s">
        <v>5686</v>
      </c>
      <c r="R1331" s="29" t="str">
        <f t="shared" si="41"/>
        <v>2dms_pubapi_v1_TextQueryRoad_W</v>
      </c>
      <c r="U1331" s="27" t="str">
        <f>_xlfn.XLOOKUP(表格1[[#This Row],[服務類別(英)]],參考2_服務標準對照!$B:$B,參考2_服務標準對照!$C:$C,"")&amp;""</f>
        <v/>
      </c>
      <c r="V1331" s="29" t="s">
        <v>17</v>
      </c>
      <c r="W1331" s="29" t="s">
        <v>5123</v>
      </c>
      <c r="X1331" s="29" t="s">
        <v>81</v>
      </c>
      <c r="Y1331" s="36" t="s">
        <v>83</v>
      </c>
      <c r="Z1331" s="36" t="s">
        <v>157</v>
      </c>
      <c r="AA1331" s="36" t="s">
        <v>5566</v>
      </c>
      <c r="AB1331" s="36"/>
      <c r="AC1331" s="36"/>
      <c r="AD1331" s="29" t="s">
        <v>119</v>
      </c>
      <c r="AE1331" s="36" t="str">
        <f>_xlfn.XLOOKUP(表格1[[#This Row],[唯一識別碼]],API清冊0707!B:B,API清冊0707!T:T,"")&amp;""</f>
        <v>無下拉選單</v>
      </c>
    </row>
    <row r="1332" spans="1:31" ht="142.5" customHeight="1" x14ac:dyDescent="0.4">
      <c r="A1332" s="29" t="s">
        <v>5688</v>
      </c>
      <c r="B1332" s="29" t="s">
        <v>31</v>
      </c>
      <c r="C1332" s="29" t="s">
        <v>5673</v>
      </c>
      <c r="D1332" s="29" t="s">
        <v>5689</v>
      </c>
      <c r="E1332" s="29" t="s">
        <v>5690</v>
      </c>
      <c r="F1332" s="29" t="s">
        <v>5691</v>
      </c>
      <c r="G1332" s="35"/>
      <c r="H1332" s="35" t="s">
        <v>151</v>
      </c>
      <c r="I1332" s="36" t="s">
        <v>5692</v>
      </c>
      <c r="J1332" s="37"/>
      <c r="K1332" s="38"/>
      <c r="L1332" s="38"/>
      <c r="M1332" s="36" t="s">
        <v>60</v>
      </c>
      <c r="N1332" s="15" t="s">
        <v>152</v>
      </c>
      <c r="O1332" s="36" t="s">
        <v>5122</v>
      </c>
      <c r="P1332" s="36" t="str">
        <f t="shared" si="40"/>
        <v>API_開放_縣市道路關鍵字查詢主要道路_南投縣</v>
      </c>
      <c r="Q1332" s="36" t="s">
        <v>5691</v>
      </c>
      <c r="R1332" s="29" t="str">
        <f t="shared" si="41"/>
        <v>2dms_pubapi_v1_TextQueryRoad_M</v>
      </c>
      <c r="U1332" s="27" t="str">
        <f>_xlfn.XLOOKUP(表格1[[#This Row],[服務類別(英)]],參考2_服務標準對照!$B:$B,參考2_服務標準對照!$C:$C,"")&amp;""</f>
        <v/>
      </c>
      <c r="V1332" s="29" t="s">
        <v>17</v>
      </c>
      <c r="W1332" s="29" t="s">
        <v>5123</v>
      </c>
      <c r="X1332" s="29" t="s">
        <v>81</v>
      </c>
      <c r="Y1332" s="36" t="s">
        <v>83</v>
      </c>
      <c r="Z1332" s="36" t="s">
        <v>157</v>
      </c>
      <c r="AA1332" s="36" t="s">
        <v>5566</v>
      </c>
      <c r="AB1332" s="36"/>
      <c r="AC1332" s="36"/>
      <c r="AD1332" s="29" t="s">
        <v>119</v>
      </c>
      <c r="AE1332" s="36" t="str">
        <f>_xlfn.XLOOKUP(表格1[[#This Row],[唯一識別碼]],API清冊0707!B:B,API清冊0707!T:T,"")&amp;""</f>
        <v>無下拉選單</v>
      </c>
    </row>
    <row r="1333" spans="1:31" ht="142.5" customHeight="1" x14ac:dyDescent="0.4">
      <c r="A1333" s="29" t="s">
        <v>5693</v>
      </c>
      <c r="B1333" s="29" t="s">
        <v>31</v>
      </c>
      <c r="C1333" s="29" t="s">
        <v>5673</v>
      </c>
      <c r="D1333" s="29" t="s">
        <v>5694</v>
      </c>
      <c r="E1333" s="29" t="s">
        <v>5695</v>
      </c>
      <c r="F1333" s="29" t="s">
        <v>5696</v>
      </c>
      <c r="G1333" s="35"/>
      <c r="H1333" s="35" t="s">
        <v>151</v>
      </c>
      <c r="I1333" s="36" t="s">
        <v>5697</v>
      </c>
      <c r="J1333" s="37"/>
      <c r="K1333" s="38"/>
      <c r="L1333" s="38"/>
      <c r="M1333" s="36" t="s">
        <v>60</v>
      </c>
      <c r="N1333" s="15" t="s">
        <v>152</v>
      </c>
      <c r="O1333" s="36" t="s">
        <v>5122</v>
      </c>
      <c r="P1333" s="36" t="str">
        <f t="shared" si="40"/>
        <v>API_開放_縣市道路關鍵字查詢主要道路_屏東縣</v>
      </c>
      <c r="Q1333" s="36" t="s">
        <v>5696</v>
      </c>
      <c r="R1333" s="29" t="str">
        <f t="shared" si="41"/>
        <v>2dms_pubapi_v1_TextQueryRoad_T</v>
      </c>
      <c r="U1333" s="27" t="str">
        <f>_xlfn.XLOOKUP(表格1[[#This Row],[服務類別(英)]],參考2_服務標準對照!$B:$B,參考2_服務標準對照!$C:$C,"")&amp;""</f>
        <v/>
      </c>
      <c r="V1333" s="29" t="s">
        <v>17</v>
      </c>
      <c r="W1333" s="29" t="s">
        <v>5123</v>
      </c>
      <c r="X1333" s="29" t="s">
        <v>81</v>
      </c>
      <c r="Y1333" s="36" t="s">
        <v>83</v>
      </c>
      <c r="Z1333" s="36" t="s">
        <v>157</v>
      </c>
      <c r="AA1333" s="36" t="s">
        <v>5566</v>
      </c>
      <c r="AB1333" s="36"/>
      <c r="AC1333" s="36"/>
      <c r="AD1333" s="29" t="s">
        <v>119</v>
      </c>
      <c r="AE1333" s="36" t="str">
        <f>_xlfn.XLOOKUP(表格1[[#This Row],[唯一識別碼]],API清冊0707!B:B,API清冊0707!T:T,"")&amp;""</f>
        <v>無下拉選單</v>
      </c>
    </row>
    <row r="1334" spans="1:31" ht="142.5" customHeight="1" x14ac:dyDescent="0.4">
      <c r="A1334" s="29" t="s">
        <v>5698</v>
      </c>
      <c r="B1334" s="29" t="s">
        <v>31</v>
      </c>
      <c r="C1334" s="29" t="s">
        <v>5673</v>
      </c>
      <c r="D1334" s="29" t="s">
        <v>5699</v>
      </c>
      <c r="E1334" s="29" t="s">
        <v>5700</v>
      </c>
      <c r="F1334" s="29" t="s">
        <v>5701</v>
      </c>
      <c r="G1334" s="35"/>
      <c r="H1334" s="35" t="s">
        <v>151</v>
      </c>
      <c r="I1334" s="36" t="s">
        <v>5702</v>
      </c>
      <c r="J1334" s="37"/>
      <c r="K1334" s="38"/>
      <c r="L1334" s="38"/>
      <c r="M1334" s="36" t="s">
        <v>60</v>
      </c>
      <c r="N1334" s="15" t="s">
        <v>152</v>
      </c>
      <c r="O1334" s="36" t="s">
        <v>5122</v>
      </c>
      <c r="P1334" s="36" t="str">
        <f t="shared" si="40"/>
        <v>API_開放_縣市道路關鍵字查詢主要道路_苗栗縣</v>
      </c>
      <c r="Q1334" s="36" t="s">
        <v>5701</v>
      </c>
      <c r="R1334" s="29" t="str">
        <f t="shared" si="41"/>
        <v>2dms_pubapi_v1_TextQueryRoad_K</v>
      </c>
      <c r="U1334" s="27" t="str">
        <f>_xlfn.XLOOKUP(表格1[[#This Row],[服務類別(英)]],參考2_服務標準對照!$B:$B,參考2_服務標準對照!$C:$C,"")&amp;""</f>
        <v/>
      </c>
      <c r="V1334" s="29" t="s">
        <v>17</v>
      </c>
      <c r="W1334" s="29" t="s">
        <v>5123</v>
      </c>
      <c r="X1334" s="29" t="s">
        <v>81</v>
      </c>
      <c r="Y1334" s="36" t="s">
        <v>83</v>
      </c>
      <c r="Z1334" s="36" t="s">
        <v>157</v>
      </c>
      <c r="AA1334" s="36" t="s">
        <v>5566</v>
      </c>
      <c r="AB1334" s="36"/>
      <c r="AC1334" s="36"/>
      <c r="AD1334" s="29" t="s">
        <v>119</v>
      </c>
      <c r="AE1334" s="36" t="str">
        <f>_xlfn.XLOOKUP(表格1[[#This Row],[唯一識別碼]],API清冊0707!B:B,API清冊0707!T:T,"")&amp;""</f>
        <v>無下拉選單</v>
      </c>
    </row>
    <row r="1335" spans="1:31" ht="142.5" customHeight="1" x14ac:dyDescent="0.4">
      <c r="A1335" s="29" t="s">
        <v>5703</v>
      </c>
      <c r="B1335" s="29" t="s">
        <v>31</v>
      </c>
      <c r="C1335" s="29" t="s">
        <v>5673</v>
      </c>
      <c r="D1335" s="29" t="s">
        <v>5704</v>
      </c>
      <c r="E1335" s="29" t="s">
        <v>5705</v>
      </c>
      <c r="F1335" s="29" t="s">
        <v>5706</v>
      </c>
      <c r="G1335" s="35"/>
      <c r="H1335" s="35" t="s">
        <v>151</v>
      </c>
      <c r="I1335" s="36" t="s">
        <v>5707</v>
      </c>
      <c r="J1335" s="37"/>
      <c r="K1335" s="38"/>
      <c r="L1335" s="38"/>
      <c r="M1335" s="36" t="s">
        <v>60</v>
      </c>
      <c r="N1335" s="15" t="s">
        <v>152</v>
      </c>
      <c r="O1335" s="36" t="s">
        <v>5122</v>
      </c>
      <c r="P1335" s="36" t="str">
        <f t="shared" ref="P1335:P1398" si="42">IF(LEN(TRIM(F1335))&gt;0,F1335,E1335)</f>
        <v>API_開放_縣市道路關鍵字查詢主要道路_桃園市</v>
      </c>
      <c r="Q1335" s="36" t="s">
        <v>5706</v>
      </c>
      <c r="R1335" s="29" t="str">
        <f t="shared" ref="R1335:R1398" si="43">D1335</f>
        <v>2dms_pubapi_v1_TextQueryRoad_H</v>
      </c>
      <c r="U1335" s="27" t="str">
        <f>_xlfn.XLOOKUP(表格1[[#This Row],[服務類別(英)]],參考2_服務標準對照!$B:$B,參考2_服務標準對照!$C:$C,"")&amp;""</f>
        <v/>
      </c>
      <c r="V1335" s="29" t="s">
        <v>17</v>
      </c>
      <c r="W1335" s="29" t="s">
        <v>5123</v>
      </c>
      <c r="X1335" s="29" t="s">
        <v>81</v>
      </c>
      <c r="Y1335" s="36" t="s">
        <v>83</v>
      </c>
      <c r="Z1335" s="36" t="s">
        <v>157</v>
      </c>
      <c r="AA1335" s="36" t="s">
        <v>5566</v>
      </c>
      <c r="AB1335" s="36"/>
      <c r="AC1335" s="36"/>
      <c r="AD1335" s="29" t="s">
        <v>119</v>
      </c>
      <c r="AE1335" s="36" t="str">
        <f>_xlfn.XLOOKUP(表格1[[#This Row],[唯一識別碼]],API清冊0707!B:B,API清冊0707!T:T,"")&amp;""</f>
        <v>無下拉選單</v>
      </c>
    </row>
    <row r="1336" spans="1:31" ht="142.5" customHeight="1" x14ac:dyDescent="0.4">
      <c r="A1336" s="29" t="s">
        <v>5708</v>
      </c>
      <c r="B1336" s="29" t="s">
        <v>31</v>
      </c>
      <c r="C1336" s="29" t="s">
        <v>5673</v>
      </c>
      <c r="D1336" s="29" t="s">
        <v>5709</v>
      </c>
      <c r="E1336" s="29" t="s">
        <v>5710</v>
      </c>
      <c r="F1336" s="29" t="s">
        <v>5711</v>
      </c>
      <c r="G1336" s="35"/>
      <c r="H1336" s="35" t="s">
        <v>151</v>
      </c>
      <c r="I1336" s="36" t="s">
        <v>5712</v>
      </c>
      <c r="J1336" s="37"/>
      <c r="K1336" s="38"/>
      <c r="L1336" s="38"/>
      <c r="M1336" s="36" t="s">
        <v>60</v>
      </c>
      <c r="N1336" s="15" t="s">
        <v>152</v>
      </c>
      <c r="O1336" s="36" t="s">
        <v>5122</v>
      </c>
      <c r="P1336" s="36" t="str">
        <f t="shared" si="42"/>
        <v>API_開放_縣市道路關鍵字查詢主要道路_高雄市</v>
      </c>
      <c r="Q1336" s="36" t="s">
        <v>5711</v>
      </c>
      <c r="R1336" s="29" t="str">
        <f t="shared" si="43"/>
        <v>2dms_pubapi_v1_TextQueryRoad_E</v>
      </c>
      <c r="U1336" s="27" t="str">
        <f>_xlfn.XLOOKUP(表格1[[#This Row],[服務類別(英)]],參考2_服務標準對照!$B:$B,參考2_服務標準對照!$C:$C,"")&amp;""</f>
        <v/>
      </c>
      <c r="V1336" s="29" t="s">
        <v>17</v>
      </c>
      <c r="W1336" s="29" t="s">
        <v>5123</v>
      </c>
      <c r="X1336" s="29" t="s">
        <v>81</v>
      </c>
      <c r="Y1336" s="36" t="s">
        <v>83</v>
      </c>
      <c r="Z1336" s="36" t="s">
        <v>157</v>
      </c>
      <c r="AA1336" s="36" t="s">
        <v>5566</v>
      </c>
      <c r="AB1336" s="36"/>
      <c r="AC1336" s="36"/>
      <c r="AD1336" s="29" t="s">
        <v>119</v>
      </c>
      <c r="AE1336" s="36" t="str">
        <f>_xlfn.XLOOKUP(表格1[[#This Row],[唯一識別碼]],API清冊0707!B:B,API清冊0707!T:T,"")&amp;""</f>
        <v>無下拉選單</v>
      </c>
    </row>
    <row r="1337" spans="1:31" ht="142.5" customHeight="1" x14ac:dyDescent="0.4">
      <c r="A1337" s="29" t="s">
        <v>5713</v>
      </c>
      <c r="B1337" s="29" t="s">
        <v>31</v>
      </c>
      <c r="C1337" s="29" t="s">
        <v>5673</v>
      </c>
      <c r="D1337" s="29" t="s">
        <v>5714</v>
      </c>
      <c r="E1337" s="29" t="s">
        <v>5715</v>
      </c>
      <c r="F1337" s="29" t="s">
        <v>5716</v>
      </c>
      <c r="G1337" s="35"/>
      <c r="H1337" s="35" t="s">
        <v>151</v>
      </c>
      <c r="I1337" s="36" t="s">
        <v>5717</v>
      </c>
      <c r="J1337" s="37"/>
      <c r="K1337" s="38"/>
      <c r="L1337" s="38"/>
      <c r="M1337" s="36" t="s">
        <v>60</v>
      </c>
      <c r="N1337" s="15" t="s">
        <v>152</v>
      </c>
      <c r="O1337" s="36" t="s">
        <v>5122</v>
      </c>
      <c r="P1337" s="36" t="str">
        <f t="shared" si="42"/>
        <v>API_開放_縣市道路關鍵字查詢主要道路_基隆市</v>
      </c>
      <c r="Q1337" s="36" t="s">
        <v>5716</v>
      </c>
      <c r="R1337" s="29" t="str">
        <f t="shared" si="43"/>
        <v>2dms_pubapi_v1_TextQueryRoad_C</v>
      </c>
      <c r="U1337" s="27" t="str">
        <f>_xlfn.XLOOKUP(表格1[[#This Row],[服務類別(英)]],參考2_服務標準對照!$B:$B,參考2_服務標準對照!$C:$C,"")&amp;""</f>
        <v/>
      </c>
      <c r="V1337" s="29" t="s">
        <v>17</v>
      </c>
      <c r="W1337" s="29" t="s">
        <v>5123</v>
      </c>
      <c r="X1337" s="29" t="s">
        <v>81</v>
      </c>
      <c r="Y1337" s="36" t="s">
        <v>83</v>
      </c>
      <c r="Z1337" s="36" t="s">
        <v>157</v>
      </c>
      <c r="AA1337" s="36" t="s">
        <v>5566</v>
      </c>
      <c r="AB1337" s="36"/>
      <c r="AC1337" s="36"/>
      <c r="AD1337" s="29" t="s">
        <v>119</v>
      </c>
      <c r="AE1337" s="36" t="str">
        <f>_xlfn.XLOOKUP(表格1[[#This Row],[唯一識別碼]],API清冊0707!B:B,API清冊0707!T:T,"")&amp;""</f>
        <v>無下拉選單</v>
      </c>
    </row>
    <row r="1338" spans="1:31" ht="142.5" customHeight="1" x14ac:dyDescent="0.4">
      <c r="A1338" s="29" t="s">
        <v>5718</v>
      </c>
      <c r="B1338" s="29" t="s">
        <v>31</v>
      </c>
      <c r="C1338" s="29" t="s">
        <v>5673</v>
      </c>
      <c r="D1338" s="29" t="s">
        <v>5719</v>
      </c>
      <c r="E1338" s="29" t="s">
        <v>5720</v>
      </c>
      <c r="F1338" s="29" t="s">
        <v>5721</v>
      </c>
      <c r="G1338" s="35"/>
      <c r="H1338" s="35" t="s">
        <v>151</v>
      </c>
      <c r="I1338" s="36" t="s">
        <v>5722</v>
      </c>
      <c r="J1338" s="37"/>
      <c r="K1338" s="38"/>
      <c r="L1338" s="38"/>
      <c r="M1338" s="36" t="s">
        <v>60</v>
      </c>
      <c r="N1338" s="15" t="s">
        <v>152</v>
      </c>
      <c r="O1338" s="36" t="s">
        <v>5122</v>
      </c>
      <c r="P1338" s="36" t="str">
        <f t="shared" si="42"/>
        <v>API_開放_縣市道路關鍵字查詢主要道路_連江縣</v>
      </c>
      <c r="Q1338" s="36" t="s">
        <v>5721</v>
      </c>
      <c r="R1338" s="29" t="str">
        <f t="shared" si="43"/>
        <v>2dms_pubapi_v1_TextQueryRoad_Z</v>
      </c>
      <c r="U1338" s="27" t="str">
        <f>_xlfn.XLOOKUP(表格1[[#This Row],[服務類別(英)]],參考2_服務標準對照!$B:$B,參考2_服務標準對照!$C:$C,"")&amp;""</f>
        <v/>
      </c>
      <c r="V1338" s="29" t="s">
        <v>17</v>
      </c>
      <c r="W1338" s="29" t="s">
        <v>5123</v>
      </c>
      <c r="X1338" s="29" t="s">
        <v>81</v>
      </c>
      <c r="Y1338" s="36" t="s">
        <v>83</v>
      </c>
      <c r="Z1338" s="36" t="s">
        <v>157</v>
      </c>
      <c r="AA1338" s="36" t="s">
        <v>5566</v>
      </c>
      <c r="AB1338" s="36"/>
      <c r="AC1338" s="36"/>
      <c r="AD1338" s="29" t="s">
        <v>119</v>
      </c>
      <c r="AE1338" s="36" t="str">
        <f>_xlfn.XLOOKUP(表格1[[#This Row],[唯一識別碼]],API清冊0707!B:B,API清冊0707!T:T,"")&amp;""</f>
        <v>無下拉選單</v>
      </c>
    </row>
    <row r="1339" spans="1:31" ht="142.5" customHeight="1" x14ac:dyDescent="0.4">
      <c r="A1339" s="29" t="s">
        <v>5723</v>
      </c>
      <c r="B1339" s="29" t="s">
        <v>31</v>
      </c>
      <c r="C1339" s="29" t="s">
        <v>5673</v>
      </c>
      <c r="D1339" s="29" t="s">
        <v>5724</v>
      </c>
      <c r="E1339" s="29" t="s">
        <v>5725</v>
      </c>
      <c r="F1339" s="29" t="s">
        <v>5726</v>
      </c>
      <c r="G1339" s="35"/>
      <c r="H1339" s="35" t="s">
        <v>151</v>
      </c>
      <c r="I1339" s="36" t="s">
        <v>5727</v>
      </c>
      <c r="J1339" s="37"/>
      <c r="K1339" s="38"/>
      <c r="L1339" s="38"/>
      <c r="M1339" s="36" t="s">
        <v>60</v>
      </c>
      <c r="N1339" s="15" t="s">
        <v>152</v>
      </c>
      <c r="O1339" s="36" t="s">
        <v>5122</v>
      </c>
      <c r="P1339" s="36" t="str">
        <f t="shared" si="42"/>
        <v>API_開放_縣市道路關鍵字查詢主要道路_雲林縣</v>
      </c>
      <c r="Q1339" s="36" t="s">
        <v>5726</v>
      </c>
      <c r="R1339" s="29" t="str">
        <f t="shared" si="43"/>
        <v>2dms_pubapi_v1_TextQueryRoad_P</v>
      </c>
      <c r="U1339" s="27" t="str">
        <f>_xlfn.XLOOKUP(表格1[[#This Row],[服務類別(英)]],參考2_服務標準對照!$B:$B,參考2_服務標準對照!$C:$C,"")&amp;""</f>
        <v/>
      </c>
      <c r="V1339" s="29" t="s">
        <v>17</v>
      </c>
      <c r="W1339" s="29" t="s">
        <v>5123</v>
      </c>
      <c r="X1339" s="29" t="s">
        <v>81</v>
      </c>
      <c r="Y1339" s="36" t="s">
        <v>83</v>
      </c>
      <c r="Z1339" s="36" t="s">
        <v>157</v>
      </c>
      <c r="AA1339" s="36" t="s">
        <v>5566</v>
      </c>
      <c r="AB1339" s="36"/>
      <c r="AC1339" s="36"/>
      <c r="AD1339" s="29" t="s">
        <v>119</v>
      </c>
      <c r="AE1339" s="36" t="str">
        <f>_xlfn.XLOOKUP(表格1[[#This Row],[唯一識別碼]],API清冊0707!B:B,API清冊0707!T:T,"")&amp;""</f>
        <v>無下拉選單</v>
      </c>
    </row>
    <row r="1340" spans="1:31" ht="142.5" customHeight="1" x14ac:dyDescent="0.4">
      <c r="A1340" s="29" t="s">
        <v>5728</v>
      </c>
      <c r="B1340" s="29" t="s">
        <v>31</v>
      </c>
      <c r="C1340" s="29" t="s">
        <v>5673</v>
      </c>
      <c r="D1340" s="29" t="s">
        <v>5729</v>
      </c>
      <c r="E1340" s="29" t="s">
        <v>5730</v>
      </c>
      <c r="F1340" s="29" t="s">
        <v>5731</v>
      </c>
      <c r="G1340" s="35"/>
      <c r="H1340" s="35" t="s">
        <v>151</v>
      </c>
      <c r="I1340" s="36" t="s">
        <v>5732</v>
      </c>
      <c r="J1340" s="37"/>
      <c r="K1340" s="38"/>
      <c r="L1340" s="38"/>
      <c r="M1340" s="36" t="s">
        <v>60</v>
      </c>
      <c r="N1340" s="15" t="s">
        <v>152</v>
      </c>
      <c r="O1340" s="36" t="s">
        <v>5122</v>
      </c>
      <c r="P1340" s="36" t="str">
        <f t="shared" si="42"/>
        <v>API_開放_縣市道路關鍵字查詢主要道路_新北市</v>
      </c>
      <c r="Q1340" s="36" t="s">
        <v>5731</v>
      </c>
      <c r="R1340" s="29" t="str">
        <f t="shared" si="43"/>
        <v>2dms_pubapi_v1_TextQueryRoad_F</v>
      </c>
      <c r="U1340" s="27" t="str">
        <f>_xlfn.XLOOKUP(表格1[[#This Row],[服務類別(英)]],參考2_服務標準對照!$B:$B,參考2_服務標準對照!$C:$C,"")&amp;""</f>
        <v/>
      </c>
      <c r="V1340" s="29" t="s">
        <v>17</v>
      </c>
      <c r="W1340" s="29" t="s">
        <v>5123</v>
      </c>
      <c r="X1340" s="29" t="s">
        <v>81</v>
      </c>
      <c r="Y1340" s="36" t="s">
        <v>83</v>
      </c>
      <c r="Z1340" s="36" t="s">
        <v>157</v>
      </c>
      <c r="AA1340" s="36" t="s">
        <v>5566</v>
      </c>
      <c r="AB1340" s="36"/>
      <c r="AC1340" s="36"/>
      <c r="AD1340" s="29" t="s">
        <v>119</v>
      </c>
      <c r="AE1340" s="36" t="str">
        <f>_xlfn.XLOOKUP(表格1[[#This Row],[唯一識別碼]],API清冊0707!B:B,API清冊0707!T:T,"")&amp;""</f>
        <v>無下拉選單</v>
      </c>
    </row>
    <row r="1341" spans="1:31" ht="142.5" customHeight="1" x14ac:dyDescent="0.4">
      <c r="A1341" s="29" t="s">
        <v>5733</v>
      </c>
      <c r="B1341" s="29" t="s">
        <v>31</v>
      </c>
      <c r="C1341" s="29" t="s">
        <v>5673</v>
      </c>
      <c r="D1341" s="29" t="s">
        <v>5734</v>
      </c>
      <c r="E1341" s="29" t="s">
        <v>5735</v>
      </c>
      <c r="F1341" s="29" t="s">
        <v>5736</v>
      </c>
      <c r="G1341" s="35"/>
      <c r="H1341" s="35" t="s">
        <v>151</v>
      </c>
      <c r="I1341" s="36" t="s">
        <v>5737</v>
      </c>
      <c r="J1341" s="37"/>
      <c r="K1341" s="38"/>
      <c r="L1341" s="38"/>
      <c r="M1341" s="36" t="s">
        <v>60</v>
      </c>
      <c r="N1341" s="15" t="s">
        <v>152</v>
      </c>
      <c r="O1341" s="36" t="s">
        <v>5122</v>
      </c>
      <c r="P1341" s="36" t="str">
        <f t="shared" si="42"/>
        <v>API_開放_縣市道路關鍵字查詢主要道路_新竹市</v>
      </c>
      <c r="Q1341" s="36" t="s">
        <v>5736</v>
      </c>
      <c r="R1341" s="29" t="str">
        <f t="shared" si="43"/>
        <v>2dms_pubapi_v1_TextQueryRoad_O</v>
      </c>
      <c r="U1341" s="27" t="str">
        <f>_xlfn.XLOOKUP(表格1[[#This Row],[服務類別(英)]],參考2_服務標準對照!$B:$B,參考2_服務標準對照!$C:$C,"")&amp;""</f>
        <v/>
      </c>
      <c r="V1341" s="29" t="s">
        <v>17</v>
      </c>
      <c r="W1341" s="29" t="s">
        <v>5123</v>
      </c>
      <c r="X1341" s="29" t="s">
        <v>81</v>
      </c>
      <c r="Y1341" s="36" t="s">
        <v>83</v>
      </c>
      <c r="Z1341" s="36" t="s">
        <v>157</v>
      </c>
      <c r="AA1341" s="36" t="s">
        <v>5566</v>
      </c>
      <c r="AB1341" s="36"/>
      <c r="AC1341" s="36"/>
      <c r="AD1341" s="29" t="s">
        <v>119</v>
      </c>
      <c r="AE1341" s="36" t="str">
        <f>_xlfn.XLOOKUP(表格1[[#This Row],[唯一識別碼]],API清冊0707!B:B,API清冊0707!T:T,"")&amp;""</f>
        <v>無下拉選單</v>
      </c>
    </row>
    <row r="1342" spans="1:31" ht="126.75" customHeight="1" x14ac:dyDescent="0.4">
      <c r="A1342" s="29" t="s">
        <v>5738</v>
      </c>
      <c r="B1342" s="29" t="s">
        <v>31</v>
      </c>
      <c r="C1342" s="29" t="s">
        <v>5673</v>
      </c>
      <c r="D1342" s="29" t="s">
        <v>5739</v>
      </c>
      <c r="E1342" s="29" t="s">
        <v>5740</v>
      </c>
      <c r="F1342" s="29" t="s">
        <v>5741</v>
      </c>
      <c r="G1342" s="35"/>
      <c r="H1342" s="35" t="s">
        <v>151</v>
      </c>
      <c r="I1342" s="36" t="s">
        <v>5742</v>
      </c>
      <c r="J1342" s="37"/>
      <c r="K1342" s="38"/>
      <c r="L1342" s="38"/>
      <c r="M1342" s="36" t="s">
        <v>60</v>
      </c>
      <c r="N1342" s="15" t="s">
        <v>152</v>
      </c>
      <c r="O1342" s="36" t="s">
        <v>5122</v>
      </c>
      <c r="P1342" s="36" t="str">
        <f t="shared" si="42"/>
        <v>API_開放_縣市道路關鍵字查詢主要道路_新竹縣</v>
      </c>
      <c r="Q1342" s="36" t="s">
        <v>5741</v>
      </c>
      <c r="R1342" s="29" t="str">
        <f t="shared" si="43"/>
        <v>2dms_pubapi_v1_TextQueryRoad_J</v>
      </c>
      <c r="U1342" s="27" t="str">
        <f>_xlfn.XLOOKUP(表格1[[#This Row],[服務類別(英)]],參考2_服務標準對照!$B:$B,參考2_服務標準對照!$C:$C,"")&amp;""</f>
        <v/>
      </c>
      <c r="V1342" s="29" t="s">
        <v>17</v>
      </c>
      <c r="W1342" s="29" t="s">
        <v>5123</v>
      </c>
      <c r="X1342" s="29" t="s">
        <v>81</v>
      </c>
      <c r="Y1342" s="36" t="s">
        <v>83</v>
      </c>
      <c r="Z1342" s="36" t="s">
        <v>157</v>
      </c>
      <c r="AA1342" s="36" t="s">
        <v>5566</v>
      </c>
      <c r="AB1342" s="36"/>
      <c r="AC1342" s="36"/>
      <c r="AD1342" s="29" t="s">
        <v>119</v>
      </c>
      <c r="AE1342" s="36" t="str">
        <f>_xlfn.XLOOKUP(表格1[[#This Row],[唯一識別碼]],API清冊0707!B:B,API清冊0707!T:T,"")&amp;""</f>
        <v>無下拉選單</v>
      </c>
    </row>
    <row r="1343" spans="1:31" ht="126.75" customHeight="1" x14ac:dyDescent="0.4">
      <c r="A1343" s="29" t="s">
        <v>5743</v>
      </c>
      <c r="B1343" s="29" t="s">
        <v>31</v>
      </c>
      <c r="C1343" s="29" t="s">
        <v>5673</v>
      </c>
      <c r="D1343" s="29" t="s">
        <v>5744</v>
      </c>
      <c r="E1343" s="29" t="s">
        <v>5745</v>
      </c>
      <c r="F1343" s="29" t="s">
        <v>5746</v>
      </c>
      <c r="G1343" s="35"/>
      <c r="H1343" s="35" t="s">
        <v>151</v>
      </c>
      <c r="I1343" s="36" t="s">
        <v>5747</v>
      </c>
      <c r="J1343" s="37"/>
      <c r="K1343" s="38"/>
      <c r="L1343" s="38"/>
      <c r="M1343" s="36" t="s">
        <v>60</v>
      </c>
      <c r="N1343" s="15" t="s">
        <v>152</v>
      </c>
      <c r="O1343" s="36" t="s">
        <v>5122</v>
      </c>
      <c r="P1343" s="36" t="str">
        <f t="shared" si="42"/>
        <v>API_開放_縣市道路關鍵字查詢主要道路_嘉義市</v>
      </c>
      <c r="Q1343" s="36" t="s">
        <v>5746</v>
      </c>
      <c r="R1343" s="29" t="str">
        <f t="shared" si="43"/>
        <v>2dms_pubapi_v1_TextQueryRoad_I</v>
      </c>
      <c r="U1343" s="27" t="str">
        <f>_xlfn.XLOOKUP(表格1[[#This Row],[服務類別(英)]],參考2_服務標準對照!$B:$B,參考2_服務標準對照!$C:$C,"")&amp;""</f>
        <v/>
      </c>
      <c r="V1343" s="29" t="s">
        <v>17</v>
      </c>
      <c r="W1343" s="29" t="s">
        <v>5123</v>
      </c>
      <c r="X1343" s="29" t="s">
        <v>81</v>
      </c>
      <c r="Y1343" s="36" t="s">
        <v>83</v>
      </c>
      <c r="Z1343" s="36" t="s">
        <v>157</v>
      </c>
      <c r="AA1343" s="36" t="s">
        <v>5566</v>
      </c>
      <c r="AB1343" s="36"/>
      <c r="AC1343" s="36"/>
      <c r="AD1343" s="29" t="s">
        <v>119</v>
      </c>
      <c r="AE1343" s="36" t="str">
        <f>_xlfn.XLOOKUP(表格1[[#This Row],[唯一識別碼]],API清冊0707!B:B,API清冊0707!T:T,"")&amp;""</f>
        <v>無下拉選單</v>
      </c>
    </row>
    <row r="1344" spans="1:31" ht="142.5" customHeight="1" x14ac:dyDescent="0.4">
      <c r="A1344" s="29" t="s">
        <v>5748</v>
      </c>
      <c r="B1344" s="29" t="s">
        <v>31</v>
      </c>
      <c r="C1344" s="29" t="s">
        <v>5673</v>
      </c>
      <c r="D1344" s="29" t="s">
        <v>5749</v>
      </c>
      <c r="E1344" s="29" t="s">
        <v>5750</v>
      </c>
      <c r="F1344" s="29" t="s">
        <v>5751</v>
      </c>
      <c r="G1344" s="35"/>
      <c r="H1344" s="35" t="s">
        <v>151</v>
      </c>
      <c r="I1344" s="36" t="s">
        <v>5752</v>
      </c>
      <c r="J1344" s="37"/>
      <c r="K1344" s="38"/>
      <c r="L1344" s="38"/>
      <c r="M1344" s="36" t="s">
        <v>60</v>
      </c>
      <c r="N1344" s="15" t="s">
        <v>152</v>
      </c>
      <c r="O1344" s="36" t="s">
        <v>5122</v>
      </c>
      <c r="P1344" s="36" t="str">
        <f t="shared" si="42"/>
        <v>API_開放_縣市道路關鍵字查詢主要道路_嘉義縣</v>
      </c>
      <c r="Q1344" s="36" t="s">
        <v>5751</v>
      </c>
      <c r="R1344" s="29" t="str">
        <f t="shared" si="43"/>
        <v>2dms_pubapi_v1_TextQueryRoad_Q</v>
      </c>
      <c r="U1344" s="27" t="str">
        <f>_xlfn.XLOOKUP(表格1[[#This Row],[服務類別(英)]],參考2_服務標準對照!$B:$B,參考2_服務標準對照!$C:$C,"")&amp;""</f>
        <v/>
      </c>
      <c r="V1344" s="29" t="s">
        <v>17</v>
      </c>
      <c r="W1344" s="29" t="s">
        <v>5123</v>
      </c>
      <c r="X1344" s="29" t="s">
        <v>81</v>
      </c>
      <c r="Y1344" s="36" t="s">
        <v>83</v>
      </c>
      <c r="Z1344" s="36" t="s">
        <v>157</v>
      </c>
      <c r="AA1344" s="36" t="s">
        <v>5566</v>
      </c>
      <c r="AB1344" s="36"/>
      <c r="AC1344" s="36"/>
      <c r="AD1344" s="29" t="s">
        <v>119</v>
      </c>
      <c r="AE1344" s="36" t="str">
        <f>_xlfn.XLOOKUP(表格1[[#This Row],[唯一識別碼]],API清冊0707!B:B,API清冊0707!T:T,"")&amp;""</f>
        <v>無下拉選單</v>
      </c>
    </row>
    <row r="1345" spans="1:31" ht="142.5" customHeight="1" x14ac:dyDescent="0.4">
      <c r="A1345" s="29" t="s">
        <v>5753</v>
      </c>
      <c r="B1345" s="29" t="s">
        <v>31</v>
      </c>
      <c r="C1345" s="29" t="s">
        <v>5673</v>
      </c>
      <c r="D1345" s="29" t="s">
        <v>5754</v>
      </c>
      <c r="E1345" s="29" t="s">
        <v>5755</v>
      </c>
      <c r="F1345" s="29" t="s">
        <v>5756</v>
      </c>
      <c r="G1345" s="35"/>
      <c r="H1345" s="35" t="s">
        <v>151</v>
      </c>
      <c r="I1345" s="36" t="s">
        <v>5757</v>
      </c>
      <c r="J1345" s="37"/>
      <c r="K1345" s="38"/>
      <c r="L1345" s="38"/>
      <c r="M1345" s="36" t="s">
        <v>60</v>
      </c>
      <c r="N1345" s="15" t="s">
        <v>152</v>
      </c>
      <c r="O1345" s="36" t="s">
        <v>5122</v>
      </c>
      <c r="P1345" s="36" t="str">
        <f t="shared" si="42"/>
        <v>API_開放_縣市道路關鍵字查詢主要道路_彰化縣</v>
      </c>
      <c r="Q1345" s="36" t="s">
        <v>5756</v>
      </c>
      <c r="R1345" s="29" t="str">
        <f t="shared" si="43"/>
        <v>2dms_pubapi_v1_TextQueryRoad_N</v>
      </c>
      <c r="U1345" s="27" t="str">
        <f>_xlfn.XLOOKUP(表格1[[#This Row],[服務類別(英)]],參考2_服務標準對照!$B:$B,參考2_服務標準對照!$C:$C,"")&amp;""</f>
        <v/>
      </c>
      <c r="V1345" s="29" t="s">
        <v>17</v>
      </c>
      <c r="W1345" s="29" t="s">
        <v>5123</v>
      </c>
      <c r="X1345" s="29" t="s">
        <v>81</v>
      </c>
      <c r="Y1345" s="36" t="s">
        <v>83</v>
      </c>
      <c r="Z1345" s="36" t="s">
        <v>157</v>
      </c>
      <c r="AA1345" s="36" t="s">
        <v>5566</v>
      </c>
      <c r="AB1345" s="36"/>
      <c r="AC1345" s="36"/>
      <c r="AD1345" s="29" t="s">
        <v>119</v>
      </c>
      <c r="AE1345" s="36" t="str">
        <f>_xlfn.XLOOKUP(表格1[[#This Row],[唯一識別碼]],API清冊0707!B:B,API清冊0707!T:T,"")&amp;""</f>
        <v>無下拉選單</v>
      </c>
    </row>
    <row r="1346" spans="1:31" ht="142.5" customHeight="1" x14ac:dyDescent="0.4">
      <c r="A1346" s="29" t="s">
        <v>5758</v>
      </c>
      <c r="B1346" s="29" t="s">
        <v>31</v>
      </c>
      <c r="C1346" s="29" t="s">
        <v>5673</v>
      </c>
      <c r="D1346" s="29" t="s">
        <v>5759</v>
      </c>
      <c r="E1346" s="29" t="s">
        <v>5760</v>
      </c>
      <c r="F1346" s="29" t="s">
        <v>5761</v>
      </c>
      <c r="G1346" s="35"/>
      <c r="H1346" s="35" t="s">
        <v>151</v>
      </c>
      <c r="I1346" s="36" t="s">
        <v>5762</v>
      </c>
      <c r="J1346" s="37"/>
      <c r="K1346" s="38"/>
      <c r="L1346" s="38"/>
      <c r="M1346" s="36" t="s">
        <v>60</v>
      </c>
      <c r="N1346" s="15" t="s">
        <v>152</v>
      </c>
      <c r="O1346" s="36" t="s">
        <v>5122</v>
      </c>
      <c r="P1346" s="36" t="str">
        <f t="shared" si="42"/>
        <v>API_開放_縣市道路關鍵字查詢主要道路_臺中市</v>
      </c>
      <c r="Q1346" s="36" t="s">
        <v>5761</v>
      </c>
      <c r="R1346" s="29" t="str">
        <f t="shared" si="43"/>
        <v>2dms_pubapi_v1_TextQueryRoad_B</v>
      </c>
      <c r="U1346" s="27" t="str">
        <f>_xlfn.XLOOKUP(表格1[[#This Row],[服務類別(英)]],參考2_服務標準對照!$B:$B,參考2_服務標準對照!$C:$C,"")&amp;""</f>
        <v/>
      </c>
      <c r="V1346" s="29" t="s">
        <v>17</v>
      </c>
      <c r="W1346" s="29" t="s">
        <v>5123</v>
      </c>
      <c r="X1346" s="29" t="s">
        <v>81</v>
      </c>
      <c r="Y1346" s="36" t="s">
        <v>83</v>
      </c>
      <c r="Z1346" s="36" t="s">
        <v>157</v>
      </c>
      <c r="AA1346" s="36" t="s">
        <v>5566</v>
      </c>
      <c r="AB1346" s="36"/>
      <c r="AC1346" s="36"/>
      <c r="AD1346" s="29" t="s">
        <v>119</v>
      </c>
      <c r="AE1346" s="36" t="str">
        <f>_xlfn.XLOOKUP(表格1[[#This Row],[唯一識別碼]],API清冊0707!B:B,API清冊0707!T:T,"")&amp;""</f>
        <v>無下拉選單</v>
      </c>
    </row>
    <row r="1347" spans="1:31" ht="142.5" customHeight="1" x14ac:dyDescent="0.4">
      <c r="A1347" s="29" t="s">
        <v>5763</v>
      </c>
      <c r="B1347" s="29" t="s">
        <v>31</v>
      </c>
      <c r="C1347" s="29" t="s">
        <v>5673</v>
      </c>
      <c r="D1347" s="29" t="s">
        <v>5764</v>
      </c>
      <c r="E1347" s="29" t="s">
        <v>5765</v>
      </c>
      <c r="F1347" s="29" t="s">
        <v>5766</v>
      </c>
      <c r="G1347" s="35"/>
      <c r="H1347" s="35" t="s">
        <v>151</v>
      </c>
      <c r="I1347" s="36" t="s">
        <v>5767</v>
      </c>
      <c r="J1347" s="37"/>
      <c r="K1347" s="38"/>
      <c r="L1347" s="38"/>
      <c r="M1347" s="36" t="s">
        <v>60</v>
      </c>
      <c r="N1347" s="15" t="s">
        <v>152</v>
      </c>
      <c r="O1347" s="36" t="s">
        <v>5122</v>
      </c>
      <c r="P1347" s="36" t="str">
        <f t="shared" si="42"/>
        <v>API_開放_縣市道路關鍵字查詢主要道路_臺北市</v>
      </c>
      <c r="Q1347" s="36" t="s">
        <v>5766</v>
      </c>
      <c r="R1347" s="29" t="str">
        <f t="shared" si="43"/>
        <v>2dms_pubapi_v1_TextQueryRoad_A</v>
      </c>
      <c r="U1347" s="27" t="str">
        <f>_xlfn.XLOOKUP(表格1[[#This Row],[服務類別(英)]],參考2_服務標準對照!$B:$B,參考2_服務標準對照!$C:$C,"")&amp;""</f>
        <v/>
      </c>
      <c r="V1347" s="29" t="s">
        <v>17</v>
      </c>
      <c r="W1347" s="29" t="s">
        <v>5123</v>
      </c>
      <c r="X1347" s="29" t="s">
        <v>81</v>
      </c>
      <c r="Y1347" s="36" t="s">
        <v>83</v>
      </c>
      <c r="Z1347" s="36" t="s">
        <v>157</v>
      </c>
      <c r="AA1347" s="36" t="s">
        <v>5566</v>
      </c>
      <c r="AB1347" s="36"/>
      <c r="AC1347" s="36"/>
      <c r="AD1347" s="29" t="s">
        <v>119</v>
      </c>
      <c r="AE1347" s="36" t="str">
        <f>_xlfn.XLOOKUP(表格1[[#This Row],[唯一識別碼]],API清冊0707!B:B,API清冊0707!T:T,"")&amp;""</f>
        <v>無下拉選單</v>
      </c>
    </row>
    <row r="1348" spans="1:31" ht="142.5" customHeight="1" x14ac:dyDescent="0.4">
      <c r="A1348" s="29" t="s">
        <v>5768</v>
      </c>
      <c r="B1348" s="29" t="s">
        <v>31</v>
      </c>
      <c r="C1348" s="29" t="s">
        <v>5673</v>
      </c>
      <c r="D1348" s="29" t="s">
        <v>5769</v>
      </c>
      <c r="E1348" s="29" t="s">
        <v>5770</v>
      </c>
      <c r="F1348" s="29" t="s">
        <v>5771</v>
      </c>
      <c r="G1348" s="35"/>
      <c r="H1348" s="35" t="s">
        <v>151</v>
      </c>
      <c r="I1348" s="36" t="s">
        <v>5772</v>
      </c>
      <c r="J1348" s="37"/>
      <c r="K1348" s="38"/>
      <c r="L1348" s="38"/>
      <c r="M1348" s="36" t="s">
        <v>60</v>
      </c>
      <c r="N1348" s="15" t="s">
        <v>152</v>
      </c>
      <c r="O1348" s="36" t="s">
        <v>5122</v>
      </c>
      <c r="P1348" s="36" t="str">
        <f t="shared" si="42"/>
        <v>API_開放_縣市道路關鍵字查詢主要道路_臺東縣</v>
      </c>
      <c r="Q1348" s="36" t="s">
        <v>5771</v>
      </c>
      <c r="R1348" s="29" t="str">
        <f t="shared" si="43"/>
        <v>2dms_pubapi_v1_TextQueryRoad_V</v>
      </c>
      <c r="U1348" s="27" t="str">
        <f>_xlfn.XLOOKUP(表格1[[#This Row],[服務類別(英)]],參考2_服務標準對照!$B:$B,參考2_服務標準對照!$C:$C,"")&amp;""</f>
        <v/>
      </c>
      <c r="V1348" s="29" t="s">
        <v>17</v>
      </c>
      <c r="W1348" s="29" t="s">
        <v>5123</v>
      </c>
      <c r="X1348" s="29" t="s">
        <v>81</v>
      </c>
      <c r="Y1348" s="36" t="s">
        <v>83</v>
      </c>
      <c r="Z1348" s="36" t="s">
        <v>157</v>
      </c>
      <c r="AA1348" s="36" t="s">
        <v>5566</v>
      </c>
      <c r="AB1348" s="36"/>
      <c r="AC1348" s="36"/>
      <c r="AD1348" s="29" t="s">
        <v>119</v>
      </c>
      <c r="AE1348" s="36" t="str">
        <f>_xlfn.XLOOKUP(表格1[[#This Row],[唯一識別碼]],API清冊0707!B:B,API清冊0707!T:T,"")&amp;""</f>
        <v>無下拉選單</v>
      </c>
    </row>
    <row r="1349" spans="1:31" ht="142.5" customHeight="1" x14ac:dyDescent="0.4">
      <c r="A1349" s="29" t="s">
        <v>5773</v>
      </c>
      <c r="B1349" s="29" t="s">
        <v>31</v>
      </c>
      <c r="C1349" s="29" t="s">
        <v>5673</v>
      </c>
      <c r="D1349" s="29" t="s">
        <v>5774</v>
      </c>
      <c r="E1349" s="29" t="s">
        <v>5775</v>
      </c>
      <c r="F1349" s="29" t="s">
        <v>5776</v>
      </c>
      <c r="G1349" s="35"/>
      <c r="H1349" s="35" t="s">
        <v>151</v>
      </c>
      <c r="I1349" s="36" t="s">
        <v>5777</v>
      </c>
      <c r="J1349" s="37"/>
      <c r="K1349" s="38"/>
      <c r="L1349" s="38"/>
      <c r="M1349" s="36" t="s">
        <v>60</v>
      </c>
      <c r="N1349" s="15" t="s">
        <v>152</v>
      </c>
      <c r="O1349" s="36" t="s">
        <v>5122</v>
      </c>
      <c r="P1349" s="36" t="str">
        <f t="shared" si="42"/>
        <v>API_開放_縣市道路關鍵字查詢主要道路_臺南市</v>
      </c>
      <c r="Q1349" s="36" t="s">
        <v>5776</v>
      </c>
      <c r="R1349" s="29" t="str">
        <f t="shared" si="43"/>
        <v>2dms_pubapi_v1_TextQueryRoad_D</v>
      </c>
      <c r="U1349" s="27" t="str">
        <f>_xlfn.XLOOKUP(表格1[[#This Row],[服務類別(英)]],參考2_服務標準對照!$B:$B,參考2_服務標準對照!$C:$C,"")&amp;""</f>
        <v/>
      </c>
      <c r="V1349" s="29" t="s">
        <v>17</v>
      </c>
      <c r="W1349" s="29" t="s">
        <v>5123</v>
      </c>
      <c r="X1349" s="29" t="s">
        <v>81</v>
      </c>
      <c r="Y1349" s="36" t="s">
        <v>83</v>
      </c>
      <c r="Z1349" s="36" t="s">
        <v>157</v>
      </c>
      <c r="AA1349" s="36" t="s">
        <v>5566</v>
      </c>
      <c r="AB1349" s="36"/>
      <c r="AC1349" s="36"/>
      <c r="AD1349" s="29" t="s">
        <v>119</v>
      </c>
      <c r="AE1349" s="36" t="str">
        <f>_xlfn.XLOOKUP(表格1[[#This Row],[唯一識別碼]],API清冊0707!B:B,API清冊0707!T:T,"")&amp;""</f>
        <v>無下拉選單</v>
      </c>
    </row>
    <row r="1350" spans="1:31" ht="142.5" customHeight="1" x14ac:dyDescent="0.4">
      <c r="A1350" s="29" t="s">
        <v>5778</v>
      </c>
      <c r="B1350" s="29" t="s">
        <v>31</v>
      </c>
      <c r="C1350" s="29" t="s">
        <v>5673</v>
      </c>
      <c r="D1350" s="29" t="s">
        <v>5779</v>
      </c>
      <c r="E1350" s="29" t="s">
        <v>5780</v>
      </c>
      <c r="F1350" s="29" t="s">
        <v>5781</v>
      </c>
      <c r="G1350" s="35"/>
      <c r="H1350" s="35" t="s">
        <v>151</v>
      </c>
      <c r="I1350" s="36" t="s">
        <v>5782</v>
      </c>
      <c r="J1350" s="37"/>
      <c r="K1350" s="38"/>
      <c r="L1350" s="38"/>
      <c r="M1350" s="36" t="s">
        <v>60</v>
      </c>
      <c r="N1350" s="15" t="s">
        <v>152</v>
      </c>
      <c r="O1350" s="36" t="s">
        <v>5122</v>
      </c>
      <c r="P1350" s="36" t="str">
        <f t="shared" si="42"/>
        <v>API_開放_縣市道路關鍵字查詢主要道路_澎湖縣</v>
      </c>
      <c r="Q1350" s="36" t="s">
        <v>5781</v>
      </c>
      <c r="R1350" s="29" t="str">
        <f t="shared" si="43"/>
        <v>2dms_pubapi_v1_TextQueryRoad_X</v>
      </c>
      <c r="U1350" s="27" t="str">
        <f>_xlfn.XLOOKUP(表格1[[#This Row],[服務類別(英)]],參考2_服務標準對照!$B:$B,參考2_服務標準對照!$C:$C,"")&amp;""</f>
        <v/>
      </c>
      <c r="V1350" s="29" t="s">
        <v>17</v>
      </c>
      <c r="W1350" s="29" t="s">
        <v>5123</v>
      </c>
      <c r="X1350" s="29" t="s">
        <v>81</v>
      </c>
      <c r="Y1350" s="36" t="s">
        <v>83</v>
      </c>
      <c r="Z1350" s="36" t="s">
        <v>157</v>
      </c>
      <c r="AA1350" s="36" t="s">
        <v>5566</v>
      </c>
      <c r="AB1350" s="36"/>
      <c r="AC1350" s="36"/>
      <c r="AD1350" s="29" t="s">
        <v>119</v>
      </c>
      <c r="AE1350" s="36" t="str">
        <f>_xlfn.XLOOKUP(表格1[[#This Row],[唯一識別碼]],API清冊0707!B:B,API清冊0707!T:T,"")&amp;""</f>
        <v>無下拉選單</v>
      </c>
    </row>
    <row r="1351" spans="1:31" ht="142.5" customHeight="1" x14ac:dyDescent="0.4">
      <c r="A1351" s="29" t="s">
        <v>5783</v>
      </c>
      <c r="B1351" s="29" t="s">
        <v>31</v>
      </c>
      <c r="C1351" s="29" t="s">
        <v>5784</v>
      </c>
      <c r="D1351" s="29" t="s">
        <v>5785</v>
      </c>
      <c r="E1351" s="29" t="s">
        <v>5786</v>
      </c>
      <c r="F1351" s="29" t="s">
        <v>5787</v>
      </c>
      <c r="G1351" s="35" t="s">
        <v>31</v>
      </c>
      <c r="H1351" s="35" t="s">
        <v>151</v>
      </c>
      <c r="I1351" s="36" t="s">
        <v>5788</v>
      </c>
      <c r="J1351" s="37"/>
      <c r="K1351" s="38"/>
      <c r="L1351" s="38"/>
      <c r="M1351" s="36" t="s">
        <v>60</v>
      </c>
      <c r="N1351" s="15" t="s">
        <v>152</v>
      </c>
      <c r="O1351" s="36" t="s">
        <v>5122</v>
      </c>
      <c r="P1351" s="36" t="str">
        <f t="shared" si="42"/>
        <v>API_開放_鄉鎮市區路名查詢交叉路口及坐標_宜蘭縣</v>
      </c>
      <c r="Q1351" s="36" t="s">
        <v>5787</v>
      </c>
      <c r="R1351" s="29" t="str">
        <f t="shared" si="43"/>
        <v>2dms_pubapi_v1_ListRoadCross_G</v>
      </c>
      <c r="U1351" s="27" t="str">
        <f>_xlfn.XLOOKUP(表格1[[#This Row],[服務類別(英)]],參考2_服務標準對照!$B:$B,參考2_服務標準對照!$C:$C,"")&amp;""</f>
        <v/>
      </c>
      <c r="V1351" s="29" t="s">
        <v>17</v>
      </c>
      <c r="W1351" s="29" t="s">
        <v>5123</v>
      </c>
      <c r="X1351" s="29" t="s">
        <v>81</v>
      </c>
      <c r="Y1351" s="36" t="s">
        <v>83</v>
      </c>
      <c r="Z1351" s="36" t="s">
        <v>157</v>
      </c>
      <c r="AA1351" s="36" t="s">
        <v>5789</v>
      </c>
      <c r="AB1351" s="36"/>
      <c r="AC1351" s="36"/>
      <c r="AD1351" s="29" t="s">
        <v>96</v>
      </c>
      <c r="AE1351" s="36" t="str">
        <f>_xlfn.XLOOKUP(表格1[[#This Row],[唯一識別碼]],API清冊0707!B:B,API清冊0707!T:T,"")&amp;""</f>
        <v>有下拉選單</v>
      </c>
    </row>
    <row r="1352" spans="1:31" ht="142.5" customHeight="1" x14ac:dyDescent="0.4">
      <c r="A1352" s="29" t="s">
        <v>5790</v>
      </c>
      <c r="B1352" s="29" t="s">
        <v>31</v>
      </c>
      <c r="C1352" s="29" t="s">
        <v>5784</v>
      </c>
      <c r="D1352" s="29" t="s">
        <v>5791</v>
      </c>
      <c r="E1352" s="29" t="s">
        <v>5792</v>
      </c>
      <c r="F1352" s="29" t="s">
        <v>5793</v>
      </c>
      <c r="G1352" s="35" t="s">
        <v>31</v>
      </c>
      <c r="H1352" s="35" t="s">
        <v>151</v>
      </c>
      <c r="I1352" s="36" t="s">
        <v>5794</v>
      </c>
      <c r="J1352" s="37"/>
      <c r="K1352" s="38"/>
      <c r="L1352" s="38"/>
      <c r="M1352" s="36" t="s">
        <v>60</v>
      </c>
      <c r="N1352" s="15" t="s">
        <v>152</v>
      </c>
      <c r="O1352" s="36" t="s">
        <v>5122</v>
      </c>
      <c r="P1352" s="36" t="str">
        <f t="shared" si="42"/>
        <v>API_開放_鄉鎮市區路名查詢交叉路口及坐標_花蓮縣</v>
      </c>
      <c r="Q1352" s="36" t="s">
        <v>5793</v>
      </c>
      <c r="R1352" s="29" t="str">
        <f t="shared" si="43"/>
        <v>2dms_pubapi_v1_ListRoadCross_U</v>
      </c>
      <c r="U1352" s="27" t="str">
        <f>_xlfn.XLOOKUP(表格1[[#This Row],[服務類別(英)]],參考2_服務標準對照!$B:$B,參考2_服務標準對照!$C:$C,"")&amp;""</f>
        <v/>
      </c>
      <c r="V1352" s="29" t="s">
        <v>17</v>
      </c>
      <c r="W1352" s="29" t="s">
        <v>5123</v>
      </c>
      <c r="X1352" s="29" t="s">
        <v>81</v>
      </c>
      <c r="Y1352" s="36" t="s">
        <v>83</v>
      </c>
      <c r="Z1352" s="36" t="s">
        <v>157</v>
      </c>
      <c r="AA1352" s="36" t="s">
        <v>5789</v>
      </c>
      <c r="AB1352" s="36"/>
      <c r="AC1352" s="36"/>
      <c r="AD1352" s="29" t="s">
        <v>96</v>
      </c>
      <c r="AE1352" s="36" t="str">
        <f>_xlfn.XLOOKUP(表格1[[#This Row],[唯一識別碼]],API清冊0707!B:B,API清冊0707!T:T,"")&amp;""</f>
        <v>有下拉選單</v>
      </c>
    </row>
    <row r="1353" spans="1:31" ht="157.5" customHeight="1" x14ac:dyDescent="0.4">
      <c r="A1353" s="29" t="s">
        <v>5795</v>
      </c>
      <c r="B1353" s="29" t="s">
        <v>31</v>
      </c>
      <c r="C1353" s="29" t="s">
        <v>5784</v>
      </c>
      <c r="D1353" s="29" t="s">
        <v>5796</v>
      </c>
      <c r="E1353" s="29" t="s">
        <v>5797</v>
      </c>
      <c r="F1353" s="29" t="s">
        <v>5798</v>
      </c>
      <c r="G1353" s="35" t="s">
        <v>31</v>
      </c>
      <c r="H1353" s="35" t="s">
        <v>151</v>
      </c>
      <c r="I1353" s="36" t="s">
        <v>5799</v>
      </c>
      <c r="J1353" s="37"/>
      <c r="K1353" s="38"/>
      <c r="L1353" s="38"/>
      <c r="M1353" s="36" t="s">
        <v>60</v>
      </c>
      <c r="N1353" s="15" t="s">
        <v>152</v>
      </c>
      <c r="O1353" s="36" t="s">
        <v>5122</v>
      </c>
      <c r="P1353" s="36" t="str">
        <f t="shared" si="42"/>
        <v>API_開放_鄉鎮市區路名查詢交叉路口及坐標_金門縣</v>
      </c>
      <c r="Q1353" s="36" t="s">
        <v>5798</v>
      </c>
      <c r="R1353" s="29" t="str">
        <f t="shared" si="43"/>
        <v>2dms_pubapi_v1_ListRoadCross_W</v>
      </c>
      <c r="U1353" s="27" t="str">
        <f>_xlfn.XLOOKUP(表格1[[#This Row],[服務類別(英)]],參考2_服務標準對照!$B:$B,參考2_服務標準對照!$C:$C,"")&amp;""</f>
        <v/>
      </c>
      <c r="V1353" s="29" t="s">
        <v>17</v>
      </c>
      <c r="W1353" s="29" t="s">
        <v>5123</v>
      </c>
      <c r="X1353" s="29" t="s">
        <v>81</v>
      </c>
      <c r="Y1353" s="36" t="s">
        <v>83</v>
      </c>
      <c r="Z1353" s="36" t="s">
        <v>157</v>
      </c>
      <c r="AA1353" s="36" t="s">
        <v>5789</v>
      </c>
      <c r="AB1353" s="36"/>
      <c r="AC1353" s="36"/>
      <c r="AD1353" s="29" t="s">
        <v>96</v>
      </c>
      <c r="AE1353" s="36" t="str">
        <f>_xlfn.XLOOKUP(表格1[[#This Row],[唯一識別碼]],API清冊0707!B:B,API清冊0707!T:T,"")&amp;""</f>
        <v>有下拉選單</v>
      </c>
    </row>
    <row r="1354" spans="1:31" ht="157.5" customHeight="1" x14ac:dyDescent="0.4">
      <c r="A1354" s="29" t="s">
        <v>5800</v>
      </c>
      <c r="B1354" s="29" t="s">
        <v>31</v>
      </c>
      <c r="C1354" s="29" t="s">
        <v>5784</v>
      </c>
      <c r="D1354" s="29" t="s">
        <v>5801</v>
      </c>
      <c r="E1354" s="29" t="s">
        <v>5802</v>
      </c>
      <c r="F1354" s="29" t="s">
        <v>5803</v>
      </c>
      <c r="G1354" s="35" t="s">
        <v>31</v>
      </c>
      <c r="H1354" s="35" t="s">
        <v>151</v>
      </c>
      <c r="I1354" s="36" t="s">
        <v>5804</v>
      </c>
      <c r="J1354" s="37"/>
      <c r="K1354" s="38"/>
      <c r="L1354" s="38"/>
      <c r="M1354" s="36" t="s">
        <v>60</v>
      </c>
      <c r="N1354" s="15" t="s">
        <v>152</v>
      </c>
      <c r="O1354" s="36" t="s">
        <v>5122</v>
      </c>
      <c r="P1354" s="36" t="str">
        <f t="shared" si="42"/>
        <v>API_開放_鄉鎮市區路名查詢交叉路口及坐標_南投縣</v>
      </c>
      <c r="Q1354" s="36" t="s">
        <v>5803</v>
      </c>
      <c r="R1354" s="29" t="str">
        <f t="shared" si="43"/>
        <v>2dms_pubapi_v1_ListRoadCross_M</v>
      </c>
      <c r="U1354" s="27" t="str">
        <f>_xlfn.XLOOKUP(表格1[[#This Row],[服務類別(英)]],參考2_服務標準對照!$B:$B,參考2_服務標準對照!$C:$C,"")&amp;""</f>
        <v/>
      </c>
      <c r="V1354" s="29" t="s">
        <v>17</v>
      </c>
      <c r="W1354" s="29" t="s">
        <v>5123</v>
      </c>
      <c r="X1354" s="29" t="s">
        <v>81</v>
      </c>
      <c r="Y1354" s="36" t="s">
        <v>83</v>
      </c>
      <c r="Z1354" s="36" t="s">
        <v>157</v>
      </c>
      <c r="AA1354" s="36" t="s">
        <v>5789</v>
      </c>
      <c r="AB1354" s="36"/>
      <c r="AC1354" s="36"/>
      <c r="AD1354" s="29" t="s">
        <v>96</v>
      </c>
      <c r="AE1354" s="36" t="str">
        <f>_xlfn.XLOOKUP(表格1[[#This Row],[唯一識別碼]],API清冊0707!B:B,API清冊0707!T:T,"")&amp;""</f>
        <v>有下拉選單</v>
      </c>
    </row>
    <row r="1355" spans="1:31" ht="142.5" customHeight="1" x14ac:dyDescent="0.4">
      <c r="A1355" s="29" t="s">
        <v>5805</v>
      </c>
      <c r="B1355" s="29" t="s">
        <v>31</v>
      </c>
      <c r="C1355" s="29" t="s">
        <v>5784</v>
      </c>
      <c r="D1355" s="29" t="s">
        <v>5806</v>
      </c>
      <c r="E1355" s="29" t="s">
        <v>5807</v>
      </c>
      <c r="F1355" s="29" t="s">
        <v>5808</v>
      </c>
      <c r="G1355" s="35" t="s">
        <v>31</v>
      </c>
      <c r="H1355" s="35" t="s">
        <v>151</v>
      </c>
      <c r="I1355" s="36" t="s">
        <v>5809</v>
      </c>
      <c r="J1355" s="37"/>
      <c r="K1355" s="38"/>
      <c r="L1355" s="38"/>
      <c r="M1355" s="36" t="s">
        <v>60</v>
      </c>
      <c r="N1355" s="15" t="s">
        <v>152</v>
      </c>
      <c r="O1355" s="36" t="s">
        <v>5122</v>
      </c>
      <c r="P1355" s="36" t="str">
        <f t="shared" si="42"/>
        <v>API_開放_鄉鎮市區路名查詢交叉路口及坐標_屏東縣</v>
      </c>
      <c r="Q1355" s="36" t="s">
        <v>5808</v>
      </c>
      <c r="R1355" s="29" t="str">
        <f t="shared" si="43"/>
        <v>2dms_pubapi_v1_ListRoadCross_T</v>
      </c>
      <c r="U1355" s="27" t="str">
        <f>_xlfn.XLOOKUP(表格1[[#This Row],[服務類別(英)]],參考2_服務標準對照!$B:$B,參考2_服務標準對照!$C:$C,"")&amp;""</f>
        <v/>
      </c>
      <c r="V1355" s="29" t="s">
        <v>17</v>
      </c>
      <c r="W1355" s="29" t="s">
        <v>5123</v>
      </c>
      <c r="X1355" s="29" t="s">
        <v>81</v>
      </c>
      <c r="Y1355" s="36" t="s">
        <v>83</v>
      </c>
      <c r="Z1355" s="36" t="s">
        <v>157</v>
      </c>
      <c r="AA1355" s="36" t="s">
        <v>5789</v>
      </c>
      <c r="AB1355" s="36"/>
      <c r="AC1355" s="36"/>
      <c r="AD1355" s="29" t="s">
        <v>96</v>
      </c>
      <c r="AE1355" s="36" t="str">
        <f>_xlfn.XLOOKUP(表格1[[#This Row],[唯一識別碼]],API清冊0707!B:B,API清冊0707!T:T,"")&amp;""</f>
        <v>有下拉選單</v>
      </c>
    </row>
    <row r="1356" spans="1:31" ht="142.5" customHeight="1" x14ac:dyDescent="0.4">
      <c r="A1356" s="29" t="s">
        <v>5810</v>
      </c>
      <c r="B1356" s="29" t="s">
        <v>31</v>
      </c>
      <c r="C1356" s="29" t="s">
        <v>5784</v>
      </c>
      <c r="D1356" s="29" t="s">
        <v>5811</v>
      </c>
      <c r="E1356" s="29" t="s">
        <v>5812</v>
      </c>
      <c r="F1356" s="29" t="s">
        <v>5813</v>
      </c>
      <c r="G1356" s="35" t="s">
        <v>31</v>
      </c>
      <c r="H1356" s="35" t="s">
        <v>151</v>
      </c>
      <c r="I1356" s="36" t="s">
        <v>5814</v>
      </c>
      <c r="J1356" s="37"/>
      <c r="K1356" s="38"/>
      <c r="L1356" s="38"/>
      <c r="M1356" s="36" t="s">
        <v>60</v>
      </c>
      <c r="N1356" s="15" t="s">
        <v>152</v>
      </c>
      <c r="O1356" s="36" t="s">
        <v>5122</v>
      </c>
      <c r="P1356" s="36" t="str">
        <f t="shared" si="42"/>
        <v>API_開放_鄉鎮市區路名查詢交叉路口及坐標_苗栗縣</v>
      </c>
      <c r="Q1356" s="36" t="s">
        <v>5813</v>
      </c>
      <c r="R1356" s="29" t="str">
        <f t="shared" si="43"/>
        <v>2dms_pubapi_v1_ListRoadCross_K</v>
      </c>
      <c r="U1356" s="27" t="str">
        <f>_xlfn.XLOOKUP(表格1[[#This Row],[服務類別(英)]],參考2_服務標準對照!$B:$B,參考2_服務標準對照!$C:$C,"")&amp;""</f>
        <v/>
      </c>
      <c r="V1356" s="29" t="s">
        <v>17</v>
      </c>
      <c r="W1356" s="29" t="s">
        <v>5123</v>
      </c>
      <c r="X1356" s="29" t="s">
        <v>81</v>
      </c>
      <c r="Y1356" s="36" t="s">
        <v>83</v>
      </c>
      <c r="Z1356" s="36" t="s">
        <v>157</v>
      </c>
      <c r="AA1356" s="36" t="s">
        <v>5789</v>
      </c>
      <c r="AB1356" s="36"/>
      <c r="AC1356" s="36"/>
      <c r="AD1356" s="29" t="s">
        <v>96</v>
      </c>
      <c r="AE1356" s="36" t="str">
        <f>_xlfn.XLOOKUP(表格1[[#This Row],[唯一識別碼]],API清冊0707!B:B,API清冊0707!T:T,"")&amp;""</f>
        <v>有下拉選單</v>
      </c>
    </row>
    <row r="1357" spans="1:31" ht="142.5" customHeight="1" x14ac:dyDescent="0.4">
      <c r="A1357" s="29" t="s">
        <v>5815</v>
      </c>
      <c r="B1357" s="29" t="s">
        <v>31</v>
      </c>
      <c r="C1357" s="29" t="s">
        <v>5784</v>
      </c>
      <c r="D1357" s="29" t="s">
        <v>5816</v>
      </c>
      <c r="E1357" s="29" t="s">
        <v>5817</v>
      </c>
      <c r="F1357" s="29" t="s">
        <v>5818</v>
      </c>
      <c r="G1357" s="35" t="s">
        <v>31</v>
      </c>
      <c r="H1357" s="35" t="s">
        <v>151</v>
      </c>
      <c r="I1357" s="36" t="s">
        <v>5819</v>
      </c>
      <c r="J1357" s="37"/>
      <c r="K1357" s="38"/>
      <c r="L1357" s="38"/>
      <c r="M1357" s="36" t="s">
        <v>60</v>
      </c>
      <c r="N1357" s="15" t="s">
        <v>152</v>
      </c>
      <c r="O1357" s="36" t="s">
        <v>5122</v>
      </c>
      <c r="P1357" s="36" t="str">
        <f t="shared" si="42"/>
        <v>API_開放_鄉鎮市區路名查詢交叉路口及坐標_桃園市</v>
      </c>
      <c r="Q1357" s="36" t="s">
        <v>5818</v>
      </c>
      <c r="R1357" s="29" t="str">
        <f t="shared" si="43"/>
        <v>2dms_pubapi_v1_ListRoadCross_H</v>
      </c>
      <c r="U1357" s="27" t="str">
        <f>_xlfn.XLOOKUP(表格1[[#This Row],[服務類別(英)]],參考2_服務標準對照!$B:$B,參考2_服務標準對照!$C:$C,"")&amp;""</f>
        <v/>
      </c>
      <c r="V1357" s="29" t="s">
        <v>17</v>
      </c>
      <c r="W1357" s="29" t="s">
        <v>5123</v>
      </c>
      <c r="X1357" s="29" t="s">
        <v>81</v>
      </c>
      <c r="Y1357" s="36" t="s">
        <v>83</v>
      </c>
      <c r="Z1357" s="36" t="s">
        <v>157</v>
      </c>
      <c r="AA1357" s="36" t="s">
        <v>5789</v>
      </c>
      <c r="AB1357" s="36"/>
      <c r="AC1357" s="36"/>
      <c r="AD1357" s="29" t="s">
        <v>96</v>
      </c>
      <c r="AE1357" s="36" t="str">
        <f>_xlfn.XLOOKUP(表格1[[#This Row],[唯一識別碼]],API清冊0707!B:B,API清冊0707!T:T,"")&amp;""</f>
        <v>有下拉選單</v>
      </c>
    </row>
    <row r="1358" spans="1:31" ht="142.5" customHeight="1" x14ac:dyDescent="0.4">
      <c r="A1358" s="29" t="s">
        <v>5820</v>
      </c>
      <c r="B1358" s="29" t="s">
        <v>31</v>
      </c>
      <c r="C1358" s="29" t="s">
        <v>5784</v>
      </c>
      <c r="D1358" s="29" t="s">
        <v>5821</v>
      </c>
      <c r="E1358" s="29" t="s">
        <v>5822</v>
      </c>
      <c r="F1358" s="29" t="s">
        <v>5823</v>
      </c>
      <c r="G1358" s="35" t="s">
        <v>31</v>
      </c>
      <c r="H1358" s="35" t="s">
        <v>151</v>
      </c>
      <c r="I1358" s="36" t="s">
        <v>5824</v>
      </c>
      <c r="J1358" s="37"/>
      <c r="K1358" s="38"/>
      <c r="L1358" s="38"/>
      <c r="M1358" s="36" t="s">
        <v>60</v>
      </c>
      <c r="N1358" s="15" t="s">
        <v>152</v>
      </c>
      <c r="O1358" s="36" t="s">
        <v>5122</v>
      </c>
      <c r="P1358" s="36" t="str">
        <f t="shared" si="42"/>
        <v>API_開放_鄉鎮市區路名查詢交叉路口及坐標_高雄市</v>
      </c>
      <c r="Q1358" s="36" t="s">
        <v>5823</v>
      </c>
      <c r="R1358" s="29" t="str">
        <f t="shared" si="43"/>
        <v>2dms_pubapi_v1_ListRoadCross_E</v>
      </c>
      <c r="U1358" s="27" t="str">
        <f>_xlfn.XLOOKUP(表格1[[#This Row],[服務類別(英)]],參考2_服務標準對照!$B:$B,參考2_服務標準對照!$C:$C,"")&amp;""</f>
        <v/>
      </c>
      <c r="V1358" s="29" t="s">
        <v>17</v>
      </c>
      <c r="W1358" s="29" t="s">
        <v>5123</v>
      </c>
      <c r="X1358" s="29" t="s">
        <v>81</v>
      </c>
      <c r="Y1358" s="36" t="s">
        <v>83</v>
      </c>
      <c r="Z1358" s="36" t="s">
        <v>157</v>
      </c>
      <c r="AA1358" s="36" t="s">
        <v>5789</v>
      </c>
      <c r="AB1358" s="36"/>
      <c r="AC1358" s="36"/>
      <c r="AD1358" s="29" t="s">
        <v>96</v>
      </c>
      <c r="AE1358" s="36" t="str">
        <f>_xlfn.XLOOKUP(表格1[[#This Row],[唯一識別碼]],API清冊0707!B:B,API清冊0707!T:T,"")&amp;""</f>
        <v>有下拉選單</v>
      </c>
    </row>
    <row r="1359" spans="1:31" ht="142.5" customHeight="1" x14ac:dyDescent="0.4">
      <c r="A1359" s="29" t="s">
        <v>5825</v>
      </c>
      <c r="B1359" s="29" t="s">
        <v>31</v>
      </c>
      <c r="C1359" s="29" t="s">
        <v>5784</v>
      </c>
      <c r="D1359" s="29" t="s">
        <v>5826</v>
      </c>
      <c r="E1359" s="29" t="s">
        <v>5827</v>
      </c>
      <c r="F1359" s="29" t="s">
        <v>5828</v>
      </c>
      <c r="G1359" s="35" t="s">
        <v>31</v>
      </c>
      <c r="H1359" s="35" t="s">
        <v>151</v>
      </c>
      <c r="I1359" s="36" t="s">
        <v>5829</v>
      </c>
      <c r="J1359" s="37"/>
      <c r="K1359" s="38"/>
      <c r="L1359" s="38"/>
      <c r="M1359" s="36" t="s">
        <v>60</v>
      </c>
      <c r="N1359" s="15" t="s">
        <v>152</v>
      </c>
      <c r="O1359" s="36" t="s">
        <v>5122</v>
      </c>
      <c r="P1359" s="36" t="str">
        <f t="shared" si="42"/>
        <v>API_開放_鄉鎮市區路名查詢交叉路口及坐標_基隆市</v>
      </c>
      <c r="Q1359" s="36" t="s">
        <v>5828</v>
      </c>
      <c r="R1359" s="29" t="str">
        <f t="shared" si="43"/>
        <v>2dms_pubapi_v1_ListRoadCross_C</v>
      </c>
      <c r="U1359" s="27" t="str">
        <f>_xlfn.XLOOKUP(表格1[[#This Row],[服務類別(英)]],參考2_服務標準對照!$B:$B,參考2_服務標準對照!$C:$C,"")&amp;""</f>
        <v/>
      </c>
      <c r="V1359" s="29" t="s">
        <v>17</v>
      </c>
      <c r="W1359" s="29" t="s">
        <v>5123</v>
      </c>
      <c r="X1359" s="29" t="s">
        <v>81</v>
      </c>
      <c r="Y1359" s="36" t="s">
        <v>83</v>
      </c>
      <c r="Z1359" s="36" t="s">
        <v>157</v>
      </c>
      <c r="AA1359" s="36" t="s">
        <v>5789</v>
      </c>
      <c r="AB1359" s="36"/>
      <c r="AC1359" s="36"/>
      <c r="AD1359" s="29" t="s">
        <v>96</v>
      </c>
      <c r="AE1359" s="36" t="str">
        <f>_xlfn.XLOOKUP(表格1[[#This Row],[唯一識別碼]],API清冊0707!B:B,API清冊0707!T:T,"")&amp;""</f>
        <v>有下拉選單</v>
      </c>
    </row>
    <row r="1360" spans="1:31" ht="142.5" customHeight="1" x14ac:dyDescent="0.4">
      <c r="A1360" s="29" t="s">
        <v>5830</v>
      </c>
      <c r="B1360" s="29" t="s">
        <v>31</v>
      </c>
      <c r="C1360" s="29" t="s">
        <v>5784</v>
      </c>
      <c r="D1360" s="29" t="s">
        <v>5831</v>
      </c>
      <c r="E1360" s="29" t="s">
        <v>5832</v>
      </c>
      <c r="F1360" s="29" t="s">
        <v>5833</v>
      </c>
      <c r="G1360" s="35" t="s">
        <v>31</v>
      </c>
      <c r="H1360" s="35" t="s">
        <v>151</v>
      </c>
      <c r="I1360" s="36" t="s">
        <v>5834</v>
      </c>
      <c r="J1360" s="37"/>
      <c r="K1360" s="38"/>
      <c r="L1360" s="38"/>
      <c r="M1360" s="36" t="s">
        <v>60</v>
      </c>
      <c r="N1360" s="15" t="s">
        <v>152</v>
      </c>
      <c r="O1360" s="36" t="s">
        <v>5122</v>
      </c>
      <c r="P1360" s="36" t="str">
        <f t="shared" si="42"/>
        <v>API_開放_鄉鎮市區路名查詢交叉路口及坐標_連江縣</v>
      </c>
      <c r="Q1360" s="36" t="s">
        <v>5833</v>
      </c>
      <c r="R1360" s="29" t="str">
        <f t="shared" si="43"/>
        <v>2dms_pubapi_v1_ListRoadCross_Z</v>
      </c>
      <c r="U1360" s="27" t="str">
        <f>_xlfn.XLOOKUP(表格1[[#This Row],[服務類別(英)]],參考2_服務標準對照!$B:$B,參考2_服務標準對照!$C:$C,"")&amp;""</f>
        <v/>
      </c>
      <c r="V1360" s="29" t="s">
        <v>17</v>
      </c>
      <c r="W1360" s="29" t="s">
        <v>5123</v>
      </c>
      <c r="X1360" s="29" t="s">
        <v>81</v>
      </c>
      <c r="Y1360" s="36" t="s">
        <v>83</v>
      </c>
      <c r="Z1360" s="36" t="s">
        <v>157</v>
      </c>
      <c r="AA1360" s="36" t="s">
        <v>5789</v>
      </c>
      <c r="AB1360" s="36"/>
      <c r="AC1360" s="36"/>
      <c r="AD1360" s="29" t="s">
        <v>96</v>
      </c>
      <c r="AE1360" s="36" t="str">
        <f>_xlfn.XLOOKUP(表格1[[#This Row],[唯一識別碼]],API清冊0707!B:B,API清冊0707!T:T,"")&amp;""</f>
        <v>有下拉選單</v>
      </c>
    </row>
    <row r="1361" spans="1:31" ht="142.5" customHeight="1" x14ac:dyDescent="0.4">
      <c r="A1361" s="29" t="s">
        <v>5835</v>
      </c>
      <c r="B1361" s="29" t="s">
        <v>31</v>
      </c>
      <c r="C1361" s="29" t="s">
        <v>5784</v>
      </c>
      <c r="D1361" s="29" t="s">
        <v>5836</v>
      </c>
      <c r="E1361" s="29" t="s">
        <v>5837</v>
      </c>
      <c r="F1361" s="29" t="s">
        <v>5838</v>
      </c>
      <c r="G1361" s="35" t="s">
        <v>31</v>
      </c>
      <c r="H1361" s="35" t="s">
        <v>151</v>
      </c>
      <c r="I1361" s="36" t="s">
        <v>5839</v>
      </c>
      <c r="J1361" s="37"/>
      <c r="K1361" s="38"/>
      <c r="L1361" s="38"/>
      <c r="M1361" s="36" t="s">
        <v>60</v>
      </c>
      <c r="N1361" s="15" t="s">
        <v>152</v>
      </c>
      <c r="O1361" s="36" t="s">
        <v>5122</v>
      </c>
      <c r="P1361" s="36" t="str">
        <f t="shared" si="42"/>
        <v>API_開放_鄉鎮市區路名查詢交叉路口及坐標_雲林縣</v>
      </c>
      <c r="Q1361" s="36" t="s">
        <v>5838</v>
      </c>
      <c r="R1361" s="29" t="str">
        <f t="shared" si="43"/>
        <v>2dms_pubapi_v1_ListRoadCross_P</v>
      </c>
      <c r="U1361" s="27" t="str">
        <f>_xlfn.XLOOKUP(表格1[[#This Row],[服務類別(英)]],參考2_服務標準對照!$B:$B,參考2_服務標準對照!$C:$C,"")&amp;""</f>
        <v/>
      </c>
      <c r="V1361" s="29" t="s">
        <v>17</v>
      </c>
      <c r="W1361" s="29" t="s">
        <v>5123</v>
      </c>
      <c r="X1361" s="29" t="s">
        <v>81</v>
      </c>
      <c r="Y1361" s="36" t="s">
        <v>83</v>
      </c>
      <c r="Z1361" s="36" t="s">
        <v>157</v>
      </c>
      <c r="AA1361" s="36" t="s">
        <v>5789</v>
      </c>
      <c r="AB1361" s="36"/>
      <c r="AC1361" s="36"/>
      <c r="AD1361" s="29" t="s">
        <v>96</v>
      </c>
      <c r="AE1361" s="36" t="str">
        <f>_xlfn.XLOOKUP(表格1[[#This Row],[唯一識別碼]],API清冊0707!B:B,API清冊0707!T:T,"")&amp;""</f>
        <v>有下拉選單</v>
      </c>
    </row>
    <row r="1362" spans="1:31" ht="142.5" customHeight="1" x14ac:dyDescent="0.4">
      <c r="A1362" s="29" t="s">
        <v>5840</v>
      </c>
      <c r="B1362" s="29" t="s">
        <v>31</v>
      </c>
      <c r="C1362" s="29" t="s">
        <v>5784</v>
      </c>
      <c r="D1362" s="29" t="s">
        <v>5841</v>
      </c>
      <c r="E1362" s="29" t="s">
        <v>5842</v>
      </c>
      <c r="F1362" s="29" t="s">
        <v>5843</v>
      </c>
      <c r="G1362" s="35" t="s">
        <v>31</v>
      </c>
      <c r="H1362" s="35" t="s">
        <v>151</v>
      </c>
      <c r="I1362" s="36" t="s">
        <v>5844</v>
      </c>
      <c r="J1362" s="37"/>
      <c r="K1362" s="38"/>
      <c r="L1362" s="38"/>
      <c r="M1362" s="36" t="s">
        <v>60</v>
      </c>
      <c r="N1362" s="15" t="s">
        <v>152</v>
      </c>
      <c r="O1362" s="36" t="s">
        <v>5122</v>
      </c>
      <c r="P1362" s="36" t="str">
        <f t="shared" si="42"/>
        <v>API_開放_鄉鎮市區路名查詢交叉路口及坐標_新北市</v>
      </c>
      <c r="Q1362" s="36" t="s">
        <v>5843</v>
      </c>
      <c r="R1362" s="29" t="str">
        <f t="shared" si="43"/>
        <v>2dms_pubapi_v1_ListRoadCross_F</v>
      </c>
      <c r="U1362" s="27" t="str">
        <f>_xlfn.XLOOKUP(表格1[[#This Row],[服務類別(英)]],參考2_服務標準對照!$B:$B,參考2_服務標準對照!$C:$C,"")&amp;""</f>
        <v/>
      </c>
      <c r="V1362" s="29" t="s">
        <v>17</v>
      </c>
      <c r="W1362" s="29" t="s">
        <v>5123</v>
      </c>
      <c r="X1362" s="29" t="s">
        <v>81</v>
      </c>
      <c r="Y1362" s="36" t="s">
        <v>83</v>
      </c>
      <c r="Z1362" s="36" t="s">
        <v>157</v>
      </c>
      <c r="AA1362" s="36" t="s">
        <v>5789</v>
      </c>
      <c r="AB1362" s="36"/>
      <c r="AC1362" s="36"/>
      <c r="AD1362" s="29" t="s">
        <v>96</v>
      </c>
      <c r="AE1362" s="36" t="str">
        <f>_xlfn.XLOOKUP(表格1[[#This Row],[唯一識別碼]],API清冊0707!B:B,API清冊0707!T:T,"")&amp;""</f>
        <v>有下拉選單</v>
      </c>
    </row>
    <row r="1363" spans="1:31" ht="142.5" customHeight="1" x14ac:dyDescent="0.4">
      <c r="A1363" s="29" t="s">
        <v>5845</v>
      </c>
      <c r="B1363" s="29" t="s">
        <v>31</v>
      </c>
      <c r="C1363" s="29" t="s">
        <v>5784</v>
      </c>
      <c r="D1363" s="29" t="s">
        <v>5846</v>
      </c>
      <c r="E1363" s="29" t="s">
        <v>5847</v>
      </c>
      <c r="F1363" s="29" t="s">
        <v>5848</v>
      </c>
      <c r="G1363" s="35" t="s">
        <v>31</v>
      </c>
      <c r="H1363" s="35" t="s">
        <v>151</v>
      </c>
      <c r="I1363" s="36" t="s">
        <v>5849</v>
      </c>
      <c r="J1363" s="37"/>
      <c r="K1363" s="38"/>
      <c r="L1363" s="38"/>
      <c r="M1363" s="36" t="s">
        <v>60</v>
      </c>
      <c r="N1363" s="15" t="s">
        <v>152</v>
      </c>
      <c r="O1363" s="36" t="s">
        <v>5122</v>
      </c>
      <c r="P1363" s="36" t="str">
        <f t="shared" si="42"/>
        <v>API_開放_鄉鎮市區路名查詢交叉路口及坐標_新竹市</v>
      </c>
      <c r="Q1363" s="36" t="s">
        <v>5848</v>
      </c>
      <c r="R1363" s="29" t="str">
        <f t="shared" si="43"/>
        <v>2dms_pubapi_v1_ListRoadCross_O</v>
      </c>
      <c r="U1363" s="27" t="str">
        <f>_xlfn.XLOOKUP(表格1[[#This Row],[服務類別(英)]],參考2_服務標準對照!$B:$B,參考2_服務標準對照!$C:$C,"")&amp;""</f>
        <v/>
      </c>
      <c r="V1363" s="29" t="s">
        <v>17</v>
      </c>
      <c r="W1363" s="29" t="s">
        <v>5123</v>
      </c>
      <c r="X1363" s="29" t="s">
        <v>81</v>
      </c>
      <c r="Y1363" s="36" t="s">
        <v>83</v>
      </c>
      <c r="Z1363" s="36" t="s">
        <v>157</v>
      </c>
      <c r="AA1363" s="36" t="s">
        <v>5789</v>
      </c>
      <c r="AB1363" s="36"/>
      <c r="AC1363" s="36"/>
      <c r="AD1363" s="29" t="s">
        <v>96</v>
      </c>
      <c r="AE1363" s="36" t="str">
        <f>_xlfn.XLOOKUP(表格1[[#This Row],[唯一識別碼]],API清冊0707!B:B,API清冊0707!T:T,"")&amp;""</f>
        <v>有下拉選單</v>
      </c>
    </row>
    <row r="1364" spans="1:31" ht="142.5" customHeight="1" x14ac:dyDescent="0.4">
      <c r="A1364" s="29" t="s">
        <v>5850</v>
      </c>
      <c r="B1364" s="29" t="s">
        <v>31</v>
      </c>
      <c r="C1364" s="29" t="s">
        <v>5784</v>
      </c>
      <c r="D1364" s="29" t="s">
        <v>5851</v>
      </c>
      <c r="E1364" s="29" t="s">
        <v>5852</v>
      </c>
      <c r="F1364" s="29" t="s">
        <v>5853</v>
      </c>
      <c r="G1364" s="35" t="s">
        <v>31</v>
      </c>
      <c r="H1364" s="35" t="s">
        <v>151</v>
      </c>
      <c r="I1364" s="36" t="s">
        <v>5854</v>
      </c>
      <c r="J1364" s="37"/>
      <c r="K1364" s="38"/>
      <c r="L1364" s="38"/>
      <c r="M1364" s="36" t="s">
        <v>60</v>
      </c>
      <c r="N1364" s="15" t="s">
        <v>152</v>
      </c>
      <c r="O1364" s="36" t="s">
        <v>5122</v>
      </c>
      <c r="P1364" s="36" t="str">
        <f t="shared" si="42"/>
        <v>API_開放_鄉鎮市區路名查詢交叉路口及坐標_新竹縣</v>
      </c>
      <c r="Q1364" s="36" t="s">
        <v>5853</v>
      </c>
      <c r="R1364" s="29" t="str">
        <f t="shared" si="43"/>
        <v>2dms_pubapi_v1_ListRoadCross_J</v>
      </c>
      <c r="U1364" s="27" t="str">
        <f>_xlfn.XLOOKUP(表格1[[#This Row],[服務類別(英)]],參考2_服務標準對照!$B:$B,參考2_服務標準對照!$C:$C,"")&amp;""</f>
        <v/>
      </c>
      <c r="V1364" s="29" t="s">
        <v>17</v>
      </c>
      <c r="W1364" s="29" t="s">
        <v>5123</v>
      </c>
      <c r="X1364" s="29" t="s">
        <v>81</v>
      </c>
      <c r="Y1364" s="36" t="s">
        <v>83</v>
      </c>
      <c r="Z1364" s="36" t="s">
        <v>157</v>
      </c>
      <c r="AA1364" s="36" t="s">
        <v>5789</v>
      </c>
      <c r="AB1364" s="36"/>
      <c r="AC1364" s="36"/>
      <c r="AD1364" s="29" t="s">
        <v>96</v>
      </c>
      <c r="AE1364" s="36" t="str">
        <f>_xlfn.XLOOKUP(表格1[[#This Row],[唯一識別碼]],API清冊0707!B:B,API清冊0707!T:T,"")&amp;""</f>
        <v>有下拉選單</v>
      </c>
    </row>
    <row r="1365" spans="1:31" ht="142.5" customHeight="1" x14ac:dyDescent="0.4">
      <c r="A1365" s="29" t="s">
        <v>5855</v>
      </c>
      <c r="B1365" s="29" t="s">
        <v>31</v>
      </c>
      <c r="C1365" s="29" t="s">
        <v>5784</v>
      </c>
      <c r="D1365" s="29" t="s">
        <v>5856</v>
      </c>
      <c r="E1365" s="29" t="s">
        <v>5857</v>
      </c>
      <c r="F1365" s="29" t="s">
        <v>5858</v>
      </c>
      <c r="G1365" s="35" t="s">
        <v>31</v>
      </c>
      <c r="H1365" s="35" t="s">
        <v>151</v>
      </c>
      <c r="I1365" s="36" t="s">
        <v>5859</v>
      </c>
      <c r="J1365" s="37"/>
      <c r="K1365" s="38"/>
      <c r="L1365" s="38"/>
      <c r="M1365" s="36" t="s">
        <v>60</v>
      </c>
      <c r="N1365" s="15" t="s">
        <v>152</v>
      </c>
      <c r="O1365" s="36" t="s">
        <v>5122</v>
      </c>
      <c r="P1365" s="36" t="str">
        <f t="shared" si="42"/>
        <v>API_開放_鄉鎮市區路名查詢交叉路口及坐標_嘉義市</v>
      </c>
      <c r="Q1365" s="36" t="s">
        <v>5858</v>
      </c>
      <c r="R1365" s="29" t="str">
        <f t="shared" si="43"/>
        <v>2dms_pubapi_v1_ListRoadCross_I</v>
      </c>
      <c r="U1365" s="27" t="str">
        <f>_xlfn.XLOOKUP(表格1[[#This Row],[服務類別(英)]],參考2_服務標準對照!$B:$B,參考2_服務標準對照!$C:$C,"")&amp;""</f>
        <v/>
      </c>
      <c r="V1365" s="29" t="s">
        <v>17</v>
      </c>
      <c r="W1365" s="29" t="s">
        <v>5123</v>
      </c>
      <c r="X1365" s="29" t="s">
        <v>81</v>
      </c>
      <c r="Y1365" s="36" t="s">
        <v>83</v>
      </c>
      <c r="Z1365" s="36" t="s">
        <v>157</v>
      </c>
      <c r="AA1365" s="36" t="s">
        <v>5789</v>
      </c>
      <c r="AB1365" s="36"/>
      <c r="AC1365" s="36"/>
      <c r="AD1365" s="29" t="s">
        <v>96</v>
      </c>
      <c r="AE1365" s="36" t="str">
        <f>_xlfn.XLOOKUP(表格1[[#This Row],[唯一識別碼]],API清冊0707!B:B,API清冊0707!T:T,"")&amp;""</f>
        <v>有下拉選單</v>
      </c>
    </row>
    <row r="1366" spans="1:31" ht="142.5" customHeight="1" x14ac:dyDescent="0.4">
      <c r="A1366" s="29" t="s">
        <v>5860</v>
      </c>
      <c r="B1366" s="29" t="s">
        <v>31</v>
      </c>
      <c r="C1366" s="29" t="s">
        <v>5784</v>
      </c>
      <c r="D1366" s="29" t="s">
        <v>5861</v>
      </c>
      <c r="E1366" s="29" t="s">
        <v>5862</v>
      </c>
      <c r="F1366" s="29" t="s">
        <v>5863</v>
      </c>
      <c r="G1366" s="35" t="s">
        <v>31</v>
      </c>
      <c r="H1366" s="35" t="s">
        <v>151</v>
      </c>
      <c r="I1366" s="36" t="s">
        <v>5864</v>
      </c>
      <c r="J1366" s="37"/>
      <c r="K1366" s="38"/>
      <c r="L1366" s="38"/>
      <c r="M1366" s="36" t="s">
        <v>60</v>
      </c>
      <c r="N1366" s="15" t="s">
        <v>152</v>
      </c>
      <c r="O1366" s="36" t="s">
        <v>5122</v>
      </c>
      <c r="P1366" s="36" t="str">
        <f t="shared" si="42"/>
        <v>API_開放_鄉鎮市區路名查詢交叉路口及坐標_嘉義縣</v>
      </c>
      <c r="Q1366" s="36" t="s">
        <v>5863</v>
      </c>
      <c r="R1366" s="29" t="str">
        <f t="shared" si="43"/>
        <v>2dms_pubapi_v1_ListRoadCross_Q</v>
      </c>
      <c r="U1366" s="27" t="str">
        <f>_xlfn.XLOOKUP(表格1[[#This Row],[服務類別(英)]],參考2_服務標準對照!$B:$B,參考2_服務標準對照!$C:$C,"")&amp;""</f>
        <v/>
      </c>
      <c r="V1366" s="29" t="s">
        <v>17</v>
      </c>
      <c r="W1366" s="29" t="s">
        <v>5123</v>
      </c>
      <c r="X1366" s="29" t="s">
        <v>81</v>
      </c>
      <c r="Y1366" s="36" t="s">
        <v>83</v>
      </c>
      <c r="Z1366" s="36" t="s">
        <v>157</v>
      </c>
      <c r="AA1366" s="36" t="s">
        <v>5789</v>
      </c>
      <c r="AB1366" s="36"/>
      <c r="AC1366" s="36"/>
      <c r="AD1366" s="29" t="s">
        <v>96</v>
      </c>
      <c r="AE1366" s="36" t="str">
        <f>_xlfn.XLOOKUP(表格1[[#This Row],[唯一識別碼]],API清冊0707!B:B,API清冊0707!T:T,"")&amp;""</f>
        <v>有下拉選單</v>
      </c>
    </row>
    <row r="1367" spans="1:31" ht="142.5" customHeight="1" x14ac:dyDescent="0.4">
      <c r="A1367" s="29" t="s">
        <v>5865</v>
      </c>
      <c r="B1367" s="29" t="s">
        <v>31</v>
      </c>
      <c r="C1367" s="29" t="s">
        <v>5784</v>
      </c>
      <c r="D1367" s="29" t="s">
        <v>5866</v>
      </c>
      <c r="E1367" s="29" t="s">
        <v>5867</v>
      </c>
      <c r="F1367" s="29" t="s">
        <v>5868</v>
      </c>
      <c r="G1367" s="35" t="s">
        <v>31</v>
      </c>
      <c r="H1367" s="35" t="s">
        <v>151</v>
      </c>
      <c r="I1367" s="36" t="s">
        <v>5869</v>
      </c>
      <c r="J1367" s="37"/>
      <c r="K1367" s="38"/>
      <c r="L1367" s="38"/>
      <c r="M1367" s="36" t="s">
        <v>60</v>
      </c>
      <c r="N1367" s="15" t="s">
        <v>152</v>
      </c>
      <c r="O1367" s="36" t="s">
        <v>5122</v>
      </c>
      <c r="P1367" s="36" t="str">
        <f t="shared" si="42"/>
        <v>API_開放_鄉鎮市區路名查詢交叉路口及坐標_彰化縣</v>
      </c>
      <c r="Q1367" s="36" t="s">
        <v>5868</v>
      </c>
      <c r="R1367" s="29" t="str">
        <f t="shared" si="43"/>
        <v>2dms_pubapi_v1_ListRoadCross_N</v>
      </c>
      <c r="U1367" s="27" t="str">
        <f>_xlfn.XLOOKUP(表格1[[#This Row],[服務類別(英)]],參考2_服務標準對照!$B:$B,參考2_服務標準對照!$C:$C,"")&amp;""</f>
        <v/>
      </c>
      <c r="V1367" s="29" t="s">
        <v>17</v>
      </c>
      <c r="W1367" s="29" t="s">
        <v>5123</v>
      </c>
      <c r="X1367" s="29" t="s">
        <v>81</v>
      </c>
      <c r="Y1367" s="36" t="s">
        <v>83</v>
      </c>
      <c r="Z1367" s="36" t="s">
        <v>157</v>
      </c>
      <c r="AA1367" s="36" t="s">
        <v>5789</v>
      </c>
      <c r="AB1367" s="36"/>
      <c r="AC1367" s="36"/>
      <c r="AD1367" s="29" t="s">
        <v>96</v>
      </c>
      <c r="AE1367" s="36" t="str">
        <f>_xlfn.XLOOKUP(表格1[[#This Row],[唯一識別碼]],API清冊0707!B:B,API清冊0707!T:T,"")&amp;""</f>
        <v>有下拉選單</v>
      </c>
    </row>
    <row r="1368" spans="1:31" ht="142.5" customHeight="1" x14ac:dyDescent="0.4">
      <c r="A1368" s="29" t="s">
        <v>5870</v>
      </c>
      <c r="B1368" s="29" t="s">
        <v>31</v>
      </c>
      <c r="C1368" s="29" t="s">
        <v>5784</v>
      </c>
      <c r="D1368" s="29" t="s">
        <v>5871</v>
      </c>
      <c r="E1368" s="29" t="s">
        <v>5872</v>
      </c>
      <c r="F1368" s="29" t="s">
        <v>5873</v>
      </c>
      <c r="G1368" s="35" t="s">
        <v>31</v>
      </c>
      <c r="H1368" s="35" t="s">
        <v>151</v>
      </c>
      <c r="I1368" s="36" t="s">
        <v>5874</v>
      </c>
      <c r="J1368" s="37"/>
      <c r="K1368" s="38"/>
      <c r="L1368" s="38"/>
      <c r="M1368" s="36" t="s">
        <v>60</v>
      </c>
      <c r="N1368" s="15" t="s">
        <v>152</v>
      </c>
      <c r="O1368" s="36" t="s">
        <v>5122</v>
      </c>
      <c r="P1368" s="36" t="str">
        <f t="shared" si="42"/>
        <v>API_開放_鄉鎮市區路名查詢交叉路口及坐標_臺中市</v>
      </c>
      <c r="Q1368" s="36" t="s">
        <v>5873</v>
      </c>
      <c r="R1368" s="29" t="str">
        <f t="shared" si="43"/>
        <v>2dms_pubapi_v1_ListRoadCross_B</v>
      </c>
      <c r="U1368" s="27" t="str">
        <f>_xlfn.XLOOKUP(表格1[[#This Row],[服務類別(英)]],參考2_服務標準對照!$B:$B,參考2_服務標準對照!$C:$C,"")&amp;""</f>
        <v/>
      </c>
      <c r="V1368" s="29" t="s">
        <v>17</v>
      </c>
      <c r="W1368" s="29" t="s">
        <v>5123</v>
      </c>
      <c r="X1368" s="29" t="s">
        <v>81</v>
      </c>
      <c r="Y1368" s="36" t="s">
        <v>83</v>
      </c>
      <c r="Z1368" s="36" t="s">
        <v>157</v>
      </c>
      <c r="AA1368" s="36" t="s">
        <v>5789</v>
      </c>
      <c r="AB1368" s="36"/>
      <c r="AC1368" s="36"/>
      <c r="AD1368" s="29" t="s">
        <v>96</v>
      </c>
      <c r="AE1368" s="36" t="str">
        <f>_xlfn.XLOOKUP(表格1[[#This Row],[唯一識別碼]],API清冊0707!B:B,API清冊0707!T:T,"")&amp;""</f>
        <v>有下拉選單</v>
      </c>
    </row>
    <row r="1369" spans="1:31" ht="142.5" customHeight="1" x14ac:dyDescent="0.4">
      <c r="A1369" s="29" t="s">
        <v>5875</v>
      </c>
      <c r="B1369" s="29" t="s">
        <v>31</v>
      </c>
      <c r="C1369" s="29" t="s">
        <v>5784</v>
      </c>
      <c r="D1369" s="29" t="s">
        <v>5876</v>
      </c>
      <c r="E1369" s="29" t="s">
        <v>5877</v>
      </c>
      <c r="F1369" s="29" t="s">
        <v>5878</v>
      </c>
      <c r="G1369" s="35" t="s">
        <v>31</v>
      </c>
      <c r="H1369" s="35" t="s">
        <v>151</v>
      </c>
      <c r="I1369" s="36" t="s">
        <v>5879</v>
      </c>
      <c r="J1369" s="37"/>
      <c r="K1369" s="38"/>
      <c r="L1369" s="38"/>
      <c r="M1369" s="36" t="s">
        <v>60</v>
      </c>
      <c r="N1369" s="15" t="s">
        <v>152</v>
      </c>
      <c r="O1369" s="36" t="s">
        <v>5122</v>
      </c>
      <c r="P1369" s="36" t="str">
        <f t="shared" si="42"/>
        <v>API_開放_鄉鎮市區路名查詢交叉路口及坐標_臺北市</v>
      </c>
      <c r="Q1369" s="36" t="s">
        <v>5878</v>
      </c>
      <c r="R1369" s="29" t="str">
        <f t="shared" si="43"/>
        <v>2dms_pubapi_v1_ListRoadCross_A</v>
      </c>
      <c r="U1369" s="27" t="str">
        <f>_xlfn.XLOOKUP(表格1[[#This Row],[服務類別(英)]],參考2_服務標準對照!$B:$B,參考2_服務標準對照!$C:$C,"")&amp;""</f>
        <v/>
      </c>
      <c r="V1369" s="29" t="s">
        <v>17</v>
      </c>
      <c r="W1369" s="29" t="s">
        <v>5123</v>
      </c>
      <c r="X1369" s="29" t="s">
        <v>81</v>
      </c>
      <c r="Y1369" s="36" t="s">
        <v>83</v>
      </c>
      <c r="Z1369" s="36" t="s">
        <v>157</v>
      </c>
      <c r="AA1369" s="36" t="s">
        <v>5789</v>
      </c>
      <c r="AB1369" s="36"/>
      <c r="AC1369" s="36"/>
      <c r="AD1369" s="29" t="s">
        <v>96</v>
      </c>
      <c r="AE1369" s="36" t="str">
        <f>_xlfn.XLOOKUP(表格1[[#This Row],[唯一識別碼]],API清冊0707!B:B,API清冊0707!T:T,"")&amp;""</f>
        <v>有下拉選單</v>
      </c>
    </row>
    <row r="1370" spans="1:31" ht="142.5" customHeight="1" x14ac:dyDescent="0.4">
      <c r="A1370" s="29" t="s">
        <v>5880</v>
      </c>
      <c r="B1370" s="29" t="s">
        <v>31</v>
      </c>
      <c r="C1370" s="29" t="s">
        <v>5784</v>
      </c>
      <c r="D1370" s="29" t="s">
        <v>5881</v>
      </c>
      <c r="E1370" s="29" t="s">
        <v>5882</v>
      </c>
      <c r="F1370" s="29" t="s">
        <v>5883</v>
      </c>
      <c r="G1370" s="35" t="s">
        <v>31</v>
      </c>
      <c r="H1370" s="35" t="s">
        <v>151</v>
      </c>
      <c r="I1370" s="36" t="s">
        <v>5884</v>
      </c>
      <c r="J1370" s="37"/>
      <c r="K1370" s="38"/>
      <c r="L1370" s="38"/>
      <c r="M1370" s="36" t="s">
        <v>60</v>
      </c>
      <c r="N1370" s="15" t="s">
        <v>152</v>
      </c>
      <c r="O1370" s="36" t="s">
        <v>5122</v>
      </c>
      <c r="P1370" s="36" t="str">
        <f t="shared" si="42"/>
        <v>API_開放_鄉鎮市區路名查詢交叉路口及坐標_臺東縣</v>
      </c>
      <c r="Q1370" s="36" t="s">
        <v>5883</v>
      </c>
      <c r="R1370" s="29" t="str">
        <f t="shared" si="43"/>
        <v>2dms_pubapi_v1_ListRoadCross_V</v>
      </c>
      <c r="U1370" s="27" t="str">
        <f>_xlfn.XLOOKUP(表格1[[#This Row],[服務類別(英)]],參考2_服務標準對照!$B:$B,參考2_服務標準對照!$C:$C,"")&amp;""</f>
        <v/>
      </c>
      <c r="V1370" s="29" t="s">
        <v>17</v>
      </c>
      <c r="W1370" s="29" t="s">
        <v>5123</v>
      </c>
      <c r="X1370" s="29" t="s">
        <v>81</v>
      </c>
      <c r="Y1370" s="36" t="s">
        <v>83</v>
      </c>
      <c r="Z1370" s="36" t="s">
        <v>157</v>
      </c>
      <c r="AA1370" s="36" t="s">
        <v>5789</v>
      </c>
      <c r="AB1370" s="36"/>
      <c r="AC1370" s="36"/>
      <c r="AD1370" s="29" t="s">
        <v>96</v>
      </c>
      <c r="AE1370" s="36" t="str">
        <f>_xlfn.XLOOKUP(表格1[[#This Row],[唯一識別碼]],API清冊0707!B:B,API清冊0707!T:T,"")&amp;""</f>
        <v>有下拉選單</v>
      </c>
    </row>
    <row r="1371" spans="1:31" ht="142.5" customHeight="1" x14ac:dyDescent="0.4">
      <c r="A1371" s="29" t="s">
        <v>5885</v>
      </c>
      <c r="B1371" s="29" t="s">
        <v>31</v>
      </c>
      <c r="C1371" s="29" t="s">
        <v>5784</v>
      </c>
      <c r="D1371" s="29" t="s">
        <v>5886</v>
      </c>
      <c r="E1371" s="29" t="s">
        <v>5887</v>
      </c>
      <c r="F1371" s="29" t="s">
        <v>5888</v>
      </c>
      <c r="G1371" s="35" t="s">
        <v>31</v>
      </c>
      <c r="H1371" s="35" t="s">
        <v>151</v>
      </c>
      <c r="I1371" s="36" t="s">
        <v>5889</v>
      </c>
      <c r="J1371" s="37"/>
      <c r="K1371" s="38"/>
      <c r="L1371" s="38"/>
      <c r="M1371" s="36" t="s">
        <v>60</v>
      </c>
      <c r="N1371" s="15" t="s">
        <v>152</v>
      </c>
      <c r="O1371" s="36" t="s">
        <v>5122</v>
      </c>
      <c r="P1371" s="36" t="str">
        <f t="shared" si="42"/>
        <v>API_開放_鄉鎮市區路名查詢交叉路口及坐標_臺南市</v>
      </c>
      <c r="Q1371" s="36" t="s">
        <v>5888</v>
      </c>
      <c r="R1371" s="29" t="str">
        <f t="shared" si="43"/>
        <v>2dms_pubapi_v1_ListRoadCross_D</v>
      </c>
      <c r="U1371" s="27" t="str">
        <f>_xlfn.XLOOKUP(表格1[[#This Row],[服務類別(英)]],參考2_服務標準對照!$B:$B,參考2_服務標準對照!$C:$C,"")&amp;""</f>
        <v/>
      </c>
      <c r="V1371" s="29" t="s">
        <v>17</v>
      </c>
      <c r="W1371" s="29" t="s">
        <v>5123</v>
      </c>
      <c r="X1371" s="29" t="s">
        <v>81</v>
      </c>
      <c r="Y1371" s="36" t="s">
        <v>83</v>
      </c>
      <c r="Z1371" s="36" t="s">
        <v>157</v>
      </c>
      <c r="AA1371" s="36" t="s">
        <v>5789</v>
      </c>
      <c r="AB1371" s="36"/>
      <c r="AC1371" s="36"/>
      <c r="AD1371" s="29" t="s">
        <v>96</v>
      </c>
      <c r="AE1371" s="36" t="str">
        <f>_xlfn.XLOOKUP(表格1[[#This Row],[唯一識別碼]],API清冊0707!B:B,API清冊0707!T:T,"")&amp;""</f>
        <v>有下拉選單</v>
      </c>
    </row>
    <row r="1372" spans="1:31" ht="142.5" customHeight="1" x14ac:dyDescent="0.4">
      <c r="A1372" s="29" t="s">
        <v>5890</v>
      </c>
      <c r="B1372" s="29" t="s">
        <v>31</v>
      </c>
      <c r="C1372" s="29" t="s">
        <v>5784</v>
      </c>
      <c r="D1372" s="29" t="s">
        <v>5891</v>
      </c>
      <c r="E1372" s="29" t="s">
        <v>5892</v>
      </c>
      <c r="F1372" s="29" t="s">
        <v>5893</v>
      </c>
      <c r="G1372" s="35" t="s">
        <v>31</v>
      </c>
      <c r="H1372" s="35" t="s">
        <v>151</v>
      </c>
      <c r="I1372" s="36" t="s">
        <v>5894</v>
      </c>
      <c r="J1372" s="37"/>
      <c r="K1372" s="38"/>
      <c r="L1372" s="38"/>
      <c r="M1372" s="36" t="s">
        <v>60</v>
      </c>
      <c r="N1372" s="15" t="s">
        <v>152</v>
      </c>
      <c r="O1372" s="36" t="s">
        <v>5122</v>
      </c>
      <c r="P1372" s="36" t="str">
        <f t="shared" si="42"/>
        <v>API_開放_鄉鎮市區路名查詢交叉路口及坐標_澎湖縣</v>
      </c>
      <c r="Q1372" s="36" t="s">
        <v>5893</v>
      </c>
      <c r="R1372" s="29" t="str">
        <f t="shared" si="43"/>
        <v>2dms_pubapi_v1_ListRoadCross_X</v>
      </c>
      <c r="U1372" s="27" t="str">
        <f>_xlfn.XLOOKUP(表格1[[#This Row],[服務類別(英)]],參考2_服務標準對照!$B:$B,參考2_服務標準對照!$C:$C,"")&amp;""</f>
        <v/>
      </c>
      <c r="V1372" s="29" t="s">
        <v>17</v>
      </c>
      <c r="W1372" s="29" t="s">
        <v>5123</v>
      </c>
      <c r="X1372" s="29" t="s">
        <v>81</v>
      </c>
      <c r="Y1372" s="36" t="s">
        <v>83</v>
      </c>
      <c r="Z1372" s="36" t="s">
        <v>157</v>
      </c>
      <c r="AA1372" s="36" t="s">
        <v>5789</v>
      </c>
      <c r="AB1372" s="36"/>
      <c r="AC1372" s="36"/>
      <c r="AD1372" s="29" t="s">
        <v>96</v>
      </c>
      <c r="AE1372" s="36" t="str">
        <f>_xlfn.XLOOKUP(表格1[[#This Row],[唯一識別碼]],API清冊0707!B:B,API清冊0707!T:T,"")&amp;""</f>
        <v>有下拉選單</v>
      </c>
    </row>
    <row r="1373" spans="1:31" ht="157.5" customHeight="1" x14ac:dyDescent="0.4">
      <c r="A1373" s="29" t="s">
        <v>5895</v>
      </c>
      <c r="B1373" s="29" t="s">
        <v>31</v>
      </c>
      <c r="C1373" s="29" t="s">
        <v>5896</v>
      </c>
      <c r="D1373" s="29" t="s">
        <v>5897</v>
      </c>
      <c r="E1373" s="29" t="s">
        <v>5898</v>
      </c>
      <c r="F1373" s="29" t="s">
        <v>5899</v>
      </c>
      <c r="G1373" s="35"/>
      <c r="H1373" s="35" t="s">
        <v>151</v>
      </c>
      <c r="I1373" s="36" t="s">
        <v>5900</v>
      </c>
      <c r="J1373" s="37"/>
      <c r="K1373" s="38"/>
      <c r="L1373" s="38"/>
      <c r="M1373" s="36" t="s">
        <v>60</v>
      </c>
      <c r="N1373" s="15" t="s">
        <v>152</v>
      </c>
      <c r="O1373" s="36" t="s">
        <v>5122</v>
      </c>
      <c r="P1373" s="36" t="str">
        <f t="shared" si="42"/>
        <v>API_開放_指定坐標回傳國土利用現況調查成果圖的屬性_全國</v>
      </c>
      <c r="Q1373" s="36" t="s">
        <v>5899</v>
      </c>
      <c r="R1373" s="29" t="str">
        <f t="shared" si="43"/>
        <v>2dms_pubapi_v1_LandUsePointQuery</v>
      </c>
      <c r="U1373" s="27" t="str">
        <f>_xlfn.XLOOKUP(表格1[[#This Row],[服務類別(英)]],參考2_服務標準對照!$B:$B,參考2_服務標準對照!$C:$C,"")&amp;""</f>
        <v/>
      </c>
      <c r="V1373" s="29" t="s">
        <v>17</v>
      </c>
      <c r="W1373" s="29" t="s">
        <v>5123</v>
      </c>
      <c r="X1373" s="29" t="s">
        <v>81</v>
      </c>
      <c r="Y1373" s="36" t="s">
        <v>83</v>
      </c>
      <c r="Z1373" s="36" t="s">
        <v>157</v>
      </c>
      <c r="AA1373" s="36" t="s">
        <v>5115</v>
      </c>
      <c r="AB1373" s="36"/>
      <c r="AC1373" s="36"/>
      <c r="AD1373" s="29" t="s">
        <v>119</v>
      </c>
      <c r="AE1373" s="36" t="str">
        <f>_xlfn.XLOOKUP(表格1[[#This Row],[唯一識別碼]],API清冊0707!B:B,API清冊0707!T:T,"")&amp;""</f>
        <v>無下拉選單</v>
      </c>
    </row>
    <row r="1374" spans="1:31" ht="63.75" customHeight="1" x14ac:dyDescent="0.4">
      <c r="A1374" s="29"/>
      <c r="B1374" s="29"/>
      <c r="C1374" s="29"/>
      <c r="D1374" s="29"/>
      <c r="E1374" s="29"/>
      <c r="F1374" s="29"/>
      <c r="G1374" s="35"/>
      <c r="H1374" s="35"/>
      <c r="I1374" s="36"/>
      <c r="J1374" s="37"/>
      <c r="K1374" s="38"/>
      <c r="L1374" s="38"/>
      <c r="M1374" s="36"/>
      <c r="N1374" s="36"/>
      <c r="O1374" s="36"/>
      <c r="P1374" s="36"/>
      <c r="Q1374" s="36"/>
      <c r="R1374" s="29"/>
      <c r="V1374" s="29"/>
      <c r="W1374" s="29"/>
      <c r="X1374" s="29"/>
      <c r="Y1374" s="36"/>
      <c r="Z1374" s="36"/>
      <c r="AA1374" s="36"/>
      <c r="AB1374" s="36"/>
      <c r="AC1374" s="36"/>
      <c r="AD1374" s="29"/>
      <c r="AE1374" s="36" t="str">
        <f>_xlfn.XLOOKUP(表格1[[#This Row],[唯一識別碼]],API清冊0707!B:B,API清冊0707!T:T,"")&amp;""</f>
        <v/>
      </c>
    </row>
    <row r="1375" spans="1:31" ht="79.5" customHeight="1" x14ac:dyDescent="0.4">
      <c r="A1375" s="29"/>
      <c r="B1375" s="29"/>
      <c r="C1375" s="29"/>
      <c r="D1375" s="29"/>
      <c r="E1375" s="29"/>
      <c r="F1375" s="29"/>
      <c r="G1375" s="35"/>
      <c r="H1375" s="35"/>
      <c r="I1375" s="36"/>
      <c r="J1375" s="37"/>
      <c r="K1375" s="38"/>
      <c r="L1375" s="38"/>
      <c r="M1375" s="36"/>
      <c r="N1375" s="36"/>
      <c r="O1375" s="36"/>
      <c r="P1375" s="36"/>
      <c r="Q1375" s="36"/>
      <c r="R1375" s="29"/>
      <c r="V1375" s="29"/>
      <c r="W1375" s="29"/>
      <c r="X1375" s="29"/>
      <c r="Y1375" s="36"/>
      <c r="Z1375" s="36"/>
      <c r="AA1375" s="36"/>
      <c r="AB1375" s="36"/>
      <c r="AC1375" s="36"/>
      <c r="AD1375" s="29"/>
      <c r="AE1375" s="36" t="str">
        <f>_xlfn.XLOOKUP(表格1[[#This Row],[唯一識別碼]],API清冊0707!B:B,API清冊0707!T:T,"")&amp;""</f>
        <v/>
      </c>
    </row>
    <row r="1376" spans="1:31" ht="111" customHeight="1" x14ac:dyDescent="0.4">
      <c r="A1376" s="29"/>
      <c r="B1376" s="29"/>
      <c r="C1376" s="29"/>
      <c r="D1376" s="29"/>
      <c r="E1376" s="29"/>
      <c r="F1376" s="29"/>
      <c r="G1376" s="35"/>
      <c r="H1376" s="35"/>
      <c r="I1376" s="36"/>
      <c r="J1376" s="37"/>
      <c r="K1376" s="38"/>
      <c r="L1376" s="38"/>
      <c r="M1376" s="36"/>
      <c r="N1376" s="36"/>
      <c r="O1376" s="36"/>
      <c r="P1376" s="36"/>
      <c r="Q1376" s="36"/>
      <c r="R1376" s="29"/>
      <c r="V1376" s="29"/>
      <c r="W1376" s="29"/>
      <c r="X1376" s="29"/>
      <c r="Y1376" s="36"/>
      <c r="Z1376" s="36"/>
      <c r="AA1376" s="36"/>
      <c r="AB1376" s="36"/>
      <c r="AC1376" s="36"/>
      <c r="AD1376" s="29"/>
      <c r="AE1376" s="36" t="str">
        <f>_xlfn.XLOOKUP(表格1[[#This Row],[唯一識別碼]],API清冊0707!B:B,API清冊0707!T:T,"")&amp;""</f>
        <v/>
      </c>
    </row>
    <row r="1377" spans="1:31" ht="95.25" customHeight="1" x14ac:dyDescent="0.4">
      <c r="A1377" s="29"/>
      <c r="B1377" s="29"/>
      <c r="C1377" s="29"/>
      <c r="D1377" s="29"/>
      <c r="E1377" s="29"/>
      <c r="F1377" s="29"/>
      <c r="G1377" s="35"/>
      <c r="H1377" s="35"/>
      <c r="I1377" s="36"/>
      <c r="J1377" s="37"/>
      <c r="K1377" s="38"/>
      <c r="L1377" s="38"/>
      <c r="M1377" s="36"/>
      <c r="N1377" s="36"/>
      <c r="O1377" s="36"/>
      <c r="P1377" s="36"/>
      <c r="Q1377" s="36"/>
      <c r="R1377" s="29"/>
      <c r="V1377" s="29"/>
      <c r="W1377" s="29"/>
      <c r="X1377" s="29"/>
      <c r="Y1377" s="36"/>
      <c r="Z1377" s="36"/>
      <c r="AA1377" s="36"/>
      <c r="AB1377" s="36"/>
      <c r="AC1377" s="36"/>
      <c r="AD1377" s="29"/>
      <c r="AE1377" s="36" t="str">
        <f>_xlfn.XLOOKUP(表格1[[#This Row],[唯一識別碼]],API清冊0707!B:B,API清冊0707!T:T,"")&amp;""</f>
        <v/>
      </c>
    </row>
    <row r="1378" spans="1:31" ht="95.25" customHeight="1" x14ac:dyDescent="0.4">
      <c r="A1378" s="29"/>
      <c r="B1378" s="29"/>
      <c r="C1378" s="29"/>
      <c r="D1378" s="29"/>
      <c r="E1378" s="29"/>
      <c r="F1378" s="29"/>
      <c r="G1378" s="35"/>
      <c r="H1378" s="35"/>
      <c r="I1378" s="36"/>
      <c r="J1378" s="37"/>
      <c r="K1378" s="38"/>
      <c r="L1378" s="38"/>
      <c r="M1378" s="36"/>
      <c r="N1378" s="36"/>
      <c r="O1378" s="36"/>
      <c r="P1378" s="36"/>
      <c r="Q1378" s="36"/>
      <c r="R1378" s="29"/>
      <c r="V1378" s="29"/>
      <c r="W1378" s="29"/>
      <c r="X1378" s="29"/>
      <c r="Y1378" s="36"/>
      <c r="Z1378" s="36"/>
      <c r="AA1378" s="36"/>
      <c r="AB1378" s="36"/>
      <c r="AC1378" s="36"/>
      <c r="AD1378" s="29"/>
      <c r="AE1378" s="36" t="str">
        <f>_xlfn.XLOOKUP(表格1[[#This Row],[唯一識別碼]],API清冊0707!B:B,API清冊0707!T:T,"")&amp;""</f>
        <v/>
      </c>
    </row>
    <row r="1379" spans="1:31" ht="157.5" customHeight="1" x14ac:dyDescent="0.4">
      <c r="A1379" s="29" t="s">
        <v>5919</v>
      </c>
      <c r="B1379" s="29" t="s">
        <v>31</v>
      </c>
      <c r="C1379" s="29" t="s">
        <v>5920</v>
      </c>
      <c r="D1379" s="29" t="s">
        <v>5921</v>
      </c>
      <c r="E1379" s="29" t="s">
        <v>5922</v>
      </c>
      <c r="F1379" s="29" t="s">
        <v>5923</v>
      </c>
      <c r="G1379" s="35"/>
      <c r="H1379" s="35" t="s">
        <v>151</v>
      </c>
      <c r="I1379" s="36" t="s">
        <v>5924</v>
      </c>
      <c r="J1379" s="37"/>
      <c r="K1379" s="38"/>
      <c r="L1379" s="38"/>
      <c r="M1379" s="36" t="s">
        <v>60</v>
      </c>
      <c r="N1379" s="15" t="s">
        <v>152</v>
      </c>
      <c r="O1379" s="36" t="s">
        <v>5925</v>
      </c>
      <c r="P1379" s="36" t="str">
        <f t="shared" si="42"/>
        <v>API_路徑規劃_距離最短路線_全國</v>
      </c>
      <c r="Q1379" s="36" t="s">
        <v>5923</v>
      </c>
      <c r="R1379" s="29" t="str">
        <f t="shared" si="43"/>
        <v>2dms_route_v1_RoutesQueryByDist</v>
      </c>
      <c r="U1379" s="27" t="str">
        <f>_xlfn.XLOOKUP(表格1[[#This Row],[服務類別(英)]],參考2_服務標準對照!$B:$B,參考2_服務標準對照!$C:$C,"")&amp;""</f>
        <v/>
      </c>
      <c r="V1379" s="29" t="s">
        <v>18</v>
      </c>
      <c r="W1379" s="29" t="s">
        <v>5926</v>
      </c>
      <c r="X1379" s="29" t="s">
        <v>81</v>
      </c>
      <c r="Y1379" s="36" t="s">
        <v>83</v>
      </c>
      <c r="Z1379" s="36" t="s">
        <v>157</v>
      </c>
      <c r="AA1379" s="36" t="s">
        <v>5927</v>
      </c>
      <c r="AB1379" s="36"/>
      <c r="AC1379" s="36"/>
      <c r="AD1379" s="29" t="s">
        <v>119</v>
      </c>
      <c r="AE1379" s="36" t="str">
        <f>_xlfn.XLOOKUP(表格1[[#This Row],[唯一識別碼]],API清冊0707!B:B,API清冊0707!T:T,"")&amp;""</f>
        <v>無下拉選單</v>
      </c>
    </row>
    <row r="1380" spans="1:31" ht="173.25" customHeight="1" x14ac:dyDescent="0.4">
      <c r="A1380" s="29" t="s">
        <v>5928</v>
      </c>
      <c r="B1380" s="29" t="s">
        <v>31</v>
      </c>
      <c r="C1380" s="29" t="s">
        <v>5920</v>
      </c>
      <c r="D1380" s="29" t="s">
        <v>5929</v>
      </c>
      <c r="E1380" s="29" t="s">
        <v>5930</v>
      </c>
      <c r="F1380" s="29" t="s">
        <v>5931</v>
      </c>
      <c r="G1380" s="35"/>
      <c r="H1380" s="35" t="s">
        <v>151</v>
      </c>
      <c r="I1380" s="36" t="s">
        <v>5932</v>
      </c>
      <c r="J1380" s="37"/>
      <c r="K1380" s="38"/>
      <c r="L1380" s="38"/>
      <c r="M1380" s="36" t="s">
        <v>60</v>
      </c>
      <c r="N1380" s="15" t="s">
        <v>152</v>
      </c>
      <c r="O1380" s="36" t="s">
        <v>5925</v>
      </c>
      <c r="P1380" s="36" t="str">
        <f t="shared" si="42"/>
        <v>API_路徑規劃_時間最短路線_全國</v>
      </c>
      <c r="Q1380" s="36" t="s">
        <v>5931</v>
      </c>
      <c r="R1380" s="29" t="str">
        <f t="shared" si="43"/>
        <v>2dms_route_v1_RoutesQueryByTime</v>
      </c>
      <c r="U1380" s="27" t="str">
        <f>_xlfn.XLOOKUP(表格1[[#This Row],[服務類別(英)]],參考2_服務標準對照!$B:$B,參考2_服務標準對照!$C:$C,"")&amp;""</f>
        <v/>
      </c>
      <c r="V1380" s="29" t="s">
        <v>18</v>
      </c>
      <c r="W1380" s="29" t="s">
        <v>5926</v>
      </c>
      <c r="X1380" s="29" t="s">
        <v>81</v>
      </c>
      <c r="Y1380" s="36" t="s">
        <v>83</v>
      </c>
      <c r="Z1380" s="36" t="s">
        <v>157</v>
      </c>
      <c r="AA1380" s="36" t="s">
        <v>5927</v>
      </c>
      <c r="AB1380" s="36"/>
      <c r="AC1380" s="36"/>
      <c r="AD1380" s="29" t="s">
        <v>119</v>
      </c>
      <c r="AE1380" s="36" t="str">
        <f>_xlfn.XLOOKUP(表格1[[#This Row],[唯一識別碼]],API清冊0707!B:B,API清冊0707!T:T,"")&amp;""</f>
        <v>無下拉選單</v>
      </c>
    </row>
    <row r="1381" spans="1:31" ht="142.5" customHeight="1" x14ac:dyDescent="0.4">
      <c r="A1381" s="29" t="s">
        <v>5933</v>
      </c>
      <c r="B1381" s="29"/>
      <c r="C1381" s="29" t="s">
        <v>5934</v>
      </c>
      <c r="D1381" s="29" t="s">
        <v>5935</v>
      </c>
      <c r="E1381" s="29" t="s">
        <v>5936</v>
      </c>
      <c r="F1381" s="29" t="s">
        <v>5937</v>
      </c>
      <c r="G1381" s="35"/>
      <c r="H1381" s="35" t="s">
        <v>151</v>
      </c>
      <c r="I1381" s="36" t="s">
        <v>5938</v>
      </c>
      <c r="J1381" s="37"/>
      <c r="K1381" s="38"/>
      <c r="L1381" s="38"/>
      <c r="M1381" s="36" t="s">
        <v>60</v>
      </c>
      <c r="N1381" s="15" t="s">
        <v>152</v>
      </c>
      <c r="O1381" s="36" t="s">
        <v>5925</v>
      </c>
      <c r="P1381" s="36" t="str">
        <f t="shared" si="42"/>
        <v>API_路徑規劃_節點查詢_全國</v>
      </c>
      <c r="Q1381" s="36" t="s">
        <v>5937</v>
      </c>
      <c r="R1381" s="29" t="str">
        <f t="shared" si="43"/>
        <v>2dms_route_v1_RoutesNodes</v>
      </c>
      <c r="U1381" s="27" t="str">
        <f>_xlfn.XLOOKUP(表格1[[#This Row],[服務類別(英)]],參考2_服務標準對照!$B:$B,參考2_服務標準對照!$C:$C,"")&amp;""</f>
        <v/>
      </c>
      <c r="V1381" s="29" t="s">
        <v>18</v>
      </c>
      <c r="W1381" s="29" t="s">
        <v>5926</v>
      </c>
      <c r="X1381" s="29" t="s">
        <v>81</v>
      </c>
      <c r="Y1381" s="36" t="s">
        <v>83</v>
      </c>
      <c r="Z1381" s="36" t="s">
        <v>157</v>
      </c>
      <c r="AA1381" s="36" t="s">
        <v>5939</v>
      </c>
      <c r="AB1381" s="36"/>
      <c r="AC1381" s="36"/>
      <c r="AD1381" s="29" t="s">
        <v>119</v>
      </c>
      <c r="AE1381" s="36" t="str">
        <f>_xlfn.XLOOKUP(表格1[[#This Row],[唯一識別碼]],API清冊0707!B:B,API清冊0707!T:T,"")&amp;""</f>
        <v>無下拉選單</v>
      </c>
    </row>
    <row r="1382" spans="1:31" ht="95.25" customHeight="1" x14ac:dyDescent="0.4">
      <c r="A1382" s="29" t="s">
        <v>5940</v>
      </c>
      <c r="B1382" s="29"/>
      <c r="C1382" s="29"/>
      <c r="D1382" s="29" t="s">
        <v>5941</v>
      </c>
      <c r="E1382" s="29" t="s">
        <v>5942</v>
      </c>
      <c r="F1382" s="29" t="s">
        <v>5943</v>
      </c>
      <c r="G1382" s="35"/>
      <c r="H1382" s="35" t="s">
        <v>151</v>
      </c>
      <c r="I1382" s="29" t="s">
        <v>5940</v>
      </c>
      <c r="J1382" s="37"/>
      <c r="K1382" s="38"/>
      <c r="L1382" s="38"/>
      <c r="M1382" s="36" t="s">
        <v>60</v>
      </c>
      <c r="N1382" s="15" t="s">
        <v>152</v>
      </c>
      <c r="O1382" s="36" t="s">
        <v>5944</v>
      </c>
      <c r="P1382" s="36" t="str">
        <f t="shared" si="42"/>
        <v>WFS_分棟建物框</v>
      </c>
      <c r="Q1382" s="29" t="s">
        <v>5943</v>
      </c>
      <c r="R1382" s="29" t="str">
        <f t="shared" si="43"/>
        <v>2dms_emwfs_v1_BuildFrame</v>
      </c>
      <c r="S1382" s="39" t="s">
        <v>4124</v>
      </c>
      <c r="U1382" s="27" t="str">
        <f>_xlfn.XLOOKUP(表格1[[#This Row],[服務類別(英)]],參考2_服務標準對照!$B:$B,參考2_服務標準對照!$C:$C,"")&amp;""</f>
        <v>OGC</v>
      </c>
      <c r="V1382" s="29" t="s">
        <v>19</v>
      </c>
      <c r="W1382" s="29" t="s">
        <v>5945</v>
      </c>
      <c r="X1382" s="29" t="s">
        <v>81</v>
      </c>
      <c r="Y1382" s="36" t="s">
        <v>83</v>
      </c>
      <c r="Z1382" s="36" t="s">
        <v>157</v>
      </c>
      <c r="AA1382" s="36" t="s">
        <v>5946</v>
      </c>
      <c r="AB1382" s="36"/>
      <c r="AC1382" s="36"/>
      <c r="AD1382" s="29" t="s">
        <v>119</v>
      </c>
      <c r="AE1382" s="36" t="str">
        <f>_xlfn.XLOOKUP(表格1[[#This Row],[唯一識別碼]],API清冊0707!B:B,API清冊0707!T:T,"")&amp;""</f>
        <v>無下拉選單</v>
      </c>
    </row>
    <row r="1383" spans="1:31" ht="95.25" customHeight="1" x14ac:dyDescent="0.4">
      <c r="A1383" s="29" t="s">
        <v>5947</v>
      </c>
      <c r="B1383" s="29"/>
      <c r="C1383" s="29"/>
      <c r="D1383" s="29" t="s">
        <v>5948</v>
      </c>
      <c r="E1383" s="29" t="s">
        <v>19</v>
      </c>
      <c r="F1383" s="29" t="s">
        <v>5949</v>
      </c>
      <c r="G1383" s="35"/>
      <c r="H1383" s="35" t="s">
        <v>151</v>
      </c>
      <c r="I1383" s="29" t="s">
        <v>5947</v>
      </c>
      <c r="J1383" s="37"/>
      <c r="K1383" s="38"/>
      <c r="L1383" s="38"/>
      <c r="M1383" s="36" t="s">
        <v>60</v>
      </c>
      <c r="N1383" s="15" t="s">
        <v>152</v>
      </c>
      <c r="O1383" s="36" t="s">
        <v>5944</v>
      </c>
      <c r="P1383" s="36" t="str">
        <f t="shared" si="42"/>
        <v>WFS_臺灣通用電子地圖</v>
      </c>
      <c r="Q1383" s="29" t="s">
        <v>5949</v>
      </c>
      <c r="R1383" s="29" t="str">
        <f t="shared" si="43"/>
        <v>2dms_emwfs_v1_EMAP</v>
      </c>
      <c r="S1383" s="39" t="s">
        <v>4124</v>
      </c>
      <c r="U1383" s="27" t="str">
        <f>_xlfn.XLOOKUP(表格1[[#This Row],[服務類別(英)]],參考2_服務標準對照!$B:$B,參考2_服務標準對照!$C:$C,"")&amp;""</f>
        <v>OGC</v>
      </c>
      <c r="V1383" s="29" t="s">
        <v>19</v>
      </c>
      <c r="W1383" s="29" t="s">
        <v>5945</v>
      </c>
      <c r="X1383" s="29" t="s">
        <v>81</v>
      </c>
      <c r="Y1383" s="36" t="s">
        <v>83</v>
      </c>
      <c r="Z1383" s="36" t="s">
        <v>157</v>
      </c>
      <c r="AA1383" s="36" t="s">
        <v>5946</v>
      </c>
      <c r="AB1383" s="36"/>
      <c r="AC1383" s="36"/>
      <c r="AD1383" s="29" t="s">
        <v>119</v>
      </c>
      <c r="AE1383" s="36" t="str">
        <f>_xlfn.XLOOKUP(表格1[[#This Row],[唯一識別碼]],API清冊0707!B:B,API清冊0707!T:T,"")&amp;""</f>
        <v>無下拉選單</v>
      </c>
    </row>
    <row r="1384" spans="1:31" ht="157.5" customHeight="1" x14ac:dyDescent="0.4">
      <c r="A1384" s="29" t="s">
        <v>5950</v>
      </c>
      <c r="B1384" s="29" t="s">
        <v>31</v>
      </c>
      <c r="C1384" s="29" t="s">
        <v>5951</v>
      </c>
      <c r="D1384" s="29" t="s">
        <v>5952</v>
      </c>
      <c r="E1384" s="29" t="s">
        <v>5953</v>
      </c>
      <c r="F1384" s="29" t="s">
        <v>5954</v>
      </c>
      <c r="G1384" s="35"/>
      <c r="H1384" s="35" t="s">
        <v>151</v>
      </c>
      <c r="I1384" s="36" t="s">
        <v>5955</v>
      </c>
      <c r="J1384" s="37"/>
      <c r="K1384" s="38"/>
      <c r="L1384" s="38"/>
      <c r="M1384" s="36" t="s">
        <v>60</v>
      </c>
      <c r="N1384" s="15" t="s">
        <v>152</v>
      </c>
      <c r="O1384" s="36" t="s">
        <v>5956</v>
      </c>
      <c r="P1384" s="36" t="str">
        <f t="shared" si="42"/>
        <v>API_模糊檢索_全域模糊檢索_全國</v>
      </c>
      <c r="Q1384" s="36" t="s">
        <v>5954</v>
      </c>
      <c r="R1384" s="29" t="str">
        <f t="shared" si="43"/>
        <v>2dms_addrm_v1_TextQueryMap</v>
      </c>
      <c r="U1384" s="27" t="str">
        <f>_xlfn.XLOOKUP(表格1[[#This Row],[服務類別(英)]],參考2_服務標準對照!$B:$B,參考2_服務標準對照!$C:$C,"")&amp;""</f>
        <v/>
      </c>
      <c r="V1384" s="29" t="s">
        <v>20</v>
      </c>
      <c r="W1384" s="29" t="s">
        <v>79</v>
      </c>
      <c r="X1384" s="29" t="s">
        <v>81</v>
      </c>
      <c r="Y1384" s="36" t="s">
        <v>83</v>
      </c>
      <c r="Z1384" s="36" t="s">
        <v>157</v>
      </c>
      <c r="AA1384" s="36" t="s">
        <v>5957</v>
      </c>
      <c r="AB1384" s="36"/>
      <c r="AC1384" s="36"/>
      <c r="AD1384" s="29" t="s">
        <v>119</v>
      </c>
      <c r="AE1384" s="36" t="str">
        <f>_xlfn.XLOOKUP(表格1[[#This Row],[唯一識別碼]],API清冊0707!B:B,API清冊0707!T:T,"")&amp;""</f>
        <v>無下拉選單</v>
      </c>
    </row>
    <row r="1385" spans="1:31" ht="173.25" customHeight="1" x14ac:dyDescent="0.4">
      <c r="A1385" s="29" t="s">
        <v>5958</v>
      </c>
      <c r="B1385" s="29" t="s">
        <v>31</v>
      </c>
      <c r="C1385" s="29" t="s">
        <v>5959</v>
      </c>
      <c r="D1385" s="29" t="s">
        <v>5960</v>
      </c>
      <c r="E1385" s="29" t="s">
        <v>5961</v>
      </c>
      <c r="F1385" s="29" t="s">
        <v>5962</v>
      </c>
      <c r="G1385" s="35"/>
      <c r="H1385" s="35" t="s">
        <v>151</v>
      </c>
      <c r="I1385" s="36" t="s">
        <v>5963</v>
      </c>
      <c r="J1385" s="37"/>
      <c r="K1385" s="38"/>
      <c r="L1385" s="38"/>
      <c r="M1385" s="36" t="s">
        <v>60</v>
      </c>
      <c r="N1385" s="15" t="s">
        <v>152</v>
      </c>
      <c r="O1385" s="36" t="s">
        <v>5956</v>
      </c>
      <c r="P1385" s="36" t="str">
        <f t="shared" si="42"/>
        <v>API_模糊檢索_模糊檢索_全國</v>
      </c>
      <c r="Q1385" s="36" t="s">
        <v>5962</v>
      </c>
      <c r="R1385" s="29" t="str">
        <f t="shared" si="43"/>
        <v>2dms_addrm_v1_TextQueryAddress</v>
      </c>
      <c r="U1385" s="27" t="str">
        <f>_xlfn.XLOOKUP(表格1[[#This Row],[服務類別(英)]],參考2_服務標準對照!$B:$B,參考2_服務標準對照!$C:$C,"")&amp;""</f>
        <v/>
      </c>
      <c r="V1385" s="29" t="s">
        <v>20</v>
      </c>
      <c r="W1385" s="29" t="s">
        <v>79</v>
      </c>
      <c r="X1385" s="29" t="s">
        <v>81</v>
      </c>
      <c r="Y1385" s="36" t="s">
        <v>83</v>
      </c>
      <c r="Z1385" s="36" t="s">
        <v>157</v>
      </c>
      <c r="AA1385" s="36" t="s">
        <v>5957</v>
      </c>
      <c r="AB1385" s="36"/>
      <c r="AC1385" s="36"/>
      <c r="AD1385" s="29" t="s">
        <v>119</v>
      </c>
      <c r="AE1385" s="36" t="str">
        <f>_xlfn.XLOOKUP(表格1[[#This Row],[唯一識別碼]],API清冊0707!B:B,API清冊0707!T:T,"")&amp;""</f>
        <v>無下拉選單</v>
      </c>
    </row>
    <row r="1386" spans="1:31" ht="95.25" customHeight="1" x14ac:dyDescent="0.4">
      <c r="A1386" s="29" t="s">
        <v>5964</v>
      </c>
      <c r="B1386" s="29" t="s">
        <v>31</v>
      </c>
      <c r="C1386" s="29" t="s">
        <v>5312</v>
      </c>
      <c r="D1386" s="29" t="s">
        <v>5965</v>
      </c>
      <c r="E1386" s="29" t="s">
        <v>5966</v>
      </c>
      <c r="F1386" s="29" t="s">
        <v>5967</v>
      </c>
      <c r="G1386" s="35" t="s">
        <v>31</v>
      </c>
      <c r="H1386" s="35" t="s">
        <v>151</v>
      </c>
      <c r="I1386" s="36" t="s">
        <v>5968</v>
      </c>
      <c r="J1386" s="37"/>
      <c r="K1386" s="38"/>
      <c r="L1386" s="38"/>
      <c r="M1386" s="36" t="s">
        <v>60</v>
      </c>
      <c r="N1386" s="15" t="s">
        <v>152</v>
      </c>
      <c r="O1386" s="36" t="s">
        <v>5956</v>
      </c>
      <c r="P1386" s="36" t="str">
        <f t="shared" si="42"/>
        <v>API_模糊檢索_路名清單_宜蘭縣</v>
      </c>
      <c r="Q1386" s="36" t="s">
        <v>5967</v>
      </c>
      <c r="R1386" s="29" t="str">
        <f t="shared" si="43"/>
        <v>2dms_addrm_v1_ListRoad_G</v>
      </c>
      <c r="U1386" s="27" t="str">
        <f>_xlfn.XLOOKUP(表格1[[#This Row],[服務類別(英)]],參考2_服務標準對照!$B:$B,參考2_服務標準對照!$C:$C,"")&amp;""</f>
        <v/>
      </c>
      <c r="V1386" s="29" t="s">
        <v>20</v>
      </c>
      <c r="W1386" s="29" t="s">
        <v>79</v>
      </c>
      <c r="X1386" s="29" t="s">
        <v>81</v>
      </c>
      <c r="Y1386" s="36" t="s">
        <v>83</v>
      </c>
      <c r="Z1386" s="36" t="s">
        <v>157</v>
      </c>
      <c r="AA1386" s="36" t="s">
        <v>5969</v>
      </c>
      <c r="AB1386" s="36"/>
      <c r="AC1386" s="36"/>
      <c r="AD1386" s="29" t="s">
        <v>96</v>
      </c>
      <c r="AE1386" s="36" t="str">
        <f>_xlfn.XLOOKUP(表格1[[#This Row],[唯一識別碼]],API清冊0707!B:B,API清冊0707!T:T,"")&amp;""</f>
        <v>有下拉選單</v>
      </c>
    </row>
    <row r="1387" spans="1:31" ht="95.25" customHeight="1" x14ac:dyDescent="0.4">
      <c r="A1387" s="29" t="s">
        <v>5970</v>
      </c>
      <c r="B1387" s="29" t="s">
        <v>31</v>
      </c>
      <c r="C1387" s="29" t="s">
        <v>5312</v>
      </c>
      <c r="D1387" s="29" t="s">
        <v>5971</v>
      </c>
      <c r="E1387" s="29" t="s">
        <v>5972</v>
      </c>
      <c r="F1387" s="29" t="s">
        <v>5973</v>
      </c>
      <c r="G1387" s="35" t="s">
        <v>31</v>
      </c>
      <c r="H1387" s="35" t="s">
        <v>151</v>
      </c>
      <c r="I1387" s="36" t="s">
        <v>5974</v>
      </c>
      <c r="J1387" s="37"/>
      <c r="K1387" s="38"/>
      <c r="L1387" s="38"/>
      <c r="M1387" s="36" t="s">
        <v>60</v>
      </c>
      <c r="N1387" s="15" t="s">
        <v>152</v>
      </c>
      <c r="O1387" s="36" t="s">
        <v>5956</v>
      </c>
      <c r="P1387" s="36" t="str">
        <f t="shared" si="42"/>
        <v>API_模糊檢索_路名清單_花蓮縣</v>
      </c>
      <c r="Q1387" s="36" t="s">
        <v>5973</v>
      </c>
      <c r="R1387" s="29" t="str">
        <f t="shared" si="43"/>
        <v>2dms_addrm_v1_ListRoad_U</v>
      </c>
      <c r="U1387" s="27" t="str">
        <f>_xlfn.XLOOKUP(表格1[[#This Row],[服務類別(英)]],參考2_服務標準對照!$B:$B,參考2_服務標準對照!$C:$C,"")&amp;""</f>
        <v/>
      </c>
      <c r="V1387" s="29" t="s">
        <v>20</v>
      </c>
      <c r="W1387" s="29" t="s">
        <v>79</v>
      </c>
      <c r="X1387" s="29" t="s">
        <v>81</v>
      </c>
      <c r="Y1387" s="36" t="s">
        <v>83</v>
      </c>
      <c r="Z1387" s="36" t="s">
        <v>157</v>
      </c>
      <c r="AA1387" s="36" t="s">
        <v>5969</v>
      </c>
      <c r="AB1387" s="36"/>
      <c r="AC1387" s="36"/>
      <c r="AD1387" s="29" t="s">
        <v>96</v>
      </c>
      <c r="AE1387" s="36" t="str">
        <f>_xlfn.XLOOKUP(表格1[[#This Row],[唯一識別碼]],API清冊0707!B:B,API清冊0707!T:T,"")&amp;""</f>
        <v>有下拉選單</v>
      </c>
    </row>
    <row r="1388" spans="1:31" ht="95.25" customHeight="1" x14ac:dyDescent="0.4">
      <c r="A1388" s="29" t="s">
        <v>5975</v>
      </c>
      <c r="B1388" s="29" t="s">
        <v>31</v>
      </c>
      <c r="C1388" s="29" t="s">
        <v>5312</v>
      </c>
      <c r="D1388" s="29" t="s">
        <v>5976</v>
      </c>
      <c r="E1388" s="29" t="s">
        <v>5977</v>
      </c>
      <c r="F1388" s="29" t="s">
        <v>5978</v>
      </c>
      <c r="G1388" s="35" t="s">
        <v>31</v>
      </c>
      <c r="H1388" s="35" t="s">
        <v>151</v>
      </c>
      <c r="I1388" s="36" t="s">
        <v>5979</v>
      </c>
      <c r="J1388" s="37"/>
      <c r="K1388" s="38"/>
      <c r="L1388" s="38"/>
      <c r="M1388" s="36" t="s">
        <v>60</v>
      </c>
      <c r="N1388" s="15" t="s">
        <v>152</v>
      </c>
      <c r="O1388" s="36" t="s">
        <v>5956</v>
      </c>
      <c r="P1388" s="36" t="str">
        <f t="shared" si="42"/>
        <v>API_模糊檢索_路名清單_金門縣</v>
      </c>
      <c r="Q1388" s="36" t="s">
        <v>5978</v>
      </c>
      <c r="R1388" s="29" t="str">
        <f t="shared" si="43"/>
        <v>2dms_addrm_v1_ListRoad_W</v>
      </c>
      <c r="U1388" s="27" t="str">
        <f>_xlfn.XLOOKUP(表格1[[#This Row],[服務類別(英)]],參考2_服務標準對照!$B:$B,參考2_服務標準對照!$C:$C,"")&amp;""</f>
        <v/>
      </c>
      <c r="V1388" s="29" t="s">
        <v>20</v>
      </c>
      <c r="W1388" s="29" t="s">
        <v>79</v>
      </c>
      <c r="X1388" s="29" t="s">
        <v>81</v>
      </c>
      <c r="Y1388" s="36" t="s">
        <v>83</v>
      </c>
      <c r="Z1388" s="36" t="s">
        <v>157</v>
      </c>
      <c r="AA1388" s="36" t="s">
        <v>5969</v>
      </c>
      <c r="AB1388" s="36"/>
      <c r="AC1388" s="36"/>
      <c r="AD1388" s="29" t="s">
        <v>96</v>
      </c>
      <c r="AE1388" s="36" t="str">
        <f>_xlfn.XLOOKUP(表格1[[#This Row],[唯一識別碼]],API清冊0707!B:B,API清冊0707!T:T,"")&amp;""</f>
        <v>有下拉選單</v>
      </c>
    </row>
    <row r="1389" spans="1:31" ht="95.25" customHeight="1" x14ac:dyDescent="0.4">
      <c r="A1389" s="29" t="s">
        <v>5980</v>
      </c>
      <c r="B1389" s="29" t="s">
        <v>31</v>
      </c>
      <c r="C1389" s="29" t="s">
        <v>5312</v>
      </c>
      <c r="D1389" s="29" t="s">
        <v>5981</v>
      </c>
      <c r="E1389" s="29" t="s">
        <v>5982</v>
      </c>
      <c r="F1389" s="29" t="s">
        <v>5983</v>
      </c>
      <c r="G1389" s="35" t="s">
        <v>31</v>
      </c>
      <c r="H1389" s="35" t="s">
        <v>151</v>
      </c>
      <c r="I1389" s="36" t="s">
        <v>5984</v>
      </c>
      <c r="J1389" s="37"/>
      <c r="K1389" s="38"/>
      <c r="L1389" s="38"/>
      <c r="M1389" s="36" t="s">
        <v>60</v>
      </c>
      <c r="N1389" s="15" t="s">
        <v>152</v>
      </c>
      <c r="O1389" s="36" t="s">
        <v>5956</v>
      </c>
      <c r="P1389" s="36" t="str">
        <f t="shared" si="42"/>
        <v>API_模糊檢索_路名清單_南投縣</v>
      </c>
      <c r="Q1389" s="36" t="s">
        <v>5983</v>
      </c>
      <c r="R1389" s="29" t="str">
        <f t="shared" si="43"/>
        <v>2dms_addrm_v1_ListRoad_M</v>
      </c>
      <c r="U1389" s="27" t="str">
        <f>_xlfn.XLOOKUP(表格1[[#This Row],[服務類別(英)]],參考2_服務標準對照!$B:$B,參考2_服務標準對照!$C:$C,"")&amp;""</f>
        <v/>
      </c>
      <c r="V1389" s="29" t="s">
        <v>20</v>
      </c>
      <c r="W1389" s="29" t="s">
        <v>79</v>
      </c>
      <c r="X1389" s="29" t="s">
        <v>81</v>
      </c>
      <c r="Y1389" s="36" t="s">
        <v>83</v>
      </c>
      <c r="Z1389" s="36" t="s">
        <v>157</v>
      </c>
      <c r="AA1389" s="36" t="s">
        <v>5969</v>
      </c>
      <c r="AB1389" s="36"/>
      <c r="AC1389" s="36"/>
      <c r="AD1389" s="29" t="s">
        <v>96</v>
      </c>
      <c r="AE1389" s="36" t="str">
        <f>_xlfn.XLOOKUP(表格1[[#This Row],[唯一識別碼]],API清冊0707!B:B,API清冊0707!T:T,"")&amp;""</f>
        <v>有下拉選單</v>
      </c>
    </row>
    <row r="1390" spans="1:31" ht="95.25" customHeight="1" x14ac:dyDescent="0.4">
      <c r="A1390" s="29" t="s">
        <v>5985</v>
      </c>
      <c r="B1390" s="29" t="s">
        <v>31</v>
      </c>
      <c r="C1390" s="29" t="s">
        <v>5312</v>
      </c>
      <c r="D1390" s="29" t="s">
        <v>5986</v>
      </c>
      <c r="E1390" s="29" t="s">
        <v>5987</v>
      </c>
      <c r="F1390" s="29" t="s">
        <v>5988</v>
      </c>
      <c r="G1390" s="35" t="s">
        <v>31</v>
      </c>
      <c r="H1390" s="35" t="s">
        <v>151</v>
      </c>
      <c r="I1390" s="36" t="s">
        <v>5989</v>
      </c>
      <c r="J1390" s="37"/>
      <c r="K1390" s="38"/>
      <c r="L1390" s="38"/>
      <c r="M1390" s="36" t="s">
        <v>60</v>
      </c>
      <c r="N1390" s="15" t="s">
        <v>152</v>
      </c>
      <c r="O1390" s="36" t="s">
        <v>5956</v>
      </c>
      <c r="P1390" s="36" t="str">
        <f t="shared" si="42"/>
        <v>API_模糊檢索_路名清單_屏東縣</v>
      </c>
      <c r="Q1390" s="36" t="s">
        <v>5988</v>
      </c>
      <c r="R1390" s="29" t="str">
        <f t="shared" si="43"/>
        <v>2dms_addrm_v1_ListRoad_T</v>
      </c>
      <c r="U1390" s="27" t="str">
        <f>_xlfn.XLOOKUP(表格1[[#This Row],[服務類別(英)]],參考2_服務標準對照!$B:$B,參考2_服務標準對照!$C:$C,"")&amp;""</f>
        <v/>
      </c>
      <c r="V1390" s="29" t="s">
        <v>20</v>
      </c>
      <c r="W1390" s="29" t="s">
        <v>79</v>
      </c>
      <c r="X1390" s="29" t="s">
        <v>81</v>
      </c>
      <c r="Y1390" s="36" t="s">
        <v>83</v>
      </c>
      <c r="Z1390" s="36" t="s">
        <v>157</v>
      </c>
      <c r="AA1390" s="36" t="s">
        <v>5969</v>
      </c>
      <c r="AB1390" s="36"/>
      <c r="AC1390" s="36"/>
      <c r="AD1390" s="29" t="s">
        <v>96</v>
      </c>
      <c r="AE1390" s="36" t="str">
        <f>_xlfn.XLOOKUP(表格1[[#This Row],[唯一識別碼]],API清冊0707!B:B,API清冊0707!T:T,"")&amp;""</f>
        <v>有下拉選單</v>
      </c>
    </row>
    <row r="1391" spans="1:31" ht="95.25" customHeight="1" x14ac:dyDescent="0.4">
      <c r="A1391" s="29" t="s">
        <v>5990</v>
      </c>
      <c r="B1391" s="29" t="s">
        <v>31</v>
      </c>
      <c r="C1391" s="29" t="s">
        <v>5312</v>
      </c>
      <c r="D1391" s="29" t="s">
        <v>5991</v>
      </c>
      <c r="E1391" s="29" t="s">
        <v>5992</v>
      </c>
      <c r="F1391" s="29" t="s">
        <v>5993</v>
      </c>
      <c r="G1391" s="35" t="s">
        <v>31</v>
      </c>
      <c r="H1391" s="35" t="s">
        <v>151</v>
      </c>
      <c r="I1391" s="36" t="s">
        <v>5994</v>
      </c>
      <c r="J1391" s="37"/>
      <c r="K1391" s="38"/>
      <c r="L1391" s="38"/>
      <c r="M1391" s="36" t="s">
        <v>60</v>
      </c>
      <c r="N1391" s="15" t="s">
        <v>152</v>
      </c>
      <c r="O1391" s="36" t="s">
        <v>5956</v>
      </c>
      <c r="P1391" s="36" t="str">
        <f t="shared" si="42"/>
        <v>API_模糊檢索_路名清單_苗栗縣</v>
      </c>
      <c r="Q1391" s="36" t="s">
        <v>5993</v>
      </c>
      <c r="R1391" s="29" t="str">
        <f t="shared" si="43"/>
        <v>2dms_addrm_v1_ListRoad_K</v>
      </c>
      <c r="U1391" s="27" t="str">
        <f>_xlfn.XLOOKUP(表格1[[#This Row],[服務類別(英)]],參考2_服務標準對照!$B:$B,參考2_服務標準對照!$C:$C,"")&amp;""</f>
        <v/>
      </c>
      <c r="V1391" s="29" t="s">
        <v>20</v>
      </c>
      <c r="W1391" s="29" t="s">
        <v>79</v>
      </c>
      <c r="X1391" s="29" t="s">
        <v>81</v>
      </c>
      <c r="Y1391" s="36" t="s">
        <v>83</v>
      </c>
      <c r="Z1391" s="36" t="s">
        <v>157</v>
      </c>
      <c r="AA1391" s="36" t="s">
        <v>5969</v>
      </c>
      <c r="AB1391" s="36"/>
      <c r="AC1391" s="36"/>
      <c r="AD1391" s="29" t="s">
        <v>96</v>
      </c>
      <c r="AE1391" s="36" t="str">
        <f>_xlfn.XLOOKUP(表格1[[#This Row],[唯一識別碼]],API清冊0707!B:B,API清冊0707!T:T,"")&amp;""</f>
        <v>有下拉選單</v>
      </c>
    </row>
    <row r="1392" spans="1:31" ht="95.25" customHeight="1" x14ac:dyDescent="0.4">
      <c r="A1392" s="29" t="s">
        <v>5995</v>
      </c>
      <c r="B1392" s="29" t="s">
        <v>31</v>
      </c>
      <c r="C1392" s="29" t="s">
        <v>5312</v>
      </c>
      <c r="D1392" s="29" t="s">
        <v>5996</v>
      </c>
      <c r="E1392" s="29" t="s">
        <v>5997</v>
      </c>
      <c r="F1392" s="29" t="s">
        <v>5998</v>
      </c>
      <c r="G1392" s="35" t="s">
        <v>31</v>
      </c>
      <c r="H1392" s="35" t="s">
        <v>151</v>
      </c>
      <c r="I1392" s="36" t="s">
        <v>5999</v>
      </c>
      <c r="J1392" s="37"/>
      <c r="K1392" s="38"/>
      <c r="L1392" s="38"/>
      <c r="M1392" s="36" t="s">
        <v>60</v>
      </c>
      <c r="N1392" s="15" t="s">
        <v>152</v>
      </c>
      <c r="O1392" s="36" t="s">
        <v>5956</v>
      </c>
      <c r="P1392" s="36" t="str">
        <f t="shared" si="42"/>
        <v>API_模糊檢索_路名清單_桃園市</v>
      </c>
      <c r="Q1392" s="36" t="s">
        <v>5998</v>
      </c>
      <c r="R1392" s="29" t="str">
        <f t="shared" si="43"/>
        <v>2dms_addrm_v1_ListRoad_H</v>
      </c>
      <c r="U1392" s="27" t="str">
        <f>_xlfn.XLOOKUP(表格1[[#This Row],[服務類別(英)]],參考2_服務標準對照!$B:$B,參考2_服務標準對照!$C:$C,"")&amp;""</f>
        <v/>
      </c>
      <c r="V1392" s="29" t="s">
        <v>20</v>
      </c>
      <c r="W1392" s="29" t="s">
        <v>79</v>
      </c>
      <c r="X1392" s="29" t="s">
        <v>81</v>
      </c>
      <c r="Y1392" s="36" t="s">
        <v>83</v>
      </c>
      <c r="Z1392" s="36" t="s">
        <v>157</v>
      </c>
      <c r="AA1392" s="36" t="s">
        <v>5969</v>
      </c>
      <c r="AB1392" s="36"/>
      <c r="AC1392" s="36"/>
      <c r="AD1392" s="29" t="s">
        <v>96</v>
      </c>
      <c r="AE1392" s="36" t="str">
        <f>_xlfn.XLOOKUP(表格1[[#This Row],[唯一識別碼]],API清冊0707!B:B,API清冊0707!T:T,"")&amp;""</f>
        <v>有下拉選單</v>
      </c>
    </row>
    <row r="1393" spans="1:31" ht="95.25" customHeight="1" x14ac:dyDescent="0.4">
      <c r="A1393" s="29" t="s">
        <v>6000</v>
      </c>
      <c r="B1393" s="29" t="s">
        <v>31</v>
      </c>
      <c r="C1393" s="29" t="s">
        <v>5312</v>
      </c>
      <c r="D1393" s="29" t="s">
        <v>6001</v>
      </c>
      <c r="E1393" s="29" t="s">
        <v>6002</v>
      </c>
      <c r="F1393" s="29" t="s">
        <v>6003</v>
      </c>
      <c r="G1393" s="35" t="s">
        <v>31</v>
      </c>
      <c r="H1393" s="35" t="s">
        <v>151</v>
      </c>
      <c r="I1393" s="36" t="s">
        <v>6004</v>
      </c>
      <c r="J1393" s="37"/>
      <c r="K1393" s="38"/>
      <c r="L1393" s="38"/>
      <c r="M1393" s="36" t="s">
        <v>60</v>
      </c>
      <c r="N1393" s="15" t="s">
        <v>152</v>
      </c>
      <c r="O1393" s="36" t="s">
        <v>5956</v>
      </c>
      <c r="P1393" s="36" t="str">
        <f t="shared" si="42"/>
        <v>API_模糊檢索_路名清單_高雄市</v>
      </c>
      <c r="Q1393" s="36" t="s">
        <v>6003</v>
      </c>
      <c r="R1393" s="29" t="str">
        <f t="shared" si="43"/>
        <v>2dms_addrm_v1_ListRoad_E</v>
      </c>
      <c r="U1393" s="27" t="str">
        <f>_xlfn.XLOOKUP(表格1[[#This Row],[服務類別(英)]],參考2_服務標準對照!$B:$B,參考2_服務標準對照!$C:$C,"")&amp;""</f>
        <v/>
      </c>
      <c r="V1393" s="29" t="s">
        <v>20</v>
      </c>
      <c r="W1393" s="29" t="s">
        <v>79</v>
      </c>
      <c r="X1393" s="29" t="s">
        <v>81</v>
      </c>
      <c r="Y1393" s="36" t="s">
        <v>83</v>
      </c>
      <c r="Z1393" s="36" t="s">
        <v>157</v>
      </c>
      <c r="AA1393" s="36" t="s">
        <v>5969</v>
      </c>
      <c r="AB1393" s="36"/>
      <c r="AC1393" s="36"/>
      <c r="AD1393" s="29" t="s">
        <v>96</v>
      </c>
      <c r="AE1393" s="36" t="str">
        <f>_xlfn.XLOOKUP(表格1[[#This Row],[唯一識別碼]],API清冊0707!B:B,API清冊0707!T:T,"")&amp;""</f>
        <v>有下拉選單</v>
      </c>
    </row>
    <row r="1394" spans="1:31" ht="95.25" customHeight="1" x14ac:dyDescent="0.4">
      <c r="A1394" s="29" t="s">
        <v>6005</v>
      </c>
      <c r="B1394" s="29" t="s">
        <v>31</v>
      </c>
      <c r="C1394" s="29" t="s">
        <v>5312</v>
      </c>
      <c r="D1394" s="29" t="s">
        <v>6006</v>
      </c>
      <c r="E1394" s="29" t="s">
        <v>6007</v>
      </c>
      <c r="F1394" s="29" t="s">
        <v>6008</v>
      </c>
      <c r="G1394" s="35" t="s">
        <v>31</v>
      </c>
      <c r="H1394" s="35" t="s">
        <v>151</v>
      </c>
      <c r="I1394" s="36" t="s">
        <v>6009</v>
      </c>
      <c r="J1394" s="37"/>
      <c r="K1394" s="38"/>
      <c r="L1394" s="38"/>
      <c r="M1394" s="36" t="s">
        <v>60</v>
      </c>
      <c r="N1394" s="15" t="s">
        <v>152</v>
      </c>
      <c r="O1394" s="36" t="s">
        <v>5956</v>
      </c>
      <c r="P1394" s="36" t="str">
        <f t="shared" si="42"/>
        <v>API_模糊檢索_路名清單_基隆市</v>
      </c>
      <c r="Q1394" s="36" t="s">
        <v>6008</v>
      </c>
      <c r="R1394" s="29" t="str">
        <f t="shared" si="43"/>
        <v>2dms_addrm_v1_ListRoad_C</v>
      </c>
      <c r="U1394" s="27" t="str">
        <f>_xlfn.XLOOKUP(表格1[[#This Row],[服務類別(英)]],參考2_服務標準對照!$B:$B,參考2_服務標準對照!$C:$C,"")&amp;""</f>
        <v/>
      </c>
      <c r="V1394" s="29" t="s">
        <v>20</v>
      </c>
      <c r="W1394" s="29" t="s">
        <v>79</v>
      </c>
      <c r="X1394" s="29" t="s">
        <v>81</v>
      </c>
      <c r="Y1394" s="36" t="s">
        <v>83</v>
      </c>
      <c r="Z1394" s="36" t="s">
        <v>157</v>
      </c>
      <c r="AA1394" s="36" t="s">
        <v>5969</v>
      </c>
      <c r="AB1394" s="36"/>
      <c r="AC1394" s="36"/>
      <c r="AD1394" s="29" t="s">
        <v>96</v>
      </c>
      <c r="AE1394" s="36" t="str">
        <f>_xlfn.XLOOKUP(表格1[[#This Row],[唯一識別碼]],API清冊0707!B:B,API清冊0707!T:T,"")&amp;""</f>
        <v>有下拉選單</v>
      </c>
    </row>
    <row r="1395" spans="1:31" ht="95.25" customHeight="1" x14ac:dyDescent="0.4">
      <c r="A1395" s="29" t="s">
        <v>6010</v>
      </c>
      <c r="B1395" s="29" t="s">
        <v>31</v>
      </c>
      <c r="C1395" s="29" t="s">
        <v>5312</v>
      </c>
      <c r="D1395" s="29" t="s">
        <v>6011</v>
      </c>
      <c r="E1395" s="29" t="s">
        <v>6012</v>
      </c>
      <c r="F1395" s="29" t="s">
        <v>6013</v>
      </c>
      <c r="G1395" s="35" t="s">
        <v>31</v>
      </c>
      <c r="H1395" s="35" t="s">
        <v>151</v>
      </c>
      <c r="I1395" s="36" t="s">
        <v>6014</v>
      </c>
      <c r="J1395" s="37"/>
      <c r="K1395" s="38"/>
      <c r="L1395" s="38"/>
      <c r="M1395" s="36" t="s">
        <v>60</v>
      </c>
      <c r="N1395" s="15" t="s">
        <v>152</v>
      </c>
      <c r="O1395" s="36" t="s">
        <v>5956</v>
      </c>
      <c r="P1395" s="36" t="str">
        <f t="shared" si="42"/>
        <v>API_模糊檢索_路名清單_連江縣</v>
      </c>
      <c r="Q1395" s="36" t="s">
        <v>6013</v>
      </c>
      <c r="R1395" s="29" t="str">
        <f t="shared" si="43"/>
        <v>2dms_addrm_v1_ListRoad_Z</v>
      </c>
      <c r="U1395" s="27" t="str">
        <f>_xlfn.XLOOKUP(表格1[[#This Row],[服務類別(英)]],參考2_服務標準對照!$B:$B,參考2_服務標準對照!$C:$C,"")&amp;""</f>
        <v/>
      </c>
      <c r="V1395" s="29" t="s">
        <v>20</v>
      </c>
      <c r="W1395" s="29" t="s">
        <v>79</v>
      </c>
      <c r="X1395" s="29" t="s">
        <v>81</v>
      </c>
      <c r="Y1395" s="36" t="s">
        <v>83</v>
      </c>
      <c r="Z1395" s="36" t="s">
        <v>157</v>
      </c>
      <c r="AA1395" s="36" t="s">
        <v>5969</v>
      </c>
      <c r="AB1395" s="36"/>
      <c r="AC1395" s="36"/>
      <c r="AD1395" s="29" t="s">
        <v>96</v>
      </c>
      <c r="AE1395" s="36" t="str">
        <f>_xlfn.XLOOKUP(表格1[[#This Row],[唯一識別碼]],API清冊0707!B:B,API清冊0707!T:T,"")&amp;""</f>
        <v>有下拉選單</v>
      </c>
    </row>
    <row r="1396" spans="1:31" ht="95.25" customHeight="1" x14ac:dyDescent="0.4">
      <c r="A1396" s="29" t="s">
        <v>6015</v>
      </c>
      <c r="B1396" s="29" t="s">
        <v>31</v>
      </c>
      <c r="C1396" s="29" t="s">
        <v>5312</v>
      </c>
      <c r="D1396" s="29" t="s">
        <v>6016</v>
      </c>
      <c r="E1396" s="29" t="s">
        <v>6017</v>
      </c>
      <c r="F1396" s="29" t="s">
        <v>6018</v>
      </c>
      <c r="G1396" s="35" t="s">
        <v>31</v>
      </c>
      <c r="H1396" s="35" t="s">
        <v>151</v>
      </c>
      <c r="I1396" s="36" t="s">
        <v>6019</v>
      </c>
      <c r="J1396" s="37"/>
      <c r="K1396" s="38"/>
      <c r="L1396" s="38"/>
      <c r="M1396" s="36" t="s">
        <v>60</v>
      </c>
      <c r="N1396" s="15" t="s">
        <v>152</v>
      </c>
      <c r="O1396" s="36" t="s">
        <v>5956</v>
      </c>
      <c r="P1396" s="36" t="str">
        <f t="shared" si="42"/>
        <v>API_模糊檢索_路名清單_雲林縣</v>
      </c>
      <c r="Q1396" s="36" t="s">
        <v>6018</v>
      </c>
      <c r="R1396" s="29" t="str">
        <f t="shared" si="43"/>
        <v>2dms_addrm_v1_ListRoad_P</v>
      </c>
      <c r="U1396" s="27" t="str">
        <f>_xlfn.XLOOKUP(表格1[[#This Row],[服務類別(英)]],參考2_服務標準對照!$B:$B,參考2_服務標準對照!$C:$C,"")&amp;""</f>
        <v/>
      </c>
      <c r="V1396" s="29" t="s">
        <v>20</v>
      </c>
      <c r="W1396" s="29" t="s">
        <v>79</v>
      </c>
      <c r="X1396" s="29" t="s">
        <v>81</v>
      </c>
      <c r="Y1396" s="36" t="s">
        <v>83</v>
      </c>
      <c r="Z1396" s="36" t="s">
        <v>157</v>
      </c>
      <c r="AA1396" s="36" t="s">
        <v>5969</v>
      </c>
      <c r="AB1396" s="36"/>
      <c r="AC1396" s="36"/>
      <c r="AD1396" s="29" t="s">
        <v>96</v>
      </c>
      <c r="AE1396" s="36" t="str">
        <f>_xlfn.XLOOKUP(表格1[[#This Row],[唯一識別碼]],API清冊0707!B:B,API清冊0707!T:T,"")&amp;""</f>
        <v>有下拉選單</v>
      </c>
    </row>
    <row r="1397" spans="1:31" ht="95.25" customHeight="1" x14ac:dyDescent="0.4">
      <c r="A1397" s="29" t="s">
        <v>6020</v>
      </c>
      <c r="B1397" s="29" t="s">
        <v>31</v>
      </c>
      <c r="C1397" s="29" t="s">
        <v>5312</v>
      </c>
      <c r="D1397" s="29" t="s">
        <v>6021</v>
      </c>
      <c r="E1397" s="29" t="s">
        <v>6022</v>
      </c>
      <c r="F1397" s="29" t="s">
        <v>6023</v>
      </c>
      <c r="G1397" s="35" t="s">
        <v>31</v>
      </c>
      <c r="H1397" s="35" t="s">
        <v>151</v>
      </c>
      <c r="I1397" s="36" t="s">
        <v>6024</v>
      </c>
      <c r="J1397" s="37"/>
      <c r="K1397" s="38"/>
      <c r="L1397" s="38"/>
      <c r="M1397" s="36" t="s">
        <v>60</v>
      </c>
      <c r="N1397" s="15" t="s">
        <v>152</v>
      </c>
      <c r="O1397" s="36" t="s">
        <v>5956</v>
      </c>
      <c r="P1397" s="36" t="str">
        <f t="shared" si="42"/>
        <v>API_模糊檢索_路名清單_新北市</v>
      </c>
      <c r="Q1397" s="36" t="s">
        <v>6023</v>
      </c>
      <c r="R1397" s="29" t="str">
        <f t="shared" si="43"/>
        <v>2dms_addrm_v1_ListRoad_F</v>
      </c>
      <c r="U1397" s="27" t="str">
        <f>_xlfn.XLOOKUP(表格1[[#This Row],[服務類別(英)]],參考2_服務標準對照!$B:$B,參考2_服務標準對照!$C:$C,"")&amp;""</f>
        <v/>
      </c>
      <c r="V1397" s="29" t="s">
        <v>20</v>
      </c>
      <c r="W1397" s="29" t="s">
        <v>79</v>
      </c>
      <c r="X1397" s="29" t="s">
        <v>81</v>
      </c>
      <c r="Y1397" s="36" t="s">
        <v>83</v>
      </c>
      <c r="Z1397" s="36" t="s">
        <v>157</v>
      </c>
      <c r="AA1397" s="36" t="s">
        <v>5969</v>
      </c>
      <c r="AB1397" s="36"/>
      <c r="AC1397" s="36"/>
      <c r="AD1397" s="29" t="s">
        <v>96</v>
      </c>
      <c r="AE1397" s="36" t="str">
        <f>_xlfn.XLOOKUP(表格1[[#This Row],[唯一識別碼]],API清冊0707!B:B,API清冊0707!T:T,"")&amp;""</f>
        <v>有下拉選單</v>
      </c>
    </row>
    <row r="1398" spans="1:31" ht="95.25" customHeight="1" x14ac:dyDescent="0.4">
      <c r="A1398" s="29" t="s">
        <v>6025</v>
      </c>
      <c r="B1398" s="29" t="s">
        <v>31</v>
      </c>
      <c r="C1398" s="29" t="s">
        <v>5312</v>
      </c>
      <c r="D1398" s="29" t="s">
        <v>6026</v>
      </c>
      <c r="E1398" s="29" t="s">
        <v>6027</v>
      </c>
      <c r="F1398" s="29" t="s">
        <v>6028</v>
      </c>
      <c r="G1398" s="35" t="s">
        <v>31</v>
      </c>
      <c r="H1398" s="35" t="s">
        <v>151</v>
      </c>
      <c r="I1398" s="36" t="s">
        <v>6029</v>
      </c>
      <c r="J1398" s="37"/>
      <c r="K1398" s="38"/>
      <c r="L1398" s="38"/>
      <c r="M1398" s="36" t="s">
        <v>60</v>
      </c>
      <c r="N1398" s="15" t="s">
        <v>152</v>
      </c>
      <c r="O1398" s="36" t="s">
        <v>5956</v>
      </c>
      <c r="P1398" s="36" t="str">
        <f t="shared" si="42"/>
        <v>API_模糊檢索_路名清單_新竹市</v>
      </c>
      <c r="Q1398" s="36" t="s">
        <v>6028</v>
      </c>
      <c r="R1398" s="29" t="str">
        <f t="shared" si="43"/>
        <v>2dms_addrm_v1_ListRoad_O</v>
      </c>
      <c r="U1398" s="27" t="str">
        <f>_xlfn.XLOOKUP(表格1[[#This Row],[服務類別(英)]],參考2_服務標準對照!$B:$B,參考2_服務標準對照!$C:$C,"")&amp;""</f>
        <v/>
      </c>
      <c r="V1398" s="29" t="s">
        <v>20</v>
      </c>
      <c r="W1398" s="29" t="s">
        <v>79</v>
      </c>
      <c r="X1398" s="29" t="s">
        <v>81</v>
      </c>
      <c r="Y1398" s="36" t="s">
        <v>83</v>
      </c>
      <c r="Z1398" s="36" t="s">
        <v>157</v>
      </c>
      <c r="AA1398" s="36" t="s">
        <v>5969</v>
      </c>
      <c r="AB1398" s="36"/>
      <c r="AC1398" s="36"/>
      <c r="AD1398" s="29" t="s">
        <v>96</v>
      </c>
      <c r="AE1398" s="36" t="str">
        <f>_xlfn.XLOOKUP(表格1[[#This Row],[唯一識別碼]],API清冊0707!B:B,API清冊0707!T:T,"")&amp;""</f>
        <v>有下拉選單</v>
      </c>
    </row>
    <row r="1399" spans="1:31" ht="95.25" customHeight="1" x14ac:dyDescent="0.4">
      <c r="A1399" s="29" t="s">
        <v>6030</v>
      </c>
      <c r="B1399" s="29" t="s">
        <v>31</v>
      </c>
      <c r="C1399" s="29" t="s">
        <v>5312</v>
      </c>
      <c r="D1399" s="29" t="s">
        <v>6031</v>
      </c>
      <c r="E1399" s="29" t="s">
        <v>6032</v>
      </c>
      <c r="F1399" s="29" t="s">
        <v>6033</v>
      </c>
      <c r="G1399" s="35" t="s">
        <v>31</v>
      </c>
      <c r="H1399" s="35" t="s">
        <v>151</v>
      </c>
      <c r="I1399" s="36" t="s">
        <v>6034</v>
      </c>
      <c r="J1399" s="37"/>
      <c r="K1399" s="38"/>
      <c r="L1399" s="38"/>
      <c r="M1399" s="36" t="s">
        <v>60</v>
      </c>
      <c r="N1399" s="15" t="s">
        <v>152</v>
      </c>
      <c r="O1399" s="36" t="s">
        <v>5956</v>
      </c>
      <c r="P1399" s="36" t="str">
        <f t="shared" ref="P1399:P1432" si="44">IF(LEN(TRIM(F1399))&gt;0,F1399,E1399)</f>
        <v>API_模糊檢索_路名清單_新竹縣</v>
      </c>
      <c r="Q1399" s="36" t="s">
        <v>6033</v>
      </c>
      <c r="R1399" s="29" t="str">
        <f t="shared" ref="R1399:R1432" si="45">D1399</f>
        <v>2dms_addrm_v1_ListRoad_J</v>
      </c>
      <c r="U1399" s="27" t="str">
        <f>_xlfn.XLOOKUP(表格1[[#This Row],[服務類別(英)]],參考2_服務標準對照!$B:$B,參考2_服務標準對照!$C:$C,"")&amp;""</f>
        <v/>
      </c>
      <c r="V1399" s="29" t="s">
        <v>20</v>
      </c>
      <c r="W1399" s="29" t="s">
        <v>79</v>
      </c>
      <c r="X1399" s="29" t="s">
        <v>81</v>
      </c>
      <c r="Y1399" s="36" t="s">
        <v>83</v>
      </c>
      <c r="Z1399" s="36" t="s">
        <v>157</v>
      </c>
      <c r="AA1399" s="36" t="s">
        <v>5969</v>
      </c>
      <c r="AB1399" s="36"/>
      <c r="AC1399" s="36"/>
      <c r="AD1399" s="29" t="s">
        <v>96</v>
      </c>
      <c r="AE1399" s="36" t="str">
        <f>_xlfn.XLOOKUP(表格1[[#This Row],[唯一識別碼]],API清冊0707!B:B,API清冊0707!T:T,"")&amp;""</f>
        <v>有下拉選單</v>
      </c>
    </row>
    <row r="1400" spans="1:31" ht="95.25" customHeight="1" x14ac:dyDescent="0.4">
      <c r="A1400" s="29" t="s">
        <v>6035</v>
      </c>
      <c r="B1400" s="29" t="s">
        <v>31</v>
      </c>
      <c r="C1400" s="29" t="s">
        <v>5312</v>
      </c>
      <c r="D1400" s="29" t="s">
        <v>6036</v>
      </c>
      <c r="E1400" s="29" t="s">
        <v>6037</v>
      </c>
      <c r="F1400" s="29" t="s">
        <v>6038</v>
      </c>
      <c r="G1400" s="35" t="s">
        <v>31</v>
      </c>
      <c r="H1400" s="35" t="s">
        <v>151</v>
      </c>
      <c r="I1400" s="36" t="s">
        <v>6039</v>
      </c>
      <c r="J1400" s="37"/>
      <c r="K1400" s="38"/>
      <c r="L1400" s="38"/>
      <c r="M1400" s="36" t="s">
        <v>60</v>
      </c>
      <c r="N1400" s="15" t="s">
        <v>152</v>
      </c>
      <c r="O1400" s="36" t="s">
        <v>5956</v>
      </c>
      <c r="P1400" s="36" t="str">
        <f t="shared" si="44"/>
        <v>API_模糊檢索_路名清單_嘉義市</v>
      </c>
      <c r="Q1400" s="36" t="s">
        <v>6038</v>
      </c>
      <c r="R1400" s="29" t="str">
        <f t="shared" si="45"/>
        <v>2dms_addrm_v1_ListRoad_I</v>
      </c>
      <c r="U1400" s="27" t="str">
        <f>_xlfn.XLOOKUP(表格1[[#This Row],[服務類別(英)]],參考2_服務標準對照!$B:$B,參考2_服務標準對照!$C:$C,"")&amp;""</f>
        <v/>
      </c>
      <c r="V1400" s="29" t="s">
        <v>20</v>
      </c>
      <c r="W1400" s="29" t="s">
        <v>79</v>
      </c>
      <c r="X1400" s="29" t="s">
        <v>81</v>
      </c>
      <c r="Y1400" s="36" t="s">
        <v>83</v>
      </c>
      <c r="Z1400" s="36" t="s">
        <v>157</v>
      </c>
      <c r="AA1400" s="36" t="s">
        <v>5969</v>
      </c>
      <c r="AB1400" s="36"/>
      <c r="AC1400" s="36"/>
      <c r="AD1400" s="29" t="s">
        <v>96</v>
      </c>
      <c r="AE1400" s="36" t="str">
        <f>_xlfn.XLOOKUP(表格1[[#This Row],[唯一識別碼]],API清冊0707!B:B,API清冊0707!T:T,"")&amp;""</f>
        <v>有下拉選單</v>
      </c>
    </row>
    <row r="1401" spans="1:31" ht="95.25" customHeight="1" x14ac:dyDescent="0.4">
      <c r="A1401" s="29" t="s">
        <v>6040</v>
      </c>
      <c r="B1401" s="29" t="s">
        <v>31</v>
      </c>
      <c r="C1401" s="29" t="s">
        <v>5312</v>
      </c>
      <c r="D1401" s="29" t="s">
        <v>6041</v>
      </c>
      <c r="E1401" s="29" t="s">
        <v>6042</v>
      </c>
      <c r="F1401" s="29" t="s">
        <v>6043</v>
      </c>
      <c r="G1401" s="35" t="s">
        <v>31</v>
      </c>
      <c r="H1401" s="35" t="s">
        <v>151</v>
      </c>
      <c r="I1401" s="36" t="s">
        <v>6044</v>
      </c>
      <c r="J1401" s="37"/>
      <c r="K1401" s="38"/>
      <c r="L1401" s="38"/>
      <c r="M1401" s="36" t="s">
        <v>60</v>
      </c>
      <c r="N1401" s="15" t="s">
        <v>152</v>
      </c>
      <c r="O1401" s="36" t="s">
        <v>5956</v>
      </c>
      <c r="P1401" s="36" t="str">
        <f t="shared" si="44"/>
        <v>API_模糊檢索_路名清單_嘉義縣</v>
      </c>
      <c r="Q1401" s="36" t="s">
        <v>6043</v>
      </c>
      <c r="R1401" s="29" t="str">
        <f t="shared" si="45"/>
        <v>2dms_addrm_v1_ListRoad_Q</v>
      </c>
      <c r="U1401" s="27" t="str">
        <f>_xlfn.XLOOKUP(表格1[[#This Row],[服務類別(英)]],參考2_服務標準對照!$B:$B,參考2_服務標準對照!$C:$C,"")&amp;""</f>
        <v/>
      </c>
      <c r="V1401" s="29" t="s">
        <v>20</v>
      </c>
      <c r="W1401" s="29" t="s">
        <v>79</v>
      </c>
      <c r="X1401" s="29" t="s">
        <v>81</v>
      </c>
      <c r="Y1401" s="36" t="s">
        <v>83</v>
      </c>
      <c r="Z1401" s="36" t="s">
        <v>157</v>
      </c>
      <c r="AA1401" s="36" t="s">
        <v>5969</v>
      </c>
      <c r="AB1401" s="36"/>
      <c r="AC1401" s="36"/>
      <c r="AD1401" s="29" t="s">
        <v>96</v>
      </c>
      <c r="AE1401" s="36" t="str">
        <f>_xlfn.XLOOKUP(表格1[[#This Row],[唯一識別碼]],API清冊0707!B:B,API清冊0707!T:T,"")&amp;""</f>
        <v>有下拉選單</v>
      </c>
    </row>
    <row r="1402" spans="1:31" ht="95.25" customHeight="1" x14ac:dyDescent="0.4">
      <c r="A1402" s="29" t="s">
        <v>6045</v>
      </c>
      <c r="B1402" s="29" t="s">
        <v>31</v>
      </c>
      <c r="C1402" s="29" t="s">
        <v>5312</v>
      </c>
      <c r="D1402" s="29" t="s">
        <v>6046</v>
      </c>
      <c r="E1402" s="29" t="s">
        <v>6047</v>
      </c>
      <c r="F1402" s="29" t="s">
        <v>6048</v>
      </c>
      <c r="G1402" s="35" t="s">
        <v>31</v>
      </c>
      <c r="H1402" s="35" t="s">
        <v>151</v>
      </c>
      <c r="I1402" s="36" t="s">
        <v>6049</v>
      </c>
      <c r="J1402" s="37"/>
      <c r="K1402" s="38"/>
      <c r="L1402" s="38"/>
      <c r="M1402" s="36" t="s">
        <v>60</v>
      </c>
      <c r="N1402" s="15" t="s">
        <v>152</v>
      </c>
      <c r="O1402" s="36" t="s">
        <v>5956</v>
      </c>
      <c r="P1402" s="36" t="str">
        <f t="shared" si="44"/>
        <v>API_模糊檢索_路名清單_彰化縣</v>
      </c>
      <c r="Q1402" s="36" t="s">
        <v>6048</v>
      </c>
      <c r="R1402" s="29" t="str">
        <f t="shared" si="45"/>
        <v>2dms_addrm_v1_ListRoad_N</v>
      </c>
      <c r="U1402" s="27" t="str">
        <f>_xlfn.XLOOKUP(表格1[[#This Row],[服務類別(英)]],參考2_服務標準對照!$B:$B,參考2_服務標準對照!$C:$C,"")&amp;""</f>
        <v/>
      </c>
      <c r="V1402" s="29" t="s">
        <v>20</v>
      </c>
      <c r="W1402" s="29" t="s">
        <v>79</v>
      </c>
      <c r="X1402" s="29" t="s">
        <v>81</v>
      </c>
      <c r="Y1402" s="36" t="s">
        <v>83</v>
      </c>
      <c r="Z1402" s="36" t="s">
        <v>157</v>
      </c>
      <c r="AA1402" s="36" t="s">
        <v>5969</v>
      </c>
      <c r="AB1402" s="36"/>
      <c r="AC1402" s="36"/>
      <c r="AD1402" s="29" t="s">
        <v>96</v>
      </c>
      <c r="AE1402" s="36" t="str">
        <f>_xlfn.XLOOKUP(表格1[[#This Row],[唯一識別碼]],API清冊0707!B:B,API清冊0707!T:T,"")&amp;""</f>
        <v>有下拉選單</v>
      </c>
    </row>
    <row r="1403" spans="1:31" ht="95.25" customHeight="1" x14ac:dyDescent="0.4">
      <c r="A1403" s="29" t="s">
        <v>6050</v>
      </c>
      <c r="B1403" s="29" t="s">
        <v>31</v>
      </c>
      <c r="C1403" s="29" t="s">
        <v>5312</v>
      </c>
      <c r="D1403" s="29" t="s">
        <v>6051</v>
      </c>
      <c r="E1403" s="29" t="s">
        <v>6052</v>
      </c>
      <c r="F1403" s="29" t="s">
        <v>6053</v>
      </c>
      <c r="G1403" s="35" t="s">
        <v>31</v>
      </c>
      <c r="H1403" s="35" t="s">
        <v>151</v>
      </c>
      <c r="I1403" s="36" t="s">
        <v>6054</v>
      </c>
      <c r="J1403" s="37"/>
      <c r="K1403" s="38"/>
      <c r="L1403" s="38"/>
      <c r="M1403" s="36" t="s">
        <v>60</v>
      </c>
      <c r="N1403" s="15" t="s">
        <v>152</v>
      </c>
      <c r="O1403" s="36" t="s">
        <v>5956</v>
      </c>
      <c r="P1403" s="36" t="str">
        <f t="shared" si="44"/>
        <v>API_模糊檢索_路名清單_臺中市</v>
      </c>
      <c r="Q1403" s="36" t="s">
        <v>6053</v>
      </c>
      <c r="R1403" s="29" t="str">
        <f t="shared" si="45"/>
        <v>2dms_addrm_v1_ListRoad_B</v>
      </c>
      <c r="U1403" s="27" t="str">
        <f>_xlfn.XLOOKUP(表格1[[#This Row],[服務類別(英)]],參考2_服務標準對照!$B:$B,參考2_服務標準對照!$C:$C,"")&amp;""</f>
        <v/>
      </c>
      <c r="V1403" s="29" t="s">
        <v>20</v>
      </c>
      <c r="W1403" s="29" t="s">
        <v>79</v>
      </c>
      <c r="X1403" s="29" t="s">
        <v>81</v>
      </c>
      <c r="Y1403" s="36" t="s">
        <v>83</v>
      </c>
      <c r="Z1403" s="36" t="s">
        <v>157</v>
      </c>
      <c r="AA1403" s="36" t="s">
        <v>5969</v>
      </c>
      <c r="AB1403" s="36"/>
      <c r="AC1403" s="36"/>
      <c r="AD1403" s="29" t="s">
        <v>96</v>
      </c>
      <c r="AE1403" s="36" t="str">
        <f>_xlfn.XLOOKUP(表格1[[#This Row],[唯一識別碼]],API清冊0707!B:B,API清冊0707!T:T,"")&amp;""</f>
        <v>有下拉選單</v>
      </c>
    </row>
    <row r="1404" spans="1:31" ht="95.25" customHeight="1" x14ac:dyDescent="0.4">
      <c r="A1404" s="29" t="s">
        <v>28</v>
      </c>
      <c r="B1404" s="29" t="s">
        <v>31</v>
      </c>
      <c r="C1404" s="29" t="s">
        <v>5312</v>
      </c>
      <c r="D1404" s="29" t="s">
        <v>37</v>
      </c>
      <c r="E1404" s="29" t="s">
        <v>40</v>
      </c>
      <c r="F1404" s="29" t="s">
        <v>6055</v>
      </c>
      <c r="G1404" s="35" t="s">
        <v>31</v>
      </c>
      <c r="H1404" s="35" t="s">
        <v>151</v>
      </c>
      <c r="I1404" s="36" t="s">
        <v>6056</v>
      </c>
      <c r="J1404" s="37"/>
      <c r="K1404" s="38"/>
      <c r="L1404" s="38"/>
      <c r="M1404" s="36" t="s">
        <v>60</v>
      </c>
      <c r="N1404" s="15" t="s">
        <v>152</v>
      </c>
      <c r="O1404" s="36" t="s">
        <v>5956</v>
      </c>
      <c r="P1404" s="36" t="str">
        <f t="shared" si="44"/>
        <v>API_模糊檢索_路名清單_臺北市</v>
      </c>
      <c r="Q1404" s="36" t="s">
        <v>6055</v>
      </c>
      <c r="R1404" s="29" t="str">
        <f t="shared" si="45"/>
        <v>2dms_addrm_v1_ListRoad_A</v>
      </c>
      <c r="U1404" s="27" t="str">
        <f>_xlfn.XLOOKUP(表格1[[#This Row],[服務類別(英)]],參考2_服務標準對照!$B:$B,參考2_服務標準對照!$C:$C,"")&amp;""</f>
        <v/>
      </c>
      <c r="V1404" s="29" t="s">
        <v>20</v>
      </c>
      <c r="W1404" s="29" t="s">
        <v>79</v>
      </c>
      <c r="X1404" s="29" t="s">
        <v>81</v>
      </c>
      <c r="Y1404" s="36" t="s">
        <v>83</v>
      </c>
      <c r="Z1404" s="36" t="s">
        <v>157</v>
      </c>
      <c r="AA1404" s="36" t="s">
        <v>5969</v>
      </c>
      <c r="AB1404" s="36"/>
      <c r="AC1404" s="36"/>
      <c r="AD1404" s="29" t="s">
        <v>96</v>
      </c>
      <c r="AE1404" s="36" t="str">
        <f>_xlfn.XLOOKUP(表格1[[#This Row],[唯一識別碼]],API清冊0707!B:B,API清冊0707!T:T,"")&amp;""</f>
        <v>有下拉選單</v>
      </c>
    </row>
    <row r="1405" spans="1:31" ht="95.25" customHeight="1" x14ac:dyDescent="0.4">
      <c r="A1405" s="29" t="s">
        <v>6057</v>
      </c>
      <c r="B1405" s="29" t="s">
        <v>31</v>
      </c>
      <c r="C1405" s="29" t="s">
        <v>5312</v>
      </c>
      <c r="D1405" s="29" t="s">
        <v>6058</v>
      </c>
      <c r="E1405" s="29" t="s">
        <v>6059</v>
      </c>
      <c r="F1405" s="29" t="s">
        <v>6060</v>
      </c>
      <c r="G1405" s="35" t="s">
        <v>31</v>
      </c>
      <c r="H1405" s="35" t="s">
        <v>151</v>
      </c>
      <c r="I1405" s="36" t="s">
        <v>6061</v>
      </c>
      <c r="J1405" s="37"/>
      <c r="K1405" s="38"/>
      <c r="L1405" s="38"/>
      <c r="M1405" s="36" t="s">
        <v>60</v>
      </c>
      <c r="N1405" s="15" t="s">
        <v>152</v>
      </c>
      <c r="O1405" s="36" t="s">
        <v>5956</v>
      </c>
      <c r="P1405" s="36" t="str">
        <f t="shared" si="44"/>
        <v>API_模糊檢索_路名清單_臺東縣</v>
      </c>
      <c r="Q1405" s="36" t="s">
        <v>6060</v>
      </c>
      <c r="R1405" s="29" t="str">
        <f t="shared" si="45"/>
        <v>2dms_addrm_v1_ListRoad_V</v>
      </c>
      <c r="U1405" s="27" t="str">
        <f>_xlfn.XLOOKUP(表格1[[#This Row],[服務類別(英)]],參考2_服務標準對照!$B:$B,參考2_服務標準對照!$C:$C,"")&amp;""</f>
        <v/>
      </c>
      <c r="V1405" s="29" t="s">
        <v>20</v>
      </c>
      <c r="W1405" s="29" t="s">
        <v>79</v>
      </c>
      <c r="X1405" s="29" t="s">
        <v>81</v>
      </c>
      <c r="Y1405" s="36" t="s">
        <v>83</v>
      </c>
      <c r="Z1405" s="36" t="s">
        <v>157</v>
      </c>
      <c r="AA1405" s="36" t="s">
        <v>5969</v>
      </c>
      <c r="AB1405" s="36"/>
      <c r="AC1405" s="36"/>
      <c r="AD1405" s="29" t="s">
        <v>96</v>
      </c>
      <c r="AE1405" s="36" t="str">
        <f>_xlfn.XLOOKUP(表格1[[#This Row],[唯一識別碼]],API清冊0707!B:B,API清冊0707!T:T,"")&amp;""</f>
        <v>有下拉選單</v>
      </c>
    </row>
    <row r="1406" spans="1:31" ht="95.25" customHeight="1" x14ac:dyDescent="0.4">
      <c r="A1406" s="29" t="s">
        <v>6062</v>
      </c>
      <c r="B1406" s="29" t="s">
        <v>31</v>
      </c>
      <c r="C1406" s="29" t="s">
        <v>5312</v>
      </c>
      <c r="D1406" s="29" t="s">
        <v>6063</v>
      </c>
      <c r="E1406" s="29" t="s">
        <v>6064</v>
      </c>
      <c r="F1406" s="29" t="s">
        <v>6065</v>
      </c>
      <c r="G1406" s="35" t="s">
        <v>31</v>
      </c>
      <c r="H1406" s="35" t="s">
        <v>151</v>
      </c>
      <c r="I1406" s="36" t="s">
        <v>6066</v>
      </c>
      <c r="J1406" s="37"/>
      <c r="K1406" s="38"/>
      <c r="L1406" s="38"/>
      <c r="M1406" s="36" t="s">
        <v>60</v>
      </c>
      <c r="N1406" s="15" t="s">
        <v>152</v>
      </c>
      <c r="O1406" s="36" t="s">
        <v>5956</v>
      </c>
      <c r="P1406" s="36" t="str">
        <f t="shared" si="44"/>
        <v>API_模糊檢索_路名清單_臺南市</v>
      </c>
      <c r="Q1406" s="36" t="s">
        <v>6065</v>
      </c>
      <c r="R1406" s="29" t="str">
        <f t="shared" si="45"/>
        <v>2dms_addrm_v1_ListRoad_D</v>
      </c>
      <c r="U1406" s="27" t="str">
        <f>_xlfn.XLOOKUP(表格1[[#This Row],[服務類別(英)]],參考2_服務標準對照!$B:$B,參考2_服務標準對照!$C:$C,"")&amp;""</f>
        <v/>
      </c>
      <c r="V1406" s="29" t="s">
        <v>20</v>
      </c>
      <c r="W1406" s="29" t="s">
        <v>79</v>
      </c>
      <c r="X1406" s="29" t="s">
        <v>81</v>
      </c>
      <c r="Y1406" s="36" t="s">
        <v>83</v>
      </c>
      <c r="Z1406" s="36" t="s">
        <v>157</v>
      </c>
      <c r="AA1406" s="36" t="s">
        <v>5969</v>
      </c>
      <c r="AB1406" s="36"/>
      <c r="AC1406" s="36"/>
      <c r="AD1406" s="29" t="s">
        <v>96</v>
      </c>
      <c r="AE1406" s="36" t="str">
        <f>_xlfn.XLOOKUP(表格1[[#This Row],[唯一識別碼]],API清冊0707!B:B,API清冊0707!T:T,"")&amp;""</f>
        <v>有下拉選單</v>
      </c>
    </row>
    <row r="1407" spans="1:31" ht="95.25" customHeight="1" x14ac:dyDescent="0.4">
      <c r="A1407" s="29" t="s">
        <v>6067</v>
      </c>
      <c r="B1407" s="29" t="s">
        <v>31</v>
      </c>
      <c r="C1407" s="29" t="s">
        <v>5312</v>
      </c>
      <c r="D1407" s="29" t="s">
        <v>6068</v>
      </c>
      <c r="E1407" s="29" t="s">
        <v>6069</v>
      </c>
      <c r="F1407" s="29" t="s">
        <v>6070</v>
      </c>
      <c r="G1407" s="35" t="s">
        <v>31</v>
      </c>
      <c r="H1407" s="35" t="s">
        <v>151</v>
      </c>
      <c r="I1407" s="36" t="s">
        <v>6071</v>
      </c>
      <c r="J1407" s="37"/>
      <c r="K1407" s="38"/>
      <c r="L1407" s="38"/>
      <c r="M1407" s="36" t="s">
        <v>60</v>
      </c>
      <c r="N1407" s="15" t="s">
        <v>152</v>
      </c>
      <c r="O1407" s="36" t="s">
        <v>5956</v>
      </c>
      <c r="P1407" s="36" t="str">
        <f t="shared" si="44"/>
        <v>API_模糊檢索_路名清單_澎湖縣</v>
      </c>
      <c r="Q1407" s="36" t="s">
        <v>6070</v>
      </c>
      <c r="R1407" s="29" t="str">
        <f t="shared" si="45"/>
        <v>2dms_addrm_v1_ListRoad_X</v>
      </c>
      <c r="U1407" s="27" t="str">
        <f>_xlfn.XLOOKUP(表格1[[#This Row],[服務類別(英)]],參考2_服務標準對照!$B:$B,參考2_服務標準對照!$C:$C,"")&amp;""</f>
        <v/>
      </c>
      <c r="V1407" s="29" t="s">
        <v>20</v>
      </c>
      <c r="W1407" s="29" t="s">
        <v>79</v>
      </c>
      <c r="X1407" s="29" t="s">
        <v>81</v>
      </c>
      <c r="Y1407" s="36" t="s">
        <v>83</v>
      </c>
      <c r="Z1407" s="36" t="s">
        <v>157</v>
      </c>
      <c r="AA1407" s="36" t="s">
        <v>5969</v>
      </c>
      <c r="AB1407" s="36"/>
      <c r="AC1407" s="36"/>
      <c r="AD1407" s="29" t="s">
        <v>96</v>
      </c>
      <c r="AE1407" s="36" t="str">
        <f>_xlfn.XLOOKUP(表格1[[#This Row],[唯一識別碼]],API清冊0707!B:B,API清冊0707!T:T,"")&amp;""</f>
        <v>有下拉選單</v>
      </c>
    </row>
    <row r="1408" spans="1:31" ht="142.5" customHeight="1" x14ac:dyDescent="0.4">
      <c r="A1408" s="29" t="s">
        <v>6072</v>
      </c>
      <c r="B1408" s="29" t="s">
        <v>31</v>
      </c>
      <c r="C1408" s="29" t="s">
        <v>6073</v>
      </c>
      <c r="D1408" s="29" t="s">
        <v>6074</v>
      </c>
      <c r="E1408" s="29" t="s">
        <v>6075</v>
      </c>
      <c r="F1408" s="29" t="s">
        <v>6076</v>
      </c>
      <c r="G1408" s="35" t="s">
        <v>31</v>
      </c>
      <c r="H1408" s="35" t="s">
        <v>151</v>
      </c>
      <c r="I1408" s="36" t="s">
        <v>6077</v>
      </c>
      <c r="J1408" s="37"/>
      <c r="K1408" s="38"/>
      <c r="L1408" s="38"/>
      <c r="M1408" s="36" t="s">
        <v>60</v>
      </c>
      <c r="N1408" s="15" t="s">
        <v>152</v>
      </c>
      <c r="O1408" s="36" t="s">
        <v>5956</v>
      </c>
      <c r="P1408" s="36" t="str">
        <f t="shared" si="44"/>
        <v>API_模糊檢索_巷弄清單_宜蘭縣</v>
      </c>
      <c r="Q1408" s="36" t="s">
        <v>6076</v>
      </c>
      <c r="R1408" s="29" t="str">
        <f t="shared" si="45"/>
        <v>2dms_addrm_v1_ListRoadLaneAlley_G</v>
      </c>
      <c r="U1408" s="27" t="str">
        <f>_xlfn.XLOOKUP(表格1[[#This Row],[服務類別(英)]],參考2_服務標準對照!$B:$B,參考2_服務標準對照!$C:$C,"")&amp;""</f>
        <v/>
      </c>
      <c r="V1408" s="29" t="s">
        <v>20</v>
      </c>
      <c r="W1408" s="29" t="s">
        <v>79</v>
      </c>
      <c r="X1408" s="29" t="s">
        <v>81</v>
      </c>
      <c r="Y1408" s="36" t="s">
        <v>83</v>
      </c>
      <c r="Z1408" s="36" t="s">
        <v>157</v>
      </c>
      <c r="AA1408" s="36" t="s">
        <v>6078</v>
      </c>
      <c r="AB1408" s="36"/>
      <c r="AC1408" s="36"/>
      <c r="AD1408" s="29" t="s">
        <v>96</v>
      </c>
      <c r="AE1408" s="36" t="str">
        <f>_xlfn.XLOOKUP(表格1[[#This Row],[唯一識別碼]],API清冊0707!B:B,API清冊0707!T:T,"")&amp;""</f>
        <v>有下拉選單</v>
      </c>
    </row>
    <row r="1409" spans="1:31" ht="142.5" customHeight="1" x14ac:dyDescent="0.4">
      <c r="A1409" s="29" t="s">
        <v>6079</v>
      </c>
      <c r="B1409" s="29" t="s">
        <v>31</v>
      </c>
      <c r="C1409" s="29" t="s">
        <v>6073</v>
      </c>
      <c r="D1409" s="29" t="s">
        <v>6080</v>
      </c>
      <c r="E1409" s="29" t="s">
        <v>6081</v>
      </c>
      <c r="F1409" s="29" t="s">
        <v>6082</v>
      </c>
      <c r="G1409" s="35" t="s">
        <v>31</v>
      </c>
      <c r="H1409" s="35" t="s">
        <v>151</v>
      </c>
      <c r="I1409" s="36" t="s">
        <v>6083</v>
      </c>
      <c r="J1409" s="37"/>
      <c r="K1409" s="38"/>
      <c r="L1409" s="38"/>
      <c r="M1409" s="36" t="s">
        <v>60</v>
      </c>
      <c r="N1409" s="15" t="s">
        <v>152</v>
      </c>
      <c r="O1409" s="36" t="s">
        <v>5956</v>
      </c>
      <c r="P1409" s="36" t="str">
        <f t="shared" si="44"/>
        <v>API_模糊檢索_巷弄清單_花蓮縣</v>
      </c>
      <c r="Q1409" s="36" t="s">
        <v>6082</v>
      </c>
      <c r="R1409" s="29" t="str">
        <f t="shared" si="45"/>
        <v>2dms_addrm_v1_ListRoadLaneAlley_U</v>
      </c>
      <c r="U1409" s="27" t="str">
        <f>_xlfn.XLOOKUP(表格1[[#This Row],[服務類別(英)]],參考2_服務標準對照!$B:$B,參考2_服務標準對照!$C:$C,"")&amp;""</f>
        <v/>
      </c>
      <c r="V1409" s="29" t="s">
        <v>20</v>
      </c>
      <c r="W1409" s="29" t="s">
        <v>79</v>
      </c>
      <c r="X1409" s="29" t="s">
        <v>81</v>
      </c>
      <c r="Y1409" s="36" t="s">
        <v>83</v>
      </c>
      <c r="Z1409" s="36" t="s">
        <v>157</v>
      </c>
      <c r="AA1409" s="36" t="s">
        <v>6078</v>
      </c>
      <c r="AB1409" s="36"/>
      <c r="AC1409" s="36"/>
      <c r="AD1409" s="29" t="s">
        <v>96</v>
      </c>
      <c r="AE1409" s="36" t="str">
        <f>_xlfn.XLOOKUP(表格1[[#This Row],[唯一識別碼]],API清冊0707!B:B,API清冊0707!T:T,"")&amp;""</f>
        <v>有下拉選單</v>
      </c>
    </row>
    <row r="1410" spans="1:31" ht="142.5" customHeight="1" x14ac:dyDescent="0.4">
      <c r="A1410" s="29" t="s">
        <v>6084</v>
      </c>
      <c r="B1410" s="29" t="s">
        <v>31</v>
      </c>
      <c r="C1410" s="29" t="s">
        <v>6073</v>
      </c>
      <c r="D1410" s="29" t="s">
        <v>6085</v>
      </c>
      <c r="E1410" s="29" t="s">
        <v>6086</v>
      </c>
      <c r="F1410" s="29" t="s">
        <v>6087</v>
      </c>
      <c r="G1410" s="35" t="s">
        <v>31</v>
      </c>
      <c r="H1410" s="35" t="s">
        <v>151</v>
      </c>
      <c r="I1410" s="36" t="s">
        <v>6088</v>
      </c>
      <c r="J1410" s="37"/>
      <c r="K1410" s="38"/>
      <c r="L1410" s="38"/>
      <c r="M1410" s="36" t="s">
        <v>60</v>
      </c>
      <c r="N1410" s="15" t="s">
        <v>152</v>
      </c>
      <c r="O1410" s="36" t="s">
        <v>5956</v>
      </c>
      <c r="P1410" s="36" t="str">
        <f t="shared" si="44"/>
        <v>API_模糊檢索_巷弄清單_金門縣</v>
      </c>
      <c r="Q1410" s="36" t="s">
        <v>6087</v>
      </c>
      <c r="R1410" s="29" t="str">
        <f t="shared" si="45"/>
        <v>2dms_addrm_v1_ListRoadLaneAlley_W</v>
      </c>
      <c r="U1410" s="27" t="str">
        <f>_xlfn.XLOOKUP(表格1[[#This Row],[服務類別(英)]],參考2_服務標準對照!$B:$B,參考2_服務標準對照!$C:$C,"")&amp;""</f>
        <v/>
      </c>
      <c r="V1410" s="29" t="s">
        <v>20</v>
      </c>
      <c r="W1410" s="29" t="s">
        <v>79</v>
      </c>
      <c r="X1410" s="29" t="s">
        <v>81</v>
      </c>
      <c r="Y1410" s="36" t="s">
        <v>83</v>
      </c>
      <c r="Z1410" s="36" t="s">
        <v>157</v>
      </c>
      <c r="AA1410" s="36" t="s">
        <v>6078</v>
      </c>
      <c r="AB1410" s="36"/>
      <c r="AC1410" s="36"/>
      <c r="AD1410" s="29" t="s">
        <v>96</v>
      </c>
      <c r="AE1410" s="36" t="str">
        <f>_xlfn.XLOOKUP(表格1[[#This Row],[唯一識別碼]],API清冊0707!B:B,API清冊0707!T:T,"")&amp;""</f>
        <v>有下拉選單</v>
      </c>
    </row>
    <row r="1411" spans="1:31" ht="142.5" customHeight="1" x14ac:dyDescent="0.4">
      <c r="A1411" s="29" t="s">
        <v>6089</v>
      </c>
      <c r="B1411" s="29" t="s">
        <v>31</v>
      </c>
      <c r="C1411" s="29" t="s">
        <v>6073</v>
      </c>
      <c r="D1411" s="29" t="s">
        <v>6090</v>
      </c>
      <c r="E1411" s="29" t="s">
        <v>6091</v>
      </c>
      <c r="F1411" s="29" t="s">
        <v>6092</v>
      </c>
      <c r="G1411" s="35" t="s">
        <v>31</v>
      </c>
      <c r="H1411" s="35" t="s">
        <v>151</v>
      </c>
      <c r="I1411" s="36" t="s">
        <v>6093</v>
      </c>
      <c r="J1411" s="37"/>
      <c r="K1411" s="38"/>
      <c r="L1411" s="38"/>
      <c r="M1411" s="36" t="s">
        <v>60</v>
      </c>
      <c r="N1411" s="15" t="s">
        <v>152</v>
      </c>
      <c r="O1411" s="36" t="s">
        <v>5956</v>
      </c>
      <c r="P1411" s="36" t="str">
        <f t="shared" si="44"/>
        <v>API_模糊檢索_巷弄清單_南投縣</v>
      </c>
      <c r="Q1411" s="36" t="s">
        <v>6092</v>
      </c>
      <c r="R1411" s="29" t="str">
        <f t="shared" si="45"/>
        <v>2dms_addrm_v1_ListRoadLaneAlley_M</v>
      </c>
      <c r="U1411" s="27" t="str">
        <f>_xlfn.XLOOKUP(表格1[[#This Row],[服務類別(英)]],參考2_服務標準對照!$B:$B,參考2_服務標準對照!$C:$C,"")&amp;""</f>
        <v/>
      </c>
      <c r="V1411" s="29" t="s">
        <v>20</v>
      </c>
      <c r="W1411" s="29" t="s">
        <v>79</v>
      </c>
      <c r="X1411" s="29" t="s">
        <v>81</v>
      </c>
      <c r="Y1411" s="36" t="s">
        <v>83</v>
      </c>
      <c r="Z1411" s="36" t="s">
        <v>157</v>
      </c>
      <c r="AA1411" s="36" t="s">
        <v>6078</v>
      </c>
      <c r="AB1411" s="36"/>
      <c r="AC1411" s="36"/>
      <c r="AD1411" s="29" t="s">
        <v>96</v>
      </c>
      <c r="AE1411" s="36" t="str">
        <f>_xlfn.XLOOKUP(表格1[[#This Row],[唯一識別碼]],API清冊0707!B:B,API清冊0707!T:T,"")&amp;""</f>
        <v>有下拉選單</v>
      </c>
    </row>
    <row r="1412" spans="1:31" ht="142.5" customHeight="1" x14ac:dyDescent="0.4">
      <c r="A1412" s="29" t="s">
        <v>6094</v>
      </c>
      <c r="B1412" s="29" t="s">
        <v>31</v>
      </c>
      <c r="C1412" s="29" t="s">
        <v>6073</v>
      </c>
      <c r="D1412" s="29" t="s">
        <v>6095</v>
      </c>
      <c r="E1412" s="29" t="s">
        <v>6096</v>
      </c>
      <c r="F1412" s="29" t="s">
        <v>6097</v>
      </c>
      <c r="G1412" s="35" t="s">
        <v>31</v>
      </c>
      <c r="H1412" s="35" t="s">
        <v>151</v>
      </c>
      <c r="I1412" s="36" t="s">
        <v>6098</v>
      </c>
      <c r="J1412" s="37"/>
      <c r="K1412" s="38"/>
      <c r="L1412" s="38"/>
      <c r="M1412" s="36" t="s">
        <v>60</v>
      </c>
      <c r="N1412" s="15" t="s">
        <v>152</v>
      </c>
      <c r="O1412" s="36" t="s">
        <v>5956</v>
      </c>
      <c r="P1412" s="36" t="str">
        <f t="shared" si="44"/>
        <v>API_模糊檢索_巷弄清單_屏東縣</v>
      </c>
      <c r="Q1412" s="36" t="s">
        <v>6097</v>
      </c>
      <c r="R1412" s="29" t="str">
        <f t="shared" si="45"/>
        <v>2dms_addrm_v1_ListRoadLaneAlley_T</v>
      </c>
      <c r="U1412" s="27" t="str">
        <f>_xlfn.XLOOKUP(表格1[[#This Row],[服務類別(英)]],參考2_服務標準對照!$B:$B,參考2_服務標準對照!$C:$C,"")&amp;""</f>
        <v/>
      </c>
      <c r="V1412" s="29" t="s">
        <v>20</v>
      </c>
      <c r="W1412" s="29" t="s">
        <v>79</v>
      </c>
      <c r="X1412" s="29" t="s">
        <v>81</v>
      </c>
      <c r="Y1412" s="36" t="s">
        <v>83</v>
      </c>
      <c r="Z1412" s="36" t="s">
        <v>157</v>
      </c>
      <c r="AA1412" s="36" t="s">
        <v>6078</v>
      </c>
      <c r="AB1412" s="36"/>
      <c r="AC1412" s="36"/>
      <c r="AD1412" s="29" t="s">
        <v>96</v>
      </c>
      <c r="AE1412" s="36" t="str">
        <f>_xlfn.XLOOKUP(表格1[[#This Row],[唯一識別碼]],API清冊0707!B:B,API清冊0707!T:T,"")&amp;""</f>
        <v>有下拉選單</v>
      </c>
    </row>
    <row r="1413" spans="1:31" ht="142.5" customHeight="1" x14ac:dyDescent="0.4">
      <c r="A1413" s="29" t="s">
        <v>6099</v>
      </c>
      <c r="B1413" s="29" t="s">
        <v>31</v>
      </c>
      <c r="C1413" s="29" t="s">
        <v>6073</v>
      </c>
      <c r="D1413" s="29" t="s">
        <v>6100</v>
      </c>
      <c r="E1413" s="29" t="s">
        <v>6101</v>
      </c>
      <c r="F1413" s="29" t="s">
        <v>6102</v>
      </c>
      <c r="G1413" s="35" t="s">
        <v>31</v>
      </c>
      <c r="H1413" s="35" t="s">
        <v>151</v>
      </c>
      <c r="I1413" s="36" t="s">
        <v>6103</v>
      </c>
      <c r="J1413" s="37"/>
      <c r="K1413" s="38"/>
      <c r="L1413" s="38"/>
      <c r="M1413" s="36" t="s">
        <v>60</v>
      </c>
      <c r="N1413" s="15" t="s">
        <v>152</v>
      </c>
      <c r="O1413" s="36" t="s">
        <v>5956</v>
      </c>
      <c r="P1413" s="36" t="str">
        <f t="shared" si="44"/>
        <v>API_模糊檢索_巷弄清單_苗栗縣</v>
      </c>
      <c r="Q1413" s="36" t="s">
        <v>6102</v>
      </c>
      <c r="R1413" s="29" t="str">
        <f t="shared" si="45"/>
        <v>2dms_addrm_v1_ListRoadLaneAlley_K</v>
      </c>
      <c r="U1413" s="27" t="str">
        <f>_xlfn.XLOOKUP(表格1[[#This Row],[服務類別(英)]],參考2_服務標準對照!$B:$B,參考2_服務標準對照!$C:$C,"")&amp;""</f>
        <v/>
      </c>
      <c r="V1413" s="29" t="s">
        <v>20</v>
      </c>
      <c r="W1413" s="29" t="s">
        <v>79</v>
      </c>
      <c r="X1413" s="29" t="s">
        <v>81</v>
      </c>
      <c r="Y1413" s="36" t="s">
        <v>83</v>
      </c>
      <c r="Z1413" s="36" t="s">
        <v>157</v>
      </c>
      <c r="AA1413" s="36" t="s">
        <v>6078</v>
      </c>
      <c r="AB1413" s="36"/>
      <c r="AC1413" s="36"/>
      <c r="AD1413" s="29" t="s">
        <v>96</v>
      </c>
      <c r="AE1413" s="36" t="str">
        <f>_xlfn.XLOOKUP(表格1[[#This Row],[唯一識別碼]],API清冊0707!B:B,API清冊0707!T:T,"")&amp;""</f>
        <v>有下拉選單</v>
      </c>
    </row>
    <row r="1414" spans="1:31" ht="142.5" customHeight="1" x14ac:dyDescent="0.4">
      <c r="A1414" s="29" t="s">
        <v>6104</v>
      </c>
      <c r="B1414" s="29" t="s">
        <v>31</v>
      </c>
      <c r="C1414" s="29" t="s">
        <v>6073</v>
      </c>
      <c r="D1414" s="29" t="s">
        <v>6105</v>
      </c>
      <c r="E1414" s="29" t="s">
        <v>6106</v>
      </c>
      <c r="F1414" s="29" t="s">
        <v>6107</v>
      </c>
      <c r="G1414" s="35" t="s">
        <v>31</v>
      </c>
      <c r="H1414" s="35" t="s">
        <v>151</v>
      </c>
      <c r="I1414" s="36" t="s">
        <v>6108</v>
      </c>
      <c r="J1414" s="37"/>
      <c r="K1414" s="38"/>
      <c r="L1414" s="38"/>
      <c r="M1414" s="36" t="s">
        <v>60</v>
      </c>
      <c r="N1414" s="15" t="s">
        <v>152</v>
      </c>
      <c r="O1414" s="36" t="s">
        <v>5956</v>
      </c>
      <c r="P1414" s="36" t="str">
        <f t="shared" si="44"/>
        <v>API_模糊檢索_巷弄清單_桃園市</v>
      </c>
      <c r="Q1414" s="36" t="s">
        <v>6107</v>
      </c>
      <c r="R1414" s="29" t="str">
        <f t="shared" si="45"/>
        <v>2dms_addrm_v1_ListRoadLaneAlley_H</v>
      </c>
      <c r="U1414" s="27" t="str">
        <f>_xlfn.XLOOKUP(表格1[[#This Row],[服務類別(英)]],參考2_服務標準對照!$B:$B,參考2_服務標準對照!$C:$C,"")&amp;""</f>
        <v/>
      </c>
      <c r="V1414" s="29" t="s">
        <v>20</v>
      </c>
      <c r="W1414" s="29" t="s">
        <v>79</v>
      </c>
      <c r="X1414" s="29" t="s">
        <v>81</v>
      </c>
      <c r="Y1414" s="36" t="s">
        <v>83</v>
      </c>
      <c r="Z1414" s="36" t="s">
        <v>157</v>
      </c>
      <c r="AA1414" s="36" t="s">
        <v>6078</v>
      </c>
      <c r="AB1414" s="36"/>
      <c r="AC1414" s="36"/>
      <c r="AD1414" s="29" t="s">
        <v>96</v>
      </c>
      <c r="AE1414" s="36" t="str">
        <f>_xlfn.XLOOKUP(表格1[[#This Row],[唯一識別碼]],API清冊0707!B:B,API清冊0707!T:T,"")&amp;""</f>
        <v>有下拉選單</v>
      </c>
    </row>
    <row r="1415" spans="1:31" ht="142.5" customHeight="1" x14ac:dyDescent="0.4">
      <c r="A1415" s="29" t="s">
        <v>6109</v>
      </c>
      <c r="B1415" s="29" t="s">
        <v>31</v>
      </c>
      <c r="C1415" s="29" t="s">
        <v>6073</v>
      </c>
      <c r="D1415" s="29" t="s">
        <v>6110</v>
      </c>
      <c r="E1415" s="29" t="s">
        <v>6111</v>
      </c>
      <c r="F1415" s="29" t="s">
        <v>6112</v>
      </c>
      <c r="G1415" s="35" t="s">
        <v>31</v>
      </c>
      <c r="H1415" s="35" t="s">
        <v>151</v>
      </c>
      <c r="I1415" s="36" t="s">
        <v>6113</v>
      </c>
      <c r="J1415" s="37"/>
      <c r="K1415" s="38"/>
      <c r="L1415" s="38"/>
      <c r="M1415" s="36" t="s">
        <v>60</v>
      </c>
      <c r="N1415" s="15" t="s">
        <v>152</v>
      </c>
      <c r="O1415" s="36" t="s">
        <v>5956</v>
      </c>
      <c r="P1415" s="36" t="str">
        <f t="shared" si="44"/>
        <v>API_模糊檢索_巷弄清單_高雄市</v>
      </c>
      <c r="Q1415" s="36" t="s">
        <v>6112</v>
      </c>
      <c r="R1415" s="29" t="str">
        <f t="shared" si="45"/>
        <v>2dms_addrm_v1_ListRoadLaneAlley_E</v>
      </c>
      <c r="U1415" s="27" t="str">
        <f>_xlfn.XLOOKUP(表格1[[#This Row],[服務類別(英)]],參考2_服務標準對照!$B:$B,參考2_服務標準對照!$C:$C,"")&amp;""</f>
        <v/>
      </c>
      <c r="V1415" s="29" t="s">
        <v>20</v>
      </c>
      <c r="W1415" s="29" t="s">
        <v>79</v>
      </c>
      <c r="X1415" s="29" t="s">
        <v>81</v>
      </c>
      <c r="Y1415" s="36" t="s">
        <v>83</v>
      </c>
      <c r="Z1415" s="36" t="s">
        <v>157</v>
      </c>
      <c r="AA1415" s="36" t="s">
        <v>6078</v>
      </c>
      <c r="AB1415" s="36"/>
      <c r="AC1415" s="36"/>
      <c r="AD1415" s="29" t="s">
        <v>96</v>
      </c>
      <c r="AE1415" s="36" t="str">
        <f>_xlfn.XLOOKUP(表格1[[#This Row],[唯一識別碼]],API清冊0707!B:B,API清冊0707!T:T,"")&amp;""</f>
        <v>有下拉選單</v>
      </c>
    </row>
    <row r="1416" spans="1:31" ht="142.5" customHeight="1" x14ac:dyDescent="0.4">
      <c r="A1416" s="29" t="s">
        <v>6114</v>
      </c>
      <c r="B1416" s="29" t="s">
        <v>31</v>
      </c>
      <c r="C1416" s="29" t="s">
        <v>6073</v>
      </c>
      <c r="D1416" s="29" t="s">
        <v>6115</v>
      </c>
      <c r="E1416" s="29" t="s">
        <v>6116</v>
      </c>
      <c r="F1416" s="29" t="s">
        <v>6117</v>
      </c>
      <c r="G1416" s="35" t="s">
        <v>31</v>
      </c>
      <c r="H1416" s="35" t="s">
        <v>151</v>
      </c>
      <c r="I1416" s="36" t="s">
        <v>6118</v>
      </c>
      <c r="J1416" s="37"/>
      <c r="K1416" s="38"/>
      <c r="L1416" s="38"/>
      <c r="M1416" s="36" t="s">
        <v>60</v>
      </c>
      <c r="N1416" s="15" t="s">
        <v>152</v>
      </c>
      <c r="O1416" s="36" t="s">
        <v>5956</v>
      </c>
      <c r="P1416" s="36" t="str">
        <f t="shared" si="44"/>
        <v>API_模糊檢索_巷弄清單_基隆市</v>
      </c>
      <c r="Q1416" s="36" t="s">
        <v>6117</v>
      </c>
      <c r="R1416" s="29" t="str">
        <f t="shared" si="45"/>
        <v>2dms_addrm_v1_ListRoadLaneAlley_C</v>
      </c>
      <c r="U1416" s="27" t="str">
        <f>_xlfn.XLOOKUP(表格1[[#This Row],[服務類別(英)]],參考2_服務標準對照!$B:$B,參考2_服務標準對照!$C:$C,"")&amp;""</f>
        <v/>
      </c>
      <c r="V1416" s="29" t="s">
        <v>20</v>
      </c>
      <c r="W1416" s="29" t="s">
        <v>79</v>
      </c>
      <c r="X1416" s="29" t="s">
        <v>81</v>
      </c>
      <c r="Y1416" s="36" t="s">
        <v>83</v>
      </c>
      <c r="Z1416" s="36" t="s">
        <v>157</v>
      </c>
      <c r="AA1416" s="36" t="s">
        <v>6078</v>
      </c>
      <c r="AB1416" s="36"/>
      <c r="AC1416" s="36"/>
      <c r="AD1416" s="29" t="s">
        <v>96</v>
      </c>
      <c r="AE1416" s="36" t="str">
        <f>_xlfn.XLOOKUP(表格1[[#This Row],[唯一識別碼]],API清冊0707!B:B,API清冊0707!T:T,"")&amp;""</f>
        <v>有下拉選單</v>
      </c>
    </row>
    <row r="1417" spans="1:31" ht="142.5" customHeight="1" x14ac:dyDescent="0.4">
      <c r="A1417" s="29" t="s">
        <v>6119</v>
      </c>
      <c r="B1417" s="29" t="s">
        <v>31</v>
      </c>
      <c r="C1417" s="29" t="s">
        <v>6073</v>
      </c>
      <c r="D1417" s="29" t="s">
        <v>6120</v>
      </c>
      <c r="E1417" s="29" t="s">
        <v>6121</v>
      </c>
      <c r="F1417" s="29" t="s">
        <v>6122</v>
      </c>
      <c r="G1417" s="35" t="s">
        <v>31</v>
      </c>
      <c r="H1417" s="35" t="s">
        <v>151</v>
      </c>
      <c r="I1417" s="36" t="s">
        <v>6123</v>
      </c>
      <c r="J1417" s="37"/>
      <c r="K1417" s="38"/>
      <c r="L1417" s="38"/>
      <c r="M1417" s="36" t="s">
        <v>60</v>
      </c>
      <c r="N1417" s="15" t="s">
        <v>152</v>
      </c>
      <c r="O1417" s="36" t="s">
        <v>5956</v>
      </c>
      <c r="P1417" s="36" t="str">
        <f t="shared" si="44"/>
        <v>API_模糊檢索_巷弄清單_連江縣</v>
      </c>
      <c r="Q1417" s="36" t="s">
        <v>6122</v>
      </c>
      <c r="R1417" s="29" t="str">
        <f t="shared" si="45"/>
        <v>2dms_addrm_v1_ListRoadLaneAlley_Z</v>
      </c>
      <c r="U1417" s="27" t="str">
        <f>_xlfn.XLOOKUP(表格1[[#This Row],[服務類別(英)]],參考2_服務標準對照!$B:$B,參考2_服務標準對照!$C:$C,"")&amp;""</f>
        <v/>
      </c>
      <c r="V1417" s="29" t="s">
        <v>20</v>
      </c>
      <c r="W1417" s="29" t="s">
        <v>79</v>
      </c>
      <c r="X1417" s="29" t="s">
        <v>81</v>
      </c>
      <c r="Y1417" s="36" t="s">
        <v>83</v>
      </c>
      <c r="Z1417" s="36" t="s">
        <v>157</v>
      </c>
      <c r="AA1417" s="36" t="s">
        <v>6078</v>
      </c>
      <c r="AB1417" s="36"/>
      <c r="AC1417" s="36"/>
      <c r="AD1417" s="29" t="s">
        <v>96</v>
      </c>
      <c r="AE1417" s="36" t="str">
        <f>_xlfn.XLOOKUP(表格1[[#This Row],[唯一識別碼]],API清冊0707!B:B,API清冊0707!T:T,"")&amp;""</f>
        <v>有下拉選單</v>
      </c>
    </row>
    <row r="1418" spans="1:31" ht="142.5" customHeight="1" x14ac:dyDescent="0.4">
      <c r="A1418" s="29" t="s">
        <v>6124</v>
      </c>
      <c r="B1418" s="29" t="s">
        <v>31</v>
      </c>
      <c r="C1418" s="29" t="s">
        <v>6073</v>
      </c>
      <c r="D1418" s="29" t="s">
        <v>6125</v>
      </c>
      <c r="E1418" s="29" t="s">
        <v>6126</v>
      </c>
      <c r="F1418" s="29" t="s">
        <v>6127</v>
      </c>
      <c r="G1418" s="35" t="s">
        <v>31</v>
      </c>
      <c r="H1418" s="35" t="s">
        <v>151</v>
      </c>
      <c r="I1418" s="36" t="s">
        <v>6128</v>
      </c>
      <c r="J1418" s="37"/>
      <c r="K1418" s="38"/>
      <c r="L1418" s="38"/>
      <c r="M1418" s="36" t="s">
        <v>60</v>
      </c>
      <c r="N1418" s="15" t="s">
        <v>152</v>
      </c>
      <c r="O1418" s="36" t="s">
        <v>5956</v>
      </c>
      <c r="P1418" s="36" t="str">
        <f t="shared" si="44"/>
        <v>API_模糊檢索_巷弄清單_雲林縣</v>
      </c>
      <c r="Q1418" s="36" t="s">
        <v>6127</v>
      </c>
      <c r="R1418" s="29" t="str">
        <f t="shared" si="45"/>
        <v>2dms_addrm_v1_ListRoadLaneAlley_P</v>
      </c>
      <c r="U1418" s="27" t="str">
        <f>_xlfn.XLOOKUP(表格1[[#This Row],[服務類別(英)]],參考2_服務標準對照!$B:$B,參考2_服務標準對照!$C:$C,"")&amp;""</f>
        <v/>
      </c>
      <c r="V1418" s="29" t="s">
        <v>20</v>
      </c>
      <c r="W1418" s="29" t="s">
        <v>79</v>
      </c>
      <c r="X1418" s="29" t="s">
        <v>81</v>
      </c>
      <c r="Y1418" s="36" t="s">
        <v>83</v>
      </c>
      <c r="Z1418" s="36" t="s">
        <v>157</v>
      </c>
      <c r="AA1418" s="36" t="s">
        <v>6078</v>
      </c>
      <c r="AB1418" s="36"/>
      <c r="AC1418" s="36"/>
      <c r="AD1418" s="29" t="s">
        <v>96</v>
      </c>
      <c r="AE1418" s="36" t="str">
        <f>_xlfn.XLOOKUP(表格1[[#This Row],[唯一識別碼]],API清冊0707!B:B,API清冊0707!T:T,"")&amp;""</f>
        <v>有下拉選單</v>
      </c>
    </row>
    <row r="1419" spans="1:31" ht="142.5" customHeight="1" x14ac:dyDescent="0.4">
      <c r="A1419" s="29" t="s">
        <v>6129</v>
      </c>
      <c r="B1419" s="29" t="s">
        <v>31</v>
      </c>
      <c r="C1419" s="29" t="s">
        <v>6073</v>
      </c>
      <c r="D1419" s="29" t="s">
        <v>6130</v>
      </c>
      <c r="E1419" s="29" t="s">
        <v>6131</v>
      </c>
      <c r="F1419" s="29" t="s">
        <v>6132</v>
      </c>
      <c r="G1419" s="35" t="s">
        <v>31</v>
      </c>
      <c r="H1419" s="35" t="s">
        <v>151</v>
      </c>
      <c r="I1419" s="36" t="s">
        <v>6133</v>
      </c>
      <c r="J1419" s="37"/>
      <c r="K1419" s="38"/>
      <c r="L1419" s="38"/>
      <c r="M1419" s="36" t="s">
        <v>60</v>
      </c>
      <c r="N1419" s="15" t="s">
        <v>152</v>
      </c>
      <c r="O1419" s="36" t="s">
        <v>5956</v>
      </c>
      <c r="P1419" s="36" t="str">
        <f t="shared" si="44"/>
        <v>API_模糊檢索_巷弄清單_新北市</v>
      </c>
      <c r="Q1419" s="36" t="s">
        <v>6132</v>
      </c>
      <c r="R1419" s="29" t="str">
        <f t="shared" si="45"/>
        <v>2dms_addrm_v1_ListRoadLaneAlley_F</v>
      </c>
      <c r="U1419" s="27" t="str">
        <f>_xlfn.XLOOKUP(表格1[[#This Row],[服務類別(英)]],參考2_服務標準對照!$B:$B,參考2_服務標準對照!$C:$C,"")&amp;""</f>
        <v/>
      </c>
      <c r="V1419" s="29" t="s">
        <v>20</v>
      </c>
      <c r="W1419" s="29" t="s">
        <v>79</v>
      </c>
      <c r="X1419" s="29" t="s">
        <v>81</v>
      </c>
      <c r="Y1419" s="36" t="s">
        <v>83</v>
      </c>
      <c r="Z1419" s="36" t="s">
        <v>157</v>
      </c>
      <c r="AA1419" s="36" t="s">
        <v>6078</v>
      </c>
      <c r="AB1419" s="36"/>
      <c r="AC1419" s="36"/>
      <c r="AD1419" s="29" t="s">
        <v>96</v>
      </c>
      <c r="AE1419" s="36" t="str">
        <f>_xlfn.XLOOKUP(表格1[[#This Row],[唯一識別碼]],API清冊0707!B:B,API清冊0707!T:T,"")&amp;""</f>
        <v>有下拉選單</v>
      </c>
    </row>
    <row r="1420" spans="1:31" ht="142.5" customHeight="1" x14ac:dyDescent="0.4">
      <c r="A1420" s="29" t="s">
        <v>6134</v>
      </c>
      <c r="B1420" s="29" t="s">
        <v>31</v>
      </c>
      <c r="C1420" s="29" t="s">
        <v>6073</v>
      </c>
      <c r="D1420" s="29" t="s">
        <v>6135</v>
      </c>
      <c r="E1420" s="29" t="s">
        <v>6136</v>
      </c>
      <c r="F1420" s="29" t="s">
        <v>6137</v>
      </c>
      <c r="G1420" s="35" t="s">
        <v>31</v>
      </c>
      <c r="H1420" s="35" t="s">
        <v>151</v>
      </c>
      <c r="I1420" s="36" t="s">
        <v>6138</v>
      </c>
      <c r="J1420" s="37"/>
      <c r="K1420" s="38"/>
      <c r="L1420" s="38"/>
      <c r="M1420" s="36" t="s">
        <v>60</v>
      </c>
      <c r="N1420" s="15" t="s">
        <v>152</v>
      </c>
      <c r="O1420" s="36" t="s">
        <v>5956</v>
      </c>
      <c r="P1420" s="36" t="str">
        <f t="shared" si="44"/>
        <v>API_模糊檢索_巷弄清單_新竹市</v>
      </c>
      <c r="Q1420" s="36" t="s">
        <v>6137</v>
      </c>
      <c r="R1420" s="29" t="str">
        <f t="shared" si="45"/>
        <v>2dms_addrm_v1_ListRoadLaneAlley_O</v>
      </c>
      <c r="U1420" s="27" t="str">
        <f>_xlfn.XLOOKUP(表格1[[#This Row],[服務類別(英)]],參考2_服務標準對照!$B:$B,參考2_服務標準對照!$C:$C,"")&amp;""</f>
        <v/>
      </c>
      <c r="V1420" s="29" t="s">
        <v>20</v>
      </c>
      <c r="W1420" s="29" t="s">
        <v>79</v>
      </c>
      <c r="X1420" s="29" t="s">
        <v>81</v>
      </c>
      <c r="Y1420" s="36" t="s">
        <v>83</v>
      </c>
      <c r="Z1420" s="36" t="s">
        <v>157</v>
      </c>
      <c r="AA1420" s="36" t="s">
        <v>6078</v>
      </c>
      <c r="AB1420" s="36"/>
      <c r="AC1420" s="36"/>
      <c r="AD1420" s="29" t="s">
        <v>96</v>
      </c>
      <c r="AE1420" s="36" t="str">
        <f>_xlfn.XLOOKUP(表格1[[#This Row],[唯一識別碼]],API清冊0707!B:B,API清冊0707!T:T,"")&amp;""</f>
        <v>有下拉選單</v>
      </c>
    </row>
    <row r="1421" spans="1:31" ht="126.75" customHeight="1" x14ac:dyDescent="0.4">
      <c r="A1421" s="29" t="s">
        <v>6139</v>
      </c>
      <c r="B1421" s="29" t="s">
        <v>31</v>
      </c>
      <c r="C1421" s="29" t="s">
        <v>6073</v>
      </c>
      <c r="D1421" s="29" t="s">
        <v>6140</v>
      </c>
      <c r="E1421" s="29" t="s">
        <v>6141</v>
      </c>
      <c r="F1421" s="29" t="s">
        <v>6142</v>
      </c>
      <c r="G1421" s="35" t="s">
        <v>31</v>
      </c>
      <c r="H1421" s="35" t="s">
        <v>151</v>
      </c>
      <c r="I1421" s="36" t="s">
        <v>6143</v>
      </c>
      <c r="J1421" s="37"/>
      <c r="K1421" s="38"/>
      <c r="L1421" s="38"/>
      <c r="M1421" s="36" t="s">
        <v>60</v>
      </c>
      <c r="N1421" s="15" t="s">
        <v>152</v>
      </c>
      <c r="O1421" s="36" t="s">
        <v>5956</v>
      </c>
      <c r="P1421" s="36" t="str">
        <f t="shared" si="44"/>
        <v>API_模糊檢索_巷弄清單_新竹縣</v>
      </c>
      <c r="Q1421" s="36" t="s">
        <v>6142</v>
      </c>
      <c r="R1421" s="29" t="str">
        <f t="shared" si="45"/>
        <v>2dms_addrm_v1_ListRoadLaneAlley_J</v>
      </c>
      <c r="U1421" s="27" t="str">
        <f>_xlfn.XLOOKUP(表格1[[#This Row],[服務類別(英)]],參考2_服務標準對照!$B:$B,參考2_服務標準對照!$C:$C,"")&amp;""</f>
        <v/>
      </c>
      <c r="V1421" s="29" t="s">
        <v>20</v>
      </c>
      <c r="W1421" s="29" t="s">
        <v>79</v>
      </c>
      <c r="X1421" s="29" t="s">
        <v>81</v>
      </c>
      <c r="Y1421" s="36" t="s">
        <v>83</v>
      </c>
      <c r="Z1421" s="36" t="s">
        <v>157</v>
      </c>
      <c r="AA1421" s="36" t="s">
        <v>6078</v>
      </c>
      <c r="AB1421" s="36"/>
      <c r="AC1421" s="36"/>
      <c r="AD1421" s="29" t="s">
        <v>96</v>
      </c>
      <c r="AE1421" s="36" t="str">
        <f>_xlfn.XLOOKUP(表格1[[#This Row],[唯一識別碼]],API清冊0707!B:B,API清冊0707!T:T,"")&amp;""</f>
        <v>有下拉選單</v>
      </c>
    </row>
    <row r="1422" spans="1:31" ht="126.75" customHeight="1" x14ac:dyDescent="0.4">
      <c r="A1422" s="29" t="s">
        <v>6144</v>
      </c>
      <c r="B1422" s="29" t="s">
        <v>31</v>
      </c>
      <c r="C1422" s="29" t="s">
        <v>6073</v>
      </c>
      <c r="D1422" s="29" t="s">
        <v>6145</v>
      </c>
      <c r="E1422" s="29" t="s">
        <v>6146</v>
      </c>
      <c r="F1422" s="29" t="s">
        <v>6147</v>
      </c>
      <c r="G1422" s="35" t="s">
        <v>31</v>
      </c>
      <c r="H1422" s="35" t="s">
        <v>151</v>
      </c>
      <c r="I1422" s="36" t="s">
        <v>6148</v>
      </c>
      <c r="J1422" s="37"/>
      <c r="K1422" s="38"/>
      <c r="L1422" s="38"/>
      <c r="M1422" s="36" t="s">
        <v>60</v>
      </c>
      <c r="N1422" s="15" t="s">
        <v>152</v>
      </c>
      <c r="O1422" s="36" t="s">
        <v>5956</v>
      </c>
      <c r="P1422" s="36" t="str">
        <f t="shared" si="44"/>
        <v>API_模糊檢索_巷弄清單_嘉義市</v>
      </c>
      <c r="Q1422" s="36" t="s">
        <v>6147</v>
      </c>
      <c r="R1422" s="29" t="str">
        <f t="shared" si="45"/>
        <v>2dms_addrm_v1_ListRoadLaneAlley_I</v>
      </c>
      <c r="U1422" s="27" t="str">
        <f>_xlfn.XLOOKUP(表格1[[#This Row],[服務類別(英)]],參考2_服務標準對照!$B:$B,參考2_服務標準對照!$C:$C,"")&amp;""</f>
        <v/>
      </c>
      <c r="V1422" s="29" t="s">
        <v>20</v>
      </c>
      <c r="W1422" s="29" t="s">
        <v>79</v>
      </c>
      <c r="X1422" s="29" t="s">
        <v>81</v>
      </c>
      <c r="Y1422" s="36" t="s">
        <v>83</v>
      </c>
      <c r="Z1422" s="36" t="s">
        <v>157</v>
      </c>
      <c r="AA1422" s="36" t="s">
        <v>6078</v>
      </c>
      <c r="AB1422" s="36"/>
      <c r="AC1422" s="36"/>
      <c r="AD1422" s="29" t="s">
        <v>96</v>
      </c>
      <c r="AE1422" s="36" t="str">
        <f>_xlfn.XLOOKUP(表格1[[#This Row],[唯一識別碼]],API清冊0707!B:B,API清冊0707!T:T,"")&amp;""</f>
        <v>有下拉選單</v>
      </c>
    </row>
    <row r="1423" spans="1:31" ht="142.5" customHeight="1" x14ac:dyDescent="0.4">
      <c r="A1423" s="29" t="s">
        <v>6149</v>
      </c>
      <c r="B1423" s="29" t="s">
        <v>31</v>
      </c>
      <c r="C1423" s="29" t="s">
        <v>6073</v>
      </c>
      <c r="D1423" s="29" t="s">
        <v>6150</v>
      </c>
      <c r="E1423" s="29" t="s">
        <v>6151</v>
      </c>
      <c r="F1423" s="29" t="s">
        <v>6152</v>
      </c>
      <c r="G1423" s="35" t="s">
        <v>31</v>
      </c>
      <c r="H1423" s="35" t="s">
        <v>151</v>
      </c>
      <c r="I1423" s="36" t="s">
        <v>6153</v>
      </c>
      <c r="J1423" s="37"/>
      <c r="K1423" s="38"/>
      <c r="L1423" s="38"/>
      <c r="M1423" s="36" t="s">
        <v>60</v>
      </c>
      <c r="N1423" s="15" t="s">
        <v>152</v>
      </c>
      <c r="O1423" s="36" t="s">
        <v>5956</v>
      </c>
      <c r="P1423" s="36" t="str">
        <f t="shared" si="44"/>
        <v>API_模糊檢索_巷弄清單_嘉義縣</v>
      </c>
      <c r="Q1423" s="36" t="s">
        <v>6152</v>
      </c>
      <c r="R1423" s="29" t="str">
        <f t="shared" si="45"/>
        <v>2dms_addrm_v1_ListRoadLaneAlley_Q</v>
      </c>
      <c r="U1423" s="27" t="str">
        <f>_xlfn.XLOOKUP(表格1[[#This Row],[服務類別(英)]],參考2_服務標準對照!$B:$B,參考2_服務標準對照!$C:$C,"")&amp;""</f>
        <v/>
      </c>
      <c r="V1423" s="29" t="s">
        <v>20</v>
      </c>
      <c r="W1423" s="29" t="s">
        <v>79</v>
      </c>
      <c r="X1423" s="29" t="s">
        <v>81</v>
      </c>
      <c r="Y1423" s="36" t="s">
        <v>83</v>
      </c>
      <c r="Z1423" s="36" t="s">
        <v>157</v>
      </c>
      <c r="AA1423" s="36" t="s">
        <v>6078</v>
      </c>
      <c r="AB1423" s="36"/>
      <c r="AC1423" s="36"/>
      <c r="AD1423" s="29" t="s">
        <v>96</v>
      </c>
      <c r="AE1423" s="36" t="str">
        <f>_xlfn.XLOOKUP(表格1[[#This Row],[唯一識別碼]],API清冊0707!B:B,API清冊0707!T:T,"")&amp;""</f>
        <v>有下拉選單</v>
      </c>
    </row>
    <row r="1424" spans="1:31" ht="142.5" customHeight="1" x14ac:dyDescent="0.4">
      <c r="A1424" s="29" t="s">
        <v>6154</v>
      </c>
      <c r="B1424" s="29" t="s">
        <v>31</v>
      </c>
      <c r="C1424" s="29" t="s">
        <v>6073</v>
      </c>
      <c r="D1424" s="29" t="s">
        <v>6155</v>
      </c>
      <c r="E1424" s="29" t="s">
        <v>6156</v>
      </c>
      <c r="F1424" s="29" t="s">
        <v>6157</v>
      </c>
      <c r="G1424" s="35" t="s">
        <v>31</v>
      </c>
      <c r="H1424" s="35" t="s">
        <v>151</v>
      </c>
      <c r="I1424" s="36" t="s">
        <v>6158</v>
      </c>
      <c r="J1424" s="37"/>
      <c r="K1424" s="38"/>
      <c r="L1424" s="38"/>
      <c r="M1424" s="36" t="s">
        <v>60</v>
      </c>
      <c r="N1424" s="15" t="s">
        <v>152</v>
      </c>
      <c r="O1424" s="36" t="s">
        <v>5956</v>
      </c>
      <c r="P1424" s="36" t="str">
        <f t="shared" si="44"/>
        <v>API_模糊檢索_巷弄清單_彰化縣</v>
      </c>
      <c r="Q1424" s="36" t="s">
        <v>6157</v>
      </c>
      <c r="R1424" s="29" t="str">
        <f t="shared" si="45"/>
        <v>2dms_addrm_v1_ListRoadLaneAlley_N</v>
      </c>
      <c r="V1424" s="29" t="s">
        <v>20</v>
      </c>
      <c r="W1424" s="29" t="s">
        <v>79</v>
      </c>
      <c r="X1424" s="29" t="s">
        <v>81</v>
      </c>
      <c r="Y1424" s="36" t="s">
        <v>83</v>
      </c>
      <c r="Z1424" s="36" t="s">
        <v>157</v>
      </c>
      <c r="AA1424" s="36" t="s">
        <v>6078</v>
      </c>
      <c r="AB1424" s="36"/>
      <c r="AC1424" s="36"/>
      <c r="AD1424" s="29" t="s">
        <v>96</v>
      </c>
      <c r="AE1424" s="36" t="str">
        <f>_xlfn.XLOOKUP(表格1[[#This Row],[唯一識別碼]],API清冊0707!B:B,API清冊0707!T:T,"")&amp;""</f>
        <v>有下拉選單</v>
      </c>
    </row>
    <row r="1425" spans="1:31" ht="142.5" customHeight="1" x14ac:dyDescent="0.4">
      <c r="A1425" s="29" t="s">
        <v>6159</v>
      </c>
      <c r="B1425" s="29" t="s">
        <v>31</v>
      </c>
      <c r="C1425" s="29" t="s">
        <v>6073</v>
      </c>
      <c r="D1425" s="29" t="s">
        <v>6160</v>
      </c>
      <c r="E1425" s="29" t="s">
        <v>6161</v>
      </c>
      <c r="F1425" s="29" t="s">
        <v>6162</v>
      </c>
      <c r="G1425" s="35" t="s">
        <v>31</v>
      </c>
      <c r="H1425" s="35" t="s">
        <v>151</v>
      </c>
      <c r="I1425" s="36" t="s">
        <v>6163</v>
      </c>
      <c r="J1425" s="37"/>
      <c r="K1425" s="38"/>
      <c r="L1425" s="38"/>
      <c r="M1425" s="36" t="s">
        <v>60</v>
      </c>
      <c r="N1425" s="15" t="s">
        <v>152</v>
      </c>
      <c r="O1425" s="36" t="s">
        <v>5956</v>
      </c>
      <c r="P1425" s="36" t="str">
        <f t="shared" si="44"/>
        <v>API_模糊檢索_巷弄清單_臺中市</v>
      </c>
      <c r="Q1425" s="36" t="s">
        <v>6162</v>
      </c>
      <c r="R1425" s="29" t="str">
        <f t="shared" si="45"/>
        <v>2dms_addrm_v1_ListRoadLaneAlley_B</v>
      </c>
      <c r="U1425" s="27" t="str">
        <f>_xlfn.XLOOKUP(表格1[[#This Row],[服務類別(英)]],參考2_服務標準對照!$B:$B,參考2_服務標準對照!$C:$C,"")&amp;""</f>
        <v/>
      </c>
      <c r="V1425" s="29" t="s">
        <v>20</v>
      </c>
      <c r="W1425" s="29" t="s">
        <v>79</v>
      </c>
      <c r="X1425" s="29" t="s">
        <v>81</v>
      </c>
      <c r="Y1425" s="36" t="s">
        <v>83</v>
      </c>
      <c r="Z1425" s="36" t="s">
        <v>157</v>
      </c>
      <c r="AA1425" s="36" t="s">
        <v>6078</v>
      </c>
      <c r="AB1425" s="36"/>
      <c r="AC1425" s="36"/>
      <c r="AD1425" s="29" t="s">
        <v>96</v>
      </c>
      <c r="AE1425" s="36" t="str">
        <f>_xlfn.XLOOKUP(表格1[[#This Row],[唯一識別碼]],API清冊0707!B:B,API清冊0707!T:T,"")&amp;""</f>
        <v>有下拉選單</v>
      </c>
    </row>
    <row r="1426" spans="1:31" ht="142.5" customHeight="1" x14ac:dyDescent="0.4">
      <c r="A1426" s="29" t="s">
        <v>6164</v>
      </c>
      <c r="B1426" s="29" t="s">
        <v>31</v>
      </c>
      <c r="C1426" s="29" t="s">
        <v>6073</v>
      </c>
      <c r="D1426" s="29" t="s">
        <v>6165</v>
      </c>
      <c r="E1426" s="29" t="s">
        <v>6166</v>
      </c>
      <c r="F1426" s="29" t="s">
        <v>6167</v>
      </c>
      <c r="G1426" s="35" t="s">
        <v>31</v>
      </c>
      <c r="H1426" s="35" t="s">
        <v>151</v>
      </c>
      <c r="I1426" s="36" t="s">
        <v>6168</v>
      </c>
      <c r="J1426" s="37"/>
      <c r="K1426" s="38"/>
      <c r="L1426" s="38"/>
      <c r="M1426" s="36" t="s">
        <v>60</v>
      </c>
      <c r="N1426" s="15" t="s">
        <v>152</v>
      </c>
      <c r="O1426" s="36" t="s">
        <v>5956</v>
      </c>
      <c r="P1426" s="36" t="str">
        <f t="shared" si="44"/>
        <v>API_模糊檢索_巷弄清單_臺北市</v>
      </c>
      <c r="Q1426" s="36" t="s">
        <v>6167</v>
      </c>
      <c r="R1426" s="29" t="str">
        <f t="shared" si="45"/>
        <v>2dms_addrm_v1_ListRoadLaneAlley_A</v>
      </c>
      <c r="U1426" s="27" t="str">
        <f>_xlfn.XLOOKUP(表格1[[#This Row],[服務類別(英)]],參考2_服務標準對照!$B:$B,參考2_服務標準對照!$C:$C,"")&amp;""</f>
        <v/>
      </c>
      <c r="V1426" s="29" t="s">
        <v>20</v>
      </c>
      <c r="W1426" s="29" t="s">
        <v>79</v>
      </c>
      <c r="X1426" s="29" t="s">
        <v>81</v>
      </c>
      <c r="Y1426" s="36" t="s">
        <v>83</v>
      </c>
      <c r="Z1426" s="36" t="s">
        <v>157</v>
      </c>
      <c r="AA1426" s="36" t="s">
        <v>6078</v>
      </c>
      <c r="AB1426" s="36"/>
      <c r="AC1426" s="36"/>
      <c r="AD1426" s="29" t="s">
        <v>96</v>
      </c>
      <c r="AE1426" s="36" t="str">
        <f>_xlfn.XLOOKUP(表格1[[#This Row],[唯一識別碼]],API清冊0707!B:B,API清冊0707!T:T,"")&amp;""</f>
        <v>有下拉選單</v>
      </c>
    </row>
    <row r="1427" spans="1:31" ht="142.5" customHeight="1" x14ac:dyDescent="0.4">
      <c r="A1427" s="29" t="s">
        <v>6169</v>
      </c>
      <c r="B1427" s="29" t="s">
        <v>31</v>
      </c>
      <c r="C1427" s="29" t="s">
        <v>6073</v>
      </c>
      <c r="D1427" s="29" t="s">
        <v>6170</v>
      </c>
      <c r="E1427" s="29" t="s">
        <v>6171</v>
      </c>
      <c r="F1427" s="29" t="s">
        <v>6172</v>
      </c>
      <c r="G1427" s="35" t="s">
        <v>31</v>
      </c>
      <c r="H1427" s="35" t="s">
        <v>151</v>
      </c>
      <c r="I1427" s="36" t="s">
        <v>6173</v>
      </c>
      <c r="J1427" s="37"/>
      <c r="K1427" s="38"/>
      <c r="L1427" s="38"/>
      <c r="M1427" s="36" t="s">
        <v>60</v>
      </c>
      <c r="N1427" s="15" t="s">
        <v>152</v>
      </c>
      <c r="O1427" s="36" t="s">
        <v>5956</v>
      </c>
      <c r="P1427" s="36" t="str">
        <f t="shared" si="44"/>
        <v>API_模糊檢索_巷弄清單_臺東縣</v>
      </c>
      <c r="Q1427" s="36" t="s">
        <v>6172</v>
      </c>
      <c r="R1427" s="29" t="str">
        <f t="shared" si="45"/>
        <v>2dms_addrm_v1_ListRoadLaneAlley_V</v>
      </c>
      <c r="U1427" s="27" t="str">
        <f>_xlfn.XLOOKUP(表格1[[#This Row],[服務類別(英)]],參考2_服務標準對照!$B:$B,參考2_服務標準對照!$C:$C,"")&amp;""</f>
        <v/>
      </c>
      <c r="V1427" s="29" t="s">
        <v>20</v>
      </c>
      <c r="W1427" s="29" t="s">
        <v>79</v>
      </c>
      <c r="X1427" s="29" t="s">
        <v>81</v>
      </c>
      <c r="Y1427" s="36" t="s">
        <v>83</v>
      </c>
      <c r="Z1427" s="36" t="s">
        <v>157</v>
      </c>
      <c r="AA1427" s="36" t="s">
        <v>6078</v>
      </c>
      <c r="AB1427" s="36"/>
      <c r="AC1427" s="36"/>
      <c r="AD1427" s="29" t="s">
        <v>96</v>
      </c>
      <c r="AE1427" s="36" t="str">
        <f>_xlfn.XLOOKUP(表格1[[#This Row],[唯一識別碼]],API清冊0707!B:B,API清冊0707!T:T,"")&amp;""</f>
        <v>有下拉選單</v>
      </c>
    </row>
    <row r="1428" spans="1:31" ht="142.5" customHeight="1" x14ac:dyDescent="0.4">
      <c r="A1428" s="29" t="s">
        <v>6174</v>
      </c>
      <c r="B1428" s="29" t="s">
        <v>31</v>
      </c>
      <c r="C1428" s="29" t="s">
        <v>6073</v>
      </c>
      <c r="D1428" s="29" t="s">
        <v>6175</v>
      </c>
      <c r="E1428" s="29" t="s">
        <v>6176</v>
      </c>
      <c r="F1428" s="29" t="s">
        <v>6177</v>
      </c>
      <c r="G1428" s="35" t="s">
        <v>31</v>
      </c>
      <c r="H1428" s="35" t="s">
        <v>151</v>
      </c>
      <c r="I1428" s="36" t="s">
        <v>6178</v>
      </c>
      <c r="J1428" s="37"/>
      <c r="K1428" s="38"/>
      <c r="L1428" s="38"/>
      <c r="M1428" s="36" t="s">
        <v>60</v>
      </c>
      <c r="N1428" s="15" t="s">
        <v>152</v>
      </c>
      <c r="O1428" s="36" t="s">
        <v>5956</v>
      </c>
      <c r="P1428" s="36" t="str">
        <f t="shared" si="44"/>
        <v>API_模糊檢索_巷弄清單_臺南市</v>
      </c>
      <c r="Q1428" s="36" t="s">
        <v>6177</v>
      </c>
      <c r="R1428" s="29" t="str">
        <f t="shared" si="45"/>
        <v>2dms_addrm_v1_ListRoadLaneAlley_D</v>
      </c>
      <c r="U1428" s="27" t="str">
        <f>_xlfn.XLOOKUP(表格1[[#This Row],[服務類別(英)]],參考2_服務標準對照!$B:$B,參考2_服務標準對照!$C:$C,"")&amp;""</f>
        <v/>
      </c>
      <c r="V1428" s="29" t="s">
        <v>20</v>
      </c>
      <c r="W1428" s="29" t="s">
        <v>79</v>
      </c>
      <c r="X1428" s="29" t="s">
        <v>81</v>
      </c>
      <c r="Y1428" s="36" t="s">
        <v>83</v>
      </c>
      <c r="Z1428" s="36" t="s">
        <v>157</v>
      </c>
      <c r="AA1428" s="36" t="s">
        <v>6078</v>
      </c>
      <c r="AB1428" s="36"/>
      <c r="AC1428" s="36"/>
      <c r="AD1428" s="29" t="s">
        <v>96</v>
      </c>
      <c r="AE1428" s="36" t="str">
        <f>_xlfn.XLOOKUP(表格1[[#This Row],[唯一識別碼]],API清冊0707!B:B,API清冊0707!T:T,"")&amp;""</f>
        <v>有下拉選單</v>
      </c>
    </row>
    <row r="1429" spans="1:31" ht="142.5" customHeight="1" x14ac:dyDescent="0.4">
      <c r="A1429" s="29" t="s">
        <v>6179</v>
      </c>
      <c r="B1429" s="29" t="s">
        <v>31</v>
      </c>
      <c r="C1429" s="29" t="s">
        <v>6073</v>
      </c>
      <c r="D1429" s="29" t="s">
        <v>6180</v>
      </c>
      <c r="E1429" s="29" t="s">
        <v>6181</v>
      </c>
      <c r="F1429" s="29" t="s">
        <v>6182</v>
      </c>
      <c r="G1429" s="35" t="s">
        <v>31</v>
      </c>
      <c r="H1429" s="35" t="s">
        <v>151</v>
      </c>
      <c r="I1429" s="36" t="s">
        <v>6183</v>
      </c>
      <c r="J1429" s="37"/>
      <c r="K1429" s="38"/>
      <c r="L1429" s="38"/>
      <c r="M1429" s="36" t="s">
        <v>60</v>
      </c>
      <c r="N1429" s="15" t="s">
        <v>152</v>
      </c>
      <c r="O1429" s="36" t="s">
        <v>5956</v>
      </c>
      <c r="P1429" s="36" t="str">
        <f t="shared" si="44"/>
        <v>API_模糊檢索_巷弄清單_澎湖縣</v>
      </c>
      <c r="Q1429" s="36" t="s">
        <v>6182</v>
      </c>
      <c r="R1429" s="29" t="str">
        <f t="shared" si="45"/>
        <v>2dms_addrm_v1_ListRoadLaneAlley_X</v>
      </c>
      <c r="U1429" s="27" t="str">
        <f>_xlfn.XLOOKUP(表格1[[#This Row],[服務類別(英)]],參考2_服務標準對照!$B:$B,參考2_服務標準對照!$C:$C,"")&amp;""</f>
        <v/>
      </c>
      <c r="V1429" s="29" t="s">
        <v>20</v>
      </c>
      <c r="W1429" s="29" t="s">
        <v>79</v>
      </c>
      <c r="X1429" s="29" t="s">
        <v>81</v>
      </c>
      <c r="Y1429" s="36" t="s">
        <v>83</v>
      </c>
      <c r="Z1429" s="36" t="s">
        <v>157</v>
      </c>
      <c r="AA1429" s="36" t="s">
        <v>6078</v>
      </c>
      <c r="AB1429" s="36"/>
      <c r="AC1429" s="36"/>
      <c r="AD1429" s="29" t="s">
        <v>96</v>
      </c>
      <c r="AE1429" s="36" t="str">
        <f>_xlfn.XLOOKUP(表格1[[#This Row],[唯一識別碼]],API清冊0707!B:B,API清冊0707!T:T,"")&amp;""</f>
        <v>有下拉選單</v>
      </c>
    </row>
    <row r="1430" spans="1:31" ht="95.25" customHeight="1" x14ac:dyDescent="0.4">
      <c r="A1430" s="29" t="s">
        <v>6184</v>
      </c>
      <c r="B1430" s="29"/>
      <c r="C1430" s="29"/>
      <c r="D1430" s="29" t="s">
        <v>6185</v>
      </c>
      <c r="E1430" s="29" t="s">
        <v>6186</v>
      </c>
      <c r="F1430" s="29" t="s">
        <v>6187</v>
      </c>
      <c r="G1430" s="35"/>
      <c r="H1430" s="35" t="s">
        <v>151</v>
      </c>
      <c r="I1430" s="36" t="s">
        <v>6184</v>
      </c>
      <c r="J1430" s="37"/>
      <c r="K1430" s="38"/>
      <c r="L1430" s="38"/>
      <c r="M1430" s="36" t="s">
        <v>60</v>
      </c>
      <c r="N1430" s="15" t="s">
        <v>152</v>
      </c>
      <c r="O1430" s="36" t="s">
        <v>5956</v>
      </c>
      <c r="P1430" s="36" t="str">
        <f t="shared" si="44"/>
        <v>API_模糊檢索_點坐標回傳門牌_全國</v>
      </c>
      <c r="Q1430" s="36" t="s">
        <v>6187</v>
      </c>
      <c r="R1430" s="29" t="str">
        <f t="shared" si="45"/>
        <v>2dms_addrm_v1_PointQueryAddr</v>
      </c>
      <c r="U1430" s="27" t="str">
        <f>_xlfn.XLOOKUP(表格1[[#This Row],[服務類別(英)]],參考2_服務標準對照!$B:$B,參考2_服務標準對照!$C:$C,"")&amp;""</f>
        <v/>
      </c>
      <c r="V1430" s="29" t="s">
        <v>20</v>
      </c>
      <c r="W1430" s="29" t="s">
        <v>79</v>
      </c>
      <c r="X1430" s="29" t="s">
        <v>81</v>
      </c>
      <c r="Y1430" s="36" t="s">
        <v>83</v>
      </c>
      <c r="Z1430" s="36" t="s">
        <v>157</v>
      </c>
      <c r="AA1430" s="36" t="s">
        <v>6188</v>
      </c>
      <c r="AB1430" s="36"/>
      <c r="AC1430" s="36"/>
      <c r="AD1430" s="29" t="s">
        <v>119</v>
      </c>
      <c r="AE1430" s="36" t="str">
        <f>_xlfn.XLOOKUP(表格1[[#This Row],[唯一識別碼]],API清冊0707!B:B,API清冊0707!T:T,"")&amp;""</f>
        <v>無下拉選單</v>
      </c>
    </row>
    <row r="1431" spans="1:31" ht="95.25" customHeight="1" x14ac:dyDescent="0.4">
      <c r="A1431" s="29" t="s">
        <v>6189</v>
      </c>
      <c r="B1431" s="29"/>
      <c r="C1431" s="29"/>
      <c r="D1431" s="29" t="s">
        <v>6190</v>
      </c>
      <c r="E1431" s="29" t="s">
        <v>6191</v>
      </c>
      <c r="F1431" s="29" t="s">
        <v>6192</v>
      </c>
      <c r="G1431" s="35"/>
      <c r="H1431" s="35" t="s">
        <v>151</v>
      </c>
      <c r="I1431" s="36" t="s">
        <v>6189</v>
      </c>
      <c r="J1431" s="37"/>
      <c r="K1431" s="38"/>
      <c r="L1431" s="38"/>
      <c r="M1431" s="36" t="s">
        <v>60</v>
      </c>
      <c r="N1431" s="15" t="s">
        <v>152</v>
      </c>
      <c r="O1431" s="36" t="s">
        <v>5956</v>
      </c>
      <c r="P1431" s="36" t="str">
        <f t="shared" si="44"/>
        <v>API_模糊檢索_線坐標回傳門牌_全國</v>
      </c>
      <c r="Q1431" s="36" t="s">
        <v>6192</v>
      </c>
      <c r="R1431" s="29" t="str">
        <f t="shared" si="45"/>
        <v>2dms_addrm_v1_LineQueryAddr</v>
      </c>
      <c r="U1431" s="27" t="str">
        <f>_xlfn.XLOOKUP(表格1[[#This Row],[服務類別(英)]],參考2_服務標準對照!$B:$B,參考2_服務標準對照!$C:$C,"")&amp;""</f>
        <v/>
      </c>
      <c r="V1431" s="29" t="s">
        <v>20</v>
      </c>
      <c r="W1431" s="29" t="s">
        <v>79</v>
      </c>
      <c r="X1431" s="29" t="s">
        <v>81</v>
      </c>
      <c r="Y1431" s="36" t="s">
        <v>83</v>
      </c>
      <c r="Z1431" s="36" t="s">
        <v>157</v>
      </c>
      <c r="AA1431" s="36" t="s">
        <v>6188</v>
      </c>
      <c r="AB1431" s="36"/>
      <c r="AC1431" s="36"/>
      <c r="AD1431" s="29" t="s">
        <v>119</v>
      </c>
      <c r="AE1431" s="36" t="str">
        <f>_xlfn.XLOOKUP(表格1[[#This Row],[唯一識別碼]],API清冊0707!B:B,API清冊0707!T:T,"")&amp;""</f>
        <v>無下拉選單</v>
      </c>
    </row>
    <row r="1432" spans="1:31" ht="111" customHeight="1" x14ac:dyDescent="0.4">
      <c r="A1432" s="29" t="s">
        <v>6193</v>
      </c>
      <c r="B1432" s="29"/>
      <c r="C1432" s="29"/>
      <c r="D1432" s="29" t="s">
        <v>6194</v>
      </c>
      <c r="E1432" s="29" t="s">
        <v>6195</v>
      </c>
      <c r="F1432" s="29" t="s">
        <v>6196</v>
      </c>
      <c r="G1432" s="35"/>
      <c r="H1432" s="35" t="s">
        <v>151</v>
      </c>
      <c r="I1432" s="36" t="s">
        <v>6193</v>
      </c>
      <c r="J1432" s="37"/>
      <c r="K1432" s="38"/>
      <c r="L1432" s="38"/>
      <c r="M1432" s="36" t="s">
        <v>60</v>
      </c>
      <c r="N1432" s="15" t="s">
        <v>152</v>
      </c>
      <c r="O1432" s="36" t="s">
        <v>5956</v>
      </c>
      <c r="P1432" s="36" t="str">
        <f t="shared" si="44"/>
        <v>API_模糊檢索_面坐標回傳門牌_全國</v>
      </c>
      <c r="Q1432" s="36" t="s">
        <v>6196</v>
      </c>
      <c r="R1432" s="29" t="str">
        <f t="shared" si="45"/>
        <v>2dms_addrm_v1_PolygonQueryAddr</v>
      </c>
      <c r="U1432" s="27" t="str">
        <f>_xlfn.XLOOKUP(表格1[[#This Row],[服務類別(英)]],參考2_服務標準對照!$B:$B,參考2_服務標準對照!$C:$C,"")&amp;""</f>
        <v/>
      </c>
      <c r="V1432" s="29" t="s">
        <v>20</v>
      </c>
      <c r="W1432" s="29" t="s">
        <v>79</v>
      </c>
      <c r="X1432" s="29" t="s">
        <v>81</v>
      </c>
      <c r="Y1432" s="36" t="s">
        <v>83</v>
      </c>
      <c r="Z1432" s="36" t="s">
        <v>157</v>
      </c>
      <c r="AA1432" s="36" t="s">
        <v>6188</v>
      </c>
      <c r="AB1432" s="36"/>
      <c r="AC1432" s="36"/>
      <c r="AD1432" s="29" t="s">
        <v>119</v>
      </c>
      <c r="AE1432" s="36" t="str">
        <f>_xlfn.XLOOKUP(表格1[[#This Row],[唯一識別碼]],API清冊0707!B:B,API清冊0707!T:T,"")&amp;""</f>
        <v>無下拉選單</v>
      </c>
    </row>
  </sheetData>
  <phoneticPr fontId="13"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1"/>
  <sheetViews>
    <sheetView zoomScale="75" zoomScaleNormal="75" workbookViewId="0">
      <selection activeCell="D34" sqref="D34"/>
    </sheetView>
  </sheetViews>
  <sheetFormatPr defaultColWidth="8.6328125" defaultRowHeight="17" x14ac:dyDescent="0.4"/>
  <cols>
    <col min="1" max="1" width="5.08984375" customWidth="1"/>
    <col min="2" max="2" width="32.36328125" customWidth="1"/>
    <col min="3" max="3" width="67" style="1" customWidth="1"/>
    <col min="4" max="4" width="81.36328125" style="1" customWidth="1"/>
    <col min="5" max="5" width="81.26953125" customWidth="1"/>
    <col min="6" max="6" width="32.7265625" customWidth="1"/>
  </cols>
  <sheetData>
    <row r="1" spans="1:7" ht="17.25" customHeight="1" x14ac:dyDescent="0.4">
      <c r="A1" s="2" t="s">
        <v>22</v>
      </c>
      <c r="B1" s="3"/>
      <c r="C1" s="4"/>
      <c r="D1" s="7"/>
      <c r="E1" t="s">
        <v>25</v>
      </c>
    </row>
    <row r="2" spans="1:7" ht="17.25" customHeight="1" x14ac:dyDescent="0.4">
      <c r="A2" s="2" t="str">
        <f t="array" ref="A2:A31">_xlfn.MAP(_xlfn.SEQUENCE(30),_xlfn.LAMBDA(_xlpm.n,SUBSTITUTE(ADDRESS(1,_xlpm.n,4),"1","")))</f>
        <v>A</v>
      </c>
      <c r="B2" s="8" t="s">
        <v>26</v>
      </c>
      <c r="C2" s="40" t="s">
        <v>27</v>
      </c>
      <c r="D2" s="11" t="s">
        <v>28</v>
      </c>
      <c r="E2" s="12" t="s">
        <v>29</v>
      </c>
    </row>
    <row r="3" spans="1:7" ht="17.25" customHeight="1" x14ac:dyDescent="0.4">
      <c r="A3" s="2" t="str">
        <v>B</v>
      </c>
      <c r="B3" s="8" t="s">
        <v>26</v>
      </c>
      <c r="C3" s="40" t="s">
        <v>30</v>
      </c>
      <c r="D3" s="11" t="s">
        <v>31</v>
      </c>
    </row>
    <row r="4" spans="1:7" ht="17.25" customHeight="1" x14ac:dyDescent="0.4">
      <c r="A4" s="2" t="str">
        <v>C</v>
      </c>
      <c r="B4" s="8" t="s">
        <v>26</v>
      </c>
      <c r="C4" s="40" t="s">
        <v>32</v>
      </c>
      <c r="D4" s="13" t="s">
        <v>33</v>
      </c>
    </row>
    <row r="5" spans="1:7" ht="17.25" customHeight="1" x14ac:dyDescent="0.4">
      <c r="A5" s="2" t="str">
        <v>D</v>
      </c>
      <c r="B5" s="8" t="s">
        <v>34</v>
      </c>
      <c r="C5" s="41" t="s">
        <v>35</v>
      </c>
      <c r="D5" s="15" t="s">
        <v>37</v>
      </c>
    </row>
    <row r="6" spans="1:7" ht="17.25" customHeight="1" x14ac:dyDescent="0.4">
      <c r="A6" s="2" t="str">
        <v>E</v>
      </c>
      <c r="B6" s="8" t="s">
        <v>34</v>
      </c>
      <c r="C6" s="40" t="s">
        <v>38</v>
      </c>
      <c r="D6" s="11" t="s">
        <v>40</v>
      </c>
    </row>
    <row r="7" spans="1:7" ht="17.25" customHeight="1" x14ac:dyDescent="0.4">
      <c r="A7" s="2" t="str">
        <v>F</v>
      </c>
      <c r="B7" s="8" t="s">
        <v>34</v>
      </c>
      <c r="C7" s="40" t="s">
        <v>41</v>
      </c>
      <c r="D7" s="11" t="s">
        <v>42</v>
      </c>
      <c r="E7" t="s">
        <v>43</v>
      </c>
      <c r="F7" t="s">
        <v>44</v>
      </c>
      <c r="G7" t="s">
        <v>45</v>
      </c>
    </row>
    <row r="8" spans="1:7" ht="17.25" customHeight="1" x14ac:dyDescent="0.4">
      <c r="A8" s="2" t="str">
        <v>G</v>
      </c>
      <c r="B8" s="8" t="s">
        <v>34</v>
      </c>
      <c r="C8" s="40" t="s">
        <v>46</v>
      </c>
      <c r="D8" s="15" t="s">
        <v>31</v>
      </c>
    </row>
    <row r="9" spans="1:7" ht="32.25" customHeight="1" x14ac:dyDescent="0.4">
      <c r="A9" s="2" t="str">
        <v>H</v>
      </c>
      <c r="B9" s="8" t="s">
        <v>34</v>
      </c>
      <c r="C9" s="42" t="s">
        <v>47</v>
      </c>
      <c r="D9" s="17" t="s">
        <v>49</v>
      </c>
    </row>
    <row r="10" spans="1:7" ht="17.25" customHeight="1" x14ac:dyDescent="0.4">
      <c r="A10" s="2" t="str">
        <v>I</v>
      </c>
      <c r="B10" s="8" t="s">
        <v>34</v>
      </c>
      <c r="C10" s="40" t="s">
        <v>50</v>
      </c>
      <c r="D10" s="13" t="s">
        <v>51</v>
      </c>
    </row>
    <row r="11" spans="1:7" ht="32.25" customHeight="1" x14ac:dyDescent="0.4">
      <c r="A11" s="2" t="str">
        <v>J</v>
      </c>
      <c r="B11" s="8" t="s">
        <v>34</v>
      </c>
      <c r="C11" s="40" t="s">
        <v>52</v>
      </c>
      <c r="D11" s="19"/>
    </row>
    <row r="12" spans="1:7" ht="32.25" customHeight="1" x14ac:dyDescent="0.4">
      <c r="A12" s="2" t="str">
        <v>K</v>
      </c>
      <c r="B12" s="8" t="s">
        <v>34</v>
      </c>
      <c r="C12" s="40" t="s">
        <v>54</v>
      </c>
      <c r="D12" s="20"/>
    </row>
    <row r="13" spans="1:7" ht="32.25" customHeight="1" x14ac:dyDescent="0.4">
      <c r="A13" s="2" t="str">
        <v>L</v>
      </c>
      <c r="B13" s="8" t="s">
        <v>34</v>
      </c>
      <c r="C13" s="40" t="s">
        <v>56</v>
      </c>
      <c r="D13" s="20"/>
    </row>
    <row r="14" spans="1:7" ht="17.25" customHeight="1" x14ac:dyDescent="0.4">
      <c r="A14" s="2" t="str">
        <v>M</v>
      </c>
      <c r="B14" s="8" t="s">
        <v>34</v>
      </c>
      <c r="C14" s="41" t="s">
        <v>58</v>
      </c>
      <c r="D14" s="15" t="s">
        <v>60</v>
      </c>
    </row>
    <row r="15" spans="1:7" ht="17.25" customHeight="1" x14ac:dyDescent="0.4">
      <c r="A15" s="2" t="str">
        <v>N</v>
      </c>
      <c r="B15" s="8" t="s">
        <v>34</v>
      </c>
      <c r="C15" s="40" t="s">
        <v>6197</v>
      </c>
      <c r="D15" s="15" t="s">
        <v>64</v>
      </c>
    </row>
    <row r="16" spans="1:7" ht="48" customHeight="1" x14ac:dyDescent="0.4">
      <c r="A16" s="2" t="str">
        <v>O</v>
      </c>
      <c r="B16" s="8" t="s">
        <v>34</v>
      </c>
      <c r="C16" s="40" t="s">
        <v>65</v>
      </c>
      <c r="D16" s="23" t="s">
        <v>66</v>
      </c>
    </row>
    <row r="17" spans="1:4" ht="32.25" customHeight="1" x14ac:dyDescent="0.4">
      <c r="A17" s="2" t="str">
        <v>P</v>
      </c>
      <c r="B17" s="8" t="s">
        <v>34</v>
      </c>
      <c r="C17" s="41" t="s">
        <v>67</v>
      </c>
      <c r="D17" s="15" t="str">
        <f>IF(LEN(TRIM(D7))&gt;0,D7,D6)</f>
        <v>模糊檢索 API_路名清單_臺北市</v>
      </c>
    </row>
    <row r="18" spans="1:4" ht="17.25" customHeight="1" x14ac:dyDescent="0.4">
      <c r="A18" s="2" t="str">
        <v>Q</v>
      </c>
      <c r="B18" s="8" t="s">
        <v>34</v>
      </c>
      <c r="C18" s="40" t="s">
        <v>69</v>
      </c>
      <c r="D18" s="13" t="s">
        <v>70</v>
      </c>
    </row>
    <row r="19" spans="1:4" ht="17.25" customHeight="1" x14ac:dyDescent="0.4">
      <c r="A19" s="2" t="str">
        <v>R</v>
      </c>
      <c r="B19" s="8" t="s">
        <v>71</v>
      </c>
      <c r="C19" s="41" t="s">
        <v>72</v>
      </c>
      <c r="D19" s="15" t="str">
        <f>D5</f>
        <v>2dms_addrm_v1_ListRoad_A</v>
      </c>
    </row>
    <row r="20" spans="1:4" ht="17.25" customHeight="1" x14ac:dyDescent="0.4">
      <c r="A20" s="2" t="str">
        <v>S</v>
      </c>
      <c r="B20" s="8" t="s">
        <v>74</v>
      </c>
      <c r="C20" s="43" t="s">
        <v>75</v>
      </c>
      <c r="D20" s="15"/>
    </row>
    <row r="21" spans="1:4" ht="17.25" customHeight="1" x14ac:dyDescent="0.4">
      <c r="A21" s="2" t="str">
        <v>T</v>
      </c>
      <c r="B21" s="8" t="s">
        <v>74</v>
      </c>
      <c r="C21" s="43" t="s">
        <v>76</v>
      </c>
      <c r="D21" s="15"/>
    </row>
    <row r="22" spans="1:4" ht="17.25" customHeight="1" x14ac:dyDescent="0.4">
      <c r="A22" s="2" t="str">
        <v>U</v>
      </c>
      <c r="B22" s="8" t="s">
        <v>74</v>
      </c>
      <c r="C22" s="41" t="s">
        <v>77</v>
      </c>
      <c r="D22" s="15" t="str">
        <f>_xlfn.XLOOKUP(D23,參考2_服務標準對照!2:2,參考2_服務標準對照!4:4,"")&amp;""</f>
        <v/>
      </c>
    </row>
    <row r="23" spans="1:4" ht="17.25" customHeight="1" x14ac:dyDescent="0.4">
      <c r="A23" s="2" t="str">
        <v>V</v>
      </c>
      <c r="B23" s="8" t="s">
        <v>71</v>
      </c>
      <c r="C23" s="41" t="s">
        <v>0</v>
      </c>
      <c r="D23" s="15" t="s">
        <v>20</v>
      </c>
    </row>
    <row r="24" spans="1:4" ht="17.25" customHeight="1" x14ac:dyDescent="0.4">
      <c r="A24" s="2" t="str">
        <v>W</v>
      </c>
      <c r="B24" s="8" t="s">
        <v>71</v>
      </c>
      <c r="C24" s="41" t="s">
        <v>78</v>
      </c>
      <c r="D24" s="15" t="s">
        <v>79</v>
      </c>
    </row>
    <row r="25" spans="1:4" ht="17.25" customHeight="1" x14ac:dyDescent="0.4">
      <c r="A25" s="2" t="str">
        <v>X</v>
      </c>
      <c r="B25" s="8" t="s">
        <v>71</v>
      </c>
      <c r="C25" s="41" t="s">
        <v>80</v>
      </c>
      <c r="D25" s="15" t="s">
        <v>81</v>
      </c>
    </row>
    <row r="26" spans="1:4" ht="17.25" customHeight="1" x14ac:dyDescent="0.4">
      <c r="A26" s="2" t="str">
        <v>Y</v>
      </c>
      <c r="B26" s="8" t="s">
        <v>71</v>
      </c>
      <c r="C26" s="43" t="s">
        <v>82</v>
      </c>
      <c r="D26" s="13" t="s">
        <v>83</v>
      </c>
    </row>
    <row r="27" spans="1:4" ht="17.25" customHeight="1" x14ac:dyDescent="0.4">
      <c r="A27" s="2" t="str">
        <v>Z</v>
      </c>
      <c r="B27" s="8" t="s">
        <v>71</v>
      </c>
      <c r="C27" s="43" t="s">
        <v>84</v>
      </c>
      <c r="D27" s="13" t="s">
        <v>85</v>
      </c>
    </row>
    <row r="28" spans="1:4" ht="17.25" customHeight="1" x14ac:dyDescent="0.4">
      <c r="A28" s="2" t="str">
        <v>AA</v>
      </c>
      <c r="B28" s="8" t="s">
        <v>74</v>
      </c>
      <c r="C28" s="43" t="s">
        <v>86</v>
      </c>
      <c r="D28" s="13" t="s">
        <v>87</v>
      </c>
    </row>
    <row r="29" spans="1:4" ht="32.25" customHeight="1" x14ac:dyDescent="0.4">
      <c r="A29" s="2" t="str">
        <v>AB</v>
      </c>
      <c r="B29" s="8" t="s">
        <v>88</v>
      </c>
      <c r="C29" s="40" t="s">
        <v>89</v>
      </c>
      <c r="D29" s="13" t="s">
        <v>90</v>
      </c>
    </row>
    <row r="30" spans="1:4" ht="17.25" customHeight="1" x14ac:dyDescent="0.4">
      <c r="A30" s="2" t="str">
        <v>AC</v>
      </c>
      <c r="B30" s="8" t="s">
        <v>91</v>
      </c>
      <c r="C30" s="25" t="s">
        <v>92</v>
      </c>
      <c r="D30" s="15" t="s">
        <v>94</v>
      </c>
    </row>
    <row r="31" spans="1:4" ht="17.25" customHeight="1" x14ac:dyDescent="0.4">
      <c r="A31" s="2" t="str">
        <v>AD</v>
      </c>
      <c r="B31" s="8" t="s">
        <v>26</v>
      </c>
      <c r="C31" s="41" t="s">
        <v>95</v>
      </c>
      <c r="D31" s="26" t="s">
        <v>96</v>
      </c>
    </row>
  </sheetData>
  <phoneticPr fontId="13" type="noConversion"/>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7"/>
  <sheetViews>
    <sheetView zoomScale="75" zoomScaleNormal="75" workbookViewId="0">
      <selection activeCell="C15" sqref="C15"/>
    </sheetView>
  </sheetViews>
  <sheetFormatPr defaultColWidth="8.6328125" defaultRowHeight="17" x14ac:dyDescent="0.4"/>
  <cols>
    <col min="1" max="1" width="25.7265625" customWidth="1"/>
    <col min="2" max="2" width="41.36328125" customWidth="1"/>
    <col min="3" max="3" width="75.90625" customWidth="1"/>
  </cols>
  <sheetData>
    <row r="1" spans="1:3" ht="16.5" customHeight="1" x14ac:dyDescent="0.4">
      <c r="A1" s="96" t="s">
        <v>6198</v>
      </c>
      <c r="B1" s="97"/>
      <c r="C1" s="97"/>
    </row>
    <row r="2" spans="1:3" ht="16.5" customHeight="1" x14ac:dyDescent="0.4">
      <c r="A2" s="44"/>
      <c r="B2" s="45" t="s">
        <v>6199</v>
      </c>
      <c r="C2" s="45" t="s">
        <v>6200</v>
      </c>
    </row>
    <row r="3" spans="1:3" ht="63.75" customHeight="1" x14ac:dyDescent="0.4">
      <c r="A3" s="98" t="s">
        <v>6201</v>
      </c>
      <c r="B3" s="46" t="s">
        <v>6202</v>
      </c>
      <c r="C3" s="46" t="s">
        <v>6203</v>
      </c>
    </row>
    <row r="4" spans="1:3" ht="32.25" customHeight="1" x14ac:dyDescent="0.4">
      <c r="A4" s="99"/>
      <c r="B4" s="46" t="s">
        <v>6204</v>
      </c>
      <c r="C4" s="46" t="s">
        <v>6205</v>
      </c>
    </row>
    <row r="5" spans="1:3" ht="79.5" customHeight="1" x14ac:dyDescent="0.4">
      <c r="A5" s="98" t="s">
        <v>6206</v>
      </c>
      <c r="B5" s="46" t="s">
        <v>6202</v>
      </c>
      <c r="C5" s="46" t="s">
        <v>6207</v>
      </c>
    </row>
    <row r="6" spans="1:3" ht="48" customHeight="1" x14ac:dyDescent="0.4">
      <c r="A6" s="99"/>
      <c r="B6" s="46" t="s">
        <v>6208</v>
      </c>
      <c r="C6" s="46" t="s">
        <v>6209</v>
      </c>
    </row>
    <row r="7" spans="1:3" ht="16.5" customHeight="1" x14ac:dyDescent="0.4">
      <c r="B7" s="100" t="s">
        <v>6210</v>
      </c>
      <c r="C7" s="101"/>
    </row>
  </sheetData>
  <mergeCells count="4">
    <mergeCell ref="A1:C1"/>
    <mergeCell ref="A3:A4"/>
    <mergeCell ref="A5:A6"/>
    <mergeCell ref="B7:C7"/>
  </mergeCells>
  <phoneticPr fontId="13" type="noConversion"/>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0"/>
  <sheetViews>
    <sheetView zoomScale="75" zoomScaleNormal="75" workbookViewId="0">
      <selection activeCell="D17" sqref="D17"/>
    </sheetView>
  </sheetViews>
  <sheetFormatPr defaultColWidth="8.6328125" defaultRowHeight="17" x14ac:dyDescent="0.4"/>
  <cols>
    <col min="1" max="1" width="29.6328125" customWidth="1"/>
    <col min="4" max="4" width="29.6328125" customWidth="1"/>
  </cols>
  <sheetData>
    <row r="1" spans="1:4" ht="16.5" customHeight="1" x14ac:dyDescent="0.4">
      <c r="A1" s="47" t="s">
        <v>0</v>
      </c>
      <c r="B1" s="48" t="s">
        <v>1</v>
      </c>
      <c r="D1" t="s">
        <v>2</v>
      </c>
    </row>
    <row r="2" spans="1:4" ht="16.5" customHeight="1" x14ac:dyDescent="0.4">
      <c r="A2" s="49" t="s">
        <v>3</v>
      </c>
      <c r="B2" s="50"/>
      <c r="D2" s="1" t="s">
        <v>3</v>
      </c>
    </row>
    <row r="3" spans="1:4" ht="16.5" customHeight="1" x14ac:dyDescent="0.4">
      <c r="A3" s="51" t="s">
        <v>4</v>
      </c>
      <c r="B3" s="52"/>
      <c r="D3" s="1" t="s">
        <v>4</v>
      </c>
    </row>
    <row r="4" spans="1:4" ht="16.5" customHeight="1" x14ac:dyDescent="0.4">
      <c r="A4" s="51" t="s">
        <v>5</v>
      </c>
      <c r="B4" s="52"/>
      <c r="D4" s="1" t="s">
        <v>5</v>
      </c>
    </row>
    <row r="5" spans="1:4" ht="16.5" customHeight="1" x14ac:dyDescent="0.4">
      <c r="A5" s="51" t="s">
        <v>6</v>
      </c>
      <c r="B5" s="52"/>
      <c r="D5" s="1" t="s">
        <v>6</v>
      </c>
    </row>
    <row r="6" spans="1:4" ht="16.5" customHeight="1" x14ac:dyDescent="0.4">
      <c r="A6" s="51" t="s">
        <v>7</v>
      </c>
      <c r="B6" s="52"/>
      <c r="D6" s="1" t="s">
        <v>7</v>
      </c>
    </row>
    <row r="7" spans="1:4" ht="16.5" customHeight="1" x14ac:dyDescent="0.4">
      <c r="A7" s="51" t="s">
        <v>8</v>
      </c>
      <c r="B7" s="52"/>
      <c r="D7" s="1" t="s">
        <v>8</v>
      </c>
    </row>
    <row r="8" spans="1:4" ht="16.5" customHeight="1" x14ac:dyDescent="0.4">
      <c r="A8" s="51" t="s">
        <v>9</v>
      </c>
      <c r="B8" s="52"/>
      <c r="D8" s="1" t="s">
        <v>9</v>
      </c>
    </row>
    <row r="9" spans="1:4" ht="16.5" customHeight="1" x14ac:dyDescent="0.4">
      <c r="A9" s="51" t="s">
        <v>10</v>
      </c>
      <c r="B9" s="52"/>
      <c r="D9" s="1" t="s">
        <v>10</v>
      </c>
    </row>
    <row r="10" spans="1:4" ht="16.5" customHeight="1" x14ac:dyDescent="0.4">
      <c r="A10" s="51" t="s">
        <v>11</v>
      </c>
      <c r="B10" s="52"/>
      <c r="D10" s="1" t="s">
        <v>11</v>
      </c>
    </row>
    <row r="11" spans="1:4" ht="16.5" customHeight="1" x14ac:dyDescent="0.4">
      <c r="A11" s="51" t="s">
        <v>12</v>
      </c>
      <c r="B11" s="52"/>
      <c r="D11" s="1" t="s">
        <v>12</v>
      </c>
    </row>
    <row r="12" spans="1:4" ht="16.5" customHeight="1" x14ac:dyDescent="0.4">
      <c r="A12" s="51" t="s">
        <v>13</v>
      </c>
      <c r="B12" s="52"/>
      <c r="D12" s="1" t="s">
        <v>13</v>
      </c>
    </row>
    <row r="13" spans="1:4" ht="16.5" customHeight="1" x14ac:dyDescent="0.4">
      <c r="A13" s="51" t="s">
        <v>14</v>
      </c>
      <c r="B13" s="52"/>
      <c r="D13" s="1" t="s">
        <v>14</v>
      </c>
    </row>
    <row r="14" spans="1:4" ht="16.5" customHeight="1" x14ac:dyDescent="0.4">
      <c r="A14" s="51" t="s">
        <v>15</v>
      </c>
      <c r="B14" s="52"/>
      <c r="D14" s="1" t="s">
        <v>15</v>
      </c>
    </row>
    <row r="15" spans="1:4" ht="16.5" customHeight="1" x14ac:dyDescent="0.4">
      <c r="A15" s="51" t="s">
        <v>16</v>
      </c>
      <c r="B15" s="52"/>
      <c r="D15" s="1" t="s">
        <v>16</v>
      </c>
    </row>
    <row r="16" spans="1:4" ht="16.5" customHeight="1" x14ac:dyDescent="0.4">
      <c r="A16" s="51" t="s">
        <v>17</v>
      </c>
      <c r="B16" s="52"/>
      <c r="D16" s="1" t="s">
        <v>17</v>
      </c>
    </row>
    <row r="17" spans="1:4" ht="16.5" customHeight="1" x14ac:dyDescent="0.4">
      <c r="A17" s="51" t="s">
        <v>18</v>
      </c>
      <c r="B17" s="52"/>
      <c r="D17" s="1" t="s">
        <v>18</v>
      </c>
    </row>
    <row r="18" spans="1:4" ht="16.5" customHeight="1" x14ac:dyDescent="0.4">
      <c r="A18" s="51" t="s">
        <v>19</v>
      </c>
      <c r="B18" s="52"/>
      <c r="D18" s="1" t="s">
        <v>19</v>
      </c>
    </row>
    <row r="19" spans="1:4" ht="12.75" customHeight="1" x14ac:dyDescent="0.4">
      <c r="A19" s="51" t="s">
        <v>20</v>
      </c>
      <c r="B19" s="53"/>
      <c r="D19" s="1" t="s">
        <v>20</v>
      </c>
    </row>
    <row r="20" spans="1:4" ht="16.5" customHeight="1" x14ac:dyDescent="0.4">
      <c r="A20" s="54" t="s">
        <v>21</v>
      </c>
      <c r="B20" s="55"/>
    </row>
  </sheetData>
  <phoneticPr fontId="13" type="noConversion"/>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2"/>
  <sheetViews>
    <sheetView zoomScale="75" zoomScaleNormal="75" workbookViewId="0">
      <selection activeCell="A8" sqref="A8"/>
    </sheetView>
  </sheetViews>
  <sheetFormatPr defaultColWidth="9" defaultRowHeight="15.5" x14ac:dyDescent="0.4"/>
  <cols>
    <col min="1" max="1" width="20.26953125" style="56" customWidth="1"/>
    <col min="2" max="2" width="65.6328125" style="57" customWidth="1"/>
    <col min="3" max="3" width="41.90625" style="57" customWidth="1"/>
    <col min="4" max="4" width="16.7265625" style="56" customWidth="1"/>
    <col min="5" max="5" width="25" style="56" customWidth="1"/>
    <col min="6" max="6" width="25.7265625" style="56" customWidth="1"/>
    <col min="7" max="7" width="15.26953125" style="56" customWidth="1"/>
    <col min="8" max="8" width="37.08984375" style="56" customWidth="1"/>
    <col min="9" max="9" width="9" style="56" customWidth="1"/>
    <col min="10" max="16384" width="9" style="56"/>
  </cols>
  <sheetData>
    <row r="1" spans="1:8" ht="81" customHeight="1" x14ac:dyDescent="0.4">
      <c r="A1" s="104" t="s">
        <v>6211</v>
      </c>
      <c r="B1" s="102" t="s">
        <v>6212</v>
      </c>
      <c r="C1" s="103"/>
      <c r="D1" s="104" t="s">
        <v>6213</v>
      </c>
      <c r="E1" s="106" t="s">
        <v>6214</v>
      </c>
      <c r="F1" s="107"/>
      <c r="G1" s="103"/>
      <c r="H1" s="29" t="s">
        <v>6215</v>
      </c>
    </row>
    <row r="2" spans="1:8" ht="75.75" customHeight="1" x14ac:dyDescent="0.4">
      <c r="A2" s="105"/>
      <c r="B2" s="58" t="s">
        <v>6216</v>
      </c>
      <c r="C2" s="58" t="s">
        <v>6217</v>
      </c>
      <c r="D2" s="105"/>
      <c r="E2" s="59" t="s">
        <v>6218</v>
      </c>
      <c r="F2" s="58" t="s">
        <v>6219</v>
      </c>
      <c r="G2" s="60" t="s">
        <v>6220</v>
      </c>
    </row>
    <row r="3" spans="1:8" ht="16.5" customHeight="1" x14ac:dyDescent="0.4">
      <c r="A3" s="60" t="s">
        <v>35</v>
      </c>
      <c r="B3" s="8" t="s">
        <v>6221</v>
      </c>
      <c r="C3" s="8" t="s">
        <v>6222</v>
      </c>
      <c r="D3" s="61" t="s">
        <v>6223</v>
      </c>
      <c r="E3" s="62" t="s">
        <v>31</v>
      </c>
      <c r="F3" s="62"/>
      <c r="G3" s="60"/>
    </row>
    <row r="4" spans="1:8" ht="16.5" customHeight="1" x14ac:dyDescent="0.4">
      <c r="A4" s="60" t="s">
        <v>6224</v>
      </c>
      <c r="B4" s="8" t="s">
        <v>6225</v>
      </c>
      <c r="C4" s="8"/>
      <c r="D4" s="61" t="s">
        <v>6223</v>
      </c>
      <c r="E4" s="62" t="s">
        <v>31</v>
      </c>
      <c r="F4" s="62" t="s">
        <v>31</v>
      </c>
      <c r="G4" s="60"/>
    </row>
    <row r="5" spans="1:8" ht="16.5" customHeight="1" x14ac:dyDescent="0.4">
      <c r="A5" s="60" t="s">
        <v>6226</v>
      </c>
      <c r="B5" s="60" t="s">
        <v>6227</v>
      </c>
      <c r="C5" s="60"/>
      <c r="D5" s="61" t="s">
        <v>6223</v>
      </c>
      <c r="E5" s="62" t="s">
        <v>31</v>
      </c>
      <c r="F5" s="62" t="s">
        <v>31</v>
      </c>
      <c r="G5" s="60"/>
    </row>
    <row r="6" spans="1:8" ht="16.5" customHeight="1" x14ac:dyDescent="0.4">
      <c r="A6" s="60" t="s">
        <v>6228</v>
      </c>
      <c r="B6" s="60" t="s">
        <v>6229</v>
      </c>
      <c r="C6" s="60"/>
      <c r="D6" s="61" t="s">
        <v>6223</v>
      </c>
      <c r="E6" s="62" t="s">
        <v>31</v>
      </c>
      <c r="F6" s="62" t="s">
        <v>31</v>
      </c>
      <c r="G6" s="60"/>
    </row>
    <row r="7" spans="1:8" ht="16.5" customHeight="1" x14ac:dyDescent="0.4">
      <c r="A7" s="60" t="s">
        <v>6230</v>
      </c>
      <c r="B7" s="60" t="s">
        <v>6231</v>
      </c>
      <c r="C7" s="60" t="s">
        <v>6222</v>
      </c>
      <c r="D7" s="61" t="s">
        <v>6223</v>
      </c>
      <c r="E7" s="62" t="s">
        <v>31</v>
      </c>
      <c r="F7" s="62" t="s">
        <v>31</v>
      </c>
      <c r="G7" s="60"/>
    </row>
    <row r="8" spans="1:8" ht="16.5" customHeight="1" x14ac:dyDescent="0.4">
      <c r="A8" s="60" t="s">
        <v>6232</v>
      </c>
      <c r="B8" s="60" t="s">
        <v>6233</v>
      </c>
      <c r="C8" s="60" t="s">
        <v>6222</v>
      </c>
      <c r="D8" s="61" t="s">
        <v>6223</v>
      </c>
      <c r="E8" s="62" t="s">
        <v>31</v>
      </c>
      <c r="F8" s="62" t="s">
        <v>31</v>
      </c>
      <c r="G8" s="60"/>
    </row>
    <row r="9" spans="1:8" ht="16.5" customHeight="1" x14ac:dyDescent="0.4">
      <c r="A9" s="60" t="s">
        <v>6234</v>
      </c>
      <c r="B9" s="60" t="s">
        <v>6235</v>
      </c>
      <c r="C9" s="60" t="s">
        <v>6222</v>
      </c>
      <c r="D9" s="61" t="s">
        <v>6223</v>
      </c>
      <c r="E9" s="62" t="s">
        <v>31</v>
      </c>
      <c r="F9" s="62" t="s">
        <v>31</v>
      </c>
      <c r="G9" s="60"/>
    </row>
    <row r="10" spans="1:8" ht="16.5" customHeight="1" x14ac:dyDescent="0.4">
      <c r="A10" s="60" t="s">
        <v>6236</v>
      </c>
      <c r="B10" s="60" t="s">
        <v>6237</v>
      </c>
      <c r="C10" s="60" t="s">
        <v>6238</v>
      </c>
      <c r="D10" s="61" t="s">
        <v>6223</v>
      </c>
      <c r="E10" s="62" t="s">
        <v>31</v>
      </c>
      <c r="F10" s="62" t="s">
        <v>31</v>
      </c>
      <c r="G10" s="60"/>
    </row>
    <row r="11" spans="1:8" ht="16.5" customHeight="1" x14ac:dyDescent="0.4">
      <c r="A11" s="60" t="s">
        <v>6239</v>
      </c>
      <c r="B11" s="60" t="s">
        <v>6240</v>
      </c>
      <c r="C11" s="60" t="s">
        <v>6241</v>
      </c>
      <c r="D11" s="61" t="s">
        <v>6223</v>
      </c>
      <c r="E11" s="62" t="s">
        <v>31</v>
      </c>
      <c r="F11" s="62" t="s">
        <v>31</v>
      </c>
      <c r="G11" s="60"/>
    </row>
    <row r="12" spans="1:8" ht="16.5" customHeight="1" x14ac:dyDescent="0.4">
      <c r="A12" s="63" t="s">
        <v>6242</v>
      </c>
      <c r="B12" s="63" t="s">
        <v>6243</v>
      </c>
      <c r="C12" s="60" t="s">
        <v>6244</v>
      </c>
      <c r="D12" s="61" t="s">
        <v>6223</v>
      </c>
      <c r="E12" s="62" t="s">
        <v>31</v>
      </c>
      <c r="F12" s="62" t="s">
        <v>31</v>
      </c>
      <c r="G12" s="60"/>
    </row>
    <row r="13" spans="1:8" ht="17.25" customHeight="1" x14ac:dyDescent="0.4">
      <c r="B13" s="7"/>
      <c r="C13" s="7"/>
      <c r="D13" s="64"/>
      <c r="E13" s="64"/>
      <c r="F13" s="64"/>
    </row>
    <row r="14" spans="1:8" ht="17.25" customHeight="1" x14ac:dyDescent="0.4">
      <c r="B14" s="7"/>
      <c r="C14" s="7"/>
      <c r="D14" s="64"/>
      <c r="E14" s="64"/>
      <c r="F14" s="64"/>
    </row>
    <row r="15" spans="1:8" ht="17.25" customHeight="1" x14ac:dyDescent="0.4">
      <c r="B15" s="7"/>
      <c r="C15" s="7"/>
      <c r="D15" s="64"/>
      <c r="E15" s="64"/>
      <c r="F15" s="64"/>
    </row>
    <row r="16" spans="1:8" ht="17.25" customHeight="1" x14ac:dyDescent="0.4">
      <c r="B16" s="7"/>
      <c r="C16" s="7"/>
      <c r="D16" s="64"/>
      <c r="E16" s="64"/>
      <c r="F16" s="64"/>
    </row>
    <row r="17" spans="2:6" ht="17.25" customHeight="1" x14ac:dyDescent="0.4">
      <c r="B17" s="65" t="s">
        <v>6245</v>
      </c>
      <c r="C17" s="7"/>
      <c r="D17" s="64"/>
      <c r="E17" s="64"/>
      <c r="F17" s="64"/>
    </row>
    <row r="18" spans="2:6" ht="17.25" customHeight="1" x14ac:dyDescent="0.4">
      <c r="B18" s="65" t="s">
        <v>6246</v>
      </c>
      <c r="C18" s="7"/>
      <c r="D18" s="64"/>
      <c r="E18" s="64"/>
      <c r="F18" s="64"/>
    </row>
    <row r="19" spans="2:6" ht="17.25" customHeight="1" x14ac:dyDescent="0.4">
      <c r="B19" s="65" t="s">
        <v>6247</v>
      </c>
      <c r="C19" s="7"/>
      <c r="D19" s="64"/>
      <c r="E19" s="64"/>
      <c r="F19" s="64"/>
    </row>
    <row r="20" spans="2:6" ht="17.25" customHeight="1" x14ac:dyDescent="0.4">
      <c r="B20" s="65" t="s">
        <v>6248</v>
      </c>
      <c r="C20" s="7"/>
      <c r="D20" s="64"/>
      <c r="E20" s="64"/>
      <c r="F20" s="64"/>
    </row>
    <row r="21" spans="2:6" ht="15.75" customHeight="1" x14ac:dyDescent="0.4">
      <c r="B21" s="66" t="s">
        <v>6249</v>
      </c>
    </row>
    <row r="22" spans="2:6" ht="16.5" customHeight="1" x14ac:dyDescent="0.4">
      <c r="B22" s="66" t="s">
        <v>6250</v>
      </c>
    </row>
  </sheetData>
  <mergeCells count="4">
    <mergeCell ref="B1:C1"/>
    <mergeCell ref="D1:D2"/>
    <mergeCell ref="E1:G1"/>
    <mergeCell ref="A1:A2"/>
  </mergeCells>
  <phoneticPr fontId="13" type="noConversion"/>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0"/>
  <sheetViews>
    <sheetView zoomScale="75" zoomScaleNormal="75" workbookViewId="0">
      <selection activeCell="B9" sqref="B9"/>
    </sheetView>
  </sheetViews>
  <sheetFormatPr defaultColWidth="8.6328125" defaultRowHeight="17" x14ac:dyDescent="0.4"/>
  <cols>
    <col min="1" max="2" width="31.6328125" customWidth="1"/>
    <col min="3" max="3" width="12" customWidth="1"/>
  </cols>
  <sheetData>
    <row r="1" spans="1:3" ht="16.5" customHeight="1" x14ac:dyDescent="0.4">
      <c r="A1" s="67" t="s">
        <v>6251</v>
      </c>
      <c r="B1" s="67" t="s">
        <v>6252</v>
      </c>
      <c r="C1" s="67" t="s">
        <v>6253</v>
      </c>
    </row>
    <row r="2" spans="1:3" ht="16.5" customHeight="1" x14ac:dyDescent="0.4">
      <c r="A2" s="60" t="s">
        <v>7</v>
      </c>
      <c r="B2" s="60" t="s">
        <v>163</v>
      </c>
      <c r="C2" s="67" t="s">
        <v>6254</v>
      </c>
    </row>
    <row r="3" spans="1:3" ht="16.5" customHeight="1" x14ac:dyDescent="0.4">
      <c r="A3" s="60" t="s">
        <v>6</v>
      </c>
      <c r="B3" s="60" t="s">
        <v>156</v>
      </c>
      <c r="C3" s="67" t="s">
        <v>6254</v>
      </c>
    </row>
    <row r="4" spans="1:3" ht="16.5" customHeight="1" x14ac:dyDescent="0.4">
      <c r="A4" s="60" t="s">
        <v>5</v>
      </c>
      <c r="B4" s="60" t="s">
        <v>138</v>
      </c>
      <c r="C4" s="67" t="s">
        <v>6254</v>
      </c>
    </row>
    <row r="5" spans="1:3" ht="16.5" customHeight="1" x14ac:dyDescent="0.4">
      <c r="A5" s="60" t="s">
        <v>3</v>
      </c>
      <c r="B5" s="60" t="s">
        <v>103</v>
      </c>
      <c r="C5" s="67" t="s">
        <v>6254</v>
      </c>
    </row>
    <row r="6" spans="1:3" ht="16.5" customHeight="1" x14ac:dyDescent="0.4">
      <c r="A6" s="60" t="s">
        <v>13</v>
      </c>
      <c r="B6" s="60" t="s">
        <v>4400</v>
      </c>
      <c r="C6" s="67" t="s">
        <v>6254</v>
      </c>
    </row>
    <row r="7" spans="1:3" ht="16.5" customHeight="1" x14ac:dyDescent="0.4">
      <c r="A7" s="60" t="s">
        <v>12</v>
      </c>
      <c r="B7" s="60" t="s">
        <v>4394</v>
      </c>
      <c r="C7" s="67" t="s">
        <v>6254</v>
      </c>
    </row>
    <row r="8" spans="1:3" ht="16.5" customHeight="1" x14ac:dyDescent="0.4">
      <c r="A8" s="60" t="s">
        <v>17</v>
      </c>
      <c r="B8" s="60" t="s">
        <v>5123</v>
      </c>
      <c r="C8" s="68"/>
    </row>
    <row r="9" spans="1:3" ht="16.5" customHeight="1" x14ac:dyDescent="0.4">
      <c r="A9" s="60" t="s">
        <v>20</v>
      </c>
      <c r="B9" s="60" t="s">
        <v>8554</v>
      </c>
      <c r="C9" s="68"/>
    </row>
    <row r="10" spans="1:3" ht="16.5" customHeight="1" x14ac:dyDescent="0.4">
      <c r="A10" s="60" t="s">
        <v>18</v>
      </c>
      <c r="B10" s="60" t="s">
        <v>5926</v>
      </c>
      <c r="C10" s="68"/>
    </row>
    <row r="11" spans="1:3" ht="16.5" customHeight="1" x14ac:dyDescent="0.4">
      <c r="A11" s="60" t="s">
        <v>14</v>
      </c>
      <c r="B11" s="60" t="s">
        <v>4408</v>
      </c>
      <c r="C11" s="68"/>
    </row>
    <row r="12" spans="1:3" ht="16.5" customHeight="1" x14ac:dyDescent="0.4">
      <c r="A12" s="60" t="s">
        <v>16</v>
      </c>
      <c r="B12" s="60" t="s">
        <v>5107</v>
      </c>
      <c r="C12" s="68"/>
    </row>
    <row r="13" spans="1:3" ht="16.5" customHeight="1" x14ac:dyDescent="0.4">
      <c r="A13" s="60" t="s">
        <v>4</v>
      </c>
      <c r="B13" s="60" t="s">
        <v>124</v>
      </c>
      <c r="C13" s="68"/>
    </row>
    <row r="14" spans="1:3" ht="16.5" customHeight="1" x14ac:dyDescent="0.4">
      <c r="A14" s="60" t="s">
        <v>19</v>
      </c>
      <c r="B14" s="60" t="s">
        <v>5945</v>
      </c>
      <c r="C14" s="67" t="s">
        <v>6254</v>
      </c>
    </row>
    <row r="15" spans="1:3" ht="16.5" customHeight="1" x14ac:dyDescent="0.4">
      <c r="A15" s="60" t="s">
        <v>8</v>
      </c>
      <c r="B15" s="60" t="s">
        <v>4125</v>
      </c>
      <c r="C15" s="67" t="s">
        <v>6254</v>
      </c>
    </row>
    <row r="16" spans="1:3" ht="16.5" customHeight="1" x14ac:dyDescent="0.4">
      <c r="A16" s="60" t="s">
        <v>10</v>
      </c>
      <c r="B16" s="60" t="s">
        <v>4375</v>
      </c>
      <c r="C16" s="68"/>
    </row>
    <row r="17" spans="1:3" ht="16.5" customHeight="1" x14ac:dyDescent="0.4">
      <c r="A17" s="60" t="s">
        <v>11</v>
      </c>
      <c r="B17" s="60" t="s">
        <v>4389</v>
      </c>
      <c r="C17" s="67" t="s">
        <v>6254</v>
      </c>
    </row>
    <row r="18" spans="1:3" ht="16.5" customHeight="1" x14ac:dyDescent="0.4">
      <c r="A18" s="60" t="s">
        <v>6255</v>
      </c>
      <c r="B18" s="60" t="s">
        <v>6256</v>
      </c>
      <c r="C18" s="68"/>
    </row>
    <row r="19" spans="1:3" ht="16.5" customHeight="1" x14ac:dyDescent="0.4">
      <c r="A19" s="60" t="s">
        <v>9</v>
      </c>
      <c r="B19" s="60" t="s">
        <v>4366</v>
      </c>
      <c r="C19" s="67" t="s">
        <v>6254</v>
      </c>
    </row>
    <row r="20" spans="1:3" ht="16.5" customHeight="1" x14ac:dyDescent="0.4">
      <c r="A20" s="60" t="s">
        <v>15</v>
      </c>
      <c r="B20" s="60" t="s">
        <v>5098</v>
      </c>
      <c r="C20" s="67" t="s">
        <v>6254</v>
      </c>
    </row>
  </sheetData>
  <phoneticPr fontId="13" type="noConversion"/>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47"/>
  <sheetViews>
    <sheetView topLeftCell="A4" zoomScale="75" zoomScaleNormal="75" workbookViewId="0">
      <selection activeCell="D4" sqref="D4"/>
    </sheetView>
  </sheetViews>
  <sheetFormatPr defaultColWidth="8.6328125" defaultRowHeight="17" x14ac:dyDescent="0.4"/>
  <cols>
    <col min="1" max="1" width="30.36328125" customWidth="1"/>
    <col min="2" max="3" width="14.7265625" customWidth="1"/>
    <col min="4" max="4" width="6.26953125" customWidth="1"/>
    <col min="7" max="7" width="13.90625" customWidth="1"/>
  </cols>
  <sheetData>
    <row r="1" spans="1:7" ht="16.5" customHeight="1" x14ac:dyDescent="0.4">
      <c r="A1" s="56" t="s">
        <v>6257</v>
      </c>
    </row>
    <row r="3" spans="1:7" ht="47.25" customHeight="1" x14ac:dyDescent="0.4">
      <c r="A3" s="56" t="s">
        <v>2</v>
      </c>
      <c r="B3" s="29" t="s">
        <v>6258</v>
      </c>
      <c r="C3" s="29" t="s">
        <v>6259</v>
      </c>
      <c r="D3" s="56" t="s">
        <v>6260</v>
      </c>
      <c r="G3" s="56" t="s">
        <v>6261</v>
      </c>
    </row>
    <row r="4" spans="1:7" ht="16.5" customHeight="1" x14ac:dyDescent="0.4">
      <c r="A4" s="56" t="s">
        <v>3</v>
      </c>
      <c r="B4" s="56">
        <v>3</v>
      </c>
      <c r="C4" s="56">
        <v>1</v>
      </c>
      <c r="D4" s="56">
        <v>4</v>
      </c>
    </row>
    <row r="5" spans="1:7" ht="16.5" customHeight="1" x14ac:dyDescent="0.4">
      <c r="A5" s="56" t="s">
        <v>4</v>
      </c>
      <c r="B5" s="56"/>
      <c r="C5" s="56">
        <v>4</v>
      </c>
      <c r="D5" s="56">
        <v>4</v>
      </c>
    </row>
    <row r="6" spans="1:7" ht="16.5" customHeight="1" x14ac:dyDescent="0.4">
      <c r="A6" s="56" t="s">
        <v>5</v>
      </c>
      <c r="B6" s="56">
        <v>3</v>
      </c>
      <c r="C6" s="56">
        <v>1</v>
      </c>
      <c r="D6" s="56">
        <v>4</v>
      </c>
    </row>
    <row r="7" spans="1:7" ht="16.5" customHeight="1" x14ac:dyDescent="0.4">
      <c r="A7" s="56" t="s">
        <v>6</v>
      </c>
      <c r="B7" s="56">
        <v>1</v>
      </c>
      <c r="C7" s="56"/>
      <c r="D7" s="56">
        <v>1</v>
      </c>
    </row>
    <row r="8" spans="1:7" ht="16.5" customHeight="1" x14ac:dyDescent="0.4">
      <c r="A8" s="56" t="s">
        <v>7</v>
      </c>
      <c r="B8" s="56"/>
      <c r="C8" s="56">
        <v>775</v>
      </c>
      <c r="D8" s="56">
        <v>775</v>
      </c>
    </row>
    <row r="9" spans="1:7" ht="16.5" customHeight="1" x14ac:dyDescent="0.4">
      <c r="A9" s="56" t="s">
        <v>8</v>
      </c>
      <c r="B9" s="56"/>
      <c r="C9" s="56">
        <v>79</v>
      </c>
      <c r="D9" s="56">
        <v>79</v>
      </c>
    </row>
    <row r="10" spans="1:7" ht="16.5" customHeight="1" x14ac:dyDescent="0.4">
      <c r="A10" s="56" t="s">
        <v>9</v>
      </c>
      <c r="B10" s="56"/>
      <c r="C10" s="56">
        <v>1</v>
      </c>
      <c r="D10" s="56">
        <v>1</v>
      </c>
    </row>
    <row r="11" spans="1:7" ht="16.5" customHeight="1" x14ac:dyDescent="0.4">
      <c r="A11" s="56" t="s">
        <v>10</v>
      </c>
      <c r="B11" s="56"/>
      <c r="C11" s="56">
        <v>2</v>
      </c>
      <c r="D11" s="56">
        <v>2</v>
      </c>
    </row>
    <row r="12" spans="1:7" ht="16.5" customHeight="1" x14ac:dyDescent="0.4">
      <c r="A12" s="56" t="s">
        <v>11</v>
      </c>
      <c r="B12" s="56"/>
      <c r="C12" s="56">
        <v>1</v>
      </c>
      <c r="D12" s="56">
        <v>1</v>
      </c>
    </row>
    <row r="13" spans="1:7" ht="16.5" customHeight="1" x14ac:dyDescent="0.4">
      <c r="A13" s="56" t="s">
        <v>12</v>
      </c>
      <c r="B13" s="56"/>
      <c r="C13" s="56">
        <v>1</v>
      </c>
      <c r="D13" s="56">
        <v>1</v>
      </c>
    </row>
    <row r="14" spans="1:7" ht="16.5" customHeight="1" x14ac:dyDescent="0.4">
      <c r="A14" s="56" t="s">
        <v>13</v>
      </c>
      <c r="B14" s="56"/>
      <c r="C14" s="56">
        <v>1</v>
      </c>
      <c r="D14" s="56">
        <v>1</v>
      </c>
    </row>
    <row r="15" spans="1:7" ht="16.5" customHeight="1" x14ac:dyDescent="0.4">
      <c r="A15" s="56" t="s">
        <v>14</v>
      </c>
      <c r="B15" s="56">
        <v>132</v>
      </c>
      <c r="C15" s="56">
        <v>5</v>
      </c>
      <c r="D15" s="56">
        <v>137</v>
      </c>
    </row>
    <row r="16" spans="1:7" ht="16.5" customHeight="1" x14ac:dyDescent="0.4">
      <c r="A16" s="56" t="s">
        <v>15</v>
      </c>
      <c r="B16" s="56"/>
      <c r="C16" s="56">
        <v>1</v>
      </c>
      <c r="D16" s="56">
        <v>1</v>
      </c>
    </row>
    <row r="17" spans="1:4" ht="16.5" customHeight="1" x14ac:dyDescent="0.4">
      <c r="A17" s="56" t="s">
        <v>16</v>
      </c>
      <c r="B17" s="56"/>
      <c r="C17" s="56">
        <v>2</v>
      </c>
      <c r="D17" s="56">
        <v>2</v>
      </c>
    </row>
    <row r="18" spans="1:4" ht="16.5" customHeight="1" x14ac:dyDescent="0.4">
      <c r="A18" s="56" t="s">
        <v>17</v>
      </c>
      <c r="B18" s="56">
        <v>88</v>
      </c>
      <c r="C18" s="56">
        <v>80</v>
      </c>
      <c r="D18" s="56">
        <v>168</v>
      </c>
    </row>
    <row r="19" spans="1:4" ht="16.5" customHeight="1" x14ac:dyDescent="0.4">
      <c r="A19" s="56" t="s">
        <v>18</v>
      </c>
      <c r="B19" s="56"/>
      <c r="C19" s="56">
        <v>3</v>
      </c>
      <c r="D19" s="56">
        <v>3</v>
      </c>
    </row>
    <row r="20" spans="1:4" ht="16.5" customHeight="1" x14ac:dyDescent="0.4">
      <c r="A20" s="56" t="s">
        <v>19</v>
      </c>
      <c r="B20" s="56"/>
      <c r="C20" s="56">
        <v>2</v>
      </c>
      <c r="D20" s="56">
        <v>2</v>
      </c>
    </row>
    <row r="21" spans="1:4" ht="16.5" customHeight="1" x14ac:dyDescent="0.4">
      <c r="A21" s="56" t="s">
        <v>20</v>
      </c>
      <c r="B21" s="56">
        <v>44</v>
      </c>
      <c r="C21" s="56">
        <v>5</v>
      </c>
      <c r="D21" s="56">
        <v>49</v>
      </c>
    </row>
    <row r="22" spans="1:4" ht="16.5" customHeight="1" x14ac:dyDescent="0.4">
      <c r="A22" s="56" t="s">
        <v>6260</v>
      </c>
      <c r="B22" s="56">
        <v>271</v>
      </c>
      <c r="C22" s="56">
        <v>964</v>
      </c>
      <c r="D22" s="56">
        <v>1235</v>
      </c>
    </row>
    <row r="47" spans="7:7" ht="16.5" customHeight="1" x14ac:dyDescent="0.4">
      <c r="G47" s="56" t="s">
        <v>6261</v>
      </c>
    </row>
  </sheetData>
  <phoneticPr fontId="13" type="noConversion"/>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3:D26"/>
  <sheetViews>
    <sheetView zoomScale="75" zoomScaleNormal="75" workbookViewId="0">
      <selection activeCell="K29" sqref="K29"/>
    </sheetView>
  </sheetViews>
  <sheetFormatPr defaultColWidth="8.6328125" defaultRowHeight="17" x14ac:dyDescent="0.4"/>
  <cols>
    <col min="1" max="1" width="33.90625" customWidth="1"/>
    <col min="2" max="3" width="12.6328125" customWidth="1"/>
    <col min="4" max="4" width="6.26953125" customWidth="1"/>
  </cols>
  <sheetData>
    <row r="3" spans="1:4" ht="16.5" customHeight="1" x14ac:dyDescent="0.4">
      <c r="A3" s="69" t="s">
        <v>6262</v>
      </c>
      <c r="B3" s="70" t="s">
        <v>6263</v>
      </c>
      <c r="C3" s="71"/>
      <c r="D3" s="72"/>
    </row>
    <row r="4" spans="1:4" ht="16.5" customHeight="1" x14ac:dyDescent="0.4">
      <c r="A4" s="73" t="s">
        <v>6264</v>
      </c>
      <c r="B4" s="74" t="s">
        <v>96</v>
      </c>
      <c r="C4" s="75" t="s">
        <v>119</v>
      </c>
      <c r="D4" s="76" t="s">
        <v>21</v>
      </c>
    </row>
    <row r="5" spans="1:4" ht="16.5" customHeight="1" x14ac:dyDescent="0.4">
      <c r="A5" s="77" t="s">
        <v>81</v>
      </c>
      <c r="B5" s="78">
        <v>265</v>
      </c>
      <c r="C5" s="79">
        <v>1160</v>
      </c>
      <c r="D5" s="80">
        <v>1425</v>
      </c>
    </row>
    <row r="6" spans="1:4" ht="16.5" customHeight="1" x14ac:dyDescent="0.4">
      <c r="A6" s="81" t="s">
        <v>6</v>
      </c>
      <c r="B6" s="82">
        <v>1</v>
      </c>
      <c r="C6" s="83"/>
      <c r="D6" s="84">
        <v>1</v>
      </c>
    </row>
    <row r="7" spans="1:4" ht="16.5" customHeight="1" x14ac:dyDescent="0.4">
      <c r="A7" s="81" t="s">
        <v>7</v>
      </c>
      <c r="B7" s="82"/>
      <c r="C7" s="83">
        <v>982</v>
      </c>
      <c r="D7" s="84">
        <v>982</v>
      </c>
    </row>
    <row r="8" spans="1:4" ht="16.5" customHeight="1" x14ac:dyDescent="0.4">
      <c r="A8" s="81" t="s">
        <v>8</v>
      </c>
      <c r="B8" s="82"/>
      <c r="C8" s="83">
        <v>79</v>
      </c>
      <c r="D8" s="84">
        <v>79</v>
      </c>
    </row>
    <row r="9" spans="1:4" ht="16.5" customHeight="1" x14ac:dyDescent="0.4">
      <c r="A9" s="81" t="s">
        <v>9</v>
      </c>
      <c r="B9" s="82"/>
      <c r="C9" s="83">
        <v>1</v>
      </c>
      <c r="D9" s="84">
        <v>1</v>
      </c>
    </row>
    <row r="10" spans="1:4" ht="16.5" customHeight="1" x14ac:dyDescent="0.4">
      <c r="A10" s="81" t="s">
        <v>10</v>
      </c>
      <c r="B10" s="82"/>
      <c r="C10" s="83">
        <v>2</v>
      </c>
      <c r="D10" s="84">
        <v>2</v>
      </c>
    </row>
    <row r="11" spans="1:4" ht="16.5" customHeight="1" x14ac:dyDescent="0.4">
      <c r="A11" s="81" t="s">
        <v>11</v>
      </c>
      <c r="B11" s="82"/>
      <c r="C11" s="83">
        <v>1</v>
      </c>
      <c r="D11" s="84">
        <v>1</v>
      </c>
    </row>
    <row r="12" spans="1:4" ht="16.5" customHeight="1" x14ac:dyDescent="0.4">
      <c r="A12" s="81" t="s">
        <v>12</v>
      </c>
      <c r="B12" s="82"/>
      <c r="C12" s="83">
        <v>1</v>
      </c>
      <c r="D12" s="84">
        <v>1</v>
      </c>
    </row>
    <row r="13" spans="1:4" ht="16.5" customHeight="1" x14ac:dyDescent="0.4">
      <c r="A13" s="81" t="s">
        <v>13</v>
      </c>
      <c r="B13" s="82"/>
      <c r="C13" s="83">
        <v>1</v>
      </c>
      <c r="D13" s="84">
        <v>1</v>
      </c>
    </row>
    <row r="14" spans="1:4" ht="16.5" customHeight="1" x14ac:dyDescent="0.4">
      <c r="A14" s="81" t="s">
        <v>14</v>
      </c>
      <c r="B14" s="82">
        <v>132</v>
      </c>
      <c r="C14" s="83">
        <v>5</v>
      </c>
      <c r="D14" s="84">
        <v>137</v>
      </c>
    </row>
    <row r="15" spans="1:4" ht="16.5" customHeight="1" x14ac:dyDescent="0.4">
      <c r="A15" s="81" t="s">
        <v>15</v>
      </c>
      <c r="B15" s="82"/>
      <c r="C15" s="83">
        <v>1</v>
      </c>
      <c r="D15" s="84">
        <v>1</v>
      </c>
    </row>
    <row r="16" spans="1:4" ht="16.5" customHeight="1" x14ac:dyDescent="0.4">
      <c r="A16" s="81" t="s">
        <v>16</v>
      </c>
      <c r="B16" s="82"/>
      <c r="C16" s="83">
        <v>2</v>
      </c>
      <c r="D16" s="84">
        <v>2</v>
      </c>
    </row>
    <row r="17" spans="1:4" ht="16.5" customHeight="1" x14ac:dyDescent="0.4">
      <c r="A17" s="81" t="s">
        <v>17</v>
      </c>
      <c r="B17" s="82">
        <v>88</v>
      </c>
      <c r="C17" s="83">
        <v>75</v>
      </c>
      <c r="D17" s="84">
        <v>163</v>
      </c>
    </row>
    <row r="18" spans="1:4" ht="16.5" customHeight="1" x14ac:dyDescent="0.4">
      <c r="A18" s="81" t="s">
        <v>18</v>
      </c>
      <c r="B18" s="82"/>
      <c r="C18" s="83">
        <v>3</v>
      </c>
      <c r="D18" s="84">
        <v>3</v>
      </c>
    </row>
    <row r="19" spans="1:4" ht="16.5" customHeight="1" x14ac:dyDescent="0.4">
      <c r="A19" s="81" t="s">
        <v>19</v>
      </c>
      <c r="B19" s="82"/>
      <c r="C19" s="83">
        <v>2</v>
      </c>
      <c r="D19" s="84">
        <v>2</v>
      </c>
    </row>
    <row r="20" spans="1:4" ht="16.5" customHeight="1" x14ac:dyDescent="0.4">
      <c r="A20" s="81" t="s">
        <v>20</v>
      </c>
      <c r="B20" s="85">
        <v>44</v>
      </c>
      <c r="C20" s="86">
        <v>5</v>
      </c>
      <c r="D20" s="87">
        <v>49</v>
      </c>
    </row>
    <row r="21" spans="1:4" ht="16.5" customHeight="1" x14ac:dyDescent="0.4">
      <c r="A21" s="81" t="s">
        <v>104</v>
      </c>
      <c r="B21" s="78">
        <v>6</v>
      </c>
      <c r="C21" s="88">
        <v>11</v>
      </c>
      <c r="D21" s="80">
        <v>17</v>
      </c>
    </row>
    <row r="22" spans="1:4" ht="16.5" customHeight="1" x14ac:dyDescent="0.4">
      <c r="A22" s="81" t="s">
        <v>3</v>
      </c>
      <c r="B22" s="82">
        <v>3</v>
      </c>
      <c r="C22">
        <v>1</v>
      </c>
      <c r="D22" s="84">
        <v>4</v>
      </c>
    </row>
    <row r="23" spans="1:4" ht="16.5" customHeight="1" x14ac:dyDescent="0.4">
      <c r="A23" s="81" t="s">
        <v>4</v>
      </c>
      <c r="B23" s="82"/>
      <c r="C23">
        <v>4</v>
      </c>
      <c r="D23" s="84">
        <v>4</v>
      </c>
    </row>
    <row r="24" spans="1:4" ht="16.5" customHeight="1" x14ac:dyDescent="0.4">
      <c r="A24" s="81" t="s">
        <v>5</v>
      </c>
      <c r="B24" s="82">
        <v>3</v>
      </c>
      <c r="C24">
        <v>1</v>
      </c>
      <c r="D24" s="84">
        <v>4</v>
      </c>
    </row>
    <row r="25" spans="1:4" ht="16.5" customHeight="1" x14ac:dyDescent="0.4">
      <c r="A25" s="81" t="s">
        <v>17</v>
      </c>
      <c r="B25" s="85"/>
      <c r="C25" s="89">
        <v>5</v>
      </c>
      <c r="D25" s="87">
        <v>5</v>
      </c>
    </row>
    <row r="26" spans="1:4" ht="16.5" customHeight="1" x14ac:dyDescent="0.4">
      <c r="A26" s="54" t="s">
        <v>21</v>
      </c>
      <c r="B26" s="90">
        <v>271</v>
      </c>
      <c r="C26" s="91">
        <v>1171</v>
      </c>
      <c r="D26" s="55">
        <v>1442</v>
      </c>
    </row>
  </sheetData>
  <phoneticPr fontId="13" type="noConversion"/>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T1443"/>
  <sheetViews>
    <sheetView zoomScale="75" zoomScaleNormal="75" workbookViewId="0">
      <selection activeCell="U36" sqref="U36"/>
    </sheetView>
  </sheetViews>
  <sheetFormatPr defaultColWidth="8.6328125" defaultRowHeight="17" x14ac:dyDescent="0.4"/>
  <cols>
    <col min="1" max="1" width="9.90625" customWidth="1"/>
    <col min="2" max="2" width="13.36328125" customWidth="1"/>
    <col min="3" max="4" width="11.26953125" customWidth="1"/>
    <col min="5" max="5" width="18.26953125" customWidth="1"/>
    <col min="7" max="7" width="9.36328125" customWidth="1"/>
    <col min="9" max="9" width="25.26953125" customWidth="1"/>
    <col min="10" max="10" width="19.6328125" customWidth="1"/>
    <col min="11" max="11" width="26.08984375" customWidth="1"/>
    <col min="12" max="12" width="11.26953125" customWidth="1"/>
    <col min="13" max="13" width="10.36328125" customWidth="1"/>
    <col min="14" max="14" width="11.26953125" customWidth="1"/>
    <col min="15" max="15" width="14.6328125" customWidth="1"/>
    <col min="16" max="16" width="17.6328125" customWidth="1"/>
    <col min="17" max="17" width="22.36328125" customWidth="1"/>
    <col min="18" max="18" width="18.90625" customWidth="1"/>
    <col min="19" max="19" width="11.26953125" customWidth="1"/>
    <col min="20" max="20" width="25.36328125" customWidth="1"/>
  </cols>
  <sheetData>
    <row r="1" spans="1:20" ht="16.5" customHeight="1" x14ac:dyDescent="0.4">
      <c r="A1" t="s">
        <v>6265</v>
      </c>
      <c r="B1" t="s">
        <v>35</v>
      </c>
      <c r="C1" t="s">
        <v>6226</v>
      </c>
      <c r="D1" t="s">
        <v>80</v>
      </c>
      <c r="E1" t="s">
        <v>6266</v>
      </c>
      <c r="F1" t="s">
        <v>6267</v>
      </c>
      <c r="G1" t="s">
        <v>6268</v>
      </c>
      <c r="H1" t="s">
        <v>27</v>
      </c>
      <c r="I1" t="s">
        <v>30</v>
      </c>
      <c r="J1" t="s">
        <v>32</v>
      </c>
      <c r="K1" t="s">
        <v>6269</v>
      </c>
      <c r="L1" t="s">
        <v>6270</v>
      </c>
      <c r="M1" t="s">
        <v>6271</v>
      </c>
      <c r="N1" t="s">
        <v>6272</v>
      </c>
      <c r="O1" t="s">
        <v>6273</v>
      </c>
      <c r="P1" t="s">
        <v>6274</v>
      </c>
      <c r="Q1" t="s">
        <v>41</v>
      </c>
      <c r="R1" t="s">
        <v>6275</v>
      </c>
      <c r="S1" t="s">
        <v>6276</v>
      </c>
      <c r="T1" t="s">
        <v>6263</v>
      </c>
    </row>
    <row r="2" spans="1:20" ht="15" customHeight="1" x14ac:dyDescent="0.4">
      <c r="A2" t="s">
        <v>100</v>
      </c>
      <c r="B2" t="s">
        <v>100</v>
      </c>
      <c r="C2" t="s">
        <v>151</v>
      </c>
      <c r="D2" t="s">
        <v>104</v>
      </c>
      <c r="E2" t="s">
        <v>103</v>
      </c>
      <c r="F2" t="s">
        <v>6277</v>
      </c>
      <c r="G2" t="s">
        <v>6278</v>
      </c>
      <c r="H2" t="s">
        <v>29</v>
      </c>
      <c r="I2" t="s">
        <v>31</v>
      </c>
      <c r="J2" t="s">
        <v>99</v>
      </c>
      <c r="K2" t="s">
        <v>31</v>
      </c>
      <c r="L2" t="s">
        <v>6277</v>
      </c>
      <c r="N2" t="s">
        <v>6277</v>
      </c>
      <c r="O2" t="s">
        <v>3</v>
      </c>
      <c r="P2" t="s">
        <v>101</v>
      </c>
      <c r="Q2" t="s">
        <v>102</v>
      </c>
      <c r="R2" t="s">
        <v>6279</v>
      </c>
      <c r="S2" t="s">
        <v>6280</v>
      </c>
      <c r="T2" t="s">
        <v>96</v>
      </c>
    </row>
    <row r="3" spans="1:20" ht="15" customHeight="1" x14ac:dyDescent="0.4">
      <c r="A3" t="s">
        <v>107</v>
      </c>
      <c r="B3" t="s">
        <v>107</v>
      </c>
      <c r="C3" t="s">
        <v>151</v>
      </c>
      <c r="D3" t="s">
        <v>104</v>
      </c>
      <c r="E3" t="s">
        <v>103</v>
      </c>
      <c r="F3" t="s">
        <v>6281</v>
      </c>
      <c r="G3" t="s">
        <v>6278</v>
      </c>
      <c r="H3" t="s">
        <v>105</v>
      </c>
      <c r="I3" t="s">
        <v>31</v>
      </c>
      <c r="J3" t="s">
        <v>106</v>
      </c>
      <c r="K3" t="s">
        <v>31</v>
      </c>
      <c r="L3" t="s">
        <v>6281</v>
      </c>
      <c r="N3" t="s">
        <v>6281</v>
      </c>
      <c r="O3" t="s">
        <v>3</v>
      </c>
      <c r="P3" t="s">
        <v>108</v>
      </c>
      <c r="Q3" t="s">
        <v>109</v>
      </c>
      <c r="R3" t="s">
        <v>6282</v>
      </c>
      <c r="S3" t="s">
        <v>6280</v>
      </c>
      <c r="T3" t="s">
        <v>96</v>
      </c>
    </row>
    <row r="4" spans="1:20" ht="15" customHeight="1" x14ac:dyDescent="0.4">
      <c r="A4" t="s">
        <v>112</v>
      </c>
      <c r="B4" t="s">
        <v>112</v>
      </c>
      <c r="C4" t="s">
        <v>151</v>
      </c>
      <c r="D4" t="s">
        <v>104</v>
      </c>
      <c r="E4" t="s">
        <v>103</v>
      </c>
      <c r="F4" t="s">
        <v>6283</v>
      </c>
      <c r="G4" t="s">
        <v>6278</v>
      </c>
      <c r="H4" t="s">
        <v>110</v>
      </c>
      <c r="I4" t="s">
        <v>31</v>
      </c>
      <c r="J4" t="s">
        <v>111</v>
      </c>
      <c r="K4" t="s">
        <v>31</v>
      </c>
      <c r="L4" t="s">
        <v>6283</v>
      </c>
      <c r="N4" t="s">
        <v>6283</v>
      </c>
      <c r="O4" t="s">
        <v>3</v>
      </c>
      <c r="P4" t="s">
        <v>113</v>
      </c>
      <c r="Q4" t="s">
        <v>114</v>
      </c>
      <c r="R4" t="s">
        <v>6279</v>
      </c>
      <c r="S4" t="s">
        <v>6280</v>
      </c>
      <c r="T4" t="s">
        <v>96</v>
      </c>
    </row>
    <row r="5" spans="1:20" ht="15" customHeight="1" x14ac:dyDescent="0.4">
      <c r="A5" t="s">
        <v>116</v>
      </c>
      <c r="B5" t="s">
        <v>116</v>
      </c>
      <c r="C5" t="s">
        <v>151</v>
      </c>
      <c r="D5" t="s">
        <v>104</v>
      </c>
      <c r="E5" t="s">
        <v>103</v>
      </c>
      <c r="F5" t="s">
        <v>6284</v>
      </c>
      <c r="G5" t="s">
        <v>6285</v>
      </c>
      <c r="H5" t="s">
        <v>115</v>
      </c>
      <c r="I5" t="s">
        <v>31</v>
      </c>
      <c r="L5" t="s">
        <v>6284</v>
      </c>
      <c r="N5" t="s">
        <v>6284</v>
      </c>
      <c r="O5" t="s">
        <v>3</v>
      </c>
      <c r="P5" t="s">
        <v>117</v>
      </c>
      <c r="Q5" t="s">
        <v>118</v>
      </c>
      <c r="T5" t="s">
        <v>119</v>
      </c>
    </row>
    <row r="6" spans="1:20" ht="15" customHeight="1" x14ac:dyDescent="0.4">
      <c r="A6" t="s">
        <v>121</v>
      </c>
      <c r="B6" t="s">
        <v>121</v>
      </c>
      <c r="C6" t="s">
        <v>151</v>
      </c>
      <c r="D6" t="s">
        <v>104</v>
      </c>
      <c r="E6" t="s">
        <v>124</v>
      </c>
      <c r="F6" t="s">
        <v>6286</v>
      </c>
      <c r="G6" t="s">
        <v>6285</v>
      </c>
      <c r="H6" t="s">
        <v>120</v>
      </c>
      <c r="L6" t="s">
        <v>6286</v>
      </c>
      <c r="M6" t="s">
        <v>6286</v>
      </c>
      <c r="O6" t="s">
        <v>4</v>
      </c>
      <c r="P6" t="s">
        <v>122</v>
      </c>
      <c r="Q6" t="s">
        <v>123</v>
      </c>
      <c r="R6" t="s">
        <v>6279</v>
      </c>
      <c r="S6" t="s">
        <v>6287</v>
      </c>
      <c r="T6" t="s">
        <v>119</v>
      </c>
    </row>
    <row r="7" spans="1:20" ht="15" customHeight="1" x14ac:dyDescent="0.4">
      <c r="A7" t="s">
        <v>126</v>
      </c>
      <c r="B7" t="s">
        <v>126</v>
      </c>
      <c r="C7" t="s">
        <v>151</v>
      </c>
      <c r="D7" t="s">
        <v>104</v>
      </c>
      <c r="E7" t="s">
        <v>124</v>
      </c>
      <c r="F7" t="s">
        <v>6288</v>
      </c>
      <c r="G7" t="s">
        <v>6285</v>
      </c>
      <c r="H7" t="s">
        <v>125</v>
      </c>
      <c r="L7" t="s">
        <v>6288</v>
      </c>
      <c r="M7" t="s">
        <v>6288</v>
      </c>
      <c r="O7" t="s">
        <v>4</v>
      </c>
      <c r="P7" t="s">
        <v>127</v>
      </c>
      <c r="Q7" t="s">
        <v>123</v>
      </c>
      <c r="R7" t="s">
        <v>6279</v>
      </c>
      <c r="S7" t="s">
        <v>6287</v>
      </c>
      <c r="T7" t="s">
        <v>119</v>
      </c>
    </row>
    <row r="8" spans="1:20" ht="15" customHeight="1" x14ac:dyDescent="0.4">
      <c r="A8" t="s">
        <v>129</v>
      </c>
      <c r="B8" t="s">
        <v>129</v>
      </c>
      <c r="C8" t="s">
        <v>151</v>
      </c>
      <c r="D8" t="s">
        <v>104</v>
      </c>
      <c r="E8" t="s">
        <v>124</v>
      </c>
      <c r="F8" t="s">
        <v>6289</v>
      </c>
      <c r="G8" t="s">
        <v>6285</v>
      </c>
      <c r="H8" t="s">
        <v>128</v>
      </c>
      <c r="L8" t="s">
        <v>6289</v>
      </c>
      <c r="M8" t="s">
        <v>6289</v>
      </c>
      <c r="O8" t="s">
        <v>4</v>
      </c>
      <c r="P8" t="s">
        <v>130</v>
      </c>
      <c r="Q8" t="s">
        <v>123</v>
      </c>
      <c r="R8" t="s">
        <v>6279</v>
      </c>
      <c r="S8" t="s">
        <v>6287</v>
      </c>
      <c r="T8" t="s">
        <v>119</v>
      </c>
    </row>
    <row r="9" spans="1:20" ht="15" customHeight="1" x14ac:dyDescent="0.4">
      <c r="A9" t="s">
        <v>132</v>
      </c>
      <c r="B9" t="s">
        <v>132</v>
      </c>
      <c r="C9" t="s">
        <v>151</v>
      </c>
      <c r="D9" t="s">
        <v>104</v>
      </c>
      <c r="E9" t="s">
        <v>124</v>
      </c>
      <c r="F9" t="s">
        <v>6290</v>
      </c>
      <c r="G9" t="s">
        <v>6285</v>
      </c>
      <c r="H9" t="s">
        <v>131</v>
      </c>
      <c r="L9" t="s">
        <v>6290</v>
      </c>
      <c r="M9" t="s">
        <v>6290</v>
      </c>
      <c r="O9" t="s">
        <v>4</v>
      </c>
      <c r="P9" t="s">
        <v>133</v>
      </c>
      <c r="Q9" t="s">
        <v>123</v>
      </c>
      <c r="R9" t="s">
        <v>6279</v>
      </c>
      <c r="S9" t="s">
        <v>6287</v>
      </c>
      <c r="T9" t="s">
        <v>119</v>
      </c>
    </row>
    <row r="10" spans="1:20" ht="15" customHeight="1" x14ac:dyDescent="0.4">
      <c r="A10" t="s">
        <v>135</v>
      </c>
      <c r="B10" t="s">
        <v>135</v>
      </c>
      <c r="C10" t="s">
        <v>151</v>
      </c>
      <c r="D10" t="s">
        <v>104</v>
      </c>
      <c r="E10" t="s">
        <v>138</v>
      </c>
      <c r="F10" t="s">
        <v>6284</v>
      </c>
      <c r="G10" t="s">
        <v>6285</v>
      </c>
      <c r="H10" t="s">
        <v>134</v>
      </c>
      <c r="I10" t="s">
        <v>31</v>
      </c>
      <c r="L10" t="s">
        <v>6284</v>
      </c>
      <c r="N10" t="s">
        <v>6284</v>
      </c>
      <c r="O10" t="s">
        <v>5</v>
      </c>
      <c r="P10" t="s">
        <v>136</v>
      </c>
      <c r="Q10" t="s">
        <v>137</v>
      </c>
      <c r="T10" t="s">
        <v>119</v>
      </c>
    </row>
    <row r="11" spans="1:20" ht="15" customHeight="1" x14ac:dyDescent="0.4">
      <c r="A11" t="s">
        <v>140</v>
      </c>
      <c r="B11" t="s">
        <v>140</v>
      </c>
      <c r="C11" t="s">
        <v>151</v>
      </c>
      <c r="D11" t="s">
        <v>104</v>
      </c>
      <c r="E11" t="s">
        <v>138</v>
      </c>
      <c r="F11" t="s">
        <v>6277</v>
      </c>
      <c r="G11" t="s">
        <v>6291</v>
      </c>
      <c r="H11" t="s">
        <v>139</v>
      </c>
      <c r="I11" t="s">
        <v>31</v>
      </c>
      <c r="J11" t="s">
        <v>99</v>
      </c>
      <c r="K11" t="s">
        <v>31</v>
      </c>
      <c r="L11" t="s">
        <v>6277</v>
      </c>
      <c r="N11" t="s">
        <v>6277</v>
      </c>
      <c r="O11" t="s">
        <v>5</v>
      </c>
      <c r="P11" t="s">
        <v>101</v>
      </c>
      <c r="Q11" t="s">
        <v>141</v>
      </c>
      <c r="R11" t="s">
        <v>6279</v>
      </c>
      <c r="T11" t="s">
        <v>96</v>
      </c>
    </row>
    <row r="12" spans="1:20" ht="15" customHeight="1" x14ac:dyDescent="0.4">
      <c r="A12" t="s">
        <v>143</v>
      </c>
      <c r="B12" t="s">
        <v>143</v>
      </c>
      <c r="C12" t="s">
        <v>151</v>
      </c>
      <c r="D12" t="s">
        <v>104</v>
      </c>
      <c r="E12" t="s">
        <v>138</v>
      </c>
      <c r="F12" t="s">
        <v>6281</v>
      </c>
      <c r="G12" t="s">
        <v>6291</v>
      </c>
      <c r="H12" t="s">
        <v>142</v>
      </c>
      <c r="I12" t="s">
        <v>31</v>
      </c>
      <c r="J12" t="s">
        <v>106</v>
      </c>
      <c r="K12" t="s">
        <v>31</v>
      </c>
      <c r="L12" t="s">
        <v>6281</v>
      </c>
      <c r="N12" t="s">
        <v>6281</v>
      </c>
      <c r="O12" t="s">
        <v>5</v>
      </c>
      <c r="P12" t="s">
        <v>108</v>
      </c>
      <c r="Q12" t="s">
        <v>144</v>
      </c>
      <c r="R12" t="s">
        <v>6282</v>
      </c>
      <c r="T12" t="s">
        <v>96</v>
      </c>
    </row>
    <row r="13" spans="1:20" ht="15" customHeight="1" x14ac:dyDescent="0.4">
      <c r="A13" t="s">
        <v>146</v>
      </c>
      <c r="B13" t="s">
        <v>146</v>
      </c>
      <c r="C13" t="s">
        <v>151</v>
      </c>
      <c r="D13" t="s">
        <v>104</v>
      </c>
      <c r="E13" t="s">
        <v>138</v>
      </c>
      <c r="F13" t="s">
        <v>6283</v>
      </c>
      <c r="G13" t="s">
        <v>6291</v>
      </c>
      <c r="H13" t="s">
        <v>145</v>
      </c>
      <c r="I13" t="s">
        <v>31</v>
      </c>
      <c r="J13" t="s">
        <v>111</v>
      </c>
      <c r="K13" t="s">
        <v>31</v>
      </c>
      <c r="L13" t="s">
        <v>6283</v>
      </c>
      <c r="N13" t="s">
        <v>6283</v>
      </c>
      <c r="O13" t="s">
        <v>5</v>
      </c>
      <c r="P13" t="s">
        <v>113</v>
      </c>
      <c r="Q13" t="s">
        <v>147</v>
      </c>
      <c r="R13" t="s">
        <v>6279</v>
      </c>
      <c r="T13" t="s">
        <v>96</v>
      </c>
    </row>
    <row r="14" spans="1:20" ht="15" customHeight="1" x14ac:dyDescent="0.4">
      <c r="A14" t="s">
        <v>149</v>
      </c>
      <c r="B14" t="s">
        <v>149</v>
      </c>
      <c r="C14" t="s">
        <v>151</v>
      </c>
      <c r="D14" t="s">
        <v>81</v>
      </c>
      <c r="E14" t="s">
        <v>156</v>
      </c>
      <c r="F14" t="s">
        <v>6</v>
      </c>
      <c r="G14" t="s">
        <v>6292</v>
      </c>
      <c r="H14" t="s">
        <v>148</v>
      </c>
      <c r="L14" t="s">
        <v>6</v>
      </c>
      <c r="N14" t="s">
        <v>6</v>
      </c>
      <c r="O14" t="s">
        <v>6</v>
      </c>
      <c r="P14" t="s">
        <v>150</v>
      </c>
      <c r="Q14" t="s">
        <v>6</v>
      </c>
      <c r="R14" t="s">
        <v>6279</v>
      </c>
      <c r="S14" t="s">
        <v>6280</v>
      </c>
      <c r="T14" t="s">
        <v>96</v>
      </c>
    </row>
    <row r="15" spans="1:20" ht="15" customHeight="1" x14ac:dyDescent="0.4">
      <c r="A15" t="s">
        <v>159</v>
      </c>
      <c r="B15" t="s">
        <v>159</v>
      </c>
      <c r="C15" t="s">
        <v>151</v>
      </c>
      <c r="D15" t="s">
        <v>81</v>
      </c>
      <c r="E15" t="s">
        <v>163</v>
      </c>
      <c r="F15" t="s">
        <v>6293</v>
      </c>
      <c r="G15" t="s">
        <v>6294</v>
      </c>
      <c r="H15" t="s">
        <v>158</v>
      </c>
      <c r="L15" t="s">
        <v>6293</v>
      </c>
      <c r="N15" t="s">
        <v>6293</v>
      </c>
      <c r="O15" t="s">
        <v>7</v>
      </c>
      <c r="P15" t="s">
        <v>160</v>
      </c>
      <c r="Q15" t="s">
        <v>6295</v>
      </c>
      <c r="R15" s="27" t="s">
        <v>6296</v>
      </c>
      <c r="S15" t="s">
        <v>6280</v>
      </c>
      <c r="T15" t="s">
        <v>119</v>
      </c>
    </row>
    <row r="16" spans="1:20" ht="15" customHeight="1" x14ac:dyDescent="0.4">
      <c r="A16" t="s">
        <v>166</v>
      </c>
      <c r="B16" t="s">
        <v>166</v>
      </c>
      <c r="C16" t="s">
        <v>151</v>
      </c>
      <c r="D16" t="s">
        <v>81</v>
      </c>
      <c r="E16" t="s">
        <v>163</v>
      </c>
      <c r="F16" t="s">
        <v>6297</v>
      </c>
      <c r="G16" t="s">
        <v>6294</v>
      </c>
      <c r="H16" t="s">
        <v>165</v>
      </c>
      <c r="L16" t="s">
        <v>6297</v>
      </c>
      <c r="N16" t="s">
        <v>6297</v>
      </c>
      <c r="O16" t="s">
        <v>7</v>
      </c>
      <c r="P16" t="s">
        <v>167</v>
      </c>
      <c r="Q16" t="s">
        <v>168</v>
      </c>
      <c r="R16" s="27" t="s">
        <v>6298</v>
      </c>
      <c r="S16" t="s">
        <v>6280</v>
      </c>
      <c r="T16" t="s">
        <v>119</v>
      </c>
    </row>
    <row r="17" spans="1:20" ht="15" customHeight="1" x14ac:dyDescent="0.4">
      <c r="A17" t="s">
        <v>170</v>
      </c>
      <c r="B17" t="s">
        <v>170</v>
      </c>
      <c r="C17" t="s">
        <v>151</v>
      </c>
      <c r="D17" t="s">
        <v>81</v>
      </c>
      <c r="E17" t="s">
        <v>163</v>
      </c>
      <c r="F17" t="s">
        <v>6299</v>
      </c>
      <c r="G17" t="s">
        <v>6294</v>
      </c>
      <c r="H17" t="s">
        <v>169</v>
      </c>
      <c r="L17" t="s">
        <v>6299</v>
      </c>
      <c r="N17" t="s">
        <v>6299</v>
      </c>
      <c r="O17" t="s">
        <v>7</v>
      </c>
      <c r="P17" t="s">
        <v>171</v>
      </c>
      <c r="Q17" t="s">
        <v>172</v>
      </c>
      <c r="R17" t="s">
        <v>6300</v>
      </c>
      <c r="S17" t="s">
        <v>6280</v>
      </c>
      <c r="T17" t="s">
        <v>119</v>
      </c>
    </row>
    <row r="18" spans="1:20" ht="15" customHeight="1" x14ac:dyDescent="0.4">
      <c r="A18" t="s">
        <v>175</v>
      </c>
      <c r="B18" t="s">
        <v>175</v>
      </c>
      <c r="C18" t="s">
        <v>151</v>
      </c>
      <c r="D18" t="s">
        <v>81</v>
      </c>
      <c r="E18" t="s">
        <v>163</v>
      </c>
      <c r="F18" t="s">
        <v>6301</v>
      </c>
      <c r="G18" t="s">
        <v>6294</v>
      </c>
      <c r="H18" t="s">
        <v>174</v>
      </c>
      <c r="L18" t="s">
        <v>6301</v>
      </c>
      <c r="N18" t="s">
        <v>6301</v>
      </c>
      <c r="O18" t="s">
        <v>7</v>
      </c>
      <c r="P18" t="s">
        <v>176</v>
      </c>
      <c r="Q18" t="s">
        <v>177</v>
      </c>
      <c r="R18" t="s">
        <v>6302</v>
      </c>
      <c r="S18" t="s">
        <v>6280</v>
      </c>
      <c r="T18" t="s">
        <v>119</v>
      </c>
    </row>
    <row r="19" spans="1:20" ht="15" customHeight="1" x14ac:dyDescent="0.4">
      <c r="A19" t="s">
        <v>179</v>
      </c>
      <c r="B19" t="s">
        <v>179</v>
      </c>
      <c r="C19" t="s">
        <v>151</v>
      </c>
      <c r="D19" t="s">
        <v>81</v>
      </c>
      <c r="E19" t="s">
        <v>163</v>
      </c>
      <c r="F19" t="s">
        <v>6303</v>
      </c>
      <c r="G19" t="s">
        <v>6294</v>
      </c>
      <c r="H19" t="s">
        <v>178</v>
      </c>
      <c r="L19" t="s">
        <v>6303</v>
      </c>
      <c r="N19" t="s">
        <v>6303</v>
      </c>
      <c r="O19" t="s">
        <v>7</v>
      </c>
      <c r="P19" t="s">
        <v>180</v>
      </c>
      <c r="Q19" t="s">
        <v>181</v>
      </c>
      <c r="R19" t="s">
        <v>6304</v>
      </c>
      <c r="S19" t="s">
        <v>6280</v>
      </c>
      <c r="T19" t="s">
        <v>119</v>
      </c>
    </row>
    <row r="20" spans="1:20" ht="15" customHeight="1" x14ac:dyDescent="0.4">
      <c r="A20" t="s">
        <v>183</v>
      </c>
      <c r="B20" t="s">
        <v>183</v>
      </c>
      <c r="C20" t="s">
        <v>151</v>
      </c>
      <c r="D20" t="s">
        <v>81</v>
      </c>
      <c r="E20" t="s">
        <v>163</v>
      </c>
      <c r="F20" t="s">
        <v>6305</v>
      </c>
      <c r="G20" t="s">
        <v>6294</v>
      </c>
      <c r="H20" t="s">
        <v>182</v>
      </c>
      <c r="L20" t="s">
        <v>6305</v>
      </c>
      <c r="N20" t="s">
        <v>6305</v>
      </c>
      <c r="O20" t="s">
        <v>7</v>
      </c>
      <c r="P20" t="s">
        <v>184</v>
      </c>
      <c r="Q20" t="s">
        <v>185</v>
      </c>
      <c r="R20" t="s">
        <v>6306</v>
      </c>
      <c r="S20" t="s">
        <v>6280</v>
      </c>
      <c r="T20" t="s">
        <v>119</v>
      </c>
    </row>
    <row r="21" spans="1:20" ht="15" customHeight="1" x14ac:dyDescent="0.4">
      <c r="A21" t="s">
        <v>188</v>
      </c>
      <c r="B21" t="s">
        <v>188</v>
      </c>
      <c r="C21" t="s">
        <v>151</v>
      </c>
      <c r="D21" t="s">
        <v>81</v>
      </c>
      <c r="E21" t="s">
        <v>163</v>
      </c>
      <c r="F21" t="s">
        <v>6307</v>
      </c>
      <c r="G21" t="s">
        <v>6294</v>
      </c>
      <c r="H21" t="s">
        <v>187</v>
      </c>
      <c r="L21" t="s">
        <v>6307</v>
      </c>
      <c r="N21" t="s">
        <v>6307</v>
      </c>
      <c r="O21" t="s">
        <v>7</v>
      </c>
      <c r="P21" t="s">
        <v>189</v>
      </c>
      <c r="Q21" t="s">
        <v>190</v>
      </c>
      <c r="R21" t="s">
        <v>6308</v>
      </c>
      <c r="S21" t="s">
        <v>6280</v>
      </c>
      <c r="T21" t="s">
        <v>119</v>
      </c>
    </row>
    <row r="22" spans="1:20" ht="15" customHeight="1" x14ac:dyDescent="0.4">
      <c r="A22" t="s">
        <v>192</v>
      </c>
      <c r="B22" t="s">
        <v>192</v>
      </c>
      <c r="C22" t="s">
        <v>151</v>
      </c>
      <c r="D22" t="s">
        <v>81</v>
      </c>
      <c r="E22" t="s">
        <v>163</v>
      </c>
      <c r="F22" t="s">
        <v>6309</v>
      </c>
      <c r="G22" t="s">
        <v>6294</v>
      </c>
      <c r="H22" t="s">
        <v>191</v>
      </c>
      <c r="L22" t="s">
        <v>6309</v>
      </c>
      <c r="N22" t="s">
        <v>6309</v>
      </c>
      <c r="O22" t="s">
        <v>7</v>
      </c>
      <c r="P22" t="s">
        <v>193</v>
      </c>
      <c r="Q22" t="s">
        <v>194</v>
      </c>
      <c r="R22" t="s">
        <v>6310</v>
      </c>
      <c r="S22" t="s">
        <v>6280</v>
      </c>
      <c r="T22" t="s">
        <v>119</v>
      </c>
    </row>
    <row r="23" spans="1:20" ht="15" customHeight="1" x14ac:dyDescent="0.4">
      <c r="A23" t="s">
        <v>196</v>
      </c>
      <c r="B23" t="s">
        <v>196</v>
      </c>
      <c r="C23" t="s">
        <v>151</v>
      </c>
      <c r="D23" t="s">
        <v>81</v>
      </c>
      <c r="E23" t="s">
        <v>163</v>
      </c>
      <c r="F23" t="s">
        <v>6311</v>
      </c>
      <c r="G23" t="s">
        <v>6294</v>
      </c>
      <c r="H23" t="s">
        <v>195</v>
      </c>
      <c r="L23" t="s">
        <v>6311</v>
      </c>
      <c r="N23" t="s">
        <v>6311</v>
      </c>
      <c r="O23" t="s">
        <v>7</v>
      </c>
      <c r="P23" t="s">
        <v>197</v>
      </c>
      <c r="Q23" t="s">
        <v>198</v>
      </c>
      <c r="R23" t="s">
        <v>6312</v>
      </c>
      <c r="S23" t="s">
        <v>6280</v>
      </c>
      <c r="T23" t="s">
        <v>119</v>
      </c>
    </row>
    <row r="24" spans="1:20" ht="15" customHeight="1" x14ac:dyDescent="0.4">
      <c r="A24" t="s">
        <v>200</v>
      </c>
      <c r="B24" t="s">
        <v>200</v>
      </c>
      <c r="C24" t="s">
        <v>151</v>
      </c>
      <c r="D24" t="s">
        <v>81</v>
      </c>
      <c r="E24" t="s">
        <v>163</v>
      </c>
      <c r="F24" t="s">
        <v>6313</v>
      </c>
      <c r="G24" t="s">
        <v>6294</v>
      </c>
      <c r="H24" t="s">
        <v>199</v>
      </c>
      <c r="L24" t="s">
        <v>6313</v>
      </c>
      <c r="N24" t="s">
        <v>6313</v>
      </c>
      <c r="O24" t="s">
        <v>7</v>
      </c>
      <c r="P24" t="s">
        <v>201</v>
      </c>
      <c r="Q24" t="s">
        <v>202</v>
      </c>
      <c r="R24" t="s">
        <v>6314</v>
      </c>
      <c r="S24" t="s">
        <v>6280</v>
      </c>
      <c r="T24" t="s">
        <v>119</v>
      </c>
    </row>
    <row r="25" spans="1:20" ht="15" customHeight="1" x14ac:dyDescent="0.4">
      <c r="A25" t="s">
        <v>204</v>
      </c>
      <c r="B25" t="s">
        <v>204</v>
      </c>
      <c r="C25" t="s">
        <v>151</v>
      </c>
      <c r="D25" t="s">
        <v>81</v>
      </c>
      <c r="E25" t="s">
        <v>163</v>
      </c>
      <c r="F25" t="s">
        <v>6315</v>
      </c>
      <c r="G25" t="s">
        <v>6294</v>
      </c>
      <c r="H25" t="s">
        <v>203</v>
      </c>
      <c r="L25" t="s">
        <v>6315</v>
      </c>
      <c r="N25" t="s">
        <v>6315</v>
      </c>
      <c r="O25" t="s">
        <v>7</v>
      </c>
      <c r="P25" t="s">
        <v>205</v>
      </c>
      <c r="Q25" t="s">
        <v>206</v>
      </c>
      <c r="R25" t="s">
        <v>6316</v>
      </c>
      <c r="S25" t="s">
        <v>6280</v>
      </c>
      <c r="T25" t="s">
        <v>119</v>
      </c>
    </row>
    <row r="26" spans="1:20" ht="15" customHeight="1" x14ac:dyDescent="0.4">
      <c r="A26" t="s">
        <v>208</v>
      </c>
      <c r="B26" t="s">
        <v>208</v>
      </c>
      <c r="C26" t="s">
        <v>151</v>
      </c>
      <c r="D26" t="s">
        <v>81</v>
      </c>
      <c r="E26" t="s">
        <v>163</v>
      </c>
      <c r="F26" t="s">
        <v>6317</v>
      </c>
      <c r="G26" t="s">
        <v>6294</v>
      </c>
      <c r="H26" t="s">
        <v>207</v>
      </c>
      <c r="L26" t="s">
        <v>6317</v>
      </c>
      <c r="N26" t="s">
        <v>6317</v>
      </c>
      <c r="O26" t="s">
        <v>7</v>
      </c>
      <c r="P26" t="s">
        <v>209</v>
      </c>
      <c r="Q26" t="s">
        <v>210</v>
      </c>
      <c r="R26" t="s">
        <v>6318</v>
      </c>
      <c r="S26" t="s">
        <v>6280</v>
      </c>
      <c r="T26" t="s">
        <v>119</v>
      </c>
    </row>
    <row r="27" spans="1:20" ht="15" customHeight="1" x14ac:dyDescent="0.4">
      <c r="A27" t="s">
        <v>212</v>
      </c>
      <c r="B27" t="s">
        <v>212</v>
      </c>
      <c r="C27" t="s">
        <v>151</v>
      </c>
      <c r="D27" t="s">
        <v>81</v>
      </c>
      <c r="E27" t="s">
        <v>163</v>
      </c>
      <c r="F27" t="s">
        <v>6319</v>
      </c>
      <c r="G27" t="s">
        <v>6294</v>
      </c>
      <c r="H27" t="s">
        <v>6320</v>
      </c>
      <c r="L27" t="s">
        <v>6319</v>
      </c>
      <c r="N27" t="s">
        <v>6319</v>
      </c>
      <c r="O27" t="s">
        <v>7</v>
      </c>
      <c r="P27" t="s">
        <v>213</v>
      </c>
      <c r="Q27" t="s">
        <v>214</v>
      </c>
      <c r="R27" t="s">
        <v>6279</v>
      </c>
      <c r="S27" t="s">
        <v>6280</v>
      </c>
      <c r="T27" t="s">
        <v>119</v>
      </c>
    </row>
    <row r="28" spans="1:20" ht="15" customHeight="1" x14ac:dyDescent="0.4">
      <c r="A28" t="s">
        <v>216</v>
      </c>
      <c r="B28" t="s">
        <v>216</v>
      </c>
      <c r="C28" t="s">
        <v>151</v>
      </c>
      <c r="D28" t="s">
        <v>81</v>
      </c>
      <c r="E28" t="s">
        <v>163</v>
      </c>
      <c r="F28" t="s">
        <v>6321</v>
      </c>
      <c r="G28" t="s">
        <v>6294</v>
      </c>
      <c r="H28" t="s">
        <v>215</v>
      </c>
      <c r="L28" t="s">
        <v>6321</v>
      </c>
      <c r="N28" t="s">
        <v>6321</v>
      </c>
      <c r="O28" t="s">
        <v>7</v>
      </c>
      <c r="P28" t="s">
        <v>217</v>
      </c>
      <c r="Q28" t="s">
        <v>218</v>
      </c>
      <c r="R28" t="s">
        <v>6322</v>
      </c>
      <c r="S28" t="s">
        <v>6280</v>
      </c>
      <c r="T28" t="s">
        <v>119</v>
      </c>
    </row>
    <row r="29" spans="1:20" ht="15" customHeight="1" x14ac:dyDescent="0.4">
      <c r="A29" t="s">
        <v>220</v>
      </c>
      <c r="B29" t="s">
        <v>220</v>
      </c>
      <c r="C29" t="s">
        <v>151</v>
      </c>
      <c r="D29" t="s">
        <v>81</v>
      </c>
      <c r="E29" t="s">
        <v>163</v>
      </c>
      <c r="F29" t="s">
        <v>6323</v>
      </c>
      <c r="G29" t="s">
        <v>6294</v>
      </c>
      <c r="H29" t="s">
        <v>219</v>
      </c>
      <c r="L29" t="s">
        <v>6323</v>
      </c>
      <c r="N29" t="s">
        <v>6323</v>
      </c>
      <c r="O29" t="s">
        <v>7</v>
      </c>
      <c r="P29" t="s">
        <v>221</v>
      </c>
      <c r="Q29" t="s">
        <v>222</v>
      </c>
      <c r="R29" t="s">
        <v>6324</v>
      </c>
      <c r="S29" t="s">
        <v>6280</v>
      </c>
      <c r="T29" t="s">
        <v>119</v>
      </c>
    </row>
    <row r="30" spans="1:20" ht="15" customHeight="1" x14ac:dyDescent="0.4">
      <c r="A30" t="s">
        <v>224</v>
      </c>
      <c r="B30" t="s">
        <v>224</v>
      </c>
      <c r="C30" t="s">
        <v>151</v>
      </c>
      <c r="D30" t="s">
        <v>81</v>
      </c>
      <c r="E30" t="s">
        <v>163</v>
      </c>
      <c r="F30" t="s">
        <v>6325</v>
      </c>
      <c r="G30" t="s">
        <v>6294</v>
      </c>
      <c r="H30" t="s">
        <v>6326</v>
      </c>
      <c r="L30" t="s">
        <v>6325</v>
      </c>
      <c r="N30" t="s">
        <v>6325</v>
      </c>
      <c r="O30" t="s">
        <v>7</v>
      </c>
      <c r="P30" t="s">
        <v>225</v>
      </c>
      <c r="Q30" t="s">
        <v>226</v>
      </c>
      <c r="R30" t="s">
        <v>6279</v>
      </c>
      <c r="S30" t="s">
        <v>6280</v>
      </c>
      <c r="T30" t="s">
        <v>119</v>
      </c>
    </row>
    <row r="31" spans="1:20" ht="15" customHeight="1" x14ac:dyDescent="0.4">
      <c r="A31" t="s">
        <v>228</v>
      </c>
      <c r="B31" t="s">
        <v>228</v>
      </c>
      <c r="C31" t="s">
        <v>151</v>
      </c>
      <c r="D31" t="s">
        <v>81</v>
      </c>
      <c r="E31" t="s">
        <v>163</v>
      </c>
      <c r="F31" t="s">
        <v>6327</v>
      </c>
      <c r="G31" t="s">
        <v>6294</v>
      </c>
      <c r="H31" t="s">
        <v>227</v>
      </c>
      <c r="L31" t="s">
        <v>6327</v>
      </c>
      <c r="N31" t="s">
        <v>6327</v>
      </c>
      <c r="O31" t="s">
        <v>7</v>
      </c>
      <c r="P31" t="s">
        <v>229</v>
      </c>
      <c r="Q31" t="s">
        <v>230</v>
      </c>
      <c r="R31" t="s">
        <v>6328</v>
      </c>
      <c r="S31" t="s">
        <v>6280</v>
      </c>
      <c r="T31" t="s">
        <v>119</v>
      </c>
    </row>
    <row r="32" spans="1:20" ht="15" customHeight="1" x14ac:dyDescent="0.4">
      <c r="A32" t="s">
        <v>232</v>
      </c>
      <c r="B32" t="s">
        <v>232</v>
      </c>
      <c r="C32" t="s">
        <v>151</v>
      </c>
      <c r="D32" t="s">
        <v>81</v>
      </c>
      <c r="E32" t="s">
        <v>163</v>
      </c>
      <c r="F32" t="s">
        <v>6329</v>
      </c>
      <c r="G32" t="s">
        <v>6294</v>
      </c>
      <c r="H32" t="s">
        <v>231</v>
      </c>
      <c r="L32" t="s">
        <v>6329</v>
      </c>
      <c r="N32" t="s">
        <v>6329</v>
      </c>
      <c r="O32" t="s">
        <v>7</v>
      </c>
      <c r="P32" t="s">
        <v>233</v>
      </c>
      <c r="Q32" t="s">
        <v>234</v>
      </c>
      <c r="R32" t="s">
        <v>6330</v>
      </c>
      <c r="S32" t="s">
        <v>6280</v>
      </c>
      <c r="T32" t="s">
        <v>119</v>
      </c>
    </row>
    <row r="33" spans="1:20" ht="15" customHeight="1" x14ac:dyDescent="0.4">
      <c r="A33" t="s">
        <v>236</v>
      </c>
      <c r="B33" t="s">
        <v>236</v>
      </c>
      <c r="C33" t="s">
        <v>151</v>
      </c>
      <c r="D33" t="s">
        <v>81</v>
      </c>
      <c r="E33" t="s">
        <v>163</v>
      </c>
      <c r="F33" t="s">
        <v>6331</v>
      </c>
      <c r="G33" t="s">
        <v>6294</v>
      </c>
      <c r="H33" t="s">
        <v>235</v>
      </c>
      <c r="L33" t="s">
        <v>6331</v>
      </c>
      <c r="N33" t="s">
        <v>6331</v>
      </c>
      <c r="O33" t="s">
        <v>7</v>
      </c>
      <c r="P33" t="s">
        <v>237</v>
      </c>
      <c r="Q33" t="s">
        <v>238</v>
      </c>
      <c r="R33" t="s">
        <v>6332</v>
      </c>
      <c r="S33" t="s">
        <v>6280</v>
      </c>
      <c r="T33" t="s">
        <v>119</v>
      </c>
    </row>
    <row r="34" spans="1:20" ht="15" customHeight="1" x14ac:dyDescent="0.4">
      <c r="A34" t="s">
        <v>240</v>
      </c>
      <c r="B34" t="s">
        <v>240</v>
      </c>
      <c r="C34" t="s">
        <v>151</v>
      </c>
      <c r="D34" t="s">
        <v>81</v>
      </c>
      <c r="E34" t="s">
        <v>163</v>
      </c>
      <c r="F34" t="s">
        <v>6333</v>
      </c>
      <c r="G34" t="s">
        <v>6294</v>
      </c>
      <c r="H34" t="s">
        <v>6334</v>
      </c>
      <c r="L34" t="s">
        <v>6333</v>
      </c>
      <c r="N34" t="s">
        <v>6333</v>
      </c>
      <c r="O34" t="s">
        <v>7</v>
      </c>
      <c r="P34" t="s">
        <v>241</v>
      </c>
      <c r="Q34" t="s">
        <v>242</v>
      </c>
      <c r="R34" t="s">
        <v>6279</v>
      </c>
      <c r="S34" t="s">
        <v>6280</v>
      </c>
      <c r="T34" t="s">
        <v>119</v>
      </c>
    </row>
    <row r="35" spans="1:20" ht="15" customHeight="1" x14ac:dyDescent="0.4">
      <c r="A35" t="s">
        <v>244</v>
      </c>
      <c r="B35" t="s">
        <v>244</v>
      </c>
      <c r="C35" t="s">
        <v>151</v>
      </c>
      <c r="D35" t="s">
        <v>81</v>
      </c>
      <c r="E35" t="s">
        <v>163</v>
      </c>
      <c r="F35" t="s">
        <v>6335</v>
      </c>
      <c r="G35" t="s">
        <v>6294</v>
      </c>
      <c r="H35" t="s">
        <v>243</v>
      </c>
      <c r="L35" t="s">
        <v>6335</v>
      </c>
      <c r="N35" t="s">
        <v>6335</v>
      </c>
      <c r="O35" t="s">
        <v>7</v>
      </c>
      <c r="P35" t="s">
        <v>245</v>
      </c>
      <c r="Q35" t="s">
        <v>246</v>
      </c>
      <c r="R35" t="s">
        <v>6336</v>
      </c>
      <c r="S35" t="s">
        <v>6280</v>
      </c>
      <c r="T35" t="s">
        <v>119</v>
      </c>
    </row>
    <row r="36" spans="1:20" ht="15" customHeight="1" x14ac:dyDescent="0.4">
      <c r="A36" t="s">
        <v>248</v>
      </c>
      <c r="B36" t="s">
        <v>248</v>
      </c>
      <c r="C36" t="s">
        <v>151</v>
      </c>
      <c r="D36" t="s">
        <v>81</v>
      </c>
      <c r="E36" t="s">
        <v>163</v>
      </c>
      <c r="F36" t="s">
        <v>6337</v>
      </c>
      <c r="G36" t="s">
        <v>6294</v>
      </c>
      <c r="H36" t="s">
        <v>6338</v>
      </c>
      <c r="L36" t="s">
        <v>6337</v>
      </c>
      <c r="N36" t="s">
        <v>6337</v>
      </c>
      <c r="O36" t="s">
        <v>7</v>
      </c>
      <c r="P36" t="s">
        <v>249</v>
      </c>
      <c r="Q36" t="s">
        <v>250</v>
      </c>
      <c r="R36" t="s">
        <v>6279</v>
      </c>
      <c r="S36" t="s">
        <v>6280</v>
      </c>
      <c r="T36" t="s">
        <v>119</v>
      </c>
    </row>
    <row r="37" spans="1:20" ht="15" customHeight="1" x14ac:dyDescent="0.4">
      <c r="A37" t="s">
        <v>252</v>
      </c>
      <c r="B37" t="s">
        <v>252</v>
      </c>
      <c r="C37" t="s">
        <v>151</v>
      </c>
      <c r="D37" t="s">
        <v>81</v>
      </c>
      <c r="E37" t="s">
        <v>163</v>
      </c>
      <c r="F37" t="s">
        <v>6339</v>
      </c>
      <c r="G37" t="s">
        <v>6294</v>
      </c>
      <c r="H37" t="s">
        <v>6340</v>
      </c>
      <c r="L37" t="s">
        <v>6339</v>
      </c>
      <c r="N37" t="s">
        <v>6339</v>
      </c>
      <c r="O37" t="s">
        <v>7</v>
      </c>
      <c r="P37" t="s">
        <v>253</v>
      </c>
      <c r="Q37" t="s">
        <v>250</v>
      </c>
      <c r="R37" t="s">
        <v>6279</v>
      </c>
      <c r="S37" t="s">
        <v>6280</v>
      </c>
      <c r="T37" t="s">
        <v>119</v>
      </c>
    </row>
    <row r="38" spans="1:20" ht="15" customHeight="1" x14ac:dyDescent="0.4">
      <c r="A38" t="s">
        <v>255</v>
      </c>
      <c r="B38" t="s">
        <v>255</v>
      </c>
      <c r="C38" t="s">
        <v>151</v>
      </c>
      <c r="D38" t="s">
        <v>81</v>
      </c>
      <c r="E38" t="s">
        <v>163</v>
      </c>
      <c r="F38" t="s">
        <v>6341</v>
      </c>
      <c r="G38" t="s">
        <v>6294</v>
      </c>
      <c r="H38" t="s">
        <v>254</v>
      </c>
      <c r="L38" t="s">
        <v>6341</v>
      </c>
      <c r="N38" t="s">
        <v>6341</v>
      </c>
      <c r="O38" t="s">
        <v>7</v>
      </c>
      <c r="P38" t="s">
        <v>256</v>
      </c>
      <c r="Q38" t="s">
        <v>257</v>
      </c>
      <c r="R38" t="s">
        <v>6342</v>
      </c>
      <c r="S38" t="s">
        <v>6280</v>
      </c>
      <c r="T38" t="s">
        <v>119</v>
      </c>
    </row>
    <row r="39" spans="1:20" ht="15" customHeight="1" x14ac:dyDescent="0.4">
      <c r="A39" t="s">
        <v>259</v>
      </c>
      <c r="B39" t="s">
        <v>259</v>
      </c>
      <c r="C39" t="s">
        <v>151</v>
      </c>
      <c r="D39" t="s">
        <v>81</v>
      </c>
      <c r="E39" t="s">
        <v>163</v>
      </c>
      <c r="F39" t="s">
        <v>6343</v>
      </c>
      <c r="G39" t="s">
        <v>6294</v>
      </c>
      <c r="H39" t="s">
        <v>6344</v>
      </c>
      <c r="L39" t="s">
        <v>6343</v>
      </c>
      <c r="N39" t="s">
        <v>6343</v>
      </c>
      <c r="O39" t="s">
        <v>7</v>
      </c>
      <c r="P39" t="s">
        <v>260</v>
      </c>
      <c r="Q39" t="s">
        <v>261</v>
      </c>
      <c r="R39" t="s">
        <v>6279</v>
      </c>
      <c r="S39" t="s">
        <v>6280</v>
      </c>
      <c r="T39" t="s">
        <v>119</v>
      </c>
    </row>
    <row r="40" spans="1:20" ht="15" customHeight="1" x14ac:dyDescent="0.4">
      <c r="A40" t="s">
        <v>263</v>
      </c>
      <c r="B40" t="s">
        <v>263</v>
      </c>
      <c r="C40" t="s">
        <v>151</v>
      </c>
      <c r="D40" t="s">
        <v>81</v>
      </c>
      <c r="E40" t="s">
        <v>163</v>
      </c>
      <c r="F40" t="s">
        <v>6345</v>
      </c>
      <c r="G40" t="s">
        <v>6294</v>
      </c>
      <c r="H40" t="s">
        <v>262</v>
      </c>
      <c r="L40" t="s">
        <v>6345</v>
      </c>
      <c r="N40" t="s">
        <v>6345</v>
      </c>
      <c r="O40" t="s">
        <v>7</v>
      </c>
      <c r="P40" t="s">
        <v>264</v>
      </c>
      <c r="Q40" t="s">
        <v>265</v>
      </c>
      <c r="R40" t="s">
        <v>6346</v>
      </c>
      <c r="S40" t="s">
        <v>6280</v>
      </c>
      <c r="T40" t="s">
        <v>119</v>
      </c>
    </row>
    <row r="41" spans="1:20" ht="15" customHeight="1" x14ac:dyDescent="0.4">
      <c r="A41" t="s">
        <v>267</v>
      </c>
      <c r="B41" t="s">
        <v>267</v>
      </c>
      <c r="C41" t="s">
        <v>151</v>
      </c>
      <c r="D41" t="s">
        <v>81</v>
      </c>
      <c r="E41" t="s">
        <v>163</v>
      </c>
      <c r="F41" t="s">
        <v>6347</v>
      </c>
      <c r="G41" t="s">
        <v>6294</v>
      </c>
      <c r="H41" t="s">
        <v>266</v>
      </c>
      <c r="L41" t="s">
        <v>6347</v>
      </c>
      <c r="N41" t="s">
        <v>6347</v>
      </c>
      <c r="O41" t="s">
        <v>7</v>
      </c>
      <c r="P41" t="s">
        <v>268</v>
      </c>
      <c r="Q41" t="s">
        <v>269</v>
      </c>
      <c r="R41" t="s">
        <v>6348</v>
      </c>
      <c r="S41" t="s">
        <v>6280</v>
      </c>
      <c r="T41" t="s">
        <v>119</v>
      </c>
    </row>
    <row r="42" spans="1:20" ht="15" customHeight="1" x14ac:dyDescent="0.4">
      <c r="A42" t="s">
        <v>271</v>
      </c>
      <c r="B42" t="s">
        <v>271</v>
      </c>
      <c r="C42" t="s">
        <v>151</v>
      </c>
      <c r="D42" t="s">
        <v>81</v>
      </c>
      <c r="E42" t="s">
        <v>163</v>
      </c>
      <c r="F42" t="s">
        <v>6349</v>
      </c>
      <c r="G42" t="s">
        <v>6294</v>
      </c>
      <c r="H42" t="s">
        <v>270</v>
      </c>
      <c r="L42" t="s">
        <v>6349</v>
      </c>
      <c r="N42" t="s">
        <v>6349</v>
      </c>
      <c r="O42" t="s">
        <v>7</v>
      </c>
      <c r="P42" t="s">
        <v>272</v>
      </c>
      <c r="Q42" t="s">
        <v>273</v>
      </c>
      <c r="R42" t="s">
        <v>6350</v>
      </c>
      <c r="S42" t="s">
        <v>6280</v>
      </c>
      <c r="T42" t="s">
        <v>119</v>
      </c>
    </row>
    <row r="43" spans="1:20" ht="15" customHeight="1" x14ac:dyDescent="0.4">
      <c r="A43" t="s">
        <v>275</v>
      </c>
      <c r="B43" t="s">
        <v>275</v>
      </c>
      <c r="C43" t="s">
        <v>151</v>
      </c>
      <c r="D43" t="s">
        <v>81</v>
      </c>
      <c r="E43" t="s">
        <v>163</v>
      </c>
      <c r="F43" t="s">
        <v>6351</v>
      </c>
      <c r="G43" t="s">
        <v>6294</v>
      </c>
      <c r="H43" t="s">
        <v>274</v>
      </c>
      <c r="L43" t="s">
        <v>6351</v>
      </c>
      <c r="N43" t="s">
        <v>6351</v>
      </c>
      <c r="O43" t="s">
        <v>7</v>
      </c>
      <c r="P43" t="s">
        <v>276</v>
      </c>
      <c r="Q43" t="s">
        <v>277</v>
      </c>
      <c r="R43" t="s">
        <v>6352</v>
      </c>
      <c r="S43" t="s">
        <v>6280</v>
      </c>
      <c r="T43" t="s">
        <v>119</v>
      </c>
    </row>
    <row r="44" spans="1:20" ht="15" customHeight="1" x14ac:dyDescent="0.4">
      <c r="A44" t="s">
        <v>279</v>
      </c>
      <c r="B44" t="s">
        <v>279</v>
      </c>
      <c r="C44" t="s">
        <v>151</v>
      </c>
      <c r="D44" t="s">
        <v>81</v>
      </c>
      <c r="E44" t="s">
        <v>163</v>
      </c>
      <c r="F44" t="s">
        <v>6353</v>
      </c>
      <c r="G44" t="s">
        <v>6294</v>
      </c>
      <c r="H44" t="s">
        <v>278</v>
      </c>
      <c r="L44" t="s">
        <v>6353</v>
      </c>
      <c r="N44" t="s">
        <v>6353</v>
      </c>
      <c r="O44" t="s">
        <v>7</v>
      </c>
      <c r="P44" t="s">
        <v>280</v>
      </c>
      <c r="Q44" t="s">
        <v>281</v>
      </c>
      <c r="R44" t="s">
        <v>6354</v>
      </c>
      <c r="S44" t="s">
        <v>6280</v>
      </c>
      <c r="T44" t="s">
        <v>119</v>
      </c>
    </row>
    <row r="45" spans="1:20" ht="15" customHeight="1" x14ac:dyDescent="0.4">
      <c r="A45" t="s">
        <v>283</v>
      </c>
      <c r="B45" t="s">
        <v>283</v>
      </c>
      <c r="C45" t="s">
        <v>151</v>
      </c>
      <c r="D45" t="s">
        <v>81</v>
      </c>
      <c r="E45" t="s">
        <v>163</v>
      </c>
      <c r="F45" t="s">
        <v>6355</v>
      </c>
      <c r="G45" t="s">
        <v>6294</v>
      </c>
      <c r="H45" t="s">
        <v>282</v>
      </c>
      <c r="L45" t="s">
        <v>6355</v>
      </c>
      <c r="N45" t="s">
        <v>6355</v>
      </c>
      <c r="O45" t="s">
        <v>7</v>
      </c>
      <c r="P45" t="s">
        <v>284</v>
      </c>
      <c r="Q45" t="s">
        <v>285</v>
      </c>
      <c r="R45" t="s">
        <v>6356</v>
      </c>
      <c r="S45" t="s">
        <v>6280</v>
      </c>
      <c r="T45" t="s">
        <v>119</v>
      </c>
    </row>
    <row r="46" spans="1:20" ht="15" customHeight="1" x14ac:dyDescent="0.4">
      <c r="A46" t="s">
        <v>287</v>
      </c>
      <c r="B46" t="s">
        <v>287</v>
      </c>
      <c r="C46" t="s">
        <v>151</v>
      </c>
      <c r="D46" t="s">
        <v>81</v>
      </c>
      <c r="E46" t="s">
        <v>163</v>
      </c>
      <c r="F46" t="s">
        <v>6357</v>
      </c>
      <c r="G46" t="s">
        <v>6294</v>
      </c>
      <c r="H46" t="s">
        <v>286</v>
      </c>
      <c r="L46" t="s">
        <v>6357</v>
      </c>
      <c r="N46" t="s">
        <v>6357</v>
      </c>
      <c r="O46" t="s">
        <v>7</v>
      </c>
      <c r="P46" t="s">
        <v>288</v>
      </c>
      <c r="Q46" t="s">
        <v>289</v>
      </c>
      <c r="R46" t="s">
        <v>6358</v>
      </c>
      <c r="S46" t="s">
        <v>6280</v>
      </c>
      <c r="T46" t="s">
        <v>119</v>
      </c>
    </row>
    <row r="47" spans="1:20" ht="15" customHeight="1" x14ac:dyDescent="0.4">
      <c r="A47" t="s">
        <v>291</v>
      </c>
      <c r="B47" t="s">
        <v>291</v>
      </c>
      <c r="C47" t="s">
        <v>151</v>
      </c>
      <c r="D47" t="s">
        <v>81</v>
      </c>
      <c r="E47" t="s">
        <v>163</v>
      </c>
      <c r="F47" t="s">
        <v>6359</v>
      </c>
      <c r="G47" t="s">
        <v>6294</v>
      </c>
      <c r="H47" t="s">
        <v>290</v>
      </c>
      <c r="L47" t="s">
        <v>6359</v>
      </c>
      <c r="N47" t="s">
        <v>6359</v>
      </c>
      <c r="O47" t="s">
        <v>7</v>
      </c>
      <c r="P47" t="s">
        <v>292</v>
      </c>
      <c r="Q47" t="s">
        <v>293</v>
      </c>
      <c r="R47" t="s">
        <v>6360</v>
      </c>
      <c r="S47" t="s">
        <v>6280</v>
      </c>
      <c r="T47" t="s">
        <v>119</v>
      </c>
    </row>
    <row r="48" spans="1:20" ht="15" customHeight="1" x14ac:dyDescent="0.4">
      <c r="A48" t="s">
        <v>295</v>
      </c>
      <c r="B48" t="s">
        <v>295</v>
      </c>
      <c r="C48" t="s">
        <v>151</v>
      </c>
      <c r="D48" t="s">
        <v>81</v>
      </c>
      <c r="E48" t="s">
        <v>163</v>
      </c>
      <c r="F48" t="s">
        <v>6361</v>
      </c>
      <c r="G48" t="s">
        <v>6294</v>
      </c>
      <c r="H48" t="s">
        <v>294</v>
      </c>
      <c r="L48" t="s">
        <v>6361</v>
      </c>
      <c r="N48" t="s">
        <v>6361</v>
      </c>
      <c r="O48" t="s">
        <v>7</v>
      </c>
      <c r="P48" t="s">
        <v>296</v>
      </c>
      <c r="Q48" t="s">
        <v>297</v>
      </c>
      <c r="R48" t="s">
        <v>6362</v>
      </c>
      <c r="S48" t="s">
        <v>6280</v>
      </c>
      <c r="T48" t="s">
        <v>119</v>
      </c>
    </row>
    <row r="49" spans="1:20" ht="15" customHeight="1" x14ac:dyDescent="0.4">
      <c r="A49" t="s">
        <v>299</v>
      </c>
      <c r="B49" t="s">
        <v>299</v>
      </c>
      <c r="C49" t="s">
        <v>151</v>
      </c>
      <c r="D49" t="s">
        <v>81</v>
      </c>
      <c r="E49" t="s">
        <v>163</v>
      </c>
      <c r="F49" t="s">
        <v>6363</v>
      </c>
      <c r="G49" t="s">
        <v>6294</v>
      </c>
      <c r="H49" t="s">
        <v>298</v>
      </c>
      <c r="L49" t="s">
        <v>6363</v>
      </c>
      <c r="N49" t="s">
        <v>6363</v>
      </c>
      <c r="O49" t="s">
        <v>7</v>
      </c>
      <c r="P49" t="s">
        <v>300</v>
      </c>
      <c r="Q49" t="s">
        <v>301</v>
      </c>
      <c r="R49" t="s">
        <v>6364</v>
      </c>
      <c r="S49" t="s">
        <v>6280</v>
      </c>
      <c r="T49" t="s">
        <v>119</v>
      </c>
    </row>
    <row r="50" spans="1:20" ht="15" customHeight="1" x14ac:dyDescent="0.4">
      <c r="A50" t="s">
        <v>303</v>
      </c>
      <c r="B50" t="s">
        <v>303</v>
      </c>
      <c r="C50" t="s">
        <v>151</v>
      </c>
      <c r="D50" t="s">
        <v>81</v>
      </c>
      <c r="E50" t="s">
        <v>163</v>
      </c>
      <c r="F50" t="s">
        <v>6365</v>
      </c>
      <c r="G50" t="s">
        <v>6294</v>
      </c>
      <c r="H50" t="s">
        <v>302</v>
      </c>
      <c r="L50" t="s">
        <v>6365</v>
      </c>
      <c r="N50" t="s">
        <v>6365</v>
      </c>
      <c r="O50" t="s">
        <v>7</v>
      </c>
      <c r="P50" t="s">
        <v>304</v>
      </c>
      <c r="Q50" t="s">
        <v>305</v>
      </c>
      <c r="R50" t="s">
        <v>6366</v>
      </c>
      <c r="S50" t="s">
        <v>6280</v>
      </c>
      <c r="T50" t="s">
        <v>119</v>
      </c>
    </row>
    <row r="51" spans="1:20" ht="15" customHeight="1" x14ac:dyDescent="0.4">
      <c r="A51" t="s">
        <v>307</v>
      </c>
      <c r="B51" t="s">
        <v>307</v>
      </c>
      <c r="C51" t="s">
        <v>151</v>
      </c>
      <c r="D51" t="s">
        <v>81</v>
      </c>
      <c r="E51" t="s">
        <v>163</v>
      </c>
      <c r="F51" t="s">
        <v>6367</v>
      </c>
      <c r="G51" t="s">
        <v>6294</v>
      </c>
      <c r="H51" t="s">
        <v>306</v>
      </c>
      <c r="L51" t="s">
        <v>6367</v>
      </c>
      <c r="N51" t="s">
        <v>6367</v>
      </c>
      <c r="O51" t="s">
        <v>7</v>
      </c>
      <c r="P51" t="s">
        <v>308</v>
      </c>
      <c r="Q51" t="s">
        <v>309</v>
      </c>
      <c r="R51" t="s">
        <v>6368</v>
      </c>
      <c r="S51" t="s">
        <v>6280</v>
      </c>
      <c r="T51" t="s">
        <v>119</v>
      </c>
    </row>
    <row r="52" spans="1:20" ht="15" customHeight="1" x14ac:dyDescent="0.4">
      <c r="A52" t="s">
        <v>311</v>
      </c>
      <c r="B52" t="s">
        <v>311</v>
      </c>
      <c r="C52" t="s">
        <v>151</v>
      </c>
      <c r="D52" t="s">
        <v>81</v>
      </c>
      <c r="E52" t="s">
        <v>163</v>
      </c>
      <c r="F52" t="s">
        <v>6369</v>
      </c>
      <c r="G52" t="s">
        <v>6294</v>
      </c>
      <c r="H52" t="s">
        <v>310</v>
      </c>
      <c r="L52" t="s">
        <v>6369</v>
      </c>
      <c r="N52" t="s">
        <v>6369</v>
      </c>
      <c r="O52" t="s">
        <v>7</v>
      </c>
      <c r="P52" t="s">
        <v>312</v>
      </c>
      <c r="Q52" t="s">
        <v>313</v>
      </c>
      <c r="R52" t="s">
        <v>6370</v>
      </c>
      <c r="S52" t="s">
        <v>6280</v>
      </c>
      <c r="T52" t="s">
        <v>119</v>
      </c>
    </row>
    <row r="53" spans="1:20" ht="15" customHeight="1" x14ac:dyDescent="0.4">
      <c r="A53" t="s">
        <v>315</v>
      </c>
      <c r="B53" t="s">
        <v>315</v>
      </c>
      <c r="C53" t="s">
        <v>151</v>
      </c>
      <c r="D53" t="s">
        <v>81</v>
      </c>
      <c r="E53" t="s">
        <v>163</v>
      </c>
      <c r="F53" t="s">
        <v>6371</v>
      </c>
      <c r="G53" t="s">
        <v>6294</v>
      </c>
      <c r="H53" t="s">
        <v>314</v>
      </c>
      <c r="L53" t="s">
        <v>6371</v>
      </c>
      <c r="N53" t="s">
        <v>6371</v>
      </c>
      <c r="O53" t="s">
        <v>7</v>
      </c>
      <c r="P53" t="s">
        <v>316</v>
      </c>
      <c r="Q53" t="s">
        <v>317</v>
      </c>
      <c r="R53" t="s">
        <v>6372</v>
      </c>
      <c r="S53" t="s">
        <v>6280</v>
      </c>
      <c r="T53" t="s">
        <v>119</v>
      </c>
    </row>
    <row r="54" spans="1:20" ht="15" customHeight="1" x14ac:dyDescent="0.4">
      <c r="A54" t="s">
        <v>319</v>
      </c>
      <c r="B54" t="s">
        <v>319</v>
      </c>
      <c r="C54" t="s">
        <v>151</v>
      </c>
      <c r="D54" t="s">
        <v>81</v>
      </c>
      <c r="E54" t="s">
        <v>163</v>
      </c>
      <c r="F54" t="s">
        <v>6373</v>
      </c>
      <c r="G54" t="s">
        <v>6294</v>
      </c>
      <c r="H54" t="s">
        <v>318</v>
      </c>
      <c r="L54" t="s">
        <v>6373</v>
      </c>
      <c r="N54" t="s">
        <v>6373</v>
      </c>
      <c r="O54" t="s">
        <v>7</v>
      </c>
      <c r="P54" t="s">
        <v>320</v>
      </c>
      <c r="Q54" t="s">
        <v>321</v>
      </c>
      <c r="R54" t="s">
        <v>6374</v>
      </c>
      <c r="S54" t="s">
        <v>6280</v>
      </c>
      <c r="T54" t="s">
        <v>119</v>
      </c>
    </row>
    <row r="55" spans="1:20" ht="15" customHeight="1" x14ac:dyDescent="0.4">
      <c r="A55" t="s">
        <v>323</v>
      </c>
      <c r="B55" t="s">
        <v>323</v>
      </c>
      <c r="C55" t="s">
        <v>151</v>
      </c>
      <c r="D55" t="s">
        <v>81</v>
      </c>
      <c r="E55" t="s">
        <v>163</v>
      </c>
      <c r="F55" t="s">
        <v>6375</v>
      </c>
      <c r="G55" t="s">
        <v>6294</v>
      </c>
      <c r="H55" t="s">
        <v>322</v>
      </c>
      <c r="L55" t="s">
        <v>6375</v>
      </c>
      <c r="N55" t="s">
        <v>6375</v>
      </c>
      <c r="O55" t="s">
        <v>7</v>
      </c>
      <c r="P55" t="s">
        <v>324</v>
      </c>
      <c r="Q55" t="s">
        <v>325</v>
      </c>
      <c r="R55" t="s">
        <v>6376</v>
      </c>
      <c r="S55" t="s">
        <v>6280</v>
      </c>
      <c r="T55" t="s">
        <v>119</v>
      </c>
    </row>
    <row r="56" spans="1:20" ht="15" customHeight="1" x14ac:dyDescent="0.4">
      <c r="A56" t="s">
        <v>327</v>
      </c>
      <c r="B56" t="s">
        <v>327</v>
      </c>
      <c r="C56" t="s">
        <v>151</v>
      </c>
      <c r="D56" t="s">
        <v>81</v>
      </c>
      <c r="E56" t="s">
        <v>163</v>
      </c>
      <c r="F56" t="s">
        <v>6377</v>
      </c>
      <c r="G56" t="s">
        <v>6294</v>
      </c>
      <c r="H56" t="s">
        <v>326</v>
      </c>
      <c r="L56" t="s">
        <v>6377</v>
      </c>
      <c r="N56" t="s">
        <v>6377</v>
      </c>
      <c r="O56" t="s">
        <v>7</v>
      </c>
      <c r="P56" t="s">
        <v>328</v>
      </c>
      <c r="Q56" t="s">
        <v>329</v>
      </c>
      <c r="R56" t="s">
        <v>6378</v>
      </c>
      <c r="S56" t="s">
        <v>6280</v>
      </c>
      <c r="T56" t="s">
        <v>119</v>
      </c>
    </row>
    <row r="57" spans="1:20" ht="15" customHeight="1" x14ac:dyDescent="0.4">
      <c r="A57" t="s">
        <v>331</v>
      </c>
      <c r="B57" t="s">
        <v>331</v>
      </c>
      <c r="C57" t="s">
        <v>151</v>
      </c>
      <c r="D57" t="s">
        <v>81</v>
      </c>
      <c r="E57" t="s">
        <v>163</v>
      </c>
      <c r="F57" t="s">
        <v>6379</v>
      </c>
      <c r="G57" t="s">
        <v>6294</v>
      </c>
      <c r="H57" t="s">
        <v>330</v>
      </c>
      <c r="L57" t="s">
        <v>6379</v>
      </c>
      <c r="N57" t="s">
        <v>6379</v>
      </c>
      <c r="O57" t="s">
        <v>7</v>
      </c>
      <c r="P57" t="s">
        <v>332</v>
      </c>
      <c r="Q57" t="s">
        <v>333</v>
      </c>
      <c r="R57" t="s">
        <v>6380</v>
      </c>
      <c r="S57" t="s">
        <v>6280</v>
      </c>
      <c r="T57" t="s">
        <v>119</v>
      </c>
    </row>
    <row r="58" spans="1:20" ht="15" customHeight="1" x14ac:dyDescent="0.4">
      <c r="A58" t="s">
        <v>335</v>
      </c>
      <c r="B58" t="s">
        <v>335</v>
      </c>
      <c r="C58" t="s">
        <v>151</v>
      </c>
      <c r="D58" t="s">
        <v>81</v>
      </c>
      <c r="E58" t="s">
        <v>163</v>
      </c>
      <c r="F58" t="s">
        <v>6381</v>
      </c>
      <c r="G58" t="s">
        <v>6294</v>
      </c>
      <c r="H58" t="s">
        <v>334</v>
      </c>
      <c r="L58" t="s">
        <v>6381</v>
      </c>
      <c r="N58" t="s">
        <v>6381</v>
      </c>
      <c r="O58" t="s">
        <v>7</v>
      </c>
      <c r="P58" t="s">
        <v>336</v>
      </c>
      <c r="Q58" t="s">
        <v>337</v>
      </c>
      <c r="R58" t="s">
        <v>6382</v>
      </c>
      <c r="S58" t="s">
        <v>6280</v>
      </c>
      <c r="T58" t="s">
        <v>119</v>
      </c>
    </row>
    <row r="59" spans="1:20" ht="15" customHeight="1" x14ac:dyDescent="0.4">
      <c r="A59" t="s">
        <v>339</v>
      </c>
      <c r="B59" t="s">
        <v>339</v>
      </c>
      <c r="C59" t="s">
        <v>151</v>
      </c>
      <c r="D59" t="s">
        <v>81</v>
      </c>
      <c r="E59" t="s">
        <v>163</v>
      </c>
      <c r="F59" t="s">
        <v>6383</v>
      </c>
      <c r="G59" t="s">
        <v>6294</v>
      </c>
      <c r="H59" t="s">
        <v>338</v>
      </c>
      <c r="L59" t="s">
        <v>6383</v>
      </c>
      <c r="N59" t="s">
        <v>6383</v>
      </c>
      <c r="O59" t="s">
        <v>7</v>
      </c>
      <c r="P59" t="s">
        <v>340</v>
      </c>
      <c r="Q59" t="s">
        <v>341</v>
      </c>
      <c r="R59" t="s">
        <v>6384</v>
      </c>
      <c r="S59" t="s">
        <v>6280</v>
      </c>
      <c r="T59" t="s">
        <v>119</v>
      </c>
    </row>
    <row r="60" spans="1:20" ht="15" customHeight="1" x14ac:dyDescent="0.4">
      <c r="A60" t="s">
        <v>343</v>
      </c>
      <c r="B60" t="s">
        <v>343</v>
      </c>
      <c r="C60" t="s">
        <v>151</v>
      </c>
      <c r="D60" t="s">
        <v>81</v>
      </c>
      <c r="E60" t="s">
        <v>163</v>
      </c>
      <c r="F60" t="s">
        <v>6385</v>
      </c>
      <c r="G60" t="s">
        <v>6294</v>
      </c>
      <c r="H60" t="s">
        <v>342</v>
      </c>
      <c r="L60" t="s">
        <v>6385</v>
      </c>
      <c r="N60" t="s">
        <v>6385</v>
      </c>
      <c r="O60" t="s">
        <v>7</v>
      </c>
      <c r="P60" t="s">
        <v>344</v>
      </c>
      <c r="Q60" t="s">
        <v>345</v>
      </c>
      <c r="R60" t="s">
        <v>6386</v>
      </c>
      <c r="S60" t="s">
        <v>6280</v>
      </c>
      <c r="T60" t="s">
        <v>119</v>
      </c>
    </row>
    <row r="61" spans="1:20" ht="15" customHeight="1" x14ac:dyDescent="0.4">
      <c r="A61" t="s">
        <v>347</v>
      </c>
      <c r="B61" t="s">
        <v>347</v>
      </c>
      <c r="C61" t="s">
        <v>151</v>
      </c>
      <c r="D61" t="s">
        <v>81</v>
      </c>
      <c r="E61" t="s">
        <v>163</v>
      </c>
      <c r="F61" t="s">
        <v>6387</v>
      </c>
      <c r="G61" t="s">
        <v>6294</v>
      </c>
      <c r="H61" t="s">
        <v>346</v>
      </c>
      <c r="L61" t="s">
        <v>6387</v>
      </c>
      <c r="N61" t="s">
        <v>6387</v>
      </c>
      <c r="O61" t="s">
        <v>7</v>
      </c>
      <c r="P61" t="s">
        <v>348</v>
      </c>
      <c r="Q61" t="s">
        <v>349</v>
      </c>
      <c r="R61" t="s">
        <v>6388</v>
      </c>
      <c r="S61" t="s">
        <v>6280</v>
      </c>
      <c r="T61" t="s">
        <v>119</v>
      </c>
    </row>
    <row r="62" spans="1:20" ht="15" customHeight="1" x14ac:dyDescent="0.4">
      <c r="A62" t="s">
        <v>351</v>
      </c>
      <c r="B62" t="s">
        <v>351</v>
      </c>
      <c r="C62" t="s">
        <v>151</v>
      </c>
      <c r="D62" t="s">
        <v>81</v>
      </c>
      <c r="E62" t="s">
        <v>163</v>
      </c>
      <c r="F62" t="s">
        <v>6389</v>
      </c>
      <c r="G62" t="s">
        <v>6294</v>
      </c>
      <c r="H62" t="s">
        <v>350</v>
      </c>
      <c r="L62" t="s">
        <v>6389</v>
      </c>
      <c r="N62" t="s">
        <v>6389</v>
      </c>
      <c r="O62" t="s">
        <v>7</v>
      </c>
      <c r="P62" t="s">
        <v>352</v>
      </c>
      <c r="Q62" t="s">
        <v>353</v>
      </c>
      <c r="R62" t="s">
        <v>6390</v>
      </c>
      <c r="S62" t="s">
        <v>6280</v>
      </c>
      <c r="T62" t="s">
        <v>119</v>
      </c>
    </row>
    <row r="63" spans="1:20" ht="15" customHeight="1" x14ac:dyDescent="0.4">
      <c r="A63" t="s">
        <v>355</v>
      </c>
      <c r="B63" t="s">
        <v>355</v>
      </c>
      <c r="C63" t="s">
        <v>151</v>
      </c>
      <c r="D63" t="s">
        <v>81</v>
      </c>
      <c r="E63" t="s">
        <v>163</v>
      </c>
      <c r="F63" t="s">
        <v>6391</v>
      </c>
      <c r="G63" t="s">
        <v>6294</v>
      </c>
      <c r="H63" t="s">
        <v>354</v>
      </c>
      <c r="L63" t="s">
        <v>6391</v>
      </c>
      <c r="N63" t="s">
        <v>6391</v>
      </c>
      <c r="O63" t="s">
        <v>7</v>
      </c>
      <c r="P63" t="s">
        <v>356</v>
      </c>
      <c r="Q63" t="s">
        <v>357</v>
      </c>
      <c r="R63" t="s">
        <v>6390</v>
      </c>
      <c r="S63" t="s">
        <v>6280</v>
      </c>
      <c r="T63" t="s">
        <v>119</v>
      </c>
    </row>
    <row r="64" spans="1:20" ht="15" customHeight="1" x14ac:dyDescent="0.4">
      <c r="A64" t="s">
        <v>359</v>
      </c>
      <c r="B64" t="s">
        <v>359</v>
      </c>
      <c r="C64" t="s">
        <v>151</v>
      </c>
      <c r="D64" t="s">
        <v>81</v>
      </c>
      <c r="E64" t="s">
        <v>163</v>
      </c>
      <c r="F64" t="s">
        <v>6392</v>
      </c>
      <c r="G64" t="s">
        <v>6294</v>
      </c>
      <c r="H64" t="s">
        <v>358</v>
      </c>
      <c r="L64" t="s">
        <v>6392</v>
      </c>
      <c r="N64" t="s">
        <v>6392</v>
      </c>
      <c r="O64" t="s">
        <v>7</v>
      </c>
      <c r="P64" t="s">
        <v>360</v>
      </c>
      <c r="Q64" t="s">
        <v>361</v>
      </c>
      <c r="R64" t="s">
        <v>6393</v>
      </c>
      <c r="S64" t="s">
        <v>6280</v>
      </c>
      <c r="T64" t="s">
        <v>119</v>
      </c>
    </row>
    <row r="65" spans="1:20" ht="15" customHeight="1" x14ac:dyDescent="0.4">
      <c r="A65" t="s">
        <v>363</v>
      </c>
      <c r="B65" t="s">
        <v>363</v>
      </c>
      <c r="C65" t="s">
        <v>151</v>
      </c>
      <c r="D65" t="s">
        <v>81</v>
      </c>
      <c r="E65" t="s">
        <v>163</v>
      </c>
      <c r="F65" t="s">
        <v>6394</v>
      </c>
      <c r="G65" t="s">
        <v>6294</v>
      </c>
      <c r="H65" t="s">
        <v>362</v>
      </c>
      <c r="L65" t="s">
        <v>6394</v>
      </c>
      <c r="N65" t="s">
        <v>6394</v>
      </c>
      <c r="O65" t="s">
        <v>7</v>
      </c>
      <c r="P65" t="s">
        <v>364</v>
      </c>
      <c r="Q65" t="s">
        <v>365</v>
      </c>
      <c r="R65" t="s">
        <v>6395</v>
      </c>
      <c r="S65" t="s">
        <v>6280</v>
      </c>
      <c r="T65" t="s">
        <v>119</v>
      </c>
    </row>
    <row r="66" spans="1:20" ht="15" customHeight="1" x14ac:dyDescent="0.4">
      <c r="A66" t="s">
        <v>367</v>
      </c>
      <c r="B66" t="s">
        <v>367</v>
      </c>
      <c r="C66" t="s">
        <v>151</v>
      </c>
      <c r="D66" t="s">
        <v>81</v>
      </c>
      <c r="E66" t="s">
        <v>163</v>
      </c>
      <c r="F66" t="s">
        <v>6396</v>
      </c>
      <c r="G66" t="s">
        <v>6294</v>
      </c>
      <c r="H66" t="s">
        <v>366</v>
      </c>
      <c r="L66" t="s">
        <v>6396</v>
      </c>
      <c r="N66" t="s">
        <v>6396</v>
      </c>
      <c r="O66" t="s">
        <v>7</v>
      </c>
      <c r="P66" t="s">
        <v>368</v>
      </c>
      <c r="Q66" t="s">
        <v>369</v>
      </c>
      <c r="R66" t="s">
        <v>6397</v>
      </c>
      <c r="S66" t="s">
        <v>6280</v>
      </c>
      <c r="T66" t="s">
        <v>119</v>
      </c>
    </row>
    <row r="67" spans="1:20" ht="15" customHeight="1" x14ac:dyDescent="0.4">
      <c r="A67" t="s">
        <v>371</v>
      </c>
      <c r="B67" t="s">
        <v>371</v>
      </c>
      <c r="C67" t="s">
        <v>151</v>
      </c>
      <c r="D67" t="s">
        <v>81</v>
      </c>
      <c r="E67" t="s">
        <v>163</v>
      </c>
      <c r="F67" t="s">
        <v>6398</v>
      </c>
      <c r="G67" t="s">
        <v>6294</v>
      </c>
      <c r="H67" t="s">
        <v>370</v>
      </c>
      <c r="L67" t="s">
        <v>6398</v>
      </c>
      <c r="N67" t="s">
        <v>6398</v>
      </c>
      <c r="O67" t="s">
        <v>7</v>
      </c>
      <c r="P67" t="s">
        <v>372</v>
      </c>
      <c r="Q67" t="s">
        <v>373</v>
      </c>
      <c r="R67" t="s">
        <v>6399</v>
      </c>
      <c r="S67" t="s">
        <v>6280</v>
      </c>
      <c r="T67" t="s">
        <v>119</v>
      </c>
    </row>
    <row r="68" spans="1:20" ht="15" customHeight="1" x14ac:dyDescent="0.4">
      <c r="A68" t="s">
        <v>375</v>
      </c>
      <c r="B68" t="s">
        <v>375</v>
      </c>
      <c r="C68" t="s">
        <v>151</v>
      </c>
      <c r="D68" t="s">
        <v>81</v>
      </c>
      <c r="E68" t="s">
        <v>163</v>
      </c>
      <c r="F68" t="s">
        <v>6400</v>
      </c>
      <c r="G68" t="s">
        <v>6294</v>
      </c>
      <c r="H68" t="s">
        <v>374</v>
      </c>
      <c r="L68" t="s">
        <v>6400</v>
      </c>
      <c r="N68" t="s">
        <v>6400</v>
      </c>
      <c r="O68" t="s">
        <v>7</v>
      </c>
      <c r="P68" t="s">
        <v>376</v>
      </c>
      <c r="Q68" t="s">
        <v>377</v>
      </c>
      <c r="R68" t="s">
        <v>6401</v>
      </c>
      <c r="S68" t="s">
        <v>6280</v>
      </c>
      <c r="T68" t="s">
        <v>119</v>
      </c>
    </row>
    <row r="69" spans="1:20" ht="15" customHeight="1" x14ac:dyDescent="0.4">
      <c r="A69" t="s">
        <v>379</v>
      </c>
      <c r="B69" t="s">
        <v>379</v>
      </c>
      <c r="C69" t="s">
        <v>151</v>
      </c>
      <c r="D69" t="s">
        <v>81</v>
      </c>
      <c r="E69" t="s">
        <v>163</v>
      </c>
      <c r="F69" t="s">
        <v>6402</v>
      </c>
      <c r="G69" t="s">
        <v>6294</v>
      </c>
      <c r="H69" t="s">
        <v>378</v>
      </c>
      <c r="L69" t="s">
        <v>6402</v>
      </c>
      <c r="N69" t="s">
        <v>6402</v>
      </c>
      <c r="O69" t="s">
        <v>7</v>
      </c>
      <c r="P69" t="s">
        <v>380</v>
      </c>
      <c r="Q69" t="s">
        <v>381</v>
      </c>
      <c r="R69" t="s">
        <v>6403</v>
      </c>
      <c r="S69" t="s">
        <v>6280</v>
      </c>
      <c r="T69" t="s">
        <v>119</v>
      </c>
    </row>
    <row r="70" spans="1:20" ht="15" customHeight="1" x14ac:dyDescent="0.4">
      <c r="A70" t="s">
        <v>383</v>
      </c>
      <c r="B70" t="s">
        <v>383</v>
      </c>
      <c r="C70" t="s">
        <v>151</v>
      </c>
      <c r="D70" t="s">
        <v>81</v>
      </c>
      <c r="E70" t="s">
        <v>163</v>
      </c>
      <c r="F70" t="s">
        <v>6404</v>
      </c>
      <c r="G70" t="s">
        <v>6294</v>
      </c>
      <c r="H70" t="s">
        <v>382</v>
      </c>
      <c r="L70" t="s">
        <v>6404</v>
      </c>
      <c r="N70" t="s">
        <v>6404</v>
      </c>
      <c r="O70" t="s">
        <v>7</v>
      </c>
      <c r="P70" t="s">
        <v>384</v>
      </c>
      <c r="Q70" t="s">
        <v>385</v>
      </c>
      <c r="R70" t="s">
        <v>6405</v>
      </c>
      <c r="S70" t="s">
        <v>6280</v>
      </c>
      <c r="T70" t="s">
        <v>119</v>
      </c>
    </row>
    <row r="71" spans="1:20" ht="15" customHeight="1" x14ac:dyDescent="0.4">
      <c r="A71" t="s">
        <v>387</v>
      </c>
      <c r="B71" t="s">
        <v>387</v>
      </c>
      <c r="C71" t="s">
        <v>151</v>
      </c>
      <c r="D71" t="s">
        <v>81</v>
      </c>
      <c r="E71" t="s">
        <v>163</v>
      </c>
      <c r="F71" t="s">
        <v>6406</v>
      </c>
      <c r="G71" t="s">
        <v>6294</v>
      </c>
      <c r="H71" t="s">
        <v>386</v>
      </c>
      <c r="L71" t="s">
        <v>6406</v>
      </c>
      <c r="N71" t="s">
        <v>6406</v>
      </c>
      <c r="O71" t="s">
        <v>7</v>
      </c>
      <c r="P71" t="s">
        <v>388</v>
      </c>
      <c r="Q71" t="s">
        <v>389</v>
      </c>
      <c r="R71" t="s">
        <v>6407</v>
      </c>
      <c r="S71" t="s">
        <v>6280</v>
      </c>
      <c r="T71" t="s">
        <v>119</v>
      </c>
    </row>
    <row r="72" spans="1:20" ht="15" customHeight="1" x14ac:dyDescent="0.4">
      <c r="A72" t="s">
        <v>391</v>
      </c>
      <c r="B72" t="s">
        <v>391</v>
      </c>
      <c r="C72" t="s">
        <v>151</v>
      </c>
      <c r="D72" t="s">
        <v>81</v>
      </c>
      <c r="E72" t="s">
        <v>163</v>
      </c>
      <c r="F72" t="s">
        <v>6408</v>
      </c>
      <c r="G72" t="s">
        <v>6294</v>
      </c>
      <c r="H72" t="s">
        <v>390</v>
      </c>
      <c r="L72" t="s">
        <v>6408</v>
      </c>
      <c r="N72" t="s">
        <v>6408</v>
      </c>
      <c r="O72" t="s">
        <v>7</v>
      </c>
      <c r="P72" t="s">
        <v>392</v>
      </c>
      <c r="Q72" t="s">
        <v>393</v>
      </c>
      <c r="R72" t="s">
        <v>6409</v>
      </c>
      <c r="S72" t="s">
        <v>6280</v>
      </c>
      <c r="T72" t="s">
        <v>119</v>
      </c>
    </row>
    <row r="73" spans="1:20" ht="15" customHeight="1" x14ac:dyDescent="0.4">
      <c r="A73" t="s">
        <v>395</v>
      </c>
      <c r="B73" t="s">
        <v>395</v>
      </c>
      <c r="C73" t="s">
        <v>151</v>
      </c>
      <c r="D73" t="s">
        <v>81</v>
      </c>
      <c r="E73" t="s">
        <v>163</v>
      </c>
      <c r="F73" t="s">
        <v>6410</v>
      </c>
      <c r="G73" t="s">
        <v>6294</v>
      </c>
      <c r="H73" t="s">
        <v>394</v>
      </c>
      <c r="L73" t="s">
        <v>6410</v>
      </c>
      <c r="N73" t="s">
        <v>6410</v>
      </c>
      <c r="O73" t="s">
        <v>7</v>
      </c>
      <c r="P73" t="s">
        <v>396</v>
      </c>
      <c r="Q73" t="s">
        <v>397</v>
      </c>
      <c r="R73" t="s">
        <v>6411</v>
      </c>
      <c r="S73" t="s">
        <v>6280</v>
      </c>
      <c r="T73" t="s">
        <v>119</v>
      </c>
    </row>
    <row r="74" spans="1:20" ht="15" customHeight="1" x14ac:dyDescent="0.4">
      <c r="A74" t="s">
        <v>399</v>
      </c>
      <c r="B74" t="s">
        <v>399</v>
      </c>
      <c r="C74" t="s">
        <v>151</v>
      </c>
      <c r="D74" t="s">
        <v>81</v>
      </c>
      <c r="E74" t="s">
        <v>163</v>
      </c>
      <c r="F74" t="s">
        <v>6412</v>
      </c>
      <c r="G74" t="s">
        <v>6294</v>
      </c>
      <c r="H74" t="s">
        <v>398</v>
      </c>
      <c r="L74" t="s">
        <v>6412</v>
      </c>
      <c r="N74" t="s">
        <v>6412</v>
      </c>
      <c r="O74" t="s">
        <v>7</v>
      </c>
      <c r="P74" t="s">
        <v>400</v>
      </c>
      <c r="Q74" t="s">
        <v>401</v>
      </c>
      <c r="R74" t="s">
        <v>6413</v>
      </c>
      <c r="S74" t="s">
        <v>6280</v>
      </c>
      <c r="T74" t="s">
        <v>119</v>
      </c>
    </row>
    <row r="75" spans="1:20" ht="15" customHeight="1" x14ac:dyDescent="0.4">
      <c r="A75" t="s">
        <v>403</v>
      </c>
      <c r="B75" t="s">
        <v>403</v>
      </c>
      <c r="C75" t="s">
        <v>151</v>
      </c>
      <c r="D75" t="s">
        <v>81</v>
      </c>
      <c r="E75" t="s">
        <v>163</v>
      </c>
      <c r="F75" t="s">
        <v>6414</v>
      </c>
      <c r="G75" t="s">
        <v>6294</v>
      </c>
      <c r="H75" t="s">
        <v>402</v>
      </c>
      <c r="L75" t="s">
        <v>6414</v>
      </c>
      <c r="N75" t="s">
        <v>6414</v>
      </c>
      <c r="O75" t="s">
        <v>7</v>
      </c>
      <c r="P75" t="s">
        <v>404</v>
      </c>
      <c r="Q75" t="s">
        <v>405</v>
      </c>
      <c r="R75" t="s">
        <v>6415</v>
      </c>
      <c r="S75" t="s">
        <v>6280</v>
      </c>
      <c r="T75" t="s">
        <v>119</v>
      </c>
    </row>
    <row r="76" spans="1:20" ht="15" customHeight="1" x14ac:dyDescent="0.4">
      <c r="A76" t="s">
        <v>407</v>
      </c>
      <c r="B76" t="s">
        <v>407</v>
      </c>
      <c r="C76" t="s">
        <v>151</v>
      </c>
      <c r="D76" t="s">
        <v>81</v>
      </c>
      <c r="E76" t="s">
        <v>163</v>
      </c>
      <c r="F76" t="s">
        <v>6416</v>
      </c>
      <c r="G76" t="s">
        <v>6294</v>
      </c>
      <c r="H76" t="s">
        <v>406</v>
      </c>
      <c r="L76" t="s">
        <v>6416</v>
      </c>
      <c r="N76" t="s">
        <v>6416</v>
      </c>
      <c r="O76" t="s">
        <v>7</v>
      </c>
      <c r="P76" t="s">
        <v>408</v>
      </c>
      <c r="Q76" t="s">
        <v>409</v>
      </c>
      <c r="R76" t="s">
        <v>6417</v>
      </c>
      <c r="S76" t="s">
        <v>6280</v>
      </c>
      <c r="T76" t="s">
        <v>119</v>
      </c>
    </row>
    <row r="77" spans="1:20" ht="15" customHeight="1" x14ac:dyDescent="0.4">
      <c r="A77" t="s">
        <v>411</v>
      </c>
      <c r="B77" t="s">
        <v>411</v>
      </c>
      <c r="C77" t="s">
        <v>151</v>
      </c>
      <c r="D77" t="s">
        <v>81</v>
      </c>
      <c r="E77" t="s">
        <v>163</v>
      </c>
      <c r="F77" t="s">
        <v>6418</v>
      </c>
      <c r="G77" t="s">
        <v>6294</v>
      </c>
      <c r="H77" t="s">
        <v>410</v>
      </c>
      <c r="L77" t="s">
        <v>6418</v>
      </c>
      <c r="N77" t="s">
        <v>6418</v>
      </c>
      <c r="O77" t="s">
        <v>7</v>
      </c>
      <c r="P77" t="s">
        <v>412</v>
      </c>
      <c r="Q77" t="s">
        <v>413</v>
      </c>
      <c r="R77" t="s">
        <v>6419</v>
      </c>
      <c r="S77" t="s">
        <v>6280</v>
      </c>
      <c r="T77" t="s">
        <v>119</v>
      </c>
    </row>
    <row r="78" spans="1:20" ht="15" customHeight="1" x14ac:dyDescent="0.4">
      <c r="A78" t="s">
        <v>415</v>
      </c>
      <c r="B78" t="s">
        <v>415</v>
      </c>
      <c r="C78" t="s">
        <v>151</v>
      </c>
      <c r="D78" t="s">
        <v>81</v>
      </c>
      <c r="E78" t="s">
        <v>163</v>
      </c>
      <c r="F78" t="s">
        <v>6420</v>
      </c>
      <c r="G78" t="s">
        <v>6294</v>
      </c>
      <c r="H78" t="s">
        <v>414</v>
      </c>
      <c r="L78" t="s">
        <v>6420</v>
      </c>
      <c r="N78" t="s">
        <v>6420</v>
      </c>
      <c r="O78" t="s">
        <v>7</v>
      </c>
      <c r="P78" t="s">
        <v>416</v>
      </c>
      <c r="Q78" t="s">
        <v>417</v>
      </c>
      <c r="R78" t="s">
        <v>6421</v>
      </c>
      <c r="S78" t="s">
        <v>6280</v>
      </c>
      <c r="T78" t="s">
        <v>119</v>
      </c>
    </row>
    <row r="79" spans="1:20" ht="15" customHeight="1" x14ac:dyDescent="0.4">
      <c r="A79" t="s">
        <v>419</v>
      </c>
      <c r="B79" t="s">
        <v>419</v>
      </c>
      <c r="C79" t="s">
        <v>151</v>
      </c>
      <c r="D79" t="s">
        <v>81</v>
      </c>
      <c r="E79" t="s">
        <v>163</v>
      </c>
      <c r="F79" t="s">
        <v>6422</v>
      </c>
      <c r="G79" t="s">
        <v>6294</v>
      </c>
      <c r="H79" t="s">
        <v>418</v>
      </c>
      <c r="L79" t="s">
        <v>6422</v>
      </c>
      <c r="N79" t="s">
        <v>6422</v>
      </c>
      <c r="O79" t="s">
        <v>7</v>
      </c>
      <c r="P79" t="s">
        <v>420</v>
      </c>
      <c r="Q79" t="s">
        <v>421</v>
      </c>
      <c r="R79" t="s">
        <v>6423</v>
      </c>
      <c r="S79" t="s">
        <v>6280</v>
      </c>
      <c r="T79" t="s">
        <v>119</v>
      </c>
    </row>
    <row r="80" spans="1:20" ht="15" customHeight="1" x14ac:dyDescent="0.4">
      <c r="A80" t="s">
        <v>423</v>
      </c>
      <c r="B80" t="s">
        <v>423</v>
      </c>
      <c r="C80" t="s">
        <v>151</v>
      </c>
      <c r="D80" t="s">
        <v>81</v>
      </c>
      <c r="E80" t="s">
        <v>163</v>
      </c>
      <c r="F80" t="s">
        <v>6424</v>
      </c>
      <c r="G80" t="s">
        <v>6294</v>
      </c>
      <c r="H80" t="s">
        <v>422</v>
      </c>
      <c r="L80" t="s">
        <v>6424</v>
      </c>
      <c r="N80" t="s">
        <v>6424</v>
      </c>
      <c r="O80" t="s">
        <v>7</v>
      </c>
      <c r="P80" t="s">
        <v>424</v>
      </c>
      <c r="Q80" t="s">
        <v>425</v>
      </c>
      <c r="R80" t="s">
        <v>6425</v>
      </c>
      <c r="S80" t="s">
        <v>6280</v>
      </c>
      <c r="T80" t="s">
        <v>119</v>
      </c>
    </row>
    <row r="81" spans="1:20" ht="15" customHeight="1" x14ac:dyDescent="0.4">
      <c r="A81" t="s">
        <v>427</v>
      </c>
      <c r="B81" t="s">
        <v>427</v>
      </c>
      <c r="C81" t="s">
        <v>151</v>
      </c>
      <c r="D81" t="s">
        <v>81</v>
      </c>
      <c r="E81" t="s">
        <v>163</v>
      </c>
      <c r="F81" t="s">
        <v>6426</v>
      </c>
      <c r="G81" t="s">
        <v>6294</v>
      </c>
      <c r="H81" t="s">
        <v>426</v>
      </c>
      <c r="L81" t="s">
        <v>6426</v>
      </c>
      <c r="N81" t="s">
        <v>6426</v>
      </c>
      <c r="O81" t="s">
        <v>7</v>
      </c>
      <c r="P81" t="s">
        <v>428</v>
      </c>
      <c r="Q81" t="s">
        <v>429</v>
      </c>
      <c r="R81" t="s">
        <v>6427</v>
      </c>
      <c r="S81" t="s">
        <v>6280</v>
      </c>
      <c r="T81" t="s">
        <v>119</v>
      </c>
    </row>
    <row r="82" spans="1:20" ht="15" customHeight="1" x14ac:dyDescent="0.4">
      <c r="A82" t="s">
        <v>431</v>
      </c>
      <c r="B82" t="s">
        <v>431</v>
      </c>
      <c r="C82" t="s">
        <v>151</v>
      </c>
      <c r="D82" t="s">
        <v>81</v>
      </c>
      <c r="E82" t="s">
        <v>163</v>
      </c>
      <c r="F82" t="s">
        <v>6428</v>
      </c>
      <c r="G82" t="s">
        <v>6294</v>
      </c>
      <c r="H82" t="s">
        <v>430</v>
      </c>
      <c r="L82" t="s">
        <v>6428</v>
      </c>
      <c r="N82" t="s">
        <v>6428</v>
      </c>
      <c r="O82" t="s">
        <v>7</v>
      </c>
      <c r="P82" t="s">
        <v>432</v>
      </c>
      <c r="Q82" t="s">
        <v>433</v>
      </c>
      <c r="R82" t="s">
        <v>6429</v>
      </c>
      <c r="S82" t="s">
        <v>6280</v>
      </c>
      <c r="T82" t="s">
        <v>119</v>
      </c>
    </row>
    <row r="83" spans="1:20" ht="15" customHeight="1" x14ac:dyDescent="0.4">
      <c r="A83" t="s">
        <v>435</v>
      </c>
      <c r="B83" t="s">
        <v>435</v>
      </c>
      <c r="C83" t="s">
        <v>151</v>
      </c>
      <c r="D83" t="s">
        <v>81</v>
      </c>
      <c r="E83" t="s">
        <v>163</v>
      </c>
      <c r="F83" t="s">
        <v>6430</v>
      </c>
      <c r="G83" t="s">
        <v>6294</v>
      </c>
      <c r="H83" t="s">
        <v>434</v>
      </c>
      <c r="L83" t="s">
        <v>6430</v>
      </c>
      <c r="N83" t="s">
        <v>6430</v>
      </c>
      <c r="O83" t="s">
        <v>7</v>
      </c>
      <c r="P83" t="s">
        <v>436</v>
      </c>
      <c r="Q83" t="s">
        <v>437</v>
      </c>
      <c r="R83" t="s">
        <v>6431</v>
      </c>
      <c r="S83" t="s">
        <v>6280</v>
      </c>
      <c r="T83" t="s">
        <v>119</v>
      </c>
    </row>
    <row r="84" spans="1:20" ht="15" customHeight="1" x14ac:dyDescent="0.4">
      <c r="A84" t="s">
        <v>439</v>
      </c>
      <c r="B84" t="s">
        <v>439</v>
      </c>
      <c r="C84" t="s">
        <v>151</v>
      </c>
      <c r="D84" t="s">
        <v>81</v>
      </c>
      <c r="E84" t="s">
        <v>163</v>
      </c>
      <c r="F84" t="s">
        <v>6432</v>
      </c>
      <c r="G84" t="s">
        <v>6294</v>
      </c>
      <c r="H84" t="s">
        <v>438</v>
      </c>
      <c r="L84" t="s">
        <v>6432</v>
      </c>
      <c r="N84" t="s">
        <v>6432</v>
      </c>
      <c r="O84" t="s">
        <v>7</v>
      </c>
      <c r="P84" t="s">
        <v>440</v>
      </c>
      <c r="Q84" t="s">
        <v>441</v>
      </c>
      <c r="R84" t="s">
        <v>6433</v>
      </c>
      <c r="S84" t="s">
        <v>6280</v>
      </c>
      <c r="T84" t="s">
        <v>119</v>
      </c>
    </row>
    <row r="85" spans="1:20" ht="15" customHeight="1" x14ac:dyDescent="0.4">
      <c r="A85" t="s">
        <v>443</v>
      </c>
      <c r="B85" t="s">
        <v>443</v>
      </c>
      <c r="C85" t="s">
        <v>151</v>
      </c>
      <c r="D85" t="s">
        <v>81</v>
      </c>
      <c r="E85" t="s">
        <v>163</v>
      </c>
      <c r="F85" t="s">
        <v>6434</v>
      </c>
      <c r="G85" t="s">
        <v>6294</v>
      </c>
      <c r="H85" t="s">
        <v>442</v>
      </c>
      <c r="L85" t="s">
        <v>6434</v>
      </c>
      <c r="N85" t="s">
        <v>6434</v>
      </c>
      <c r="O85" t="s">
        <v>7</v>
      </c>
      <c r="P85" t="s">
        <v>444</v>
      </c>
      <c r="Q85" t="s">
        <v>445</v>
      </c>
      <c r="R85" t="s">
        <v>6435</v>
      </c>
      <c r="S85" t="s">
        <v>6280</v>
      </c>
      <c r="T85" t="s">
        <v>119</v>
      </c>
    </row>
    <row r="86" spans="1:20" ht="15" customHeight="1" x14ac:dyDescent="0.4">
      <c r="A86" t="s">
        <v>447</v>
      </c>
      <c r="B86" t="s">
        <v>447</v>
      </c>
      <c r="C86" t="s">
        <v>151</v>
      </c>
      <c r="D86" t="s">
        <v>81</v>
      </c>
      <c r="E86" t="s">
        <v>163</v>
      </c>
      <c r="F86" t="s">
        <v>6436</v>
      </c>
      <c r="G86" t="s">
        <v>6294</v>
      </c>
      <c r="H86" t="s">
        <v>446</v>
      </c>
      <c r="L86" t="s">
        <v>6436</v>
      </c>
      <c r="N86" t="s">
        <v>6436</v>
      </c>
      <c r="O86" t="s">
        <v>7</v>
      </c>
      <c r="P86" t="s">
        <v>448</v>
      </c>
      <c r="Q86" t="s">
        <v>449</v>
      </c>
      <c r="R86" t="s">
        <v>6437</v>
      </c>
      <c r="S86" t="s">
        <v>6280</v>
      </c>
      <c r="T86" t="s">
        <v>119</v>
      </c>
    </row>
    <row r="87" spans="1:20" ht="15" customHeight="1" x14ac:dyDescent="0.4">
      <c r="A87" t="s">
        <v>451</v>
      </c>
      <c r="B87" t="s">
        <v>451</v>
      </c>
      <c r="C87" t="s">
        <v>151</v>
      </c>
      <c r="D87" t="s">
        <v>81</v>
      </c>
      <c r="E87" t="s">
        <v>163</v>
      </c>
      <c r="F87" t="s">
        <v>6438</v>
      </c>
      <c r="G87" t="s">
        <v>6294</v>
      </c>
      <c r="H87" t="s">
        <v>450</v>
      </c>
      <c r="L87" t="s">
        <v>6438</v>
      </c>
      <c r="N87" t="s">
        <v>6438</v>
      </c>
      <c r="O87" t="s">
        <v>7</v>
      </c>
      <c r="P87" t="s">
        <v>452</v>
      </c>
      <c r="Q87" t="s">
        <v>453</v>
      </c>
      <c r="R87" t="s">
        <v>6439</v>
      </c>
      <c r="S87" t="s">
        <v>6280</v>
      </c>
      <c r="T87" t="s">
        <v>119</v>
      </c>
    </row>
    <row r="88" spans="1:20" ht="15" customHeight="1" x14ac:dyDescent="0.4">
      <c r="A88" t="s">
        <v>455</v>
      </c>
      <c r="B88" t="s">
        <v>455</v>
      </c>
      <c r="C88" t="s">
        <v>151</v>
      </c>
      <c r="D88" t="s">
        <v>81</v>
      </c>
      <c r="E88" t="s">
        <v>163</v>
      </c>
      <c r="F88" t="s">
        <v>6440</v>
      </c>
      <c r="G88" t="s">
        <v>6294</v>
      </c>
      <c r="H88" t="s">
        <v>454</v>
      </c>
      <c r="L88" t="s">
        <v>6440</v>
      </c>
      <c r="N88" t="s">
        <v>6440</v>
      </c>
      <c r="O88" t="s">
        <v>7</v>
      </c>
      <c r="P88" t="s">
        <v>456</v>
      </c>
      <c r="Q88" t="s">
        <v>457</v>
      </c>
      <c r="R88" t="s">
        <v>6441</v>
      </c>
      <c r="S88" t="s">
        <v>6280</v>
      </c>
      <c r="T88" t="s">
        <v>119</v>
      </c>
    </row>
    <row r="89" spans="1:20" ht="15" customHeight="1" x14ac:dyDescent="0.4">
      <c r="A89" t="s">
        <v>459</v>
      </c>
      <c r="B89" t="s">
        <v>459</v>
      </c>
      <c r="C89" t="s">
        <v>151</v>
      </c>
      <c r="D89" t="s">
        <v>81</v>
      </c>
      <c r="E89" t="s">
        <v>163</v>
      </c>
      <c r="F89" t="s">
        <v>6442</v>
      </c>
      <c r="G89" t="s">
        <v>6294</v>
      </c>
      <c r="H89" t="s">
        <v>458</v>
      </c>
      <c r="L89" t="s">
        <v>6442</v>
      </c>
      <c r="N89" t="s">
        <v>6442</v>
      </c>
      <c r="O89" t="s">
        <v>7</v>
      </c>
      <c r="P89" t="s">
        <v>460</v>
      </c>
      <c r="Q89" t="s">
        <v>461</v>
      </c>
      <c r="R89" t="s">
        <v>6443</v>
      </c>
      <c r="S89" t="s">
        <v>6280</v>
      </c>
      <c r="T89" t="s">
        <v>119</v>
      </c>
    </row>
    <row r="90" spans="1:20" ht="15" customHeight="1" x14ac:dyDescent="0.4">
      <c r="A90" t="s">
        <v>463</v>
      </c>
      <c r="B90" t="s">
        <v>463</v>
      </c>
      <c r="C90" t="s">
        <v>151</v>
      </c>
      <c r="D90" t="s">
        <v>81</v>
      </c>
      <c r="E90" t="s">
        <v>163</v>
      </c>
      <c r="F90" t="s">
        <v>6444</v>
      </c>
      <c r="G90" t="s">
        <v>6294</v>
      </c>
      <c r="H90" t="s">
        <v>462</v>
      </c>
      <c r="L90" t="s">
        <v>6444</v>
      </c>
      <c r="N90" t="s">
        <v>6444</v>
      </c>
      <c r="O90" t="s">
        <v>7</v>
      </c>
      <c r="P90" t="s">
        <v>464</v>
      </c>
      <c r="Q90" t="s">
        <v>465</v>
      </c>
      <c r="R90" t="s">
        <v>6445</v>
      </c>
      <c r="S90" t="s">
        <v>6280</v>
      </c>
      <c r="T90" t="s">
        <v>119</v>
      </c>
    </row>
    <row r="91" spans="1:20" ht="15" customHeight="1" x14ac:dyDescent="0.4">
      <c r="A91" t="s">
        <v>467</v>
      </c>
      <c r="B91" t="s">
        <v>467</v>
      </c>
      <c r="C91" t="s">
        <v>151</v>
      </c>
      <c r="D91" t="s">
        <v>81</v>
      </c>
      <c r="E91" t="s">
        <v>163</v>
      </c>
      <c r="F91" t="s">
        <v>6446</v>
      </c>
      <c r="G91" t="s">
        <v>6294</v>
      </c>
      <c r="H91" t="s">
        <v>466</v>
      </c>
      <c r="L91" t="s">
        <v>6446</v>
      </c>
      <c r="N91" t="s">
        <v>6446</v>
      </c>
      <c r="O91" t="s">
        <v>7</v>
      </c>
      <c r="P91" t="s">
        <v>468</v>
      </c>
      <c r="Q91" t="s">
        <v>469</v>
      </c>
      <c r="R91" t="s">
        <v>6447</v>
      </c>
      <c r="S91" t="s">
        <v>6280</v>
      </c>
      <c r="T91" t="s">
        <v>119</v>
      </c>
    </row>
    <row r="92" spans="1:20" ht="15" customHeight="1" x14ac:dyDescent="0.4">
      <c r="A92" t="s">
        <v>471</v>
      </c>
      <c r="B92" t="s">
        <v>471</v>
      </c>
      <c r="C92" t="s">
        <v>151</v>
      </c>
      <c r="D92" t="s">
        <v>81</v>
      </c>
      <c r="E92" t="s">
        <v>163</v>
      </c>
      <c r="F92" t="s">
        <v>6448</v>
      </c>
      <c r="G92" t="s">
        <v>6294</v>
      </c>
      <c r="H92" t="s">
        <v>470</v>
      </c>
      <c r="L92" t="s">
        <v>6448</v>
      </c>
      <c r="N92" t="s">
        <v>6448</v>
      </c>
      <c r="O92" t="s">
        <v>7</v>
      </c>
      <c r="P92" t="s">
        <v>472</v>
      </c>
      <c r="Q92" t="s">
        <v>473</v>
      </c>
      <c r="R92" t="s">
        <v>6449</v>
      </c>
      <c r="S92" t="s">
        <v>6280</v>
      </c>
      <c r="T92" t="s">
        <v>119</v>
      </c>
    </row>
    <row r="93" spans="1:20" ht="15" customHeight="1" x14ac:dyDescent="0.4">
      <c r="A93" t="s">
        <v>475</v>
      </c>
      <c r="B93" t="s">
        <v>475</v>
      </c>
      <c r="C93" t="s">
        <v>151</v>
      </c>
      <c r="D93" t="s">
        <v>81</v>
      </c>
      <c r="E93" t="s">
        <v>163</v>
      </c>
      <c r="F93" t="s">
        <v>6450</v>
      </c>
      <c r="G93" t="s">
        <v>6294</v>
      </c>
      <c r="H93" t="s">
        <v>474</v>
      </c>
      <c r="L93" t="s">
        <v>6450</v>
      </c>
      <c r="N93" t="s">
        <v>6450</v>
      </c>
      <c r="O93" t="s">
        <v>7</v>
      </c>
      <c r="P93" t="s">
        <v>476</v>
      </c>
      <c r="Q93" t="s">
        <v>477</v>
      </c>
      <c r="R93" t="s">
        <v>6451</v>
      </c>
      <c r="S93" t="s">
        <v>6280</v>
      </c>
      <c r="T93" t="s">
        <v>119</v>
      </c>
    </row>
    <row r="94" spans="1:20" ht="15" customHeight="1" x14ac:dyDescent="0.4">
      <c r="A94" t="s">
        <v>479</v>
      </c>
      <c r="B94" t="s">
        <v>479</v>
      </c>
      <c r="C94" t="s">
        <v>151</v>
      </c>
      <c r="D94" t="s">
        <v>81</v>
      </c>
      <c r="E94" t="s">
        <v>163</v>
      </c>
      <c r="F94" t="s">
        <v>6452</v>
      </c>
      <c r="G94" t="s">
        <v>6294</v>
      </c>
      <c r="H94" t="s">
        <v>478</v>
      </c>
      <c r="L94" t="s">
        <v>6452</v>
      </c>
      <c r="N94" t="s">
        <v>6452</v>
      </c>
      <c r="O94" t="s">
        <v>7</v>
      </c>
      <c r="P94" t="s">
        <v>480</v>
      </c>
      <c r="Q94" t="s">
        <v>481</v>
      </c>
      <c r="R94" t="s">
        <v>6453</v>
      </c>
      <c r="S94" t="s">
        <v>6280</v>
      </c>
      <c r="T94" t="s">
        <v>119</v>
      </c>
    </row>
    <row r="95" spans="1:20" ht="15" customHeight="1" x14ac:dyDescent="0.4">
      <c r="A95" t="s">
        <v>483</v>
      </c>
      <c r="B95" t="s">
        <v>483</v>
      </c>
      <c r="C95" t="s">
        <v>151</v>
      </c>
      <c r="D95" t="s">
        <v>81</v>
      </c>
      <c r="E95" t="s">
        <v>163</v>
      </c>
      <c r="F95" t="s">
        <v>6454</v>
      </c>
      <c r="G95" t="s">
        <v>6294</v>
      </c>
      <c r="H95" t="s">
        <v>482</v>
      </c>
      <c r="L95" t="s">
        <v>6454</v>
      </c>
      <c r="N95" t="s">
        <v>6454</v>
      </c>
      <c r="O95" t="s">
        <v>7</v>
      </c>
      <c r="P95" t="s">
        <v>484</v>
      </c>
      <c r="Q95" t="s">
        <v>485</v>
      </c>
      <c r="R95" t="s">
        <v>6455</v>
      </c>
      <c r="S95" t="s">
        <v>6280</v>
      </c>
      <c r="T95" t="s">
        <v>119</v>
      </c>
    </row>
    <row r="96" spans="1:20" ht="15" customHeight="1" x14ac:dyDescent="0.4">
      <c r="A96" t="s">
        <v>487</v>
      </c>
      <c r="B96" t="s">
        <v>487</v>
      </c>
      <c r="C96" t="s">
        <v>151</v>
      </c>
      <c r="D96" t="s">
        <v>81</v>
      </c>
      <c r="E96" t="s">
        <v>163</v>
      </c>
      <c r="F96" t="s">
        <v>6456</v>
      </c>
      <c r="G96" t="s">
        <v>6294</v>
      </c>
      <c r="H96" t="s">
        <v>486</v>
      </c>
      <c r="L96" t="s">
        <v>6456</v>
      </c>
      <c r="N96" t="s">
        <v>6456</v>
      </c>
      <c r="O96" t="s">
        <v>7</v>
      </c>
      <c r="P96" t="s">
        <v>488</v>
      </c>
      <c r="Q96" t="s">
        <v>489</v>
      </c>
      <c r="R96" t="s">
        <v>6457</v>
      </c>
      <c r="S96" t="s">
        <v>6280</v>
      </c>
      <c r="T96" t="s">
        <v>119</v>
      </c>
    </row>
    <row r="97" spans="1:20" ht="15" customHeight="1" x14ac:dyDescent="0.4">
      <c r="A97" t="s">
        <v>492</v>
      </c>
      <c r="B97" t="s">
        <v>492</v>
      </c>
      <c r="C97" t="s">
        <v>151</v>
      </c>
      <c r="D97" t="s">
        <v>81</v>
      </c>
      <c r="E97" t="s">
        <v>163</v>
      </c>
      <c r="F97" t="s">
        <v>6458</v>
      </c>
      <c r="G97" t="s">
        <v>6294</v>
      </c>
      <c r="H97" t="s">
        <v>491</v>
      </c>
      <c r="L97" t="s">
        <v>6458</v>
      </c>
      <c r="N97" t="s">
        <v>6458</v>
      </c>
      <c r="O97" t="s">
        <v>7</v>
      </c>
      <c r="P97" t="s">
        <v>493</v>
      </c>
      <c r="Q97" t="s">
        <v>494</v>
      </c>
      <c r="R97" t="s">
        <v>6459</v>
      </c>
      <c r="S97" t="s">
        <v>6280</v>
      </c>
      <c r="T97" t="s">
        <v>119</v>
      </c>
    </row>
    <row r="98" spans="1:20" ht="15" customHeight="1" x14ac:dyDescent="0.4">
      <c r="A98" t="s">
        <v>496</v>
      </c>
      <c r="B98" t="s">
        <v>496</v>
      </c>
      <c r="C98" t="s">
        <v>151</v>
      </c>
      <c r="D98" t="s">
        <v>81</v>
      </c>
      <c r="E98" t="s">
        <v>163</v>
      </c>
      <c r="F98" t="s">
        <v>6460</v>
      </c>
      <c r="G98" t="s">
        <v>6294</v>
      </c>
      <c r="H98" t="s">
        <v>495</v>
      </c>
      <c r="L98" t="s">
        <v>6460</v>
      </c>
      <c r="N98" t="s">
        <v>6460</v>
      </c>
      <c r="O98" t="s">
        <v>7</v>
      </c>
      <c r="P98" t="s">
        <v>497</v>
      </c>
      <c r="Q98" t="s">
        <v>498</v>
      </c>
      <c r="R98" t="s">
        <v>6461</v>
      </c>
      <c r="S98" t="s">
        <v>6280</v>
      </c>
      <c r="T98" t="s">
        <v>119</v>
      </c>
    </row>
    <row r="99" spans="1:20" ht="15" customHeight="1" x14ac:dyDescent="0.4">
      <c r="A99" t="s">
        <v>500</v>
      </c>
      <c r="B99" t="s">
        <v>500</v>
      </c>
      <c r="C99" t="s">
        <v>151</v>
      </c>
      <c r="D99" t="s">
        <v>81</v>
      </c>
      <c r="E99" t="s">
        <v>163</v>
      </c>
      <c r="F99" t="s">
        <v>6462</v>
      </c>
      <c r="G99" t="s">
        <v>6294</v>
      </c>
      <c r="H99" t="s">
        <v>499</v>
      </c>
      <c r="L99" t="s">
        <v>6462</v>
      </c>
      <c r="N99" t="s">
        <v>6462</v>
      </c>
      <c r="O99" t="s">
        <v>7</v>
      </c>
      <c r="P99" t="s">
        <v>501</v>
      </c>
      <c r="Q99" t="s">
        <v>502</v>
      </c>
      <c r="R99" t="s">
        <v>6463</v>
      </c>
      <c r="S99" t="s">
        <v>6280</v>
      </c>
      <c r="T99" t="s">
        <v>119</v>
      </c>
    </row>
    <row r="100" spans="1:20" ht="15" customHeight="1" x14ac:dyDescent="0.4">
      <c r="A100" t="s">
        <v>504</v>
      </c>
      <c r="B100" t="s">
        <v>504</v>
      </c>
      <c r="C100" t="s">
        <v>151</v>
      </c>
      <c r="D100" t="s">
        <v>81</v>
      </c>
      <c r="E100" t="s">
        <v>163</v>
      </c>
      <c r="F100" t="s">
        <v>6464</v>
      </c>
      <c r="G100" t="s">
        <v>6294</v>
      </c>
      <c r="H100" t="s">
        <v>503</v>
      </c>
      <c r="L100" t="s">
        <v>6464</v>
      </c>
      <c r="N100" t="s">
        <v>6464</v>
      </c>
      <c r="O100" t="s">
        <v>7</v>
      </c>
      <c r="P100" t="s">
        <v>505</v>
      </c>
      <c r="Q100" t="s">
        <v>506</v>
      </c>
      <c r="R100" t="s">
        <v>6465</v>
      </c>
      <c r="S100" t="s">
        <v>6280</v>
      </c>
      <c r="T100" t="s">
        <v>119</v>
      </c>
    </row>
    <row r="101" spans="1:20" ht="15" customHeight="1" x14ac:dyDescent="0.4">
      <c r="A101" t="s">
        <v>508</v>
      </c>
      <c r="B101" t="s">
        <v>508</v>
      </c>
      <c r="C101" t="s">
        <v>151</v>
      </c>
      <c r="D101" t="s">
        <v>81</v>
      </c>
      <c r="E101" t="s">
        <v>163</v>
      </c>
      <c r="F101" t="s">
        <v>6466</v>
      </c>
      <c r="G101" t="s">
        <v>6294</v>
      </c>
      <c r="H101" t="s">
        <v>507</v>
      </c>
      <c r="L101" t="s">
        <v>6466</v>
      </c>
      <c r="N101" t="s">
        <v>6466</v>
      </c>
      <c r="O101" t="s">
        <v>7</v>
      </c>
      <c r="P101" t="s">
        <v>509</v>
      </c>
      <c r="Q101" t="s">
        <v>510</v>
      </c>
      <c r="R101" t="s">
        <v>6467</v>
      </c>
      <c r="S101" t="s">
        <v>6280</v>
      </c>
      <c r="T101" t="s">
        <v>119</v>
      </c>
    </row>
    <row r="102" spans="1:20" ht="15" customHeight="1" x14ac:dyDescent="0.4">
      <c r="A102" t="s">
        <v>512</v>
      </c>
      <c r="B102" t="s">
        <v>512</v>
      </c>
      <c r="C102" t="s">
        <v>151</v>
      </c>
      <c r="D102" t="s">
        <v>81</v>
      </c>
      <c r="E102" t="s">
        <v>163</v>
      </c>
      <c r="F102" t="s">
        <v>6468</v>
      </c>
      <c r="G102" t="s">
        <v>6294</v>
      </c>
      <c r="H102" t="s">
        <v>511</v>
      </c>
      <c r="L102" t="s">
        <v>6468</v>
      </c>
      <c r="N102" t="s">
        <v>6468</v>
      </c>
      <c r="O102" t="s">
        <v>7</v>
      </c>
      <c r="P102" t="s">
        <v>513</v>
      </c>
      <c r="Q102" t="s">
        <v>514</v>
      </c>
      <c r="R102" t="s">
        <v>6469</v>
      </c>
      <c r="S102" t="s">
        <v>6280</v>
      </c>
      <c r="T102" t="s">
        <v>119</v>
      </c>
    </row>
    <row r="103" spans="1:20" ht="15" customHeight="1" x14ac:dyDescent="0.4">
      <c r="A103" t="s">
        <v>516</v>
      </c>
      <c r="B103" t="s">
        <v>516</v>
      </c>
      <c r="C103" t="s">
        <v>151</v>
      </c>
      <c r="D103" t="s">
        <v>81</v>
      </c>
      <c r="E103" t="s">
        <v>163</v>
      </c>
      <c r="F103" t="s">
        <v>6470</v>
      </c>
      <c r="G103" t="s">
        <v>6294</v>
      </c>
      <c r="H103" t="s">
        <v>515</v>
      </c>
      <c r="L103" t="s">
        <v>6470</v>
      </c>
      <c r="N103" t="s">
        <v>6470</v>
      </c>
      <c r="O103" t="s">
        <v>7</v>
      </c>
      <c r="P103" t="s">
        <v>517</v>
      </c>
      <c r="Q103" t="s">
        <v>518</v>
      </c>
      <c r="R103" t="s">
        <v>6471</v>
      </c>
      <c r="S103" t="s">
        <v>6280</v>
      </c>
      <c r="T103" t="s">
        <v>119</v>
      </c>
    </row>
    <row r="104" spans="1:20" ht="15" customHeight="1" x14ac:dyDescent="0.4">
      <c r="A104" t="s">
        <v>520</v>
      </c>
      <c r="B104" t="s">
        <v>520</v>
      </c>
      <c r="C104" t="s">
        <v>151</v>
      </c>
      <c r="D104" t="s">
        <v>81</v>
      </c>
      <c r="E104" t="s">
        <v>163</v>
      </c>
      <c r="F104" t="s">
        <v>6472</v>
      </c>
      <c r="G104" t="s">
        <v>6294</v>
      </c>
      <c r="H104" t="s">
        <v>519</v>
      </c>
      <c r="L104" t="s">
        <v>6472</v>
      </c>
      <c r="N104" t="s">
        <v>6472</v>
      </c>
      <c r="O104" t="s">
        <v>7</v>
      </c>
      <c r="P104" t="s">
        <v>521</v>
      </c>
      <c r="Q104" t="s">
        <v>522</v>
      </c>
      <c r="R104" t="s">
        <v>6473</v>
      </c>
      <c r="S104" t="s">
        <v>6280</v>
      </c>
      <c r="T104" t="s">
        <v>119</v>
      </c>
    </row>
    <row r="105" spans="1:20" ht="15" customHeight="1" x14ac:dyDescent="0.4">
      <c r="A105" t="s">
        <v>524</v>
      </c>
      <c r="B105" t="s">
        <v>524</v>
      </c>
      <c r="C105" t="s">
        <v>151</v>
      </c>
      <c r="D105" t="s">
        <v>81</v>
      </c>
      <c r="E105" t="s">
        <v>163</v>
      </c>
      <c r="F105" t="s">
        <v>6474</v>
      </c>
      <c r="G105" t="s">
        <v>6294</v>
      </c>
      <c r="H105" t="s">
        <v>523</v>
      </c>
      <c r="L105" t="s">
        <v>6474</v>
      </c>
      <c r="N105" t="s">
        <v>6474</v>
      </c>
      <c r="O105" t="s">
        <v>7</v>
      </c>
      <c r="P105" t="s">
        <v>525</v>
      </c>
      <c r="Q105" t="s">
        <v>526</v>
      </c>
      <c r="R105" t="s">
        <v>6475</v>
      </c>
      <c r="S105" t="s">
        <v>6280</v>
      </c>
      <c r="T105" t="s">
        <v>119</v>
      </c>
    </row>
    <row r="106" spans="1:20" ht="15" customHeight="1" x14ac:dyDescent="0.4">
      <c r="A106" t="s">
        <v>528</v>
      </c>
      <c r="B106" t="s">
        <v>528</v>
      </c>
      <c r="C106" t="s">
        <v>151</v>
      </c>
      <c r="D106" t="s">
        <v>81</v>
      </c>
      <c r="E106" t="s">
        <v>163</v>
      </c>
      <c r="F106" t="s">
        <v>6476</v>
      </c>
      <c r="G106" t="s">
        <v>6294</v>
      </c>
      <c r="H106" t="s">
        <v>527</v>
      </c>
      <c r="L106" t="s">
        <v>6476</v>
      </c>
      <c r="N106" t="s">
        <v>6476</v>
      </c>
      <c r="O106" t="s">
        <v>7</v>
      </c>
      <c r="P106" t="s">
        <v>529</v>
      </c>
      <c r="Q106" t="s">
        <v>530</v>
      </c>
      <c r="R106" t="s">
        <v>6477</v>
      </c>
      <c r="S106" t="s">
        <v>6280</v>
      </c>
      <c r="T106" t="s">
        <v>119</v>
      </c>
    </row>
    <row r="107" spans="1:20" ht="15" customHeight="1" x14ac:dyDescent="0.4">
      <c r="A107" t="s">
        <v>532</v>
      </c>
      <c r="B107" t="s">
        <v>532</v>
      </c>
      <c r="C107" t="s">
        <v>151</v>
      </c>
      <c r="D107" t="s">
        <v>81</v>
      </c>
      <c r="E107" t="s">
        <v>163</v>
      </c>
      <c r="F107" t="s">
        <v>6478</v>
      </c>
      <c r="G107" t="s">
        <v>6294</v>
      </c>
      <c r="H107" t="s">
        <v>531</v>
      </c>
      <c r="L107" t="s">
        <v>6478</v>
      </c>
      <c r="N107" t="s">
        <v>6478</v>
      </c>
      <c r="O107" t="s">
        <v>7</v>
      </c>
      <c r="P107" t="s">
        <v>533</v>
      </c>
      <c r="Q107" t="s">
        <v>534</v>
      </c>
      <c r="R107" t="s">
        <v>6479</v>
      </c>
      <c r="S107" t="s">
        <v>6280</v>
      </c>
      <c r="T107" t="s">
        <v>119</v>
      </c>
    </row>
    <row r="108" spans="1:20" ht="15" customHeight="1" x14ac:dyDescent="0.4">
      <c r="A108" t="s">
        <v>536</v>
      </c>
      <c r="B108" t="s">
        <v>536</v>
      </c>
      <c r="C108" t="s">
        <v>151</v>
      </c>
      <c r="D108" t="s">
        <v>81</v>
      </c>
      <c r="E108" t="s">
        <v>163</v>
      </c>
      <c r="F108" t="s">
        <v>6480</v>
      </c>
      <c r="G108" t="s">
        <v>6294</v>
      </c>
      <c r="H108" t="s">
        <v>535</v>
      </c>
      <c r="L108" t="s">
        <v>6480</v>
      </c>
      <c r="N108" t="s">
        <v>6480</v>
      </c>
      <c r="O108" t="s">
        <v>7</v>
      </c>
      <c r="P108" t="s">
        <v>537</v>
      </c>
      <c r="Q108" t="s">
        <v>538</v>
      </c>
      <c r="R108" t="s">
        <v>6481</v>
      </c>
      <c r="S108" t="s">
        <v>6280</v>
      </c>
      <c r="T108" t="s">
        <v>119</v>
      </c>
    </row>
    <row r="109" spans="1:20" ht="15" customHeight="1" x14ac:dyDescent="0.4">
      <c r="A109" t="s">
        <v>540</v>
      </c>
      <c r="B109" t="s">
        <v>540</v>
      </c>
      <c r="C109" t="s">
        <v>151</v>
      </c>
      <c r="D109" t="s">
        <v>81</v>
      </c>
      <c r="E109" t="s">
        <v>163</v>
      </c>
      <c r="F109" t="s">
        <v>6482</v>
      </c>
      <c r="G109" t="s">
        <v>6294</v>
      </c>
      <c r="H109" t="s">
        <v>539</v>
      </c>
      <c r="L109" t="s">
        <v>6482</v>
      </c>
      <c r="N109" t="s">
        <v>6482</v>
      </c>
      <c r="O109" t="s">
        <v>7</v>
      </c>
      <c r="P109" t="s">
        <v>541</v>
      </c>
      <c r="Q109" t="s">
        <v>542</v>
      </c>
      <c r="R109" t="s">
        <v>6483</v>
      </c>
      <c r="S109" t="s">
        <v>6280</v>
      </c>
      <c r="T109" t="s">
        <v>119</v>
      </c>
    </row>
    <row r="110" spans="1:20" ht="15" customHeight="1" x14ac:dyDescent="0.4">
      <c r="A110" t="s">
        <v>544</v>
      </c>
      <c r="B110" t="s">
        <v>544</v>
      </c>
      <c r="C110" t="s">
        <v>151</v>
      </c>
      <c r="D110" t="s">
        <v>81</v>
      </c>
      <c r="E110" t="s">
        <v>163</v>
      </c>
      <c r="F110" t="s">
        <v>6484</v>
      </c>
      <c r="G110" t="s">
        <v>6294</v>
      </c>
      <c r="H110" t="s">
        <v>543</v>
      </c>
      <c r="L110" t="s">
        <v>6484</v>
      </c>
      <c r="N110" t="s">
        <v>6484</v>
      </c>
      <c r="O110" t="s">
        <v>7</v>
      </c>
      <c r="P110" t="s">
        <v>545</v>
      </c>
      <c r="Q110" t="s">
        <v>546</v>
      </c>
      <c r="R110" t="s">
        <v>6485</v>
      </c>
      <c r="S110" t="s">
        <v>6280</v>
      </c>
      <c r="T110" t="s">
        <v>119</v>
      </c>
    </row>
    <row r="111" spans="1:20" ht="15" customHeight="1" x14ac:dyDescent="0.4">
      <c r="A111" t="s">
        <v>548</v>
      </c>
      <c r="B111" t="s">
        <v>548</v>
      </c>
      <c r="C111" t="s">
        <v>151</v>
      </c>
      <c r="D111" t="s">
        <v>81</v>
      </c>
      <c r="E111" t="s">
        <v>163</v>
      </c>
      <c r="F111" t="s">
        <v>6486</v>
      </c>
      <c r="G111" t="s">
        <v>6294</v>
      </c>
      <c r="H111" t="s">
        <v>547</v>
      </c>
      <c r="L111" t="s">
        <v>6486</v>
      </c>
      <c r="N111" t="s">
        <v>6486</v>
      </c>
      <c r="O111" t="s">
        <v>7</v>
      </c>
      <c r="P111" t="s">
        <v>549</v>
      </c>
      <c r="Q111" t="s">
        <v>550</v>
      </c>
      <c r="R111" t="s">
        <v>6487</v>
      </c>
      <c r="S111" t="s">
        <v>6280</v>
      </c>
      <c r="T111" t="s">
        <v>119</v>
      </c>
    </row>
    <row r="112" spans="1:20" ht="15" customHeight="1" x14ac:dyDescent="0.4">
      <c r="A112" t="s">
        <v>552</v>
      </c>
      <c r="B112" t="s">
        <v>552</v>
      </c>
      <c r="C112" t="s">
        <v>151</v>
      </c>
      <c r="D112" t="s">
        <v>81</v>
      </c>
      <c r="E112" t="s">
        <v>163</v>
      </c>
      <c r="F112" t="s">
        <v>6488</v>
      </c>
      <c r="G112" t="s">
        <v>6294</v>
      </c>
      <c r="H112" t="s">
        <v>551</v>
      </c>
      <c r="L112" t="s">
        <v>6488</v>
      </c>
      <c r="N112" t="s">
        <v>6488</v>
      </c>
      <c r="O112" t="s">
        <v>7</v>
      </c>
      <c r="P112" t="s">
        <v>553</v>
      </c>
      <c r="Q112" t="s">
        <v>554</v>
      </c>
      <c r="R112" t="s">
        <v>6489</v>
      </c>
      <c r="S112" t="s">
        <v>6280</v>
      </c>
      <c r="T112" t="s">
        <v>119</v>
      </c>
    </row>
    <row r="113" spans="1:20" ht="15" customHeight="1" x14ac:dyDescent="0.4">
      <c r="A113" t="s">
        <v>556</v>
      </c>
      <c r="B113" t="s">
        <v>556</v>
      </c>
      <c r="C113" t="s">
        <v>151</v>
      </c>
      <c r="D113" t="s">
        <v>81</v>
      </c>
      <c r="E113" t="s">
        <v>163</v>
      </c>
      <c r="F113" t="s">
        <v>6490</v>
      </c>
      <c r="G113" t="s">
        <v>6294</v>
      </c>
      <c r="H113" t="s">
        <v>555</v>
      </c>
      <c r="L113" t="s">
        <v>6490</v>
      </c>
      <c r="N113" t="s">
        <v>6490</v>
      </c>
      <c r="O113" t="s">
        <v>7</v>
      </c>
      <c r="P113" t="s">
        <v>557</v>
      </c>
      <c r="Q113" t="s">
        <v>558</v>
      </c>
      <c r="R113" t="s">
        <v>6491</v>
      </c>
      <c r="S113" t="s">
        <v>6280</v>
      </c>
      <c r="T113" t="s">
        <v>119</v>
      </c>
    </row>
    <row r="114" spans="1:20" ht="15" customHeight="1" x14ac:dyDescent="0.4">
      <c r="A114" t="s">
        <v>560</v>
      </c>
      <c r="B114" t="s">
        <v>560</v>
      </c>
      <c r="C114" t="s">
        <v>151</v>
      </c>
      <c r="D114" t="s">
        <v>81</v>
      </c>
      <c r="E114" t="s">
        <v>163</v>
      </c>
      <c r="F114" t="s">
        <v>6492</v>
      </c>
      <c r="G114" t="s">
        <v>6294</v>
      </c>
      <c r="H114" t="s">
        <v>559</v>
      </c>
      <c r="L114" t="s">
        <v>6492</v>
      </c>
      <c r="N114" t="s">
        <v>6492</v>
      </c>
      <c r="O114" t="s">
        <v>7</v>
      </c>
      <c r="P114" t="s">
        <v>561</v>
      </c>
      <c r="Q114" t="s">
        <v>562</v>
      </c>
      <c r="R114" t="s">
        <v>6493</v>
      </c>
      <c r="S114" t="s">
        <v>6280</v>
      </c>
      <c r="T114" t="s">
        <v>119</v>
      </c>
    </row>
    <row r="115" spans="1:20" ht="15" customHeight="1" x14ac:dyDescent="0.4">
      <c r="A115" t="s">
        <v>564</v>
      </c>
      <c r="B115" t="s">
        <v>564</v>
      </c>
      <c r="C115" t="s">
        <v>151</v>
      </c>
      <c r="D115" t="s">
        <v>81</v>
      </c>
      <c r="E115" t="s">
        <v>163</v>
      </c>
      <c r="F115" t="s">
        <v>6494</v>
      </c>
      <c r="G115" t="s">
        <v>6294</v>
      </c>
      <c r="H115" t="s">
        <v>563</v>
      </c>
      <c r="L115" t="s">
        <v>6494</v>
      </c>
      <c r="N115" t="s">
        <v>6494</v>
      </c>
      <c r="O115" t="s">
        <v>7</v>
      </c>
      <c r="P115" t="s">
        <v>565</v>
      </c>
      <c r="Q115" t="s">
        <v>566</v>
      </c>
      <c r="R115" t="s">
        <v>6495</v>
      </c>
      <c r="S115" t="s">
        <v>6280</v>
      </c>
      <c r="T115" t="s">
        <v>119</v>
      </c>
    </row>
    <row r="116" spans="1:20" ht="15" customHeight="1" x14ac:dyDescent="0.4">
      <c r="A116" t="s">
        <v>568</v>
      </c>
      <c r="B116" t="s">
        <v>568</v>
      </c>
      <c r="C116" t="s">
        <v>151</v>
      </c>
      <c r="D116" t="s">
        <v>81</v>
      </c>
      <c r="E116" t="s">
        <v>163</v>
      </c>
      <c r="F116" t="s">
        <v>6496</v>
      </c>
      <c r="G116" t="s">
        <v>6294</v>
      </c>
      <c r="H116" t="s">
        <v>567</v>
      </c>
      <c r="L116" t="s">
        <v>6496</v>
      </c>
      <c r="N116" t="s">
        <v>6496</v>
      </c>
      <c r="O116" t="s">
        <v>7</v>
      </c>
      <c r="P116" t="s">
        <v>569</v>
      </c>
      <c r="Q116" t="s">
        <v>570</v>
      </c>
      <c r="R116" t="s">
        <v>6497</v>
      </c>
      <c r="S116" t="s">
        <v>6280</v>
      </c>
      <c r="T116" t="s">
        <v>119</v>
      </c>
    </row>
    <row r="117" spans="1:20" ht="15" customHeight="1" x14ac:dyDescent="0.4">
      <c r="A117" t="s">
        <v>572</v>
      </c>
      <c r="B117" t="s">
        <v>572</v>
      </c>
      <c r="C117" t="s">
        <v>151</v>
      </c>
      <c r="D117" t="s">
        <v>81</v>
      </c>
      <c r="E117" t="s">
        <v>163</v>
      </c>
      <c r="F117" t="s">
        <v>6498</v>
      </c>
      <c r="G117" t="s">
        <v>6294</v>
      </c>
      <c r="H117" t="s">
        <v>571</v>
      </c>
      <c r="L117" t="s">
        <v>6498</v>
      </c>
      <c r="N117" t="s">
        <v>6498</v>
      </c>
      <c r="O117" t="s">
        <v>7</v>
      </c>
      <c r="P117" t="s">
        <v>573</v>
      </c>
      <c r="Q117" t="s">
        <v>574</v>
      </c>
      <c r="R117" t="s">
        <v>6499</v>
      </c>
      <c r="S117" t="s">
        <v>6280</v>
      </c>
      <c r="T117" t="s">
        <v>119</v>
      </c>
    </row>
    <row r="118" spans="1:20" ht="15" customHeight="1" x14ac:dyDescent="0.4">
      <c r="A118" t="s">
        <v>576</v>
      </c>
      <c r="B118" t="s">
        <v>576</v>
      </c>
      <c r="C118" t="s">
        <v>151</v>
      </c>
      <c r="D118" t="s">
        <v>81</v>
      </c>
      <c r="E118" t="s">
        <v>163</v>
      </c>
      <c r="F118" t="s">
        <v>6500</v>
      </c>
      <c r="G118" t="s">
        <v>6294</v>
      </c>
      <c r="H118" t="s">
        <v>575</v>
      </c>
      <c r="L118" t="s">
        <v>6500</v>
      </c>
      <c r="N118" t="s">
        <v>6500</v>
      </c>
      <c r="O118" t="s">
        <v>7</v>
      </c>
      <c r="P118" t="s">
        <v>577</v>
      </c>
      <c r="Q118" t="s">
        <v>578</v>
      </c>
      <c r="R118" t="s">
        <v>6501</v>
      </c>
      <c r="S118" t="s">
        <v>6280</v>
      </c>
      <c r="T118" t="s">
        <v>119</v>
      </c>
    </row>
    <row r="119" spans="1:20" ht="15" customHeight="1" x14ac:dyDescent="0.4">
      <c r="A119" t="s">
        <v>580</v>
      </c>
      <c r="B119" t="s">
        <v>580</v>
      </c>
      <c r="C119" t="s">
        <v>151</v>
      </c>
      <c r="D119" t="s">
        <v>81</v>
      </c>
      <c r="E119" t="s">
        <v>163</v>
      </c>
      <c r="F119" t="s">
        <v>6502</v>
      </c>
      <c r="G119" t="s">
        <v>6294</v>
      </c>
      <c r="H119" t="s">
        <v>579</v>
      </c>
      <c r="L119" t="s">
        <v>6502</v>
      </c>
      <c r="N119" t="s">
        <v>6502</v>
      </c>
      <c r="O119" t="s">
        <v>7</v>
      </c>
      <c r="P119" t="s">
        <v>581</v>
      </c>
      <c r="Q119" t="s">
        <v>582</v>
      </c>
      <c r="R119" t="s">
        <v>6503</v>
      </c>
      <c r="S119" t="s">
        <v>6280</v>
      </c>
      <c r="T119" t="s">
        <v>119</v>
      </c>
    </row>
    <row r="120" spans="1:20" ht="15" customHeight="1" x14ac:dyDescent="0.4">
      <c r="A120" t="s">
        <v>584</v>
      </c>
      <c r="B120" t="s">
        <v>584</v>
      </c>
      <c r="C120" t="s">
        <v>151</v>
      </c>
      <c r="D120" t="s">
        <v>81</v>
      </c>
      <c r="E120" t="s">
        <v>163</v>
      </c>
      <c r="F120" t="s">
        <v>6504</v>
      </c>
      <c r="G120" t="s">
        <v>6294</v>
      </c>
      <c r="H120" t="s">
        <v>583</v>
      </c>
      <c r="L120" t="s">
        <v>6504</v>
      </c>
      <c r="N120" t="s">
        <v>6504</v>
      </c>
      <c r="O120" t="s">
        <v>7</v>
      </c>
      <c r="P120" t="s">
        <v>585</v>
      </c>
      <c r="Q120" t="s">
        <v>586</v>
      </c>
      <c r="R120" t="s">
        <v>6505</v>
      </c>
      <c r="S120" t="s">
        <v>6280</v>
      </c>
      <c r="T120" t="s">
        <v>119</v>
      </c>
    </row>
    <row r="121" spans="1:20" ht="15" customHeight="1" x14ac:dyDescent="0.4">
      <c r="A121" t="s">
        <v>588</v>
      </c>
      <c r="B121" t="s">
        <v>588</v>
      </c>
      <c r="C121" t="s">
        <v>151</v>
      </c>
      <c r="D121" t="s">
        <v>81</v>
      </c>
      <c r="E121" t="s">
        <v>163</v>
      </c>
      <c r="F121" t="s">
        <v>6506</v>
      </c>
      <c r="G121" t="s">
        <v>6294</v>
      </c>
      <c r="H121" t="s">
        <v>587</v>
      </c>
      <c r="L121" t="s">
        <v>6506</v>
      </c>
      <c r="N121" t="s">
        <v>6506</v>
      </c>
      <c r="O121" t="s">
        <v>7</v>
      </c>
      <c r="P121" t="s">
        <v>589</v>
      </c>
      <c r="Q121" t="s">
        <v>590</v>
      </c>
      <c r="R121" t="s">
        <v>6507</v>
      </c>
      <c r="S121" t="s">
        <v>6280</v>
      </c>
      <c r="T121" t="s">
        <v>119</v>
      </c>
    </row>
    <row r="122" spans="1:20" ht="15" customHeight="1" x14ac:dyDescent="0.4">
      <c r="A122" t="s">
        <v>592</v>
      </c>
      <c r="B122" t="s">
        <v>592</v>
      </c>
      <c r="C122" t="s">
        <v>151</v>
      </c>
      <c r="D122" t="s">
        <v>81</v>
      </c>
      <c r="E122" t="s">
        <v>163</v>
      </c>
      <c r="F122" t="s">
        <v>6508</v>
      </c>
      <c r="G122" t="s">
        <v>6294</v>
      </c>
      <c r="H122" t="s">
        <v>591</v>
      </c>
      <c r="L122" t="s">
        <v>6508</v>
      </c>
      <c r="N122" t="s">
        <v>6508</v>
      </c>
      <c r="O122" t="s">
        <v>7</v>
      </c>
      <c r="P122" t="s">
        <v>593</v>
      </c>
      <c r="Q122" t="s">
        <v>594</v>
      </c>
      <c r="R122" t="s">
        <v>6509</v>
      </c>
      <c r="S122" t="s">
        <v>6280</v>
      </c>
      <c r="T122" t="s">
        <v>119</v>
      </c>
    </row>
    <row r="123" spans="1:20" ht="15" customHeight="1" x14ac:dyDescent="0.4">
      <c r="A123" t="s">
        <v>596</v>
      </c>
      <c r="B123" t="s">
        <v>596</v>
      </c>
      <c r="C123" t="s">
        <v>151</v>
      </c>
      <c r="D123" t="s">
        <v>81</v>
      </c>
      <c r="E123" t="s">
        <v>163</v>
      </c>
      <c r="F123" t="s">
        <v>6510</v>
      </c>
      <c r="G123" t="s">
        <v>6294</v>
      </c>
      <c r="H123" t="s">
        <v>595</v>
      </c>
      <c r="L123" t="s">
        <v>6510</v>
      </c>
      <c r="N123" t="s">
        <v>6510</v>
      </c>
      <c r="O123" t="s">
        <v>7</v>
      </c>
      <c r="P123" t="s">
        <v>597</v>
      </c>
      <c r="Q123" t="s">
        <v>598</v>
      </c>
      <c r="R123" t="s">
        <v>6511</v>
      </c>
      <c r="S123" t="s">
        <v>6280</v>
      </c>
      <c r="T123" t="s">
        <v>119</v>
      </c>
    </row>
    <row r="124" spans="1:20" ht="15" customHeight="1" x14ac:dyDescent="0.4">
      <c r="A124" t="s">
        <v>600</v>
      </c>
      <c r="B124" t="s">
        <v>600</v>
      </c>
      <c r="C124" t="s">
        <v>151</v>
      </c>
      <c r="D124" t="s">
        <v>81</v>
      </c>
      <c r="E124" t="s">
        <v>163</v>
      </c>
      <c r="F124" t="s">
        <v>6512</v>
      </c>
      <c r="G124" t="s">
        <v>6294</v>
      </c>
      <c r="H124" t="s">
        <v>599</v>
      </c>
      <c r="L124" t="s">
        <v>6512</v>
      </c>
      <c r="N124" t="s">
        <v>6512</v>
      </c>
      <c r="O124" t="s">
        <v>7</v>
      </c>
      <c r="P124" t="s">
        <v>601</v>
      </c>
      <c r="Q124" t="s">
        <v>602</v>
      </c>
      <c r="R124" t="s">
        <v>6513</v>
      </c>
      <c r="S124" t="s">
        <v>6280</v>
      </c>
      <c r="T124" t="s">
        <v>119</v>
      </c>
    </row>
    <row r="125" spans="1:20" ht="15" customHeight="1" x14ac:dyDescent="0.4">
      <c r="A125" t="s">
        <v>604</v>
      </c>
      <c r="B125" t="s">
        <v>604</v>
      </c>
      <c r="C125" t="s">
        <v>151</v>
      </c>
      <c r="D125" t="s">
        <v>81</v>
      </c>
      <c r="E125" t="s">
        <v>163</v>
      </c>
      <c r="F125" t="s">
        <v>6514</v>
      </c>
      <c r="G125" t="s">
        <v>6294</v>
      </c>
      <c r="H125" t="s">
        <v>603</v>
      </c>
      <c r="L125" t="s">
        <v>6514</v>
      </c>
      <c r="N125" t="s">
        <v>6514</v>
      </c>
      <c r="O125" t="s">
        <v>7</v>
      </c>
      <c r="P125" t="s">
        <v>605</v>
      </c>
      <c r="Q125" t="s">
        <v>606</v>
      </c>
      <c r="R125" t="s">
        <v>6515</v>
      </c>
      <c r="S125" t="s">
        <v>6280</v>
      </c>
      <c r="T125" t="s">
        <v>119</v>
      </c>
    </row>
    <row r="126" spans="1:20" ht="15" customHeight="1" x14ac:dyDescent="0.4">
      <c r="A126" t="s">
        <v>608</v>
      </c>
      <c r="B126" t="s">
        <v>608</v>
      </c>
      <c r="C126" t="s">
        <v>151</v>
      </c>
      <c r="D126" t="s">
        <v>81</v>
      </c>
      <c r="E126" t="s">
        <v>163</v>
      </c>
      <c r="F126" t="s">
        <v>6516</v>
      </c>
      <c r="G126" t="s">
        <v>6294</v>
      </c>
      <c r="H126" t="s">
        <v>607</v>
      </c>
      <c r="L126" t="s">
        <v>6516</v>
      </c>
      <c r="N126" t="s">
        <v>6516</v>
      </c>
      <c r="O126" t="s">
        <v>7</v>
      </c>
      <c r="P126" t="s">
        <v>609</v>
      </c>
      <c r="Q126" t="s">
        <v>610</v>
      </c>
      <c r="R126" t="s">
        <v>6517</v>
      </c>
      <c r="S126" t="s">
        <v>6280</v>
      </c>
      <c r="T126" t="s">
        <v>119</v>
      </c>
    </row>
    <row r="127" spans="1:20" ht="15" customHeight="1" x14ac:dyDescent="0.4">
      <c r="A127" t="s">
        <v>612</v>
      </c>
      <c r="B127" t="s">
        <v>612</v>
      </c>
      <c r="C127" t="s">
        <v>151</v>
      </c>
      <c r="D127" t="s">
        <v>81</v>
      </c>
      <c r="E127" t="s">
        <v>163</v>
      </c>
      <c r="F127" t="s">
        <v>6518</v>
      </c>
      <c r="G127" t="s">
        <v>6294</v>
      </c>
      <c r="H127" t="s">
        <v>611</v>
      </c>
      <c r="L127" t="s">
        <v>6518</v>
      </c>
      <c r="N127" t="s">
        <v>6518</v>
      </c>
      <c r="O127" t="s">
        <v>7</v>
      </c>
      <c r="P127" t="s">
        <v>613</v>
      </c>
      <c r="Q127" t="s">
        <v>614</v>
      </c>
      <c r="R127" t="s">
        <v>6519</v>
      </c>
      <c r="S127" t="s">
        <v>6280</v>
      </c>
      <c r="T127" t="s">
        <v>119</v>
      </c>
    </row>
    <row r="128" spans="1:20" ht="15" customHeight="1" x14ac:dyDescent="0.4">
      <c r="A128" t="s">
        <v>616</v>
      </c>
      <c r="B128" t="s">
        <v>616</v>
      </c>
      <c r="C128" t="s">
        <v>151</v>
      </c>
      <c r="D128" t="s">
        <v>81</v>
      </c>
      <c r="E128" t="s">
        <v>163</v>
      </c>
      <c r="F128" t="s">
        <v>6520</v>
      </c>
      <c r="G128" t="s">
        <v>6294</v>
      </c>
      <c r="H128" t="s">
        <v>615</v>
      </c>
      <c r="L128" t="s">
        <v>6520</v>
      </c>
      <c r="N128" t="s">
        <v>6520</v>
      </c>
      <c r="O128" t="s">
        <v>7</v>
      </c>
      <c r="P128" t="s">
        <v>617</v>
      </c>
      <c r="Q128" t="s">
        <v>618</v>
      </c>
      <c r="R128" t="s">
        <v>6521</v>
      </c>
      <c r="S128" t="s">
        <v>6280</v>
      </c>
      <c r="T128" t="s">
        <v>119</v>
      </c>
    </row>
    <row r="129" spans="1:20" ht="15" customHeight="1" x14ac:dyDescent="0.4">
      <c r="A129" t="s">
        <v>620</v>
      </c>
      <c r="B129" t="s">
        <v>620</v>
      </c>
      <c r="C129" t="s">
        <v>151</v>
      </c>
      <c r="D129" t="s">
        <v>81</v>
      </c>
      <c r="E129" t="s">
        <v>163</v>
      </c>
      <c r="F129" t="s">
        <v>6522</v>
      </c>
      <c r="G129" t="s">
        <v>6294</v>
      </c>
      <c r="H129" t="s">
        <v>619</v>
      </c>
      <c r="L129" t="s">
        <v>6522</v>
      </c>
      <c r="N129" t="s">
        <v>6522</v>
      </c>
      <c r="O129" t="s">
        <v>7</v>
      </c>
      <c r="P129" t="s">
        <v>621</v>
      </c>
      <c r="Q129" t="s">
        <v>622</v>
      </c>
      <c r="R129" t="s">
        <v>6523</v>
      </c>
      <c r="S129" t="s">
        <v>6280</v>
      </c>
      <c r="T129" t="s">
        <v>119</v>
      </c>
    </row>
    <row r="130" spans="1:20" ht="15" customHeight="1" x14ac:dyDescent="0.4">
      <c r="A130" t="s">
        <v>624</v>
      </c>
      <c r="B130" t="s">
        <v>624</v>
      </c>
      <c r="C130" t="s">
        <v>151</v>
      </c>
      <c r="D130" t="s">
        <v>81</v>
      </c>
      <c r="E130" t="s">
        <v>163</v>
      </c>
      <c r="F130" t="s">
        <v>6524</v>
      </c>
      <c r="G130" t="s">
        <v>6294</v>
      </c>
      <c r="H130" t="s">
        <v>623</v>
      </c>
      <c r="L130" t="s">
        <v>6524</v>
      </c>
      <c r="N130" t="s">
        <v>6524</v>
      </c>
      <c r="O130" t="s">
        <v>7</v>
      </c>
      <c r="P130" t="s">
        <v>625</v>
      </c>
      <c r="Q130" t="s">
        <v>626</v>
      </c>
      <c r="R130" t="s">
        <v>6525</v>
      </c>
      <c r="S130" t="s">
        <v>6280</v>
      </c>
      <c r="T130" t="s">
        <v>119</v>
      </c>
    </row>
    <row r="131" spans="1:20" ht="15" customHeight="1" x14ac:dyDescent="0.4">
      <c r="A131" t="s">
        <v>628</v>
      </c>
      <c r="B131" t="s">
        <v>628</v>
      </c>
      <c r="C131" t="s">
        <v>151</v>
      </c>
      <c r="D131" t="s">
        <v>81</v>
      </c>
      <c r="E131" t="s">
        <v>163</v>
      </c>
      <c r="F131" t="s">
        <v>6526</v>
      </c>
      <c r="G131" t="s">
        <v>6294</v>
      </c>
      <c r="H131" t="s">
        <v>627</v>
      </c>
      <c r="L131" t="s">
        <v>6526</v>
      </c>
      <c r="N131" t="s">
        <v>6526</v>
      </c>
      <c r="O131" t="s">
        <v>7</v>
      </c>
      <c r="P131" t="s">
        <v>629</v>
      </c>
      <c r="Q131" t="s">
        <v>630</v>
      </c>
      <c r="R131" t="s">
        <v>6527</v>
      </c>
      <c r="S131" t="s">
        <v>6280</v>
      </c>
      <c r="T131" t="s">
        <v>119</v>
      </c>
    </row>
    <row r="132" spans="1:20" ht="15" customHeight="1" x14ac:dyDescent="0.4">
      <c r="A132" t="s">
        <v>632</v>
      </c>
      <c r="B132" t="s">
        <v>632</v>
      </c>
      <c r="C132" t="s">
        <v>151</v>
      </c>
      <c r="D132" t="s">
        <v>81</v>
      </c>
      <c r="E132" t="s">
        <v>163</v>
      </c>
      <c r="F132" t="s">
        <v>6528</v>
      </c>
      <c r="G132" t="s">
        <v>6294</v>
      </c>
      <c r="H132" t="s">
        <v>631</v>
      </c>
      <c r="L132" t="s">
        <v>6528</v>
      </c>
      <c r="N132" t="s">
        <v>6528</v>
      </c>
      <c r="O132" t="s">
        <v>7</v>
      </c>
      <c r="P132" t="s">
        <v>633</v>
      </c>
      <c r="Q132" t="s">
        <v>634</v>
      </c>
      <c r="R132" t="s">
        <v>6529</v>
      </c>
      <c r="S132" t="s">
        <v>6280</v>
      </c>
      <c r="T132" t="s">
        <v>119</v>
      </c>
    </row>
    <row r="133" spans="1:20" ht="15" customHeight="1" x14ac:dyDescent="0.4">
      <c r="A133" t="s">
        <v>636</v>
      </c>
      <c r="B133" t="s">
        <v>636</v>
      </c>
      <c r="C133" t="s">
        <v>151</v>
      </c>
      <c r="D133" t="s">
        <v>81</v>
      </c>
      <c r="E133" t="s">
        <v>163</v>
      </c>
      <c r="F133" t="s">
        <v>6530</v>
      </c>
      <c r="G133" t="s">
        <v>6294</v>
      </c>
      <c r="H133" t="s">
        <v>635</v>
      </c>
      <c r="L133" t="s">
        <v>6530</v>
      </c>
      <c r="N133" t="s">
        <v>6530</v>
      </c>
      <c r="O133" t="s">
        <v>7</v>
      </c>
      <c r="P133" t="s">
        <v>637</v>
      </c>
      <c r="Q133" t="s">
        <v>638</v>
      </c>
      <c r="R133" t="s">
        <v>6531</v>
      </c>
      <c r="S133" t="s">
        <v>6280</v>
      </c>
      <c r="T133" t="s">
        <v>119</v>
      </c>
    </row>
    <row r="134" spans="1:20" ht="15" customHeight="1" x14ac:dyDescent="0.4">
      <c r="A134" t="s">
        <v>640</v>
      </c>
      <c r="B134" t="s">
        <v>640</v>
      </c>
      <c r="C134" t="s">
        <v>151</v>
      </c>
      <c r="D134" t="s">
        <v>81</v>
      </c>
      <c r="E134" t="s">
        <v>163</v>
      </c>
      <c r="F134" t="s">
        <v>6532</v>
      </c>
      <c r="G134" t="s">
        <v>6294</v>
      </c>
      <c r="H134" t="s">
        <v>639</v>
      </c>
      <c r="L134" t="s">
        <v>6532</v>
      </c>
      <c r="N134" t="s">
        <v>6532</v>
      </c>
      <c r="O134" t="s">
        <v>7</v>
      </c>
      <c r="P134" t="s">
        <v>641</v>
      </c>
      <c r="Q134" t="s">
        <v>642</v>
      </c>
      <c r="R134" t="s">
        <v>6533</v>
      </c>
      <c r="S134" t="s">
        <v>6280</v>
      </c>
      <c r="T134" t="s">
        <v>119</v>
      </c>
    </row>
    <row r="135" spans="1:20" ht="15" customHeight="1" x14ac:dyDescent="0.4">
      <c r="A135" t="s">
        <v>644</v>
      </c>
      <c r="B135" t="s">
        <v>644</v>
      </c>
      <c r="C135" t="s">
        <v>151</v>
      </c>
      <c r="D135" t="s">
        <v>81</v>
      </c>
      <c r="E135" t="s">
        <v>163</v>
      </c>
      <c r="F135" t="s">
        <v>6534</v>
      </c>
      <c r="G135" t="s">
        <v>6294</v>
      </c>
      <c r="H135" t="s">
        <v>643</v>
      </c>
      <c r="L135" t="s">
        <v>6534</v>
      </c>
      <c r="N135" t="s">
        <v>6534</v>
      </c>
      <c r="O135" t="s">
        <v>7</v>
      </c>
      <c r="P135" t="s">
        <v>645</v>
      </c>
      <c r="Q135" t="s">
        <v>646</v>
      </c>
      <c r="R135" t="s">
        <v>6535</v>
      </c>
      <c r="S135" t="s">
        <v>6280</v>
      </c>
      <c r="T135" t="s">
        <v>119</v>
      </c>
    </row>
    <row r="136" spans="1:20" ht="15" customHeight="1" x14ac:dyDescent="0.4">
      <c r="A136" t="s">
        <v>648</v>
      </c>
      <c r="B136" t="s">
        <v>648</v>
      </c>
      <c r="C136" t="s">
        <v>151</v>
      </c>
      <c r="D136" t="s">
        <v>81</v>
      </c>
      <c r="E136" t="s">
        <v>163</v>
      </c>
      <c r="F136" t="s">
        <v>6536</v>
      </c>
      <c r="G136" t="s">
        <v>6294</v>
      </c>
      <c r="H136" t="s">
        <v>647</v>
      </c>
      <c r="L136" t="s">
        <v>6536</v>
      </c>
      <c r="N136" t="s">
        <v>6536</v>
      </c>
      <c r="O136" t="s">
        <v>7</v>
      </c>
      <c r="P136" t="s">
        <v>649</v>
      </c>
      <c r="Q136" t="s">
        <v>650</v>
      </c>
      <c r="R136" t="s">
        <v>6537</v>
      </c>
      <c r="S136" t="s">
        <v>6280</v>
      </c>
      <c r="T136" t="s">
        <v>119</v>
      </c>
    </row>
    <row r="137" spans="1:20" ht="15" customHeight="1" x14ac:dyDescent="0.4">
      <c r="A137" t="s">
        <v>652</v>
      </c>
      <c r="B137" t="s">
        <v>652</v>
      </c>
      <c r="C137" t="s">
        <v>151</v>
      </c>
      <c r="D137" t="s">
        <v>81</v>
      </c>
      <c r="E137" t="s">
        <v>163</v>
      </c>
      <c r="F137" t="s">
        <v>6538</v>
      </c>
      <c r="G137" t="s">
        <v>6294</v>
      </c>
      <c r="H137" t="s">
        <v>651</v>
      </c>
      <c r="L137" t="s">
        <v>6538</v>
      </c>
      <c r="N137" t="s">
        <v>6538</v>
      </c>
      <c r="O137" t="s">
        <v>7</v>
      </c>
      <c r="P137" t="s">
        <v>653</v>
      </c>
      <c r="Q137" t="s">
        <v>654</v>
      </c>
      <c r="R137" t="s">
        <v>6539</v>
      </c>
      <c r="S137" t="s">
        <v>6280</v>
      </c>
      <c r="T137" t="s">
        <v>119</v>
      </c>
    </row>
    <row r="138" spans="1:20" ht="15" customHeight="1" x14ac:dyDescent="0.4">
      <c r="A138" t="s">
        <v>656</v>
      </c>
      <c r="B138" t="s">
        <v>656</v>
      </c>
      <c r="C138" t="s">
        <v>151</v>
      </c>
      <c r="D138" t="s">
        <v>81</v>
      </c>
      <c r="E138" t="s">
        <v>163</v>
      </c>
      <c r="F138" t="s">
        <v>6540</v>
      </c>
      <c r="G138" t="s">
        <v>6294</v>
      </c>
      <c r="H138" t="s">
        <v>655</v>
      </c>
      <c r="L138" t="s">
        <v>6540</v>
      </c>
      <c r="N138" t="s">
        <v>6540</v>
      </c>
      <c r="O138" t="s">
        <v>7</v>
      </c>
      <c r="P138" t="s">
        <v>657</v>
      </c>
      <c r="Q138" t="s">
        <v>658</v>
      </c>
      <c r="R138" t="s">
        <v>6541</v>
      </c>
      <c r="S138" t="s">
        <v>6280</v>
      </c>
      <c r="T138" t="s">
        <v>119</v>
      </c>
    </row>
    <row r="139" spans="1:20" ht="15" customHeight="1" x14ac:dyDescent="0.4">
      <c r="A139" t="s">
        <v>660</v>
      </c>
      <c r="B139" t="s">
        <v>660</v>
      </c>
      <c r="C139" t="s">
        <v>151</v>
      </c>
      <c r="D139" t="s">
        <v>81</v>
      </c>
      <c r="E139" t="s">
        <v>163</v>
      </c>
      <c r="F139" t="s">
        <v>6542</v>
      </c>
      <c r="G139" t="s">
        <v>6294</v>
      </c>
      <c r="H139" t="s">
        <v>659</v>
      </c>
      <c r="L139" t="s">
        <v>6542</v>
      </c>
      <c r="N139" t="s">
        <v>6542</v>
      </c>
      <c r="O139" t="s">
        <v>7</v>
      </c>
      <c r="P139" t="s">
        <v>661</v>
      </c>
      <c r="Q139" t="s">
        <v>662</v>
      </c>
      <c r="R139" t="s">
        <v>6543</v>
      </c>
      <c r="S139" t="s">
        <v>6280</v>
      </c>
      <c r="T139" t="s">
        <v>119</v>
      </c>
    </row>
    <row r="140" spans="1:20" ht="15" customHeight="1" x14ac:dyDescent="0.4">
      <c r="A140" t="s">
        <v>664</v>
      </c>
      <c r="B140" t="s">
        <v>664</v>
      </c>
      <c r="C140" t="s">
        <v>151</v>
      </c>
      <c r="D140" t="s">
        <v>81</v>
      </c>
      <c r="E140" t="s">
        <v>163</v>
      </c>
      <c r="F140" t="s">
        <v>6544</v>
      </c>
      <c r="G140" t="s">
        <v>6294</v>
      </c>
      <c r="H140" t="s">
        <v>663</v>
      </c>
      <c r="L140" t="s">
        <v>6544</v>
      </c>
      <c r="N140" t="s">
        <v>6544</v>
      </c>
      <c r="O140" t="s">
        <v>7</v>
      </c>
      <c r="P140" t="s">
        <v>665</v>
      </c>
      <c r="Q140" t="s">
        <v>666</v>
      </c>
      <c r="R140" t="s">
        <v>6545</v>
      </c>
      <c r="S140" t="s">
        <v>6280</v>
      </c>
      <c r="T140" t="s">
        <v>119</v>
      </c>
    </row>
    <row r="141" spans="1:20" ht="15" customHeight="1" x14ac:dyDescent="0.4">
      <c r="A141" t="s">
        <v>668</v>
      </c>
      <c r="B141" t="s">
        <v>668</v>
      </c>
      <c r="C141" t="s">
        <v>151</v>
      </c>
      <c r="D141" t="s">
        <v>81</v>
      </c>
      <c r="E141" t="s">
        <v>163</v>
      </c>
      <c r="F141" t="s">
        <v>6546</v>
      </c>
      <c r="G141" t="s">
        <v>6294</v>
      </c>
      <c r="H141" t="s">
        <v>667</v>
      </c>
      <c r="L141" t="s">
        <v>6546</v>
      </c>
      <c r="N141" t="s">
        <v>6546</v>
      </c>
      <c r="O141" t="s">
        <v>7</v>
      </c>
      <c r="P141" t="s">
        <v>669</v>
      </c>
      <c r="Q141" t="s">
        <v>670</v>
      </c>
      <c r="R141" t="s">
        <v>6547</v>
      </c>
      <c r="S141" t="s">
        <v>6280</v>
      </c>
      <c r="T141" t="s">
        <v>119</v>
      </c>
    </row>
    <row r="142" spans="1:20" ht="15" customHeight="1" x14ac:dyDescent="0.4">
      <c r="A142" t="s">
        <v>672</v>
      </c>
      <c r="B142" t="s">
        <v>672</v>
      </c>
      <c r="C142" t="s">
        <v>151</v>
      </c>
      <c r="D142" t="s">
        <v>81</v>
      </c>
      <c r="E142" t="s">
        <v>163</v>
      </c>
      <c r="F142" t="s">
        <v>6548</v>
      </c>
      <c r="G142" t="s">
        <v>6294</v>
      </c>
      <c r="H142" t="s">
        <v>671</v>
      </c>
      <c r="L142" t="s">
        <v>6548</v>
      </c>
      <c r="N142" t="s">
        <v>6548</v>
      </c>
      <c r="O142" t="s">
        <v>7</v>
      </c>
      <c r="P142" t="s">
        <v>673</v>
      </c>
      <c r="Q142" t="s">
        <v>674</v>
      </c>
      <c r="R142" t="s">
        <v>6549</v>
      </c>
      <c r="S142" t="s">
        <v>6280</v>
      </c>
      <c r="T142" t="s">
        <v>119</v>
      </c>
    </row>
    <row r="143" spans="1:20" ht="15" customHeight="1" x14ac:dyDescent="0.4">
      <c r="A143" t="s">
        <v>676</v>
      </c>
      <c r="B143" t="s">
        <v>676</v>
      </c>
      <c r="C143" t="s">
        <v>151</v>
      </c>
      <c r="D143" t="s">
        <v>81</v>
      </c>
      <c r="E143" t="s">
        <v>163</v>
      </c>
      <c r="F143" t="s">
        <v>6550</v>
      </c>
      <c r="G143" t="s">
        <v>6294</v>
      </c>
      <c r="H143" t="s">
        <v>675</v>
      </c>
      <c r="L143" t="s">
        <v>6550</v>
      </c>
      <c r="N143" t="s">
        <v>6550</v>
      </c>
      <c r="O143" t="s">
        <v>7</v>
      </c>
      <c r="P143" t="s">
        <v>677</v>
      </c>
      <c r="Q143" t="s">
        <v>678</v>
      </c>
      <c r="R143" t="s">
        <v>6551</v>
      </c>
      <c r="S143" t="s">
        <v>6280</v>
      </c>
      <c r="T143" t="s">
        <v>119</v>
      </c>
    </row>
    <row r="144" spans="1:20" ht="15" customHeight="1" x14ac:dyDescent="0.4">
      <c r="A144" t="s">
        <v>680</v>
      </c>
      <c r="B144" t="s">
        <v>680</v>
      </c>
      <c r="C144" t="s">
        <v>151</v>
      </c>
      <c r="D144" t="s">
        <v>81</v>
      </c>
      <c r="E144" t="s">
        <v>163</v>
      </c>
      <c r="F144" t="s">
        <v>6552</v>
      </c>
      <c r="G144" t="s">
        <v>6294</v>
      </c>
      <c r="H144" t="s">
        <v>679</v>
      </c>
      <c r="L144" t="s">
        <v>6552</v>
      </c>
      <c r="N144" t="s">
        <v>6552</v>
      </c>
      <c r="O144" t="s">
        <v>7</v>
      </c>
      <c r="P144" t="s">
        <v>681</v>
      </c>
      <c r="Q144" t="s">
        <v>682</v>
      </c>
      <c r="R144" t="s">
        <v>6553</v>
      </c>
      <c r="S144" t="s">
        <v>6280</v>
      </c>
      <c r="T144" t="s">
        <v>119</v>
      </c>
    </row>
    <row r="145" spans="1:20" ht="15" customHeight="1" x14ac:dyDescent="0.4">
      <c r="A145" t="s">
        <v>684</v>
      </c>
      <c r="B145" t="s">
        <v>684</v>
      </c>
      <c r="C145" t="s">
        <v>151</v>
      </c>
      <c r="D145" t="s">
        <v>81</v>
      </c>
      <c r="E145" t="s">
        <v>163</v>
      </c>
      <c r="F145" t="s">
        <v>6554</v>
      </c>
      <c r="G145" t="s">
        <v>6294</v>
      </c>
      <c r="H145" t="s">
        <v>683</v>
      </c>
      <c r="L145" t="s">
        <v>6554</v>
      </c>
      <c r="N145" t="s">
        <v>6554</v>
      </c>
      <c r="O145" t="s">
        <v>7</v>
      </c>
      <c r="P145" t="s">
        <v>685</v>
      </c>
      <c r="Q145" t="s">
        <v>686</v>
      </c>
      <c r="R145" t="s">
        <v>6555</v>
      </c>
      <c r="S145" t="s">
        <v>6280</v>
      </c>
      <c r="T145" t="s">
        <v>119</v>
      </c>
    </row>
    <row r="146" spans="1:20" ht="15" customHeight="1" x14ac:dyDescent="0.4">
      <c r="A146" t="s">
        <v>688</v>
      </c>
      <c r="B146" t="s">
        <v>688</v>
      </c>
      <c r="C146" t="s">
        <v>151</v>
      </c>
      <c r="D146" t="s">
        <v>81</v>
      </c>
      <c r="E146" t="s">
        <v>163</v>
      </c>
      <c r="F146" t="s">
        <v>6556</v>
      </c>
      <c r="G146" t="s">
        <v>6294</v>
      </c>
      <c r="H146" t="s">
        <v>687</v>
      </c>
      <c r="L146" t="s">
        <v>6556</v>
      </c>
      <c r="N146" t="s">
        <v>6556</v>
      </c>
      <c r="O146" t="s">
        <v>7</v>
      </c>
      <c r="P146" t="s">
        <v>689</v>
      </c>
      <c r="Q146" t="s">
        <v>690</v>
      </c>
      <c r="R146" t="s">
        <v>6557</v>
      </c>
      <c r="S146" t="s">
        <v>6280</v>
      </c>
      <c r="T146" t="s">
        <v>119</v>
      </c>
    </row>
    <row r="147" spans="1:20" ht="15" customHeight="1" x14ac:dyDescent="0.4">
      <c r="A147" t="s">
        <v>692</v>
      </c>
      <c r="B147" t="s">
        <v>692</v>
      </c>
      <c r="C147" t="s">
        <v>151</v>
      </c>
      <c r="D147" t="s">
        <v>81</v>
      </c>
      <c r="E147" t="s">
        <v>163</v>
      </c>
      <c r="F147" t="s">
        <v>6558</v>
      </c>
      <c r="G147" t="s">
        <v>6294</v>
      </c>
      <c r="H147" t="s">
        <v>691</v>
      </c>
      <c r="L147" t="s">
        <v>6558</v>
      </c>
      <c r="N147" t="s">
        <v>6558</v>
      </c>
      <c r="O147" t="s">
        <v>7</v>
      </c>
      <c r="P147" t="s">
        <v>693</v>
      </c>
      <c r="Q147" t="s">
        <v>694</v>
      </c>
      <c r="R147" t="s">
        <v>6559</v>
      </c>
      <c r="S147" t="s">
        <v>6280</v>
      </c>
      <c r="T147" t="s">
        <v>119</v>
      </c>
    </row>
    <row r="148" spans="1:20" ht="15" customHeight="1" x14ac:dyDescent="0.4">
      <c r="A148" t="s">
        <v>696</v>
      </c>
      <c r="B148" t="s">
        <v>696</v>
      </c>
      <c r="C148" t="s">
        <v>151</v>
      </c>
      <c r="D148" t="s">
        <v>81</v>
      </c>
      <c r="E148" t="s">
        <v>163</v>
      </c>
      <c r="F148" t="s">
        <v>6560</v>
      </c>
      <c r="G148" t="s">
        <v>6294</v>
      </c>
      <c r="H148" t="s">
        <v>695</v>
      </c>
      <c r="L148" t="s">
        <v>6560</v>
      </c>
      <c r="N148" t="s">
        <v>6560</v>
      </c>
      <c r="O148" t="s">
        <v>7</v>
      </c>
      <c r="P148" t="s">
        <v>697</v>
      </c>
      <c r="Q148" t="s">
        <v>698</v>
      </c>
      <c r="R148" t="s">
        <v>6561</v>
      </c>
      <c r="S148" t="s">
        <v>6280</v>
      </c>
      <c r="T148" t="s">
        <v>119</v>
      </c>
    </row>
    <row r="149" spans="1:20" ht="15" customHeight="1" x14ac:dyDescent="0.4">
      <c r="A149" t="s">
        <v>700</v>
      </c>
      <c r="B149" t="s">
        <v>700</v>
      </c>
      <c r="C149" t="s">
        <v>151</v>
      </c>
      <c r="D149" t="s">
        <v>81</v>
      </c>
      <c r="E149" t="s">
        <v>163</v>
      </c>
      <c r="F149" t="s">
        <v>6562</v>
      </c>
      <c r="G149" t="s">
        <v>6294</v>
      </c>
      <c r="H149" t="s">
        <v>699</v>
      </c>
      <c r="L149" t="s">
        <v>6562</v>
      </c>
      <c r="N149" t="s">
        <v>6562</v>
      </c>
      <c r="O149" t="s">
        <v>7</v>
      </c>
      <c r="P149" t="s">
        <v>701</v>
      </c>
      <c r="Q149" t="s">
        <v>702</v>
      </c>
      <c r="R149" t="s">
        <v>6563</v>
      </c>
      <c r="S149" t="s">
        <v>6280</v>
      </c>
      <c r="T149" t="s">
        <v>119</v>
      </c>
    </row>
    <row r="150" spans="1:20" ht="15" customHeight="1" x14ac:dyDescent="0.4">
      <c r="A150" t="s">
        <v>704</v>
      </c>
      <c r="B150" t="s">
        <v>704</v>
      </c>
      <c r="C150" t="s">
        <v>151</v>
      </c>
      <c r="D150" t="s">
        <v>81</v>
      </c>
      <c r="E150" t="s">
        <v>163</v>
      </c>
      <c r="F150" t="s">
        <v>6564</v>
      </c>
      <c r="G150" t="s">
        <v>6294</v>
      </c>
      <c r="H150" t="s">
        <v>703</v>
      </c>
      <c r="L150" t="s">
        <v>6564</v>
      </c>
      <c r="N150" t="s">
        <v>6564</v>
      </c>
      <c r="O150" t="s">
        <v>7</v>
      </c>
      <c r="P150" t="s">
        <v>705</v>
      </c>
      <c r="Q150" t="s">
        <v>706</v>
      </c>
      <c r="R150" t="s">
        <v>6565</v>
      </c>
      <c r="S150" t="s">
        <v>6280</v>
      </c>
      <c r="T150" t="s">
        <v>119</v>
      </c>
    </row>
    <row r="151" spans="1:20" ht="15" customHeight="1" x14ac:dyDescent="0.4">
      <c r="A151" t="s">
        <v>708</v>
      </c>
      <c r="B151" t="s">
        <v>708</v>
      </c>
      <c r="C151" t="s">
        <v>151</v>
      </c>
      <c r="D151" t="s">
        <v>81</v>
      </c>
      <c r="E151" t="s">
        <v>163</v>
      </c>
      <c r="F151" t="s">
        <v>6566</v>
      </c>
      <c r="G151" t="s">
        <v>6294</v>
      </c>
      <c r="H151" t="s">
        <v>707</v>
      </c>
      <c r="L151" t="s">
        <v>6566</v>
      </c>
      <c r="N151" t="s">
        <v>6566</v>
      </c>
      <c r="O151" t="s">
        <v>7</v>
      </c>
      <c r="P151" t="s">
        <v>709</v>
      </c>
      <c r="Q151" t="s">
        <v>710</v>
      </c>
      <c r="R151" t="s">
        <v>6567</v>
      </c>
      <c r="S151" t="s">
        <v>6280</v>
      </c>
      <c r="T151" t="s">
        <v>119</v>
      </c>
    </row>
    <row r="152" spans="1:20" ht="15" customHeight="1" x14ac:dyDescent="0.4">
      <c r="A152" t="s">
        <v>712</v>
      </c>
      <c r="B152" t="s">
        <v>712</v>
      </c>
      <c r="C152" t="s">
        <v>151</v>
      </c>
      <c r="D152" t="s">
        <v>81</v>
      </c>
      <c r="E152" t="s">
        <v>163</v>
      </c>
      <c r="F152" t="s">
        <v>6568</v>
      </c>
      <c r="G152" t="s">
        <v>6294</v>
      </c>
      <c r="H152" t="s">
        <v>711</v>
      </c>
      <c r="L152" t="s">
        <v>6568</v>
      </c>
      <c r="N152" t="s">
        <v>6568</v>
      </c>
      <c r="O152" t="s">
        <v>7</v>
      </c>
      <c r="P152" t="s">
        <v>713</v>
      </c>
      <c r="Q152" t="s">
        <v>714</v>
      </c>
      <c r="R152" t="s">
        <v>6569</v>
      </c>
      <c r="S152" t="s">
        <v>6280</v>
      </c>
      <c r="T152" t="s">
        <v>119</v>
      </c>
    </row>
    <row r="153" spans="1:20" ht="15" customHeight="1" x14ac:dyDescent="0.4">
      <c r="A153" t="s">
        <v>716</v>
      </c>
      <c r="B153" t="s">
        <v>716</v>
      </c>
      <c r="C153" t="s">
        <v>151</v>
      </c>
      <c r="D153" t="s">
        <v>81</v>
      </c>
      <c r="E153" t="s">
        <v>163</v>
      </c>
      <c r="F153" t="s">
        <v>6570</v>
      </c>
      <c r="G153" t="s">
        <v>6294</v>
      </c>
      <c r="H153" t="s">
        <v>715</v>
      </c>
      <c r="L153" t="s">
        <v>6570</v>
      </c>
      <c r="N153" t="s">
        <v>6570</v>
      </c>
      <c r="O153" t="s">
        <v>7</v>
      </c>
      <c r="P153" t="s">
        <v>717</v>
      </c>
      <c r="Q153" t="s">
        <v>718</v>
      </c>
      <c r="R153" t="s">
        <v>6571</v>
      </c>
      <c r="S153" t="s">
        <v>6280</v>
      </c>
      <c r="T153" t="s">
        <v>119</v>
      </c>
    </row>
    <row r="154" spans="1:20" ht="15" customHeight="1" x14ac:dyDescent="0.4">
      <c r="A154" t="s">
        <v>720</v>
      </c>
      <c r="B154" t="s">
        <v>720</v>
      </c>
      <c r="C154" t="s">
        <v>151</v>
      </c>
      <c r="D154" t="s">
        <v>81</v>
      </c>
      <c r="E154" t="s">
        <v>163</v>
      </c>
      <c r="F154" t="s">
        <v>6572</v>
      </c>
      <c r="G154" t="s">
        <v>6294</v>
      </c>
      <c r="H154" t="s">
        <v>719</v>
      </c>
      <c r="L154" t="s">
        <v>6572</v>
      </c>
      <c r="N154" t="s">
        <v>6572</v>
      </c>
      <c r="O154" t="s">
        <v>7</v>
      </c>
      <c r="P154" t="s">
        <v>721</v>
      </c>
      <c r="Q154" t="s">
        <v>722</v>
      </c>
      <c r="R154" t="s">
        <v>6573</v>
      </c>
      <c r="S154" t="s">
        <v>6280</v>
      </c>
      <c r="T154" t="s">
        <v>119</v>
      </c>
    </row>
    <row r="155" spans="1:20" ht="15" customHeight="1" x14ac:dyDescent="0.4">
      <c r="A155" t="s">
        <v>724</v>
      </c>
      <c r="B155" t="s">
        <v>724</v>
      </c>
      <c r="C155" t="s">
        <v>151</v>
      </c>
      <c r="D155" t="s">
        <v>81</v>
      </c>
      <c r="E155" t="s">
        <v>163</v>
      </c>
      <c r="F155" t="s">
        <v>6574</v>
      </c>
      <c r="G155" t="s">
        <v>6294</v>
      </c>
      <c r="H155" t="s">
        <v>723</v>
      </c>
      <c r="L155" t="s">
        <v>6574</v>
      </c>
      <c r="N155" t="s">
        <v>6574</v>
      </c>
      <c r="O155" t="s">
        <v>7</v>
      </c>
      <c r="P155" t="s">
        <v>725</v>
      </c>
      <c r="Q155" t="s">
        <v>726</v>
      </c>
      <c r="R155" t="s">
        <v>6575</v>
      </c>
      <c r="S155" t="s">
        <v>6280</v>
      </c>
      <c r="T155" t="s">
        <v>119</v>
      </c>
    </row>
    <row r="156" spans="1:20" ht="15" customHeight="1" x14ac:dyDescent="0.4">
      <c r="A156" t="s">
        <v>728</v>
      </c>
      <c r="B156" t="s">
        <v>728</v>
      </c>
      <c r="C156" t="s">
        <v>151</v>
      </c>
      <c r="D156" t="s">
        <v>81</v>
      </c>
      <c r="E156" t="s">
        <v>163</v>
      </c>
      <c r="F156" t="s">
        <v>6576</v>
      </c>
      <c r="G156" t="s">
        <v>6294</v>
      </c>
      <c r="H156" t="s">
        <v>727</v>
      </c>
      <c r="L156" t="s">
        <v>6576</v>
      </c>
      <c r="N156" t="s">
        <v>6576</v>
      </c>
      <c r="O156" t="s">
        <v>7</v>
      </c>
      <c r="P156" t="s">
        <v>729</v>
      </c>
      <c r="Q156" t="s">
        <v>730</v>
      </c>
      <c r="R156" t="s">
        <v>6577</v>
      </c>
      <c r="S156" t="s">
        <v>6280</v>
      </c>
      <c r="T156" t="s">
        <v>119</v>
      </c>
    </row>
    <row r="157" spans="1:20" ht="15" customHeight="1" x14ac:dyDescent="0.4">
      <c r="A157" t="s">
        <v>732</v>
      </c>
      <c r="B157" t="s">
        <v>732</v>
      </c>
      <c r="C157" t="s">
        <v>151</v>
      </c>
      <c r="D157" t="s">
        <v>81</v>
      </c>
      <c r="E157" t="s">
        <v>163</v>
      </c>
      <c r="F157" t="s">
        <v>6578</v>
      </c>
      <c r="G157" t="s">
        <v>6294</v>
      </c>
      <c r="H157" t="s">
        <v>731</v>
      </c>
      <c r="L157" t="s">
        <v>6578</v>
      </c>
      <c r="N157" t="s">
        <v>6578</v>
      </c>
      <c r="O157" t="s">
        <v>7</v>
      </c>
      <c r="P157" t="s">
        <v>733</v>
      </c>
      <c r="Q157" t="s">
        <v>734</v>
      </c>
      <c r="R157" t="s">
        <v>6579</v>
      </c>
      <c r="S157" t="s">
        <v>6280</v>
      </c>
      <c r="T157" t="s">
        <v>119</v>
      </c>
    </row>
    <row r="158" spans="1:20" ht="15" customHeight="1" x14ac:dyDescent="0.4">
      <c r="A158" t="s">
        <v>736</v>
      </c>
      <c r="B158" t="s">
        <v>736</v>
      </c>
      <c r="C158" t="s">
        <v>151</v>
      </c>
      <c r="D158" t="s">
        <v>81</v>
      </c>
      <c r="E158" t="s">
        <v>163</v>
      </c>
      <c r="F158" t="s">
        <v>6580</v>
      </c>
      <c r="G158" t="s">
        <v>6294</v>
      </c>
      <c r="H158" t="s">
        <v>735</v>
      </c>
      <c r="L158" t="s">
        <v>6580</v>
      </c>
      <c r="N158" t="s">
        <v>6580</v>
      </c>
      <c r="O158" t="s">
        <v>7</v>
      </c>
      <c r="P158" t="s">
        <v>737</v>
      </c>
      <c r="Q158" t="s">
        <v>738</v>
      </c>
      <c r="R158" t="s">
        <v>6581</v>
      </c>
      <c r="S158" t="s">
        <v>6280</v>
      </c>
      <c r="T158" t="s">
        <v>119</v>
      </c>
    </row>
    <row r="159" spans="1:20" ht="15" customHeight="1" x14ac:dyDescent="0.4">
      <c r="A159" t="s">
        <v>740</v>
      </c>
      <c r="B159" t="s">
        <v>740</v>
      </c>
      <c r="C159" t="s">
        <v>151</v>
      </c>
      <c r="D159" t="s">
        <v>81</v>
      </c>
      <c r="E159" t="s">
        <v>163</v>
      </c>
      <c r="F159" t="s">
        <v>6582</v>
      </c>
      <c r="G159" t="s">
        <v>6294</v>
      </c>
      <c r="H159" t="s">
        <v>739</v>
      </c>
      <c r="L159" t="s">
        <v>6582</v>
      </c>
      <c r="N159" t="s">
        <v>6582</v>
      </c>
      <c r="O159" t="s">
        <v>7</v>
      </c>
      <c r="P159" t="s">
        <v>741</v>
      </c>
      <c r="Q159" t="s">
        <v>742</v>
      </c>
      <c r="R159" t="s">
        <v>6583</v>
      </c>
      <c r="S159" t="s">
        <v>6280</v>
      </c>
      <c r="T159" t="s">
        <v>119</v>
      </c>
    </row>
    <row r="160" spans="1:20" ht="15" customHeight="1" x14ac:dyDescent="0.4">
      <c r="A160" t="s">
        <v>744</v>
      </c>
      <c r="B160" t="s">
        <v>744</v>
      </c>
      <c r="C160" t="s">
        <v>151</v>
      </c>
      <c r="D160" t="s">
        <v>81</v>
      </c>
      <c r="E160" t="s">
        <v>163</v>
      </c>
      <c r="F160" t="s">
        <v>6584</v>
      </c>
      <c r="G160" t="s">
        <v>6294</v>
      </c>
      <c r="H160" t="s">
        <v>743</v>
      </c>
      <c r="L160" t="s">
        <v>6584</v>
      </c>
      <c r="N160" t="s">
        <v>6584</v>
      </c>
      <c r="O160" t="s">
        <v>7</v>
      </c>
      <c r="P160" t="s">
        <v>745</v>
      </c>
      <c r="Q160" t="s">
        <v>746</v>
      </c>
      <c r="R160" t="s">
        <v>6585</v>
      </c>
      <c r="S160" t="s">
        <v>6280</v>
      </c>
      <c r="T160" t="s">
        <v>119</v>
      </c>
    </row>
    <row r="161" spans="1:20" ht="15" customHeight="1" x14ac:dyDescent="0.4">
      <c r="A161" t="s">
        <v>748</v>
      </c>
      <c r="B161" t="s">
        <v>748</v>
      </c>
      <c r="C161" t="s">
        <v>151</v>
      </c>
      <c r="D161" t="s">
        <v>81</v>
      </c>
      <c r="E161" t="s">
        <v>163</v>
      </c>
      <c r="F161" t="s">
        <v>6586</v>
      </c>
      <c r="G161" t="s">
        <v>6294</v>
      </c>
      <c r="H161" t="s">
        <v>747</v>
      </c>
      <c r="L161" t="s">
        <v>6586</v>
      </c>
      <c r="N161" t="s">
        <v>6586</v>
      </c>
      <c r="O161" t="s">
        <v>7</v>
      </c>
      <c r="P161" t="s">
        <v>749</v>
      </c>
      <c r="Q161" t="s">
        <v>750</v>
      </c>
      <c r="R161" t="s">
        <v>6587</v>
      </c>
      <c r="S161" t="s">
        <v>6280</v>
      </c>
      <c r="T161" t="s">
        <v>119</v>
      </c>
    </row>
    <row r="162" spans="1:20" ht="15" customHeight="1" x14ac:dyDescent="0.4">
      <c r="A162" t="s">
        <v>752</v>
      </c>
      <c r="B162" t="s">
        <v>752</v>
      </c>
      <c r="C162" t="s">
        <v>151</v>
      </c>
      <c r="D162" t="s">
        <v>81</v>
      </c>
      <c r="E162" t="s">
        <v>163</v>
      </c>
      <c r="F162" t="s">
        <v>6588</v>
      </c>
      <c r="G162" t="s">
        <v>6294</v>
      </c>
      <c r="H162" t="s">
        <v>751</v>
      </c>
      <c r="L162" t="s">
        <v>6588</v>
      </c>
      <c r="N162" t="s">
        <v>6588</v>
      </c>
      <c r="O162" t="s">
        <v>7</v>
      </c>
      <c r="P162" t="s">
        <v>753</v>
      </c>
      <c r="Q162" t="s">
        <v>754</v>
      </c>
      <c r="R162" t="s">
        <v>6589</v>
      </c>
      <c r="S162" t="s">
        <v>6280</v>
      </c>
      <c r="T162" t="s">
        <v>119</v>
      </c>
    </row>
    <row r="163" spans="1:20" ht="15" customHeight="1" x14ac:dyDescent="0.4">
      <c r="A163" t="s">
        <v>756</v>
      </c>
      <c r="B163" t="s">
        <v>756</v>
      </c>
      <c r="C163" t="s">
        <v>151</v>
      </c>
      <c r="D163" t="s">
        <v>81</v>
      </c>
      <c r="E163" t="s">
        <v>163</v>
      </c>
      <c r="F163" t="s">
        <v>6590</v>
      </c>
      <c r="G163" t="s">
        <v>6294</v>
      </c>
      <c r="H163" t="s">
        <v>755</v>
      </c>
      <c r="L163" t="s">
        <v>6590</v>
      </c>
      <c r="N163" t="s">
        <v>6590</v>
      </c>
      <c r="O163" t="s">
        <v>7</v>
      </c>
      <c r="P163" t="s">
        <v>757</v>
      </c>
      <c r="Q163" t="s">
        <v>758</v>
      </c>
      <c r="R163" t="s">
        <v>6591</v>
      </c>
      <c r="S163" t="s">
        <v>6280</v>
      </c>
      <c r="T163" t="s">
        <v>119</v>
      </c>
    </row>
    <row r="164" spans="1:20" ht="15" customHeight="1" x14ac:dyDescent="0.4">
      <c r="A164" t="s">
        <v>760</v>
      </c>
      <c r="B164" t="s">
        <v>760</v>
      </c>
      <c r="C164" t="s">
        <v>151</v>
      </c>
      <c r="D164" t="s">
        <v>81</v>
      </c>
      <c r="E164" t="s">
        <v>163</v>
      </c>
      <c r="F164" t="s">
        <v>6592</v>
      </c>
      <c r="G164" t="s">
        <v>6294</v>
      </c>
      <c r="H164" t="s">
        <v>759</v>
      </c>
      <c r="L164" t="s">
        <v>6592</v>
      </c>
      <c r="N164" t="s">
        <v>6592</v>
      </c>
      <c r="O164" t="s">
        <v>7</v>
      </c>
      <c r="P164" t="s">
        <v>761</v>
      </c>
      <c r="Q164" t="s">
        <v>762</v>
      </c>
      <c r="R164" t="s">
        <v>6593</v>
      </c>
      <c r="S164" t="s">
        <v>6280</v>
      </c>
      <c r="T164" t="s">
        <v>119</v>
      </c>
    </row>
    <row r="165" spans="1:20" ht="15" customHeight="1" x14ac:dyDescent="0.4">
      <c r="A165" t="s">
        <v>764</v>
      </c>
      <c r="B165" t="s">
        <v>764</v>
      </c>
      <c r="C165" t="s">
        <v>151</v>
      </c>
      <c r="D165" t="s">
        <v>81</v>
      </c>
      <c r="E165" t="s">
        <v>163</v>
      </c>
      <c r="F165" t="s">
        <v>6594</v>
      </c>
      <c r="G165" t="s">
        <v>6294</v>
      </c>
      <c r="H165" t="s">
        <v>763</v>
      </c>
      <c r="L165" t="s">
        <v>6594</v>
      </c>
      <c r="N165" t="s">
        <v>6594</v>
      </c>
      <c r="O165" t="s">
        <v>7</v>
      </c>
      <c r="P165" t="s">
        <v>765</v>
      </c>
      <c r="Q165" t="s">
        <v>766</v>
      </c>
      <c r="R165" t="s">
        <v>6595</v>
      </c>
      <c r="S165" t="s">
        <v>6280</v>
      </c>
      <c r="T165" t="s">
        <v>119</v>
      </c>
    </row>
    <row r="166" spans="1:20" ht="15" customHeight="1" x14ac:dyDescent="0.4">
      <c r="A166" t="s">
        <v>768</v>
      </c>
      <c r="B166" t="s">
        <v>768</v>
      </c>
      <c r="C166" t="s">
        <v>151</v>
      </c>
      <c r="D166" t="s">
        <v>81</v>
      </c>
      <c r="E166" t="s">
        <v>163</v>
      </c>
      <c r="F166" t="s">
        <v>6596</v>
      </c>
      <c r="G166" t="s">
        <v>6294</v>
      </c>
      <c r="H166" t="s">
        <v>767</v>
      </c>
      <c r="L166" t="s">
        <v>6596</v>
      </c>
      <c r="N166" t="s">
        <v>6596</v>
      </c>
      <c r="O166" t="s">
        <v>7</v>
      </c>
      <c r="P166" t="s">
        <v>769</v>
      </c>
      <c r="Q166" t="s">
        <v>770</v>
      </c>
      <c r="R166" t="s">
        <v>6597</v>
      </c>
      <c r="S166" t="s">
        <v>6280</v>
      </c>
      <c r="T166" t="s">
        <v>119</v>
      </c>
    </row>
    <row r="167" spans="1:20" ht="15" customHeight="1" x14ac:dyDescent="0.4">
      <c r="A167" t="s">
        <v>772</v>
      </c>
      <c r="B167" t="s">
        <v>772</v>
      </c>
      <c r="C167" t="s">
        <v>151</v>
      </c>
      <c r="D167" t="s">
        <v>81</v>
      </c>
      <c r="E167" t="s">
        <v>163</v>
      </c>
      <c r="F167" t="s">
        <v>6598</v>
      </c>
      <c r="G167" t="s">
        <v>6294</v>
      </c>
      <c r="H167" t="s">
        <v>771</v>
      </c>
      <c r="L167" t="s">
        <v>6598</v>
      </c>
      <c r="N167" t="s">
        <v>6598</v>
      </c>
      <c r="O167" t="s">
        <v>7</v>
      </c>
      <c r="P167" t="s">
        <v>773</v>
      </c>
      <c r="Q167" t="s">
        <v>774</v>
      </c>
      <c r="R167" t="s">
        <v>6599</v>
      </c>
      <c r="S167" t="s">
        <v>6280</v>
      </c>
      <c r="T167" t="s">
        <v>119</v>
      </c>
    </row>
    <row r="168" spans="1:20" ht="15" customHeight="1" x14ac:dyDescent="0.4">
      <c r="A168" t="s">
        <v>776</v>
      </c>
      <c r="B168" t="s">
        <v>776</v>
      </c>
      <c r="C168" t="s">
        <v>151</v>
      </c>
      <c r="D168" t="s">
        <v>81</v>
      </c>
      <c r="E168" t="s">
        <v>163</v>
      </c>
      <c r="F168" t="s">
        <v>6600</v>
      </c>
      <c r="G168" t="s">
        <v>6294</v>
      </c>
      <c r="H168" t="s">
        <v>775</v>
      </c>
      <c r="L168" t="s">
        <v>6600</v>
      </c>
      <c r="N168" t="s">
        <v>6600</v>
      </c>
      <c r="O168" t="s">
        <v>7</v>
      </c>
      <c r="P168" t="s">
        <v>777</v>
      </c>
      <c r="Q168" t="s">
        <v>778</v>
      </c>
      <c r="R168" t="s">
        <v>6601</v>
      </c>
      <c r="S168" t="s">
        <v>6280</v>
      </c>
      <c r="T168" t="s">
        <v>119</v>
      </c>
    </row>
    <row r="169" spans="1:20" ht="15" customHeight="1" x14ac:dyDescent="0.4">
      <c r="A169" t="s">
        <v>780</v>
      </c>
      <c r="B169" t="s">
        <v>780</v>
      </c>
      <c r="C169" t="s">
        <v>151</v>
      </c>
      <c r="D169" t="s">
        <v>81</v>
      </c>
      <c r="E169" t="s">
        <v>163</v>
      </c>
      <c r="F169" t="s">
        <v>6602</v>
      </c>
      <c r="G169" t="s">
        <v>6294</v>
      </c>
      <c r="H169" t="s">
        <v>779</v>
      </c>
      <c r="L169" t="s">
        <v>6602</v>
      </c>
      <c r="N169" t="s">
        <v>6602</v>
      </c>
      <c r="O169" t="s">
        <v>7</v>
      </c>
      <c r="P169" t="s">
        <v>781</v>
      </c>
      <c r="Q169" t="s">
        <v>782</v>
      </c>
      <c r="R169" t="s">
        <v>6603</v>
      </c>
      <c r="S169" t="s">
        <v>6280</v>
      </c>
      <c r="T169" t="s">
        <v>119</v>
      </c>
    </row>
    <row r="170" spans="1:20" ht="15" customHeight="1" x14ac:dyDescent="0.4">
      <c r="A170" t="s">
        <v>784</v>
      </c>
      <c r="B170" t="s">
        <v>784</v>
      </c>
      <c r="C170" t="s">
        <v>151</v>
      </c>
      <c r="D170" t="s">
        <v>81</v>
      </c>
      <c r="E170" t="s">
        <v>163</v>
      </c>
      <c r="F170" t="s">
        <v>6604</v>
      </c>
      <c r="G170" t="s">
        <v>6294</v>
      </c>
      <c r="H170" t="s">
        <v>783</v>
      </c>
      <c r="L170" t="s">
        <v>6604</v>
      </c>
      <c r="N170" t="s">
        <v>6604</v>
      </c>
      <c r="O170" t="s">
        <v>7</v>
      </c>
      <c r="P170" t="s">
        <v>785</v>
      </c>
      <c r="Q170" t="s">
        <v>786</v>
      </c>
      <c r="R170" t="s">
        <v>6605</v>
      </c>
      <c r="S170" t="s">
        <v>6280</v>
      </c>
      <c r="T170" t="s">
        <v>119</v>
      </c>
    </row>
    <row r="171" spans="1:20" ht="15" customHeight="1" x14ac:dyDescent="0.4">
      <c r="A171" t="s">
        <v>788</v>
      </c>
      <c r="B171" t="s">
        <v>788</v>
      </c>
      <c r="C171" t="s">
        <v>151</v>
      </c>
      <c r="D171" t="s">
        <v>81</v>
      </c>
      <c r="E171" t="s">
        <v>163</v>
      </c>
      <c r="F171" t="s">
        <v>6606</v>
      </c>
      <c r="G171" t="s">
        <v>6294</v>
      </c>
      <c r="H171" t="s">
        <v>787</v>
      </c>
      <c r="L171" t="s">
        <v>6606</v>
      </c>
      <c r="N171" t="s">
        <v>6606</v>
      </c>
      <c r="O171" t="s">
        <v>7</v>
      </c>
      <c r="P171" t="s">
        <v>789</v>
      </c>
      <c r="Q171" t="s">
        <v>790</v>
      </c>
      <c r="R171" t="s">
        <v>6607</v>
      </c>
      <c r="S171" t="s">
        <v>6280</v>
      </c>
      <c r="T171" t="s">
        <v>119</v>
      </c>
    </row>
    <row r="172" spans="1:20" ht="15" customHeight="1" x14ac:dyDescent="0.4">
      <c r="A172" t="s">
        <v>792</v>
      </c>
      <c r="B172" t="s">
        <v>792</v>
      </c>
      <c r="C172" t="s">
        <v>151</v>
      </c>
      <c r="D172" t="s">
        <v>81</v>
      </c>
      <c r="E172" t="s">
        <v>163</v>
      </c>
      <c r="F172" t="s">
        <v>6608</v>
      </c>
      <c r="G172" t="s">
        <v>6294</v>
      </c>
      <c r="H172" t="s">
        <v>791</v>
      </c>
      <c r="L172" t="s">
        <v>6608</v>
      </c>
      <c r="N172" t="s">
        <v>6608</v>
      </c>
      <c r="O172" t="s">
        <v>7</v>
      </c>
      <c r="P172" t="s">
        <v>793</v>
      </c>
      <c r="Q172" t="s">
        <v>794</v>
      </c>
      <c r="R172" t="s">
        <v>6609</v>
      </c>
      <c r="S172" t="s">
        <v>6280</v>
      </c>
      <c r="T172" t="s">
        <v>119</v>
      </c>
    </row>
    <row r="173" spans="1:20" ht="15" customHeight="1" x14ac:dyDescent="0.4">
      <c r="A173" t="s">
        <v>796</v>
      </c>
      <c r="B173" t="s">
        <v>796</v>
      </c>
      <c r="C173" t="s">
        <v>151</v>
      </c>
      <c r="D173" t="s">
        <v>81</v>
      </c>
      <c r="E173" t="s">
        <v>163</v>
      </c>
      <c r="F173" t="s">
        <v>6610</v>
      </c>
      <c r="G173" t="s">
        <v>6294</v>
      </c>
      <c r="H173" t="s">
        <v>795</v>
      </c>
      <c r="L173" t="s">
        <v>6610</v>
      </c>
      <c r="N173" t="s">
        <v>6610</v>
      </c>
      <c r="O173" t="s">
        <v>7</v>
      </c>
      <c r="P173" t="s">
        <v>797</v>
      </c>
      <c r="Q173" t="s">
        <v>798</v>
      </c>
      <c r="R173" t="s">
        <v>6611</v>
      </c>
      <c r="S173" t="s">
        <v>6280</v>
      </c>
      <c r="T173" t="s">
        <v>119</v>
      </c>
    </row>
    <row r="174" spans="1:20" ht="15" customHeight="1" x14ac:dyDescent="0.4">
      <c r="A174" t="s">
        <v>800</v>
      </c>
      <c r="B174" t="s">
        <v>800</v>
      </c>
      <c r="C174" t="s">
        <v>151</v>
      </c>
      <c r="D174" t="s">
        <v>81</v>
      </c>
      <c r="E174" t="s">
        <v>163</v>
      </c>
      <c r="F174" t="s">
        <v>6612</v>
      </c>
      <c r="G174" t="s">
        <v>6294</v>
      </c>
      <c r="H174" t="s">
        <v>799</v>
      </c>
      <c r="L174" t="s">
        <v>6612</v>
      </c>
      <c r="N174" t="s">
        <v>6612</v>
      </c>
      <c r="O174" t="s">
        <v>7</v>
      </c>
      <c r="P174" t="s">
        <v>801</v>
      </c>
      <c r="Q174" t="s">
        <v>802</v>
      </c>
      <c r="R174" t="s">
        <v>6613</v>
      </c>
      <c r="S174" t="s">
        <v>6280</v>
      </c>
      <c r="T174" t="s">
        <v>119</v>
      </c>
    </row>
    <row r="175" spans="1:20" ht="15" customHeight="1" x14ac:dyDescent="0.4">
      <c r="A175" t="s">
        <v>804</v>
      </c>
      <c r="B175" t="s">
        <v>804</v>
      </c>
      <c r="C175" t="s">
        <v>151</v>
      </c>
      <c r="D175" t="s">
        <v>81</v>
      </c>
      <c r="E175" t="s">
        <v>163</v>
      </c>
      <c r="F175" t="s">
        <v>6614</v>
      </c>
      <c r="G175" t="s">
        <v>6294</v>
      </c>
      <c r="H175" t="s">
        <v>803</v>
      </c>
      <c r="L175" t="s">
        <v>6614</v>
      </c>
      <c r="N175" t="s">
        <v>6614</v>
      </c>
      <c r="O175" t="s">
        <v>7</v>
      </c>
      <c r="P175" t="s">
        <v>805</v>
      </c>
      <c r="Q175" t="s">
        <v>806</v>
      </c>
      <c r="R175" t="s">
        <v>6615</v>
      </c>
      <c r="S175" t="s">
        <v>6280</v>
      </c>
      <c r="T175" t="s">
        <v>119</v>
      </c>
    </row>
    <row r="176" spans="1:20" ht="15" customHeight="1" x14ac:dyDescent="0.4">
      <c r="A176" t="s">
        <v>808</v>
      </c>
      <c r="B176" t="s">
        <v>808</v>
      </c>
      <c r="C176" t="s">
        <v>151</v>
      </c>
      <c r="D176" t="s">
        <v>81</v>
      </c>
      <c r="E176" t="s">
        <v>163</v>
      </c>
      <c r="F176" t="s">
        <v>6616</v>
      </c>
      <c r="G176" t="s">
        <v>6294</v>
      </c>
      <c r="H176" t="s">
        <v>807</v>
      </c>
      <c r="L176" t="s">
        <v>6616</v>
      </c>
      <c r="N176" t="s">
        <v>6616</v>
      </c>
      <c r="O176" t="s">
        <v>7</v>
      </c>
      <c r="P176" t="s">
        <v>809</v>
      </c>
      <c r="Q176" t="s">
        <v>810</v>
      </c>
      <c r="R176" t="s">
        <v>6617</v>
      </c>
      <c r="S176" t="s">
        <v>6280</v>
      </c>
      <c r="T176" t="s">
        <v>119</v>
      </c>
    </row>
    <row r="177" spans="1:20" ht="15" customHeight="1" x14ac:dyDescent="0.4">
      <c r="A177" t="s">
        <v>812</v>
      </c>
      <c r="B177" t="s">
        <v>812</v>
      </c>
      <c r="C177" t="s">
        <v>151</v>
      </c>
      <c r="D177" t="s">
        <v>81</v>
      </c>
      <c r="E177" t="s">
        <v>163</v>
      </c>
      <c r="F177" t="s">
        <v>6618</v>
      </c>
      <c r="G177" t="s">
        <v>6294</v>
      </c>
      <c r="H177" t="s">
        <v>811</v>
      </c>
      <c r="L177" t="s">
        <v>6618</v>
      </c>
      <c r="N177" t="s">
        <v>6618</v>
      </c>
      <c r="O177" t="s">
        <v>7</v>
      </c>
      <c r="P177" t="s">
        <v>813</v>
      </c>
      <c r="Q177" t="s">
        <v>814</v>
      </c>
      <c r="R177" t="s">
        <v>6619</v>
      </c>
      <c r="S177" t="s">
        <v>6280</v>
      </c>
      <c r="T177" t="s">
        <v>119</v>
      </c>
    </row>
    <row r="178" spans="1:20" ht="15" customHeight="1" x14ac:dyDescent="0.4">
      <c r="A178" t="s">
        <v>816</v>
      </c>
      <c r="B178" t="s">
        <v>816</v>
      </c>
      <c r="C178" t="s">
        <v>151</v>
      </c>
      <c r="D178" t="s">
        <v>81</v>
      </c>
      <c r="E178" t="s">
        <v>163</v>
      </c>
      <c r="F178" t="s">
        <v>6620</v>
      </c>
      <c r="G178" t="s">
        <v>6294</v>
      </c>
      <c r="H178" t="s">
        <v>815</v>
      </c>
      <c r="L178" t="s">
        <v>6620</v>
      </c>
      <c r="N178" t="s">
        <v>6620</v>
      </c>
      <c r="O178" t="s">
        <v>7</v>
      </c>
      <c r="P178" t="s">
        <v>817</v>
      </c>
      <c r="Q178" t="s">
        <v>818</v>
      </c>
      <c r="R178" s="27" t="s">
        <v>6621</v>
      </c>
      <c r="S178" t="s">
        <v>6280</v>
      </c>
      <c r="T178" t="s">
        <v>119</v>
      </c>
    </row>
    <row r="179" spans="1:20" ht="15" customHeight="1" x14ac:dyDescent="0.4">
      <c r="A179" t="s">
        <v>820</v>
      </c>
      <c r="B179" t="s">
        <v>820</v>
      </c>
      <c r="C179" t="s">
        <v>151</v>
      </c>
      <c r="D179" t="s">
        <v>81</v>
      </c>
      <c r="E179" t="s">
        <v>163</v>
      </c>
      <c r="F179" t="s">
        <v>6622</v>
      </c>
      <c r="G179" t="s">
        <v>6294</v>
      </c>
      <c r="H179" t="s">
        <v>819</v>
      </c>
      <c r="L179" t="s">
        <v>6622</v>
      </c>
      <c r="N179" t="s">
        <v>6622</v>
      </c>
      <c r="O179" t="s">
        <v>7</v>
      </c>
      <c r="P179" t="s">
        <v>821</v>
      </c>
      <c r="Q179" t="s">
        <v>822</v>
      </c>
      <c r="R179" t="s">
        <v>6623</v>
      </c>
      <c r="S179" t="s">
        <v>6280</v>
      </c>
      <c r="T179" t="s">
        <v>119</v>
      </c>
    </row>
    <row r="180" spans="1:20" ht="15" customHeight="1" x14ac:dyDescent="0.4">
      <c r="A180" t="s">
        <v>824</v>
      </c>
      <c r="B180" t="s">
        <v>824</v>
      </c>
      <c r="C180" t="s">
        <v>151</v>
      </c>
      <c r="D180" t="s">
        <v>81</v>
      </c>
      <c r="E180" t="s">
        <v>163</v>
      </c>
      <c r="F180" t="s">
        <v>6624</v>
      </c>
      <c r="G180" t="s">
        <v>6294</v>
      </c>
      <c r="H180" t="s">
        <v>823</v>
      </c>
      <c r="L180" t="s">
        <v>6624</v>
      </c>
      <c r="N180" t="s">
        <v>6624</v>
      </c>
      <c r="O180" t="s">
        <v>7</v>
      </c>
      <c r="P180" t="s">
        <v>825</v>
      </c>
      <c r="Q180" t="s">
        <v>826</v>
      </c>
      <c r="R180" t="s">
        <v>6625</v>
      </c>
      <c r="S180" t="s">
        <v>6280</v>
      </c>
      <c r="T180" t="s">
        <v>119</v>
      </c>
    </row>
    <row r="181" spans="1:20" ht="15" customHeight="1" x14ac:dyDescent="0.4">
      <c r="A181" t="s">
        <v>828</v>
      </c>
      <c r="B181" t="s">
        <v>828</v>
      </c>
      <c r="C181" t="s">
        <v>151</v>
      </c>
      <c r="D181" t="s">
        <v>81</v>
      </c>
      <c r="E181" t="s">
        <v>163</v>
      </c>
      <c r="F181" t="s">
        <v>6626</v>
      </c>
      <c r="G181" t="s">
        <v>6294</v>
      </c>
      <c r="H181" t="s">
        <v>827</v>
      </c>
      <c r="L181" t="s">
        <v>6626</v>
      </c>
      <c r="N181" t="s">
        <v>6626</v>
      </c>
      <c r="O181" t="s">
        <v>7</v>
      </c>
      <c r="P181" t="s">
        <v>829</v>
      </c>
      <c r="Q181" t="s">
        <v>830</v>
      </c>
      <c r="R181" t="s">
        <v>6627</v>
      </c>
      <c r="S181" t="s">
        <v>6280</v>
      </c>
      <c r="T181" t="s">
        <v>119</v>
      </c>
    </row>
    <row r="182" spans="1:20" ht="15" customHeight="1" x14ac:dyDescent="0.4">
      <c r="A182" t="s">
        <v>832</v>
      </c>
      <c r="B182" t="s">
        <v>832</v>
      </c>
      <c r="C182" t="s">
        <v>151</v>
      </c>
      <c r="D182" t="s">
        <v>81</v>
      </c>
      <c r="E182" t="s">
        <v>163</v>
      </c>
      <c r="F182" t="s">
        <v>6628</v>
      </c>
      <c r="G182" t="s">
        <v>6294</v>
      </c>
      <c r="H182" t="s">
        <v>831</v>
      </c>
      <c r="L182" t="s">
        <v>6628</v>
      </c>
      <c r="N182" t="s">
        <v>6628</v>
      </c>
      <c r="O182" t="s">
        <v>7</v>
      </c>
      <c r="P182" t="s">
        <v>833</v>
      </c>
      <c r="Q182" t="s">
        <v>834</v>
      </c>
      <c r="R182" t="s">
        <v>6629</v>
      </c>
      <c r="S182" t="s">
        <v>6280</v>
      </c>
      <c r="T182" t="s">
        <v>119</v>
      </c>
    </row>
    <row r="183" spans="1:20" ht="15" customHeight="1" x14ac:dyDescent="0.4">
      <c r="A183" t="s">
        <v>836</v>
      </c>
      <c r="B183" t="s">
        <v>836</v>
      </c>
      <c r="C183" t="s">
        <v>151</v>
      </c>
      <c r="D183" t="s">
        <v>81</v>
      </c>
      <c r="E183" t="s">
        <v>163</v>
      </c>
      <c r="F183" t="s">
        <v>6630</v>
      </c>
      <c r="G183" t="s">
        <v>6294</v>
      </c>
      <c r="H183" t="s">
        <v>835</v>
      </c>
      <c r="L183" t="s">
        <v>6630</v>
      </c>
      <c r="N183" t="s">
        <v>6630</v>
      </c>
      <c r="O183" t="s">
        <v>7</v>
      </c>
      <c r="P183" t="s">
        <v>837</v>
      </c>
      <c r="Q183" t="s">
        <v>838</v>
      </c>
      <c r="R183" t="s">
        <v>6631</v>
      </c>
      <c r="S183" t="s">
        <v>6280</v>
      </c>
      <c r="T183" t="s">
        <v>119</v>
      </c>
    </row>
    <row r="184" spans="1:20" ht="15" customHeight="1" x14ac:dyDescent="0.4">
      <c r="A184" t="s">
        <v>840</v>
      </c>
      <c r="B184" t="s">
        <v>840</v>
      </c>
      <c r="C184" t="s">
        <v>151</v>
      </c>
      <c r="D184" t="s">
        <v>81</v>
      </c>
      <c r="E184" t="s">
        <v>163</v>
      </c>
      <c r="F184" t="s">
        <v>6632</v>
      </c>
      <c r="G184" t="s">
        <v>6294</v>
      </c>
      <c r="H184" t="s">
        <v>839</v>
      </c>
      <c r="L184" t="s">
        <v>6632</v>
      </c>
      <c r="N184" t="s">
        <v>6632</v>
      </c>
      <c r="O184" t="s">
        <v>7</v>
      </c>
      <c r="P184" t="s">
        <v>841</v>
      </c>
      <c r="Q184" t="s">
        <v>842</v>
      </c>
      <c r="R184" s="27" t="s">
        <v>6633</v>
      </c>
      <c r="T184" t="s">
        <v>119</v>
      </c>
    </row>
    <row r="185" spans="1:20" ht="15" customHeight="1" x14ac:dyDescent="0.4">
      <c r="A185" t="s">
        <v>844</v>
      </c>
      <c r="B185" t="s">
        <v>844</v>
      </c>
      <c r="C185" t="s">
        <v>151</v>
      </c>
      <c r="D185" t="s">
        <v>81</v>
      </c>
      <c r="E185" t="s">
        <v>163</v>
      </c>
      <c r="F185" t="s">
        <v>6634</v>
      </c>
      <c r="G185" t="s">
        <v>6294</v>
      </c>
      <c r="H185" t="s">
        <v>843</v>
      </c>
      <c r="L185" t="s">
        <v>6634</v>
      </c>
      <c r="N185" t="s">
        <v>6634</v>
      </c>
      <c r="O185" t="s">
        <v>7</v>
      </c>
      <c r="P185" t="s">
        <v>845</v>
      </c>
      <c r="Q185" t="s">
        <v>846</v>
      </c>
      <c r="R185" s="27" t="s">
        <v>6635</v>
      </c>
      <c r="T185" t="s">
        <v>119</v>
      </c>
    </row>
    <row r="186" spans="1:20" ht="15" customHeight="1" x14ac:dyDescent="0.4">
      <c r="A186" t="s">
        <v>848</v>
      </c>
      <c r="B186" t="s">
        <v>848</v>
      </c>
      <c r="C186" t="s">
        <v>151</v>
      </c>
      <c r="D186" t="s">
        <v>81</v>
      </c>
      <c r="E186" t="s">
        <v>163</v>
      </c>
      <c r="F186" t="s">
        <v>6636</v>
      </c>
      <c r="G186" t="s">
        <v>6294</v>
      </c>
      <c r="H186" t="s">
        <v>847</v>
      </c>
      <c r="L186" t="s">
        <v>6636</v>
      </c>
      <c r="N186" t="s">
        <v>6636</v>
      </c>
      <c r="O186" t="s">
        <v>7</v>
      </c>
      <c r="P186" t="s">
        <v>849</v>
      </c>
      <c r="Q186" t="s">
        <v>850</v>
      </c>
      <c r="R186" s="27" t="s">
        <v>6637</v>
      </c>
      <c r="T186" t="s">
        <v>119</v>
      </c>
    </row>
    <row r="187" spans="1:20" ht="15" customHeight="1" x14ac:dyDescent="0.4">
      <c r="A187" t="s">
        <v>852</v>
      </c>
      <c r="B187" t="s">
        <v>852</v>
      </c>
      <c r="C187" t="s">
        <v>151</v>
      </c>
      <c r="D187" t="s">
        <v>81</v>
      </c>
      <c r="E187" t="s">
        <v>163</v>
      </c>
      <c r="F187" t="s">
        <v>6638</v>
      </c>
      <c r="G187" t="s">
        <v>6294</v>
      </c>
      <c r="H187" t="s">
        <v>851</v>
      </c>
      <c r="L187" t="s">
        <v>6638</v>
      </c>
      <c r="N187" t="s">
        <v>6638</v>
      </c>
      <c r="O187" t="s">
        <v>7</v>
      </c>
      <c r="P187" t="s">
        <v>853</v>
      </c>
      <c r="Q187" t="s">
        <v>854</v>
      </c>
      <c r="R187" s="27" t="s">
        <v>6637</v>
      </c>
      <c r="T187" t="s">
        <v>119</v>
      </c>
    </row>
    <row r="188" spans="1:20" ht="15" customHeight="1" x14ac:dyDescent="0.4">
      <c r="A188" t="s">
        <v>856</v>
      </c>
      <c r="B188" t="s">
        <v>856</v>
      </c>
      <c r="C188" t="s">
        <v>151</v>
      </c>
      <c r="D188" t="s">
        <v>81</v>
      </c>
      <c r="E188" t="s">
        <v>163</v>
      </c>
      <c r="F188" t="s">
        <v>6639</v>
      </c>
      <c r="G188" t="s">
        <v>6294</v>
      </c>
      <c r="H188" t="s">
        <v>855</v>
      </c>
      <c r="L188" t="s">
        <v>6639</v>
      </c>
      <c r="N188" t="s">
        <v>6639</v>
      </c>
      <c r="O188" t="s">
        <v>7</v>
      </c>
      <c r="P188" t="s">
        <v>857</v>
      </c>
      <c r="Q188" t="s">
        <v>858</v>
      </c>
      <c r="R188" s="27" t="s">
        <v>6637</v>
      </c>
      <c r="T188" t="s">
        <v>119</v>
      </c>
    </row>
    <row r="189" spans="1:20" ht="15" customHeight="1" x14ac:dyDescent="0.4">
      <c r="A189" t="s">
        <v>860</v>
      </c>
      <c r="B189" t="s">
        <v>860</v>
      </c>
      <c r="C189" t="s">
        <v>151</v>
      </c>
      <c r="D189" t="s">
        <v>81</v>
      </c>
      <c r="E189" t="s">
        <v>163</v>
      </c>
      <c r="F189" t="s">
        <v>6640</v>
      </c>
      <c r="G189" t="s">
        <v>6294</v>
      </c>
      <c r="H189" t="s">
        <v>859</v>
      </c>
      <c r="L189" t="s">
        <v>6640</v>
      </c>
      <c r="N189" t="s">
        <v>6640</v>
      </c>
      <c r="O189" t="s">
        <v>7</v>
      </c>
      <c r="P189" t="s">
        <v>861</v>
      </c>
      <c r="Q189" t="s">
        <v>862</v>
      </c>
      <c r="R189" s="27" t="s">
        <v>6637</v>
      </c>
      <c r="T189" t="s">
        <v>119</v>
      </c>
    </row>
    <row r="190" spans="1:20" ht="15" customHeight="1" x14ac:dyDescent="0.4">
      <c r="A190" t="s">
        <v>864</v>
      </c>
      <c r="B190" t="s">
        <v>864</v>
      </c>
      <c r="C190" t="s">
        <v>151</v>
      </c>
      <c r="D190" t="s">
        <v>81</v>
      </c>
      <c r="E190" t="s">
        <v>163</v>
      </c>
      <c r="F190" t="s">
        <v>6641</v>
      </c>
      <c r="G190" t="s">
        <v>6294</v>
      </c>
      <c r="H190" t="s">
        <v>863</v>
      </c>
      <c r="L190" t="s">
        <v>6641</v>
      </c>
      <c r="N190" t="s">
        <v>6641</v>
      </c>
      <c r="O190" t="s">
        <v>7</v>
      </c>
      <c r="P190" t="s">
        <v>865</v>
      </c>
      <c r="Q190" t="s">
        <v>866</v>
      </c>
      <c r="R190" s="27" t="s">
        <v>6637</v>
      </c>
      <c r="T190" t="s">
        <v>119</v>
      </c>
    </row>
    <row r="191" spans="1:20" ht="15" customHeight="1" x14ac:dyDescent="0.4">
      <c r="A191" t="s">
        <v>868</v>
      </c>
      <c r="B191" t="s">
        <v>868</v>
      </c>
      <c r="C191" t="s">
        <v>151</v>
      </c>
      <c r="D191" t="s">
        <v>81</v>
      </c>
      <c r="E191" t="s">
        <v>163</v>
      </c>
      <c r="F191" t="s">
        <v>6642</v>
      </c>
      <c r="G191" t="s">
        <v>6294</v>
      </c>
      <c r="H191" t="s">
        <v>867</v>
      </c>
      <c r="L191" t="s">
        <v>6642</v>
      </c>
      <c r="N191" t="s">
        <v>6642</v>
      </c>
      <c r="O191" t="s">
        <v>7</v>
      </c>
      <c r="P191" t="s">
        <v>869</v>
      </c>
      <c r="Q191" t="s">
        <v>870</v>
      </c>
      <c r="R191" s="27" t="s">
        <v>6637</v>
      </c>
      <c r="T191" t="s">
        <v>119</v>
      </c>
    </row>
    <row r="192" spans="1:20" ht="15" customHeight="1" x14ac:dyDescent="0.4">
      <c r="A192" t="s">
        <v>872</v>
      </c>
      <c r="B192" t="s">
        <v>872</v>
      </c>
      <c r="C192" t="s">
        <v>151</v>
      </c>
      <c r="D192" t="s">
        <v>81</v>
      </c>
      <c r="E192" t="s">
        <v>163</v>
      </c>
      <c r="F192" t="s">
        <v>6643</v>
      </c>
      <c r="G192" t="s">
        <v>6294</v>
      </c>
      <c r="H192" t="s">
        <v>871</v>
      </c>
      <c r="L192" t="s">
        <v>6643</v>
      </c>
      <c r="N192" t="s">
        <v>6643</v>
      </c>
      <c r="O192" t="s">
        <v>7</v>
      </c>
      <c r="P192" t="s">
        <v>873</v>
      </c>
      <c r="Q192" t="s">
        <v>874</v>
      </c>
      <c r="R192" s="27" t="s">
        <v>6635</v>
      </c>
      <c r="T192" t="s">
        <v>119</v>
      </c>
    </row>
    <row r="193" spans="1:20" ht="15" customHeight="1" x14ac:dyDescent="0.4">
      <c r="A193" t="s">
        <v>876</v>
      </c>
      <c r="B193" t="s">
        <v>876</v>
      </c>
      <c r="C193" t="s">
        <v>151</v>
      </c>
      <c r="D193" t="s">
        <v>81</v>
      </c>
      <c r="E193" t="s">
        <v>163</v>
      </c>
      <c r="F193" t="s">
        <v>6644</v>
      </c>
      <c r="G193" t="s">
        <v>6294</v>
      </c>
      <c r="H193" t="s">
        <v>875</v>
      </c>
      <c r="L193" t="s">
        <v>6644</v>
      </c>
      <c r="N193" t="s">
        <v>6644</v>
      </c>
      <c r="O193" t="s">
        <v>7</v>
      </c>
      <c r="P193" t="s">
        <v>877</v>
      </c>
      <c r="Q193" t="s">
        <v>878</v>
      </c>
      <c r="R193" s="27" t="s">
        <v>6637</v>
      </c>
      <c r="T193" t="s">
        <v>119</v>
      </c>
    </row>
    <row r="194" spans="1:20" ht="15" customHeight="1" x14ac:dyDescent="0.4">
      <c r="A194" t="s">
        <v>880</v>
      </c>
      <c r="B194" t="s">
        <v>880</v>
      </c>
      <c r="C194" t="s">
        <v>151</v>
      </c>
      <c r="D194" t="s">
        <v>81</v>
      </c>
      <c r="E194" t="s">
        <v>163</v>
      </c>
      <c r="F194" t="s">
        <v>6645</v>
      </c>
      <c r="G194" t="s">
        <v>6294</v>
      </c>
      <c r="H194" t="s">
        <v>879</v>
      </c>
      <c r="L194" t="s">
        <v>6645</v>
      </c>
      <c r="N194" t="s">
        <v>6645</v>
      </c>
      <c r="O194" t="s">
        <v>7</v>
      </c>
      <c r="P194" t="s">
        <v>881</v>
      </c>
      <c r="Q194" t="s">
        <v>882</v>
      </c>
      <c r="R194" s="27" t="s">
        <v>6635</v>
      </c>
      <c r="T194" t="s">
        <v>119</v>
      </c>
    </row>
    <row r="195" spans="1:20" ht="15" customHeight="1" x14ac:dyDescent="0.4">
      <c r="A195" t="s">
        <v>884</v>
      </c>
      <c r="B195" t="s">
        <v>884</v>
      </c>
      <c r="C195" t="s">
        <v>151</v>
      </c>
      <c r="D195" t="s">
        <v>81</v>
      </c>
      <c r="E195" t="s">
        <v>163</v>
      </c>
      <c r="F195" t="s">
        <v>6646</v>
      </c>
      <c r="G195" t="s">
        <v>6294</v>
      </c>
      <c r="H195" t="s">
        <v>883</v>
      </c>
      <c r="L195" t="s">
        <v>6646</v>
      </c>
      <c r="N195" t="s">
        <v>6646</v>
      </c>
      <c r="O195" t="s">
        <v>7</v>
      </c>
      <c r="P195" t="s">
        <v>885</v>
      </c>
      <c r="Q195" t="s">
        <v>886</v>
      </c>
      <c r="R195" s="27" t="s">
        <v>6635</v>
      </c>
      <c r="T195" t="s">
        <v>119</v>
      </c>
    </row>
    <row r="196" spans="1:20" ht="15" customHeight="1" x14ac:dyDescent="0.4">
      <c r="A196" t="s">
        <v>888</v>
      </c>
      <c r="B196" t="s">
        <v>888</v>
      </c>
      <c r="C196" t="s">
        <v>151</v>
      </c>
      <c r="D196" t="s">
        <v>81</v>
      </c>
      <c r="E196" t="s">
        <v>163</v>
      </c>
      <c r="F196" t="s">
        <v>6647</v>
      </c>
      <c r="G196" t="s">
        <v>6294</v>
      </c>
      <c r="H196" t="s">
        <v>887</v>
      </c>
      <c r="L196" t="s">
        <v>6647</v>
      </c>
      <c r="N196" t="s">
        <v>6647</v>
      </c>
      <c r="O196" t="s">
        <v>7</v>
      </c>
      <c r="P196" t="s">
        <v>889</v>
      </c>
      <c r="Q196" t="s">
        <v>890</v>
      </c>
      <c r="R196" s="27" t="s">
        <v>6635</v>
      </c>
      <c r="T196" t="s">
        <v>119</v>
      </c>
    </row>
    <row r="197" spans="1:20" ht="15" customHeight="1" x14ac:dyDescent="0.4">
      <c r="A197" t="s">
        <v>892</v>
      </c>
      <c r="B197" t="s">
        <v>892</v>
      </c>
      <c r="C197" t="s">
        <v>151</v>
      </c>
      <c r="D197" t="s">
        <v>81</v>
      </c>
      <c r="E197" t="s">
        <v>163</v>
      </c>
      <c r="F197" t="s">
        <v>6648</v>
      </c>
      <c r="G197" t="s">
        <v>6294</v>
      </c>
      <c r="H197" t="s">
        <v>891</v>
      </c>
      <c r="L197" t="s">
        <v>6648</v>
      </c>
      <c r="N197" t="s">
        <v>6648</v>
      </c>
      <c r="O197" t="s">
        <v>7</v>
      </c>
      <c r="P197" t="s">
        <v>893</v>
      </c>
      <c r="Q197" t="s">
        <v>894</v>
      </c>
      <c r="R197" s="27" t="s">
        <v>6635</v>
      </c>
      <c r="T197" t="s">
        <v>119</v>
      </c>
    </row>
    <row r="198" spans="1:20" ht="15" customHeight="1" x14ac:dyDescent="0.4">
      <c r="A198" t="s">
        <v>896</v>
      </c>
      <c r="B198" t="s">
        <v>896</v>
      </c>
      <c r="C198" t="s">
        <v>151</v>
      </c>
      <c r="D198" t="s">
        <v>81</v>
      </c>
      <c r="E198" t="s">
        <v>163</v>
      </c>
      <c r="F198" t="s">
        <v>6649</v>
      </c>
      <c r="G198" t="s">
        <v>6294</v>
      </c>
      <c r="H198" t="s">
        <v>895</v>
      </c>
      <c r="L198" t="s">
        <v>6649</v>
      </c>
      <c r="N198" t="s">
        <v>6649</v>
      </c>
      <c r="O198" t="s">
        <v>7</v>
      </c>
      <c r="P198" t="s">
        <v>897</v>
      </c>
      <c r="Q198" t="s">
        <v>898</v>
      </c>
      <c r="R198" s="27" t="s">
        <v>6635</v>
      </c>
      <c r="T198" t="s">
        <v>119</v>
      </c>
    </row>
    <row r="199" spans="1:20" ht="15" customHeight="1" x14ac:dyDescent="0.4">
      <c r="A199" t="s">
        <v>900</v>
      </c>
      <c r="B199" t="s">
        <v>900</v>
      </c>
      <c r="C199" t="s">
        <v>151</v>
      </c>
      <c r="D199" t="s">
        <v>81</v>
      </c>
      <c r="E199" t="s">
        <v>163</v>
      </c>
      <c r="F199" t="s">
        <v>6650</v>
      </c>
      <c r="G199" t="s">
        <v>6294</v>
      </c>
      <c r="H199" t="s">
        <v>899</v>
      </c>
      <c r="L199" t="s">
        <v>6650</v>
      </c>
      <c r="N199" t="s">
        <v>6650</v>
      </c>
      <c r="O199" t="s">
        <v>7</v>
      </c>
      <c r="P199" t="s">
        <v>901</v>
      </c>
      <c r="Q199" t="s">
        <v>902</v>
      </c>
      <c r="R199" s="27" t="s">
        <v>6637</v>
      </c>
      <c r="T199" t="s">
        <v>119</v>
      </c>
    </row>
    <row r="200" spans="1:20" ht="15" customHeight="1" x14ac:dyDescent="0.4">
      <c r="A200" t="s">
        <v>904</v>
      </c>
      <c r="B200" t="s">
        <v>904</v>
      </c>
      <c r="C200" t="s">
        <v>151</v>
      </c>
      <c r="D200" t="s">
        <v>81</v>
      </c>
      <c r="E200" t="s">
        <v>163</v>
      </c>
      <c r="F200" t="s">
        <v>6651</v>
      </c>
      <c r="G200" t="s">
        <v>6294</v>
      </c>
      <c r="H200" t="s">
        <v>903</v>
      </c>
      <c r="L200" t="s">
        <v>6651</v>
      </c>
      <c r="N200" t="s">
        <v>6651</v>
      </c>
      <c r="O200" t="s">
        <v>7</v>
      </c>
      <c r="P200" t="s">
        <v>905</v>
      </c>
      <c r="Q200" t="s">
        <v>906</v>
      </c>
      <c r="R200" s="27" t="s">
        <v>6635</v>
      </c>
      <c r="T200" t="s">
        <v>119</v>
      </c>
    </row>
    <row r="201" spans="1:20" ht="15" customHeight="1" x14ac:dyDescent="0.4">
      <c r="A201" t="s">
        <v>908</v>
      </c>
      <c r="B201" t="s">
        <v>908</v>
      </c>
      <c r="C201" t="s">
        <v>151</v>
      </c>
      <c r="D201" t="s">
        <v>81</v>
      </c>
      <c r="E201" t="s">
        <v>163</v>
      </c>
      <c r="F201" t="s">
        <v>6652</v>
      </c>
      <c r="G201" t="s">
        <v>6294</v>
      </c>
      <c r="H201" t="s">
        <v>907</v>
      </c>
      <c r="L201" t="s">
        <v>6652</v>
      </c>
      <c r="N201" t="s">
        <v>6652</v>
      </c>
      <c r="O201" t="s">
        <v>7</v>
      </c>
      <c r="P201" t="s">
        <v>909</v>
      </c>
      <c r="Q201" t="s">
        <v>910</v>
      </c>
      <c r="R201" s="27" t="s">
        <v>6653</v>
      </c>
      <c r="T201" t="s">
        <v>119</v>
      </c>
    </row>
    <row r="202" spans="1:20" ht="15" customHeight="1" x14ac:dyDescent="0.4">
      <c r="A202" t="s">
        <v>912</v>
      </c>
      <c r="B202" t="s">
        <v>912</v>
      </c>
      <c r="C202" t="s">
        <v>151</v>
      </c>
      <c r="D202" t="s">
        <v>81</v>
      </c>
      <c r="E202" t="s">
        <v>163</v>
      </c>
      <c r="F202" t="s">
        <v>6654</v>
      </c>
      <c r="G202" t="s">
        <v>6294</v>
      </c>
      <c r="H202" t="s">
        <v>911</v>
      </c>
      <c r="L202" t="s">
        <v>6654</v>
      </c>
      <c r="N202" t="s">
        <v>6654</v>
      </c>
      <c r="O202" t="s">
        <v>7</v>
      </c>
      <c r="P202" t="s">
        <v>913</v>
      </c>
      <c r="Q202" t="s">
        <v>914</v>
      </c>
      <c r="R202" s="27" t="s">
        <v>6635</v>
      </c>
      <c r="T202" t="s">
        <v>119</v>
      </c>
    </row>
    <row r="203" spans="1:20" ht="15" customHeight="1" x14ac:dyDescent="0.4">
      <c r="A203" t="s">
        <v>916</v>
      </c>
      <c r="B203" t="s">
        <v>916</v>
      </c>
      <c r="C203" t="s">
        <v>151</v>
      </c>
      <c r="D203" t="s">
        <v>81</v>
      </c>
      <c r="E203" t="s">
        <v>163</v>
      </c>
      <c r="F203" t="s">
        <v>6655</v>
      </c>
      <c r="G203" t="s">
        <v>6294</v>
      </c>
      <c r="H203" t="s">
        <v>915</v>
      </c>
      <c r="L203" t="s">
        <v>6655</v>
      </c>
      <c r="N203" t="s">
        <v>6655</v>
      </c>
      <c r="O203" t="s">
        <v>7</v>
      </c>
      <c r="P203" t="s">
        <v>917</v>
      </c>
      <c r="Q203" t="s">
        <v>918</v>
      </c>
      <c r="R203" s="27" t="s">
        <v>6637</v>
      </c>
      <c r="T203" t="s">
        <v>119</v>
      </c>
    </row>
    <row r="204" spans="1:20" ht="15" customHeight="1" x14ac:dyDescent="0.4">
      <c r="A204" t="s">
        <v>920</v>
      </c>
      <c r="B204" t="s">
        <v>920</v>
      </c>
      <c r="C204" t="s">
        <v>151</v>
      </c>
      <c r="D204" t="s">
        <v>81</v>
      </c>
      <c r="E204" t="s">
        <v>163</v>
      </c>
      <c r="F204" t="s">
        <v>6656</v>
      </c>
      <c r="G204" t="s">
        <v>6294</v>
      </c>
      <c r="H204" t="s">
        <v>919</v>
      </c>
      <c r="L204" t="s">
        <v>6656</v>
      </c>
      <c r="N204" t="s">
        <v>6656</v>
      </c>
      <c r="O204" t="s">
        <v>7</v>
      </c>
      <c r="P204" t="s">
        <v>921</v>
      </c>
      <c r="Q204" t="s">
        <v>922</v>
      </c>
      <c r="R204" s="27" t="s">
        <v>6637</v>
      </c>
      <c r="T204" t="s">
        <v>119</v>
      </c>
    </row>
    <row r="205" spans="1:20" ht="15" customHeight="1" x14ac:dyDescent="0.4">
      <c r="A205" t="s">
        <v>924</v>
      </c>
      <c r="B205" t="s">
        <v>924</v>
      </c>
      <c r="C205" t="s">
        <v>151</v>
      </c>
      <c r="D205" t="s">
        <v>81</v>
      </c>
      <c r="E205" t="s">
        <v>163</v>
      </c>
      <c r="F205" t="s">
        <v>6657</v>
      </c>
      <c r="G205" t="s">
        <v>6294</v>
      </c>
      <c r="H205" t="s">
        <v>923</v>
      </c>
      <c r="L205" t="s">
        <v>6657</v>
      </c>
      <c r="N205" t="s">
        <v>6657</v>
      </c>
      <c r="O205" t="s">
        <v>7</v>
      </c>
      <c r="P205" t="s">
        <v>925</v>
      </c>
      <c r="Q205" t="s">
        <v>926</v>
      </c>
      <c r="R205" s="27" t="s">
        <v>6637</v>
      </c>
      <c r="T205" t="s">
        <v>119</v>
      </c>
    </row>
    <row r="206" spans="1:20" ht="15" customHeight="1" x14ac:dyDescent="0.4">
      <c r="A206" t="s">
        <v>928</v>
      </c>
      <c r="B206" t="s">
        <v>928</v>
      </c>
      <c r="C206" t="s">
        <v>151</v>
      </c>
      <c r="D206" t="s">
        <v>81</v>
      </c>
      <c r="E206" t="s">
        <v>163</v>
      </c>
      <c r="F206" t="s">
        <v>6658</v>
      </c>
      <c r="G206" t="s">
        <v>6294</v>
      </c>
      <c r="H206" t="s">
        <v>927</v>
      </c>
      <c r="L206" t="s">
        <v>6658</v>
      </c>
      <c r="N206" t="s">
        <v>6658</v>
      </c>
      <c r="O206" t="s">
        <v>7</v>
      </c>
      <c r="P206" t="s">
        <v>929</v>
      </c>
      <c r="Q206" t="s">
        <v>930</v>
      </c>
      <c r="R206" s="27" t="s">
        <v>6637</v>
      </c>
      <c r="T206" t="s">
        <v>119</v>
      </c>
    </row>
    <row r="207" spans="1:20" ht="15" customHeight="1" x14ac:dyDescent="0.4">
      <c r="A207" t="s">
        <v>932</v>
      </c>
      <c r="B207" t="s">
        <v>932</v>
      </c>
      <c r="C207" t="s">
        <v>151</v>
      </c>
      <c r="D207" t="s">
        <v>81</v>
      </c>
      <c r="E207" t="s">
        <v>163</v>
      </c>
      <c r="F207" t="s">
        <v>6659</v>
      </c>
      <c r="G207" t="s">
        <v>6294</v>
      </c>
      <c r="H207" t="s">
        <v>931</v>
      </c>
      <c r="L207" t="s">
        <v>6659</v>
      </c>
      <c r="N207" t="s">
        <v>6659</v>
      </c>
      <c r="O207" t="s">
        <v>7</v>
      </c>
      <c r="P207" t="s">
        <v>933</v>
      </c>
      <c r="Q207" t="s">
        <v>934</v>
      </c>
      <c r="R207" s="27" t="s">
        <v>6637</v>
      </c>
      <c r="T207" t="s">
        <v>119</v>
      </c>
    </row>
    <row r="208" spans="1:20" ht="15" customHeight="1" x14ac:dyDescent="0.4">
      <c r="A208" t="s">
        <v>936</v>
      </c>
      <c r="B208" t="s">
        <v>936</v>
      </c>
      <c r="C208" t="s">
        <v>151</v>
      </c>
      <c r="D208" t="s">
        <v>81</v>
      </c>
      <c r="E208" t="s">
        <v>163</v>
      </c>
      <c r="F208" t="s">
        <v>6660</v>
      </c>
      <c r="G208" t="s">
        <v>6294</v>
      </c>
      <c r="H208" t="s">
        <v>935</v>
      </c>
      <c r="L208" t="s">
        <v>6660</v>
      </c>
      <c r="N208" t="s">
        <v>6660</v>
      </c>
      <c r="O208" t="s">
        <v>7</v>
      </c>
      <c r="P208" t="s">
        <v>937</v>
      </c>
      <c r="Q208" t="s">
        <v>938</v>
      </c>
      <c r="R208" s="27" t="s">
        <v>6637</v>
      </c>
      <c r="T208" t="s">
        <v>119</v>
      </c>
    </row>
    <row r="209" spans="1:20" ht="15" customHeight="1" x14ac:dyDescent="0.4">
      <c r="A209" t="s">
        <v>940</v>
      </c>
      <c r="B209" t="s">
        <v>940</v>
      </c>
      <c r="C209" t="s">
        <v>151</v>
      </c>
      <c r="D209" t="s">
        <v>81</v>
      </c>
      <c r="E209" t="s">
        <v>163</v>
      </c>
      <c r="F209" t="s">
        <v>6661</v>
      </c>
      <c r="G209" t="s">
        <v>6294</v>
      </c>
      <c r="H209" t="s">
        <v>939</v>
      </c>
      <c r="L209" t="s">
        <v>6661</v>
      </c>
      <c r="N209" t="s">
        <v>6661</v>
      </c>
      <c r="O209" t="s">
        <v>7</v>
      </c>
      <c r="P209" t="s">
        <v>941</v>
      </c>
      <c r="Q209" t="s">
        <v>942</v>
      </c>
      <c r="R209" s="27" t="s">
        <v>6635</v>
      </c>
      <c r="T209" t="s">
        <v>119</v>
      </c>
    </row>
    <row r="210" spans="1:20" ht="15" customHeight="1" x14ac:dyDescent="0.4">
      <c r="A210" t="s">
        <v>944</v>
      </c>
      <c r="B210" t="s">
        <v>944</v>
      </c>
      <c r="C210" t="s">
        <v>151</v>
      </c>
      <c r="D210" t="s">
        <v>81</v>
      </c>
      <c r="E210" t="s">
        <v>163</v>
      </c>
      <c r="F210" t="s">
        <v>6662</v>
      </c>
      <c r="G210" t="s">
        <v>6294</v>
      </c>
      <c r="H210" t="s">
        <v>943</v>
      </c>
      <c r="L210" t="s">
        <v>6662</v>
      </c>
      <c r="N210" t="s">
        <v>6662</v>
      </c>
      <c r="O210" t="s">
        <v>7</v>
      </c>
      <c r="P210" t="s">
        <v>945</v>
      </c>
      <c r="Q210" t="s">
        <v>946</v>
      </c>
      <c r="R210" s="27" t="s">
        <v>6635</v>
      </c>
      <c r="T210" t="s">
        <v>119</v>
      </c>
    </row>
    <row r="211" spans="1:20" ht="15" customHeight="1" x14ac:dyDescent="0.4">
      <c r="A211" t="s">
        <v>948</v>
      </c>
      <c r="B211" t="s">
        <v>948</v>
      </c>
      <c r="C211" t="s">
        <v>151</v>
      </c>
      <c r="D211" t="s">
        <v>81</v>
      </c>
      <c r="E211" t="s">
        <v>163</v>
      </c>
      <c r="F211" t="s">
        <v>6663</v>
      </c>
      <c r="G211" t="s">
        <v>6294</v>
      </c>
      <c r="H211" t="s">
        <v>947</v>
      </c>
      <c r="L211" t="s">
        <v>6663</v>
      </c>
      <c r="N211" t="s">
        <v>6663</v>
      </c>
      <c r="O211" t="s">
        <v>7</v>
      </c>
      <c r="P211" t="s">
        <v>949</v>
      </c>
      <c r="Q211" t="s">
        <v>950</v>
      </c>
      <c r="R211" s="27" t="s">
        <v>6637</v>
      </c>
      <c r="T211" t="s">
        <v>119</v>
      </c>
    </row>
    <row r="212" spans="1:20" ht="15" customHeight="1" x14ac:dyDescent="0.4">
      <c r="A212" t="s">
        <v>952</v>
      </c>
      <c r="B212" t="s">
        <v>952</v>
      </c>
      <c r="C212" t="s">
        <v>151</v>
      </c>
      <c r="D212" t="s">
        <v>81</v>
      </c>
      <c r="E212" t="s">
        <v>163</v>
      </c>
      <c r="F212" t="s">
        <v>6664</v>
      </c>
      <c r="G212" t="s">
        <v>6294</v>
      </c>
      <c r="H212" t="s">
        <v>951</v>
      </c>
      <c r="L212" t="s">
        <v>6664</v>
      </c>
      <c r="N212" t="s">
        <v>6664</v>
      </c>
      <c r="O212" t="s">
        <v>7</v>
      </c>
      <c r="P212" t="s">
        <v>953</v>
      </c>
      <c r="Q212" t="s">
        <v>954</v>
      </c>
      <c r="R212" s="27" t="s">
        <v>6635</v>
      </c>
      <c r="T212" t="s">
        <v>119</v>
      </c>
    </row>
    <row r="213" spans="1:20" ht="15" customHeight="1" x14ac:dyDescent="0.4">
      <c r="A213" t="s">
        <v>956</v>
      </c>
      <c r="B213" t="s">
        <v>956</v>
      </c>
      <c r="C213" t="s">
        <v>151</v>
      </c>
      <c r="D213" t="s">
        <v>81</v>
      </c>
      <c r="E213" t="s">
        <v>163</v>
      </c>
      <c r="F213" t="s">
        <v>6665</v>
      </c>
      <c r="G213" t="s">
        <v>6294</v>
      </c>
      <c r="H213" t="s">
        <v>955</v>
      </c>
      <c r="L213" t="s">
        <v>6665</v>
      </c>
      <c r="N213" t="s">
        <v>6665</v>
      </c>
      <c r="O213" t="s">
        <v>7</v>
      </c>
      <c r="P213" t="s">
        <v>957</v>
      </c>
      <c r="Q213" t="s">
        <v>958</v>
      </c>
      <c r="R213" s="27" t="s">
        <v>6637</v>
      </c>
      <c r="T213" t="s">
        <v>119</v>
      </c>
    </row>
    <row r="214" spans="1:20" ht="15" customHeight="1" x14ac:dyDescent="0.4">
      <c r="A214" t="s">
        <v>960</v>
      </c>
      <c r="B214" t="s">
        <v>960</v>
      </c>
      <c r="C214" t="s">
        <v>151</v>
      </c>
      <c r="D214" t="s">
        <v>81</v>
      </c>
      <c r="E214" t="s">
        <v>163</v>
      </c>
      <c r="F214" t="s">
        <v>6666</v>
      </c>
      <c r="G214" t="s">
        <v>6294</v>
      </c>
      <c r="H214" t="s">
        <v>959</v>
      </c>
      <c r="L214" t="s">
        <v>6666</v>
      </c>
      <c r="N214" t="s">
        <v>6666</v>
      </c>
      <c r="O214" t="s">
        <v>7</v>
      </c>
      <c r="P214" t="s">
        <v>961</v>
      </c>
      <c r="Q214" t="s">
        <v>962</v>
      </c>
      <c r="R214" s="27" t="s">
        <v>6637</v>
      </c>
      <c r="T214" t="s">
        <v>119</v>
      </c>
    </row>
    <row r="215" spans="1:20" ht="15" customHeight="1" x14ac:dyDescent="0.4">
      <c r="A215" t="s">
        <v>964</v>
      </c>
      <c r="B215" t="s">
        <v>964</v>
      </c>
      <c r="C215" t="s">
        <v>151</v>
      </c>
      <c r="D215" t="s">
        <v>81</v>
      </c>
      <c r="E215" t="s">
        <v>163</v>
      </c>
      <c r="F215" t="s">
        <v>6667</v>
      </c>
      <c r="G215" t="s">
        <v>6294</v>
      </c>
      <c r="H215" t="s">
        <v>963</v>
      </c>
      <c r="L215" t="s">
        <v>6667</v>
      </c>
      <c r="N215" t="s">
        <v>6667</v>
      </c>
      <c r="O215" t="s">
        <v>7</v>
      </c>
      <c r="P215" t="s">
        <v>965</v>
      </c>
      <c r="Q215" t="s">
        <v>966</v>
      </c>
      <c r="R215" s="27" t="s">
        <v>6637</v>
      </c>
      <c r="T215" t="s">
        <v>119</v>
      </c>
    </row>
    <row r="216" spans="1:20" ht="15" customHeight="1" x14ac:dyDescent="0.4">
      <c r="A216" t="s">
        <v>968</v>
      </c>
      <c r="B216" t="s">
        <v>968</v>
      </c>
      <c r="C216" t="s">
        <v>151</v>
      </c>
      <c r="D216" t="s">
        <v>81</v>
      </c>
      <c r="E216" t="s">
        <v>163</v>
      </c>
      <c r="F216" t="s">
        <v>6668</v>
      </c>
      <c r="G216" t="s">
        <v>6294</v>
      </c>
      <c r="H216" t="s">
        <v>967</v>
      </c>
      <c r="L216" t="s">
        <v>6668</v>
      </c>
      <c r="N216" t="s">
        <v>6668</v>
      </c>
      <c r="O216" t="s">
        <v>7</v>
      </c>
      <c r="P216" t="s">
        <v>969</v>
      </c>
      <c r="Q216" t="s">
        <v>970</v>
      </c>
      <c r="R216" s="27" t="s">
        <v>6637</v>
      </c>
      <c r="T216" t="s">
        <v>119</v>
      </c>
    </row>
    <row r="217" spans="1:20" ht="15" customHeight="1" x14ac:dyDescent="0.4">
      <c r="A217" t="s">
        <v>972</v>
      </c>
      <c r="B217" t="s">
        <v>972</v>
      </c>
      <c r="C217" t="s">
        <v>151</v>
      </c>
      <c r="D217" t="s">
        <v>81</v>
      </c>
      <c r="E217" t="s">
        <v>163</v>
      </c>
      <c r="F217" t="s">
        <v>6669</v>
      </c>
      <c r="G217" t="s">
        <v>6294</v>
      </c>
      <c r="H217" t="s">
        <v>971</v>
      </c>
      <c r="L217" t="s">
        <v>6669</v>
      </c>
      <c r="N217" t="s">
        <v>6669</v>
      </c>
      <c r="O217" t="s">
        <v>7</v>
      </c>
      <c r="P217" t="s">
        <v>973</v>
      </c>
      <c r="Q217" t="s">
        <v>974</v>
      </c>
      <c r="R217" s="27" t="s">
        <v>6653</v>
      </c>
      <c r="T217" t="s">
        <v>119</v>
      </c>
    </row>
    <row r="218" spans="1:20" ht="15" customHeight="1" x14ac:dyDescent="0.4">
      <c r="A218" t="s">
        <v>976</v>
      </c>
      <c r="B218" t="s">
        <v>976</v>
      </c>
      <c r="C218" t="s">
        <v>151</v>
      </c>
      <c r="D218" t="s">
        <v>81</v>
      </c>
      <c r="E218" t="s">
        <v>163</v>
      </c>
      <c r="F218" t="s">
        <v>6670</v>
      </c>
      <c r="G218" t="s">
        <v>6294</v>
      </c>
      <c r="H218" t="s">
        <v>975</v>
      </c>
      <c r="L218" t="s">
        <v>6670</v>
      </c>
      <c r="N218" t="s">
        <v>6670</v>
      </c>
      <c r="O218" t="s">
        <v>7</v>
      </c>
      <c r="P218" t="s">
        <v>977</v>
      </c>
      <c r="Q218" t="s">
        <v>978</v>
      </c>
      <c r="R218" s="27" t="s">
        <v>6635</v>
      </c>
      <c r="T218" t="s">
        <v>119</v>
      </c>
    </row>
    <row r="219" spans="1:20" ht="15" customHeight="1" x14ac:dyDescent="0.4">
      <c r="A219" t="s">
        <v>980</v>
      </c>
      <c r="B219" t="s">
        <v>980</v>
      </c>
      <c r="C219" t="s">
        <v>151</v>
      </c>
      <c r="D219" t="s">
        <v>81</v>
      </c>
      <c r="E219" t="s">
        <v>163</v>
      </c>
      <c r="F219" t="s">
        <v>6671</v>
      </c>
      <c r="G219" t="s">
        <v>6294</v>
      </c>
      <c r="H219" t="s">
        <v>979</v>
      </c>
      <c r="L219" t="s">
        <v>6671</v>
      </c>
      <c r="N219" t="s">
        <v>6671</v>
      </c>
      <c r="O219" t="s">
        <v>7</v>
      </c>
      <c r="P219" t="s">
        <v>981</v>
      </c>
      <c r="Q219" t="s">
        <v>982</v>
      </c>
      <c r="R219" s="27" t="s">
        <v>6637</v>
      </c>
      <c r="T219" t="s">
        <v>119</v>
      </c>
    </row>
    <row r="220" spans="1:20" ht="15" customHeight="1" x14ac:dyDescent="0.4">
      <c r="A220" t="s">
        <v>984</v>
      </c>
      <c r="B220" t="s">
        <v>984</v>
      </c>
      <c r="C220" t="s">
        <v>151</v>
      </c>
      <c r="D220" t="s">
        <v>81</v>
      </c>
      <c r="E220" t="s">
        <v>163</v>
      </c>
      <c r="F220" t="s">
        <v>6672</v>
      </c>
      <c r="G220" t="s">
        <v>6294</v>
      </c>
      <c r="H220" t="s">
        <v>983</v>
      </c>
      <c r="L220" t="s">
        <v>6672</v>
      </c>
      <c r="N220" t="s">
        <v>6672</v>
      </c>
      <c r="O220" t="s">
        <v>7</v>
      </c>
      <c r="P220" t="s">
        <v>985</v>
      </c>
      <c r="Q220" t="s">
        <v>986</v>
      </c>
      <c r="R220" s="27" t="s">
        <v>6673</v>
      </c>
      <c r="T220" t="s">
        <v>119</v>
      </c>
    </row>
    <row r="221" spans="1:20" ht="15" customHeight="1" x14ac:dyDescent="0.4">
      <c r="A221" t="s">
        <v>988</v>
      </c>
      <c r="B221" t="s">
        <v>988</v>
      </c>
      <c r="C221" t="s">
        <v>151</v>
      </c>
      <c r="D221" t="s">
        <v>81</v>
      </c>
      <c r="E221" t="s">
        <v>163</v>
      </c>
      <c r="F221" t="s">
        <v>6674</v>
      </c>
      <c r="G221" t="s">
        <v>6294</v>
      </c>
      <c r="H221" t="s">
        <v>987</v>
      </c>
      <c r="L221" t="s">
        <v>6674</v>
      </c>
      <c r="N221" t="s">
        <v>6674</v>
      </c>
      <c r="O221" t="s">
        <v>7</v>
      </c>
      <c r="P221" t="s">
        <v>989</v>
      </c>
      <c r="Q221" t="s">
        <v>990</v>
      </c>
      <c r="R221" s="27" t="s">
        <v>6637</v>
      </c>
      <c r="T221" t="s">
        <v>119</v>
      </c>
    </row>
    <row r="222" spans="1:20" ht="15" customHeight="1" x14ac:dyDescent="0.4">
      <c r="A222" t="s">
        <v>992</v>
      </c>
      <c r="B222" t="s">
        <v>992</v>
      </c>
      <c r="C222" t="s">
        <v>151</v>
      </c>
      <c r="D222" t="s">
        <v>81</v>
      </c>
      <c r="E222" t="s">
        <v>163</v>
      </c>
      <c r="F222" t="s">
        <v>6675</v>
      </c>
      <c r="G222" t="s">
        <v>6294</v>
      </c>
      <c r="H222" t="s">
        <v>991</v>
      </c>
      <c r="L222" t="s">
        <v>6675</v>
      </c>
      <c r="N222" t="s">
        <v>6675</v>
      </c>
      <c r="O222" t="s">
        <v>7</v>
      </c>
      <c r="P222" t="s">
        <v>993</v>
      </c>
      <c r="Q222" t="s">
        <v>994</v>
      </c>
      <c r="R222" s="27" t="s">
        <v>6637</v>
      </c>
      <c r="T222" t="s">
        <v>119</v>
      </c>
    </row>
    <row r="223" spans="1:20" ht="15" customHeight="1" x14ac:dyDescent="0.4">
      <c r="A223" t="s">
        <v>996</v>
      </c>
      <c r="B223" t="s">
        <v>996</v>
      </c>
      <c r="C223" t="s">
        <v>151</v>
      </c>
      <c r="D223" t="s">
        <v>81</v>
      </c>
      <c r="E223" t="s">
        <v>163</v>
      </c>
      <c r="F223" t="s">
        <v>6676</v>
      </c>
      <c r="G223" t="s">
        <v>6294</v>
      </c>
      <c r="H223" t="s">
        <v>995</v>
      </c>
      <c r="L223" t="s">
        <v>6676</v>
      </c>
      <c r="N223" t="s">
        <v>6676</v>
      </c>
      <c r="O223" t="s">
        <v>7</v>
      </c>
      <c r="P223" t="s">
        <v>997</v>
      </c>
      <c r="Q223" t="s">
        <v>998</v>
      </c>
      <c r="R223" s="27" t="s">
        <v>6637</v>
      </c>
      <c r="T223" t="s">
        <v>119</v>
      </c>
    </row>
    <row r="224" spans="1:20" ht="15" customHeight="1" x14ac:dyDescent="0.4">
      <c r="A224" t="s">
        <v>1000</v>
      </c>
      <c r="B224" t="s">
        <v>1000</v>
      </c>
      <c r="C224" t="s">
        <v>151</v>
      </c>
      <c r="D224" t="s">
        <v>81</v>
      </c>
      <c r="E224" t="s">
        <v>163</v>
      </c>
      <c r="F224" t="s">
        <v>6677</v>
      </c>
      <c r="G224" t="s">
        <v>6294</v>
      </c>
      <c r="H224" t="s">
        <v>999</v>
      </c>
      <c r="L224" t="s">
        <v>6677</v>
      </c>
      <c r="N224" t="s">
        <v>6677</v>
      </c>
      <c r="O224" t="s">
        <v>7</v>
      </c>
      <c r="P224" t="s">
        <v>1001</v>
      </c>
      <c r="Q224" t="s">
        <v>1002</v>
      </c>
      <c r="R224" s="27" t="s">
        <v>6637</v>
      </c>
      <c r="T224" t="s">
        <v>119</v>
      </c>
    </row>
    <row r="225" spans="1:20" ht="15" customHeight="1" x14ac:dyDescent="0.4">
      <c r="A225" t="s">
        <v>1004</v>
      </c>
      <c r="B225" t="s">
        <v>1004</v>
      </c>
      <c r="C225" t="s">
        <v>151</v>
      </c>
      <c r="D225" t="s">
        <v>81</v>
      </c>
      <c r="E225" t="s">
        <v>163</v>
      </c>
      <c r="F225" t="s">
        <v>6678</v>
      </c>
      <c r="G225" t="s">
        <v>6294</v>
      </c>
      <c r="H225" t="s">
        <v>1003</v>
      </c>
      <c r="L225" t="s">
        <v>6678</v>
      </c>
      <c r="N225" t="s">
        <v>6678</v>
      </c>
      <c r="O225" t="s">
        <v>7</v>
      </c>
      <c r="P225" t="s">
        <v>1005</v>
      </c>
      <c r="Q225" t="s">
        <v>1006</v>
      </c>
      <c r="R225" s="27" t="s">
        <v>6637</v>
      </c>
      <c r="T225" t="s">
        <v>119</v>
      </c>
    </row>
    <row r="226" spans="1:20" ht="15" customHeight="1" x14ac:dyDescent="0.4">
      <c r="A226" t="s">
        <v>1008</v>
      </c>
      <c r="B226" t="s">
        <v>1008</v>
      </c>
      <c r="C226" t="s">
        <v>151</v>
      </c>
      <c r="D226" t="s">
        <v>81</v>
      </c>
      <c r="E226" t="s">
        <v>163</v>
      </c>
      <c r="F226" t="s">
        <v>6679</v>
      </c>
      <c r="G226" t="s">
        <v>6294</v>
      </c>
      <c r="H226" t="s">
        <v>1007</v>
      </c>
      <c r="L226" t="s">
        <v>6679</v>
      </c>
      <c r="N226" t="s">
        <v>6679</v>
      </c>
      <c r="O226" t="s">
        <v>7</v>
      </c>
      <c r="P226" t="s">
        <v>1009</v>
      </c>
      <c r="Q226" t="s">
        <v>1010</v>
      </c>
      <c r="R226" s="27" t="s">
        <v>6637</v>
      </c>
      <c r="T226" t="s">
        <v>119</v>
      </c>
    </row>
    <row r="227" spans="1:20" ht="15" customHeight="1" x14ac:dyDescent="0.4">
      <c r="A227" t="s">
        <v>1012</v>
      </c>
      <c r="B227" t="s">
        <v>1012</v>
      </c>
      <c r="C227" t="s">
        <v>151</v>
      </c>
      <c r="D227" t="s">
        <v>81</v>
      </c>
      <c r="E227" t="s">
        <v>163</v>
      </c>
      <c r="F227" t="s">
        <v>6680</v>
      </c>
      <c r="G227" t="s">
        <v>6294</v>
      </c>
      <c r="H227" t="s">
        <v>1011</v>
      </c>
      <c r="L227" t="s">
        <v>6680</v>
      </c>
      <c r="N227" t="s">
        <v>6680</v>
      </c>
      <c r="O227" t="s">
        <v>7</v>
      </c>
      <c r="P227" t="s">
        <v>1013</v>
      </c>
      <c r="Q227" t="s">
        <v>1014</v>
      </c>
      <c r="R227" s="27" t="s">
        <v>6637</v>
      </c>
      <c r="T227" t="s">
        <v>119</v>
      </c>
    </row>
    <row r="228" spans="1:20" ht="15" customHeight="1" x14ac:dyDescent="0.4">
      <c r="A228" t="s">
        <v>1016</v>
      </c>
      <c r="B228" t="s">
        <v>1016</v>
      </c>
      <c r="C228" t="s">
        <v>151</v>
      </c>
      <c r="D228" t="s">
        <v>81</v>
      </c>
      <c r="E228" t="s">
        <v>163</v>
      </c>
      <c r="F228" t="s">
        <v>6681</v>
      </c>
      <c r="G228" t="s">
        <v>6294</v>
      </c>
      <c r="H228" t="s">
        <v>1015</v>
      </c>
      <c r="L228" t="s">
        <v>6681</v>
      </c>
      <c r="N228" t="s">
        <v>6681</v>
      </c>
      <c r="O228" t="s">
        <v>7</v>
      </c>
      <c r="P228" t="s">
        <v>1017</v>
      </c>
      <c r="Q228" t="s">
        <v>1018</v>
      </c>
      <c r="R228" s="27" t="s">
        <v>6635</v>
      </c>
      <c r="T228" t="s">
        <v>119</v>
      </c>
    </row>
    <row r="229" spans="1:20" ht="15" customHeight="1" x14ac:dyDescent="0.4">
      <c r="A229" t="s">
        <v>1020</v>
      </c>
      <c r="B229" t="s">
        <v>1020</v>
      </c>
      <c r="C229" t="s">
        <v>151</v>
      </c>
      <c r="D229" t="s">
        <v>81</v>
      </c>
      <c r="E229" t="s">
        <v>163</v>
      </c>
      <c r="F229" t="s">
        <v>6682</v>
      </c>
      <c r="G229" t="s">
        <v>6294</v>
      </c>
      <c r="H229" t="s">
        <v>1019</v>
      </c>
      <c r="L229" t="s">
        <v>6682</v>
      </c>
      <c r="N229" t="s">
        <v>6682</v>
      </c>
      <c r="O229" t="s">
        <v>7</v>
      </c>
      <c r="P229" t="s">
        <v>1021</v>
      </c>
      <c r="Q229" t="s">
        <v>1022</v>
      </c>
      <c r="R229" s="27" t="s">
        <v>6637</v>
      </c>
      <c r="T229" t="s">
        <v>119</v>
      </c>
    </row>
    <row r="230" spans="1:20" ht="15" customHeight="1" x14ac:dyDescent="0.4">
      <c r="A230" t="s">
        <v>1024</v>
      </c>
      <c r="B230" t="s">
        <v>1024</v>
      </c>
      <c r="C230" t="s">
        <v>151</v>
      </c>
      <c r="D230" t="s">
        <v>81</v>
      </c>
      <c r="E230" t="s">
        <v>163</v>
      </c>
      <c r="F230" t="s">
        <v>6683</v>
      </c>
      <c r="G230" t="s">
        <v>6294</v>
      </c>
      <c r="H230" t="s">
        <v>1023</v>
      </c>
      <c r="L230" t="s">
        <v>6683</v>
      </c>
      <c r="N230" t="s">
        <v>6683</v>
      </c>
      <c r="O230" t="s">
        <v>7</v>
      </c>
      <c r="P230" t="s">
        <v>1025</v>
      </c>
      <c r="Q230" t="s">
        <v>1026</v>
      </c>
      <c r="R230" s="27" t="s">
        <v>6635</v>
      </c>
      <c r="T230" t="s">
        <v>119</v>
      </c>
    </row>
    <row r="231" spans="1:20" ht="15" customHeight="1" x14ac:dyDescent="0.4">
      <c r="A231" t="s">
        <v>1028</v>
      </c>
      <c r="B231" t="s">
        <v>1028</v>
      </c>
      <c r="C231" t="s">
        <v>151</v>
      </c>
      <c r="D231" t="s">
        <v>81</v>
      </c>
      <c r="E231" t="s">
        <v>163</v>
      </c>
      <c r="F231" t="s">
        <v>6684</v>
      </c>
      <c r="G231" t="s">
        <v>6294</v>
      </c>
      <c r="H231" t="s">
        <v>1027</v>
      </c>
      <c r="L231" t="s">
        <v>6684</v>
      </c>
      <c r="N231" t="s">
        <v>6684</v>
      </c>
      <c r="O231" t="s">
        <v>7</v>
      </c>
      <c r="P231" t="s">
        <v>1029</v>
      </c>
      <c r="Q231" t="s">
        <v>1030</v>
      </c>
      <c r="R231" s="27" t="s">
        <v>6637</v>
      </c>
      <c r="T231" t="s">
        <v>119</v>
      </c>
    </row>
    <row r="232" spans="1:20" ht="15" customHeight="1" x14ac:dyDescent="0.4">
      <c r="A232" t="s">
        <v>1032</v>
      </c>
      <c r="B232" t="s">
        <v>1032</v>
      </c>
      <c r="C232" t="s">
        <v>151</v>
      </c>
      <c r="D232" t="s">
        <v>81</v>
      </c>
      <c r="E232" t="s">
        <v>163</v>
      </c>
      <c r="F232" t="s">
        <v>6685</v>
      </c>
      <c r="G232" t="s">
        <v>6294</v>
      </c>
      <c r="H232" t="s">
        <v>1031</v>
      </c>
      <c r="L232" t="s">
        <v>6685</v>
      </c>
      <c r="N232" t="s">
        <v>6685</v>
      </c>
      <c r="O232" t="s">
        <v>7</v>
      </c>
      <c r="P232" t="s">
        <v>1033</v>
      </c>
      <c r="Q232" t="s">
        <v>1034</v>
      </c>
      <c r="R232" s="27" t="s">
        <v>6637</v>
      </c>
      <c r="T232" t="s">
        <v>119</v>
      </c>
    </row>
    <row r="233" spans="1:20" ht="15" customHeight="1" x14ac:dyDescent="0.4">
      <c r="A233" t="s">
        <v>1036</v>
      </c>
      <c r="B233" t="s">
        <v>1036</v>
      </c>
      <c r="C233" t="s">
        <v>151</v>
      </c>
      <c r="D233" t="s">
        <v>81</v>
      </c>
      <c r="E233" t="s">
        <v>163</v>
      </c>
      <c r="F233" t="s">
        <v>6686</v>
      </c>
      <c r="G233" t="s">
        <v>6294</v>
      </c>
      <c r="H233" t="s">
        <v>1035</v>
      </c>
      <c r="L233" t="s">
        <v>6686</v>
      </c>
      <c r="N233" t="s">
        <v>6686</v>
      </c>
      <c r="O233" t="s">
        <v>7</v>
      </c>
      <c r="P233" t="s">
        <v>1037</v>
      </c>
      <c r="Q233" t="s">
        <v>1038</v>
      </c>
      <c r="R233" s="27" t="s">
        <v>6635</v>
      </c>
      <c r="T233" t="s">
        <v>119</v>
      </c>
    </row>
    <row r="234" spans="1:20" ht="15" customHeight="1" x14ac:dyDescent="0.4">
      <c r="A234" t="s">
        <v>1040</v>
      </c>
      <c r="B234" t="s">
        <v>1040</v>
      </c>
      <c r="C234" t="s">
        <v>151</v>
      </c>
      <c r="D234" t="s">
        <v>81</v>
      </c>
      <c r="E234" t="s">
        <v>163</v>
      </c>
      <c r="F234" t="s">
        <v>6687</v>
      </c>
      <c r="G234" t="s">
        <v>6294</v>
      </c>
      <c r="H234" t="s">
        <v>1039</v>
      </c>
      <c r="L234" t="s">
        <v>6687</v>
      </c>
      <c r="N234" t="s">
        <v>6687</v>
      </c>
      <c r="O234" t="s">
        <v>7</v>
      </c>
      <c r="P234" t="s">
        <v>1041</v>
      </c>
      <c r="Q234" t="s">
        <v>1042</v>
      </c>
      <c r="R234" s="27" t="s">
        <v>6635</v>
      </c>
      <c r="T234" t="s">
        <v>119</v>
      </c>
    </row>
    <row r="235" spans="1:20" ht="15" customHeight="1" x14ac:dyDescent="0.4">
      <c r="A235" t="s">
        <v>1044</v>
      </c>
      <c r="B235" t="s">
        <v>1044</v>
      </c>
      <c r="C235" t="s">
        <v>151</v>
      </c>
      <c r="D235" t="s">
        <v>81</v>
      </c>
      <c r="E235" t="s">
        <v>163</v>
      </c>
      <c r="F235" t="s">
        <v>6688</v>
      </c>
      <c r="G235" t="s">
        <v>6294</v>
      </c>
      <c r="H235" t="s">
        <v>1043</v>
      </c>
      <c r="L235" t="s">
        <v>6688</v>
      </c>
      <c r="N235" t="s">
        <v>6688</v>
      </c>
      <c r="O235" t="s">
        <v>7</v>
      </c>
      <c r="P235" t="s">
        <v>1045</v>
      </c>
      <c r="Q235" t="s">
        <v>1046</v>
      </c>
      <c r="R235" s="27" t="s">
        <v>6653</v>
      </c>
      <c r="T235" t="s">
        <v>119</v>
      </c>
    </row>
    <row r="236" spans="1:20" ht="15" customHeight="1" x14ac:dyDescent="0.4">
      <c r="A236" t="s">
        <v>1048</v>
      </c>
      <c r="B236" t="s">
        <v>1048</v>
      </c>
      <c r="C236" t="s">
        <v>151</v>
      </c>
      <c r="D236" t="s">
        <v>81</v>
      </c>
      <c r="E236" t="s">
        <v>163</v>
      </c>
      <c r="F236" t="s">
        <v>6689</v>
      </c>
      <c r="G236" t="s">
        <v>6294</v>
      </c>
      <c r="H236" t="s">
        <v>1047</v>
      </c>
      <c r="L236" t="s">
        <v>6689</v>
      </c>
      <c r="N236" t="s">
        <v>6689</v>
      </c>
      <c r="O236" t="s">
        <v>7</v>
      </c>
      <c r="P236" t="s">
        <v>1049</v>
      </c>
      <c r="Q236" t="s">
        <v>1050</v>
      </c>
      <c r="R236" s="27" t="s">
        <v>6635</v>
      </c>
      <c r="T236" t="s">
        <v>119</v>
      </c>
    </row>
    <row r="237" spans="1:20" ht="15" customHeight="1" x14ac:dyDescent="0.4">
      <c r="A237" t="s">
        <v>1052</v>
      </c>
      <c r="B237" t="s">
        <v>1052</v>
      </c>
      <c r="C237" t="s">
        <v>151</v>
      </c>
      <c r="D237" t="s">
        <v>81</v>
      </c>
      <c r="E237" t="s">
        <v>163</v>
      </c>
      <c r="F237" t="s">
        <v>6690</v>
      </c>
      <c r="G237" t="s">
        <v>6294</v>
      </c>
      <c r="H237" t="s">
        <v>1051</v>
      </c>
      <c r="L237" t="s">
        <v>6690</v>
      </c>
      <c r="N237" t="s">
        <v>6690</v>
      </c>
      <c r="O237" t="s">
        <v>7</v>
      </c>
      <c r="P237" t="s">
        <v>1053</v>
      </c>
      <c r="Q237" t="s">
        <v>1054</v>
      </c>
      <c r="R237" s="27" t="s">
        <v>6637</v>
      </c>
      <c r="T237" t="s">
        <v>119</v>
      </c>
    </row>
    <row r="238" spans="1:20" ht="15" customHeight="1" x14ac:dyDescent="0.4">
      <c r="A238" t="s">
        <v>1056</v>
      </c>
      <c r="B238" t="s">
        <v>1056</v>
      </c>
      <c r="C238" t="s">
        <v>151</v>
      </c>
      <c r="D238" t="s">
        <v>81</v>
      </c>
      <c r="E238" t="s">
        <v>163</v>
      </c>
      <c r="F238" t="s">
        <v>6691</v>
      </c>
      <c r="G238" t="s">
        <v>6294</v>
      </c>
      <c r="H238" t="s">
        <v>1055</v>
      </c>
      <c r="L238" t="s">
        <v>6691</v>
      </c>
      <c r="N238" t="s">
        <v>6691</v>
      </c>
      <c r="O238" t="s">
        <v>7</v>
      </c>
      <c r="P238" t="s">
        <v>1057</v>
      </c>
      <c r="Q238" t="s">
        <v>1058</v>
      </c>
      <c r="R238" s="27" t="s">
        <v>6637</v>
      </c>
      <c r="T238" t="s">
        <v>119</v>
      </c>
    </row>
    <row r="239" spans="1:20" ht="15" customHeight="1" x14ac:dyDescent="0.4">
      <c r="A239" t="s">
        <v>1060</v>
      </c>
      <c r="B239" t="s">
        <v>1060</v>
      </c>
      <c r="C239" t="s">
        <v>151</v>
      </c>
      <c r="D239" t="s">
        <v>81</v>
      </c>
      <c r="E239" t="s">
        <v>163</v>
      </c>
      <c r="F239" t="s">
        <v>6692</v>
      </c>
      <c r="G239" t="s">
        <v>6294</v>
      </c>
      <c r="H239" t="s">
        <v>1059</v>
      </c>
      <c r="L239" t="s">
        <v>6692</v>
      </c>
      <c r="N239" t="s">
        <v>6692</v>
      </c>
      <c r="O239" t="s">
        <v>7</v>
      </c>
      <c r="P239" t="s">
        <v>1061</v>
      </c>
      <c r="Q239" t="s">
        <v>1062</v>
      </c>
      <c r="R239" s="27" t="s">
        <v>6637</v>
      </c>
      <c r="T239" t="s">
        <v>119</v>
      </c>
    </row>
    <row r="240" spans="1:20" ht="15" customHeight="1" x14ac:dyDescent="0.4">
      <c r="A240" t="s">
        <v>1064</v>
      </c>
      <c r="B240" t="s">
        <v>1064</v>
      </c>
      <c r="C240" t="s">
        <v>151</v>
      </c>
      <c r="D240" t="s">
        <v>81</v>
      </c>
      <c r="E240" t="s">
        <v>163</v>
      </c>
      <c r="F240" t="s">
        <v>6693</v>
      </c>
      <c r="G240" t="s">
        <v>6294</v>
      </c>
      <c r="H240" t="s">
        <v>1063</v>
      </c>
      <c r="L240" t="s">
        <v>6693</v>
      </c>
      <c r="N240" t="s">
        <v>6693</v>
      </c>
      <c r="O240" t="s">
        <v>7</v>
      </c>
      <c r="P240" t="s">
        <v>1065</v>
      </c>
      <c r="Q240" t="s">
        <v>1066</v>
      </c>
      <c r="R240" s="27" t="s">
        <v>6673</v>
      </c>
      <c r="T240" t="s">
        <v>119</v>
      </c>
    </row>
    <row r="241" spans="1:20" ht="15" customHeight="1" x14ac:dyDescent="0.4">
      <c r="A241" t="s">
        <v>1068</v>
      </c>
      <c r="B241" t="s">
        <v>1068</v>
      </c>
      <c r="C241" t="s">
        <v>151</v>
      </c>
      <c r="D241" t="s">
        <v>81</v>
      </c>
      <c r="E241" t="s">
        <v>163</v>
      </c>
      <c r="F241" t="s">
        <v>6694</v>
      </c>
      <c r="G241" t="s">
        <v>6294</v>
      </c>
      <c r="H241" t="s">
        <v>1067</v>
      </c>
      <c r="L241" t="s">
        <v>6694</v>
      </c>
      <c r="N241" t="s">
        <v>6694</v>
      </c>
      <c r="O241" t="s">
        <v>7</v>
      </c>
      <c r="P241" t="s">
        <v>1069</v>
      </c>
      <c r="Q241" t="s">
        <v>1070</v>
      </c>
      <c r="R241" s="27" t="s">
        <v>6637</v>
      </c>
      <c r="T241" t="s">
        <v>119</v>
      </c>
    </row>
    <row r="242" spans="1:20" ht="15" customHeight="1" x14ac:dyDescent="0.4">
      <c r="A242" t="s">
        <v>1072</v>
      </c>
      <c r="B242" t="s">
        <v>1072</v>
      </c>
      <c r="C242" t="s">
        <v>151</v>
      </c>
      <c r="D242" t="s">
        <v>81</v>
      </c>
      <c r="E242" t="s">
        <v>163</v>
      </c>
      <c r="F242" t="s">
        <v>6695</v>
      </c>
      <c r="G242" t="s">
        <v>6294</v>
      </c>
      <c r="H242" t="s">
        <v>1071</v>
      </c>
      <c r="L242" t="s">
        <v>6695</v>
      </c>
      <c r="N242" t="s">
        <v>6695</v>
      </c>
      <c r="O242" t="s">
        <v>7</v>
      </c>
      <c r="P242" t="s">
        <v>1073</v>
      </c>
      <c r="Q242" t="s">
        <v>1074</v>
      </c>
      <c r="R242" s="27" t="s">
        <v>6637</v>
      </c>
      <c r="T242" t="s">
        <v>119</v>
      </c>
    </row>
    <row r="243" spans="1:20" ht="15" customHeight="1" x14ac:dyDescent="0.4">
      <c r="A243" t="s">
        <v>1076</v>
      </c>
      <c r="B243" t="s">
        <v>1076</v>
      </c>
      <c r="C243" t="s">
        <v>151</v>
      </c>
      <c r="D243" t="s">
        <v>81</v>
      </c>
      <c r="E243" t="s">
        <v>163</v>
      </c>
      <c r="F243" t="s">
        <v>6696</v>
      </c>
      <c r="G243" t="s">
        <v>6294</v>
      </c>
      <c r="H243" t="s">
        <v>1075</v>
      </c>
      <c r="L243" t="s">
        <v>6696</v>
      </c>
      <c r="N243" t="s">
        <v>6696</v>
      </c>
      <c r="O243" t="s">
        <v>7</v>
      </c>
      <c r="P243" t="s">
        <v>1077</v>
      </c>
      <c r="Q243" t="s">
        <v>1078</v>
      </c>
      <c r="R243" s="27" t="s">
        <v>6637</v>
      </c>
      <c r="T243" t="s">
        <v>119</v>
      </c>
    </row>
    <row r="244" spans="1:20" ht="15" customHeight="1" x14ac:dyDescent="0.4">
      <c r="A244" t="s">
        <v>1080</v>
      </c>
      <c r="B244" t="s">
        <v>1080</v>
      </c>
      <c r="C244" t="s">
        <v>151</v>
      </c>
      <c r="D244" t="s">
        <v>81</v>
      </c>
      <c r="E244" t="s">
        <v>163</v>
      </c>
      <c r="F244" t="s">
        <v>6697</v>
      </c>
      <c r="G244" t="s">
        <v>6294</v>
      </c>
      <c r="H244" t="s">
        <v>1079</v>
      </c>
      <c r="L244" t="s">
        <v>6697</v>
      </c>
      <c r="N244" t="s">
        <v>6697</v>
      </c>
      <c r="O244" t="s">
        <v>7</v>
      </c>
      <c r="P244" t="s">
        <v>1081</v>
      </c>
      <c r="Q244" t="s">
        <v>1082</v>
      </c>
      <c r="R244" s="27" t="s">
        <v>6637</v>
      </c>
      <c r="T244" t="s">
        <v>119</v>
      </c>
    </row>
    <row r="245" spans="1:20" ht="15" customHeight="1" x14ac:dyDescent="0.4">
      <c r="A245" t="s">
        <v>1084</v>
      </c>
      <c r="B245" t="s">
        <v>1084</v>
      </c>
      <c r="C245" t="s">
        <v>151</v>
      </c>
      <c r="D245" t="s">
        <v>81</v>
      </c>
      <c r="E245" t="s">
        <v>163</v>
      </c>
      <c r="F245" t="s">
        <v>6698</v>
      </c>
      <c r="G245" t="s">
        <v>6294</v>
      </c>
      <c r="H245" t="s">
        <v>1083</v>
      </c>
      <c r="L245" t="s">
        <v>6698</v>
      </c>
      <c r="N245" t="s">
        <v>6698</v>
      </c>
      <c r="O245" t="s">
        <v>7</v>
      </c>
      <c r="P245" t="s">
        <v>1085</v>
      </c>
      <c r="Q245" t="s">
        <v>1086</v>
      </c>
      <c r="R245" s="27" t="s">
        <v>6637</v>
      </c>
      <c r="T245" t="s">
        <v>119</v>
      </c>
    </row>
    <row r="246" spans="1:20" ht="15" customHeight="1" x14ac:dyDescent="0.4">
      <c r="A246" t="s">
        <v>1088</v>
      </c>
      <c r="B246" t="s">
        <v>1088</v>
      </c>
      <c r="C246" t="s">
        <v>151</v>
      </c>
      <c r="D246" t="s">
        <v>81</v>
      </c>
      <c r="E246" t="s">
        <v>163</v>
      </c>
      <c r="F246" t="s">
        <v>6699</v>
      </c>
      <c r="G246" t="s">
        <v>6294</v>
      </c>
      <c r="H246" t="s">
        <v>1087</v>
      </c>
      <c r="L246" t="s">
        <v>6699</v>
      </c>
      <c r="N246" t="s">
        <v>6699</v>
      </c>
      <c r="O246" t="s">
        <v>7</v>
      </c>
      <c r="P246" t="s">
        <v>1089</v>
      </c>
      <c r="Q246" t="s">
        <v>1090</v>
      </c>
      <c r="R246" s="27" t="s">
        <v>6637</v>
      </c>
      <c r="T246" t="s">
        <v>119</v>
      </c>
    </row>
    <row r="247" spans="1:20" ht="15" customHeight="1" x14ac:dyDescent="0.4">
      <c r="A247" t="s">
        <v>1092</v>
      </c>
      <c r="B247" t="s">
        <v>1092</v>
      </c>
      <c r="C247" t="s">
        <v>151</v>
      </c>
      <c r="D247" t="s">
        <v>81</v>
      </c>
      <c r="E247" t="s">
        <v>163</v>
      </c>
      <c r="F247" t="s">
        <v>6700</v>
      </c>
      <c r="G247" t="s">
        <v>6294</v>
      </c>
      <c r="H247" t="s">
        <v>1091</v>
      </c>
      <c r="L247" t="s">
        <v>6700</v>
      </c>
      <c r="N247" t="s">
        <v>6700</v>
      </c>
      <c r="O247" t="s">
        <v>7</v>
      </c>
      <c r="P247" t="s">
        <v>1093</v>
      </c>
      <c r="Q247" t="s">
        <v>1094</v>
      </c>
      <c r="R247" t="s">
        <v>6279</v>
      </c>
      <c r="T247" t="s">
        <v>119</v>
      </c>
    </row>
    <row r="248" spans="1:20" ht="15" customHeight="1" x14ac:dyDescent="0.4">
      <c r="A248" t="s">
        <v>1096</v>
      </c>
      <c r="B248" t="s">
        <v>1096</v>
      </c>
      <c r="C248" t="s">
        <v>151</v>
      </c>
      <c r="D248" t="s">
        <v>81</v>
      </c>
      <c r="E248" t="s">
        <v>163</v>
      </c>
      <c r="F248" t="s">
        <v>6701</v>
      </c>
      <c r="G248" t="s">
        <v>6294</v>
      </c>
      <c r="H248" t="s">
        <v>1095</v>
      </c>
      <c r="L248" t="s">
        <v>6701</v>
      </c>
      <c r="N248" t="s">
        <v>6701</v>
      </c>
      <c r="O248" t="s">
        <v>7</v>
      </c>
      <c r="P248" t="s">
        <v>1097</v>
      </c>
      <c r="Q248" t="s">
        <v>1098</v>
      </c>
      <c r="R248" s="27" t="s">
        <v>6635</v>
      </c>
      <c r="T248" t="s">
        <v>119</v>
      </c>
    </row>
    <row r="249" spans="1:20" ht="15" customHeight="1" x14ac:dyDescent="0.4">
      <c r="A249" t="s">
        <v>1100</v>
      </c>
      <c r="B249" t="s">
        <v>1100</v>
      </c>
      <c r="C249" t="s">
        <v>151</v>
      </c>
      <c r="D249" t="s">
        <v>81</v>
      </c>
      <c r="E249" t="s">
        <v>163</v>
      </c>
      <c r="F249" t="s">
        <v>6702</v>
      </c>
      <c r="G249" t="s">
        <v>6294</v>
      </c>
      <c r="H249" t="s">
        <v>1099</v>
      </c>
      <c r="L249" t="s">
        <v>6702</v>
      </c>
      <c r="N249" t="s">
        <v>6702</v>
      </c>
      <c r="O249" t="s">
        <v>7</v>
      </c>
      <c r="P249" t="s">
        <v>1101</v>
      </c>
      <c r="Q249" t="s">
        <v>1102</v>
      </c>
      <c r="R249" s="27" t="s">
        <v>6637</v>
      </c>
      <c r="T249" t="s">
        <v>119</v>
      </c>
    </row>
    <row r="250" spans="1:20" ht="15" customHeight="1" x14ac:dyDescent="0.4">
      <c r="A250" t="s">
        <v>1104</v>
      </c>
      <c r="B250" t="s">
        <v>1104</v>
      </c>
      <c r="C250" t="s">
        <v>151</v>
      </c>
      <c r="D250" t="s">
        <v>81</v>
      </c>
      <c r="E250" t="s">
        <v>163</v>
      </c>
      <c r="F250" t="s">
        <v>6703</v>
      </c>
      <c r="G250" t="s">
        <v>6294</v>
      </c>
      <c r="H250" t="s">
        <v>1103</v>
      </c>
      <c r="L250" t="s">
        <v>6703</v>
      </c>
      <c r="N250" t="s">
        <v>6703</v>
      </c>
      <c r="O250" t="s">
        <v>7</v>
      </c>
      <c r="P250" t="s">
        <v>1105</v>
      </c>
      <c r="Q250" t="s">
        <v>1106</v>
      </c>
      <c r="R250" s="27" t="s">
        <v>6635</v>
      </c>
      <c r="T250" t="s">
        <v>119</v>
      </c>
    </row>
    <row r="251" spans="1:20" ht="15" customHeight="1" x14ac:dyDescent="0.4">
      <c r="A251" t="s">
        <v>1108</v>
      </c>
      <c r="B251" t="s">
        <v>1108</v>
      </c>
      <c r="C251" t="s">
        <v>151</v>
      </c>
      <c r="D251" t="s">
        <v>81</v>
      </c>
      <c r="E251" t="s">
        <v>163</v>
      </c>
      <c r="F251" t="s">
        <v>6704</v>
      </c>
      <c r="G251" t="s">
        <v>6294</v>
      </c>
      <c r="H251" t="s">
        <v>1107</v>
      </c>
      <c r="L251" t="s">
        <v>6704</v>
      </c>
      <c r="N251" t="s">
        <v>6704</v>
      </c>
      <c r="O251" t="s">
        <v>7</v>
      </c>
      <c r="P251" t="s">
        <v>1109</v>
      </c>
      <c r="Q251" t="s">
        <v>1110</v>
      </c>
      <c r="R251" s="27" t="s">
        <v>6637</v>
      </c>
      <c r="T251" t="s">
        <v>119</v>
      </c>
    </row>
    <row r="252" spans="1:20" ht="15" customHeight="1" x14ac:dyDescent="0.4">
      <c r="A252" t="s">
        <v>1112</v>
      </c>
      <c r="B252" t="s">
        <v>1112</v>
      </c>
      <c r="C252" t="s">
        <v>151</v>
      </c>
      <c r="D252" t="s">
        <v>81</v>
      </c>
      <c r="E252" t="s">
        <v>163</v>
      </c>
      <c r="F252" t="s">
        <v>6705</v>
      </c>
      <c r="G252" t="s">
        <v>6294</v>
      </c>
      <c r="H252" t="s">
        <v>1111</v>
      </c>
      <c r="L252" t="s">
        <v>6705</v>
      </c>
      <c r="N252" t="s">
        <v>6705</v>
      </c>
      <c r="O252" t="s">
        <v>7</v>
      </c>
      <c r="P252" t="s">
        <v>1113</v>
      </c>
      <c r="Q252" t="s">
        <v>1114</v>
      </c>
      <c r="R252" s="27" t="s">
        <v>6635</v>
      </c>
      <c r="T252" t="s">
        <v>119</v>
      </c>
    </row>
    <row r="253" spans="1:20" ht="15" customHeight="1" x14ac:dyDescent="0.4">
      <c r="A253" t="s">
        <v>1116</v>
      </c>
      <c r="B253" t="s">
        <v>1116</v>
      </c>
      <c r="C253" t="s">
        <v>151</v>
      </c>
      <c r="D253" t="s">
        <v>81</v>
      </c>
      <c r="E253" t="s">
        <v>163</v>
      </c>
      <c r="F253" t="s">
        <v>6706</v>
      </c>
      <c r="G253" t="s">
        <v>6294</v>
      </c>
      <c r="H253" t="s">
        <v>1115</v>
      </c>
      <c r="L253" t="s">
        <v>6706</v>
      </c>
      <c r="N253" t="s">
        <v>6706</v>
      </c>
      <c r="O253" t="s">
        <v>7</v>
      </c>
      <c r="P253" t="s">
        <v>1117</v>
      </c>
      <c r="Q253" t="s">
        <v>1118</v>
      </c>
      <c r="R253" s="27" t="s">
        <v>6673</v>
      </c>
      <c r="T253" t="s">
        <v>119</v>
      </c>
    </row>
    <row r="254" spans="1:20" ht="15" customHeight="1" x14ac:dyDescent="0.4">
      <c r="A254" t="s">
        <v>1120</v>
      </c>
      <c r="B254" t="s">
        <v>1120</v>
      </c>
      <c r="C254" t="s">
        <v>151</v>
      </c>
      <c r="D254" t="s">
        <v>81</v>
      </c>
      <c r="E254" t="s">
        <v>163</v>
      </c>
      <c r="F254" t="s">
        <v>6707</v>
      </c>
      <c r="G254" t="s">
        <v>6294</v>
      </c>
      <c r="H254" t="s">
        <v>1119</v>
      </c>
      <c r="L254" t="s">
        <v>6707</v>
      </c>
      <c r="N254" t="s">
        <v>6707</v>
      </c>
      <c r="O254" t="s">
        <v>7</v>
      </c>
      <c r="P254" t="s">
        <v>1121</v>
      </c>
      <c r="Q254" t="s">
        <v>1122</v>
      </c>
      <c r="R254" s="27" t="s">
        <v>6637</v>
      </c>
      <c r="T254" t="s">
        <v>119</v>
      </c>
    </row>
    <row r="255" spans="1:20" ht="15" customHeight="1" x14ac:dyDescent="0.4">
      <c r="A255" t="s">
        <v>1124</v>
      </c>
      <c r="B255" t="s">
        <v>1124</v>
      </c>
      <c r="C255" t="s">
        <v>151</v>
      </c>
      <c r="D255" t="s">
        <v>81</v>
      </c>
      <c r="E255" t="s">
        <v>163</v>
      </c>
      <c r="F255" t="s">
        <v>6708</v>
      </c>
      <c r="G255" t="s">
        <v>6294</v>
      </c>
      <c r="H255" t="s">
        <v>1123</v>
      </c>
      <c r="L255" t="s">
        <v>6708</v>
      </c>
      <c r="N255" t="s">
        <v>6708</v>
      </c>
      <c r="O255" t="s">
        <v>7</v>
      </c>
      <c r="P255" t="s">
        <v>1125</v>
      </c>
      <c r="Q255" t="s">
        <v>1126</v>
      </c>
      <c r="R255" s="27" t="s">
        <v>6673</v>
      </c>
      <c r="T255" t="s">
        <v>119</v>
      </c>
    </row>
    <row r="256" spans="1:20" ht="15" customHeight="1" x14ac:dyDescent="0.4">
      <c r="A256" t="s">
        <v>1128</v>
      </c>
      <c r="B256" t="s">
        <v>1128</v>
      </c>
      <c r="C256" t="s">
        <v>151</v>
      </c>
      <c r="D256" t="s">
        <v>81</v>
      </c>
      <c r="E256" t="s">
        <v>163</v>
      </c>
      <c r="F256" t="s">
        <v>6709</v>
      </c>
      <c r="G256" t="s">
        <v>6294</v>
      </c>
      <c r="H256" t="s">
        <v>1127</v>
      </c>
      <c r="L256" t="s">
        <v>6709</v>
      </c>
      <c r="N256" t="s">
        <v>6709</v>
      </c>
      <c r="O256" t="s">
        <v>7</v>
      </c>
      <c r="P256" t="s">
        <v>1129</v>
      </c>
      <c r="Q256" t="s">
        <v>1130</v>
      </c>
      <c r="R256" s="27" t="s">
        <v>6635</v>
      </c>
      <c r="T256" t="s">
        <v>119</v>
      </c>
    </row>
    <row r="257" spans="1:20" ht="15" customHeight="1" x14ac:dyDescent="0.4">
      <c r="A257" t="s">
        <v>1132</v>
      </c>
      <c r="B257" t="s">
        <v>1132</v>
      </c>
      <c r="C257" t="s">
        <v>151</v>
      </c>
      <c r="D257" t="s">
        <v>81</v>
      </c>
      <c r="E257" t="s">
        <v>163</v>
      </c>
      <c r="F257" t="s">
        <v>6710</v>
      </c>
      <c r="G257" t="s">
        <v>6294</v>
      </c>
      <c r="H257" t="s">
        <v>1131</v>
      </c>
      <c r="L257" t="s">
        <v>6710</v>
      </c>
      <c r="N257" t="s">
        <v>6710</v>
      </c>
      <c r="O257" t="s">
        <v>7</v>
      </c>
      <c r="P257" t="s">
        <v>1133</v>
      </c>
      <c r="Q257" t="s">
        <v>1134</v>
      </c>
      <c r="R257" s="27" t="s">
        <v>6637</v>
      </c>
      <c r="T257" t="s">
        <v>119</v>
      </c>
    </row>
    <row r="258" spans="1:20" ht="15" customHeight="1" x14ac:dyDescent="0.4">
      <c r="A258" t="s">
        <v>1136</v>
      </c>
      <c r="B258" t="s">
        <v>1136</v>
      </c>
      <c r="C258" t="s">
        <v>151</v>
      </c>
      <c r="D258" t="s">
        <v>81</v>
      </c>
      <c r="E258" t="s">
        <v>163</v>
      </c>
      <c r="F258" t="s">
        <v>6711</v>
      </c>
      <c r="G258" t="s">
        <v>6294</v>
      </c>
      <c r="H258" t="s">
        <v>1135</v>
      </c>
      <c r="L258" t="s">
        <v>6711</v>
      </c>
      <c r="N258" t="s">
        <v>6711</v>
      </c>
      <c r="O258" t="s">
        <v>7</v>
      </c>
      <c r="P258" t="s">
        <v>1137</v>
      </c>
      <c r="Q258" t="s">
        <v>1138</v>
      </c>
      <c r="R258" s="27" t="s">
        <v>6635</v>
      </c>
      <c r="T258" t="s">
        <v>119</v>
      </c>
    </row>
    <row r="259" spans="1:20" ht="15" customHeight="1" x14ac:dyDescent="0.4">
      <c r="A259" t="s">
        <v>1140</v>
      </c>
      <c r="B259" t="s">
        <v>1140</v>
      </c>
      <c r="C259" t="s">
        <v>151</v>
      </c>
      <c r="D259" t="s">
        <v>81</v>
      </c>
      <c r="E259" t="s">
        <v>163</v>
      </c>
      <c r="F259" t="s">
        <v>6712</v>
      </c>
      <c r="G259" t="s">
        <v>6294</v>
      </c>
      <c r="H259" t="s">
        <v>1139</v>
      </c>
      <c r="L259" t="s">
        <v>6712</v>
      </c>
      <c r="N259" t="s">
        <v>6712</v>
      </c>
      <c r="O259" t="s">
        <v>7</v>
      </c>
      <c r="P259" t="s">
        <v>1141</v>
      </c>
      <c r="Q259" t="s">
        <v>1142</v>
      </c>
      <c r="R259" s="27" t="s">
        <v>6637</v>
      </c>
      <c r="T259" t="s">
        <v>119</v>
      </c>
    </row>
    <row r="260" spans="1:20" ht="15" customHeight="1" x14ac:dyDescent="0.4">
      <c r="A260" t="s">
        <v>1144</v>
      </c>
      <c r="B260" t="s">
        <v>1144</v>
      </c>
      <c r="C260" t="s">
        <v>151</v>
      </c>
      <c r="D260" t="s">
        <v>81</v>
      </c>
      <c r="E260" t="s">
        <v>163</v>
      </c>
      <c r="F260" t="s">
        <v>6713</v>
      </c>
      <c r="G260" t="s">
        <v>6294</v>
      </c>
      <c r="H260" t="s">
        <v>1143</v>
      </c>
      <c r="L260" t="s">
        <v>6713</v>
      </c>
      <c r="N260" t="s">
        <v>6713</v>
      </c>
      <c r="O260" t="s">
        <v>7</v>
      </c>
      <c r="P260" t="s">
        <v>1145</v>
      </c>
      <c r="Q260" t="s">
        <v>1146</v>
      </c>
      <c r="R260" s="27" t="s">
        <v>6637</v>
      </c>
      <c r="T260" t="s">
        <v>119</v>
      </c>
    </row>
    <row r="261" spans="1:20" ht="15" customHeight="1" x14ac:dyDescent="0.4">
      <c r="A261" t="s">
        <v>1148</v>
      </c>
      <c r="B261" t="s">
        <v>1148</v>
      </c>
      <c r="C261" t="s">
        <v>151</v>
      </c>
      <c r="D261" t="s">
        <v>81</v>
      </c>
      <c r="E261" t="s">
        <v>163</v>
      </c>
      <c r="F261" t="s">
        <v>6714</v>
      </c>
      <c r="G261" t="s">
        <v>6294</v>
      </c>
      <c r="H261" t="s">
        <v>1147</v>
      </c>
      <c r="L261" t="s">
        <v>6714</v>
      </c>
      <c r="N261" t="s">
        <v>6714</v>
      </c>
      <c r="O261" t="s">
        <v>7</v>
      </c>
      <c r="P261" t="s">
        <v>1149</v>
      </c>
      <c r="Q261" t="s">
        <v>1150</v>
      </c>
      <c r="R261" s="27" t="s">
        <v>6637</v>
      </c>
      <c r="T261" t="s">
        <v>119</v>
      </c>
    </row>
    <row r="262" spans="1:20" ht="15" customHeight="1" x14ac:dyDescent="0.4">
      <c r="A262" t="s">
        <v>1152</v>
      </c>
      <c r="B262" t="s">
        <v>1152</v>
      </c>
      <c r="C262" t="s">
        <v>151</v>
      </c>
      <c r="D262" t="s">
        <v>81</v>
      </c>
      <c r="E262" t="s">
        <v>163</v>
      </c>
      <c r="F262" t="s">
        <v>6715</v>
      </c>
      <c r="G262" t="s">
        <v>6294</v>
      </c>
      <c r="H262" t="s">
        <v>1151</v>
      </c>
      <c r="L262" t="s">
        <v>6715</v>
      </c>
      <c r="N262" t="s">
        <v>6715</v>
      </c>
      <c r="O262" t="s">
        <v>7</v>
      </c>
      <c r="P262" t="s">
        <v>1153</v>
      </c>
      <c r="Q262" t="s">
        <v>1154</v>
      </c>
      <c r="R262" s="27" t="s">
        <v>6637</v>
      </c>
      <c r="T262" t="s">
        <v>119</v>
      </c>
    </row>
    <row r="263" spans="1:20" ht="15" customHeight="1" x14ac:dyDescent="0.4">
      <c r="A263" t="s">
        <v>1156</v>
      </c>
      <c r="B263" t="s">
        <v>1156</v>
      </c>
      <c r="C263" t="s">
        <v>151</v>
      </c>
      <c r="D263" t="s">
        <v>81</v>
      </c>
      <c r="E263" t="s">
        <v>163</v>
      </c>
      <c r="F263" t="s">
        <v>6716</v>
      </c>
      <c r="G263" t="s">
        <v>6294</v>
      </c>
      <c r="H263" t="s">
        <v>6717</v>
      </c>
      <c r="L263" t="s">
        <v>6716</v>
      </c>
      <c r="N263" t="s">
        <v>6716</v>
      </c>
      <c r="O263" t="s">
        <v>7</v>
      </c>
      <c r="P263" t="s">
        <v>1157</v>
      </c>
      <c r="Q263" t="s">
        <v>1158</v>
      </c>
      <c r="R263" s="27" t="s">
        <v>6718</v>
      </c>
      <c r="S263" t="s">
        <v>6280</v>
      </c>
      <c r="T263" t="s">
        <v>119</v>
      </c>
    </row>
    <row r="264" spans="1:20" ht="15" customHeight="1" x14ac:dyDescent="0.4">
      <c r="A264" t="s">
        <v>1161</v>
      </c>
      <c r="B264" t="s">
        <v>1161</v>
      </c>
      <c r="C264" t="s">
        <v>151</v>
      </c>
      <c r="D264" t="s">
        <v>81</v>
      </c>
      <c r="E264" t="s">
        <v>163</v>
      </c>
      <c r="F264" t="s">
        <v>6719</v>
      </c>
      <c r="G264" t="s">
        <v>6294</v>
      </c>
      <c r="H264" t="s">
        <v>6720</v>
      </c>
      <c r="L264" t="s">
        <v>6719</v>
      </c>
      <c r="N264" t="s">
        <v>6719</v>
      </c>
      <c r="O264" t="s">
        <v>7</v>
      </c>
      <c r="P264" t="s">
        <v>1162</v>
      </c>
      <c r="Q264" t="s">
        <v>1163</v>
      </c>
      <c r="R264" s="27" t="s">
        <v>6718</v>
      </c>
      <c r="S264" t="s">
        <v>6280</v>
      </c>
      <c r="T264" t="s">
        <v>119</v>
      </c>
    </row>
    <row r="265" spans="1:20" ht="15" customHeight="1" x14ac:dyDescent="0.4">
      <c r="A265" t="s">
        <v>1165</v>
      </c>
      <c r="B265" t="s">
        <v>1165</v>
      </c>
      <c r="C265" t="s">
        <v>151</v>
      </c>
      <c r="D265" t="s">
        <v>81</v>
      </c>
      <c r="E265" t="s">
        <v>163</v>
      </c>
      <c r="F265" t="s">
        <v>6721</v>
      </c>
      <c r="G265" t="s">
        <v>6294</v>
      </c>
      <c r="H265" t="s">
        <v>6722</v>
      </c>
      <c r="L265" t="s">
        <v>6721</v>
      </c>
      <c r="N265" t="s">
        <v>6721</v>
      </c>
      <c r="O265" t="s">
        <v>7</v>
      </c>
      <c r="P265" t="s">
        <v>1166</v>
      </c>
      <c r="Q265" t="s">
        <v>1167</v>
      </c>
      <c r="R265" s="27" t="s">
        <v>6723</v>
      </c>
      <c r="S265" t="s">
        <v>6280</v>
      </c>
      <c r="T265" t="s">
        <v>119</v>
      </c>
    </row>
    <row r="266" spans="1:20" ht="15" customHeight="1" x14ac:dyDescent="0.4">
      <c r="A266" t="s">
        <v>1169</v>
      </c>
      <c r="B266" t="s">
        <v>1169</v>
      </c>
      <c r="C266" t="s">
        <v>151</v>
      </c>
      <c r="D266" t="s">
        <v>81</v>
      </c>
      <c r="E266" t="s">
        <v>163</v>
      </c>
      <c r="F266" t="s">
        <v>6724</v>
      </c>
      <c r="G266" t="s">
        <v>6294</v>
      </c>
      <c r="H266" t="s">
        <v>6725</v>
      </c>
      <c r="L266" t="s">
        <v>6724</v>
      </c>
      <c r="N266" t="s">
        <v>6724</v>
      </c>
      <c r="O266" t="s">
        <v>7</v>
      </c>
      <c r="P266" t="s">
        <v>1170</v>
      </c>
      <c r="Q266" t="s">
        <v>1171</v>
      </c>
      <c r="R266" s="27" t="s">
        <v>6723</v>
      </c>
      <c r="S266" t="s">
        <v>6280</v>
      </c>
      <c r="T266" t="s">
        <v>119</v>
      </c>
    </row>
    <row r="267" spans="1:20" ht="15" customHeight="1" x14ac:dyDescent="0.4">
      <c r="A267" t="s">
        <v>1173</v>
      </c>
      <c r="B267" t="s">
        <v>1173</v>
      </c>
      <c r="C267" t="s">
        <v>151</v>
      </c>
      <c r="D267" t="s">
        <v>81</v>
      </c>
      <c r="E267" t="s">
        <v>163</v>
      </c>
      <c r="F267" t="s">
        <v>6726</v>
      </c>
      <c r="G267" t="s">
        <v>6294</v>
      </c>
      <c r="H267" t="s">
        <v>6727</v>
      </c>
      <c r="L267" t="s">
        <v>6726</v>
      </c>
      <c r="N267" t="s">
        <v>6726</v>
      </c>
      <c r="O267" t="s">
        <v>7</v>
      </c>
      <c r="P267" t="s">
        <v>1174</v>
      </c>
      <c r="Q267" t="s">
        <v>1175</v>
      </c>
      <c r="R267" s="27" t="s">
        <v>6723</v>
      </c>
      <c r="S267" t="s">
        <v>6280</v>
      </c>
      <c r="T267" t="s">
        <v>119</v>
      </c>
    </row>
    <row r="268" spans="1:20" ht="15" customHeight="1" x14ac:dyDescent="0.4">
      <c r="A268" t="s">
        <v>1177</v>
      </c>
      <c r="B268" t="s">
        <v>1177</v>
      </c>
      <c r="C268" t="s">
        <v>151</v>
      </c>
      <c r="D268" t="s">
        <v>81</v>
      </c>
      <c r="E268" t="s">
        <v>163</v>
      </c>
      <c r="F268" t="s">
        <v>6728</v>
      </c>
      <c r="G268" t="s">
        <v>6294</v>
      </c>
      <c r="H268" t="s">
        <v>6729</v>
      </c>
      <c r="L268" t="s">
        <v>6728</v>
      </c>
      <c r="N268" t="s">
        <v>6728</v>
      </c>
      <c r="O268" t="s">
        <v>7</v>
      </c>
      <c r="P268" t="s">
        <v>1178</v>
      </c>
      <c r="Q268" t="s">
        <v>1179</v>
      </c>
      <c r="R268" s="27" t="s">
        <v>6723</v>
      </c>
      <c r="S268" t="s">
        <v>6280</v>
      </c>
      <c r="T268" t="s">
        <v>119</v>
      </c>
    </row>
    <row r="269" spans="1:20" ht="15" customHeight="1" x14ac:dyDescent="0.4">
      <c r="A269" t="s">
        <v>1181</v>
      </c>
      <c r="B269" t="s">
        <v>1181</v>
      </c>
      <c r="C269" t="s">
        <v>151</v>
      </c>
      <c r="D269" t="s">
        <v>81</v>
      </c>
      <c r="E269" t="s">
        <v>163</v>
      </c>
      <c r="F269" t="s">
        <v>6730</v>
      </c>
      <c r="G269" t="s">
        <v>6294</v>
      </c>
      <c r="H269" t="s">
        <v>6731</v>
      </c>
      <c r="L269" t="s">
        <v>6730</v>
      </c>
      <c r="N269" t="s">
        <v>6730</v>
      </c>
      <c r="O269" t="s">
        <v>7</v>
      </c>
      <c r="P269" t="s">
        <v>1182</v>
      </c>
      <c r="Q269" t="s">
        <v>1183</v>
      </c>
      <c r="R269" s="27" t="s">
        <v>6723</v>
      </c>
      <c r="S269" t="s">
        <v>6280</v>
      </c>
      <c r="T269" t="s">
        <v>119</v>
      </c>
    </row>
    <row r="270" spans="1:20" ht="15" customHeight="1" x14ac:dyDescent="0.4">
      <c r="A270" t="s">
        <v>1185</v>
      </c>
      <c r="B270" t="s">
        <v>1185</v>
      </c>
      <c r="C270" t="s">
        <v>151</v>
      </c>
      <c r="D270" t="s">
        <v>81</v>
      </c>
      <c r="E270" t="s">
        <v>163</v>
      </c>
      <c r="F270" t="s">
        <v>6732</v>
      </c>
      <c r="G270" t="s">
        <v>6294</v>
      </c>
      <c r="H270" t="s">
        <v>6733</v>
      </c>
      <c r="L270" t="s">
        <v>6732</v>
      </c>
      <c r="N270" t="s">
        <v>6732</v>
      </c>
      <c r="O270" t="s">
        <v>7</v>
      </c>
      <c r="P270" t="s">
        <v>1186</v>
      </c>
      <c r="Q270" t="s">
        <v>1187</v>
      </c>
      <c r="R270" s="27" t="s">
        <v>6723</v>
      </c>
      <c r="S270" t="s">
        <v>6280</v>
      </c>
      <c r="T270" t="s">
        <v>119</v>
      </c>
    </row>
    <row r="271" spans="1:20" ht="15" customHeight="1" x14ac:dyDescent="0.4">
      <c r="A271" t="s">
        <v>1189</v>
      </c>
      <c r="B271" t="s">
        <v>1189</v>
      </c>
      <c r="C271" t="s">
        <v>151</v>
      </c>
      <c r="D271" t="s">
        <v>81</v>
      </c>
      <c r="E271" t="s">
        <v>163</v>
      </c>
      <c r="F271" t="s">
        <v>6734</v>
      </c>
      <c r="G271" t="s">
        <v>6294</v>
      </c>
      <c r="H271" t="s">
        <v>6735</v>
      </c>
      <c r="L271" t="s">
        <v>6734</v>
      </c>
      <c r="N271" t="s">
        <v>6734</v>
      </c>
      <c r="O271" t="s">
        <v>7</v>
      </c>
      <c r="P271" t="s">
        <v>1190</v>
      </c>
      <c r="Q271" t="s">
        <v>1191</v>
      </c>
      <c r="R271" s="27" t="s">
        <v>6718</v>
      </c>
      <c r="S271" t="s">
        <v>6280</v>
      </c>
      <c r="T271" t="s">
        <v>119</v>
      </c>
    </row>
    <row r="272" spans="1:20" ht="15" customHeight="1" x14ac:dyDescent="0.4">
      <c r="A272" t="s">
        <v>1193</v>
      </c>
      <c r="B272" t="s">
        <v>1193</v>
      </c>
      <c r="C272" t="s">
        <v>151</v>
      </c>
      <c r="D272" t="s">
        <v>81</v>
      </c>
      <c r="E272" t="s">
        <v>163</v>
      </c>
      <c r="F272" t="s">
        <v>6736</v>
      </c>
      <c r="G272" t="s">
        <v>6294</v>
      </c>
      <c r="H272" t="s">
        <v>6737</v>
      </c>
      <c r="L272" t="s">
        <v>6736</v>
      </c>
      <c r="N272" t="s">
        <v>6736</v>
      </c>
      <c r="O272" t="s">
        <v>7</v>
      </c>
      <c r="P272" t="s">
        <v>1194</v>
      </c>
      <c r="Q272" t="s">
        <v>1195</v>
      </c>
      <c r="R272" s="27" t="s">
        <v>6723</v>
      </c>
      <c r="S272" t="s">
        <v>6280</v>
      </c>
      <c r="T272" t="s">
        <v>119</v>
      </c>
    </row>
    <row r="273" spans="1:20" ht="15" customHeight="1" x14ac:dyDescent="0.4">
      <c r="A273" t="s">
        <v>1197</v>
      </c>
      <c r="B273" t="s">
        <v>1197</v>
      </c>
      <c r="C273" t="s">
        <v>151</v>
      </c>
      <c r="D273" t="s">
        <v>81</v>
      </c>
      <c r="E273" t="s">
        <v>163</v>
      </c>
      <c r="F273" t="s">
        <v>6738</v>
      </c>
      <c r="G273" t="s">
        <v>6294</v>
      </c>
      <c r="H273" t="s">
        <v>6739</v>
      </c>
      <c r="L273" t="s">
        <v>6738</v>
      </c>
      <c r="N273" t="s">
        <v>6738</v>
      </c>
      <c r="O273" t="s">
        <v>7</v>
      </c>
      <c r="P273" t="s">
        <v>1198</v>
      </c>
      <c r="Q273" t="s">
        <v>1199</v>
      </c>
      <c r="R273" s="27" t="s">
        <v>6718</v>
      </c>
      <c r="S273" t="s">
        <v>6280</v>
      </c>
      <c r="T273" t="s">
        <v>119</v>
      </c>
    </row>
    <row r="274" spans="1:20" ht="15" customHeight="1" x14ac:dyDescent="0.4">
      <c r="A274" t="s">
        <v>1201</v>
      </c>
      <c r="B274" t="s">
        <v>1201</v>
      </c>
      <c r="C274" t="s">
        <v>151</v>
      </c>
      <c r="D274" t="s">
        <v>81</v>
      </c>
      <c r="E274" t="s">
        <v>163</v>
      </c>
      <c r="F274" t="s">
        <v>6740</v>
      </c>
      <c r="G274" t="s">
        <v>6294</v>
      </c>
      <c r="H274" t="s">
        <v>6741</v>
      </c>
      <c r="L274" t="s">
        <v>6740</v>
      </c>
      <c r="N274" t="s">
        <v>6740</v>
      </c>
      <c r="O274" t="s">
        <v>7</v>
      </c>
      <c r="P274" t="s">
        <v>1202</v>
      </c>
      <c r="Q274" t="s">
        <v>1203</v>
      </c>
      <c r="R274" s="27" t="s">
        <v>6718</v>
      </c>
      <c r="S274" t="s">
        <v>6280</v>
      </c>
      <c r="T274" t="s">
        <v>119</v>
      </c>
    </row>
    <row r="275" spans="1:20" ht="15" customHeight="1" x14ac:dyDescent="0.4">
      <c r="A275" t="s">
        <v>1205</v>
      </c>
      <c r="B275" t="s">
        <v>1205</v>
      </c>
      <c r="C275" t="s">
        <v>151</v>
      </c>
      <c r="D275" t="s">
        <v>81</v>
      </c>
      <c r="E275" t="s">
        <v>163</v>
      </c>
      <c r="F275" t="s">
        <v>6742</v>
      </c>
      <c r="G275" t="s">
        <v>6294</v>
      </c>
      <c r="H275" t="s">
        <v>6743</v>
      </c>
      <c r="L275" t="s">
        <v>6742</v>
      </c>
      <c r="N275" t="s">
        <v>6742</v>
      </c>
      <c r="O275" t="s">
        <v>7</v>
      </c>
      <c r="P275" t="s">
        <v>1206</v>
      </c>
      <c r="Q275" t="s">
        <v>1207</v>
      </c>
      <c r="R275" s="27" t="s">
        <v>6718</v>
      </c>
      <c r="S275" t="s">
        <v>6280</v>
      </c>
      <c r="T275" t="s">
        <v>119</v>
      </c>
    </row>
    <row r="276" spans="1:20" ht="15" customHeight="1" x14ac:dyDescent="0.4">
      <c r="A276" t="s">
        <v>1209</v>
      </c>
      <c r="B276" t="s">
        <v>1209</v>
      </c>
      <c r="C276" t="s">
        <v>151</v>
      </c>
      <c r="D276" t="s">
        <v>81</v>
      </c>
      <c r="E276" t="s">
        <v>163</v>
      </c>
      <c r="F276" t="s">
        <v>6744</v>
      </c>
      <c r="G276" t="s">
        <v>6294</v>
      </c>
      <c r="H276" t="s">
        <v>6745</v>
      </c>
      <c r="L276" t="s">
        <v>6744</v>
      </c>
      <c r="N276" t="s">
        <v>6744</v>
      </c>
      <c r="O276" t="s">
        <v>7</v>
      </c>
      <c r="P276" t="s">
        <v>1210</v>
      </c>
      <c r="Q276" t="s">
        <v>1211</v>
      </c>
      <c r="R276" s="27" t="s">
        <v>6718</v>
      </c>
      <c r="S276" t="s">
        <v>6280</v>
      </c>
      <c r="T276" t="s">
        <v>119</v>
      </c>
    </row>
    <row r="277" spans="1:20" ht="15" customHeight="1" x14ac:dyDescent="0.4">
      <c r="A277" t="s">
        <v>1213</v>
      </c>
      <c r="B277" t="s">
        <v>1213</v>
      </c>
      <c r="C277" t="s">
        <v>151</v>
      </c>
      <c r="D277" t="s">
        <v>81</v>
      </c>
      <c r="E277" t="s">
        <v>163</v>
      </c>
      <c r="F277" t="s">
        <v>6746</v>
      </c>
      <c r="G277" t="s">
        <v>6294</v>
      </c>
      <c r="H277" t="s">
        <v>6747</v>
      </c>
      <c r="L277" t="s">
        <v>6746</v>
      </c>
      <c r="N277" t="s">
        <v>6746</v>
      </c>
      <c r="O277" t="s">
        <v>7</v>
      </c>
      <c r="P277" t="s">
        <v>1214</v>
      </c>
      <c r="Q277" t="s">
        <v>1215</v>
      </c>
      <c r="R277" s="27" t="s">
        <v>6718</v>
      </c>
      <c r="S277" t="s">
        <v>6280</v>
      </c>
      <c r="T277" t="s">
        <v>119</v>
      </c>
    </row>
    <row r="278" spans="1:20" ht="15" customHeight="1" x14ac:dyDescent="0.4">
      <c r="A278" t="s">
        <v>1217</v>
      </c>
      <c r="B278" t="s">
        <v>1217</v>
      </c>
      <c r="C278" t="s">
        <v>151</v>
      </c>
      <c r="D278" t="s">
        <v>81</v>
      </c>
      <c r="E278" t="s">
        <v>163</v>
      </c>
      <c r="F278" t="s">
        <v>6748</v>
      </c>
      <c r="G278" t="s">
        <v>6294</v>
      </c>
      <c r="H278" t="s">
        <v>6749</v>
      </c>
      <c r="L278" t="s">
        <v>6748</v>
      </c>
      <c r="N278" t="s">
        <v>6748</v>
      </c>
      <c r="O278" t="s">
        <v>7</v>
      </c>
      <c r="P278" t="s">
        <v>1218</v>
      </c>
      <c r="Q278" t="s">
        <v>1219</v>
      </c>
      <c r="R278" s="27" t="s">
        <v>6723</v>
      </c>
      <c r="S278" t="s">
        <v>6280</v>
      </c>
      <c r="T278" t="s">
        <v>119</v>
      </c>
    </row>
    <row r="279" spans="1:20" ht="15" customHeight="1" x14ac:dyDescent="0.4">
      <c r="A279" t="s">
        <v>1221</v>
      </c>
      <c r="B279" t="s">
        <v>1221</v>
      </c>
      <c r="C279" t="s">
        <v>151</v>
      </c>
      <c r="D279" t="s">
        <v>81</v>
      </c>
      <c r="E279" t="s">
        <v>163</v>
      </c>
      <c r="F279" t="s">
        <v>6750</v>
      </c>
      <c r="G279" t="s">
        <v>6294</v>
      </c>
      <c r="H279" t="s">
        <v>6751</v>
      </c>
      <c r="L279" t="s">
        <v>6750</v>
      </c>
      <c r="N279" t="s">
        <v>6750</v>
      </c>
      <c r="O279" t="s">
        <v>7</v>
      </c>
      <c r="P279" t="s">
        <v>1222</v>
      </c>
      <c r="Q279" t="s">
        <v>1223</v>
      </c>
      <c r="R279" s="27" t="s">
        <v>6718</v>
      </c>
      <c r="S279" t="s">
        <v>6280</v>
      </c>
      <c r="T279" t="s">
        <v>119</v>
      </c>
    </row>
    <row r="280" spans="1:20" ht="15" customHeight="1" x14ac:dyDescent="0.4">
      <c r="A280" t="s">
        <v>1225</v>
      </c>
      <c r="B280" t="s">
        <v>1225</v>
      </c>
      <c r="C280" t="s">
        <v>151</v>
      </c>
      <c r="D280" t="s">
        <v>81</v>
      </c>
      <c r="E280" t="s">
        <v>163</v>
      </c>
      <c r="F280" t="s">
        <v>6752</v>
      </c>
      <c r="G280" t="s">
        <v>6294</v>
      </c>
      <c r="H280" t="s">
        <v>6753</v>
      </c>
      <c r="L280" t="s">
        <v>6752</v>
      </c>
      <c r="N280" t="s">
        <v>6752</v>
      </c>
      <c r="O280" t="s">
        <v>7</v>
      </c>
      <c r="P280" t="s">
        <v>1226</v>
      </c>
      <c r="Q280" t="s">
        <v>1227</v>
      </c>
      <c r="R280" s="27" t="s">
        <v>6718</v>
      </c>
      <c r="S280" t="s">
        <v>6280</v>
      </c>
      <c r="T280" t="s">
        <v>119</v>
      </c>
    </row>
    <row r="281" spans="1:20" ht="15" customHeight="1" x14ac:dyDescent="0.4">
      <c r="A281" t="s">
        <v>1229</v>
      </c>
      <c r="B281" t="s">
        <v>1229</v>
      </c>
      <c r="C281" t="s">
        <v>151</v>
      </c>
      <c r="D281" t="s">
        <v>81</v>
      </c>
      <c r="E281" t="s">
        <v>163</v>
      </c>
      <c r="F281" t="s">
        <v>6754</v>
      </c>
      <c r="G281" t="s">
        <v>6294</v>
      </c>
      <c r="H281" t="s">
        <v>6755</v>
      </c>
      <c r="L281" t="s">
        <v>6754</v>
      </c>
      <c r="N281" t="s">
        <v>6754</v>
      </c>
      <c r="O281" t="s">
        <v>7</v>
      </c>
      <c r="P281" t="s">
        <v>1230</v>
      </c>
      <c r="Q281" t="s">
        <v>1231</v>
      </c>
      <c r="R281" s="27" t="s">
        <v>6718</v>
      </c>
      <c r="S281" t="s">
        <v>6280</v>
      </c>
      <c r="T281" t="s">
        <v>119</v>
      </c>
    </row>
    <row r="282" spans="1:20" ht="15" customHeight="1" x14ac:dyDescent="0.4">
      <c r="A282" t="s">
        <v>1233</v>
      </c>
      <c r="B282" t="s">
        <v>1233</v>
      </c>
      <c r="C282" t="s">
        <v>151</v>
      </c>
      <c r="D282" t="s">
        <v>81</v>
      </c>
      <c r="E282" t="s">
        <v>163</v>
      </c>
      <c r="F282" t="s">
        <v>6756</v>
      </c>
      <c r="G282" t="s">
        <v>6294</v>
      </c>
      <c r="H282" t="s">
        <v>6757</v>
      </c>
      <c r="L282" t="s">
        <v>6756</v>
      </c>
      <c r="N282" t="s">
        <v>6756</v>
      </c>
      <c r="O282" t="s">
        <v>7</v>
      </c>
      <c r="P282" t="s">
        <v>1234</v>
      </c>
      <c r="Q282" t="s">
        <v>1235</v>
      </c>
      <c r="R282" s="27" t="s">
        <v>6723</v>
      </c>
      <c r="S282" t="s">
        <v>6280</v>
      </c>
      <c r="T282" t="s">
        <v>119</v>
      </c>
    </row>
    <row r="283" spans="1:20" ht="15" customHeight="1" x14ac:dyDescent="0.4">
      <c r="A283" t="s">
        <v>1237</v>
      </c>
      <c r="B283" t="s">
        <v>1237</v>
      </c>
      <c r="C283" t="s">
        <v>151</v>
      </c>
      <c r="D283" t="s">
        <v>81</v>
      </c>
      <c r="E283" t="s">
        <v>163</v>
      </c>
      <c r="F283" t="s">
        <v>6758</v>
      </c>
      <c r="G283" t="s">
        <v>6294</v>
      </c>
      <c r="H283" t="s">
        <v>6759</v>
      </c>
      <c r="L283" t="s">
        <v>6758</v>
      </c>
      <c r="N283" t="s">
        <v>6758</v>
      </c>
      <c r="O283" t="s">
        <v>7</v>
      </c>
      <c r="P283" t="s">
        <v>1238</v>
      </c>
      <c r="Q283" t="s">
        <v>1239</v>
      </c>
      <c r="R283" s="27" t="s">
        <v>6723</v>
      </c>
      <c r="S283" t="s">
        <v>6280</v>
      </c>
      <c r="T283" t="s">
        <v>119</v>
      </c>
    </row>
    <row r="284" spans="1:20" ht="15" customHeight="1" x14ac:dyDescent="0.4">
      <c r="A284" t="s">
        <v>1241</v>
      </c>
      <c r="B284" t="s">
        <v>1241</v>
      </c>
      <c r="C284" t="s">
        <v>151</v>
      </c>
      <c r="D284" t="s">
        <v>81</v>
      </c>
      <c r="E284" t="s">
        <v>163</v>
      </c>
      <c r="F284" t="s">
        <v>6760</v>
      </c>
      <c r="G284" t="s">
        <v>6294</v>
      </c>
      <c r="H284" t="s">
        <v>6761</v>
      </c>
      <c r="L284" t="s">
        <v>6760</v>
      </c>
      <c r="N284" t="s">
        <v>6760</v>
      </c>
      <c r="O284" t="s">
        <v>7</v>
      </c>
      <c r="P284" t="s">
        <v>1242</v>
      </c>
      <c r="Q284" t="s">
        <v>1243</v>
      </c>
      <c r="R284" s="27" t="s">
        <v>6723</v>
      </c>
      <c r="S284" t="s">
        <v>6280</v>
      </c>
      <c r="T284" t="s">
        <v>119</v>
      </c>
    </row>
    <row r="285" spans="1:20" ht="15" customHeight="1" x14ac:dyDescent="0.4">
      <c r="A285" t="s">
        <v>1245</v>
      </c>
      <c r="B285" t="s">
        <v>1245</v>
      </c>
      <c r="C285" t="s">
        <v>151</v>
      </c>
      <c r="D285" t="s">
        <v>81</v>
      </c>
      <c r="E285" t="s">
        <v>163</v>
      </c>
      <c r="F285" t="s">
        <v>6762</v>
      </c>
      <c r="G285" t="s">
        <v>6294</v>
      </c>
      <c r="H285" t="s">
        <v>6763</v>
      </c>
      <c r="L285" t="s">
        <v>6762</v>
      </c>
      <c r="N285" t="s">
        <v>6762</v>
      </c>
      <c r="O285" t="s">
        <v>7</v>
      </c>
      <c r="P285" t="s">
        <v>1246</v>
      </c>
      <c r="Q285" t="s">
        <v>1247</v>
      </c>
      <c r="R285" s="27" t="s">
        <v>6723</v>
      </c>
      <c r="S285" t="s">
        <v>6280</v>
      </c>
      <c r="T285" t="s">
        <v>119</v>
      </c>
    </row>
    <row r="286" spans="1:20" ht="15" customHeight="1" x14ac:dyDescent="0.4">
      <c r="A286" t="s">
        <v>1249</v>
      </c>
      <c r="B286" t="s">
        <v>1249</v>
      </c>
      <c r="C286" t="s">
        <v>151</v>
      </c>
      <c r="D286" t="s">
        <v>81</v>
      </c>
      <c r="E286" t="s">
        <v>163</v>
      </c>
      <c r="F286" t="s">
        <v>6764</v>
      </c>
      <c r="G286" t="s">
        <v>6294</v>
      </c>
      <c r="H286" t="s">
        <v>6765</v>
      </c>
      <c r="L286" t="s">
        <v>6764</v>
      </c>
      <c r="N286" t="s">
        <v>6764</v>
      </c>
      <c r="O286" t="s">
        <v>7</v>
      </c>
      <c r="P286" t="s">
        <v>1250</v>
      </c>
      <c r="Q286" t="s">
        <v>1251</v>
      </c>
      <c r="R286" s="27" t="s">
        <v>6723</v>
      </c>
      <c r="S286" t="s">
        <v>6280</v>
      </c>
      <c r="T286" t="s">
        <v>119</v>
      </c>
    </row>
    <row r="287" spans="1:20" ht="15" customHeight="1" x14ac:dyDescent="0.4">
      <c r="A287" t="s">
        <v>1253</v>
      </c>
      <c r="B287" t="s">
        <v>1253</v>
      </c>
      <c r="C287" t="s">
        <v>151</v>
      </c>
      <c r="D287" t="s">
        <v>81</v>
      </c>
      <c r="E287" t="s">
        <v>163</v>
      </c>
      <c r="F287" t="s">
        <v>6766</v>
      </c>
      <c r="G287" t="s">
        <v>6294</v>
      </c>
      <c r="H287" t="s">
        <v>6767</v>
      </c>
      <c r="L287" t="s">
        <v>6766</v>
      </c>
      <c r="N287" t="s">
        <v>6766</v>
      </c>
      <c r="O287" t="s">
        <v>7</v>
      </c>
      <c r="P287" t="s">
        <v>1254</v>
      </c>
      <c r="Q287" t="s">
        <v>1255</v>
      </c>
      <c r="R287" s="27" t="s">
        <v>6723</v>
      </c>
      <c r="S287" t="s">
        <v>6280</v>
      </c>
      <c r="T287" t="s">
        <v>119</v>
      </c>
    </row>
    <row r="288" spans="1:20" ht="15" customHeight="1" x14ac:dyDescent="0.4">
      <c r="A288" t="s">
        <v>1257</v>
      </c>
      <c r="B288" t="s">
        <v>1257</v>
      </c>
      <c r="C288" t="s">
        <v>151</v>
      </c>
      <c r="D288" t="s">
        <v>81</v>
      </c>
      <c r="E288" t="s">
        <v>163</v>
      </c>
      <c r="F288" t="s">
        <v>6768</v>
      </c>
      <c r="G288" t="s">
        <v>6294</v>
      </c>
      <c r="H288" t="s">
        <v>6769</v>
      </c>
      <c r="L288" t="s">
        <v>6768</v>
      </c>
      <c r="N288" t="s">
        <v>6768</v>
      </c>
      <c r="O288" t="s">
        <v>7</v>
      </c>
      <c r="P288" t="s">
        <v>1258</v>
      </c>
      <c r="Q288" t="s">
        <v>1259</v>
      </c>
      <c r="R288" s="27" t="s">
        <v>6718</v>
      </c>
      <c r="S288" t="s">
        <v>6280</v>
      </c>
      <c r="T288" t="s">
        <v>119</v>
      </c>
    </row>
    <row r="289" spans="1:20" ht="15" customHeight="1" x14ac:dyDescent="0.4">
      <c r="A289" t="s">
        <v>1261</v>
      </c>
      <c r="B289" t="s">
        <v>1261</v>
      </c>
      <c r="C289" t="s">
        <v>151</v>
      </c>
      <c r="D289" t="s">
        <v>81</v>
      </c>
      <c r="E289" t="s">
        <v>163</v>
      </c>
      <c r="F289" t="s">
        <v>6770</v>
      </c>
      <c r="G289" t="s">
        <v>6294</v>
      </c>
      <c r="H289" t="s">
        <v>6771</v>
      </c>
      <c r="L289" t="s">
        <v>6770</v>
      </c>
      <c r="N289" t="s">
        <v>6770</v>
      </c>
      <c r="O289" t="s">
        <v>7</v>
      </c>
      <c r="P289" t="s">
        <v>1262</v>
      </c>
      <c r="Q289" t="s">
        <v>1263</v>
      </c>
      <c r="R289" s="27" t="s">
        <v>6772</v>
      </c>
      <c r="S289" t="s">
        <v>6280</v>
      </c>
      <c r="T289" t="s">
        <v>119</v>
      </c>
    </row>
    <row r="290" spans="1:20" ht="15" customHeight="1" x14ac:dyDescent="0.4">
      <c r="A290" t="s">
        <v>1265</v>
      </c>
      <c r="B290" t="s">
        <v>1265</v>
      </c>
      <c r="C290" t="s">
        <v>151</v>
      </c>
      <c r="D290" t="s">
        <v>81</v>
      </c>
      <c r="E290" t="s">
        <v>163</v>
      </c>
      <c r="F290" t="s">
        <v>6773</v>
      </c>
      <c r="G290" t="s">
        <v>6294</v>
      </c>
      <c r="H290" t="s">
        <v>6774</v>
      </c>
      <c r="L290" t="s">
        <v>6773</v>
      </c>
      <c r="N290" t="s">
        <v>6773</v>
      </c>
      <c r="O290" t="s">
        <v>7</v>
      </c>
      <c r="P290" t="s">
        <v>1266</v>
      </c>
      <c r="Q290" t="s">
        <v>1267</v>
      </c>
      <c r="R290" s="27" t="s">
        <v>6723</v>
      </c>
      <c r="S290" t="s">
        <v>6280</v>
      </c>
      <c r="T290" t="s">
        <v>119</v>
      </c>
    </row>
    <row r="291" spans="1:20" ht="15" customHeight="1" x14ac:dyDescent="0.4">
      <c r="A291" t="s">
        <v>1269</v>
      </c>
      <c r="B291" t="s">
        <v>1269</v>
      </c>
      <c r="C291" t="s">
        <v>151</v>
      </c>
      <c r="D291" t="s">
        <v>81</v>
      </c>
      <c r="E291" t="s">
        <v>163</v>
      </c>
      <c r="F291" t="s">
        <v>6775</v>
      </c>
      <c r="G291" t="s">
        <v>6294</v>
      </c>
      <c r="H291" t="s">
        <v>6776</v>
      </c>
      <c r="L291" t="s">
        <v>6775</v>
      </c>
      <c r="N291" t="s">
        <v>6775</v>
      </c>
      <c r="O291" t="s">
        <v>7</v>
      </c>
      <c r="P291" t="s">
        <v>1270</v>
      </c>
      <c r="Q291" t="s">
        <v>1271</v>
      </c>
      <c r="R291" s="27" t="s">
        <v>6718</v>
      </c>
      <c r="S291" t="s">
        <v>6280</v>
      </c>
      <c r="T291" t="s">
        <v>119</v>
      </c>
    </row>
    <row r="292" spans="1:20" ht="15" customHeight="1" x14ac:dyDescent="0.4">
      <c r="A292" t="s">
        <v>1273</v>
      </c>
      <c r="B292" t="s">
        <v>1273</v>
      </c>
      <c r="C292" t="s">
        <v>151</v>
      </c>
      <c r="D292" t="s">
        <v>81</v>
      </c>
      <c r="E292" t="s">
        <v>163</v>
      </c>
      <c r="F292" t="s">
        <v>6777</v>
      </c>
      <c r="G292" t="s">
        <v>6294</v>
      </c>
      <c r="H292" t="s">
        <v>6778</v>
      </c>
      <c r="L292" t="s">
        <v>6777</v>
      </c>
      <c r="N292" t="s">
        <v>6777</v>
      </c>
      <c r="O292" t="s">
        <v>7</v>
      </c>
      <c r="P292" t="s">
        <v>1274</v>
      </c>
      <c r="Q292" t="s">
        <v>1275</v>
      </c>
      <c r="R292" s="27" t="s">
        <v>6723</v>
      </c>
      <c r="S292" t="s">
        <v>6280</v>
      </c>
      <c r="T292" t="s">
        <v>119</v>
      </c>
    </row>
    <row r="293" spans="1:20" ht="15" customHeight="1" x14ac:dyDescent="0.4">
      <c r="A293" t="s">
        <v>1277</v>
      </c>
      <c r="B293" t="s">
        <v>1277</v>
      </c>
      <c r="C293" t="s">
        <v>151</v>
      </c>
      <c r="D293" t="s">
        <v>81</v>
      </c>
      <c r="E293" t="s">
        <v>163</v>
      </c>
      <c r="F293" t="s">
        <v>6779</v>
      </c>
      <c r="G293" t="s">
        <v>6294</v>
      </c>
      <c r="H293" t="s">
        <v>6780</v>
      </c>
      <c r="L293" t="s">
        <v>6779</v>
      </c>
      <c r="N293" t="s">
        <v>6779</v>
      </c>
      <c r="O293" t="s">
        <v>7</v>
      </c>
      <c r="P293" t="s">
        <v>1278</v>
      </c>
      <c r="Q293" t="s">
        <v>1279</v>
      </c>
      <c r="R293" s="27" t="s">
        <v>6781</v>
      </c>
      <c r="S293" t="s">
        <v>6280</v>
      </c>
      <c r="T293" t="s">
        <v>119</v>
      </c>
    </row>
    <row r="294" spans="1:20" ht="15" customHeight="1" x14ac:dyDescent="0.4">
      <c r="A294" t="s">
        <v>1281</v>
      </c>
      <c r="B294" t="s">
        <v>1281</v>
      </c>
      <c r="C294" t="s">
        <v>151</v>
      </c>
      <c r="D294" t="s">
        <v>81</v>
      </c>
      <c r="E294" t="s">
        <v>163</v>
      </c>
      <c r="F294" t="s">
        <v>6782</v>
      </c>
      <c r="G294" t="s">
        <v>6294</v>
      </c>
      <c r="H294" t="s">
        <v>6783</v>
      </c>
      <c r="L294" t="s">
        <v>6782</v>
      </c>
      <c r="N294" t="s">
        <v>6782</v>
      </c>
      <c r="O294" t="s">
        <v>7</v>
      </c>
      <c r="P294" t="s">
        <v>1282</v>
      </c>
      <c r="Q294" t="s">
        <v>1283</v>
      </c>
      <c r="R294" s="27" t="s">
        <v>6781</v>
      </c>
      <c r="S294" t="s">
        <v>6280</v>
      </c>
      <c r="T294" t="s">
        <v>119</v>
      </c>
    </row>
    <row r="295" spans="1:20" ht="15" customHeight="1" x14ac:dyDescent="0.4">
      <c r="A295" t="s">
        <v>1285</v>
      </c>
      <c r="B295" t="s">
        <v>1285</v>
      </c>
      <c r="C295" t="s">
        <v>151</v>
      </c>
      <c r="D295" t="s">
        <v>81</v>
      </c>
      <c r="E295" t="s">
        <v>163</v>
      </c>
      <c r="F295" t="s">
        <v>6784</v>
      </c>
      <c r="G295" t="s">
        <v>6294</v>
      </c>
      <c r="H295" t="s">
        <v>6785</v>
      </c>
      <c r="L295" t="s">
        <v>6784</v>
      </c>
      <c r="N295" t="s">
        <v>6784</v>
      </c>
      <c r="O295" t="s">
        <v>7</v>
      </c>
      <c r="P295" t="s">
        <v>1286</v>
      </c>
      <c r="Q295" t="s">
        <v>1287</v>
      </c>
      <c r="R295" s="27" t="s">
        <v>6723</v>
      </c>
      <c r="S295" t="s">
        <v>6280</v>
      </c>
      <c r="T295" t="s">
        <v>119</v>
      </c>
    </row>
    <row r="296" spans="1:20" ht="15" customHeight="1" x14ac:dyDescent="0.4">
      <c r="A296" t="s">
        <v>1289</v>
      </c>
      <c r="B296" t="s">
        <v>1289</v>
      </c>
      <c r="C296" t="s">
        <v>151</v>
      </c>
      <c r="D296" t="s">
        <v>81</v>
      </c>
      <c r="E296" t="s">
        <v>163</v>
      </c>
      <c r="F296" t="s">
        <v>6786</v>
      </c>
      <c r="G296" t="s">
        <v>6294</v>
      </c>
      <c r="H296" t="s">
        <v>6787</v>
      </c>
      <c r="L296" t="s">
        <v>6786</v>
      </c>
      <c r="N296" t="s">
        <v>6786</v>
      </c>
      <c r="O296" t="s">
        <v>7</v>
      </c>
      <c r="P296" t="s">
        <v>1290</v>
      </c>
      <c r="Q296" t="s">
        <v>1291</v>
      </c>
      <c r="R296" s="27" t="s">
        <v>6718</v>
      </c>
      <c r="S296" t="s">
        <v>6280</v>
      </c>
      <c r="T296" t="s">
        <v>119</v>
      </c>
    </row>
    <row r="297" spans="1:20" ht="15" customHeight="1" x14ac:dyDescent="0.4">
      <c r="A297" t="s">
        <v>1293</v>
      </c>
      <c r="B297" t="s">
        <v>1293</v>
      </c>
      <c r="C297" t="s">
        <v>151</v>
      </c>
      <c r="D297" t="s">
        <v>81</v>
      </c>
      <c r="E297" t="s">
        <v>163</v>
      </c>
      <c r="F297" t="s">
        <v>6788</v>
      </c>
      <c r="G297" t="s">
        <v>6294</v>
      </c>
      <c r="H297" t="s">
        <v>6789</v>
      </c>
      <c r="L297" t="s">
        <v>6788</v>
      </c>
      <c r="N297" t="s">
        <v>6788</v>
      </c>
      <c r="O297" t="s">
        <v>7</v>
      </c>
      <c r="P297" t="s">
        <v>1294</v>
      </c>
      <c r="Q297" t="s">
        <v>1295</v>
      </c>
      <c r="R297" s="27" t="s">
        <v>6718</v>
      </c>
      <c r="S297" t="s">
        <v>6280</v>
      </c>
      <c r="T297" t="s">
        <v>119</v>
      </c>
    </row>
    <row r="298" spans="1:20" ht="15" customHeight="1" x14ac:dyDescent="0.4">
      <c r="A298" t="s">
        <v>1297</v>
      </c>
      <c r="B298" t="s">
        <v>1297</v>
      </c>
      <c r="C298" t="s">
        <v>151</v>
      </c>
      <c r="D298" t="s">
        <v>81</v>
      </c>
      <c r="E298" t="s">
        <v>163</v>
      </c>
      <c r="F298" t="s">
        <v>6790</v>
      </c>
      <c r="G298" t="s">
        <v>6294</v>
      </c>
      <c r="H298" t="s">
        <v>6791</v>
      </c>
      <c r="L298" t="s">
        <v>6790</v>
      </c>
      <c r="N298" t="s">
        <v>6790</v>
      </c>
      <c r="O298" t="s">
        <v>7</v>
      </c>
      <c r="P298" t="s">
        <v>1298</v>
      </c>
      <c r="Q298" t="s">
        <v>1299</v>
      </c>
      <c r="R298" s="27" t="s">
        <v>6723</v>
      </c>
      <c r="S298" t="s">
        <v>6280</v>
      </c>
      <c r="T298" t="s">
        <v>119</v>
      </c>
    </row>
    <row r="299" spans="1:20" ht="15" customHeight="1" x14ac:dyDescent="0.4">
      <c r="A299" t="s">
        <v>1301</v>
      </c>
      <c r="B299" t="s">
        <v>1301</v>
      </c>
      <c r="C299" t="s">
        <v>151</v>
      </c>
      <c r="D299" t="s">
        <v>81</v>
      </c>
      <c r="E299" t="s">
        <v>163</v>
      </c>
      <c r="F299" t="s">
        <v>6792</v>
      </c>
      <c r="G299" t="s">
        <v>6294</v>
      </c>
      <c r="H299" t="s">
        <v>6793</v>
      </c>
      <c r="L299" t="s">
        <v>6792</v>
      </c>
      <c r="N299" t="s">
        <v>6792</v>
      </c>
      <c r="O299" t="s">
        <v>7</v>
      </c>
      <c r="P299" t="s">
        <v>1302</v>
      </c>
      <c r="Q299" t="s">
        <v>1303</v>
      </c>
      <c r="R299" s="27" t="s">
        <v>6723</v>
      </c>
      <c r="S299" t="s">
        <v>6280</v>
      </c>
      <c r="T299" t="s">
        <v>119</v>
      </c>
    </row>
    <row r="300" spans="1:20" ht="15" customHeight="1" x14ac:dyDescent="0.4">
      <c r="A300" t="s">
        <v>1305</v>
      </c>
      <c r="B300" t="s">
        <v>1305</v>
      </c>
      <c r="C300" t="s">
        <v>151</v>
      </c>
      <c r="D300" t="s">
        <v>81</v>
      </c>
      <c r="E300" t="s">
        <v>163</v>
      </c>
      <c r="F300" t="s">
        <v>6794</v>
      </c>
      <c r="G300" t="s">
        <v>6294</v>
      </c>
      <c r="H300" t="s">
        <v>6795</v>
      </c>
      <c r="L300" t="s">
        <v>6794</v>
      </c>
      <c r="N300" t="s">
        <v>6794</v>
      </c>
      <c r="O300" t="s">
        <v>7</v>
      </c>
      <c r="P300" t="s">
        <v>1306</v>
      </c>
      <c r="Q300" t="s">
        <v>1307</v>
      </c>
      <c r="R300" s="27" t="s">
        <v>6723</v>
      </c>
      <c r="S300" t="s">
        <v>6280</v>
      </c>
      <c r="T300" t="s">
        <v>119</v>
      </c>
    </row>
    <row r="301" spans="1:20" ht="15" customHeight="1" x14ac:dyDescent="0.4">
      <c r="A301" t="s">
        <v>1309</v>
      </c>
      <c r="B301" t="s">
        <v>1309</v>
      </c>
      <c r="C301" t="s">
        <v>151</v>
      </c>
      <c r="D301" t="s">
        <v>81</v>
      </c>
      <c r="E301" t="s">
        <v>163</v>
      </c>
      <c r="F301" t="s">
        <v>6796</v>
      </c>
      <c r="G301" t="s">
        <v>6294</v>
      </c>
      <c r="H301" t="s">
        <v>6797</v>
      </c>
      <c r="L301" t="s">
        <v>6796</v>
      </c>
      <c r="N301" t="s">
        <v>6796</v>
      </c>
      <c r="O301" t="s">
        <v>7</v>
      </c>
      <c r="P301" t="s">
        <v>1310</v>
      </c>
      <c r="Q301" t="s">
        <v>1311</v>
      </c>
      <c r="R301" s="27" t="s">
        <v>6723</v>
      </c>
      <c r="S301" t="s">
        <v>6280</v>
      </c>
      <c r="T301" t="s">
        <v>119</v>
      </c>
    </row>
    <row r="302" spans="1:20" ht="15" customHeight="1" x14ac:dyDescent="0.4">
      <c r="A302" t="s">
        <v>1313</v>
      </c>
      <c r="B302" t="s">
        <v>1313</v>
      </c>
      <c r="C302" t="s">
        <v>151</v>
      </c>
      <c r="D302" t="s">
        <v>81</v>
      </c>
      <c r="E302" t="s">
        <v>163</v>
      </c>
      <c r="F302" t="s">
        <v>6798</v>
      </c>
      <c r="G302" t="s">
        <v>6294</v>
      </c>
      <c r="H302" t="s">
        <v>6799</v>
      </c>
      <c r="L302" t="s">
        <v>6798</v>
      </c>
      <c r="N302" t="s">
        <v>6798</v>
      </c>
      <c r="O302" t="s">
        <v>7</v>
      </c>
      <c r="P302" t="s">
        <v>1314</v>
      </c>
      <c r="Q302" t="s">
        <v>1315</v>
      </c>
      <c r="R302" s="27" t="s">
        <v>6723</v>
      </c>
      <c r="S302" t="s">
        <v>6280</v>
      </c>
      <c r="T302" t="s">
        <v>119</v>
      </c>
    </row>
    <row r="303" spans="1:20" ht="15" customHeight="1" x14ac:dyDescent="0.4">
      <c r="A303" t="s">
        <v>1317</v>
      </c>
      <c r="B303" t="s">
        <v>1317</v>
      </c>
      <c r="C303" t="s">
        <v>151</v>
      </c>
      <c r="D303" t="s">
        <v>81</v>
      </c>
      <c r="E303" t="s">
        <v>163</v>
      </c>
      <c r="F303" t="s">
        <v>6800</v>
      </c>
      <c r="G303" t="s">
        <v>6294</v>
      </c>
      <c r="H303" t="s">
        <v>6801</v>
      </c>
      <c r="L303" t="s">
        <v>6800</v>
      </c>
      <c r="N303" t="s">
        <v>6800</v>
      </c>
      <c r="O303" t="s">
        <v>7</v>
      </c>
      <c r="P303" t="s">
        <v>1318</v>
      </c>
      <c r="Q303" t="s">
        <v>1319</v>
      </c>
      <c r="R303" s="27" t="s">
        <v>6723</v>
      </c>
      <c r="S303" t="s">
        <v>6280</v>
      </c>
      <c r="T303" t="s">
        <v>119</v>
      </c>
    </row>
    <row r="304" spans="1:20" ht="15" customHeight="1" x14ac:dyDescent="0.4">
      <c r="A304" t="s">
        <v>1321</v>
      </c>
      <c r="B304" t="s">
        <v>1321</v>
      </c>
      <c r="C304" t="s">
        <v>151</v>
      </c>
      <c r="D304" t="s">
        <v>81</v>
      </c>
      <c r="E304" t="s">
        <v>163</v>
      </c>
      <c r="F304" t="s">
        <v>6802</v>
      </c>
      <c r="G304" t="s">
        <v>6294</v>
      </c>
      <c r="H304" t="s">
        <v>6803</v>
      </c>
      <c r="L304" t="s">
        <v>6802</v>
      </c>
      <c r="N304" t="s">
        <v>6802</v>
      </c>
      <c r="O304" t="s">
        <v>7</v>
      </c>
      <c r="P304" t="s">
        <v>1322</v>
      </c>
      <c r="Q304" t="s">
        <v>1323</v>
      </c>
      <c r="R304" s="27" t="s">
        <v>6723</v>
      </c>
      <c r="S304" t="s">
        <v>6280</v>
      </c>
      <c r="T304" t="s">
        <v>119</v>
      </c>
    </row>
    <row r="305" spans="1:20" ht="15" customHeight="1" x14ac:dyDescent="0.4">
      <c r="A305" t="s">
        <v>1325</v>
      </c>
      <c r="B305" t="s">
        <v>1325</v>
      </c>
      <c r="C305" t="s">
        <v>151</v>
      </c>
      <c r="D305" t="s">
        <v>81</v>
      </c>
      <c r="E305" t="s">
        <v>163</v>
      </c>
      <c r="F305" t="s">
        <v>6804</v>
      </c>
      <c r="G305" t="s">
        <v>6294</v>
      </c>
      <c r="H305" t="s">
        <v>6805</v>
      </c>
      <c r="L305" t="s">
        <v>6804</v>
      </c>
      <c r="N305" t="s">
        <v>6804</v>
      </c>
      <c r="O305" t="s">
        <v>7</v>
      </c>
      <c r="P305" t="s">
        <v>1326</v>
      </c>
      <c r="Q305" t="s">
        <v>1327</v>
      </c>
      <c r="R305" s="27" t="s">
        <v>6723</v>
      </c>
      <c r="S305" t="s">
        <v>6280</v>
      </c>
      <c r="T305" t="s">
        <v>119</v>
      </c>
    </row>
    <row r="306" spans="1:20" ht="15" customHeight="1" x14ac:dyDescent="0.4">
      <c r="A306" t="s">
        <v>1329</v>
      </c>
      <c r="B306" t="s">
        <v>1329</v>
      </c>
      <c r="C306" t="s">
        <v>151</v>
      </c>
      <c r="D306" t="s">
        <v>81</v>
      </c>
      <c r="E306" t="s">
        <v>163</v>
      </c>
      <c r="F306" t="s">
        <v>6806</v>
      </c>
      <c r="G306" t="s">
        <v>6294</v>
      </c>
      <c r="H306" t="s">
        <v>6807</v>
      </c>
      <c r="L306" t="s">
        <v>6806</v>
      </c>
      <c r="N306" t="s">
        <v>6806</v>
      </c>
      <c r="O306" t="s">
        <v>7</v>
      </c>
      <c r="P306" t="s">
        <v>1330</v>
      </c>
      <c r="Q306" t="s">
        <v>1331</v>
      </c>
      <c r="R306" s="27" t="s">
        <v>6723</v>
      </c>
      <c r="S306" t="s">
        <v>6280</v>
      </c>
      <c r="T306" t="s">
        <v>119</v>
      </c>
    </row>
    <row r="307" spans="1:20" ht="15" customHeight="1" x14ac:dyDescent="0.4">
      <c r="A307" t="s">
        <v>1333</v>
      </c>
      <c r="B307" t="s">
        <v>1333</v>
      </c>
      <c r="C307" t="s">
        <v>151</v>
      </c>
      <c r="D307" t="s">
        <v>81</v>
      </c>
      <c r="E307" t="s">
        <v>163</v>
      </c>
      <c r="F307" t="s">
        <v>6808</v>
      </c>
      <c r="G307" t="s">
        <v>6294</v>
      </c>
      <c r="H307" t="s">
        <v>6809</v>
      </c>
      <c r="L307" t="s">
        <v>6808</v>
      </c>
      <c r="N307" t="s">
        <v>6808</v>
      </c>
      <c r="O307" t="s">
        <v>7</v>
      </c>
      <c r="P307" t="s">
        <v>1334</v>
      </c>
      <c r="Q307" t="s">
        <v>1335</v>
      </c>
      <c r="R307" s="27" t="s">
        <v>6718</v>
      </c>
      <c r="S307" t="s">
        <v>6280</v>
      </c>
      <c r="T307" t="s">
        <v>119</v>
      </c>
    </row>
    <row r="308" spans="1:20" ht="15" customHeight="1" x14ac:dyDescent="0.4">
      <c r="A308" t="s">
        <v>1337</v>
      </c>
      <c r="B308" t="s">
        <v>1337</v>
      </c>
      <c r="C308" t="s">
        <v>151</v>
      </c>
      <c r="D308" t="s">
        <v>81</v>
      </c>
      <c r="E308" t="s">
        <v>163</v>
      </c>
      <c r="F308" t="s">
        <v>6810</v>
      </c>
      <c r="G308" t="s">
        <v>6294</v>
      </c>
      <c r="H308" t="s">
        <v>6811</v>
      </c>
      <c r="L308" t="s">
        <v>6810</v>
      </c>
      <c r="N308" t="s">
        <v>6810</v>
      </c>
      <c r="O308" t="s">
        <v>7</v>
      </c>
      <c r="P308" t="s">
        <v>1338</v>
      </c>
      <c r="Q308" t="s">
        <v>1339</v>
      </c>
      <c r="R308" s="27" t="s">
        <v>6781</v>
      </c>
      <c r="S308" t="s">
        <v>6280</v>
      </c>
      <c r="T308" t="s">
        <v>119</v>
      </c>
    </row>
    <row r="309" spans="1:20" ht="15" customHeight="1" x14ac:dyDescent="0.4">
      <c r="A309" t="s">
        <v>1341</v>
      </c>
      <c r="B309" t="s">
        <v>1341</v>
      </c>
      <c r="C309" t="s">
        <v>151</v>
      </c>
      <c r="D309" t="s">
        <v>81</v>
      </c>
      <c r="E309" t="s">
        <v>163</v>
      </c>
      <c r="F309" t="s">
        <v>6812</v>
      </c>
      <c r="G309" t="s">
        <v>6294</v>
      </c>
      <c r="H309" t="s">
        <v>6813</v>
      </c>
      <c r="L309" t="s">
        <v>6812</v>
      </c>
      <c r="N309" t="s">
        <v>6812</v>
      </c>
      <c r="O309" t="s">
        <v>7</v>
      </c>
      <c r="P309" t="s">
        <v>1342</v>
      </c>
      <c r="Q309" t="s">
        <v>1343</v>
      </c>
      <c r="R309" s="27" t="s">
        <v>6718</v>
      </c>
      <c r="S309" t="s">
        <v>6280</v>
      </c>
      <c r="T309" t="s">
        <v>119</v>
      </c>
    </row>
    <row r="310" spans="1:20" ht="15" customHeight="1" x14ac:dyDescent="0.4">
      <c r="A310" t="s">
        <v>1345</v>
      </c>
      <c r="B310" t="s">
        <v>1345</v>
      </c>
      <c r="C310" t="s">
        <v>151</v>
      </c>
      <c r="D310" t="s">
        <v>81</v>
      </c>
      <c r="E310" t="s">
        <v>163</v>
      </c>
      <c r="F310" t="s">
        <v>6814</v>
      </c>
      <c r="G310" t="s">
        <v>6294</v>
      </c>
      <c r="H310" t="s">
        <v>6815</v>
      </c>
      <c r="L310" t="s">
        <v>6814</v>
      </c>
      <c r="N310" t="s">
        <v>6814</v>
      </c>
      <c r="O310" t="s">
        <v>7</v>
      </c>
      <c r="P310" t="s">
        <v>1346</v>
      </c>
      <c r="Q310" t="s">
        <v>1347</v>
      </c>
      <c r="R310" s="27" t="s">
        <v>6723</v>
      </c>
      <c r="S310" t="s">
        <v>6280</v>
      </c>
      <c r="T310" t="s">
        <v>119</v>
      </c>
    </row>
    <row r="311" spans="1:20" ht="15" customHeight="1" x14ac:dyDescent="0.4">
      <c r="A311" t="s">
        <v>1349</v>
      </c>
      <c r="B311" t="s">
        <v>1349</v>
      </c>
      <c r="C311" t="s">
        <v>151</v>
      </c>
      <c r="D311" t="s">
        <v>81</v>
      </c>
      <c r="E311" t="s">
        <v>163</v>
      </c>
      <c r="F311" t="s">
        <v>6816</v>
      </c>
      <c r="G311" t="s">
        <v>6294</v>
      </c>
      <c r="H311" t="s">
        <v>6817</v>
      </c>
      <c r="L311" t="s">
        <v>6816</v>
      </c>
      <c r="N311" t="s">
        <v>6816</v>
      </c>
      <c r="O311" t="s">
        <v>7</v>
      </c>
      <c r="P311" t="s">
        <v>1350</v>
      </c>
      <c r="Q311" t="s">
        <v>1351</v>
      </c>
      <c r="R311" s="27" t="s">
        <v>6723</v>
      </c>
      <c r="S311" t="s">
        <v>6280</v>
      </c>
      <c r="T311" t="s">
        <v>119</v>
      </c>
    </row>
    <row r="312" spans="1:20" ht="15" customHeight="1" x14ac:dyDescent="0.4">
      <c r="A312" t="s">
        <v>1353</v>
      </c>
      <c r="B312" t="s">
        <v>1353</v>
      </c>
      <c r="C312" t="s">
        <v>151</v>
      </c>
      <c r="D312" t="s">
        <v>81</v>
      </c>
      <c r="E312" t="s">
        <v>163</v>
      </c>
      <c r="F312" t="s">
        <v>6818</v>
      </c>
      <c r="G312" t="s">
        <v>6294</v>
      </c>
      <c r="H312" t="s">
        <v>6819</v>
      </c>
      <c r="L312" t="s">
        <v>6818</v>
      </c>
      <c r="N312" t="s">
        <v>6818</v>
      </c>
      <c r="O312" t="s">
        <v>7</v>
      </c>
      <c r="P312" t="s">
        <v>1354</v>
      </c>
      <c r="Q312" t="s">
        <v>1355</v>
      </c>
      <c r="R312" s="27" t="s">
        <v>6718</v>
      </c>
      <c r="S312" t="s">
        <v>6280</v>
      </c>
      <c r="T312" t="s">
        <v>119</v>
      </c>
    </row>
    <row r="313" spans="1:20" ht="15" customHeight="1" x14ac:dyDescent="0.4">
      <c r="A313" t="s">
        <v>1357</v>
      </c>
      <c r="B313" t="s">
        <v>1357</v>
      </c>
      <c r="C313" t="s">
        <v>151</v>
      </c>
      <c r="D313" t="s">
        <v>81</v>
      </c>
      <c r="E313" t="s">
        <v>163</v>
      </c>
      <c r="F313" t="s">
        <v>6820</v>
      </c>
      <c r="G313" t="s">
        <v>6294</v>
      </c>
      <c r="H313" t="s">
        <v>6821</v>
      </c>
      <c r="L313" t="s">
        <v>6820</v>
      </c>
      <c r="N313" t="s">
        <v>6820</v>
      </c>
      <c r="O313" t="s">
        <v>7</v>
      </c>
      <c r="P313" t="s">
        <v>1358</v>
      </c>
      <c r="Q313" t="s">
        <v>1359</v>
      </c>
      <c r="R313" s="27" t="s">
        <v>6718</v>
      </c>
      <c r="S313" t="s">
        <v>6280</v>
      </c>
      <c r="T313" t="s">
        <v>119</v>
      </c>
    </row>
    <row r="314" spans="1:20" ht="15" customHeight="1" x14ac:dyDescent="0.4">
      <c r="A314" t="s">
        <v>1361</v>
      </c>
      <c r="B314" t="s">
        <v>1361</v>
      </c>
      <c r="C314" t="s">
        <v>151</v>
      </c>
      <c r="D314" t="s">
        <v>81</v>
      </c>
      <c r="E314" t="s">
        <v>163</v>
      </c>
      <c r="F314" t="s">
        <v>6822</v>
      </c>
      <c r="G314" t="s">
        <v>6294</v>
      </c>
      <c r="H314" t="s">
        <v>6823</v>
      </c>
      <c r="L314" t="s">
        <v>6822</v>
      </c>
      <c r="N314" t="s">
        <v>6822</v>
      </c>
      <c r="O314" t="s">
        <v>7</v>
      </c>
      <c r="P314" t="s">
        <v>1362</v>
      </c>
      <c r="Q314" t="s">
        <v>1363</v>
      </c>
      <c r="R314" s="27" t="s">
        <v>6718</v>
      </c>
      <c r="S314" t="s">
        <v>6280</v>
      </c>
      <c r="T314" t="s">
        <v>119</v>
      </c>
    </row>
    <row r="315" spans="1:20" ht="15" customHeight="1" x14ac:dyDescent="0.4">
      <c r="A315" t="s">
        <v>1365</v>
      </c>
      <c r="B315" t="s">
        <v>1365</v>
      </c>
      <c r="C315" t="s">
        <v>151</v>
      </c>
      <c r="D315" t="s">
        <v>81</v>
      </c>
      <c r="E315" t="s">
        <v>163</v>
      </c>
      <c r="F315" t="s">
        <v>6824</v>
      </c>
      <c r="G315" t="s">
        <v>6294</v>
      </c>
      <c r="H315" t="s">
        <v>6825</v>
      </c>
      <c r="L315" t="s">
        <v>6824</v>
      </c>
      <c r="N315" t="s">
        <v>6824</v>
      </c>
      <c r="O315" t="s">
        <v>7</v>
      </c>
      <c r="P315" t="s">
        <v>1366</v>
      </c>
      <c r="Q315" t="s">
        <v>1367</v>
      </c>
      <c r="R315" s="27" t="s">
        <v>6718</v>
      </c>
      <c r="S315" t="s">
        <v>6280</v>
      </c>
      <c r="T315" t="s">
        <v>119</v>
      </c>
    </row>
    <row r="316" spans="1:20" ht="15" customHeight="1" x14ac:dyDescent="0.4">
      <c r="A316" t="s">
        <v>1369</v>
      </c>
      <c r="B316" t="s">
        <v>1369</v>
      </c>
      <c r="C316" t="s">
        <v>151</v>
      </c>
      <c r="D316" t="s">
        <v>81</v>
      </c>
      <c r="E316" t="s">
        <v>163</v>
      </c>
      <c r="F316" t="s">
        <v>6826</v>
      </c>
      <c r="G316" t="s">
        <v>6294</v>
      </c>
      <c r="H316" t="s">
        <v>6827</v>
      </c>
      <c r="L316" t="s">
        <v>6826</v>
      </c>
      <c r="N316" t="s">
        <v>6826</v>
      </c>
      <c r="O316" t="s">
        <v>7</v>
      </c>
      <c r="P316" t="s">
        <v>1370</v>
      </c>
      <c r="Q316" t="s">
        <v>1371</v>
      </c>
      <c r="R316" s="27" t="s">
        <v>6723</v>
      </c>
      <c r="S316" t="s">
        <v>6280</v>
      </c>
      <c r="T316" t="s">
        <v>119</v>
      </c>
    </row>
    <row r="317" spans="1:20" ht="15" customHeight="1" x14ac:dyDescent="0.4">
      <c r="A317" t="s">
        <v>1373</v>
      </c>
      <c r="B317" t="s">
        <v>1373</v>
      </c>
      <c r="C317" t="s">
        <v>151</v>
      </c>
      <c r="D317" t="s">
        <v>81</v>
      </c>
      <c r="E317" t="s">
        <v>163</v>
      </c>
      <c r="F317" t="s">
        <v>6828</v>
      </c>
      <c r="G317" t="s">
        <v>6294</v>
      </c>
      <c r="H317" t="s">
        <v>6829</v>
      </c>
      <c r="L317" t="s">
        <v>6828</v>
      </c>
      <c r="N317" t="s">
        <v>6828</v>
      </c>
      <c r="O317" t="s">
        <v>7</v>
      </c>
      <c r="P317" t="s">
        <v>1374</v>
      </c>
      <c r="Q317" t="s">
        <v>1375</v>
      </c>
      <c r="R317" s="27" t="s">
        <v>6723</v>
      </c>
      <c r="S317" t="s">
        <v>6280</v>
      </c>
      <c r="T317" t="s">
        <v>119</v>
      </c>
    </row>
    <row r="318" spans="1:20" ht="15" customHeight="1" x14ac:dyDescent="0.4">
      <c r="A318" t="s">
        <v>1377</v>
      </c>
      <c r="B318" t="s">
        <v>1377</v>
      </c>
      <c r="C318" t="s">
        <v>151</v>
      </c>
      <c r="D318" t="s">
        <v>81</v>
      </c>
      <c r="E318" t="s">
        <v>163</v>
      </c>
      <c r="F318" t="s">
        <v>6830</v>
      </c>
      <c r="G318" t="s">
        <v>6294</v>
      </c>
      <c r="H318" t="s">
        <v>6831</v>
      </c>
      <c r="L318" t="s">
        <v>6830</v>
      </c>
      <c r="N318" t="s">
        <v>6830</v>
      </c>
      <c r="O318" t="s">
        <v>7</v>
      </c>
      <c r="P318" t="s">
        <v>1378</v>
      </c>
      <c r="Q318" t="s">
        <v>1379</v>
      </c>
      <c r="R318" s="27" t="s">
        <v>6723</v>
      </c>
      <c r="S318" t="s">
        <v>6280</v>
      </c>
      <c r="T318" t="s">
        <v>119</v>
      </c>
    </row>
    <row r="319" spans="1:20" ht="15" customHeight="1" x14ac:dyDescent="0.4">
      <c r="A319" t="s">
        <v>1381</v>
      </c>
      <c r="B319" t="s">
        <v>1381</v>
      </c>
      <c r="C319" t="s">
        <v>151</v>
      </c>
      <c r="D319" t="s">
        <v>81</v>
      </c>
      <c r="E319" t="s">
        <v>163</v>
      </c>
      <c r="F319" t="s">
        <v>6832</v>
      </c>
      <c r="G319" t="s">
        <v>6294</v>
      </c>
      <c r="H319" t="s">
        <v>6833</v>
      </c>
      <c r="L319" t="s">
        <v>6832</v>
      </c>
      <c r="N319" t="s">
        <v>6832</v>
      </c>
      <c r="O319" t="s">
        <v>7</v>
      </c>
      <c r="P319" t="s">
        <v>1382</v>
      </c>
      <c r="Q319" t="s">
        <v>1383</v>
      </c>
      <c r="R319" s="27" t="s">
        <v>6723</v>
      </c>
      <c r="S319" t="s">
        <v>6280</v>
      </c>
      <c r="T319" t="s">
        <v>119</v>
      </c>
    </row>
    <row r="320" spans="1:20" ht="15" customHeight="1" x14ac:dyDescent="0.4">
      <c r="A320" t="s">
        <v>1385</v>
      </c>
      <c r="B320" t="s">
        <v>1385</v>
      </c>
      <c r="C320" t="s">
        <v>151</v>
      </c>
      <c r="D320" t="s">
        <v>81</v>
      </c>
      <c r="E320" t="s">
        <v>163</v>
      </c>
      <c r="F320" t="s">
        <v>6834</v>
      </c>
      <c r="G320" t="s">
        <v>6294</v>
      </c>
      <c r="H320" t="s">
        <v>6835</v>
      </c>
      <c r="L320" t="s">
        <v>6834</v>
      </c>
      <c r="N320" t="s">
        <v>6834</v>
      </c>
      <c r="O320" t="s">
        <v>7</v>
      </c>
      <c r="P320" t="s">
        <v>1386</v>
      </c>
      <c r="Q320" t="s">
        <v>1387</v>
      </c>
      <c r="R320" s="27" t="s">
        <v>6723</v>
      </c>
      <c r="S320" t="s">
        <v>6280</v>
      </c>
      <c r="T320" t="s">
        <v>119</v>
      </c>
    </row>
    <row r="321" spans="1:20" ht="15" customHeight="1" x14ac:dyDescent="0.4">
      <c r="A321" t="s">
        <v>1389</v>
      </c>
      <c r="B321" t="s">
        <v>1389</v>
      </c>
      <c r="C321" t="s">
        <v>151</v>
      </c>
      <c r="D321" t="s">
        <v>81</v>
      </c>
      <c r="E321" t="s">
        <v>163</v>
      </c>
      <c r="F321" t="s">
        <v>6836</v>
      </c>
      <c r="G321" t="s">
        <v>6294</v>
      </c>
      <c r="H321" t="s">
        <v>6837</v>
      </c>
      <c r="L321" t="s">
        <v>6836</v>
      </c>
      <c r="N321" t="s">
        <v>6836</v>
      </c>
      <c r="O321" t="s">
        <v>7</v>
      </c>
      <c r="P321" t="s">
        <v>1390</v>
      </c>
      <c r="Q321" t="s">
        <v>1391</v>
      </c>
      <c r="R321" s="27" t="s">
        <v>6723</v>
      </c>
      <c r="S321" t="s">
        <v>6280</v>
      </c>
      <c r="T321" t="s">
        <v>119</v>
      </c>
    </row>
    <row r="322" spans="1:20" ht="15" customHeight="1" x14ac:dyDescent="0.4">
      <c r="A322" t="s">
        <v>1393</v>
      </c>
      <c r="B322" t="s">
        <v>1393</v>
      </c>
      <c r="C322" t="s">
        <v>151</v>
      </c>
      <c r="D322" t="s">
        <v>81</v>
      </c>
      <c r="E322" t="s">
        <v>163</v>
      </c>
      <c r="F322" t="s">
        <v>6838</v>
      </c>
      <c r="G322" t="s">
        <v>6294</v>
      </c>
      <c r="H322" t="s">
        <v>6839</v>
      </c>
      <c r="L322" t="s">
        <v>6838</v>
      </c>
      <c r="N322" t="s">
        <v>6838</v>
      </c>
      <c r="O322" t="s">
        <v>7</v>
      </c>
      <c r="P322" t="s">
        <v>1394</v>
      </c>
      <c r="Q322" t="s">
        <v>1395</v>
      </c>
      <c r="R322" s="27" t="s">
        <v>6723</v>
      </c>
      <c r="S322" t="s">
        <v>6280</v>
      </c>
      <c r="T322" t="s">
        <v>119</v>
      </c>
    </row>
    <row r="323" spans="1:20" ht="15" customHeight="1" x14ac:dyDescent="0.4">
      <c r="A323" t="s">
        <v>1397</v>
      </c>
      <c r="B323" t="s">
        <v>1397</v>
      </c>
      <c r="C323" t="s">
        <v>151</v>
      </c>
      <c r="D323" t="s">
        <v>81</v>
      </c>
      <c r="E323" t="s">
        <v>163</v>
      </c>
      <c r="F323" t="s">
        <v>6840</v>
      </c>
      <c r="G323" t="s">
        <v>6294</v>
      </c>
      <c r="H323" t="s">
        <v>6841</v>
      </c>
      <c r="L323" t="s">
        <v>6840</v>
      </c>
      <c r="N323" t="s">
        <v>6840</v>
      </c>
      <c r="O323" t="s">
        <v>7</v>
      </c>
      <c r="P323" t="s">
        <v>1398</v>
      </c>
      <c r="Q323" t="s">
        <v>1399</v>
      </c>
      <c r="R323" s="27" t="s">
        <v>6723</v>
      </c>
      <c r="S323" t="s">
        <v>6280</v>
      </c>
      <c r="T323" t="s">
        <v>119</v>
      </c>
    </row>
    <row r="324" spans="1:20" ht="15" customHeight="1" x14ac:dyDescent="0.4">
      <c r="A324" t="s">
        <v>1401</v>
      </c>
      <c r="B324" t="s">
        <v>1401</v>
      </c>
      <c r="C324" t="s">
        <v>151</v>
      </c>
      <c r="D324" t="s">
        <v>81</v>
      </c>
      <c r="E324" t="s">
        <v>163</v>
      </c>
      <c r="F324" t="s">
        <v>6842</v>
      </c>
      <c r="G324" t="s">
        <v>6294</v>
      </c>
      <c r="H324" t="s">
        <v>6843</v>
      </c>
      <c r="L324" t="s">
        <v>6842</v>
      </c>
      <c r="N324" t="s">
        <v>6842</v>
      </c>
      <c r="O324" t="s">
        <v>7</v>
      </c>
      <c r="P324" t="s">
        <v>1402</v>
      </c>
      <c r="Q324" t="s">
        <v>1403</v>
      </c>
      <c r="R324" s="27" t="s">
        <v>6781</v>
      </c>
      <c r="S324" t="s">
        <v>6280</v>
      </c>
      <c r="T324" t="s">
        <v>119</v>
      </c>
    </row>
    <row r="325" spans="1:20" ht="15" customHeight="1" x14ac:dyDescent="0.4">
      <c r="A325" t="s">
        <v>1405</v>
      </c>
      <c r="B325" t="s">
        <v>1405</v>
      </c>
      <c r="C325" t="s">
        <v>151</v>
      </c>
      <c r="D325" t="s">
        <v>81</v>
      </c>
      <c r="E325" t="s">
        <v>163</v>
      </c>
      <c r="F325" t="s">
        <v>6844</v>
      </c>
      <c r="G325" t="s">
        <v>6294</v>
      </c>
      <c r="H325" t="s">
        <v>6845</v>
      </c>
      <c r="L325" t="s">
        <v>6844</v>
      </c>
      <c r="N325" t="s">
        <v>6844</v>
      </c>
      <c r="O325" t="s">
        <v>7</v>
      </c>
      <c r="P325" t="s">
        <v>1406</v>
      </c>
      <c r="Q325" t="s">
        <v>1407</v>
      </c>
      <c r="R325" s="27" t="s">
        <v>6723</v>
      </c>
      <c r="S325" t="s">
        <v>6280</v>
      </c>
      <c r="T325" t="s">
        <v>119</v>
      </c>
    </row>
    <row r="326" spans="1:20" ht="15" customHeight="1" x14ac:dyDescent="0.4">
      <c r="A326" t="s">
        <v>1409</v>
      </c>
      <c r="B326" t="s">
        <v>1409</v>
      </c>
      <c r="C326" t="s">
        <v>151</v>
      </c>
      <c r="D326" t="s">
        <v>81</v>
      </c>
      <c r="E326" t="s">
        <v>163</v>
      </c>
      <c r="F326" t="s">
        <v>6846</v>
      </c>
      <c r="G326" t="s">
        <v>6294</v>
      </c>
      <c r="H326" t="s">
        <v>6847</v>
      </c>
      <c r="L326" t="s">
        <v>6846</v>
      </c>
      <c r="N326" t="s">
        <v>6846</v>
      </c>
      <c r="O326" t="s">
        <v>7</v>
      </c>
      <c r="P326" t="s">
        <v>1410</v>
      </c>
      <c r="Q326" t="s">
        <v>1411</v>
      </c>
      <c r="R326" t="s">
        <v>6279</v>
      </c>
      <c r="S326" t="s">
        <v>6280</v>
      </c>
      <c r="T326" t="s">
        <v>119</v>
      </c>
    </row>
    <row r="327" spans="1:20" ht="15" customHeight="1" x14ac:dyDescent="0.4">
      <c r="A327" t="s">
        <v>1413</v>
      </c>
      <c r="B327" t="s">
        <v>1413</v>
      </c>
      <c r="C327" t="s">
        <v>151</v>
      </c>
      <c r="D327" t="s">
        <v>81</v>
      </c>
      <c r="E327" t="s">
        <v>163</v>
      </c>
      <c r="F327" t="s">
        <v>6848</v>
      </c>
      <c r="G327" t="s">
        <v>6294</v>
      </c>
      <c r="H327" t="s">
        <v>6849</v>
      </c>
      <c r="L327" t="s">
        <v>6848</v>
      </c>
      <c r="N327" t="s">
        <v>6848</v>
      </c>
      <c r="O327" t="s">
        <v>7</v>
      </c>
      <c r="P327" t="s">
        <v>1414</v>
      </c>
      <c r="Q327" t="s">
        <v>1415</v>
      </c>
      <c r="R327" s="27" t="s">
        <v>6718</v>
      </c>
      <c r="S327" t="s">
        <v>6280</v>
      </c>
      <c r="T327" t="s">
        <v>119</v>
      </c>
    </row>
    <row r="328" spans="1:20" ht="15" customHeight="1" x14ac:dyDescent="0.4">
      <c r="A328" t="s">
        <v>1417</v>
      </c>
      <c r="B328" t="s">
        <v>1417</v>
      </c>
      <c r="C328" t="s">
        <v>151</v>
      </c>
      <c r="D328" t="s">
        <v>81</v>
      </c>
      <c r="E328" t="s">
        <v>163</v>
      </c>
      <c r="F328" t="s">
        <v>6850</v>
      </c>
      <c r="G328" t="s">
        <v>6294</v>
      </c>
      <c r="H328" t="s">
        <v>6851</v>
      </c>
      <c r="L328" t="s">
        <v>6850</v>
      </c>
      <c r="N328" t="s">
        <v>6850</v>
      </c>
      <c r="O328" t="s">
        <v>7</v>
      </c>
      <c r="P328" t="s">
        <v>1418</v>
      </c>
      <c r="Q328" t="s">
        <v>1419</v>
      </c>
      <c r="R328" s="27" t="s">
        <v>6723</v>
      </c>
      <c r="S328" t="s">
        <v>6280</v>
      </c>
      <c r="T328" t="s">
        <v>119</v>
      </c>
    </row>
    <row r="329" spans="1:20" ht="15" customHeight="1" x14ac:dyDescent="0.4">
      <c r="A329" t="s">
        <v>1421</v>
      </c>
      <c r="B329" t="s">
        <v>1421</v>
      </c>
      <c r="C329" t="s">
        <v>151</v>
      </c>
      <c r="D329" t="s">
        <v>81</v>
      </c>
      <c r="E329" t="s">
        <v>163</v>
      </c>
      <c r="F329" t="s">
        <v>6852</v>
      </c>
      <c r="G329" t="s">
        <v>6294</v>
      </c>
      <c r="H329" t="s">
        <v>6853</v>
      </c>
      <c r="L329" t="s">
        <v>6852</v>
      </c>
      <c r="N329" t="s">
        <v>6852</v>
      </c>
      <c r="O329" t="s">
        <v>7</v>
      </c>
      <c r="P329" t="s">
        <v>1422</v>
      </c>
      <c r="Q329" t="s">
        <v>1423</v>
      </c>
      <c r="R329" s="27" t="s">
        <v>6718</v>
      </c>
      <c r="S329" t="s">
        <v>6280</v>
      </c>
      <c r="T329" t="s">
        <v>119</v>
      </c>
    </row>
    <row r="330" spans="1:20" ht="15" customHeight="1" x14ac:dyDescent="0.4">
      <c r="A330" t="s">
        <v>1425</v>
      </c>
      <c r="B330" t="s">
        <v>1425</v>
      </c>
      <c r="C330" t="s">
        <v>151</v>
      </c>
      <c r="D330" t="s">
        <v>81</v>
      </c>
      <c r="E330" t="s">
        <v>163</v>
      </c>
      <c r="F330" t="s">
        <v>6854</v>
      </c>
      <c r="G330" t="s">
        <v>6294</v>
      </c>
      <c r="H330" t="s">
        <v>6855</v>
      </c>
      <c r="L330" t="s">
        <v>6854</v>
      </c>
      <c r="N330" t="s">
        <v>6854</v>
      </c>
      <c r="O330" t="s">
        <v>7</v>
      </c>
      <c r="P330" t="s">
        <v>1426</v>
      </c>
      <c r="Q330" t="s">
        <v>1427</v>
      </c>
      <c r="R330" s="27" t="s">
        <v>6723</v>
      </c>
      <c r="S330" t="s">
        <v>6280</v>
      </c>
      <c r="T330" t="s">
        <v>119</v>
      </c>
    </row>
    <row r="331" spans="1:20" ht="15" customHeight="1" x14ac:dyDescent="0.4">
      <c r="A331" t="s">
        <v>1429</v>
      </c>
      <c r="B331" t="s">
        <v>1429</v>
      </c>
      <c r="C331" t="s">
        <v>151</v>
      </c>
      <c r="D331" t="s">
        <v>81</v>
      </c>
      <c r="E331" t="s">
        <v>163</v>
      </c>
      <c r="F331" t="s">
        <v>6856</v>
      </c>
      <c r="G331" t="s">
        <v>6294</v>
      </c>
      <c r="H331" t="s">
        <v>6857</v>
      </c>
      <c r="L331" t="s">
        <v>6856</v>
      </c>
      <c r="N331" t="s">
        <v>6856</v>
      </c>
      <c r="O331" t="s">
        <v>7</v>
      </c>
      <c r="P331" t="s">
        <v>1430</v>
      </c>
      <c r="Q331" t="s">
        <v>1431</v>
      </c>
      <c r="R331" s="27" t="s">
        <v>6718</v>
      </c>
      <c r="S331" t="s">
        <v>6280</v>
      </c>
      <c r="T331" t="s">
        <v>119</v>
      </c>
    </row>
    <row r="332" spans="1:20" ht="15" customHeight="1" x14ac:dyDescent="0.4">
      <c r="A332" t="s">
        <v>1433</v>
      </c>
      <c r="B332" t="s">
        <v>1433</v>
      </c>
      <c r="C332" t="s">
        <v>151</v>
      </c>
      <c r="D332" t="s">
        <v>81</v>
      </c>
      <c r="E332" t="s">
        <v>163</v>
      </c>
      <c r="F332" t="s">
        <v>6858</v>
      </c>
      <c r="G332" t="s">
        <v>6294</v>
      </c>
      <c r="H332" t="s">
        <v>6859</v>
      </c>
      <c r="L332" t="s">
        <v>6858</v>
      </c>
      <c r="N332" t="s">
        <v>6858</v>
      </c>
      <c r="O332" t="s">
        <v>7</v>
      </c>
      <c r="P332" t="s">
        <v>1434</v>
      </c>
      <c r="Q332" t="s">
        <v>1435</v>
      </c>
      <c r="R332" s="27" t="s">
        <v>6723</v>
      </c>
      <c r="S332" t="s">
        <v>6280</v>
      </c>
      <c r="T332" t="s">
        <v>119</v>
      </c>
    </row>
    <row r="333" spans="1:20" ht="15" customHeight="1" x14ac:dyDescent="0.4">
      <c r="A333" t="s">
        <v>1437</v>
      </c>
      <c r="B333" t="s">
        <v>1437</v>
      </c>
      <c r="C333" t="s">
        <v>151</v>
      </c>
      <c r="D333" t="s">
        <v>81</v>
      </c>
      <c r="E333" t="s">
        <v>163</v>
      </c>
      <c r="F333" t="s">
        <v>6860</v>
      </c>
      <c r="G333" t="s">
        <v>6294</v>
      </c>
      <c r="H333" t="s">
        <v>6861</v>
      </c>
      <c r="L333" t="s">
        <v>6860</v>
      </c>
      <c r="N333" t="s">
        <v>6860</v>
      </c>
      <c r="O333" t="s">
        <v>7</v>
      </c>
      <c r="P333" t="s">
        <v>1438</v>
      </c>
      <c r="Q333" t="s">
        <v>1439</v>
      </c>
      <c r="R333" s="27" t="s">
        <v>6723</v>
      </c>
      <c r="S333" t="s">
        <v>6280</v>
      </c>
      <c r="T333" t="s">
        <v>119</v>
      </c>
    </row>
    <row r="334" spans="1:20" ht="15" customHeight="1" x14ac:dyDescent="0.4">
      <c r="A334" t="s">
        <v>1441</v>
      </c>
      <c r="B334" t="s">
        <v>1441</v>
      </c>
      <c r="C334" t="s">
        <v>151</v>
      </c>
      <c r="D334" t="s">
        <v>81</v>
      </c>
      <c r="E334" t="s">
        <v>163</v>
      </c>
      <c r="F334" t="s">
        <v>6862</v>
      </c>
      <c r="G334" t="s">
        <v>6294</v>
      </c>
      <c r="H334" t="s">
        <v>6863</v>
      </c>
      <c r="L334" t="s">
        <v>6862</v>
      </c>
      <c r="N334" t="s">
        <v>6862</v>
      </c>
      <c r="O334" t="s">
        <v>7</v>
      </c>
      <c r="P334" t="s">
        <v>1442</v>
      </c>
      <c r="Q334" t="s">
        <v>1443</v>
      </c>
      <c r="R334" s="27" t="s">
        <v>6723</v>
      </c>
      <c r="S334" t="s">
        <v>6280</v>
      </c>
      <c r="T334" t="s">
        <v>119</v>
      </c>
    </row>
    <row r="335" spans="1:20" ht="15" customHeight="1" x14ac:dyDescent="0.4">
      <c r="A335" t="s">
        <v>1445</v>
      </c>
      <c r="B335" t="s">
        <v>1445</v>
      </c>
      <c r="C335" t="s">
        <v>151</v>
      </c>
      <c r="D335" t="s">
        <v>81</v>
      </c>
      <c r="E335" t="s">
        <v>163</v>
      </c>
      <c r="F335" t="s">
        <v>6864</v>
      </c>
      <c r="G335" t="s">
        <v>6294</v>
      </c>
      <c r="H335" t="s">
        <v>6865</v>
      </c>
      <c r="L335" t="s">
        <v>6864</v>
      </c>
      <c r="N335" t="s">
        <v>6864</v>
      </c>
      <c r="O335" t="s">
        <v>7</v>
      </c>
      <c r="P335" t="s">
        <v>1446</v>
      </c>
      <c r="Q335" t="s">
        <v>1447</v>
      </c>
      <c r="R335" s="27" t="s">
        <v>6718</v>
      </c>
      <c r="S335" t="s">
        <v>6280</v>
      </c>
      <c r="T335" t="s">
        <v>119</v>
      </c>
    </row>
    <row r="336" spans="1:20" ht="15" customHeight="1" x14ac:dyDescent="0.4">
      <c r="A336" t="s">
        <v>1449</v>
      </c>
      <c r="B336" t="s">
        <v>1449</v>
      </c>
      <c r="C336" t="s">
        <v>151</v>
      </c>
      <c r="D336" t="s">
        <v>81</v>
      </c>
      <c r="E336" t="s">
        <v>163</v>
      </c>
      <c r="F336" t="s">
        <v>6866</v>
      </c>
      <c r="G336" t="s">
        <v>6294</v>
      </c>
      <c r="H336" t="s">
        <v>6867</v>
      </c>
      <c r="L336" t="s">
        <v>6866</v>
      </c>
      <c r="N336" t="s">
        <v>6866</v>
      </c>
      <c r="O336" t="s">
        <v>7</v>
      </c>
      <c r="P336" t="s">
        <v>1450</v>
      </c>
      <c r="Q336" t="s">
        <v>1451</v>
      </c>
      <c r="R336" s="27" t="s">
        <v>6723</v>
      </c>
      <c r="S336" t="s">
        <v>6280</v>
      </c>
      <c r="T336" t="s">
        <v>119</v>
      </c>
    </row>
    <row r="337" spans="1:20" ht="15" customHeight="1" x14ac:dyDescent="0.4">
      <c r="A337" t="s">
        <v>1453</v>
      </c>
      <c r="B337" t="s">
        <v>1453</v>
      </c>
      <c r="C337" t="s">
        <v>151</v>
      </c>
      <c r="D337" t="s">
        <v>81</v>
      </c>
      <c r="E337" t="s">
        <v>163</v>
      </c>
      <c r="F337" t="s">
        <v>6868</v>
      </c>
      <c r="G337" t="s">
        <v>6294</v>
      </c>
      <c r="H337" t="s">
        <v>6869</v>
      </c>
      <c r="L337" t="s">
        <v>6868</v>
      </c>
      <c r="N337" t="s">
        <v>6868</v>
      </c>
      <c r="O337" t="s">
        <v>7</v>
      </c>
      <c r="P337" t="s">
        <v>1454</v>
      </c>
      <c r="Q337" t="s">
        <v>1455</v>
      </c>
      <c r="R337" s="27" t="s">
        <v>6718</v>
      </c>
      <c r="S337" t="s">
        <v>6280</v>
      </c>
      <c r="T337" t="s">
        <v>119</v>
      </c>
    </row>
    <row r="338" spans="1:20" ht="15" customHeight="1" x14ac:dyDescent="0.4">
      <c r="A338" t="s">
        <v>1457</v>
      </c>
      <c r="B338" t="s">
        <v>1457</v>
      </c>
      <c r="C338" t="s">
        <v>151</v>
      </c>
      <c r="D338" t="s">
        <v>81</v>
      </c>
      <c r="E338" t="s">
        <v>163</v>
      </c>
      <c r="F338" t="s">
        <v>6870</v>
      </c>
      <c r="G338" t="s">
        <v>6294</v>
      </c>
      <c r="H338" t="s">
        <v>6871</v>
      </c>
      <c r="L338" t="s">
        <v>6870</v>
      </c>
      <c r="N338" t="s">
        <v>6870</v>
      </c>
      <c r="O338" t="s">
        <v>7</v>
      </c>
      <c r="P338" t="s">
        <v>1458</v>
      </c>
      <c r="Q338" t="s">
        <v>1459</v>
      </c>
      <c r="R338" s="27" t="s">
        <v>6723</v>
      </c>
      <c r="S338" t="s">
        <v>6280</v>
      </c>
      <c r="T338" t="s">
        <v>119</v>
      </c>
    </row>
    <row r="339" spans="1:20" ht="15" customHeight="1" x14ac:dyDescent="0.4">
      <c r="A339" t="s">
        <v>1461</v>
      </c>
      <c r="B339" t="s">
        <v>1461</v>
      </c>
      <c r="C339" t="s">
        <v>151</v>
      </c>
      <c r="D339" t="s">
        <v>81</v>
      </c>
      <c r="E339" t="s">
        <v>163</v>
      </c>
      <c r="F339" t="s">
        <v>6872</v>
      </c>
      <c r="G339" t="s">
        <v>6294</v>
      </c>
      <c r="H339" t="s">
        <v>6873</v>
      </c>
      <c r="L339" t="s">
        <v>6872</v>
      </c>
      <c r="N339" t="s">
        <v>6872</v>
      </c>
      <c r="O339" t="s">
        <v>7</v>
      </c>
      <c r="P339" t="s">
        <v>1462</v>
      </c>
      <c r="Q339" t="s">
        <v>1463</v>
      </c>
      <c r="R339" s="27" t="s">
        <v>6723</v>
      </c>
      <c r="S339" t="s">
        <v>6280</v>
      </c>
      <c r="T339" t="s">
        <v>119</v>
      </c>
    </row>
    <row r="340" spans="1:20" ht="15" customHeight="1" x14ac:dyDescent="0.4">
      <c r="A340" t="s">
        <v>1465</v>
      </c>
      <c r="B340" t="s">
        <v>1465</v>
      </c>
      <c r="C340" t="s">
        <v>151</v>
      </c>
      <c r="D340" t="s">
        <v>81</v>
      </c>
      <c r="E340" t="s">
        <v>163</v>
      </c>
      <c r="F340" t="s">
        <v>6874</v>
      </c>
      <c r="G340" t="s">
        <v>6294</v>
      </c>
      <c r="H340" t="s">
        <v>6875</v>
      </c>
      <c r="L340" t="s">
        <v>6874</v>
      </c>
      <c r="N340" t="s">
        <v>6874</v>
      </c>
      <c r="O340" t="s">
        <v>7</v>
      </c>
      <c r="P340" t="s">
        <v>1466</v>
      </c>
      <c r="Q340" t="s">
        <v>1467</v>
      </c>
      <c r="R340" s="27" t="s">
        <v>6723</v>
      </c>
      <c r="S340" t="s">
        <v>6280</v>
      </c>
      <c r="T340" t="s">
        <v>119</v>
      </c>
    </row>
    <row r="341" spans="1:20" ht="15" customHeight="1" x14ac:dyDescent="0.4">
      <c r="A341" t="s">
        <v>1469</v>
      </c>
      <c r="B341" t="s">
        <v>1469</v>
      </c>
      <c r="C341" t="s">
        <v>151</v>
      </c>
      <c r="D341" t="s">
        <v>81</v>
      </c>
      <c r="E341" t="s">
        <v>163</v>
      </c>
      <c r="F341" t="s">
        <v>6876</v>
      </c>
      <c r="G341" t="s">
        <v>6294</v>
      </c>
      <c r="H341" t="s">
        <v>6877</v>
      </c>
      <c r="L341" t="s">
        <v>6876</v>
      </c>
      <c r="N341" t="s">
        <v>6876</v>
      </c>
      <c r="O341" t="s">
        <v>7</v>
      </c>
      <c r="P341" t="s">
        <v>1470</v>
      </c>
      <c r="Q341" t="s">
        <v>1471</v>
      </c>
      <c r="R341" s="27" t="s">
        <v>6723</v>
      </c>
      <c r="S341" t="s">
        <v>6280</v>
      </c>
      <c r="T341" t="s">
        <v>119</v>
      </c>
    </row>
    <row r="342" spans="1:20" ht="15" customHeight="1" x14ac:dyDescent="0.4">
      <c r="A342" t="s">
        <v>1473</v>
      </c>
      <c r="B342" t="s">
        <v>1473</v>
      </c>
      <c r="C342" t="s">
        <v>151</v>
      </c>
      <c r="D342" t="s">
        <v>81</v>
      </c>
      <c r="E342" t="s">
        <v>163</v>
      </c>
      <c r="F342" t="s">
        <v>6878</v>
      </c>
      <c r="G342" t="s">
        <v>6294</v>
      </c>
      <c r="H342" t="s">
        <v>1472</v>
      </c>
      <c r="L342" t="s">
        <v>6879</v>
      </c>
      <c r="N342" t="s">
        <v>6879</v>
      </c>
      <c r="O342" t="s">
        <v>7</v>
      </c>
      <c r="P342" t="s">
        <v>1474</v>
      </c>
      <c r="Q342" t="s">
        <v>1475</v>
      </c>
      <c r="R342" t="s">
        <v>6880</v>
      </c>
      <c r="S342" t="s">
        <v>6280</v>
      </c>
      <c r="T342" t="s">
        <v>119</v>
      </c>
    </row>
    <row r="343" spans="1:20" ht="15" customHeight="1" x14ac:dyDescent="0.4">
      <c r="A343" t="s">
        <v>1477</v>
      </c>
      <c r="B343" t="s">
        <v>1477</v>
      </c>
      <c r="C343" t="s">
        <v>151</v>
      </c>
      <c r="D343" t="s">
        <v>81</v>
      </c>
      <c r="E343" t="s">
        <v>163</v>
      </c>
      <c r="F343" t="s">
        <v>6881</v>
      </c>
      <c r="G343" t="s">
        <v>6294</v>
      </c>
      <c r="H343" t="s">
        <v>1476</v>
      </c>
      <c r="L343" t="s">
        <v>6882</v>
      </c>
      <c r="N343" t="s">
        <v>6882</v>
      </c>
      <c r="O343" t="s">
        <v>7</v>
      </c>
      <c r="P343" t="s">
        <v>1478</v>
      </c>
      <c r="Q343" t="s">
        <v>1479</v>
      </c>
      <c r="R343" t="s">
        <v>6883</v>
      </c>
      <c r="S343" t="s">
        <v>6280</v>
      </c>
      <c r="T343" t="s">
        <v>119</v>
      </c>
    </row>
    <row r="344" spans="1:20" ht="15" customHeight="1" x14ac:dyDescent="0.4">
      <c r="A344" t="s">
        <v>1481</v>
      </c>
      <c r="B344" t="s">
        <v>1481</v>
      </c>
      <c r="C344" t="s">
        <v>151</v>
      </c>
      <c r="D344" t="s">
        <v>81</v>
      </c>
      <c r="E344" t="s">
        <v>163</v>
      </c>
      <c r="F344" t="s">
        <v>6884</v>
      </c>
      <c r="G344" t="s">
        <v>6294</v>
      </c>
      <c r="H344" t="s">
        <v>1480</v>
      </c>
      <c r="L344" t="s">
        <v>6885</v>
      </c>
      <c r="N344" t="s">
        <v>6885</v>
      </c>
      <c r="O344" t="s">
        <v>7</v>
      </c>
      <c r="P344" t="s">
        <v>1482</v>
      </c>
      <c r="Q344" t="s">
        <v>1483</v>
      </c>
      <c r="R344" t="s">
        <v>6886</v>
      </c>
      <c r="S344" t="s">
        <v>6280</v>
      </c>
      <c r="T344" t="s">
        <v>119</v>
      </c>
    </row>
    <row r="345" spans="1:20" ht="15" customHeight="1" x14ac:dyDescent="0.4">
      <c r="A345" t="s">
        <v>1485</v>
      </c>
      <c r="B345" t="s">
        <v>1485</v>
      </c>
      <c r="C345" t="s">
        <v>151</v>
      </c>
      <c r="D345" t="s">
        <v>81</v>
      </c>
      <c r="E345" t="s">
        <v>163</v>
      </c>
      <c r="F345" t="s">
        <v>6887</v>
      </c>
      <c r="G345" t="s">
        <v>6294</v>
      </c>
      <c r="H345" t="s">
        <v>1484</v>
      </c>
      <c r="L345" t="s">
        <v>6888</v>
      </c>
      <c r="N345" t="s">
        <v>6888</v>
      </c>
      <c r="O345" t="s">
        <v>7</v>
      </c>
      <c r="P345" t="s">
        <v>1486</v>
      </c>
      <c r="Q345" t="s">
        <v>1487</v>
      </c>
      <c r="R345" t="s">
        <v>6889</v>
      </c>
      <c r="S345" t="s">
        <v>6280</v>
      </c>
      <c r="T345" t="s">
        <v>119</v>
      </c>
    </row>
    <row r="346" spans="1:20" ht="15" customHeight="1" x14ac:dyDescent="0.4">
      <c r="A346" t="s">
        <v>1489</v>
      </c>
      <c r="B346" t="s">
        <v>1489</v>
      </c>
      <c r="C346" t="s">
        <v>151</v>
      </c>
      <c r="D346" t="s">
        <v>81</v>
      </c>
      <c r="E346" t="s">
        <v>163</v>
      </c>
      <c r="F346" t="s">
        <v>6890</v>
      </c>
      <c r="G346" t="s">
        <v>6294</v>
      </c>
      <c r="H346" t="s">
        <v>1488</v>
      </c>
      <c r="L346" t="s">
        <v>6891</v>
      </c>
      <c r="N346" t="s">
        <v>6891</v>
      </c>
      <c r="O346" t="s">
        <v>7</v>
      </c>
      <c r="P346" t="s">
        <v>1490</v>
      </c>
      <c r="Q346" t="s">
        <v>1491</v>
      </c>
      <c r="R346" t="s">
        <v>6892</v>
      </c>
      <c r="S346" t="s">
        <v>6280</v>
      </c>
      <c r="T346" t="s">
        <v>119</v>
      </c>
    </row>
    <row r="347" spans="1:20" ht="15" customHeight="1" x14ac:dyDescent="0.4">
      <c r="A347" t="s">
        <v>1493</v>
      </c>
      <c r="B347" t="s">
        <v>1493</v>
      </c>
      <c r="C347" t="s">
        <v>151</v>
      </c>
      <c r="D347" t="s">
        <v>81</v>
      </c>
      <c r="E347" t="s">
        <v>163</v>
      </c>
      <c r="F347" t="s">
        <v>6893</v>
      </c>
      <c r="G347" t="s">
        <v>6294</v>
      </c>
      <c r="H347" t="s">
        <v>1492</v>
      </c>
      <c r="L347" t="s">
        <v>6894</v>
      </c>
      <c r="N347" t="s">
        <v>6894</v>
      </c>
      <c r="O347" t="s">
        <v>7</v>
      </c>
      <c r="P347" t="s">
        <v>1494</v>
      </c>
      <c r="Q347" t="s">
        <v>1495</v>
      </c>
      <c r="R347" t="s">
        <v>6895</v>
      </c>
      <c r="S347" t="s">
        <v>6280</v>
      </c>
      <c r="T347" t="s">
        <v>119</v>
      </c>
    </row>
    <row r="348" spans="1:20" ht="15" customHeight="1" x14ac:dyDescent="0.4">
      <c r="A348" t="s">
        <v>1497</v>
      </c>
      <c r="B348" t="s">
        <v>1497</v>
      </c>
      <c r="C348" t="s">
        <v>151</v>
      </c>
      <c r="D348" t="s">
        <v>81</v>
      </c>
      <c r="E348" t="s">
        <v>163</v>
      </c>
      <c r="F348" t="s">
        <v>6896</v>
      </c>
      <c r="G348" t="s">
        <v>6294</v>
      </c>
      <c r="H348" t="s">
        <v>1496</v>
      </c>
      <c r="L348" t="s">
        <v>6897</v>
      </c>
      <c r="N348" t="s">
        <v>6897</v>
      </c>
      <c r="O348" t="s">
        <v>7</v>
      </c>
      <c r="P348" t="s">
        <v>1498</v>
      </c>
      <c r="Q348" t="s">
        <v>1499</v>
      </c>
      <c r="R348" t="s">
        <v>6898</v>
      </c>
      <c r="S348" t="s">
        <v>6280</v>
      </c>
      <c r="T348" t="s">
        <v>119</v>
      </c>
    </row>
    <row r="349" spans="1:20" ht="15" customHeight="1" x14ac:dyDescent="0.4">
      <c r="A349" t="s">
        <v>1501</v>
      </c>
      <c r="B349" t="s">
        <v>1501</v>
      </c>
      <c r="C349" t="s">
        <v>151</v>
      </c>
      <c r="D349" t="s">
        <v>81</v>
      </c>
      <c r="E349" t="s">
        <v>163</v>
      </c>
      <c r="F349" t="s">
        <v>6899</v>
      </c>
      <c r="G349" t="s">
        <v>6294</v>
      </c>
      <c r="H349" t="s">
        <v>1500</v>
      </c>
      <c r="L349" t="s">
        <v>6900</v>
      </c>
      <c r="N349" t="s">
        <v>6900</v>
      </c>
      <c r="O349" t="s">
        <v>7</v>
      </c>
      <c r="P349" t="s">
        <v>1502</v>
      </c>
      <c r="Q349" t="s">
        <v>1503</v>
      </c>
      <c r="R349" t="s">
        <v>6901</v>
      </c>
      <c r="S349" t="s">
        <v>6280</v>
      </c>
      <c r="T349" t="s">
        <v>119</v>
      </c>
    </row>
    <row r="350" spans="1:20" ht="15" customHeight="1" x14ac:dyDescent="0.4">
      <c r="A350" t="s">
        <v>1505</v>
      </c>
      <c r="B350" t="s">
        <v>1505</v>
      </c>
      <c r="C350" t="s">
        <v>151</v>
      </c>
      <c r="D350" t="s">
        <v>81</v>
      </c>
      <c r="E350" t="s">
        <v>163</v>
      </c>
      <c r="F350" t="s">
        <v>6902</v>
      </c>
      <c r="G350" t="s">
        <v>6294</v>
      </c>
      <c r="H350" t="s">
        <v>1504</v>
      </c>
      <c r="L350" t="s">
        <v>6903</v>
      </c>
      <c r="N350" t="s">
        <v>6903</v>
      </c>
      <c r="O350" t="s">
        <v>7</v>
      </c>
      <c r="P350" t="s">
        <v>1506</v>
      </c>
      <c r="Q350" t="s">
        <v>1507</v>
      </c>
      <c r="R350" t="s">
        <v>6904</v>
      </c>
      <c r="S350" t="s">
        <v>6280</v>
      </c>
      <c r="T350" t="s">
        <v>119</v>
      </c>
    </row>
    <row r="351" spans="1:20" ht="15" customHeight="1" x14ac:dyDescent="0.4">
      <c r="A351" t="s">
        <v>1509</v>
      </c>
      <c r="B351" t="s">
        <v>1509</v>
      </c>
      <c r="C351" t="s">
        <v>151</v>
      </c>
      <c r="D351" t="s">
        <v>81</v>
      </c>
      <c r="E351" t="s">
        <v>163</v>
      </c>
      <c r="F351" t="s">
        <v>6905</v>
      </c>
      <c r="G351" t="s">
        <v>6294</v>
      </c>
      <c r="H351" t="s">
        <v>1508</v>
      </c>
      <c r="L351" t="s">
        <v>6906</v>
      </c>
      <c r="N351" t="s">
        <v>6906</v>
      </c>
      <c r="O351" t="s">
        <v>7</v>
      </c>
      <c r="P351" t="s">
        <v>1510</v>
      </c>
      <c r="Q351" t="s">
        <v>1511</v>
      </c>
      <c r="R351" t="s">
        <v>6907</v>
      </c>
      <c r="S351" t="s">
        <v>6280</v>
      </c>
      <c r="T351" t="s">
        <v>119</v>
      </c>
    </row>
    <row r="352" spans="1:20" ht="15" customHeight="1" x14ac:dyDescent="0.4">
      <c r="A352" t="s">
        <v>1513</v>
      </c>
      <c r="B352" t="s">
        <v>1513</v>
      </c>
      <c r="C352" t="s">
        <v>151</v>
      </c>
      <c r="D352" t="s">
        <v>81</v>
      </c>
      <c r="E352" t="s">
        <v>163</v>
      </c>
      <c r="F352" t="s">
        <v>6908</v>
      </c>
      <c r="G352" t="s">
        <v>6294</v>
      </c>
      <c r="H352" t="s">
        <v>1512</v>
      </c>
      <c r="L352" t="s">
        <v>6909</v>
      </c>
      <c r="N352" t="s">
        <v>6909</v>
      </c>
      <c r="O352" t="s">
        <v>7</v>
      </c>
      <c r="P352" t="s">
        <v>1514</v>
      </c>
      <c r="Q352" t="s">
        <v>1515</v>
      </c>
      <c r="R352" t="s">
        <v>6910</v>
      </c>
      <c r="S352" t="s">
        <v>6280</v>
      </c>
      <c r="T352" t="s">
        <v>119</v>
      </c>
    </row>
    <row r="353" spans="1:20" ht="15" customHeight="1" x14ac:dyDescent="0.4">
      <c r="A353" t="s">
        <v>1517</v>
      </c>
      <c r="B353" t="s">
        <v>1517</v>
      </c>
      <c r="C353" t="s">
        <v>151</v>
      </c>
      <c r="D353" t="s">
        <v>81</v>
      </c>
      <c r="E353" t="s">
        <v>163</v>
      </c>
      <c r="F353" t="s">
        <v>6911</v>
      </c>
      <c r="G353" t="s">
        <v>6294</v>
      </c>
      <c r="H353" t="s">
        <v>1516</v>
      </c>
      <c r="L353" t="s">
        <v>6912</v>
      </c>
      <c r="N353" t="s">
        <v>6912</v>
      </c>
      <c r="O353" t="s">
        <v>7</v>
      </c>
      <c r="P353" t="s">
        <v>1518</v>
      </c>
      <c r="Q353" t="s">
        <v>1519</v>
      </c>
      <c r="R353" t="s">
        <v>6913</v>
      </c>
      <c r="S353" t="s">
        <v>6280</v>
      </c>
      <c r="T353" t="s">
        <v>119</v>
      </c>
    </row>
    <row r="354" spans="1:20" ht="15" customHeight="1" x14ac:dyDescent="0.4">
      <c r="A354" t="s">
        <v>1521</v>
      </c>
      <c r="B354" t="s">
        <v>1521</v>
      </c>
      <c r="C354" t="s">
        <v>151</v>
      </c>
      <c r="D354" t="s">
        <v>81</v>
      </c>
      <c r="E354" t="s">
        <v>163</v>
      </c>
      <c r="F354" t="s">
        <v>6914</v>
      </c>
      <c r="G354" t="s">
        <v>6294</v>
      </c>
      <c r="H354" t="s">
        <v>1520</v>
      </c>
      <c r="L354" t="s">
        <v>6915</v>
      </c>
      <c r="N354" t="s">
        <v>6915</v>
      </c>
      <c r="O354" t="s">
        <v>7</v>
      </c>
      <c r="P354" t="s">
        <v>1522</v>
      </c>
      <c r="Q354" t="s">
        <v>1523</v>
      </c>
      <c r="R354" t="s">
        <v>6916</v>
      </c>
      <c r="S354" t="s">
        <v>6280</v>
      </c>
      <c r="T354" t="s">
        <v>119</v>
      </c>
    </row>
    <row r="355" spans="1:20" ht="15" customHeight="1" x14ac:dyDescent="0.4">
      <c r="A355" t="s">
        <v>1525</v>
      </c>
      <c r="B355" t="s">
        <v>1525</v>
      </c>
      <c r="C355" t="s">
        <v>151</v>
      </c>
      <c r="D355" t="s">
        <v>81</v>
      </c>
      <c r="E355" t="s">
        <v>163</v>
      </c>
      <c r="F355" t="s">
        <v>6917</v>
      </c>
      <c r="G355" t="s">
        <v>6294</v>
      </c>
      <c r="H355" t="s">
        <v>1524</v>
      </c>
      <c r="L355" t="s">
        <v>6918</v>
      </c>
      <c r="N355" t="s">
        <v>6918</v>
      </c>
      <c r="O355" t="s">
        <v>7</v>
      </c>
      <c r="P355" t="s">
        <v>1526</v>
      </c>
      <c r="Q355" t="s">
        <v>1527</v>
      </c>
      <c r="R355" t="s">
        <v>6919</v>
      </c>
      <c r="S355" t="s">
        <v>6280</v>
      </c>
      <c r="T355" t="s">
        <v>119</v>
      </c>
    </row>
    <row r="356" spans="1:20" ht="15" customHeight="1" x14ac:dyDescent="0.4">
      <c r="A356" t="s">
        <v>1529</v>
      </c>
      <c r="B356" t="s">
        <v>1529</v>
      </c>
      <c r="C356" t="s">
        <v>151</v>
      </c>
      <c r="D356" t="s">
        <v>81</v>
      </c>
      <c r="E356" t="s">
        <v>163</v>
      </c>
      <c r="F356" t="s">
        <v>6920</v>
      </c>
      <c r="G356" t="s">
        <v>6294</v>
      </c>
      <c r="H356" t="s">
        <v>1528</v>
      </c>
      <c r="L356" t="s">
        <v>6921</v>
      </c>
      <c r="N356" t="s">
        <v>6921</v>
      </c>
      <c r="O356" t="s">
        <v>7</v>
      </c>
      <c r="P356" t="s">
        <v>1530</v>
      </c>
      <c r="Q356" t="s">
        <v>1531</v>
      </c>
      <c r="R356" t="s">
        <v>6922</v>
      </c>
      <c r="S356" t="s">
        <v>6280</v>
      </c>
      <c r="T356" t="s">
        <v>119</v>
      </c>
    </row>
    <row r="357" spans="1:20" ht="15" customHeight="1" x14ac:dyDescent="0.4">
      <c r="A357" t="s">
        <v>1533</v>
      </c>
      <c r="B357" t="s">
        <v>1533</v>
      </c>
      <c r="C357" t="s">
        <v>151</v>
      </c>
      <c r="D357" t="s">
        <v>81</v>
      </c>
      <c r="E357" t="s">
        <v>163</v>
      </c>
      <c r="F357" t="s">
        <v>6923</v>
      </c>
      <c r="G357" t="s">
        <v>6294</v>
      </c>
      <c r="H357" t="s">
        <v>1532</v>
      </c>
      <c r="L357" t="s">
        <v>6924</v>
      </c>
      <c r="N357" t="s">
        <v>6924</v>
      </c>
      <c r="O357" t="s">
        <v>7</v>
      </c>
      <c r="P357" t="s">
        <v>1534</v>
      </c>
      <c r="Q357" t="s">
        <v>1535</v>
      </c>
      <c r="R357" t="s">
        <v>6925</v>
      </c>
      <c r="S357" t="s">
        <v>6280</v>
      </c>
      <c r="T357" t="s">
        <v>119</v>
      </c>
    </row>
    <row r="358" spans="1:20" ht="15" customHeight="1" x14ac:dyDescent="0.4">
      <c r="A358" t="s">
        <v>1537</v>
      </c>
      <c r="B358" t="s">
        <v>1537</v>
      </c>
      <c r="C358" t="s">
        <v>151</v>
      </c>
      <c r="D358" t="s">
        <v>81</v>
      </c>
      <c r="E358" t="s">
        <v>163</v>
      </c>
      <c r="F358" t="s">
        <v>6926</v>
      </c>
      <c r="G358" t="s">
        <v>6294</v>
      </c>
      <c r="H358" t="s">
        <v>1536</v>
      </c>
      <c r="L358" t="s">
        <v>6927</v>
      </c>
      <c r="N358" t="s">
        <v>6927</v>
      </c>
      <c r="O358" t="s">
        <v>7</v>
      </c>
      <c r="P358" t="s">
        <v>1538</v>
      </c>
      <c r="Q358" t="s">
        <v>1539</v>
      </c>
      <c r="R358" t="s">
        <v>6928</v>
      </c>
      <c r="S358" t="s">
        <v>6280</v>
      </c>
      <c r="T358" t="s">
        <v>119</v>
      </c>
    </row>
    <row r="359" spans="1:20" ht="15" customHeight="1" x14ac:dyDescent="0.4">
      <c r="A359" t="s">
        <v>1541</v>
      </c>
      <c r="B359" t="s">
        <v>1541</v>
      </c>
      <c r="C359" t="s">
        <v>151</v>
      </c>
      <c r="D359" t="s">
        <v>81</v>
      </c>
      <c r="E359" t="s">
        <v>163</v>
      </c>
      <c r="F359" t="s">
        <v>6929</v>
      </c>
      <c r="G359" t="s">
        <v>6294</v>
      </c>
      <c r="H359" t="s">
        <v>1540</v>
      </c>
      <c r="L359" t="s">
        <v>6930</v>
      </c>
      <c r="N359" t="s">
        <v>6930</v>
      </c>
      <c r="O359" t="s">
        <v>7</v>
      </c>
      <c r="P359" t="s">
        <v>1542</v>
      </c>
      <c r="Q359" t="s">
        <v>1543</v>
      </c>
      <c r="R359" t="s">
        <v>6931</v>
      </c>
      <c r="S359" t="s">
        <v>6280</v>
      </c>
      <c r="T359" t="s">
        <v>119</v>
      </c>
    </row>
    <row r="360" spans="1:20" ht="15" customHeight="1" x14ac:dyDescent="0.4">
      <c r="A360" t="s">
        <v>1545</v>
      </c>
      <c r="B360" t="s">
        <v>1545</v>
      </c>
      <c r="C360" t="s">
        <v>151</v>
      </c>
      <c r="D360" t="s">
        <v>81</v>
      </c>
      <c r="E360" t="s">
        <v>163</v>
      </c>
      <c r="F360" t="s">
        <v>6932</v>
      </c>
      <c r="G360" t="s">
        <v>6294</v>
      </c>
      <c r="H360" t="s">
        <v>1544</v>
      </c>
      <c r="L360" t="s">
        <v>6933</v>
      </c>
      <c r="N360" t="s">
        <v>6933</v>
      </c>
      <c r="O360" t="s">
        <v>7</v>
      </c>
      <c r="P360" t="s">
        <v>1546</v>
      </c>
      <c r="Q360" t="s">
        <v>1547</v>
      </c>
      <c r="R360" t="s">
        <v>6934</v>
      </c>
      <c r="S360" t="s">
        <v>6280</v>
      </c>
      <c r="T360" t="s">
        <v>119</v>
      </c>
    </row>
    <row r="361" spans="1:20" ht="15" customHeight="1" x14ac:dyDescent="0.4">
      <c r="A361" t="s">
        <v>1549</v>
      </c>
      <c r="B361" t="s">
        <v>1549</v>
      </c>
      <c r="C361" t="s">
        <v>151</v>
      </c>
      <c r="D361" t="s">
        <v>81</v>
      </c>
      <c r="E361" t="s">
        <v>163</v>
      </c>
      <c r="F361" t="s">
        <v>6935</v>
      </c>
      <c r="G361" t="s">
        <v>6294</v>
      </c>
      <c r="H361" t="s">
        <v>1548</v>
      </c>
      <c r="L361" t="s">
        <v>6936</v>
      </c>
      <c r="N361" t="s">
        <v>6936</v>
      </c>
      <c r="O361" t="s">
        <v>7</v>
      </c>
      <c r="P361" t="s">
        <v>1550</v>
      </c>
      <c r="Q361" t="s">
        <v>1551</v>
      </c>
      <c r="R361" t="s">
        <v>6937</v>
      </c>
      <c r="S361" t="s">
        <v>6280</v>
      </c>
      <c r="T361" t="s">
        <v>119</v>
      </c>
    </row>
    <row r="362" spans="1:20" ht="15" customHeight="1" x14ac:dyDescent="0.4">
      <c r="A362" t="s">
        <v>1553</v>
      </c>
      <c r="B362" t="s">
        <v>1553</v>
      </c>
      <c r="C362" t="s">
        <v>151</v>
      </c>
      <c r="D362" t="s">
        <v>81</v>
      </c>
      <c r="E362" t="s">
        <v>163</v>
      </c>
      <c r="F362" t="s">
        <v>6938</v>
      </c>
      <c r="G362" t="s">
        <v>6294</v>
      </c>
      <c r="H362" t="s">
        <v>1552</v>
      </c>
      <c r="L362" t="s">
        <v>6939</v>
      </c>
      <c r="N362" t="s">
        <v>6939</v>
      </c>
      <c r="O362" t="s">
        <v>7</v>
      </c>
      <c r="P362" t="s">
        <v>1554</v>
      </c>
      <c r="Q362" t="s">
        <v>1555</v>
      </c>
      <c r="R362" t="s">
        <v>6940</v>
      </c>
      <c r="S362" t="s">
        <v>6280</v>
      </c>
      <c r="T362" t="s">
        <v>119</v>
      </c>
    </row>
    <row r="363" spans="1:20" ht="15" customHeight="1" x14ac:dyDescent="0.4">
      <c r="A363" t="s">
        <v>1557</v>
      </c>
      <c r="B363" t="s">
        <v>1557</v>
      </c>
      <c r="C363" t="s">
        <v>151</v>
      </c>
      <c r="D363" t="s">
        <v>81</v>
      </c>
      <c r="E363" t="s">
        <v>163</v>
      </c>
      <c r="F363" t="s">
        <v>6941</v>
      </c>
      <c r="G363" t="s">
        <v>6294</v>
      </c>
      <c r="H363" t="s">
        <v>1556</v>
      </c>
      <c r="L363" t="s">
        <v>6941</v>
      </c>
      <c r="N363" t="s">
        <v>6941</v>
      </c>
      <c r="O363" t="s">
        <v>7</v>
      </c>
      <c r="P363" t="s">
        <v>1558</v>
      </c>
      <c r="Q363" t="s">
        <v>1559</v>
      </c>
      <c r="R363" t="s">
        <v>6942</v>
      </c>
      <c r="S363" t="s">
        <v>6280</v>
      </c>
      <c r="T363" t="s">
        <v>119</v>
      </c>
    </row>
    <row r="364" spans="1:20" ht="15" customHeight="1" x14ac:dyDescent="0.4">
      <c r="A364" t="s">
        <v>1561</v>
      </c>
      <c r="B364" t="s">
        <v>1561</v>
      </c>
      <c r="C364" t="s">
        <v>151</v>
      </c>
      <c r="D364" t="s">
        <v>81</v>
      </c>
      <c r="E364" t="s">
        <v>163</v>
      </c>
      <c r="F364" t="s">
        <v>6943</v>
      </c>
      <c r="G364" t="s">
        <v>6294</v>
      </c>
      <c r="H364" t="s">
        <v>1560</v>
      </c>
      <c r="L364" t="s">
        <v>6944</v>
      </c>
      <c r="N364" t="s">
        <v>6944</v>
      </c>
      <c r="O364" t="s">
        <v>7</v>
      </c>
      <c r="P364" t="s">
        <v>1562</v>
      </c>
      <c r="Q364" t="s">
        <v>1563</v>
      </c>
      <c r="R364" t="s">
        <v>6945</v>
      </c>
      <c r="S364" t="s">
        <v>6280</v>
      </c>
      <c r="T364" t="s">
        <v>119</v>
      </c>
    </row>
    <row r="365" spans="1:20" ht="15" customHeight="1" x14ac:dyDescent="0.4">
      <c r="A365" t="s">
        <v>1565</v>
      </c>
      <c r="B365" t="s">
        <v>1565</v>
      </c>
      <c r="C365" t="s">
        <v>151</v>
      </c>
      <c r="D365" t="s">
        <v>81</v>
      </c>
      <c r="E365" t="s">
        <v>163</v>
      </c>
      <c r="F365" t="s">
        <v>6946</v>
      </c>
      <c r="G365" t="s">
        <v>6294</v>
      </c>
      <c r="H365" t="s">
        <v>1564</v>
      </c>
      <c r="L365" t="s">
        <v>6947</v>
      </c>
      <c r="N365" t="s">
        <v>6947</v>
      </c>
      <c r="O365" t="s">
        <v>7</v>
      </c>
      <c r="P365" t="s">
        <v>1566</v>
      </c>
      <c r="Q365" t="s">
        <v>1567</v>
      </c>
      <c r="R365" t="s">
        <v>6948</v>
      </c>
      <c r="S365" t="s">
        <v>6280</v>
      </c>
      <c r="T365" t="s">
        <v>119</v>
      </c>
    </row>
    <row r="366" spans="1:20" ht="15" customHeight="1" x14ac:dyDescent="0.4">
      <c r="A366" t="s">
        <v>1569</v>
      </c>
      <c r="B366" t="s">
        <v>1569</v>
      </c>
      <c r="C366" t="s">
        <v>151</v>
      </c>
      <c r="D366" t="s">
        <v>81</v>
      </c>
      <c r="E366" t="s">
        <v>163</v>
      </c>
      <c r="F366" t="s">
        <v>6949</v>
      </c>
      <c r="G366" t="s">
        <v>6294</v>
      </c>
      <c r="H366" t="s">
        <v>1568</v>
      </c>
      <c r="L366" t="s">
        <v>6950</v>
      </c>
      <c r="N366" t="s">
        <v>6950</v>
      </c>
      <c r="O366" t="s">
        <v>7</v>
      </c>
      <c r="P366" t="s">
        <v>1570</v>
      </c>
      <c r="Q366" t="s">
        <v>1571</v>
      </c>
      <c r="R366" t="s">
        <v>6951</v>
      </c>
      <c r="S366" t="s">
        <v>6280</v>
      </c>
      <c r="T366" t="s">
        <v>119</v>
      </c>
    </row>
    <row r="367" spans="1:20" ht="15" customHeight="1" x14ac:dyDescent="0.4">
      <c r="A367" t="s">
        <v>1573</v>
      </c>
      <c r="B367" t="s">
        <v>1573</v>
      </c>
      <c r="C367" t="s">
        <v>151</v>
      </c>
      <c r="D367" t="s">
        <v>81</v>
      </c>
      <c r="E367" t="s">
        <v>163</v>
      </c>
      <c r="F367" t="s">
        <v>6952</v>
      </c>
      <c r="G367" t="s">
        <v>6294</v>
      </c>
      <c r="H367" t="s">
        <v>1572</v>
      </c>
      <c r="L367" t="s">
        <v>6953</v>
      </c>
      <c r="N367" t="s">
        <v>6953</v>
      </c>
      <c r="O367" t="s">
        <v>7</v>
      </c>
      <c r="P367" t="s">
        <v>1574</v>
      </c>
      <c r="Q367" t="s">
        <v>1575</v>
      </c>
      <c r="R367" s="27" t="s">
        <v>6954</v>
      </c>
      <c r="S367" t="s">
        <v>6280</v>
      </c>
      <c r="T367" t="s">
        <v>119</v>
      </c>
    </row>
    <row r="368" spans="1:20" ht="15" customHeight="1" x14ac:dyDescent="0.4">
      <c r="A368" t="s">
        <v>1577</v>
      </c>
      <c r="B368" t="s">
        <v>1577</v>
      </c>
      <c r="C368" t="s">
        <v>151</v>
      </c>
      <c r="D368" t="s">
        <v>81</v>
      </c>
      <c r="E368" t="s">
        <v>163</v>
      </c>
      <c r="F368" t="s">
        <v>6955</v>
      </c>
      <c r="G368" t="s">
        <v>6294</v>
      </c>
      <c r="H368" t="s">
        <v>1576</v>
      </c>
      <c r="L368" t="s">
        <v>6956</v>
      </c>
      <c r="N368" t="s">
        <v>6956</v>
      </c>
      <c r="O368" t="s">
        <v>7</v>
      </c>
      <c r="P368" t="s">
        <v>1578</v>
      </c>
      <c r="Q368" t="s">
        <v>1579</v>
      </c>
      <c r="R368" s="27" t="s">
        <v>6957</v>
      </c>
      <c r="S368" t="s">
        <v>6280</v>
      </c>
      <c r="T368" t="s">
        <v>119</v>
      </c>
    </row>
    <row r="369" spans="1:20" ht="15" customHeight="1" x14ac:dyDescent="0.4">
      <c r="A369" t="s">
        <v>1581</v>
      </c>
      <c r="B369" t="s">
        <v>1581</v>
      </c>
      <c r="C369" t="s">
        <v>151</v>
      </c>
      <c r="D369" t="s">
        <v>81</v>
      </c>
      <c r="E369" t="s">
        <v>163</v>
      </c>
      <c r="F369" t="s">
        <v>6958</v>
      </c>
      <c r="G369" t="s">
        <v>6294</v>
      </c>
      <c r="H369" t="s">
        <v>1580</v>
      </c>
      <c r="L369" t="s">
        <v>6959</v>
      </c>
      <c r="N369" t="s">
        <v>6959</v>
      </c>
      <c r="O369" t="s">
        <v>7</v>
      </c>
      <c r="P369" t="s">
        <v>1582</v>
      </c>
      <c r="Q369" t="s">
        <v>1583</v>
      </c>
      <c r="R369" s="27" t="s">
        <v>6960</v>
      </c>
      <c r="S369" t="s">
        <v>6280</v>
      </c>
      <c r="T369" t="s">
        <v>119</v>
      </c>
    </row>
    <row r="370" spans="1:20" ht="15" customHeight="1" x14ac:dyDescent="0.4">
      <c r="A370" t="s">
        <v>1585</v>
      </c>
      <c r="B370" t="s">
        <v>1585</v>
      </c>
      <c r="C370" t="s">
        <v>151</v>
      </c>
      <c r="D370" t="s">
        <v>81</v>
      </c>
      <c r="E370" t="s">
        <v>163</v>
      </c>
      <c r="F370" t="s">
        <v>6961</v>
      </c>
      <c r="G370" t="s">
        <v>6294</v>
      </c>
      <c r="H370" t="s">
        <v>1584</v>
      </c>
      <c r="L370" t="s">
        <v>6962</v>
      </c>
      <c r="N370" t="s">
        <v>6962</v>
      </c>
      <c r="O370" t="s">
        <v>7</v>
      </c>
      <c r="P370" t="s">
        <v>1586</v>
      </c>
      <c r="Q370" t="s">
        <v>1587</v>
      </c>
      <c r="R370" s="27" t="s">
        <v>6963</v>
      </c>
      <c r="S370" t="s">
        <v>6280</v>
      </c>
      <c r="T370" t="s">
        <v>119</v>
      </c>
    </row>
    <row r="371" spans="1:20" ht="15" customHeight="1" x14ac:dyDescent="0.4">
      <c r="A371" t="s">
        <v>1589</v>
      </c>
      <c r="B371" t="s">
        <v>1589</v>
      </c>
      <c r="C371" t="s">
        <v>151</v>
      </c>
      <c r="D371" t="s">
        <v>81</v>
      </c>
      <c r="E371" t="s">
        <v>163</v>
      </c>
      <c r="F371" t="s">
        <v>6964</v>
      </c>
      <c r="G371" t="s">
        <v>6294</v>
      </c>
      <c r="H371" t="s">
        <v>1588</v>
      </c>
      <c r="L371" t="s">
        <v>6965</v>
      </c>
      <c r="N371" t="s">
        <v>6965</v>
      </c>
      <c r="O371" t="s">
        <v>7</v>
      </c>
      <c r="P371" t="s">
        <v>1590</v>
      </c>
      <c r="Q371" t="s">
        <v>1591</v>
      </c>
      <c r="R371" s="27" t="s">
        <v>6966</v>
      </c>
      <c r="S371" t="s">
        <v>6280</v>
      </c>
      <c r="T371" t="s">
        <v>119</v>
      </c>
    </row>
    <row r="372" spans="1:20" ht="15" customHeight="1" x14ac:dyDescent="0.4">
      <c r="A372" t="s">
        <v>1593</v>
      </c>
      <c r="B372" t="s">
        <v>1593</v>
      </c>
      <c r="C372" t="s">
        <v>151</v>
      </c>
      <c r="D372" t="s">
        <v>81</v>
      </c>
      <c r="E372" t="s">
        <v>163</v>
      </c>
      <c r="F372" t="s">
        <v>6967</v>
      </c>
      <c r="G372" t="s">
        <v>6294</v>
      </c>
      <c r="H372" t="s">
        <v>1592</v>
      </c>
      <c r="L372" t="s">
        <v>6968</v>
      </c>
      <c r="N372" t="s">
        <v>6968</v>
      </c>
      <c r="O372" t="s">
        <v>7</v>
      </c>
      <c r="P372" t="s">
        <v>1594</v>
      </c>
      <c r="Q372" t="s">
        <v>1595</v>
      </c>
      <c r="R372" t="s">
        <v>6969</v>
      </c>
      <c r="S372" t="s">
        <v>6280</v>
      </c>
      <c r="T372" t="s">
        <v>119</v>
      </c>
    </row>
    <row r="373" spans="1:20" ht="15" customHeight="1" x14ac:dyDescent="0.4">
      <c r="A373" t="s">
        <v>1597</v>
      </c>
      <c r="B373" t="s">
        <v>1597</v>
      </c>
      <c r="C373" t="s">
        <v>151</v>
      </c>
      <c r="D373" t="s">
        <v>81</v>
      </c>
      <c r="E373" t="s">
        <v>163</v>
      </c>
      <c r="F373" t="s">
        <v>6970</v>
      </c>
      <c r="G373" t="s">
        <v>6294</v>
      </c>
      <c r="H373" t="s">
        <v>1596</v>
      </c>
      <c r="L373" t="s">
        <v>6971</v>
      </c>
      <c r="N373" t="s">
        <v>6971</v>
      </c>
      <c r="O373" t="s">
        <v>7</v>
      </c>
      <c r="P373" t="s">
        <v>1598</v>
      </c>
      <c r="Q373" t="s">
        <v>1599</v>
      </c>
      <c r="R373" t="s">
        <v>6972</v>
      </c>
      <c r="S373" t="s">
        <v>6280</v>
      </c>
      <c r="T373" t="s">
        <v>119</v>
      </c>
    </row>
    <row r="374" spans="1:20" ht="15" customHeight="1" x14ac:dyDescent="0.4">
      <c r="A374" t="s">
        <v>1601</v>
      </c>
      <c r="B374" t="s">
        <v>1601</v>
      </c>
      <c r="C374" t="s">
        <v>151</v>
      </c>
      <c r="D374" t="s">
        <v>81</v>
      </c>
      <c r="E374" t="s">
        <v>163</v>
      </c>
      <c r="F374" t="s">
        <v>6973</v>
      </c>
      <c r="G374" t="s">
        <v>6294</v>
      </c>
      <c r="H374" t="s">
        <v>1600</v>
      </c>
      <c r="L374" t="s">
        <v>6974</v>
      </c>
      <c r="N374" t="s">
        <v>6974</v>
      </c>
      <c r="O374" t="s">
        <v>7</v>
      </c>
      <c r="P374" t="s">
        <v>1602</v>
      </c>
      <c r="Q374" t="s">
        <v>1603</v>
      </c>
      <c r="R374" s="27" t="s">
        <v>6975</v>
      </c>
      <c r="S374" t="s">
        <v>6280</v>
      </c>
      <c r="T374" t="s">
        <v>119</v>
      </c>
    </row>
    <row r="375" spans="1:20" ht="15" customHeight="1" x14ac:dyDescent="0.4">
      <c r="A375" t="s">
        <v>1605</v>
      </c>
      <c r="B375" t="s">
        <v>1605</v>
      </c>
      <c r="C375" t="s">
        <v>151</v>
      </c>
      <c r="D375" t="s">
        <v>81</v>
      </c>
      <c r="E375" t="s">
        <v>163</v>
      </c>
      <c r="F375" t="s">
        <v>6976</v>
      </c>
      <c r="G375" t="s">
        <v>6294</v>
      </c>
      <c r="H375" t="s">
        <v>1604</v>
      </c>
      <c r="L375" t="s">
        <v>6977</v>
      </c>
      <c r="N375" t="s">
        <v>6977</v>
      </c>
      <c r="O375" t="s">
        <v>7</v>
      </c>
      <c r="P375" t="s">
        <v>1606</v>
      </c>
      <c r="Q375" t="s">
        <v>1607</v>
      </c>
      <c r="R375" s="27" t="s">
        <v>6978</v>
      </c>
      <c r="S375" t="s">
        <v>6280</v>
      </c>
      <c r="T375" t="s">
        <v>119</v>
      </c>
    </row>
    <row r="376" spans="1:20" ht="15" customHeight="1" x14ac:dyDescent="0.4">
      <c r="A376" t="s">
        <v>1609</v>
      </c>
      <c r="B376" t="s">
        <v>1609</v>
      </c>
      <c r="C376" t="s">
        <v>151</v>
      </c>
      <c r="D376" t="s">
        <v>81</v>
      </c>
      <c r="E376" t="s">
        <v>163</v>
      </c>
      <c r="F376" t="s">
        <v>6979</v>
      </c>
      <c r="G376" t="s">
        <v>6294</v>
      </c>
      <c r="H376" t="s">
        <v>1608</v>
      </c>
      <c r="L376" t="s">
        <v>6980</v>
      </c>
      <c r="N376" t="s">
        <v>6980</v>
      </c>
      <c r="O376" t="s">
        <v>7</v>
      </c>
      <c r="P376" t="s">
        <v>1610</v>
      </c>
      <c r="Q376" t="s">
        <v>1611</v>
      </c>
      <c r="R376" s="27" t="s">
        <v>6981</v>
      </c>
      <c r="S376" t="s">
        <v>6280</v>
      </c>
      <c r="T376" t="s">
        <v>119</v>
      </c>
    </row>
    <row r="377" spans="1:20" ht="15" customHeight="1" x14ac:dyDescent="0.4">
      <c r="A377" t="s">
        <v>1613</v>
      </c>
      <c r="B377" t="s">
        <v>1613</v>
      </c>
      <c r="C377" t="s">
        <v>151</v>
      </c>
      <c r="D377" t="s">
        <v>81</v>
      </c>
      <c r="E377" t="s">
        <v>163</v>
      </c>
      <c r="F377" t="s">
        <v>6982</v>
      </c>
      <c r="G377" t="s">
        <v>6294</v>
      </c>
      <c r="H377" t="s">
        <v>1612</v>
      </c>
      <c r="L377" t="s">
        <v>6983</v>
      </c>
      <c r="N377" t="s">
        <v>6983</v>
      </c>
      <c r="O377" t="s">
        <v>7</v>
      </c>
      <c r="P377" t="s">
        <v>1614</v>
      </c>
      <c r="Q377" t="s">
        <v>1615</v>
      </c>
      <c r="R377" s="27" t="s">
        <v>6984</v>
      </c>
      <c r="S377" t="s">
        <v>6280</v>
      </c>
      <c r="T377" t="s">
        <v>119</v>
      </c>
    </row>
    <row r="378" spans="1:20" ht="15" customHeight="1" x14ac:dyDescent="0.4">
      <c r="A378" t="s">
        <v>1617</v>
      </c>
      <c r="B378" t="s">
        <v>1617</v>
      </c>
      <c r="C378" t="s">
        <v>151</v>
      </c>
      <c r="D378" t="s">
        <v>81</v>
      </c>
      <c r="E378" t="s">
        <v>163</v>
      </c>
      <c r="F378" t="s">
        <v>6985</v>
      </c>
      <c r="G378" t="s">
        <v>6294</v>
      </c>
      <c r="H378" t="s">
        <v>1616</v>
      </c>
      <c r="L378" t="s">
        <v>6986</v>
      </c>
      <c r="N378" t="s">
        <v>6986</v>
      </c>
      <c r="O378" t="s">
        <v>7</v>
      </c>
      <c r="P378" t="s">
        <v>1618</v>
      </c>
      <c r="Q378" t="s">
        <v>1619</v>
      </c>
      <c r="R378" s="27" t="s">
        <v>6987</v>
      </c>
      <c r="S378" t="s">
        <v>6280</v>
      </c>
      <c r="T378" t="s">
        <v>119</v>
      </c>
    </row>
    <row r="379" spans="1:20" ht="15" customHeight="1" x14ac:dyDescent="0.4">
      <c r="A379" t="s">
        <v>1621</v>
      </c>
      <c r="B379" t="s">
        <v>1621</v>
      </c>
      <c r="C379" t="s">
        <v>151</v>
      </c>
      <c r="D379" t="s">
        <v>81</v>
      </c>
      <c r="E379" t="s">
        <v>163</v>
      </c>
      <c r="F379" t="s">
        <v>6988</v>
      </c>
      <c r="G379" t="s">
        <v>6294</v>
      </c>
      <c r="H379" t="s">
        <v>1620</v>
      </c>
      <c r="L379" t="s">
        <v>6989</v>
      </c>
      <c r="N379" t="s">
        <v>6989</v>
      </c>
      <c r="O379" t="s">
        <v>7</v>
      </c>
      <c r="P379" t="s">
        <v>1622</v>
      </c>
      <c r="Q379" t="s">
        <v>1623</v>
      </c>
      <c r="R379" s="27" t="s">
        <v>6990</v>
      </c>
      <c r="S379" t="s">
        <v>6280</v>
      </c>
      <c r="T379" t="s">
        <v>119</v>
      </c>
    </row>
    <row r="380" spans="1:20" ht="15" customHeight="1" x14ac:dyDescent="0.4">
      <c r="A380" t="s">
        <v>1625</v>
      </c>
      <c r="B380" t="s">
        <v>1625</v>
      </c>
      <c r="C380" t="s">
        <v>151</v>
      </c>
      <c r="D380" t="s">
        <v>81</v>
      </c>
      <c r="E380" t="s">
        <v>163</v>
      </c>
      <c r="F380" t="s">
        <v>6991</v>
      </c>
      <c r="G380" t="s">
        <v>6294</v>
      </c>
      <c r="H380" t="s">
        <v>1624</v>
      </c>
      <c r="L380" t="s">
        <v>6992</v>
      </c>
      <c r="N380" t="s">
        <v>6992</v>
      </c>
      <c r="O380" t="s">
        <v>7</v>
      </c>
      <c r="P380" t="s">
        <v>1626</v>
      </c>
      <c r="Q380" t="s">
        <v>1627</v>
      </c>
      <c r="R380" s="27" t="s">
        <v>6993</v>
      </c>
      <c r="S380" t="s">
        <v>6280</v>
      </c>
      <c r="T380" t="s">
        <v>119</v>
      </c>
    </row>
    <row r="381" spans="1:20" ht="15" customHeight="1" x14ac:dyDescent="0.4">
      <c r="A381" t="s">
        <v>1629</v>
      </c>
      <c r="B381" t="s">
        <v>1629</v>
      </c>
      <c r="C381" t="s">
        <v>151</v>
      </c>
      <c r="D381" t="s">
        <v>81</v>
      </c>
      <c r="E381" t="s">
        <v>163</v>
      </c>
      <c r="F381" t="s">
        <v>6994</v>
      </c>
      <c r="G381" t="s">
        <v>6294</v>
      </c>
      <c r="H381" t="s">
        <v>1628</v>
      </c>
      <c r="L381" t="s">
        <v>6995</v>
      </c>
      <c r="N381" t="s">
        <v>6995</v>
      </c>
      <c r="O381" t="s">
        <v>7</v>
      </c>
      <c r="P381" t="s">
        <v>1630</v>
      </c>
      <c r="Q381" t="s">
        <v>1631</v>
      </c>
      <c r="R381" s="27" t="s">
        <v>6996</v>
      </c>
      <c r="S381" t="s">
        <v>6280</v>
      </c>
      <c r="T381" t="s">
        <v>119</v>
      </c>
    </row>
    <row r="382" spans="1:20" ht="15" customHeight="1" x14ac:dyDescent="0.4">
      <c r="A382" t="s">
        <v>1633</v>
      </c>
      <c r="B382" t="s">
        <v>1633</v>
      </c>
      <c r="C382" t="s">
        <v>151</v>
      </c>
      <c r="D382" t="s">
        <v>81</v>
      </c>
      <c r="E382" t="s">
        <v>163</v>
      </c>
      <c r="F382" t="s">
        <v>6997</v>
      </c>
      <c r="G382" t="s">
        <v>6294</v>
      </c>
      <c r="H382" t="s">
        <v>1632</v>
      </c>
      <c r="L382" t="s">
        <v>6998</v>
      </c>
      <c r="N382" t="s">
        <v>6998</v>
      </c>
      <c r="O382" t="s">
        <v>7</v>
      </c>
      <c r="P382" t="s">
        <v>1634</v>
      </c>
      <c r="Q382" t="s">
        <v>1635</v>
      </c>
      <c r="R382" s="27" t="s">
        <v>6999</v>
      </c>
      <c r="S382" t="s">
        <v>6280</v>
      </c>
      <c r="T382" t="s">
        <v>119</v>
      </c>
    </row>
    <row r="383" spans="1:20" ht="15" customHeight="1" x14ac:dyDescent="0.4">
      <c r="A383" t="s">
        <v>1637</v>
      </c>
      <c r="B383" t="s">
        <v>1637</v>
      </c>
      <c r="C383" t="s">
        <v>151</v>
      </c>
      <c r="D383" t="s">
        <v>81</v>
      </c>
      <c r="E383" t="s">
        <v>163</v>
      </c>
      <c r="F383" t="s">
        <v>7000</v>
      </c>
      <c r="G383" t="s">
        <v>6294</v>
      </c>
      <c r="H383" t="s">
        <v>1636</v>
      </c>
      <c r="L383" t="s">
        <v>7001</v>
      </c>
      <c r="N383" t="s">
        <v>7001</v>
      </c>
      <c r="O383" t="s">
        <v>7</v>
      </c>
      <c r="P383" t="s">
        <v>1638</v>
      </c>
      <c r="Q383" t="s">
        <v>1639</v>
      </c>
      <c r="R383" s="27" t="s">
        <v>7002</v>
      </c>
      <c r="S383" t="s">
        <v>6280</v>
      </c>
      <c r="T383" t="s">
        <v>119</v>
      </c>
    </row>
    <row r="384" spans="1:20" ht="15" customHeight="1" x14ac:dyDescent="0.4">
      <c r="A384" t="s">
        <v>1641</v>
      </c>
      <c r="B384" t="s">
        <v>1641</v>
      </c>
      <c r="C384" t="s">
        <v>151</v>
      </c>
      <c r="D384" t="s">
        <v>81</v>
      </c>
      <c r="E384" t="s">
        <v>163</v>
      </c>
      <c r="F384" t="s">
        <v>7003</v>
      </c>
      <c r="G384" t="s">
        <v>6294</v>
      </c>
      <c r="H384" t="s">
        <v>1640</v>
      </c>
      <c r="L384" t="s">
        <v>7004</v>
      </c>
      <c r="N384" t="s">
        <v>7004</v>
      </c>
      <c r="O384" t="s">
        <v>7</v>
      </c>
      <c r="P384" t="s">
        <v>1642</v>
      </c>
      <c r="Q384" t="s">
        <v>1643</v>
      </c>
      <c r="R384" s="27" t="s">
        <v>7005</v>
      </c>
      <c r="S384" t="s">
        <v>6280</v>
      </c>
      <c r="T384" t="s">
        <v>119</v>
      </c>
    </row>
    <row r="385" spans="1:20" ht="15" customHeight="1" x14ac:dyDescent="0.4">
      <c r="A385" t="s">
        <v>1645</v>
      </c>
      <c r="B385" t="s">
        <v>1645</v>
      </c>
      <c r="C385" t="s">
        <v>151</v>
      </c>
      <c r="D385" t="s">
        <v>81</v>
      </c>
      <c r="E385" t="s">
        <v>163</v>
      </c>
      <c r="F385" t="s">
        <v>7006</v>
      </c>
      <c r="G385" t="s">
        <v>6294</v>
      </c>
      <c r="H385" t="s">
        <v>1644</v>
      </c>
      <c r="L385" t="s">
        <v>7007</v>
      </c>
      <c r="N385" t="s">
        <v>7007</v>
      </c>
      <c r="O385" t="s">
        <v>7</v>
      </c>
      <c r="P385" t="s">
        <v>1646</v>
      </c>
      <c r="Q385" t="s">
        <v>1647</v>
      </c>
      <c r="R385" s="27" t="s">
        <v>7008</v>
      </c>
      <c r="S385" t="s">
        <v>6280</v>
      </c>
      <c r="T385" t="s">
        <v>119</v>
      </c>
    </row>
    <row r="386" spans="1:20" ht="15" customHeight="1" x14ac:dyDescent="0.4">
      <c r="A386" t="s">
        <v>1649</v>
      </c>
      <c r="B386" t="s">
        <v>1649</v>
      </c>
      <c r="C386" t="s">
        <v>151</v>
      </c>
      <c r="D386" t="s">
        <v>81</v>
      </c>
      <c r="E386" t="s">
        <v>163</v>
      </c>
      <c r="F386" t="s">
        <v>7009</v>
      </c>
      <c r="G386" t="s">
        <v>6294</v>
      </c>
      <c r="H386" t="s">
        <v>1648</v>
      </c>
      <c r="L386" t="s">
        <v>7010</v>
      </c>
      <c r="N386" t="s">
        <v>7010</v>
      </c>
      <c r="O386" t="s">
        <v>7</v>
      </c>
      <c r="P386" t="s">
        <v>1650</v>
      </c>
      <c r="Q386" t="s">
        <v>1651</v>
      </c>
      <c r="R386" s="27" t="s">
        <v>7011</v>
      </c>
      <c r="S386" t="s">
        <v>6280</v>
      </c>
      <c r="T386" t="s">
        <v>119</v>
      </c>
    </row>
    <row r="387" spans="1:20" ht="15" customHeight="1" x14ac:dyDescent="0.4">
      <c r="A387" t="s">
        <v>1653</v>
      </c>
      <c r="B387" t="s">
        <v>1653</v>
      </c>
      <c r="C387" t="s">
        <v>151</v>
      </c>
      <c r="D387" t="s">
        <v>81</v>
      </c>
      <c r="E387" t="s">
        <v>163</v>
      </c>
      <c r="F387" t="s">
        <v>7012</v>
      </c>
      <c r="G387" t="s">
        <v>6294</v>
      </c>
      <c r="H387" t="s">
        <v>1652</v>
      </c>
      <c r="L387" t="s">
        <v>7013</v>
      </c>
      <c r="N387" t="s">
        <v>7013</v>
      </c>
      <c r="O387" t="s">
        <v>7</v>
      </c>
      <c r="P387" t="s">
        <v>1654</v>
      </c>
      <c r="Q387" t="s">
        <v>1655</v>
      </c>
      <c r="R387" s="27" t="s">
        <v>7014</v>
      </c>
      <c r="S387" t="s">
        <v>6280</v>
      </c>
      <c r="T387" t="s">
        <v>119</v>
      </c>
    </row>
    <row r="388" spans="1:20" ht="15" customHeight="1" x14ac:dyDescent="0.4">
      <c r="A388" t="s">
        <v>1657</v>
      </c>
      <c r="B388" t="s">
        <v>1657</v>
      </c>
      <c r="C388" t="s">
        <v>151</v>
      </c>
      <c r="D388" t="s">
        <v>81</v>
      </c>
      <c r="E388" t="s">
        <v>163</v>
      </c>
      <c r="F388" t="s">
        <v>7015</v>
      </c>
      <c r="G388" t="s">
        <v>6294</v>
      </c>
      <c r="H388" t="s">
        <v>1656</v>
      </c>
      <c r="L388" t="s">
        <v>7016</v>
      </c>
      <c r="N388" t="s">
        <v>7016</v>
      </c>
      <c r="O388" t="s">
        <v>7</v>
      </c>
      <c r="P388" t="s">
        <v>1658</v>
      </c>
      <c r="Q388" t="s">
        <v>1659</v>
      </c>
      <c r="R388" s="27" t="s">
        <v>7017</v>
      </c>
      <c r="S388" t="s">
        <v>6280</v>
      </c>
      <c r="T388" t="s">
        <v>119</v>
      </c>
    </row>
    <row r="389" spans="1:20" ht="15" customHeight="1" x14ac:dyDescent="0.4">
      <c r="A389" t="s">
        <v>1661</v>
      </c>
      <c r="B389" t="s">
        <v>1661</v>
      </c>
      <c r="C389" t="s">
        <v>151</v>
      </c>
      <c r="D389" t="s">
        <v>81</v>
      </c>
      <c r="E389" t="s">
        <v>163</v>
      </c>
      <c r="F389" t="s">
        <v>7018</v>
      </c>
      <c r="G389" t="s">
        <v>6294</v>
      </c>
      <c r="H389" t="s">
        <v>1660</v>
      </c>
      <c r="L389" t="s">
        <v>7019</v>
      </c>
      <c r="N389" t="s">
        <v>7019</v>
      </c>
      <c r="O389" t="s">
        <v>7</v>
      </c>
      <c r="P389" t="s">
        <v>1662</v>
      </c>
      <c r="Q389" t="s">
        <v>1663</v>
      </c>
      <c r="R389" s="27" t="s">
        <v>7020</v>
      </c>
      <c r="S389" t="s">
        <v>6280</v>
      </c>
      <c r="T389" t="s">
        <v>119</v>
      </c>
    </row>
    <row r="390" spans="1:20" ht="15" customHeight="1" x14ac:dyDescent="0.4">
      <c r="A390" t="s">
        <v>1665</v>
      </c>
      <c r="B390" t="s">
        <v>1665</v>
      </c>
      <c r="C390" t="s">
        <v>151</v>
      </c>
      <c r="D390" t="s">
        <v>81</v>
      </c>
      <c r="E390" t="s">
        <v>163</v>
      </c>
      <c r="F390" t="s">
        <v>7021</v>
      </c>
      <c r="G390" t="s">
        <v>6294</v>
      </c>
      <c r="H390" t="s">
        <v>1664</v>
      </c>
      <c r="L390" t="s">
        <v>7022</v>
      </c>
      <c r="N390" t="s">
        <v>7022</v>
      </c>
      <c r="O390" t="s">
        <v>7</v>
      </c>
      <c r="P390" t="s">
        <v>1666</v>
      </c>
      <c r="Q390" t="s">
        <v>1667</v>
      </c>
      <c r="R390" s="27" t="s">
        <v>7023</v>
      </c>
      <c r="S390" t="s">
        <v>6280</v>
      </c>
      <c r="T390" t="s">
        <v>119</v>
      </c>
    </row>
    <row r="391" spans="1:20" ht="15" customHeight="1" x14ac:dyDescent="0.4">
      <c r="A391" t="s">
        <v>1669</v>
      </c>
      <c r="B391" t="s">
        <v>1669</v>
      </c>
      <c r="C391" t="s">
        <v>151</v>
      </c>
      <c r="D391" t="s">
        <v>81</v>
      </c>
      <c r="E391" t="s">
        <v>163</v>
      </c>
      <c r="F391" t="s">
        <v>7024</v>
      </c>
      <c r="G391" t="s">
        <v>6294</v>
      </c>
      <c r="H391" t="s">
        <v>1668</v>
      </c>
      <c r="L391" t="s">
        <v>7025</v>
      </c>
      <c r="N391" t="s">
        <v>7025</v>
      </c>
      <c r="O391" t="s">
        <v>7</v>
      </c>
      <c r="P391" t="s">
        <v>1670</v>
      </c>
      <c r="Q391" t="s">
        <v>1671</v>
      </c>
      <c r="R391" s="27" t="s">
        <v>7026</v>
      </c>
      <c r="S391" t="s">
        <v>6280</v>
      </c>
      <c r="T391" t="s">
        <v>119</v>
      </c>
    </row>
    <row r="392" spans="1:20" ht="15" customHeight="1" x14ac:dyDescent="0.4">
      <c r="A392" t="s">
        <v>1673</v>
      </c>
      <c r="B392" t="s">
        <v>1673</v>
      </c>
      <c r="C392" t="s">
        <v>151</v>
      </c>
      <c r="D392" t="s">
        <v>81</v>
      </c>
      <c r="E392" t="s">
        <v>163</v>
      </c>
      <c r="F392" t="s">
        <v>7027</v>
      </c>
      <c r="G392" t="s">
        <v>6294</v>
      </c>
      <c r="H392" t="s">
        <v>1672</v>
      </c>
      <c r="L392" t="s">
        <v>7028</v>
      </c>
      <c r="N392" t="s">
        <v>7028</v>
      </c>
      <c r="O392" t="s">
        <v>7</v>
      </c>
      <c r="P392" t="s">
        <v>1674</v>
      </c>
      <c r="Q392" t="s">
        <v>1675</v>
      </c>
      <c r="R392" s="27" t="s">
        <v>7029</v>
      </c>
      <c r="S392" t="s">
        <v>6280</v>
      </c>
      <c r="T392" t="s">
        <v>119</v>
      </c>
    </row>
    <row r="393" spans="1:20" ht="15" customHeight="1" x14ac:dyDescent="0.4">
      <c r="A393" t="s">
        <v>1677</v>
      </c>
      <c r="B393" t="s">
        <v>1677</v>
      </c>
      <c r="C393" t="s">
        <v>151</v>
      </c>
      <c r="D393" t="s">
        <v>81</v>
      </c>
      <c r="E393" t="s">
        <v>163</v>
      </c>
      <c r="F393" t="s">
        <v>7030</v>
      </c>
      <c r="G393" t="s">
        <v>6294</v>
      </c>
      <c r="H393" t="s">
        <v>1676</v>
      </c>
      <c r="L393" t="s">
        <v>7031</v>
      </c>
      <c r="N393" t="s">
        <v>7031</v>
      </c>
      <c r="O393" t="s">
        <v>7</v>
      </c>
      <c r="P393" t="s">
        <v>1678</v>
      </c>
      <c r="Q393" t="s">
        <v>1679</v>
      </c>
      <c r="R393" s="27" t="s">
        <v>7032</v>
      </c>
      <c r="S393" t="s">
        <v>6280</v>
      </c>
      <c r="T393" t="s">
        <v>119</v>
      </c>
    </row>
    <row r="394" spans="1:20" ht="15" customHeight="1" x14ac:dyDescent="0.4">
      <c r="A394" t="s">
        <v>1681</v>
      </c>
      <c r="B394" t="s">
        <v>1681</v>
      </c>
      <c r="C394" t="s">
        <v>151</v>
      </c>
      <c r="D394" t="s">
        <v>81</v>
      </c>
      <c r="E394" t="s">
        <v>163</v>
      </c>
      <c r="F394" t="s">
        <v>7033</v>
      </c>
      <c r="G394" t="s">
        <v>6294</v>
      </c>
      <c r="H394" t="s">
        <v>1680</v>
      </c>
      <c r="L394" t="s">
        <v>7034</v>
      </c>
      <c r="N394" t="s">
        <v>7034</v>
      </c>
      <c r="O394" t="s">
        <v>7</v>
      </c>
      <c r="P394" t="s">
        <v>1682</v>
      </c>
      <c r="Q394" t="s">
        <v>1683</v>
      </c>
      <c r="R394" s="27" t="s">
        <v>7035</v>
      </c>
      <c r="S394" t="s">
        <v>6280</v>
      </c>
      <c r="T394" t="s">
        <v>119</v>
      </c>
    </row>
    <row r="395" spans="1:20" ht="15" customHeight="1" x14ac:dyDescent="0.4">
      <c r="A395" t="s">
        <v>1685</v>
      </c>
      <c r="B395" t="s">
        <v>1685</v>
      </c>
      <c r="C395" t="s">
        <v>151</v>
      </c>
      <c r="D395" t="s">
        <v>81</v>
      </c>
      <c r="E395" t="s">
        <v>163</v>
      </c>
      <c r="F395" t="s">
        <v>7036</v>
      </c>
      <c r="G395" t="s">
        <v>6294</v>
      </c>
      <c r="H395" t="s">
        <v>1684</v>
      </c>
      <c r="L395" t="s">
        <v>7037</v>
      </c>
      <c r="N395" t="s">
        <v>7037</v>
      </c>
      <c r="O395" t="s">
        <v>7</v>
      </c>
      <c r="P395" t="s">
        <v>1686</v>
      </c>
      <c r="Q395" t="s">
        <v>1687</v>
      </c>
      <c r="R395" t="s">
        <v>7038</v>
      </c>
      <c r="S395" t="s">
        <v>6280</v>
      </c>
      <c r="T395" t="s">
        <v>119</v>
      </c>
    </row>
    <row r="396" spans="1:20" ht="15" customHeight="1" x14ac:dyDescent="0.4">
      <c r="A396" t="s">
        <v>1689</v>
      </c>
      <c r="B396" t="s">
        <v>1689</v>
      </c>
      <c r="C396" t="s">
        <v>151</v>
      </c>
      <c r="D396" t="s">
        <v>81</v>
      </c>
      <c r="E396" t="s">
        <v>163</v>
      </c>
      <c r="F396" t="s">
        <v>7039</v>
      </c>
      <c r="G396" t="s">
        <v>6294</v>
      </c>
      <c r="H396" t="s">
        <v>1688</v>
      </c>
      <c r="L396" t="s">
        <v>7040</v>
      </c>
      <c r="N396" t="s">
        <v>7040</v>
      </c>
      <c r="O396" t="s">
        <v>7</v>
      </c>
      <c r="P396" t="s">
        <v>1690</v>
      </c>
      <c r="Q396" t="s">
        <v>1691</v>
      </c>
      <c r="R396" t="s">
        <v>7041</v>
      </c>
      <c r="S396" t="s">
        <v>6280</v>
      </c>
      <c r="T396" t="s">
        <v>119</v>
      </c>
    </row>
    <row r="397" spans="1:20" ht="15" customHeight="1" x14ac:dyDescent="0.4">
      <c r="A397" t="s">
        <v>1693</v>
      </c>
      <c r="B397" t="s">
        <v>1693</v>
      </c>
      <c r="C397" t="s">
        <v>151</v>
      </c>
      <c r="D397" t="s">
        <v>81</v>
      </c>
      <c r="E397" t="s">
        <v>163</v>
      </c>
      <c r="F397" t="s">
        <v>7042</v>
      </c>
      <c r="G397" t="s">
        <v>6294</v>
      </c>
      <c r="H397" t="s">
        <v>1692</v>
      </c>
      <c r="L397" t="s">
        <v>7043</v>
      </c>
      <c r="N397" t="s">
        <v>7043</v>
      </c>
      <c r="O397" t="s">
        <v>7</v>
      </c>
      <c r="P397" t="s">
        <v>1694</v>
      </c>
      <c r="Q397" t="s">
        <v>1695</v>
      </c>
      <c r="R397" t="s">
        <v>7044</v>
      </c>
      <c r="S397" t="s">
        <v>6280</v>
      </c>
      <c r="T397" t="s">
        <v>119</v>
      </c>
    </row>
    <row r="398" spans="1:20" ht="15" customHeight="1" x14ac:dyDescent="0.4">
      <c r="A398" t="s">
        <v>1697</v>
      </c>
      <c r="B398" t="s">
        <v>1697</v>
      </c>
      <c r="C398" t="s">
        <v>151</v>
      </c>
      <c r="D398" t="s">
        <v>81</v>
      </c>
      <c r="E398" t="s">
        <v>163</v>
      </c>
      <c r="F398" t="s">
        <v>7045</v>
      </c>
      <c r="G398" t="s">
        <v>6294</v>
      </c>
      <c r="H398" t="s">
        <v>1696</v>
      </c>
      <c r="L398" t="s">
        <v>7046</v>
      </c>
      <c r="N398" t="s">
        <v>7046</v>
      </c>
      <c r="O398" t="s">
        <v>7</v>
      </c>
      <c r="P398" t="s">
        <v>1698</v>
      </c>
      <c r="Q398" t="s">
        <v>1699</v>
      </c>
      <c r="R398" t="s">
        <v>7047</v>
      </c>
      <c r="S398" t="s">
        <v>6280</v>
      </c>
      <c r="T398" t="s">
        <v>119</v>
      </c>
    </row>
    <row r="399" spans="1:20" ht="15" customHeight="1" x14ac:dyDescent="0.4">
      <c r="A399" t="s">
        <v>1701</v>
      </c>
      <c r="B399" t="s">
        <v>1701</v>
      </c>
      <c r="C399" t="s">
        <v>151</v>
      </c>
      <c r="D399" t="s">
        <v>81</v>
      </c>
      <c r="E399" t="s">
        <v>163</v>
      </c>
      <c r="F399" t="s">
        <v>7048</v>
      </c>
      <c r="G399" t="s">
        <v>6294</v>
      </c>
      <c r="H399" t="s">
        <v>1700</v>
      </c>
      <c r="L399" t="s">
        <v>7049</v>
      </c>
      <c r="N399" t="s">
        <v>7049</v>
      </c>
      <c r="O399" t="s">
        <v>7</v>
      </c>
      <c r="P399" t="s">
        <v>1702</v>
      </c>
      <c r="Q399" t="s">
        <v>1703</v>
      </c>
      <c r="R399" t="s">
        <v>7050</v>
      </c>
      <c r="S399" t="s">
        <v>6280</v>
      </c>
      <c r="T399" t="s">
        <v>119</v>
      </c>
    </row>
    <row r="400" spans="1:20" ht="15" customHeight="1" x14ac:dyDescent="0.4">
      <c r="A400" t="s">
        <v>1705</v>
      </c>
      <c r="B400" t="s">
        <v>1705</v>
      </c>
      <c r="C400" t="s">
        <v>151</v>
      </c>
      <c r="D400" t="s">
        <v>81</v>
      </c>
      <c r="E400" t="s">
        <v>163</v>
      </c>
      <c r="F400" t="s">
        <v>7051</v>
      </c>
      <c r="G400" t="s">
        <v>6294</v>
      </c>
      <c r="H400" t="s">
        <v>1704</v>
      </c>
      <c r="L400" t="s">
        <v>7052</v>
      </c>
      <c r="N400" t="s">
        <v>7052</v>
      </c>
      <c r="O400" t="s">
        <v>7</v>
      </c>
      <c r="P400" t="s">
        <v>1706</v>
      </c>
      <c r="Q400" t="s">
        <v>1707</v>
      </c>
      <c r="R400" s="27" t="s">
        <v>7053</v>
      </c>
      <c r="S400" t="s">
        <v>6280</v>
      </c>
      <c r="T400" t="s">
        <v>119</v>
      </c>
    </row>
    <row r="401" spans="1:20" ht="15" customHeight="1" x14ac:dyDescent="0.4">
      <c r="A401" t="s">
        <v>1709</v>
      </c>
      <c r="B401" t="s">
        <v>1709</v>
      </c>
      <c r="C401" t="s">
        <v>151</v>
      </c>
      <c r="D401" t="s">
        <v>81</v>
      </c>
      <c r="E401" t="s">
        <v>163</v>
      </c>
      <c r="F401" t="s">
        <v>7054</v>
      </c>
      <c r="G401" t="s">
        <v>6294</v>
      </c>
      <c r="H401" t="s">
        <v>1708</v>
      </c>
      <c r="L401" t="s">
        <v>7055</v>
      </c>
      <c r="N401" t="s">
        <v>7055</v>
      </c>
      <c r="O401" t="s">
        <v>7</v>
      </c>
      <c r="P401" t="s">
        <v>1710</v>
      </c>
      <c r="Q401" t="s">
        <v>1711</v>
      </c>
      <c r="R401" s="27" t="s">
        <v>7056</v>
      </c>
      <c r="S401" t="s">
        <v>6280</v>
      </c>
      <c r="T401" t="s">
        <v>119</v>
      </c>
    </row>
    <row r="402" spans="1:20" ht="15" customHeight="1" x14ac:dyDescent="0.4">
      <c r="A402" t="s">
        <v>1713</v>
      </c>
      <c r="B402" t="s">
        <v>1713</v>
      </c>
      <c r="C402" t="s">
        <v>151</v>
      </c>
      <c r="D402" t="s">
        <v>81</v>
      </c>
      <c r="E402" t="s">
        <v>163</v>
      </c>
      <c r="F402" t="s">
        <v>7057</v>
      </c>
      <c r="G402" t="s">
        <v>6294</v>
      </c>
      <c r="H402" t="s">
        <v>1712</v>
      </c>
      <c r="L402" t="s">
        <v>7058</v>
      </c>
      <c r="N402" t="s">
        <v>7058</v>
      </c>
      <c r="O402" t="s">
        <v>7</v>
      </c>
      <c r="P402" t="s">
        <v>1714</v>
      </c>
      <c r="Q402" t="s">
        <v>1715</v>
      </c>
      <c r="R402" s="27" t="s">
        <v>7059</v>
      </c>
      <c r="S402" t="s">
        <v>6280</v>
      </c>
      <c r="T402" t="s">
        <v>119</v>
      </c>
    </row>
    <row r="403" spans="1:20" ht="15" customHeight="1" x14ac:dyDescent="0.4">
      <c r="A403" t="s">
        <v>1717</v>
      </c>
      <c r="B403" t="s">
        <v>1717</v>
      </c>
      <c r="C403" t="s">
        <v>151</v>
      </c>
      <c r="D403" t="s">
        <v>81</v>
      </c>
      <c r="E403" t="s">
        <v>163</v>
      </c>
      <c r="F403" t="s">
        <v>7060</v>
      </c>
      <c r="G403" t="s">
        <v>6294</v>
      </c>
      <c r="H403" t="s">
        <v>1716</v>
      </c>
      <c r="L403" t="s">
        <v>7061</v>
      </c>
      <c r="N403" t="s">
        <v>7061</v>
      </c>
      <c r="O403" t="s">
        <v>7</v>
      </c>
      <c r="P403" t="s">
        <v>1718</v>
      </c>
      <c r="Q403" t="s">
        <v>1719</v>
      </c>
      <c r="R403" s="27" t="s">
        <v>7062</v>
      </c>
      <c r="S403" t="s">
        <v>6280</v>
      </c>
      <c r="T403" t="s">
        <v>119</v>
      </c>
    </row>
    <row r="404" spans="1:20" ht="15" customHeight="1" x14ac:dyDescent="0.4">
      <c r="A404" t="s">
        <v>1721</v>
      </c>
      <c r="B404" t="s">
        <v>1721</v>
      </c>
      <c r="C404" t="s">
        <v>151</v>
      </c>
      <c r="D404" t="s">
        <v>81</v>
      </c>
      <c r="E404" t="s">
        <v>163</v>
      </c>
      <c r="F404" t="s">
        <v>7063</v>
      </c>
      <c r="G404" t="s">
        <v>6294</v>
      </c>
      <c r="H404" t="s">
        <v>1720</v>
      </c>
      <c r="L404" t="s">
        <v>7064</v>
      </c>
      <c r="N404" t="s">
        <v>7064</v>
      </c>
      <c r="O404" t="s">
        <v>7</v>
      </c>
      <c r="P404" t="s">
        <v>1722</v>
      </c>
      <c r="Q404" t="s">
        <v>1723</v>
      </c>
      <c r="R404" s="27" t="s">
        <v>7065</v>
      </c>
      <c r="S404" t="s">
        <v>6280</v>
      </c>
      <c r="T404" t="s">
        <v>119</v>
      </c>
    </row>
    <row r="405" spans="1:20" ht="15" customHeight="1" x14ac:dyDescent="0.4">
      <c r="A405" t="s">
        <v>1725</v>
      </c>
      <c r="B405" t="s">
        <v>1725</v>
      </c>
      <c r="C405" t="s">
        <v>151</v>
      </c>
      <c r="D405" t="s">
        <v>81</v>
      </c>
      <c r="E405" t="s">
        <v>163</v>
      </c>
      <c r="F405" t="s">
        <v>7066</v>
      </c>
      <c r="G405" t="s">
        <v>6294</v>
      </c>
      <c r="H405" t="s">
        <v>1724</v>
      </c>
      <c r="L405" t="s">
        <v>7067</v>
      </c>
      <c r="N405" t="s">
        <v>7067</v>
      </c>
      <c r="O405" t="s">
        <v>7</v>
      </c>
      <c r="P405" t="s">
        <v>1726</v>
      </c>
      <c r="Q405" t="s">
        <v>1727</v>
      </c>
      <c r="R405" s="27" t="s">
        <v>7068</v>
      </c>
      <c r="S405" t="s">
        <v>6280</v>
      </c>
      <c r="T405" t="s">
        <v>119</v>
      </c>
    </row>
    <row r="406" spans="1:20" ht="15" customHeight="1" x14ac:dyDescent="0.4">
      <c r="A406" t="s">
        <v>1729</v>
      </c>
      <c r="B406" t="s">
        <v>1729</v>
      </c>
      <c r="C406" t="s">
        <v>151</v>
      </c>
      <c r="D406" t="s">
        <v>81</v>
      </c>
      <c r="E406" t="s">
        <v>163</v>
      </c>
      <c r="F406" t="s">
        <v>7069</v>
      </c>
      <c r="G406" t="s">
        <v>6294</v>
      </c>
      <c r="H406" t="s">
        <v>1728</v>
      </c>
      <c r="L406" t="s">
        <v>7070</v>
      </c>
      <c r="N406" t="s">
        <v>7070</v>
      </c>
      <c r="O406" t="s">
        <v>7</v>
      </c>
      <c r="P406" t="s">
        <v>1730</v>
      </c>
      <c r="Q406" t="s">
        <v>1731</v>
      </c>
      <c r="R406" s="27" t="s">
        <v>7071</v>
      </c>
      <c r="S406" t="s">
        <v>6280</v>
      </c>
      <c r="T406" t="s">
        <v>119</v>
      </c>
    </row>
    <row r="407" spans="1:20" ht="15" customHeight="1" x14ac:dyDescent="0.4">
      <c r="A407" t="s">
        <v>1733</v>
      </c>
      <c r="B407" t="s">
        <v>1733</v>
      </c>
      <c r="C407" t="s">
        <v>151</v>
      </c>
      <c r="D407" t="s">
        <v>81</v>
      </c>
      <c r="E407" t="s">
        <v>163</v>
      </c>
      <c r="F407" t="s">
        <v>7072</v>
      </c>
      <c r="G407" t="s">
        <v>6294</v>
      </c>
      <c r="H407" t="s">
        <v>1732</v>
      </c>
      <c r="L407" t="s">
        <v>7073</v>
      </c>
      <c r="N407" t="s">
        <v>7073</v>
      </c>
      <c r="O407" t="s">
        <v>7</v>
      </c>
      <c r="P407" t="s">
        <v>1734</v>
      </c>
      <c r="Q407" t="s">
        <v>1735</v>
      </c>
      <c r="R407" s="27" t="s">
        <v>7074</v>
      </c>
      <c r="S407" t="s">
        <v>6280</v>
      </c>
      <c r="T407" t="s">
        <v>119</v>
      </c>
    </row>
    <row r="408" spans="1:20" ht="15" customHeight="1" x14ac:dyDescent="0.4">
      <c r="A408" t="s">
        <v>1737</v>
      </c>
      <c r="B408" t="s">
        <v>1737</v>
      </c>
      <c r="C408" t="s">
        <v>151</v>
      </c>
      <c r="D408" t="s">
        <v>81</v>
      </c>
      <c r="E408" t="s">
        <v>163</v>
      </c>
      <c r="F408" t="s">
        <v>7075</v>
      </c>
      <c r="G408" t="s">
        <v>6294</v>
      </c>
      <c r="H408" t="s">
        <v>1736</v>
      </c>
      <c r="L408" t="s">
        <v>7076</v>
      </c>
      <c r="N408" t="s">
        <v>7076</v>
      </c>
      <c r="O408" t="s">
        <v>7</v>
      </c>
      <c r="P408" t="s">
        <v>1738</v>
      </c>
      <c r="Q408" t="s">
        <v>1739</v>
      </c>
      <c r="R408" s="27" t="s">
        <v>7077</v>
      </c>
      <c r="S408" t="s">
        <v>6280</v>
      </c>
      <c r="T408" t="s">
        <v>119</v>
      </c>
    </row>
    <row r="409" spans="1:20" ht="15" customHeight="1" x14ac:dyDescent="0.4">
      <c r="A409" t="s">
        <v>1741</v>
      </c>
      <c r="B409" t="s">
        <v>1741</v>
      </c>
      <c r="C409" t="s">
        <v>151</v>
      </c>
      <c r="D409" t="s">
        <v>81</v>
      </c>
      <c r="E409" t="s">
        <v>163</v>
      </c>
      <c r="F409" t="s">
        <v>7078</v>
      </c>
      <c r="G409" t="s">
        <v>6294</v>
      </c>
      <c r="H409" t="s">
        <v>1740</v>
      </c>
      <c r="L409" t="s">
        <v>7079</v>
      </c>
      <c r="N409" t="s">
        <v>7079</v>
      </c>
      <c r="O409" t="s">
        <v>7</v>
      </c>
      <c r="P409" t="s">
        <v>1742</v>
      </c>
      <c r="Q409" t="s">
        <v>1743</v>
      </c>
      <c r="R409" s="27" t="s">
        <v>7080</v>
      </c>
      <c r="S409" t="s">
        <v>6280</v>
      </c>
      <c r="T409" t="s">
        <v>119</v>
      </c>
    </row>
    <row r="410" spans="1:20" ht="15" customHeight="1" x14ac:dyDescent="0.4">
      <c r="A410" t="s">
        <v>1745</v>
      </c>
      <c r="B410" t="s">
        <v>1745</v>
      </c>
      <c r="C410" t="s">
        <v>151</v>
      </c>
      <c r="D410" t="s">
        <v>81</v>
      </c>
      <c r="E410" t="s">
        <v>163</v>
      </c>
      <c r="F410" t="s">
        <v>7081</v>
      </c>
      <c r="G410" t="s">
        <v>6294</v>
      </c>
      <c r="H410" t="s">
        <v>1744</v>
      </c>
      <c r="L410" t="s">
        <v>7082</v>
      </c>
      <c r="N410" t="s">
        <v>7082</v>
      </c>
      <c r="O410" t="s">
        <v>7</v>
      </c>
      <c r="P410" t="s">
        <v>1746</v>
      </c>
      <c r="Q410" t="s">
        <v>1747</v>
      </c>
      <c r="R410" s="27" t="s">
        <v>7083</v>
      </c>
      <c r="S410" t="s">
        <v>6280</v>
      </c>
      <c r="T410" t="s">
        <v>119</v>
      </c>
    </row>
    <row r="411" spans="1:20" ht="15" customHeight="1" x14ac:dyDescent="0.4">
      <c r="A411" t="s">
        <v>1749</v>
      </c>
      <c r="B411" t="s">
        <v>1749</v>
      </c>
      <c r="C411" t="s">
        <v>151</v>
      </c>
      <c r="D411" t="s">
        <v>81</v>
      </c>
      <c r="E411" t="s">
        <v>163</v>
      </c>
      <c r="F411" t="s">
        <v>7084</v>
      </c>
      <c r="G411" t="s">
        <v>6294</v>
      </c>
      <c r="H411" t="s">
        <v>1748</v>
      </c>
      <c r="L411" t="s">
        <v>7085</v>
      </c>
      <c r="N411" t="s">
        <v>7085</v>
      </c>
      <c r="O411" t="s">
        <v>7</v>
      </c>
      <c r="P411" t="s">
        <v>1750</v>
      </c>
      <c r="Q411" t="s">
        <v>1751</v>
      </c>
      <c r="R411" s="27" t="s">
        <v>7086</v>
      </c>
      <c r="S411" t="s">
        <v>6280</v>
      </c>
      <c r="T411" t="s">
        <v>119</v>
      </c>
    </row>
    <row r="412" spans="1:20" ht="15" customHeight="1" x14ac:dyDescent="0.4">
      <c r="A412" t="s">
        <v>1753</v>
      </c>
      <c r="B412" t="s">
        <v>1753</v>
      </c>
      <c r="C412" t="s">
        <v>151</v>
      </c>
      <c r="D412" t="s">
        <v>81</v>
      </c>
      <c r="E412" t="s">
        <v>163</v>
      </c>
      <c r="F412" t="s">
        <v>7087</v>
      </c>
      <c r="G412" t="s">
        <v>6294</v>
      </c>
      <c r="H412" t="s">
        <v>1752</v>
      </c>
      <c r="L412" t="s">
        <v>7088</v>
      </c>
      <c r="N412" t="s">
        <v>7088</v>
      </c>
      <c r="O412" t="s">
        <v>7</v>
      </c>
      <c r="P412" t="s">
        <v>1754</v>
      </c>
      <c r="Q412" t="s">
        <v>1755</v>
      </c>
      <c r="R412" s="27" t="s">
        <v>7089</v>
      </c>
      <c r="S412" t="s">
        <v>6280</v>
      </c>
      <c r="T412" t="s">
        <v>119</v>
      </c>
    </row>
    <row r="413" spans="1:20" ht="15" customHeight="1" x14ac:dyDescent="0.4">
      <c r="A413" t="s">
        <v>1757</v>
      </c>
      <c r="B413" t="s">
        <v>1757</v>
      </c>
      <c r="C413" t="s">
        <v>151</v>
      </c>
      <c r="D413" t="s">
        <v>81</v>
      </c>
      <c r="E413" t="s">
        <v>163</v>
      </c>
      <c r="F413" t="s">
        <v>7090</v>
      </c>
      <c r="G413" t="s">
        <v>6294</v>
      </c>
      <c r="H413" t="s">
        <v>1756</v>
      </c>
      <c r="L413" t="s">
        <v>7091</v>
      </c>
      <c r="N413" t="s">
        <v>7091</v>
      </c>
      <c r="O413" t="s">
        <v>7</v>
      </c>
      <c r="P413" t="s">
        <v>1758</v>
      </c>
      <c r="Q413" t="s">
        <v>1759</v>
      </c>
      <c r="R413" s="27" t="s">
        <v>7092</v>
      </c>
      <c r="S413" t="s">
        <v>6280</v>
      </c>
      <c r="T413" t="s">
        <v>119</v>
      </c>
    </row>
    <row r="414" spans="1:20" ht="15" customHeight="1" x14ac:dyDescent="0.4">
      <c r="A414" t="s">
        <v>1761</v>
      </c>
      <c r="B414" t="s">
        <v>1761</v>
      </c>
      <c r="C414" t="s">
        <v>151</v>
      </c>
      <c r="D414" t="s">
        <v>81</v>
      </c>
      <c r="E414" t="s">
        <v>163</v>
      </c>
      <c r="F414" t="s">
        <v>7093</v>
      </c>
      <c r="G414" t="s">
        <v>6294</v>
      </c>
      <c r="H414" t="s">
        <v>1760</v>
      </c>
      <c r="L414" t="s">
        <v>7094</v>
      </c>
      <c r="N414" t="s">
        <v>7094</v>
      </c>
      <c r="O414" t="s">
        <v>7</v>
      </c>
      <c r="P414" t="s">
        <v>1762</v>
      </c>
      <c r="Q414" t="s">
        <v>1763</v>
      </c>
      <c r="R414" s="27" t="s">
        <v>7095</v>
      </c>
      <c r="S414" t="s">
        <v>6280</v>
      </c>
      <c r="T414" t="s">
        <v>119</v>
      </c>
    </row>
    <row r="415" spans="1:20" ht="15" customHeight="1" x14ac:dyDescent="0.4">
      <c r="A415" t="s">
        <v>1765</v>
      </c>
      <c r="B415" t="s">
        <v>1765</v>
      </c>
      <c r="C415" t="s">
        <v>151</v>
      </c>
      <c r="D415" t="s">
        <v>81</v>
      </c>
      <c r="E415" t="s">
        <v>163</v>
      </c>
      <c r="F415" t="s">
        <v>7096</v>
      </c>
      <c r="G415" t="s">
        <v>6294</v>
      </c>
      <c r="H415" t="s">
        <v>1764</v>
      </c>
      <c r="L415" t="s">
        <v>7097</v>
      </c>
      <c r="N415" t="s">
        <v>7097</v>
      </c>
      <c r="O415" t="s">
        <v>7</v>
      </c>
      <c r="P415" t="s">
        <v>1766</v>
      </c>
      <c r="Q415" t="s">
        <v>1767</v>
      </c>
      <c r="R415" s="27" t="s">
        <v>7098</v>
      </c>
      <c r="S415" t="s">
        <v>6280</v>
      </c>
      <c r="T415" t="s">
        <v>119</v>
      </c>
    </row>
    <row r="416" spans="1:20" ht="15" customHeight="1" x14ac:dyDescent="0.4">
      <c r="A416" t="s">
        <v>1769</v>
      </c>
      <c r="B416" t="s">
        <v>1769</v>
      </c>
      <c r="C416" t="s">
        <v>151</v>
      </c>
      <c r="D416" t="s">
        <v>81</v>
      </c>
      <c r="E416" t="s">
        <v>163</v>
      </c>
      <c r="F416" t="s">
        <v>7099</v>
      </c>
      <c r="G416" t="s">
        <v>6294</v>
      </c>
      <c r="H416" t="s">
        <v>1768</v>
      </c>
      <c r="L416" t="s">
        <v>7100</v>
      </c>
      <c r="N416" t="s">
        <v>7100</v>
      </c>
      <c r="O416" t="s">
        <v>7</v>
      </c>
      <c r="P416" t="s">
        <v>1770</v>
      </c>
      <c r="Q416" t="s">
        <v>1771</v>
      </c>
      <c r="R416" s="27" t="s">
        <v>7101</v>
      </c>
      <c r="S416" t="s">
        <v>6280</v>
      </c>
      <c r="T416" t="s">
        <v>119</v>
      </c>
    </row>
    <row r="417" spans="1:20" ht="15" customHeight="1" x14ac:dyDescent="0.4">
      <c r="A417" t="s">
        <v>1773</v>
      </c>
      <c r="B417" t="s">
        <v>1773</v>
      </c>
      <c r="C417" t="s">
        <v>151</v>
      </c>
      <c r="D417" t="s">
        <v>81</v>
      </c>
      <c r="E417" t="s">
        <v>163</v>
      </c>
      <c r="F417" t="s">
        <v>7102</v>
      </c>
      <c r="G417" t="s">
        <v>6294</v>
      </c>
      <c r="H417" t="s">
        <v>1772</v>
      </c>
      <c r="L417" t="s">
        <v>7103</v>
      </c>
      <c r="N417" t="s">
        <v>7103</v>
      </c>
      <c r="O417" t="s">
        <v>7</v>
      </c>
      <c r="P417" t="s">
        <v>1774</v>
      </c>
      <c r="Q417" t="s">
        <v>1775</v>
      </c>
      <c r="R417" s="27" t="s">
        <v>7104</v>
      </c>
      <c r="S417" t="s">
        <v>6280</v>
      </c>
      <c r="T417" t="s">
        <v>119</v>
      </c>
    </row>
    <row r="418" spans="1:20" ht="15" customHeight="1" x14ac:dyDescent="0.4">
      <c r="A418" t="s">
        <v>1777</v>
      </c>
      <c r="B418" t="s">
        <v>1777</v>
      </c>
      <c r="C418" t="s">
        <v>151</v>
      </c>
      <c r="D418" t="s">
        <v>81</v>
      </c>
      <c r="E418" t="s">
        <v>163</v>
      </c>
      <c r="F418" t="s">
        <v>7105</v>
      </c>
      <c r="G418" t="s">
        <v>6294</v>
      </c>
      <c r="H418" t="s">
        <v>1776</v>
      </c>
      <c r="L418" t="s">
        <v>7106</v>
      </c>
      <c r="N418" t="s">
        <v>7106</v>
      </c>
      <c r="O418" t="s">
        <v>7</v>
      </c>
      <c r="P418" t="s">
        <v>1778</v>
      </c>
      <c r="Q418" t="s">
        <v>1779</v>
      </c>
      <c r="R418" s="27" t="s">
        <v>7107</v>
      </c>
      <c r="S418" t="s">
        <v>6280</v>
      </c>
      <c r="T418" t="s">
        <v>119</v>
      </c>
    </row>
    <row r="419" spans="1:20" ht="15" customHeight="1" x14ac:dyDescent="0.4">
      <c r="A419" t="s">
        <v>1781</v>
      </c>
      <c r="B419" t="s">
        <v>1781</v>
      </c>
      <c r="C419" t="s">
        <v>151</v>
      </c>
      <c r="D419" t="s">
        <v>81</v>
      </c>
      <c r="E419" t="s">
        <v>163</v>
      </c>
      <c r="F419" t="s">
        <v>7108</v>
      </c>
      <c r="G419" t="s">
        <v>6294</v>
      </c>
      <c r="H419" t="s">
        <v>1780</v>
      </c>
      <c r="L419" t="s">
        <v>7109</v>
      </c>
      <c r="N419" t="s">
        <v>7109</v>
      </c>
      <c r="O419" t="s">
        <v>7</v>
      </c>
      <c r="P419" t="s">
        <v>1782</v>
      </c>
      <c r="Q419" t="s">
        <v>1783</v>
      </c>
      <c r="R419" s="27" t="s">
        <v>7110</v>
      </c>
      <c r="S419" t="s">
        <v>6280</v>
      </c>
      <c r="T419" t="s">
        <v>119</v>
      </c>
    </row>
    <row r="420" spans="1:20" ht="15" customHeight="1" x14ac:dyDescent="0.4">
      <c r="A420" t="s">
        <v>1785</v>
      </c>
      <c r="B420" t="s">
        <v>1785</v>
      </c>
      <c r="C420" t="s">
        <v>151</v>
      </c>
      <c r="D420" t="s">
        <v>81</v>
      </c>
      <c r="E420" t="s">
        <v>163</v>
      </c>
      <c r="F420" t="s">
        <v>7111</v>
      </c>
      <c r="G420" t="s">
        <v>6294</v>
      </c>
      <c r="H420" t="s">
        <v>1784</v>
      </c>
      <c r="L420" t="s">
        <v>7112</v>
      </c>
      <c r="N420" t="s">
        <v>7112</v>
      </c>
      <c r="O420" t="s">
        <v>7</v>
      </c>
      <c r="P420" t="s">
        <v>1786</v>
      </c>
      <c r="Q420" t="s">
        <v>1787</v>
      </c>
      <c r="R420" s="27" t="s">
        <v>7113</v>
      </c>
      <c r="S420" t="s">
        <v>6280</v>
      </c>
      <c r="T420" t="s">
        <v>119</v>
      </c>
    </row>
    <row r="421" spans="1:20" ht="15" customHeight="1" x14ac:dyDescent="0.4">
      <c r="A421" t="s">
        <v>1789</v>
      </c>
      <c r="B421" t="s">
        <v>1789</v>
      </c>
      <c r="C421" t="s">
        <v>151</v>
      </c>
      <c r="D421" t="s">
        <v>81</v>
      </c>
      <c r="E421" t="s">
        <v>163</v>
      </c>
      <c r="F421" t="s">
        <v>7114</v>
      </c>
      <c r="G421" t="s">
        <v>6294</v>
      </c>
      <c r="H421" t="s">
        <v>1788</v>
      </c>
      <c r="L421" t="s">
        <v>7115</v>
      </c>
      <c r="N421" t="s">
        <v>7115</v>
      </c>
      <c r="O421" t="s">
        <v>7</v>
      </c>
      <c r="P421" t="s">
        <v>1790</v>
      </c>
      <c r="Q421" t="s">
        <v>1791</v>
      </c>
      <c r="R421" t="s">
        <v>7116</v>
      </c>
      <c r="S421" t="s">
        <v>6280</v>
      </c>
      <c r="T421" t="s">
        <v>119</v>
      </c>
    </row>
    <row r="422" spans="1:20" ht="15" customHeight="1" x14ac:dyDescent="0.4">
      <c r="A422" t="s">
        <v>1793</v>
      </c>
      <c r="B422" t="s">
        <v>1793</v>
      </c>
      <c r="C422" t="s">
        <v>151</v>
      </c>
      <c r="D422" t="s">
        <v>81</v>
      </c>
      <c r="E422" t="s">
        <v>163</v>
      </c>
      <c r="F422" t="s">
        <v>7117</v>
      </c>
      <c r="G422" t="s">
        <v>6294</v>
      </c>
      <c r="H422" t="s">
        <v>1792</v>
      </c>
      <c r="L422" t="s">
        <v>7118</v>
      </c>
      <c r="N422" t="s">
        <v>7118</v>
      </c>
      <c r="O422" t="s">
        <v>7</v>
      </c>
      <c r="P422" t="s">
        <v>1794</v>
      </c>
      <c r="Q422" t="s">
        <v>1795</v>
      </c>
      <c r="R422" t="s">
        <v>7119</v>
      </c>
      <c r="S422" t="s">
        <v>6280</v>
      </c>
      <c r="T422" t="s">
        <v>119</v>
      </c>
    </row>
    <row r="423" spans="1:20" ht="15" customHeight="1" x14ac:dyDescent="0.4">
      <c r="A423" t="s">
        <v>1797</v>
      </c>
      <c r="B423" t="s">
        <v>1797</v>
      </c>
      <c r="C423" t="s">
        <v>151</v>
      </c>
      <c r="D423" t="s">
        <v>81</v>
      </c>
      <c r="E423" t="s">
        <v>163</v>
      </c>
      <c r="F423" t="s">
        <v>7120</v>
      </c>
      <c r="G423" t="s">
        <v>6294</v>
      </c>
      <c r="H423" t="s">
        <v>1796</v>
      </c>
      <c r="L423" t="s">
        <v>7121</v>
      </c>
      <c r="N423" t="s">
        <v>7121</v>
      </c>
      <c r="O423" t="s">
        <v>7</v>
      </c>
      <c r="P423" t="s">
        <v>1798</v>
      </c>
      <c r="Q423" t="s">
        <v>1799</v>
      </c>
      <c r="R423" s="27" t="s">
        <v>7122</v>
      </c>
      <c r="S423" t="s">
        <v>6280</v>
      </c>
      <c r="T423" t="s">
        <v>119</v>
      </c>
    </row>
    <row r="424" spans="1:20" ht="15" customHeight="1" x14ac:dyDescent="0.4">
      <c r="A424" t="s">
        <v>1801</v>
      </c>
      <c r="B424" t="s">
        <v>1801</v>
      </c>
      <c r="C424" t="s">
        <v>151</v>
      </c>
      <c r="D424" t="s">
        <v>81</v>
      </c>
      <c r="E424" t="s">
        <v>163</v>
      </c>
      <c r="F424" t="s">
        <v>7123</v>
      </c>
      <c r="G424" t="s">
        <v>6294</v>
      </c>
      <c r="H424" t="s">
        <v>1800</v>
      </c>
      <c r="L424" t="s">
        <v>7124</v>
      </c>
      <c r="N424" t="s">
        <v>7124</v>
      </c>
      <c r="O424" t="s">
        <v>7</v>
      </c>
      <c r="P424" t="s">
        <v>1802</v>
      </c>
      <c r="Q424" t="s">
        <v>1803</v>
      </c>
      <c r="R424" s="27" t="s">
        <v>7125</v>
      </c>
      <c r="S424" t="s">
        <v>6280</v>
      </c>
      <c r="T424" t="s">
        <v>119</v>
      </c>
    </row>
    <row r="425" spans="1:20" ht="15" customHeight="1" x14ac:dyDescent="0.4">
      <c r="A425" t="s">
        <v>1805</v>
      </c>
      <c r="B425" t="s">
        <v>1805</v>
      </c>
      <c r="C425" t="s">
        <v>151</v>
      </c>
      <c r="D425" t="s">
        <v>81</v>
      </c>
      <c r="E425" t="s">
        <v>163</v>
      </c>
      <c r="F425" t="s">
        <v>7126</v>
      </c>
      <c r="G425" t="s">
        <v>6294</v>
      </c>
      <c r="H425" t="s">
        <v>1804</v>
      </c>
      <c r="L425" t="s">
        <v>7127</v>
      </c>
      <c r="N425" t="s">
        <v>7127</v>
      </c>
      <c r="O425" t="s">
        <v>7</v>
      </c>
      <c r="P425" t="s">
        <v>1806</v>
      </c>
      <c r="Q425" t="s">
        <v>1807</v>
      </c>
      <c r="R425" s="27" t="s">
        <v>7128</v>
      </c>
      <c r="S425" t="s">
        <v>6280</v>
      </c>
      <c r="T425" t="s">
        <v>119</v>
      </c>
    </row>
    <row r="426" spans="1:20" ht="15" customHeight="1" x14ac:dyDescent="0.4">
      <c r="A426" t="s">
        <v>1809</v>
      </c>
      <c r="B426" t="s">
        <v>1809</v>
      </c>
      <c r="C426" t="s">
        <v>151</v>
      </c>
      <c r="D426" t="s">
        <v>81</v>
      </c>
      <c r="E426" t="s">
        <v>163</v>
      </c>
      <c r="F426" t="s">
        <v>7129</v>
      </c>
      <c r="G426" t="s">
        <v>6294</v>
      </c>
      <c r="H426" t="s">
        <v>1808</v>
      </c>
      <c r="L426" t="s">
        <v>7130</v>
      </c>
      <c r="N426" t="s">
        <v>7130</v>
      </c>
      <c r="O426" t="s">
        <v>7</v>
      </c>
      <c r="P426" t="s">
        <v>1810</v>
      </c>
      <c r="Q426" t="s">
        <v>1811</v>
      </c>
      <c r="R426" s="27" t="s">
        <v>7131</v>
      </c>
      <c r="S426" t="s">
        <v>6280</v>
      </c>
      <c r="T426" t="s">
        <v>119</v>
      </c>
    </row>
    <row r="427" spans="1:20" ht="15" customHeight="1" x14ac:dyDescent="0.4">
      <c r="A427" t="s">
        <v>1813</v>
      </c>
      <c r="B427" t="s">
        <v>1813</v>
      </c>
      <c r="C427" t="s">
        <v>151</v>
      </c>
      <c r="D427" t="s">
        <v>81</v>
      </c>
      <c r="E427" t="s">
        <v>163</v>
      </c>
      <c r="F427" t="s">
        <v>7132</v>
      </c>
      <c r="G427" t="s">
        <v>6294</v>
      </c>
      <c r="H427" t="s">
        <v>1812</v>
      </c>
      <c r="L427" t="s">
        <v>7133</v>
      </c>
      <c r="N427" t="s">
        <v>7133</v>
      </c>
      <c r="O427" t="s">
        <v>7</v>
      </c>
      <c r="P427" t="s">
        <v>1814</v>
      </c>
      <c r="Q427" t="s">
        <v>1815</v>
      </c>
      <c r="R427" s="27" t="s">
        <v>7134</v>
      </c>
      <c r="S427" t="s">
        <v>6280</v>
      </c>
      <c r="T427" t="s">
        <v>119</v>
      </c>
    </row>
    <row r="428" spans="1:20" ht="15" customHeight="1" x14ac:dyDescent="0.4">
      <c r="A428" t="s">
        <v>1817</v>
      </c>
      <c r="B428" t="s">
        <v>1817</v>
      </c>
      <c r="C428" t="s">
        <v>151</v>
      </c>
      <c r="D428" t="s">
        <v>81</v>
      </c>
      <c r="E428" t="s">
        <v>163</v>
      </c>
      <c r="F428" t="s">
        <v>7135</v>
      </c>
      <c r="G428" t="s">
        <v>6294</v>
      </c>
      <c r="H428" t="s">
        <v>1816</v>
      </c>
      <c r="L428" t="s">
        <v>7136</v>
      </c>
      <c r="N428" t="s">
        <v>7136</v>
      </c>
      <c r="O428" t="s">
        <v>7</v>
      </c>
      <c r="P428" t="s">
        <v>1818</v>
      </c>
      <c r="Q428" t="s">
        <v>1819</v>
      </c>
      <c r="R428" s="27" t="s">
        <v>7137</v>
      </c>
      <c r="S428" t="s">
        <v>6280</v>
      </c>
      <c r="T428" t="s">
        <v>119</v>
      </c>
    </row>
    <row r="429" spans="1:20" ht="15" customHeight="1" x14ac:dyDescent="0.4">
      <c r="A429" t="s">
        <v>1821</v>
      </c>
      <c r="B429" t="s">
        <v>1821</v>
      </c>
      <c r="C429" t="s">
        <v>151</v>
      </c>
      <c r="D429" t="s">
        <v>81</v>
      </c>
      <c r="E429" t="s">
        <v>163</v>
      </c>
      <c r="F429" t="s">
        <v>7138</v>
      </c>
      <c r="G429" t="s">
        <v>6294</v>
      </c>
      <c r="H429" t="s">
        <v>1820</v>
      </c>
      <c r="L429" t="s">
        <v>7139</v>
      </c>
      <c r="N429" t="s">
        <v>7139</v>
      </c>
      <c r="O429" t="s">
        <v>7</v>
      </c>
      <c r="P429" t="s">
        <v>1822</v>
      </c>
      <c r="Q429" t="s">
        <v>1823</v>
      </c>
      <c r="R429" s="27" t="s">
        <v>7140</v>
      </c>
      <c r="S429" t="s">
        <v>6280</v>
      </c>
      <c r="T429" t="s">
        <v>119</v>
      </c>
    </row>
    <row r="430" spans="1:20" ht="15" customHeight="1" x14ac:dyDescent="0.4">
      <c r="A430" t="s">
        <v>1825</v>
      </c>
      <c r="B430" t="s">
        <v>1825</v>
      </c>
      <c r="C430" t="s">
        <v>151</v>
      </c>
      <c r="D430" t="s">
        <v>81</v>
      </c>
      <c r="E430" t="s">
        <v>163</v>
      </c>
      <c r="F430" t="s">
        <v>7141</v>
      </c>
      <c r="G430" t="s">
        <v>6294</v>
      </c>
      <c r="H430" t="s">
        <v>1824</v>
      </c>
      <c r="L430" t="s">
        <v>7142</v>
      </c>
      <c r="N430" t="s">
        <v>7142</v>
      </c>
      <c r="O430" t="s">
        <v>7</v>
      </c>
      <c r="P430" t="s">
        <v>1826</v>
      </c>
      <c r="Q430" t="s">
        <v>1827</v>
      </c>
      <c r="R430" s="27" t="s">
        <v>7143</v>
      </c>
      <c r="S430" t="s">
        <v>6280</v>
      </c>
      <c r="T430" t="s">
        <v>119</v>
      </c>
    </row>
    <row r="431" spans="1:20" ht="15" customHeight="1" x14ac:dyDescent="0.4">
      <c r="A431" t="s">
        <v>1829</v>
      </c>
      <c r="B431" t="s">
        <v>1829</v>
      </c>
      <c r="C431" t="s">
        <v>151</v>
      </c>
      <c r="D431" t="s">
        <v>81</v>
      </c>
      <c r="E431" t="s">
        <v>163</v>
      </c>
      <c r="F431" t="s">
        <v>7144</v>
      </c>
      <c r="G431" t="s">
        <v>6294</v>
      </c>
      <c r="H431" t="s">
        <v>1828</v>
      </c>
      <c r="L431" t="s">
        <v>7145</v>
      </c>
      <c r="N431" t="s">
        <v>7145</v>
      </c>
      <c r="O431" t="s">
        <v>7</v>
      </c>
      <c r="P431" t="s">
        <v>1830</v>
      </c>
      <c r="Q431" t="s">
        <v>1831</v>
      </c>
      <c r="R431" s="27" t="s">
        <v>7146</v>
      </c>
      <c r="S431" t="s">
        <v>6280</v>
      </c>
      <c r="T431" t="s">
        <v>119</v>
      </c>
    </row>
    <row r="432" spans="1:20" ht="15" customHeight="1" x14ac:dyDescent="0.4">
      <c r="A432" t="s">
        <v>1833</v>
      </c>
      <c r="B432" t="s">
        <v>1833</v>
      </c>
      <c r="C432" t="s">
        <v>151</v>
      </c>
      <c r="D432" t="s">
        <v>81</v>
      </c>
      <c r="E432" t="s">
        <v>163</v>
      </c>
      <c r="F432" t="s">
        <v>7147</v>
      </c>
      <c r="G432" t="s">
        <v>6294</v>
      </c>
      <c r="H432" t="s">
        <v>1832</v>
      </c>
      <c r="L432" t="s">
        <v>7148</v>
      </c>
      <c r="N432" t="s">
        <v>7148</v>
      </c>
      <c r="O432" t="s">
        <v>7</v>
      </c>
      <c r="P432" t="s">
        <v>1834</v>
      </c>
      <c r="Q432" t="s">
        <v>1835</v>
      </c>
      <c r="R432" s="27" t="s">
        <v>7149</v>
      </c>
      <c r="S432" t="s">
        <v>6280</v>
      </c>
      <c r="T432" t="s">
        <v>119</v>
      </c>
    </row>
    <row r="433" spans="1:20" ht="15" customHeight="1" x14ac:dyDescent="0.4">
      <c r="A433" t="s">
        <v>1837</v>
      </c>
      <c r="B433" t="s">
        <v>1837</v>
      </c>
      <c r="C433" t="s">
        <v>151</v>
      </c>
      <c r="D433" t="s">
        <v>81</v>
      </c>
      <c r="E433" t="s">
        <v>163</v>
      </c>
      <c r="F433" t="s">
        <v>7150</v>
      </c>
      <c r="G433" t="s">
        <v>6294</v>
      </c>
      <c r="H433" t="s">
        <v>1836</v>
      </c>
      <c r="L433" t="s">
        <v>7150</v>
      </c>
      <c r="N433" t="s">
        <v>7150</v>
      </c>
      <c r="O433" t="s">
        <v>7</v>
      </c>
      <c r="P433" t="s">
        <v>1838</v>
      </c>
      <c r="Q433" t="s">
        <v>1839</v>
      </c>
      <c r="R433" s="27" t="s">
        <v>7151</v>
      </c>
      <c r="T433" t="s">
        <v>119</v>
      </c>
    </row>
    <row r="434" spans="1:20" ht="15" customHeight="1" x14ac:dyDescent="0.4">
      <c r="A434" t="s">
        <v>1841</v>
      </c>
      <c r="B434" t="s">
        <v>1841</v>
      </c>
      <c r="C434" t="s">
        <v>151</v>
      </c>
      <c r="D434" t="s">
        <v>81</v>
      </c>
      <c r="E434" t="s">
        <v>163</v>
      </c>
      <c r="F434" t="s">
        <v>7152</v>
      </c>
      <c r="G434" t="s">
        <v>6294</v>
      </c>
      <c r="H434" t="s">
        <v>1840</v>
      </c>
      <c r="L434" t="s">
        <v>7152</v>
      </c>
      <c r="N434" t="s">
        <v>7152</v>
      </c>
      <c r="O434" t="s">
        <v>7</v>
      </c>
      <c r="P434" t="s">
        <v>1842</v>
      </c>
      <c r="Q434" t="s">
        <v>1843</v>
      </c>
      <c r="R434" s="27" t="s">
        <v>7153</v>
      </c>
      <c r="T434" t="s">
        <v>119</v>
      </c>
    </row>
    <row r="435" spans="1:20" ht="15" customHeight="1" x14ac:dyDescent="0.4">
      <c r="A435" t="s">
        <v>1845</v>
      </c>
      <c r="B435" t="s">
        <v>1845</v>
      </c>
      <c r="C435" t="s">
        <v>151</v>
      </c>
      <c r="D435" t="s">
        <v>81</v>
      </c>
      <c r="E435" t="s">
        <v>163</v>
      </c>
      <c r="F435" t="s">
        <v>7154</v>
      </c>
      <c r="G435" t="s">
        <v>6294</v>
      </c>
      <c r="H435" t="s">
        <v>1844</v>
      </c>
      <c r="L435" t="s">
        <v>7154</v>
      </c>
      <c r="N435" t="s">
        <v>7154</v>
      </c>
      <c r="O435" t="s">
        <v>7</v>
      </c>
      <c r="P435" t="s">
        <v>1846</v>
      </c>
      <c r="Q435" t="s">
        <v>1847</v>
      </c>
      <c r="R435" s="27" t="s">
        <v>7155</v>
      </c>
      <c r="T435" t="s">
        <v>119</v>
      </c>
    </row>
    <row r="436" spans="1:20" ht="15" customHeight="1" x14ac:dyDescent="0.4">
      <c r="A436" t="s">
        <v>1849</v>
      </c>
      <c r="B436" t="s">
        <v>1849</v>
      </c>
      <c r="C436" t="s">
        <v>151</v>
      </c>
      <c r="D436" t="s">
        <v>81</v>
      </c>
      <c r="E436" t="s">
        <v>163</v>
      </c>
      <c r="F436" t="s">
        <v>7156</v>
      </c>
      <c r="G436" t="s">
        <v>6294</v>
      </c>
      <c r="H436" t="s">
        <v>1848</v>
      </c>
      <c r="L436" t="s">
        <v>7156</v>
      </c>
      <c r="N436" t="s">
        <v>7156</v>
      </c>
      <c r="O436" t="s">
        <v>7</v>
      </c>
      <c r="P436" t="s">
        <v>1850</v>
      </c>
      <c r="Q436" t="s">
        <v>1851</v>
      </c>
      <c r="R436" s="27" t="s">
        <v>7153</v>
      </c>
      <c r="T436" t="s">
        <v>119</v>
      </c>
    </row>
    <row r="437" spans="1:20" ht="15" customHeight="1" x14ac:dyDescent="0.4">
      <c r="A437" t="s">
        <v>1853</v>
      </c>
      <c r="B437" t="s">
        <v>1853</v>
      </c>
      <c r="C437" t="s">
        <v>151</v>
      </c>
      <c r="D437" t="s">
        <v>81</v>
      </c>
      <c r="E437" t="s">
        <v>163</v>
      </c>
      <c r="F437" t="s">
        <v>7157</v>
      </c>
      <c r="G437" t="s">
        <v>6294</v>
      </c>
      <c r="H437" t="s">
        <v>1852</v>
      </c>
      <c r="L437" t="s">
        <v>7157</v>
      </c>
      <c r="N437" t="s">
        <v>7157</v>
      </c>
      <c r="O437" t="s">
        <v>7</v>
      </c>
      <c r="P437" t="s">
        <v>1854</v>
      </c>
      <c r="Q437" t="s">
        <v>1855</v>
      </c>
      <c r="R437" s="27" t="s">
        <v>7158</v>
      </c>
      <c r="T437" t="s">
        <v>119</v>
      </c>
    </row>
    <row r="438" spans="1:20" ht="15" customHeight="1" x14ac:dyDescent="0.4">
      <c r="A438" t="s">
        <v>1857</v>
      </c>
      <c r="B438" t="s">
        <v>1857</v>
      </c>
      <c r="C438" t="s">
        <v>151</v>
      </c>
      <c r="D438" t="s">
        <v>81</v>
      </c>
      <c r="E438" t="s">
        <v>163</v>
      </c>
      <c r="F438" t="s">
        <v>7159</v>
      </c>
      <c r="G438" t="s">
        <v>6294</v>
      </c>
      <c r="H438" t="s">
        <v>1856</v>
      </c>
      <c r="L438" t="s">
        <v>7159</v>
      </c>
      <c r="N438" t="s">
        <v>7159</v>
      </c>
      <c r="O438" t="s">
        <v>7</v>
      </c>
      <c r="P438" t="s">
        <v>1858</v>
      </c>
      <c r="Q438" t="s">
        <v>1859</v>
      </c>
      <c r="R438" s="27" t="s">
        <v>7160</v>
      </c>
      <c r="T438" t="s">
        <v>119</v>
      </c>
    </row>
    <row r="439" spans="1:20" ht="15" customHeight="1" x14ac:dyDescent="0.4">
      <c r="A439" t="s">
        <v>1861</v>
      </c>
      <c r="B439" t="s">
        <v>1861</v>
      </c>
      <c r="C439" t="s">
        <v>151</v>
      </c>
      <c r="D439" t="s">
        <v>81</v>
      </c>
      <c r="E439" t="s">
        <v>163</v>
      </c>
      <c r="F439" t="s">
        <v>7161</v>
      </c>
      <c r="G439" t="s">
        <v>6294</v>
      </c>
      <c r="H439" t="s">
        <v>1860</v>
      </c>
      <c r="L439" t="s">
        <v>7161</v>
      </c>
      <c r="N439" t="s">
        <v>7161</v>
      </c>
      <c r="O439" t="s">
        <v>7</v>
      </c>
      <c r="P439" t="s">
        <v>1862</v>
      </c>
      <c r="Q439" t="s">
        <v>1863</v>
      </c>
      <c r="R439" s="27" t="s">
        <v>7162</v>
      </c>
      <c r="T439" t="s">
        <v>119</v>
      </c>
    </row>
    <row r="440" spans="1:20" ht="15" customHeight="1" x14ac:dyDescent="0.4">
      <c r="A440" t="s">
        <v>1865</v>
      </c>
      <c r="B440" t="s">
        <v>1865</v>
      </c>
      <c r="C440" t="s">
        <v>151</v>
      </c>
      <c r="D440" t="s">
        <v>81</v>
      </c>
      <c r="E440" t="s">
        <v>163</v>
      </c>
      <c r="F440" t="s">
        <v>7163</v>
      </c>
      <c r="G440" t="s">
        <v>6294</v>
      </c>
      <c r="H440" t="s">
        <v>1864</v>
      </c>
      <c r="L440" t="s">
        <v>7163</v>
      </c>
      <c r="N440" t="s">
        <v>7163</v>
      </c>
      <c r="O440" t="s">
        <v>7</v>
      </c>
      <c r="P440" t="s">
        <v>1866</v>
      </c>
      <c r="Q440" t="s">
        <v>1867</v>
      </c>
      <c r="R440" s="27" t="s">
        <v>7164</v>
      </c>
      <c r="T440" t="s">
        <v>119</v>
      </c>
    </row>
    <row r="441" spans="1:20" ht="15" customHeight="1" x14ac:dyDescent="0.4">
      <c r="A441" t="s">
        <v>1869</v>
      </c>
      <c r="B441" t="s">
        <v>1869</v>
      </c>
      <c r="C441" t="s">
        <v>151</v>
      </c>
      <c r="D441" t="s">
        <v>81</v>
      </c>
      <c r="E441" t="s">
        <v>163</v>
      </c>
      <c r="F441" t="s">
        <v>7165</v>
      </c>
      <c r="G441" t="s">
        <v>6294</v>
      </c>
      <c r="H441" t="s">
        <v>1868</v>
      </c>
      <c r="L441" t="s">
        <v>7165</v>
      </c>
      <c r="N441" t="s">
        <v>7165</v>
      </c>
      <c r="O441" t="s">
        <v>7</v>
      </c>
      <c r="P441" t="s">
        <v>1870</v>
      </c>
      <c r="Q441" t="s">
        <v>1871</v>
      </c>
      <c r="R441" s="27" t="s">
        <v>7153</v>
      </c>
      <c r="T441" t="s">
        <v>119</v>
      </c>
    </row>
    <row r="442" spans="1:20" ht="15" customHeight="1" x14ac:dyDescent="0.4">
      <c r="A442" t="s">
        <v>1873</v>
      </c>
      <c r="B442" t="s">
        <v>1873</v>
      </c>
      <c r="C442" t="s">
        <v>151</v>
      </c>
      <c r="D442" t="s">
        <v>81</v>
      </c>
      <c r="E442" t="s">
        <v>163</v>
      </c>
      <c r="F442" t="s">
        <v>7166</v>
      </c>
      <c r="G442" t="s">
        <v>6294</v>
      </c>
      <c r="H442" t="s">
        <v>1872</v>
      </c>
      <c r="L442" t="s">
        <v>7166</v>
      </c>
      <c r="N442" t="s">
        <v>7166</v>
      </c>
      <c r="O442" t="s">
        <v>7</v>
      </c>
      <c r="P442" t="s">
        <v>1874</v>
      </c>
      <c r="Q442" t="s">
        <v>1875</v>
      </c>
      <c r="R442" s="27" t="s">
        <v>7167</v>
      </c>
      <c r="T442" t="s">
        <v>119</v>
      </c>
    </row>
    <row r="443" spans="1:20" ht="15" customHeight="1" x14ac:dyDescent="0.4">
      <c r="A443" t="s">
        <v>1877</v>
      </c>
      <c r="B443" t="s">
        <v>1877</v>
      </c>
      <c r="C443" t="s">
        <v>151</v>
      </c>
      <c r="D443" t="s">
        <v>81</v>
      </c>
      <c r="E443" t="s">
        <v>163</v>
      </c>
      <c r="F443" t="s">
        <v>7168</v>
      </c>
      <c r="G443" t="s">
        <v>6294</v>
      </c>
      <c r="H443" t="s">
        <v>1876</v>
      </c>
      <c r="L443" t="s">
        <v>7168</v>
      </c>
      <c r="N443" t="s">
        <v>7168</v>
      </c>
      <c r="O443" t="s">
        <v>7</v>
      </c>
      <c r="P443" t="s">
        <v>1878</v>
      </c>
      <c r="Q443" t="s">
        <v>1879</v>
      </c>
      <c r="R443" s="27" t="s">
        <v>7169</v>
      </c>
      <c r="T443" t="s">
        <v>119</v>
      </c>
    </row>
    <row r="444" spans="1:20" ht="15" customHeight="1" x14ac:dyDescent="0.4">
      <c r="A444" t="s">
        <v>1881</v>
      </c>
      <c r="B444" t="s">
        <v>1881</v>
      </c>
      <c r="C444" t="s">
        <v>151</v>
      </c>
      <c r="D444" t="s">
        <v>81</v>
      </c>
      <c r="E444" t="s">
        <v>163</v>
      </c>
      <c r="F444" t="s">
        <v>7170</v>
      </c>
      <c r="G444" t="s">
        <v>6294</v>
      </c>
      <c r="H444" t="s">
        <v>1880</v>
      </c>
      <c r="L444" t="s">
        <v>7170</v>
      </c>
      <c r="N444" t="s">
        <v>7170</v>
      </c>
      <c r="O444" t="s">
        <v>7</v>
      </c>
      <c r="P444" t="s">
        <v>1882</v>
      </c>
      <c r="Q444" t="s">
        <v>1883</v>
      </c>
      <c r="R444" s="27" t="s">
        <v>7171</v>
      </c>
      <c r="T444" t="s">
        <v>119</v>
      </c>
    </row>
    <row r="445" spans="1:20" ht="15" customHeight="1" x14ac:dyDescent="0.4">
      <c r="A445" t="s">
        <v>1885</v>
      </c>
      <c r="B445" t="s">
        <v>1885</v>
      </c>
      <c r="C445" t="s">
        <v>151</v>
      </c>
      <c r="D445" t="s">
        <v>81</v>
      </c>
      <c r="E445" t="s">
        <v>163</v>
      </c>
      <c r="F445" t="s">
        <v>7172</v>
      </c>
      <c r="G445" t="s">
        <v>6294</v>
      </c>
      <c r="H445" t="s">
        <v>1884</v>
      </c>
      <c r="L445" t="s">
        <v>7172</v>
      </c>
      <c r="N445" t="s">
        <v>7172</v>
      </c>
      <c r="O445" t="s">
        <v>7</v>
      </c>
      <c r="P445" t="s">
        <v>1886</v>
      </c>
      <c r="Q445" t="s">
        <v>1887</v>
      </c>
      <c r="R445" s="27" t="s">
        <v>7173</v>
      </c>
      <c r="T445" t="s">
        <v>119</v>
      </c>
    </row>
    <row r="446" spans="1:20" ht="15" customHeight="1" x14ac:dyDescent="0.4">
      <c r="A446" t="s">
        <v>1889</v>
      </c>
      <c r="B446" t="s">
        <v>1889</v>
      </c>
      <c r="C446" t="s">
        <v>151</v>
      </c>
      <c r="D446" t="s">
        <v>81</v>
      </c>
      <c r="E446" t="s">
        <v>163</v>
      </c>
      <c r="F446" t="s">
        <v>7174</v>
      </c>
      <c r="G446" t="s">
        <v>6294</v>
      </c>
      <c r="H446" t="s">
        <v>1888</v>
      </c>
      <c r="L446" t="s">
        <v>7174</v>
      </c>
      <c r="N446" t="s">
        <v>7174</v>
      </c>
      <c r="O446" t="s">
        <v>7</v>
      </c>
      <c r="P446" t="s">
        <v>1890</v>
      </c>
      <c r="Q446" t="s">
        <v>1891</v>
      </c>
      <c r="R446" s="27" t="s">
        <v>7175</v>
      </c>
      <c r="T446" t="s">
        <v>119</v>
      </c>
    </row>
    <row r="447" spans="1:20" ht="15" customHeight="1" x14ac:dyDescent="0.4">
      <c r="A447" t="s">
        <v>1893</v>
      </c>
      <c r="B447" t="s">
        <v>1893</v>
      </c>
      <c r="C447" t="s">
        <v>151</v>
      </c>
      <c r="D447" t="s">
        <v>81</v>
      </c>
      <c r="E447" t="s">
        <v>163</v>
      </c>
      <c r="F447" t="s">
        <v>7176</v>
      </c>
      <c r="G447" t="s">
        <v>6294</v>
      </c>
      <c r="H447" t="s">
        <v>1892</v>
      </c>
      <c r="L447" t="s">
        <v>7176</v>
      </c>
      <c r="N447" t="s">
        <v>7176</v>
      </c>
      <c r="O447" t="s">
        <v>7</v>
      </c>
      <c r="P447" t="s">
        <v>1894</v>
      </c>
      <c r="Q447" t="s">
        <v>1895</v>
      </c>
      <c r="R447" s="27" t="s">
        <v>7175</v>
      </c>
      <c r="T447" t="s">
        <v>119</v>
      </c>
    </row>
    <row r="448" spans="1:20" ht="15" customHeight="1" x14ac:dyDescent="0.4">
      <c r="A448" t="s">
        <v>1897</v>
      </c>
      <c r="B448" t="s">
        <v>1897</v>
      </c>
      <c r="C448" t="s">
        <v>151</v>
      </c>
      <c r="D448" t="s">
        <v>81</v>
      </c>
      <c r="E448" t="s">
        <v>163</v>
      </c>
      <c r="F448" t="s">
        <v>7177</v>
      </c>
      <c r="G448" t="s">
        <v>6294</v>
      </c>
      <c r="H448" t="s">
        <v>1896</v>
      </c>
      <c r="L448" t="s">
        <v>7177</v>
      </c>
      <c r="N448" t="s">
        <v>7177</v>
      </c>
      <c r="O448" t="s">
        <v>7</v>
      </c>
      <c r="P448" t="s">
        <v>1898</v>
      </c>
      <c r="Q448" t="s">
        <v>1899</v>
      </c>
      <c r="R448" s="27" t="s">
        <v>7178</v>
      </c>
      <c r="T448" t="s">
        <v>119</v>
      </c>
    </row>
    <row r="449" spans="1:20" ht="15" customHeight="1" x14ac:dyDescent="0.4">
      <c r="A449" t="s">
        <v>1901</v>
      </c>
      <c r="B449" t="s">
        <v>1901</v>
      </c>
      <c r="C449" t="s">
        <v>151</v>
      </c>
      <c r="D449" t="s">
        <v>81</v>
      </c>
      <c r="E449" t="s">
        <v>163</v>
      </c>
      <c r="F449" t="s">
        <v>7179</v>
      </c>
      <c r="G449" t="s">
        <v>6294</v>
      </c>
      <c r="H449" t="s">
        <v>1900</v>
      </c>
      <c r="L449" t="s">
        <v>7179</v>
      </c>
      <c r="N449" t="s">
        <v>7179</v>
      </c>
      <c r="O449" t="s">
        <v>7</v>
      </c>
      <c r="P449" t="s">
        <v>1902</v>
      </c>
      <c r="Q449" t="s">
        <v>1903</v>
      </c>
      <c r="R449" s="27" t="s">
        <v>7180</v>
      </c>
      <c r="T449" t="s">
        <v>119</v>
      </c>
    </row>
    <row r="450" spans="1:20" ht="15" customHeight="1" x14ac:dyDescent="0.4">
      <c r="A450" t="s">
        <v>1905</v>
      </c>
      <c r="B450" t="s">
        <v>1905</v>
      </c>
      <c r="C450" t="s">
        <v>151</v>
      </c>
      <c r="D450" t="s">
        <v>81</v>
      </c>
      <c r="E450" t="s">
        <v>163</v>
      </c>
      <c r="F450" t="s">
        <v>7181</v>
      </c>
      <c r="G450" t="s">
        <v>6294</v>
      </c>
      <c r="H450" t="s">
        <v>1904</v>
      </c>
      <c r="L450" t="s">
        <v>7181</v>
      </c>
      <c r="N450" t="s">
        <v>7181</v>
      </c>
      <c r="O450" t="s">
        <v>7</v>
      </c>
      <c r="P450" t="s">
        <v>1906</v>
      </c>
      <c r="Q450" t="s">
        <v>1907</v>
      </c>
      <c r="R450" s="27" t="s">
        <v>7182</v>
      </c>
      <c r="T450" t="s">
        <v>119</v>
      </c>
    </row>
    <row r="451" spans="1:20" ht="15" customHeight="1" x14ac:dyDescent="0.4">
      <c r="A451" t="s">
        <v>1909</v>
      </c>
      <c r="B451" t="s">
        <v>1909</v>
      </c>
      <c r="C451" t="s">
        <v>151</v>
      </c>
      <c r="D451" t="s">
        <v>81</v>
      </c>
      <c r="E451" t="s">
        <v>163</v>
      </c>
      <c r="F451" t="s">
        <v>7183</v>
      </c>
      <c r="G451" t="s">
        <v>6294</v>
      </c>
      <c r="H451" t="s">
        <v>1908</v>
      </c>
      <c r="L451" t="s">
        <v>7183</v>
      </c>
      <c r="N451" t="s">
        <v>7183</v>
      </c>
      <c r="O451" t="s">
        <v>7</v>
      </c>
      <c r="P451" t="s">
        <v>1910</v>
      </c>
      <c r="Q451" t="s">
        <v>1911</v>
      </c>
      <c r="R451" s="27" t="s">
        <v>7178</v>
      </c>
      <c r="T451" t="s">
        <v>119</v>
      </c>
    </row>
    <row r="452" spans="1:20" ht="15" customHeight="1" x14ac:dyDescent="0.4">
      <c r="A452" t="s">
        <v>1913</v>
      </c>
      <c r="B452" t="s">
        <v>1913</v>
      </c>
      <c r="C452" t="s">
        <v>151</v>
      </c>
      <c r="D452" t="s">
        <v>81</v>
      </c>
      <c r="E452" t="s">
        <v>163</v>
      </c>
      <c r="F452" t="s">
        <v>7184</v>
      </c>
      <c r="G452" t="s">
        <v>6294</v>
      </c>
      <c r="H452" t="s">
        <v>1912</v>
      </c>
      <c r="L452" t="s">
        <v>7184</v>
      </c>
      <c r="N452" t="s">
        <v>7184</v>
      </c>
      <c r="O452" t="s">
        <v>7</v>
      </c>
      <c r="P452" t="s">
        <v>1914</v>
      </c>
      <c r="Q452" t="s">
        <v>1915</v>
      </c>
      <c r="R452" s="27" t="s">
        <v>7185</v>
      </c>
      <c r="T452" t="s">
        <v>119</v>
      </c>
    </row>
    <row r="453" spans="1:20" ht="15" customHeight="1" x14ac:dyDescent="0.4">
      <c r="A453" t="s">
        <v>1917</v>
      </c>
      <c r="B453" t="s">
        <v>1917</v>
      </c>
      <c r="C453" t="s">
        <v>151</v>
      </c>
      <c r="D453" t="s">
        <v>81</v>
      </c>
      <c r="E453" t="s">
        <v>163</v>
      </c>
      <c r="F453" t="s">
        <v>7186</v>
      </c>
      <c r="G453" t="s">
        <v>6294</v>
      </c>
      <c r="H453" t="s">
        <v>1916</v>
      </c>
      <c r="L453" t="s">
        <v>7186</v>
      </c>
      <c r="N453" t="s">
        <v>7186</v>
      </c>
      <c r="O453" t="s">
        <v>7</v>
      </c>
      <c r="P453" t="s">
        <v>1918</v>
      </c>
      <c r="Q453" t="s">
        <v>1919</v>
      </c>
      <c r="R453" s="27" t="s">
        <v>7180</v>
      </c>
      <c r="T453" t="s">
        <v>119</v>
      </c>
    </row>
    <row r="454" spans="1:20" ht="15" customHeight="1" x14ac:dyDescent="0.4">
      <c r="A454" t="s">
        <v>1921</v>
      </c>
      <c r="B454" t="s">
        <v>1921</v>
      </c>
      <c r="C454" t="s">
        <v>151</v>
      </c>
      <c r="D454" t="s">
        <v>81</v>
      </c>
      <c r="E454" t="s">
        <v>163</v>
      </c>
      <c r="F454" t="s">
        <v>7187</v>
      </c>
      <c r="G454" t="s">
        <v>6294</v>
      </c>
      <c r="H454" t="s">
        <v>1920</v>
      </c>
      <c r="L454" t="s">
        <v>7187</v>
      </c>
      <c r="N454" t="s">
        <v>7187</v>
      </c>
      <c r="O454" t="s">
        <v>7</v>
      </c>
      <c r="P454" t="s">
        <v>1922</v>
      </c>
      <c r="Q454" t="s">
        <v>1923</v>
      </c>
      <c r="R454" s="27" t="s">
        <v>7182</v>
      </c>
      <c r="T454" t="s">
        <v>119</v>
      </c>
    </row>
    <row r="455" spans="1:20" ht="15" customHeight="1" x14ac:dyDescent="0.4">
      <c r="A455" t="s">
        <v>1925</v>
      </c>
      <c r="B455" t="s">
        <v>1925</v>
      </c>
      <c r="C455" t="s">
        <v>151</v>
      </c>
      <c r="D455" t="s">
        <v>81</v>
      </c>
      <c r="E455" t="s">
        <v>163</v>
      </c>
      <c r="F455" t="s">
        <v>7188</v>
      </c>
      <c r="G455" t="s">
        <v>6294</v>
      </c>
      <c r="H455" t="s">
        <v>1924</v>
      </c>
      <c r="L455" t="s">
        <v>7188</v>
      </c>
      <c r="N455" t="s">
        <v>7188</v>
      </c>
      <c r="O455" t="s">
        <v>7</v>
      </c>
      <c r="P455" t="s">
        <v>1926</v>
      </c>
      <c r="Q455" t="s">
        <v>1927</v>
      </c>
      <c r="R455" s="27" t="s">
        <v>7185</v>
      </c>
      <c r="T455" t="s">
        <v>119</v>
      </c>
    </row>
    <row r="456" spans="1:20" ht="15" customHeight="1" x14ac:dyDescent="0.4">
      <c r="A456" t="s">
        <v>1929</v>
      </c>
      <c r="B456" t="s">
        <v>1929</v>
      </c>
      <c r="C456" t="s">
        <v>151</v>
      </c>
      <c r="D456" t="s">
        <v>81</v>
      </c>
      <c r="E456" t="s">
        <v>163</v>
      </c>
      <c r="F456" t="s">
        <v>7189</v>
      </c>
      <c r="G456" t="s">
        <v>6294</v>
      </c>
      <c r="H456" t="s">
        <v>1928</v>
      </c>
      <c r="L456" t="s">
        <v>7189</v>
      </c>
      <c r="N456" t="s">
        <v>7189</v>
      </c>
      <c r="O456" t="s">
        <v>7</v>
      </c>
      <c r="P456" t="s">
        <v>1930</v>
      </c>
      <c r="Q456" t="s">
        <v>1931</v>
      </c>
      <c r="R456" s="27" t="s">
        <v>7182</v>
      </c>
      <c r="T456" t="s">
        <v>119</v>
      </c>
    </row>
    <row r="457" spans="1:20" ht="15" customHeight="1" x14ac:dyDescent="0.4">
      <c r="A457" t="s">
        <v>1933</v>
      </c>
      <c r="B457" t="s">
        <v>1933</v>
      </c>
      <c r="C457" t="s">
        <v>151</v>
      </c>
      <c r="D457" t="s">
        <v>81</v>
      </c>
      <c r="E457" t="s">
        <v>163</v>
      </c>
      <c r="F457" t="s">
        <v>7190</v>
      </c>
      <c r="G457" t="s">
        <v>6294</v>
      </c>
      <c r="H457" t="s">
        <v>1932</v>
      </c>
      <c r="L457" t="s">
        <v>7190</v>
      </c>
      <c r="N457" t="s">
        <v>7190</v>
      </c>
      <c r="O457" t="s">
        <v>7</v>
      </c>
      <c r="P457" t="s">
        <v>1934</v>
      </c>
      <c r="Q457" t="s">
        <v>1935</v>
      </c>
      <c r="R457" s="27" t="s">
        <v>7175</v>
      </c>
      <c r="T457" t="s">
        <v>119</v>
      </c>
    </row>
    <row r="458" spans="1:20" ht="15" customHeight="1" x14ac:dyDescent="0.4">
      <c r="A458" t="s">
        <v>1937</v>
      </c>
      <c r="B458" t="s">
        <v>1937</v>
      </c>
      <c r="C458" t="s">
        <v>151</v>
      </c>
      <c r="D458" t="s">
        <v>81</v>
      </c>
      <c r="E458" t="s">
        <v>163</v>
      </c>
      <c r="F458" t="s">
        <v>7191</v>
      </c>
      <c r="G458" t="s">
        <v>6294</v>
      </c>
      <c r="H458" t="s">
        <v>1936</v>
      </c>
      <c r="L458" t="s">
        <v>7191</v>
      </c>
      <c r="N458" t="s">
        <v>7191</v>
      </c>
      <c r="O458" t="s">
        <v>7</v>
      </c>
      <c r="P458" t="s">
        <v>1938</v>
      </c>
      <c r="Q458" t="s">
        <v>1939</v>
      </c>
      <c r="R458" s="27" t="s">
        <v>7180</v>
      </c>
      <c r="T458" t="s">
        <v>119</v>
      </c>
    </row>
    <row r="459" spans="1:20" ht="15" customHeight="1" x14ac:dyDescent="0.4">
      <c r="A459" t="s">
        <v>1941</v>
      </c>
      <c r="B459" t="s">
        <v>1941</v>
      </c>
      <c r="C459" t="s">
        <v>151</v>
      </c>
      <c r="D459" t="s">
        <v>81</v>
      </c>
      <c r="E459" t="s">
        <v>163</v>
      </c>
      <c r="F459" t="s">
        <v>7192</v>
      </c>
      <c r="G459" t="s">
        <v>6294</v>
      </c>
      <c r="H459" t="s">
        <v>1940</v>
      </c>
      <c r="L459" t="s">
        <v>7192</v>
      </c>
      <c r="N459" t="s">
        <v>7192</v>
      </c>
      <c r="O459" t="s">
        <v>7</v>
      </c>
      <c r="P459" t="s">
        <v>1942</v>
      </c>
      <c r="Q459" t="s">
        <v>1943</v>
      </c>
      <c r="R459" s="27" t="s">
        <v>7175</v>
      </c>
      <c r="T459" t="s">
        <v>119</v>
      </c>
    </row>
    <row r="460" spans="1:20" ht="15" customHeight="1" x14ac:dyDescent="0.4">
      <c r="A460" t="s">
        <v>1945</v>
      </c>
      <c r="B460" t="s">
        <v>1945</v>
      </c>
      <c r="C460" t="s">
        <v>151</v>
      </c>
      <c r="D460" t="s">
        <v>81</v>
      </c>
      <c r="E460" t="s">
        <v>163</v>
      </c>
      <c r="F460" t="s">
        <v>7193</v>
      </c>
      <c r="G460" t="s">
        <v>6294</v>
      </c>
      <c r="H460" t="s">
        <v>1944</v>
      </c>
      <c r="L460" t="s">
        <v>7193</v>
      </c>
      <c r="N460" t="s">
        <v>7193</v>
      </c>
      <c r="O460" t="s">
        <v>7</v>
      </c>
      <c r="P460" t="s">
        <v>1946</v>
      </c>
      <c r="Q460" t="s">
        <v>1947</v>
      </c>
      <c r="R460" s="27" t="s">
        <v>7185</v>
      </c>
      <c r="T460" t="s">
        <v>119</v>
      </c>
    </row>
    <row r="461" spans="1:20" ht="15" customHeight="1" x14ac:dyDescent="0.4">
      <c r="A461" t="s">
        <v>1949</v>
      </c>
      <c r="B461" t="s">
        <v>1949</v>
      </c>
      <c r="C461" t="s">
        <v>151</v>
      </c>
      <c r="D461" t="s">
        <v>81</v>
      </c>
      <c r="E461" t="s">
        <v>163</v>
      </c>
      <c r="F461" t="s">
        <v>7194</v>
      </c>
      <c r="G461" t="s">
        <v>6294</v>
      </c>
      <c r="H461" t="s">
        <v>1948</v>
      </c>
      <c r="L461" t="s">
        <v>7194</v>
      </c>
      <c r="N461" t="s">
        <v>7194</v>
      </c>
      <c r="O461" t="s">
        <v>7</v>
      </c>
      <c r="P461" t="s">
        <v>1950</v>
      </c>
      <c r="Q461" t="s">
        <v>1951</v>
      </c>
      <c r="R461" s="27" t="s">
        <v>7185</v>
      </c>
      <c r="T461" t="s">
        <v>119</v>
      </c>
    </row>
    <row r="462" spans="1:20" ht="15" customHeight="1" x14ac:dyDescent="0.4">
      <c r="A462" t="s">
        <v>1953</v>
      </c>
      <c r="B462" t="s">
        <v>1953</v>
      </c>
      <c r="C462" t="s">
        <v>151</v>
      </c>
      <c r="D462" t="s">
        <v>81</v>
      </c>
      <c r="E462" t="s">
        <v>163</v>
      </c>
      <c r="F462" t="s">
        <v>7195</v>
      </c>
      <c r="G462" t="s">
        <v>6294</v>
      </c>
      <c r="H462" t="s">
        <v>1952</v>
      </c>
      <c r="L462" t="s">
        <v>7195</v>
      </c>
      <c r="N462" t="s">
        <v>7195</v>
      </c>
      <c r="O462" t="s">
        <v>7</v>
      </c>
      <c r="P462" t="s">
        <v>1954</v>
      </c>
      <c r="Q462" t="s">
        <v>1955</v>
      </c>
      <c r="R462" s="27" t="s">
        <v>7178</v>
      </c>
      <c r="T462" t="s">
        <v>119</v>
      </c>
    </row>
    <row r="463" spans="1:20" ht="15" customHeight="1" x14ac:dyDescent="0.4">
      <c r="A463" t="s">
        <v>1957</v>
      </c>
      <c r="B463" t="s">
        <v>1957</v>
      </c>
      <c r="C463" t="s">
        <v>151</v>
      </c>
      <c r="D463" t="s">
        <v>81</v>
      </c>
      <c r="E463" t="s">
        <v>163</v>
      </c>
      <c r="F463" t="s">
        <v>7196</v>
      </c>
      <c r="G463" t="s">
        <v>6294</v>
      </c>
      <c r="H463" t="s">
        <v>1956</v>
      </c>
      <c r="L463" t="s">
        <v>7196</v>
      </c>
      <c r="N463" t="s">
        <v>7196</v>
      </c>
      <c r="O463" t="s">
        <v>7</v>
      </c>
      <c r="P463" t="s">
        <v>1958</v>
      </c>
      <c r="Q463" t="s">
        <v>1959</v>
      </c>
      <c r="R463" s="27" t="s">
        <v>7178</v>
      </c>
      <c r="T463" t="s">
        <v>119</v>
      </c>
    </row>
    <row r="464" spans="1:20" ht="15" customHeight="1" x14ac:dyDescent="0.4">
      <c r="A464" t="s">
        <v>1961</v>
      </c>
      <c r="B464" t="s">
        <v>1961</v>
      </c>
      <c r="C464" t="s">
        <v>151</v>
      </c>
      <c r="D464" t="s">
        <v>81</v>
      </c>
      <c r="E464" t="s">
        <v>163</v>
      </c>
      <c r="F464" t="s">
        <v>7197</v>
      </c>
      <c r="G464" t="s">
        <v>6294</v>
      </c>
      <c r="H464" t="s">
        <v>1960</v>
      </c>
      <c r="L464" t="s">
        <v>7197</v>
      </c>
      <c r="N464" t="s">
        <v>7197</v>
      </c>
      <c r="O464" t="s">
        <v>7</v>
      </c>
      <c r="P464" t="s">
        <v>1962</v>
      </c>
      <c r="Q464" t="s">
        <v>1963</v>
      </c>
      <c r="R464" s="27" t="s">
        <v>7198</v>
      </c>
      <c r="T464" t="s">
        <v>119</v>
      </c>
    </row>
    <row r="465" spans="1:20" ht="15" customHeight="1" x14ac:dyDescent="0.4">
      <c r="A465" t="s">
        <v>1965</v>
      </c>
      <c r="B465" t="s">
        <v>1965</v>
      </c>
      <c r="C465" t="s">
        <v>151</v>
      </c>
      <c r="D465" t="s">
        <v>81</v>
      </c>
      <c r="E465" t="s">
        <v>163</v>
      </c>
      <c r="F465" t="s">
        <v>7199</v>
      </c>
      <c r="G465" t="s">
        <v>6294</v>
      </c>
      <c r="H465" t="s">
        <v>1964</v>
      </c>
      <c r="L465" t="s">
        <v>7199</v>
      </c>
      <c r="N465" t="s">
        <v>7199</v>
      </c>
      <c r="O465" t="s">
        <v>7</v>
      </c>
      <c r="P465" t="s">
        <v>1966</v>
      </c>
      <c r="Q465" t="s">
        <v>1967</v>
      </c>
      <c r="R465" s="27" t="s">
        <v>7198</v>
      </c>
      <c r="T465" t="s">
        <v>119</v>
      </c>
    </row>
    <row r="466" spans="1:20" ht="15" customHeight="1" x14ac:dyDescent="0.4">
      <c r="A466" t="s">
        <v>1969</v>
      </c>
      <c r="B466" t="s">
        <v>1969</v>
      </c>
      <c r="C466" t="s">
        <v>151</v>
      </c>
      <c r="D466" t="s">
        <v>81</v>
      </c>
      <c r="E466" t="s">
        <v>163</v>
      </c>
      <c r="F466" t="s">
        <v>7200</v>
      </c>
      <c r="G466" t="s">
        <v>6294</v>
      </c>
      <c r="H466" t="s">
        <v>1968</v>
      </c>
      <c r="L466" t="s">
        <v>7200</v>
      </c>
      <c r="N466" t="s">
        <v>7200</v>
      </c>
      <c r="O466" t="s">
        <v>7</v>
      </c>
      <c r="P466" t="s">
        <v>1970</v>
      </c>
      <c r="Q466" t="s">
        <v>1971</v>
      </c>
      <c r="R466" s="27" t="s">
        <v>7198</v>
      </c>
      <c r="T466" t="s">
        <v>119</v>
      </c>
    </row>
    <row r="467" spans="1:20" ht="15" customHeight="1" x14ac:dyDescent="0.4">
      <c r="A467" t="s">
        <v>1973</v>
      </c>
      <c r="B467" t="s">
        <v>1973</v>
      </c>
      <c r="C467" t="s">
        <v>151</v>
      </c>
      <c r="D467" t="s">
        <v>81</v>
      </c>
      <c r="E467" t="s">
        <v>163</v>
      </c>
      <c r="F467" t="s">
        <v>7201</v>
      </c>
      <c r="G467" t="s">
        <v>6294</v>
      </c>
      <c r="H467" t="s">
        <v>1972</v>
      </c>
      <c r="L467" t="s">
        <v>7201</v>
      </c>
      <c r="N467" t="s">
        <v>7201</v>
      </c>
      <c r="O467" t="s">
        <v>7</v>
      </c>
      <c r="P467" t="s">
        <v>1974</v>
      </c>
      <c r="Q467" t="s">
        <v>1975</v>
      </c>
      <c r="R467" s="27" t="s">
        <v>7198</v>
      </c>
      <c r="T467" t="s">
        <v>119</v>
      </c>
    </row>
    <row r="468" spans="1:20" ht="15" customHeight="1" x14ac:dyDescent="0.4">
      <c r="A468" t="s">
        <v>1977</v>
      </c>
      <c r="B468" t="s">
        <v>1977</v>
      </c>
      <c r="C468" t="s">
        <v>151</v>
      </c>
      <c r="D468" t="s">
        <v>81</v>
      </c>
      <c r="E468" t="s">
        <v>163</v>
      </c>
      <c r="F468" t="s">
        <v>7202</v>
      </c>
      <c r="G468" t="s">
        <v>6294</v>
      </c>
      <c r="H468" t="s">
        <v>1976</v>
      </c>
      <c r="L468" t="s">
        <v>7202</v>
      </c>
      <c r="N468" t="s">
        <v>7202</v>
      </c>
      <c r="O468" t="s">
        <v>7</v>
      </c>
      <c r="P468" t="s">
        <v>1978</v>
      </c>
      <c r="Q468" t="s">
        <v>1979</v>
      </c>
      <c r="R468" s="27" t="s">
        <v>7198</v>
      </c>
      <c r="T468" t="s">
        <v>119</v>
      </c>
    </row>
    <row r="469" spans="1:20" ht="15" customHeight="1" x14ac:dyDescent="0.4">
      <c r="A469" t="s">
        <v>1981</v>
      </c>
      <c r="B469" t="s">
        <v>1981</v>
      </c>
      <c r="C469" t="s">
        <v>151</v>
      </c>
      <c r="D469" t="s">
        <v>81</v>
      </c>
      <c r="E469" t="s">
        <v>163</v>
      </c>
      <c r="F469" t="s">
        <v>7203</v>
      </c>
      <c r="G469" t="s">
        <v>6294</v>
      </c>
      <c r="H469" t="s">
        <v>1980</v>
      </c>
      <c r="L469" t="s">
        <v>7203</v>
      </c>
      <c r="N469" t="s">
        <v>7203</v>
      </c>
      <c r="O469" t="s">
        <v>7</v>
      </c>
      <c r="P469" t="s">
        <v>1982</v>
      </c>
      <c r="Q469" t="s">
        <v>1983</v>
      </c>
      <c r="R469" s="27" t="s">
        <v>7198</v>
      </c>
      <c r="T469" t="s">
        <v>119</v>
      </c>
    </row>
    <row r="470" spans="1:20" ht="15" customHeight="1" x14ac:dyDescent="0.4">
      <c r="A470" t="s">
        <v>1985</v>
      </c>
      <c r="B470" t="s">
        <v>1985</v>
      </c>
      <c r="C470" t="s">
        <v>151</v>
      </c>
      <c r="D470" t="s">
        <v>81</v>
      </c>
      <c r="E470" t="s">
        <v>163</v>
      </c>
      <c r="F470" t="s">
        <v>7204</v>
      </c>
      <c r="G470" t="s">
        <v>6294</v>
      </c>
      <c r="H470" t="s">
        <v>1984</v>
      </c>
      <c r="L470" t="s">
        <v>7204</v>
      </c>
      <c r="N470" t="s">
        <v>7204</v>
      </c>
      <c r="O470" t="s">
        <v>7</v>
      </c>
      <c r="P470" t="s">
        <v>1986</v>
      </c>
      <c r="Q470" t="s">
        <v>1987</v>
      </c>
      <c r="R470" s="27" t="s">
        <v>7205</v>
      </c>
      <c r="T470" t="s">
        <v>119</v>
      </c>
    </row>
    <row r="471" spans="1:20" ht="15" customHeight="1" x14ac:dyDescent="0.4">
      <c r="A471" t="s">
        <v>1989</v>
      </c>
      <c r="B471" t="s">
        <v>1989</v>
      </c>
      <c r="C471" t="s">
        <v>151</v>
      </c>
      <c r="D471" t="s">
        <v>81</v>
      </c>
      <c r="E471" t="s">
        <v>163</v>
      </c>
      <c r="F471" t="s">
        <v>7206</v>
      </c>
      <c r="G471" t="s">
        <v>6294</v>
      </c>
      <c r="H471" t="s">
        <v>1988</v>
      </c>
      <c r="L471" t="s">
        <v>7206</v>
      </c>
      <c r="N471" t="s">
        <v>7206</v>
      </c>
      <c r="O471" t="s">
        <v>7</v>
      </c>
      <c r="P471" t="s">
        <v>1990</v>
      </c>
      <c r="Q471" t="s">
        <v>1991</v>
      </c>
      <c r="R471" s="27" t="s">
        <v>7205</v>
      </c>
      <c r="T471" t="s">
        <v>119</v>
      </c>
    </row>
    <row r="472" spans="1:20" ht="15" customHeight="1" x14ac:dyDescent="0.4">
      <c r="A472" t="s">
        <v>1993</v>
      </c>
      <c r="B472" t="s">
        <v>1993</v>
      </c>
      <c r="C472" t="s">
        <v>151</v>
      </c>
      <c r="D472" t="s">
        <v>81</v>
      </c>
      <c r="E472" t="s">
        <v>163</v>
      </c>
      <c r="F472" t="s">
        <v>7207</v>
      </c>
      <c r="G472" t="s">
        <v>6294</v>
      </c>
      <c r="H472" t="s">
        <v>1992</v>
      </c>
      <c r="L472" t="s">
        <v>7207</v>
      </c>
      <c r="N472" t="s">
        <v>7207</v>
      </c>
      <c r="O472" t="s">
        <v>7</v>
      </c>
      <c r="P472" t="s">
        <v>1994</v>
      </c>
      <c r="Q472" t="s">
        <v>1995</v>
      </c>
      <c r="R472" s="27" t="s">
        <v>7198</v>
      </c>
      <c r="T472" t="s">
        <v>119</v>
      </c>
    </row>
    <row r="473" spans="1:20" ht="15" customHeight="1" x14ac:dyDescent="0.4">
      <c r="A473" t="s">
        <v>1997</v>
      </c>
      <c r="B473" t="s">
        <v>1997</v>
      </c>
      <c r="C473" t="s">
        <v>151</v>
      </c>
      <c r="D473" t="s">
        <v>81</v>
      </c>
      <c r="E473" t="s">
        <v>163</v>
      </c>
      <c r="F473" t="s">
        <v>7208</v>
      </c>
      <c r="G473" t="s">
        <v>6294</v>
      </c>
      <c r="H473" t="s">
        <v>1996</v>
      </c>
      <c r="L473" t="s">
        <v>7208</v>
      </c>
      <c r="N473" t="s">
        <v>7208</v>
      </c>
      <c r="O473" t="s">
        <v>7</v>
      </c>
      <c r="P473" t="s">
        <v>1998</v>
      </c>
      <c r="Q473" t="s">
        <v>1999</v>
      </c>
      <c r="R473" s="27" t="s">
        <v>7209</v>
      </c>
      <c r="T473" t="s">
        <v>119</v>
      </c>
    </row>
    <row r="474" spans="1:20" ht="15" customHeight="1" x14ac:dyDescent="0.4">
      <c r="A474" t="s">
        <v>2001</v>
      </c>
      <c r="B474" t="s">
        <v>2001</v>
      </c>
      <c r="C474" t="s">
        <v>151</v>
      </c>
      <c r="D474" t="s">
        <v>81</v>
      </c>
      <c r="E474" t="s">
        <v>163</v>
      </c>
      <c r="F474" t="s">
        <v>7210</v>
      </c>
      <c r="G474" t="s">
        <v>6294</v>
      </c>
      <c r="H474" t="s">
        <v>2000</v>
      </c>
      <c r="L474" t="s">
        <v>7210</v>
      </c>
      <c r="N474" t="s">
        <v>7210</v>
      </c>
      <c r="O474" t="s">
        <v>7</v>
      </c>
      <c r="P474" t="s">
        <v>2002</v>
      </c>
      <c r="Q474" t="s">
        <v>2003</v>
      </c>
      <c r="R474" s="27" t="s">
        <v>7211</v>
      </c>
      <c r="T474" t="s">
        <v>119</v>
      </c>
    </row>
    <row r="475" spans="1:20" ht="15" customHeight="1" x14ac:dyDescent="0.4">
      <c r="A475" t="s">
        <v>2005</v>
      </c>
      <c r="B475" t="s">
        <v>2005</v>
      </c>
      <c r="C475" t="s">
        <v>151</v>
      </c>
      <c r="D475" t="s">
        <v>81</v>
      </c>
      <c r="E475" t="s">
        <v>163</v>
      </c>
      <c r="F475" t="s">
        <v>7212</v>
      </c>
      <c r="G475" t="s">
        <v>6294</v>
      </c>
      <c r="H475" t="s">
        <v>2004</v>
      </c>
      <c r="L475" t="s">
        <v>7212</v>
      </c>
      <c r="N475" t="s">
        <v>7212</v>
      </c>
      <c r="O475" t="s">
        <v>7</v>
      </c>
      <c r="P475" t="s">
        <v>2006</v>
      </c>
      <c r="Q475" t="s">
        <v>2007</v>
      </c>
      <c r="R475" s="27" t="s">
        <v>7209</v>
      </c>
      <c r="T475" t="s">
        <v>119</v>
      </c>
    </row>
    <row r="476" spans="1:20" ht="15" customHeight="1" x14ac:dyDescent="0.4">
      <c r="A476" t="s">
        <v>2009</v>
      </c>
      <c r="B476" t="s">
        <v>2009</v>
      </c>
      <c r="C476" t="s">
        <v>151</v>
      </c>
      <c r="D476" t="s">
        <v>81</v>
      </c>
      <c r="E476" t="s">
        <v>163</v>
      </c>
      <c r="F476" t="s">
        <v>7213</v>
      </c>
      <c r="G476" t="s">
        <v>6294</v>
      </c>
      <c r="H476" t="s">
        <v>2008</v>
      </c>
      <c r="L476" t="s">
        <v>7213</v>
      </c>
      <c r="N476" t="s">
        <v>7213</v>
      </c>
      <c r="O476" t="s">
        <v>7</v>
      </c>
      <c r="P476" t="s">
        <v>2010</v>
      </c>
      <c r="Q476" t="s">
        <v>2011</v>
      </c>
      <c r="R476" s="27" t="s">
        <v>7214</v>
      </c>
      <c r="T476" t="s">
        <v>119</v>
      </c>
    </row>
    <row r="477" spans="1:20" ht="15" customHeight="1" x14ac:dyDescent="0.4">
      <c r="A477" t="s">
        <v>2013</v>
      </c>
      <c r="B477" t="s">
        <v>2013</v>
      </c>
      <c r="C477" t="s">
        <v>151</v>
      </c>
      <c r="D477" t="s">
        <v>81</v>
      </c>
      <c r="E477" t="s">
        <v>163</v>
      </c>
      <c r="F477" t="s">
        <v>7215</v>
      </c>
      <c r="G477" t="s">
        <v>6294</v>
      </c>
      <c r="H477" t="s">
        <v>2012</v>
      </c>
      <c r="L477" t="s">
        <v>7215</v>
      </c>
      <c r="N477" t="s">
        <v>7215</v>
      </c>
      <c r="O477" t="s">
        <v>7</v>
      </c>
      <c r="P477" t="s">
        <v>2014</v>
      </c>
      <c r="Q477" t="s">
        <v>2015</v>
      </c>
      <c r="R477" s="27" t="s">
        <v>7214</v>
      </c>
      <c r="T477" t="s">
        <v>119</v>
      </c>
    </row>
    <row r="478" spans="1:20" ht="15" customHeight="1" x14ac:dyDescent="0.4">
      <c r="A478" t="s">
        <v>2017</v>
      </c>
      <c r="B478" t="s">
        <v>2017</v>
      </c>
      <c r="C478" t="s">
        <v>151</v>
      </c>
      <c r="D478" t="s">
        <v>81</v>
      </c>
      <c r="E478" t="s">
        <v>163</v>
      </c>
      <c r="F478" t="s">
        <v>7216</v>
      </c>
      <c r="G478" t="s">
        <v>6294</v>
      </c>
      <c r="H478" t="s">
        <v>2016</v>
      </c>
      <c r="L478" t="s">
        <v>7216</v>
      </c>
      <c r="N478" t="s">
        <v>7216</v>
      </c>
      <c r="O478" t="s">
        <v>7</v>
      </c>
      <c r="P478" t="s">
        <v>2018</v>
      </c>
      <c r="Q478" t="s">
        <v>2019</v>
      </c>
      <c r="R478" s="27" t="s">
        <v>7214</v>
      </c>
      <c r="T478" t="s">
        <v>119</v>
      </c>
    </row>
    <row r="479" spans="1:20" ht="15" customHeight="1" x14ac:dyDescent="0.4">
      <c r="A479" t="s">
        <v>2021</v>
      </c>
      <c r="B479" t="s">
        <v>2021</v>
      </c>
      <c r="C479" t="s">
        <v>151</v>
      </c>
      <c r="D479" t="s">
        <v>81</v>
      </c>
      <c r="E479" t="s">
        <v>163</v>
      </c>
      <c r="F479" t="s">
        <v>7217</v>
      </c>
      <c r="G479" t="s">
        <v>6294</v>
      </c>
      <c r="H479" t="s">
        <v>2020</v>
      </c>
      <c r="L479" t="s">
        <v>7217</v>
      </c>
      <c r="N479" t="s">
        <v>7217</v>
      </c>
      <c r="O479" t="s">
        <v>7</v>
      </c>
      <c r="P479" t="s">
        <v>2022</v>
      </c>
      <c r="Q479" t="s">
        <v>2023</v>
      </c>
      <c r="R479" s="27" t="s">
        <v>7214</v>
      </c>
      <c r="T479" t="s">
        <v>119</v>
      </c>
    </row>
    <row r="480" spans="1:20" ht="15" customHeight="1" x14ac:dyDescent="0.4">
      <c r="A480" t="s">
        <v>2025</v>
      </c>
      <c r="B480" t="s">
        <v>2025</v>
      </c>
      <c r="C480" t="s">
        <v>151</v>
      </c>
      <c r="D480" t="s">
        <v>81</v>
      </c>
      <c r="E480" t="s">
        <v>163</v>
      </c>
      <c r="F480" t="s">
        <v>7218</v>
      </c>
      <c r="G480" t="s">
        <v>6294</v>
      </c>
      <c r="H480" t="s">
        <v>2024</v>
      </c>
      <c r="L480" t="s">
        <v>7218</v>
      </c>
      <c r="N480" t="s">
        <v>7218</v>
      </c>
      <c r="O480" t="s">
        <v>7</v>
      </c>
      <c r="P480" t="s">
        <v>2026</v>
      </c>
      <c r="Q480" t="s">
        <v>2027</v>
      </c>
      <c r="R480" s="27" t="s">
        <v>7211</v>
      </c>
      <c r="T480" t="s">
        <v>119</v>
      </c>
    </row>
    <row r="481" spans="1:20" ht="15" customHeight="1" x14ac:dyDescent="0.4">
      <c r="A481" t="s">
        <v>2029</v>
      </c>
      <c r="B481" t="s">
        <v>2029</v>
      </c>
      <c r="C481" t="s">
        <v>151</v>
      </c>
      <c r="D481" t="s">
        <v>81</v>
      </c>
      <c r="E481" t="s">
        <v>163</v>
      </c>
      <c r="F481" t="s">
        <v>7219</v>
      </c>
      <c r="G481" t="s">
        <v>6294</v>
      </c>
      <c r="H481" t="s">
        <v>2028</v>
      </c>
      <c r="L481" t="s">
        <v>7219</v>
      </c>
      <c r="N481" t="s">
        <v>7219</v>
      </c>
      <c r="O481" t="s">
        <v>7</v>
      </c>
      <c r="P481" t="s">
        <v>2030</v>
      </c>
      <c r="Q481" t="s">
        <v>2031</v>
      </c>
      <c r="R481" s="27" t="s">
        <v>7211</v>
      </c>
      <c r="T481" t="s">
        <v>119</v>
      </c>
    </row>
    <row r="482" spans="1:20" ht="15" customHeight="1" x14ac:dyDescent="0.4">
      <c r="A482" t="s">
        <v>2033</v>
      </c>
      <c r="B482" t="s">
        <v>2033</v>
      </c>
      <c r="C482" t="s">
        <v>151</v>
      </c>
      <c r="D482" t="s">
        <v>81</v>
      </c>
      <c r="E482" t="s">
        <v>163</v>
      </c>
      <c r="F482" t="s">
        <v>7220</v>
      </c>
      <c r="G482" t="s">
        <v>6294</v>
      </c>
      <c r="H482" t="s">
        <v>2032</v>
      </c>
      <c r="L482" t="s">
        <v>7220</v>
      </c>
      <c r="N482" t="s">
        <v>7220</v>
      </c>
      <c r="O482" t="s">
        <v>7</v>
      </c>
      <c r="P482" t="s">
        <v>2034</v>
      </c>
      <c r="Q482" t="s">
        <v>2035</v>
      </c>
      <c r="R482" s="27" t="s">
        <v>7221</v>
      </c>
      <c r="T482" t="s">
        <v>119</v>
      </c>
    </row>
    <row r="483" spans="1:20" ht="15" customHeight="1" x14ac:dyDescent="0.4">
      <c r="A483" t="s">
        <v>2037</v>
      </c>
      <c r="B483" t="s">
        <v>2037</v>
      </c>
      <c r="C483" t="s">
        <v>151</v>
      </c>
      <c r="D483" t="s">
        <v>81</v>
      </c>
      <c r="E483" t="s">
        <v>163</v>
      </c>
      <c r="F483" t="s">
        <v>7222</v>
      </c>
      <c r="G483" t="s">
        <v>6294</v>
      </c>
      <c r="H483" t="s">
        <v>2036</v>
      </c>
      <c r="L483" t="s">
        <v>7222</v>
      </c>
      <c r="N483" t="s">
        <v>7222</v>
      </c>
      <c r="O483" t="s">
        <v>7</v>
      </c>
      <c r="P483" t="s">
        <v>2038</v>
      </c>
      <c r="Q483" t="s">
        <v>2039</v>
      </c>
      <c r="R483" s="27" t="s">
        <v>7214</v>
      </c>
      <c r="T483" t="s">
        <v>119</v>
      </c>
    </row>
    <row r="484" spans="1:20" ht="15" customHeight="1" x14ac:dyDescent="0.4">
      <c r="A484" t="s">
        <v>2041</v>
      </c>
      <c r="B484" t="s">
        <v>2041</v>
      </c>
      <c r="C484" t="s">
        <v>151</v>
      </c>
      <c r="D484" t="s">
        <v>81</v>
      </c>
      <c r="E484" t="s">
        <v>163</v>
      </c>
      <c r="F484" t="s">
        <v>7223</v>
      </c>
      <c r="G484" t="s">
        <v>6294</v>
      </c>
      <c r="H484" t="s">
        <v>2040</v>
      </c>
      <c r="L484" t="s">
        <v>7223</v>
      </c>
      <c r="N484" t="s">
        <v>7223</v>
      </c>
      <c r="O484" t="s">
        <v>7</v>
      </c>
      <c r="P484" t="s">
        <v>2042</v>
      </c>
      <c r="Q484" t="s">
        <v>2043</v>
      </c>
      <c r="R484" s="27" t="s">
        <v>7209</v>
      </c>
      <c r="T484" t="s">
        <v>119</v>
      </c>
    </row>
    <row r="485" spans="1:20" ht="15" customHeight="1" x14ac:dyDescent="0.4">
      <c r="A485" t="s">
        <v>2045</v>
      </c>
      <c r="B485" t="s">
        <v>2045</v>
      </c>
      <c r="C485" t="s">
        <v>151</v>
      </c>
      <c r="D485" t="s">
        <v>81</v>
      </c>
      <c r="E485" t="s">
        <v>163</v>
      </c>
      <c r="F485" t="s">
        <v>7224</v>
      </c>
      <c r="G485" t="s">
        <v>6294</v>
      </c>
      <c r="H485" t="s">
        <v>2044</v>
      </c>
      <c r="L485" t="s">
        <v>7224</v>
      </c>
      <c r="N485" t="s">
        <v>7224</v>
      </c>
      <c r="O485" t="s">
        <v>7</v>
      </c>
      <c r="P485" t="s">
        <v>2046</v>
      </c>
      <c r="Q485" t="s">
        <v>2047</v>
      </c>
      <c r="R485" s="27" t="s">
        <v>7211</v>
      </c>
      <c r="T485" t="s">
        <v>119</v>
      </c>
    </row>
    <row r="486" spans="1:20" ht="15" customHeight="1" x14ac:dyDescent="0.4">
      <c r="A486" t="s">
        <v>2049</v>
      </c>
      <c r="B486" t="s">
        <v>2049</v>
      </c>
      <c r="C486" t="s">
        <v>151</v>
      </c>
      <c r="D486" t="s">
        <v>81</v>
      </c>
      <c r="E486" t="s">
        <v>163</v>
      </c>
      <c r="F486" t="s">
        <v>7225</v>
      </c>
      <c r="G486" t="s">
        <v>6294</v>
      </c>
      <c r="H486" t="s">
        <v>2048</v>
      </c>
      <c r="L486" t="s">
        <v>7225</v>
      </c>
      <c r="N486" t="s">
        <v>7225</v>
      </c>
      <c r="O486" t="s">
        <v>7</v>
      </c>
      <c r="P486" t="s">
        <v>2050</v>
      </c>
      <c r="Q486" t="s">
        <v>2051</v>
      </c>
      <c r="R486" s="27" t="s">
        <v>7211</v>
      </c>
      <c r="T486" t="s">
        <v>119</v>
      </c>
    </row>
    <row r="487" spans="1:20" ht="15" customHeight="1" x14ac:dyDescent="0.4">
      <c r="A487" t="s">
        <v>2053</v>
      </c>
      <c r="B487" t="s">
        <v>2053</v>
      </c>
      <c r="C487" t="s">
        <v>151</v>
      </c>
      <c r="D487" t="s">
        <v>81</v>
      </c>
      <c r="E487" t="s">
        <v>163</v>
      </c>
      <c r="F487" t="s">
        <v>7226</v>
      </c>
      <c r="G487" t="s">
        <v>6294</v>
      </c>
      <c r="H487" t="s">
        <v>2052</v>
      </c>
      <c r="L487" t="s">
        <v>7226</v>
      </c>
      <c r="N487" t="s">
        <v>7226</v>
      </c>
      <c r="O487" t="s">
        <v>7</v>
      </c>
      <c r="P487" t="s">
        <v>2054</v>
      </c>
      <c r="Q487" t="s">
        <v>2055</v>
      </c>
      <c r="R487" s="27" t="s">
        <v>7209</v>
      </c>
      <c r="T487" t="s">
        <v>119</v>
      </c>
    </row>
    <row r="488" spans="1:20" ht="15" customHeight="1" x14ac:dyDescent="0.4">
      <c r="A488" t="s">
        <v>2057</v>
      </c>
      <c r="B488" t="s">
        <v>2057</v>
      </c>
      <c r="C488" t="s">
        <v>151</v>
      </c>
      <c r="D488" t="s">
        <v>81</v>
      </c>
      <c r="E488" t="s">
        <v>163</v>
      </c>
      <c r="F488" t="s">
        <v>7227</v>
      </c>
      <c r="G488" t="s">
        <v>6294</v>
      </c>
      <c r="H488" t="s">
        <v>2056</v>
      </c>
      <c r="L488" t="s">
        <v>7227</v>
      </c>
      <c r="N488" t="s">
        <v>7227</v>
      </c>
      <c r="O488" t="s">
        <v>7</v>
      </c>
      <c r="P488" t="s">
        <v>2058</v>
      </c>
      <c r="Q488" t="s">
        <v>2059</v>
      </c>
      <c r="R488" s="27" t="s">
        <v>7209</v>
      </c>
      <c r="T488" t="s">
        <v>119</v>
      </c>
    </row>
    <row r="489" spans="1:20" ht="15" customHeight="1" x14ac:dyDescent="0.4">
      <c r="A489" t="s">
        <v>2061</v>
      </c>
      <c r="B489" t="s">
        <v>2061</v>
      </c>
      <c r="C489" t="s">
        <v>151</v>
      </c>
      <c r="D489" t="s">
        <v>81</v>
      </c>
      <c r="E489" t="s">
        <v>163</v>
      </c>
      <c r="F489" t="s">
        <v>7228</v>
      </c>
      <c r="G489" t="s">
        <v>6294</v>
      </c>
      <c r="H489" t="s">
        <v>2060</v>
      </c>
      <c r="L489" t="s">
        <v>7228</v>
      </c>
      <c r="N489" t="s">
        <v>7228</v>
      </c>
      <c r="O489" t="s">
        <v>7</v>
      </c>
      <c r="P489" t="s">
        <v>2062</v>
      </c>
      <c r="Q489" t="s">
        <v>2063</v>
      </c>
      <c r="R489" s="27" t="s">
        <v>7209</v>
      </c>
      <c r="T489" t="s">
        <v>119</v>
      </c>
    </row>
    <row r="490" spans="1:20" ht="15" customHeight="1" x14ac:dyDescent="0.4">
      <c r="A490" t="s">
        <v>2065</v>
      </c>
      <c r="B490" t="s">
        <v>2065</v>
      </c>
      <c r="C490" t="s">
        <v>151</v>
      </c>
      <c r="D490" t="s">
        <v>81</v>
      </c>
      <c r="E490" t="s">
        <v>163</v>
      </c>
      <c r="F490" t="s">
        <v>7229</v>
      </c>
      <c r="G490" t="s">
        <v>6294</v>
      </c>
      <c r="H490" t="s">
        <v>2064</v>
      </c>
      <c r="L490" t="s">
        <v>7229</v>
      </c>
      <c r="N490" t="s">
        <v>7229</v>
      </c>
      <c r="O490" t="s">
        <v>7</v>
      </c>
      <c r="P490" t="s">
        <v>2066</v>
      </c>
      <c r="Q490" t="s">
        <v>2067</v>
      </c>
      <c r="R490" s="27" t="s">
        <v>7230</v>
      </c>
      <c r="T490" t="s">
        <v>119</v>
      </c>
    </row>
    <row r="491" spans="1:20" ht="15" customHeight="1" x14ac:dyDescent="0.4">
      <c r="A491" t="s">
        <v>2069</v>
      </c>
      <c r="B491" t="s">
        <v>2069</v>
      </c>
      <c r="C491" t="s">
        <v>151</v>
      </c>
      <c r="D491" t="s">
        <v>81</v>
      </c>
      <c r="E491" t="s">
        <v>163</v>
      </c>
      <c r="F491" t="s">
        <v>7231</v>
      </c>
      <c r="G491" t="s">
        <v>6294</v>
      </c>
      <c r="H491" t="s">
        <v>2068</v>
      </c>
      <c r="L491" t="s">
        <v>7231</v>
      </c>
      <c r="N491" t="s">
        <v>7231</v>
      </c>
      <c r="O491" t="s">
        <v>7</v>
      </c>
      <c r="P491" t="s">
        <v>2070</v>
      </c>
      <c r="Q491" t="s">
        <v>2071</v>
      </c>
      <c r="R491" s="27" t="s">
        <v>7232</v>
      </c>
      <c r="T491" t="s">
        <v>119</v>
      </c>
    </row>
    <row r="492" spans="1:20" ht="15" customHeight="1" x14ac:dyDescent="0.4">
      <c r="A492" t="s">
        <v>2073</v>
      </c>
      <c r="B492" t="s">
        <v>2073</v>
      </c>
      <c r="C492" t="s">
        <v>151</v>
      </c>
      <c r="D492" t="s">
        <v>81</v>
      </c>
      <c r="E492" t="s">
        <v>163</v>
      </c>
      <c r="F492" t="s">
        <v>7233</v>
      </c>
      <c r="G492" t="s">
        <v>6294</v>
      </c>
      <c r="H492" t="s">
        <v>2072</v>
      </c>
      <c r="L492" t="s">
        <v>7233</v>
      </c>
      <c r="N492" t="s">
        <v>7233</v>
      </c>
      <c r="O492" t="s">
        <v>7</v>
      </c>
      <c r="P492" t="s">
        <v>2074</v>
      </c>
      <c r="Q492" t="s">
        <v>2075</v>
      </c>
      <c r="R492" s="27" t="s">
        <v>7232</v>
      </c>
      <c r="T492" t="s">
        <v>119</v>
      </c>
    </row>
    <row r="493" spans="1:20" ht="15" customHeight="1" x14ac:dyDescent="0.4">
      <c r="A493" t="s">
        <v>2077</v>
      </c>
      <c r="B493" t="s">
        <v>2077</v>
      </c>
      <c r="C493" t="s">
        <v>151</v>
      </c>
      <c r="D493" t="s">
        <v>81</v>
      </c>
      <c r="E493" t="s">
        <v>163</v>
      </c>
      <c r="F493" t="s">
        <v>7234</v>
      </c>
      <c r="G493" t="s">
        <v>6294</v>
      </c>
      <c r="H493" t="s">
        <v>2076</v>
      </c>
      <c r="L493" t="s">
        <v>7234</v>
      </c>
      <c r="N493" t="s">
        <v>7234</v>
      </c>
      <c r="O493" t="s">
        <v>7</v>
      </c>
      <c r="P493" t="s">
        <v>2078</v>
      </c>
      <c r="Q493" t="s">
        <v>2079</v>
      </c>
      <c r="R493" s="27" t="s">
        <v>7235</v>
      </c>
      <c r="T493" t="s">
        <v>119</v>
      </c>
    </row>
    <row r="494" spans="1:20" ht="15" customHeight="1" x14ac:dyDescent="0.4">
      <c r="A494" t="s">
        <v>2081</v>
      </c>
      <c r="B494" t="s">
        <v>2081</v>
      </c>
      <c r="C494" t="s">
        <v>151</v>
      </c>
      <c r="D494" t="s">
        <v>81</v>
      </c>
      <c r="E494" t="s">
        <v>163</v>
      </c>
      <c r="F494" t="s">
        <v>7236</v>
      </c>
      <c r="G494" t="s">
        <v>6294</v>
      </c>
      <c r="H494" t="s">
        <v>2080</v>
      </c>
      <c r="L494" t="s">
        <v>7236</v>
      </c>
      <c r="N494" t="s">
        <v>7236</v>
      </c>
      <c r="O494" t="s">
        <v>7</v>
      </c>
      <c r="P494" t="s">
        <v>2082</v>
      </c>
      <c r="Q494" t="s">
        <v>2083</v>
      </c>
      <c r="R494" s="27" t="s">
        <v>7232</v>
      </c>
      <c r="T494" t="s">
        <v>119</v>
      </c>
    </row>
    <row r="495" spans="1:20" ht="15" customHeight="1" x14ac:dyDescent="0.4">
      <c r="A495" t="s">
        <v>2085</v>
      </c>
      <c r="B495" t="s">
        <v>2085</v>
      </c>
      <c r="C495" t="s">
        <v>151</v>
      </c>
      <c r="D495" t="s">
        <v>81</v>
      </c>
      <c r="E495" t="s">
        <v>163</v>
      </c>
      <c r="F495" t="s">
        <v>7237</v>
      </c>
      <c r="G495" t="s">
        <v>6294</v>
      </c>
      <c r="H495" t="s">
        <v>2084</v>
      </c>
      <c r="L495" t="s">
        <v>7237</v>
      </c>
      <c r="N495" t="s">
        <v>7237</v>
      </c>
      <c r="O495" t="s">
        <v>7</v>
      </c>
      <c r="P495" t="s">
        <v>2086</v>
      </c>
      <c r="Q495" t="s">
        <v>2087</v>
      </c>
      <c r="R495" s="27" t="s">
        <v>7232</v>
      </c>
      <c r="T495" t="s">
        <v>119</v>
      </c>
    </row>
    <row r="496" spans="1:20" ht="15" customHeight="1" x14ac:dyDescent="0.4">
      <c r="A496" t="s">
        <v>2089</v>
      </c>
      <c r="B496" t="s">
        <v>2089</v>
      </c>
      <c r="C496" t="s">
        <v>151</v>
      </c>
      <c r="D496" t="s">
        <v>81</v>
      </c>
      <c r="E496" t="s">
        <v>163</v>
      </c>
      <c r="F496" t="s">
        <v>7238</v>
      </c>
      <c r="G496" t="s">
        <v>6294</v>
      </c>
      <c r="H496" t="s">
        <v>2088</v>
      </c>
      <c r="L496" t="s">
        <v>7238</v>
      </c>
      <c r="N496" t="s">
        <v>7238</v>
      </c>
      <c r="O496" t="s">
        <v>7</v>
      </c>
      <c r="P496" t="s">
        <v>2090</v>
      </c>
      <c r="Q496" t="s">
        <v>2091</v>
      </c>
      <c r="R496" s="27" t="s">
        <v>7232</v>
      </c>
      <c r="T496" t="s">
        <v>119</v>
      </c>
    </row>
    <row r="497" spans="1:20" ht="15" customHeight="1" x14ac:dyDescent="0.4">
      <c r="A497" t="s">
        <v>2093</v>
      </c>
      <c r="B497" t="s">
        <v>2093</v>
      </c>
      <c r="C497" t="s">
        <v>151</v>
      </c>
      <c r="D497" t="s">
        <v>81</v>
      </c>
      <c r="E497" t="s">
        <v>163</v>
      </c>
      <c r="F497" t="s">
        <v>7239</v>
      </c>
      <c r="G497" t="s">
        <v>6294</v>
      </c>
      <c r="H497" t="s">
        <v>2092</v>
      </c>
      <c r="L497" t="s">
        <v>7239</v>
      </c>
      <c r="N497" t="s">
        <v>7239</v>
      </c>
      <c r="O497" t="s">
        <v>7</v>
      </c>
      <c r="P497" t="s">
        <v>2094</v>
      </c>
      <c r="Q497" t="s">
        <v>2095</v>
      </c>
      <c r="R497" s="27" t="s">
        <v>7240</v>
      </c>
      <c r="T497" t="s">
        <v>119</v>
      </c>
    </row>
    <row r="498" spans="1:20" ht="15" customHeight="1" x14ac:dyDescent="0.4">
      <c r="A498" t="s">
        <v>2097</v>
      </c>
      <c r="B498" t="s">
        <v>2097</v>
      </c>
      <c r="C498" t="s">
        <v>151</v>
      </c>
      <c r="D498" t="s">
        <v>81</v>
      </c>
      <c r="E498" t="s">
        <v>163</v>
      </c>
      <c r="F498" t="s">
        <v>7241</v>
      </c>
      <c r="G498" t="s">
        <v>6294</v>
      </c>
      <c r="H498" t="s">
        <v>2096</v>
      </c>
      <c r="L498" t="s">
        <v>7241</v>
      </c>
      <c r="N498" t="s">
        <v>7241</v>
      </c>
      <c r="O498" t="s">
        <v>7</v>
      </c>
      <c r="P498" t="s">
        <v>2098</v>
      </c>
      <c r="Q498" t="s">
        <v>2099</v>
      </c>
      <c r="R498" s="27" t="s">
        <v>7240</v>
      </c>
      <c r="T498" t="s">
        <v>119</v>
      </c>
    </row>
    <row r="499" spans="1:20" ht="15" customHeight="1" x14ac:dyDescent="0.4">
      <c r="A499" t="s">
        <v>2101</v>
      </c>
      <c r="B499" t="s">
        <v>2101</v>
      </c>
      <c r="C499" t="s">
        <v>151</v>
      </c>
      <c r="D499" t="s">
        <v>81</v>
      </c>
      <c r="E499" t="s">
        <v>163</v>
      </c>
      <c r="F499" t="s">
        <v>7242</v>
      </c>
      <c r="G499" t="s">
        <v>6294</v>
      </c>
      <c r="H499" t="s">
        <v>2100</v>
      </c>
      <c r="L499" t="s">
        <v>7242</v>
      </c>
      <c r="N499" t="s">
        <v>7242</v>
      </c>
      <c r="O499" t="s">
        <v>7</v>
      </c>
      <c r="P499" t="s">
        <v>2102</v>
      </c>
      <c r="Q499" t="s">
        <v>2103</v>
      </c>
      <c r="R499" s="27" t="s">
        <v>7232</v>
      </c>
      <c r="T499" t="s">
        <v>119</v>
      </c>
    </row>
    <row r="500" spans="1:20" ht="15" customHeight="1" x14ac:dyDescent="0.4">
      <c r="A500" t="s">
        <v>2105</v>
      </c>
      <c r="B500" t="s">
        <v>2105</v>
      </c>
      <c r="C500" t="s">
        <v>151</v>
      </c>
      <c r="D500" t="s">
        <v>81</v>
      </c>
      <c r="E500" t="s">
        <v>163</v>
      </c>
      <c r="F500" t="s">
        <v>7243</v>
      </c>
      <c r="G500" t="s">
        <v>6294</v>
      </c>
      <c r="H500" t="s">
        <v>2104</v>
      </c>
      <c r="L500" t="s">
        <v>7243</v>
      </c>
      <c r="N500" t="s">
        <v>7243</v>
      </c>
      <c r="O500" t="s">
        <v>7</v>
      </c>
      <c r="P500" t="s">
        <v>2106</v>
      </c>
      <c r="Q500" t="s">
        <v>2107</v>
      </c>
      <c r="R500" s="27" t="s">
        <v>7240</v>
      </c>
      <c r="T500" t="s">
        <v>119</v>
      </c>
    </row>
    <row r="501" spans="1:20" ht="15" customHeight="1" x14ac:dyDescent="0.4">
      <c r="A501" t="s">
        <v>2109</v>
      </c>
      <c r="B501" t="s">
        <v>2109</v>
      </c>
      <c r="C501" t="s">
        <v>151</v>
      </c>
      <c r="D501" t="s">
        <v>81</v>
      </c>
      <c r="E501" t="s">
        <v>163</v>
      </c>
      <c r="F501" t="s">
        <v>7244</v>
      </c>
      <c r="G501" t="s">
        <v>6294</v>
      </c>
      <c r="H501" t="s">
        <v>2108</v>
      </c>
      <c r="L501" t="s">
        <v>7244</v>
      </c>
      <c r="N501" t="s">
        <v>7244</v>
      </c>
      <c r="O501" t="s">
        <v>7</v>
      </c>
      <c r="P501" t="s">
        <v>2110</v>
      </c>
      <c r="Q501" t="s">
        <v>2111</v>
      </c>
      <c r="R501" s="27" t="s">
        <v>7245</v>
      </c>
      <c r="T501" t="s">
        <v>119</v>
      </c>
    </row>
    <row r="502" spans="1:20" ht="15" customHeight="1" x14ac:dyDescent="0.4">
      <c r="A502" t="s">
        <v>2113</v>
      </c>
      <c r="B502" t="s">
        <v>2113</v>
      </c>
      <c r="C502" t="s">
        <v>151</v>
      </c>
      <c r="D502" t="s">
        <v>81</v>
      </c>
      <c r="E502" t="s">
        <v>163</v>
      </c>
      <c r="F502" t="s">
        <v>7246</v>
      </c>
      <c r="G502" t="s">
        <v>6294</v>
      </c>
      <c r="H502" t="s">
        <v>2112</v>
      </c>
      <c r="L502" t="s">
        <v>7246</v>
      </c>
      <c r="N502" t="s">
        <v>7246</v>
      </c>
      <c r="O502" t="s">
        <v>7</v>
      </c>
      <c r="P502" t="s">
        <v>2114</v>
      </c>
      <c r="Q502" t="s">
        <v>2115</v>
      </c>
      <c r="R502" s="27" t="s">
        <v>7240</v>
      </c>
      <c r="T502" t="s">
        <v>119</v>
      </c>
    </row>
    <row r="503" spans="1:20" ht="15" customHeight="1" x14ac:dyDescent="0.4">
      <c r="A503" t="s">
        <v>2117</v>
      </c>
      <c r="B503" t="s">
        <v>2117</v>
      </c>
      <c r="C503" t="s">
        <v>151</v>
      </c>
      <c r="D503" t="s">
        <v>81</v>
      </c>
      <c r="E503" t="s">
        <v>163</v>
      </c>
      <c r="F503" t="s">
        <v>7247</v>
      </c>
      <c r="G503" t="s">
        <v>6294</v>
      </c>
      <c r="H503" t="s">
        <v>2116</v>
      </c>
      <c r="L503" t="s">
        <v>7247</v>
      </c>
      <c r="N503" t="s">
        <v>7247</v>
      </c>
      <c r="O503" t="s">
        <v>7</v>
      </c>
      <c r="P503" t="s">
        <v>2118</v>
      </c>
      <c r="Q503" t="s">
        <v>2119</v>
      </c>
      <c r="R503" s="27" t="s">
        <v>7248</v>
      </c>
      <c r="T503" t="s">
        <v>119</v>
      </c>
    </row>
    <row r="504" spans="1:20" ht="15" customHeight="1" x14ac:dyDescent="0.4">
      <c r="A504" t="s">
        <v>2121</v>
      </c>
      <c r="B504" t="s">
        <v>2121</v>
      </c>
      <c r="C504" t="s">
        <v>151</v>
      </c>
      <c r="D504" t="s">
        <v>81</v>
      </c>
      <c r="E504" t="s">
        <v>163</v>
      </c>
      <c r="F504" t="s">
        <v>7249</v>
      </c>
      <c r="G504" t="s">
        <v>6294</v>
      </c>
      <c r="H504" t="s">
        <v>2120</v>
      </c>
      <c r="L504" t="s">
        <v>7249</v>
      </c>
      <c r="N504" t="s">
        <v>7249</v>
      </c>
      <c r="O504" t="s">
        <v>7</v>
      </c>
      <c r="P504" t="s">
        <v>2122</v>
      </c>
      <c r="Q504" t="s">
        <v>2123</v>
      </c>
      <c r="R504" s="27" t="s">
        <v>7232</v>
      </c>
      <c r="T504" t="s">
        <v>119</v>
      </c>
    </row>
    <row r="505" spans="1:20" ht="15" customHeight="1" x14ac:dyDescent="0.4">
      <c r="A505" t="s">
        <v>2125</v>
      </c>
      <c r="B505" t="s">
        <v>2125</v>
      </c>
      <c r="C505" t="s">
        <v>151</v>
      </c>
      <c r="D505" t="s">
        <v>81</v>
      </c>
      <c r="E505" t="s">
        <v>163</v>
      </c>
      <c r="F505" t="s">
        <v>7250</v>
      </c>
      <c r="G505" t="s">
        <v>6294</v>
      </c>
      <c r="H505" t="s">
        <v>2124</v>
      </c>
      <c r="L505" t="s">
        <v>7250</v>
      </c>
      <c r="N505" t="s">
        <v>7250</v>
      </c>
      <c r="O505" t="s">
        <v>7</v>
      </c>
      <c r="P505" t="s">
        <v>2126</v>
      </c>
      <c r="Q505" t="s">
        <v>2127</v>
      </c>
      <c r="R505" s="27" t="s">
        <v>7232</v>
      </c>
      <c r="T505" t="s">
        <v>119</v>
      </c>
    </row>
    <row r="506" spans="1:20" ht="15" customHeight="1" x14ac:dyDescent="0.4">
      <c r="A506" t="s">
        <v>2129</v>
      </c>
      <c r="B506" t="s">
        <v>2129</v>
      </c>
      <c r="C506" t="s">
        <v>151</v>
      </c>
      <c r="D506" t="s">
        <v>81</v>
      </c>
      <c r="E506" t="s">
        <v>163</v>
      </c>
      <c r="F506" t="s">
        <v>7251</v>
      </c>
      <c r="G506" t="s">
        <v>6294</v>
      </c>
      <c r="H506" t="s">
        <v>2128</v>
      </c>
      <c r="L506" t="s">
        <v>7251</v>
      </c>
      <c r="N506" t="s">
        <v>7251</v>
      </c>
      <c r="O506" t="s">
        <v>7</v>
      </c>
      <c r="P506" t="s">
        <v>2130</v>
      </c>
      <c r="Q506" t="s">
        <v>2131</v>
      </c>
      <c r="R506" s="27" t="s">
        <v>7232</v>
      </c>
      <c r="T506" t="s">
        <v>119</v>
      </c>
    </row>
    <row r="507" spans="1:20" ht="15" customHeight="1" x14ac:dyDescent="0.4">
      <c r="A507" t="s">
        <v>2133</v>
      </c>
      <c r="B507" t="s">
        <v>2133</v>
      </c>
      <c r="C507" t="s">
        <v>151</v>
      </c>
      <c r="D507" t="s">
        <v>81</v>
      </c>
      <c r="E507" t="s">
        <v>163</v>
      </c>
      <c r="F507" t="s">
        <v>7252</v>
      </c>
      <c r="G507" t="s">
        <v>6294</v>
      </c>
      <c r="H507" t="s">
        <v>2132</v>
      </c>
      <c r="L507" t="s">
        <v>7252</v>
      </c>
      <c r="N507" t="s">
        <v>7252</v>
      </c>
      <c r="O507" t="s">
        <v>7</v>
      </c>
      <c r="P507" t="s">
        <v>2134</v>
      </c>
      <c r="Q507" t="s">
        <v>2135</v>
      </c>
      <c r="R507" s="27" t="s">
        <v>7248</v>
      </c>
      <c r="T507" t="s">
        <v>119</v>
      </c>
    </row>
    <row r="508" spans="1:20" ht="15" customHeight="1" x14ac:dyDescent="0.4">
      <c r="A508" t="s">
        <v>2137</v>
      </c>
      <c r="B508" t="s">
        <v>2137</v>
      </c>
      <c r="C508" t="s">
        <v>151</v>
      </c>
      <c r="D508" t="s">
        <v>81</v>
      </c>
      <c r="E508" t="s">
        <v>163</v>
      </c>
      <c r="F508" t="s">
        <v>7253</v>
      </c>
      <c r="G508" t="s">
        <v>6294</v>
      </c>
      <c r="H508" t="s">
        <v>2136</v>
      </c>
      <c r="L508" t="s">
        <v>7253</v>
      </c>
      <c r="N508" t="s">
        <v>7253</v>
      </c>
      <c r="O508" t="s">
        <v>7</v>
      </c>
      <c r="P508" t="s">
        <v>2138</v>
      </c>
      <c r="Q508" t="s">
        <v>2139</v>
      </c>
      <c r="R508" s="27" t="s">
        <v>7232</v>
      </c>
      <c r="T508" t="s">
        <v>119</v>
      </c>
    </row>
    <row r="509" spans="1:20" ht="15" customHeight="1" x14ac:dyDescent="0.4">
      <c r="A509" t="s">
        <v>2141</v>
      </c>
      <c r="B509" t="s">
        <v>2141</v>
      </c>
      <c r="C509" t="s">
        <v>151</v>
      </c>
      <c r="D509" t="s">
        <v>81</v>
      </c>
      <c r="E509" t="s">
        <v>163</v>
      </c>
      <c r="F509" t="s">
        <v>7254</v>
      </c>
      <c r="G509" t="s">
        <v>6294</v>
      </c>
      <c r="H509" t="s">
        <v>2140</v>
      </c>
      <c r="L509" t="s">
        <v>7254</v>
      </c>
      <c r="N509" t="s">
        <v>7254</v>
      </c>
      <c r="O509" t="s">
        <v>7</v>
      </c>
      <c r="P509" t="s">
        <v>2142</v>
      </c>
      <c r="Q509" t="s">
        <v>2143</v>
      </c>
      <c r="R509" s="27" t="s">
        <v>7232</v>
      </c>
      <c r="T509" t="s">
        <v>119</v>
      </c>
    </row>
    <row r="510" spans="1:20" ht="15" customHeight="1" x14ac:dyDescent="0.4">
      <c r="A510" t="s">
        <v>2145</v>
      </c>
      <c r="B510" t="s">
        <v>2145</v>
      </c>
      <c r="C510" t="s">
        <v>151</v>
      </c>
      <c r="D510" t="s">
        <v>81</v>
      </c>
      <c r="E510" t="s">
        <v>163</v>
      </c>
      <c r="F510" t="s">
        <v>7255</v>
      </c>
      <c r="G510" t="s">
        <v>6294</v>
      </c>
      <c r="H510" t="s">
        <v>2144</v>
      </c>
      <c r="L510" t="s">
        <v>7255</v>
      </c>
      <c r="N510" t="s">
        <v>7255</v>
      </c>
      <c r="O510" t="s">
        <v>7</v>
      </c>
      <c r="P510" t="s">
        <v>2146</v>
      </c>
      <c r="Q510" t="s">
        <v>2147</v>
      </c>
      <c r="R510" s="27" t="s">
        <v>7232</v>
      </c>
      <c r="T510" t="s">
        <v>119</v>
      </c>
    </row>
    <row r="511" spans="1:20" ht="15" customHeight="1" x14ac:dyDescent="0.4">
      <c r="A511" t="s">
        <v>2149</v>
      </c>
      <c r="B511" t="s">
        <v>2149</v>
      </c>
      <c r="C511" t="s">
        <v>151</v>
      </c>
      <c r="D511" t="s">
        <v>81</v>
      </c>
      <c r="E511" t="s">
        <v>163</v>
      </c>
      <c r="F511" t="s">
        <v>7256</v>
      </c>
      <c r="G511" t="s">
        <v>6294</v>
      </c>
      <c r="H511" t="s">
        <v>2148</v>
      </c>
      <c r="L511" t="s">
        <v>7256</v>
      </c>
      <c r="N511" t="s">
        <v>7256</v>
      </c>
      <c r="O511" t="s">
        <v>7</v>
      </c>
      <c r="P511" t="s">
        <v>2150</v>
      </c>
      <c r="Q511" t="s">
        <v>2151</v>
      </c>
      <c r="R511" s="27" t="s">
        <v>7232</v>
      </c>
      <c r="T511" t="s">
        <v>119</v>
      </c>
    </row>
    <row r="512" spans="1:20" ht="15" customHeight="1" x14ac:dyDescent="0.4">
      <c r="A512" t="s">
        <v>2153</v>
      </c>
      <c r="B512" t="s">
        <v>2153</v>
      </c>
      <c r="C512" t="s">
        <v>151</v>
      </c>
      <c r="D512" t="s">
        <v>81</v>
      </c>
      <c r="E512" t="s">
        <v>163</v>
      </c>
      <c r="F512" t="s">
        <v>7257</v>
      </c>
      <c r="G512" t="s">
        <v>6294</v>
      </c>
      <c r="H512" t="s">
        <v>2152</v>
      </c>
      <c r="L512" t="s">
        <v>7257</v>
      </c>
      <c r="N512" t="s">
        <v>7257</v>
      </c>
      <c r="O512" t="s">
        <v>7</v>
      </c>
      <c r="P512" t="s">
        <v>2154</v>
      </c>
      <c r="Q512" t="s">
        <v>2155</v>
      </c>
      <c r="R512" s="27" t="s">
        <v>7240</v>
      </c>
      <c r="T512" t="s">
        <v>119</v>
      </c>
    </row>
    <row r="513" spans="1:20" ht="15" customHeight="1" x14ac:dyDescent="0.4">
      <c r="A513" t="s">
        <v>2157</v>
      </c>
      <c r="B513" t="s">
        <v>2157</v>
      </c>
      <c r="C513" t="s">
        <v>151</v>
      </c>
      <c r="D513" t="s">
        <v>81</v>
      </c>
      <c r="E513" t="s">
        <v>163</v>
      </c>
      <c r="F513" t="s">
        <v>7258</v>
      </c>
      <c r="G513" t="s">
        <v>6294</v>
      </c>
      <c r="H513" t="s">
        <v>2156</v>
      </c>
      <c r="L513" t="s">
        <v>7258</v>
      </c>
      <c r="N513" t="s">
        <v>7258</v>
      </c>
      <c r="O513" t="s">
        <v>7</v>
      </c>
      <c r="P513" t="s">
        <v>2158</v>
      </c>
      <c r="Q513" t="s">
        <v>2159</v>
      </c>
      <c r="R513" s="27" t="s">
        <v>7259</v>
      </c>
      <c r="T513" t="s">
        <v>119</v>
      </c>
    </row>
    <row r="514" spans="1:20" ht="15" customHeight="1" x14ac:dyDescent="0.4">
      <c r="A514" t="s">
        <v>2161</v>
      </c>
      <c r="B514" t="s">
        <v>2161</v>
      </c>
      <c r="C514" t="s">
        <v>151</v>
      </c>
      <c r="D514" t="s">
        <v>81</v>
      </c>
      <c r="E514" t="s">
        <v>163</v>
      </c>
      <c r="F514" t="s">
        <v>7260</v>
      </c>
      <c r="G514" t="s">
        <v>6294</v>
      </c>
      <c r="H514" t="s">
        <v>2160</v>
      </c>
      <c r="L514" t="s">
        <v>7260</v>
      </c>
      <c r="N514" t="s">
        <v>7260</v>
      </c>
      <c r="O514" t="s">
        <v>7</v>
      </c>
      <c r="P514" t="s">
        <v>2162</v>
      </c>
      <c r="Q514" t="s">
        <v>2163</v>
      </c>
      <c r="R514" s="27" t="s">
        <v>7235</v>
      </c>
      <c r="T514" t="s">
        <v>119</v>
      </c>
    </row>
    <row r="515" spans="1:20" ht="15" customHeight="1" x14ac:dyDescent="0.4">
      <c r="A515" t="s">
        <v>2165</v>
      </c>
      <c r="B515" t="s">
        <v>2165</v>
      </c>
      <c r="C515" t="s">
        <v>151</v>
      </c>
      <c r="D515" t="s">
        <v>81</v>
      </c>
      <c r="E515" t="s">
        <v>163</v>
      </c>
      <c r="F515" t="s">
        <v>7261</v>
      </c>
      <c r="G515" t="s">
        <v>6294</v>
      </c>
      <c r="H515" t="s">
        <v>2164</v>
      </c>
      <c r="L515" t="s">
        <v>7261</v>
      </c>
      <c r="N515" t="s">
        <v>7261</v>
      </c>
      <c r="O515" t="s">
        <v>7</v>
      </c>
      <c r="P515" t="s">
        <v>2166</v>
      </c>
      <c r="Q515" t="s">
        <v>2167</v>
      </c>
      <c r="R515" s="27" t="s">
        <v>7235</v>
      </c>
      <c r="T515" t="s">
        <v>119</v>
      </c>
    </row>
    <row r="516" spans="1:20" ht="15" customHeight="1" x14ac:dyDescent="0.4">
      <c r="A516" t="s">
        <v>2169</v>
      </c>
      <c r="B516" t="s">
        <v>2169</v>
      </c>
      <c r="C516" t="s">
        <v>151</v>
      </c>
      <c r="D516" t="s">
        <v>81</v>
      </c>
      <c r="E516" t="s">
        <v>163</v>
      </c>
      <c r="F516" t="s">
        <v>7262</v>
      </c>
      <c r="G516" t="s">
        <v>6294</v>
      </c>
      <c r="H516" t="s">
        <v>2168</v>
      </c>
      <c r="L516" t="s">
        <v>7262</v>
      </c>
      <c r="N516" t="s">
        <v>7262</v>
      </c>
      <c r="O516" t="s">
        <v>7</v>
      </c>
      <c r="P516" t="s">
        <v>2170</v>
      </c>
      <c r="Q516" t="s">
        <v>2171</v>
      </c>
      <c r="R516" s="27" t="s">
        <v>7240</v>
      </c>
      <c r="T516" t="s">
        <v>119</v>
      </c>
    </row>
    <row r="517" spans="1:20" ht="15" customHeight="1" x14ac:dyDescent="0.4">
      <c r="A517" t="s">
        <v>2173</v>
      </c>
      <c r="B517" t="s">
        <v>2173</v>
      </c>
      <c r="C517" t="s">
        <v>151</v>
      </c>
      <c r="D517" t="s">
        <v>81</v>
      </c>
      <c r="E517" t="s">
        <v>163</v>
      </c>
      <c r="F517" t="s">
        <v>7263</v>
      </c>
      <c r="G517" t="s">
        <v>6294</v>
      </c>
      <c r="H517" t="s">
        <v>2172</v>
      </c>
      <c r="L517" t="s">
        <v>7263</v>
      </c>
      <c r="N517" t="s">
        <v>7263</v>
      </c>
      <c r="O517" t="s">
        <v>7</v>
      </c>
      <c r="P517" t="s">
        <v>2174</v>
      </c>
      <c r="Q517" t="s">
        <v>2175</v>
      </c>
      <c r="R517" s="27" t="s">
        <v>7232</v>
      </c>
      <c r="T517" t="s">
        <v>119</v>
      </c>
    </row>
    <row r="518" spans="1:20" ht="15" customHeight="1" x14ac:dyDescent="0.4">
      <c r="A518" t="s">
        <v>2177</v>
      </c>
      <c r="B518" t="s">
        <v>2177</v>
      </c>
      <c r="C518" t="s">
        <v>151</v>
      </c>
      <c r="D518" t="s">
        <v>81</v>
      </c>
      <c r="E518" t="s">
        <v>163</v>
      </c>
      <c r="F518" t="s">
        <v>7264</v>
      </c>
      <c r="G518" t="s">
        <v>6294</v>
      </c>
      <c r="H518" t="s">
        <v>2176</v>
      </c>
      <c r="L518" t="s">
        <v>7264</v>
      </c>
      <c r="N518" t="s">
        <v>7264</v>
      </c>
      <c r="O518" t="s">
        <v>7</v>
      </c>
      <c r="P518" t="s">
        <v>2178</v>
      </c>
      <c r="Q518" t="s">
        <v>2179</v>
      </c>
      <c r="R518" s="27" t="s">
        <v>7232</v>
      </c>
      <c r="T518" t="s">
        <v>119</v>
      </c>
    </row>
    <row r="519" spans="1:20" ht="15" customHeight="1" x14ac:dyDescent="0.4">
      <c r="A519" t="s">
        <v>2181</v>
      </c>
      <c r="B519" t="s">
        <v>2181</v>
      </c>
      <c r="C519" t="s">
        <v>151</v>
      </c>
      <c r="D519" t="s">
        <v>81</v>
      </c>
      <c r="E519" t="s">
        <v>163</v>
      </c>
      <c r="F519" t="s">
        <v>7265</v>
      </c>
      <c r="G519" t="s">
        <v>6294</v>
      </c>
      <c r="H519" t="s">
        <v>2180</v>
      </c>
      <c r="L519" t="s">
        <v>7265</v>
      </c>
      <c r="N519" t="s">
        <v>7265</v>
      </c>
      <c r="O519" t="s">
        <v>7</v>
      </c>
      <c r="P519" t="s">
        <v>2182</v>
      </c>
      <c r="Q519" t="s">
        <v>2183</v>
      </c>
      <c r="R519" s="27" t="s">
        <v>7232</v>
      </c>
      <c r="T519" t="s">
        <v>119</v>
      </c>
    </row>
    <row r="520" spans="1:20" ht="15" customHeight="1" x14ac:dyDescent="0.4">
      <c r="A520" t="s">
        <v>2185</v>
      </c>
      <c r="B520" t="s">
        <v>2185</v>
      </c>
      <c r="C520" t="s">
        <v>151</v>
      </c>
      <c r="D520" t="s">
        <v>81</v>
      </c>
      <c r="E520" t="s">
        <v>163</v>
      </c>
      <c r="F520" t="s">
        <v>7266</v>
      </c>
      <c r="G520" t="s">
        <v>6294</v>
      </c>
      <c r="H520" t="s">
        <v>2184</v>
      </c>
      <c r="L520" t="s">
        <v>7266</v>
      </c>
      <c r="N520" t="s">
        <v>7266</v>
      </c>
      <c r="O520" t="s">
        <v>7</v>
      </c>
      <c r="P520" t="s">
        <v>2186</v>
      </c>
      <c r="Q520" t="s">
        <v>2187</v>
      </c>
      <c r="R520" s="27" t="s">
        <v>7232</v>
      </c>
      <c r="T520" t="s">
        <v>119</v>
      </c>
    </row>
    <row r="521" spans="1:20" ht="15" customHeight="1" x14ac:dyDescent="0.4">
      <c r="A521" t="s">
        <v>2189</v>
      </c>
      <c r="B521" t="s">
        <v>2189</v>
      </c>
      <c r="C521" t="s">
        <v>151</v>
      </c>
      <c r="D521" t="s">
        <v>81</v>
      </c>
      <c r="E521" t="s">
        <v>163</v>
      </c>
      <c r="F521" t="s">
        <v>7267</v>
      </c>
      <c r="G521" t="s">
        <v>6294</v>
      </c>
      <c r="H521" t="s">
        <v>2188</v>
      </c>
      <c r="L521" t="s">
        <v>7267</v>
      </c>
      <c r="N521" t="s">
        <v>7267</v>
      </c>
      <c r="O521" t="s">
        <v>7</v>
      </c>
      <c r="P521" t="s">
        <v>2190</v>
      </c>
      <c r="Q521" t="s">
        <v>2191</v>
      </c>
      <c r="R521" s="27" t="s">
        <v>7232</v>
      </c>
      <c r="T521" t="s">
        <v>119</v>
      </c>
    </row>
    <row r="522" spans="1:20" ht="15" customHeight="1" x14ac:dyDescent="0.4">
      <c r="A522" t="s">
        <v>2193</v>
      </c>
      <c r="B522" t="s">
        <v>2193</v>
      </c>
      <c r="C522" t="s">
        <v>151</v>
      </c>
      <c r="D522" t="s">
        <v>81</v>
      </c>
      <c r="E522" t="s">
        <v>163</v>
      </c>
      <c r="F522" t="s">
        <v>7268</v>
      </c>
      <c r="G522" t="s">
        <v>6294</v>
      </c>
      <c r="H522" t="s">
        <v>2192</v>
      </c>
      <c r="L522" t="s">
        <v>7268</v>
      </c>
      <c r="N522" t="s">
        <v>7268</v>
      </c>
      <c r="O522" t="s">
        <v>7</v>
      </c>
      <c r="P522" t="s">
        <v>2194</v>
      </c>
      <c r="Q522" t="s">
        <v>2195</v>
      </c>
      <c r="R522" s="27" t="s">
        <v>7269</v>
      </c>
      <c r="T522" t="s">
        <v>119</v>
      </c>
    </row>
    <row r="523" spans="1:20" ht="15" customHeight="1" x14ac:dyDescent="0.4">
      <c r="A523" t="s">
        <v>2197</v>
      </c>
      <c r="B523" t="s">
        <v>2197</v>
      </c>
      <c r="C523" t="s">
        <v>151</v>
      </c>
      <c r="D523" t="s">
        <v>81</v>
      </c>
      <c r="E523" t="s">
        <v>163</v>
      </c>
      <c r="F523" t="s">
        <v>7270</v>
      </c>
      <c r="G523" t="s">
        <v>6294</v>
      </c>
      <c r="H523" t="s">
        <v>2196</v>
      </c>
      <c r="L523" t="s">
        <v>7270</v>
      </c>
      <c r="N523" t="s">
        <v>7270</v>
      </c>
      <c r="O523" t="s">
        <v>7</v>
      </c>
      <c r="P523" t="s">
        <v>2198</v>
      </c>
      <c r="Q523" t="s">
        <v>2199</v>
      </c>
      <c r="R523" s="27" t="s">
        <v>7271</v>
      </c>
      <c r="T523" t="s">
        <v>119</v>
      </c>
    </row>
    <row r="524" spans="1:20" ht="15" customHeight="1" x14ac:dyDescent="0.4">
      <c r="A524" t="s">
        <v>2201</v>
      </c>
      <c r="B524" t="s">
        <v>2201</v>
      </c>
      <c r="C524" t="s">
        <v>151</v>
      </c>
      <c r="D524" t="s">
        <v>81</v>
      </c>
      <c r="E524" t="s">
        <v>163</v>
      </c>
      <c r="F524" t="s">
        <v>7272</v>
      </c>
      <c r="G524" t="s">
        <v>6294</v>
      </c>
      <c r="H524" t="s">
        <v>2200</v>
      </c>
      <c r="L524" t="s">
        <v>7272</v>
      </c>
      <c r="N524" t="s">
        <v>7272</v>
      </c>
      <c r="O524" t="s">
        <v>7</v>
      </c>
      <c r="P524" t="s">
        <v>2202</v>
      </c>
      <c r="Q524" t="s">
        <v>2203</v>
      </c>
      <c r="R524" s="27" t="s">
        <v>7273</v>
      </c>
      <c r="T524" t="s">
        <v>119</v>
      </c>
    </row>
    <row r="525" spans="1:20" ht="15" customHeight="1" x14ac:dyDescent="0.4">
      <c r="A525" t="s">
        <v>2205</v>
      </c>
      <c r="B525" t="s">
        <v>2205</v>
      </c>
      <c r="C525" t="s">
        <v>151</v>
      </c>
      <c r="D525" t="s">
        <v>81</v>
      </c>
      <c r="E525" t="s">
        <v>163</v>
      </c>
      <c r="F525" t="s">
        <v>7274</v>
      </c>
      <c r="G525" t="s">
        <v>6294</v>
      </c>
      <c r="H525" t="s">
        <v>2204</v>
      </c>
      <c r="L525" t="s">
        <v>7274</v>
      </c>
      <c r="N525" t="s">
        <v>7274</v>
      </c>
      <c r="O525" t="s">
        <v>7</v>
      </c>
      <c r="P525" t="s">
        <v>2206</v>
      </c>
      <c r="Q525" t="s">
        <v>2207</v>
      </c>
      <c r="R525" s="27" t="s">
        <v>7275</v>
      </c>
      <c r="T525" t="s">
        <v>119</v>
      </c>
    </row>
    <row r="526" spans="1:20" ht="15" customHeight="1" x14ac:dyDescent="0.4">
      <c r="A526" t="s">
        <v>2209</v>
      </c>
      <c r="B526" t="s">
        <v>2209</v>
      </c>
      <c r="C526" t="s">
        <v>151</v>
      </c>
      <c r="D526" t="s">
        <v>81</v>
      </c>
      <c r="E526" t="s">
        <v>163</v>
      </c>
      <c r="F526" t="s">
        <v>7276</v>
      </c>
      <c r="G526" t="s">
        <v>6294</v>
      </c>
      <c r="H526" t="s">
        <v>2208</v>
      </c>
      <c r="L526" t="s">
        <v>7276</v>
      </c>
      <c r="N526" t="s">
        <v>7276</v>
      </c>
      <c r="O526" t="s">
        <v>7</v>
      </c>
      <c r="P526" t="s">
        <v>2210</v>
      </c>
      <c r="Q526" t="s">
        <v>2211</v>
      </c>
      <c r="R526" s="27" t="s">
        <v>7271</v>
      </c>
      <c r="T526" t="s">
        <v>119</v>
      </c>
    </row>
    <row r="527" spans="1:20" ht="15" customHeight="1" x14ac:dyDescent="0.4">
      <c r="A527" t="s">
        <v>2213</v>
      </c>
      <c r="B527" t="s">
        <v>2213</v>
      </c>
      <c r="C527" t="s">
        <v>151</v>
      </c>
      <c r="D527" t="s">
        <v>81</v>
      </c>
      <c r="E527" t="s">
        <v>163</v>
      </c>
      <c r="F527" t="s">
        <v>7277</v>
      </c>
      <c r="G527" t="s">
        <v>6294</v>
      </c>
      <c r="H527" t="s">
        <v>2212</v>
      </c>
      <c r="L527" t="s">
        <v>7277</v>
      </c>
      <c r="N527" t="s">
        <v>7277</v>
      </c>
      <c r="O527" t="s">
        <v>7</v>
      </c>
      <c r="P527" t="s">
        <v>2214</v>
      </c>
      <c r="Q527" t="s">
        <v>2215</v>
      </c>
      <c r="R527" s="27" t="s">
        <v>7275</v>
      </c>
      <c r="T527" t="s">
        <v>119</v>
      </c>
    </row>
    <row r="528" spans="1:20" ht="15" customHeight="1" x14ac:dyDescent="0.4">
      <c r="A528" t="s">
        <v>2217</v>
      </c>
      <c r="B528" t="s">
        <v>2217</v>
      </c>
      <c r="C528" t="s">
        <v>151</v>
      </c>
      <c r="D528" t="s">
        <v>81</v>
      </c>
      <c r="E528" t="s">
        <v>163</v>
      </c>
      <c r="F528" t="s">
        <v>7278</v>
      </c>
      <c r="G528" t="s">
        <v>6294</v>
      </c>
      <c r="H528" t="s">
        <v>2216</v>
      </c>
      <c r="L528" t="s">
        <v>7278</v>
      </c>
      <c r="N528" t="s">
        <v>7278</v>
      </c>
      <c r="O528" t="s">
        <v>7</v>
      </c>
      <c r="P528" t="s">
        <v>2218</v>
      </c>
      <c r="Q528" t="s">
        <v>2219</v>
      </c>
      <c r="R528" s="27" t="s">
        <v>7273</v>
      </c>
      <c r="T528" t="s">
        <v>119</v>
      </c>
    </row>
    <row r="529" spans="1:20" ht="15" customHeight="1" x14ac:dyDescent="0.4">
      <c r="A529" t="s">
        <v>2221</v>
      </c>
      <c r="B529" t="s">
        <v>2221</v>
      </c>
      <c r="C529" t="s">
        <v>151</v>
      </c>
      <c r="D529" t="s">
        <v>81</v>
      </c>
      <c r="E529" t="s">
        <v>163</v>
      </c>
      <c r="F529" t="s">
        <v>7279</v>
      </c>
      <c r="G529" t="s">
        <v>6294</v>
      </c>
      <c r="H529" t="s">
        <v>2220</v>
      </c>
      <c r="L529" t="s">
        <v>7279</v>
      </c>
      <c r="N529" t="s">
        <v>7279</v>
      </c>
      <c r="O529" t="s">
        <v>7</v>
      </c>
      <c r="P529" t="s">
        <v>2222</v>
      </c>
      <c r="Q529" t="s">
        <v>2223</v>
      </c>
      <c r="R529" s="27" t="s">
        <v>7271</v>
      </c>
      <c r="T529" t="s">
        <v>119</v>
      </c>
    </row>
    <row r="530" spans="1:20" ht="15" customHeight="1" x14ac:dyDescent="0.4">
      <c r="A530" t="s">
        <v>2225</v>
      </c>
      <c r="B530" t="s">
        <v>2225</v>
      </c>
      <c r="C530" t="s">
        <v>151</v>
      </c>
      <c r="D530" t="s">
        <v>81</v>
      </c>
      <c r="E530" t="s">
        <v>163</v>
      </c>
      <c r="F530" t="s">
        <v>7280</v>
      </c>
      <c r="G530" t="s">
        <v>6294</v>
      </c>
      <c r="H530" t="s">
        <v>2224</v>
      </c>
      <c r="L530" t="s">
        <v>7280</v>
      </c>
      <c r="N530" t="s">
        <v>7280</v>
      </c>
      <c r="O530" t="s">
        <v>7</v>
      </c>
      <c r="P530" t="s">
        <v>2226</v>
      </c>
      <c r="Q530" t="s">
        <v>2227</v>
      </c>
      <c r="R530" s="27" t="s">
        <v>7281</v>
      </c>
      <c r="T530" t="s">
        <v>119</v>
      </c>
    </row>
    <row r="531" spans="1:20" ht="15" customHeight="1" x14ac:dyDescent="0.4">
      <c r="A531" t="s">
        <v>2229</v>
      </c>
      <c r="B531" t="s">
        <v>2229</v>
      </c>
      <c r="C531" t="s">
        <v>151</v>
      </c>
      <c r="D531" t="s">
        <v>81</v>
      </c>
      <c r="E531" t="s">
        <v>163</v>
      </c>
      <c r="F531" t="s">
        <v>7282</v>
      </c>
      <c r="G531" t="s">
        <v>6294</v>
      </c>
      <c r="H531" t="s">
        <v>2228</v>
      </c>
      <c r="L531" t="s">
        <v>7282</v>
      </c>
      <c r="N531" t="s">
        <v>7282</v>
      </c>
      <c r="O531" t="s">
        <v>7</v>
      </c>
      <c r="P531" t="s">
        <v>2230</v>
      </c>
      <c r="Q531" t="s">
        <v>2231</v>
      </c>
      <c r="R531" s="27" t="s">
        <v>7275</v>
      </c>
      <c r="T531" t="s">
        <v>119</v>
      </c>
    </row>
    <row r="532" spans="1:20" ht="15" customHeight="1" x14ac:dyDescent="0.4">
      <c r="A532" t="s">
        <v>2233</v>
      </c>
      <c r="B532" t="s">
        <v>2233</v>
      </c>
      <c r="C532" t="s">
        <v>151</v>
      </c>
      <c r="D532" t="s">
        <v>81</v>
      </c>
      <c r="E532" t="s">
        <v>163</v>
      </c>
      <c r="F532" t="s">
        <v>7283</v>
      </c>
      <c r="G532" t="s">
        <v>6294</v>
      </c>
      <c r="H532" t="s">
        <v>2232</v>
      </c>
      <c r="L532" t="s">
        <v>7283</v>
      </c>
      <c r="N532" t="s">
        <v>7283</v>
      </c>
      <c r="O532" t="s">
        <v>7</v>
      </c>
      <c r="P532" t="s">
        <v>2234</v>
      </c>
      <c r="Q532" t="s">
        <v>2235</v>
      </c>
      <c r="R532" s="27" t="s">
        <v>7275</v>
      </c>
      <c r="T532" t="s">
        <v>119</v>
      </c>
    </row>
    <row r="533" spans="1:20" ht="15" customHeight="1" x14ac:dyDescent="0.4">
      <c r="A533" t="s">
        <v>2237</v>
      </c>
      <c r="B533" t="s">
        <v>2237</v>
      </c>
      <c r="C533" t="s">
        <v>151</v>
      </c>
      <c r="D533" t="s">
        <v>81</v>
      </c>
      <c r="E533" t="s">
        <v>163</v>
      </c>
      <c r="F533" t="s">
        <v>7284</v>
      </c>
      <c r="G533" t="s">
        <v>6294</v>
      </c>
      <c r="H533" t="s">
        <v>2236</v>
      </c>
      <c r="L533" t="s">
        <v>7284</v>
      </c>
      <c r="N533" t="s">
        <v>7284</v>
      </c>
      <c r="O533" t="s">
        <v>7</v>
      </c>
      <c r="P533" t="s">
        <v>2238</v>
      </c>
      <c r="Q533" t="s">
        <v>2239</v>
      </c>
      <c r="R533" s="27" t="s">
        <v>7281</v>
      </c>
      <c r="T533" t="s">
        <v>119</v>
      </c>
    </row>
    <row r="534" spans="1:20" ht="15" customHeight="1" x14ac:dyDescent="0.4">
      <c r="A534" t="s">
        <v>2241</v>
      </c>
      <c r="B534" t="s">
        <v>2241</v>
      </c>
      <c r="C534" t="s">
        <v>151</v>
      </c>
      <c r="D534" t="s">
        <v>81</v>
      </c>
      <c r="E534" t="s">
        <v>163</v>
      </c>
      <c r="F534" t="s">
        <v>7285</v>
      </c>
      <c r="G534" t="s">
        <v>6294</v>
      </c>
      <c r="H534" t="s">
        <v>2240</v>
      </c>
      <c r="L534" t="s">
        <v>7285</v>
      </c>
      <c r="N534" t="s">
        <v>7285</v>
      </c>
      <c r="O534" t="s">
        <v>7</v>
      </c>
      <c r="P534" t="s">
        <v>2242</v>
      </c>
      <c r="Q534" t="s">
        <v>2243</v>
      </c>
      <c r="R534" s="27" t="s">
        <v>7281</v>
      </c>
      <c r="T534" t="s">
        <v>119</v>
      </c>
    </row>
    <row r="535" spans="1:20" ht="15" customHeight="1" x14ac:dyDescent="0.4">
      <c r="A535" t="s">
        <v>2245</v>
      </c>
      <c r="B535" t="s">
        <v>2245</v>
      </c>
      <c r="C535" t="s">
        <v>151</v>
      </c>
      <c r="D535" t="s">
        <v>81</v>
      </c>
      <c r="E535" t="s">
        <v>163</v>
      </c>
      <c r="F535" t="s">
        <v>7286</v>
      </c>
      <c r="G535" t="s">
        <v>6294</v>
      </c>
      <c r="H535" t="s">
        <v>2244</v>
      </c>
      <c r="L535" t="s">
        <v>7286</v>
      </c>
      <c r="N535" t="s">
        <v>7286</v>
      </c>
      <c r="O535" t="s">
        <v>7</v>
      </c>
      <c r="P535" t="s">
        <v>2246</v>
      </c>
      <c r="Q535" t="s">
        <v>2247</v>
      </c>
      <c r="R535" s="27" t="s">
        <v>7281</v>
      </c>
      <c r="T535" t="s">
        <v>119</v>
      </c>
    </row>
    <row r="536" spans="1:20" ht="15" customHeight="1" x14ac:dyDescent="0.4">
      <c r="A536" t="s">
        <v>2249</v>
      </c>
      <c r="B536" t="s">
        <v>2249</v>
      </c>
      <c r="C536" t="s">
        <v>151</v>
      </c>
      <c r="D536" t="s">
        <v>81</v>
      </c>
      <c r="E536" t="s">
        <v>163</v>
      </c>
      <c r="F536" t="s">
        <v>7287</v>
      </c>
      <c r="G536" t="s">
        <v>6294</v>
      </c>
      <c r="H536" t="s">
        <v>2248</v>
      </c>
      <c r="L536" t="s">
        <v>7287</v>
      </c>
      <c r="N536" t="s">
        <v>7287</v>
      </c>
      <c r="O536" t="s">
        <v>7</v>
      </c>
      <c r="P536" t="s">
        <v>2250</v>
      </c>
      <c r="Q536" t="s">
        <v>2251</v>
      </c>
      <c r="R536" s="27" t="s">
        <v>7273</v>
      </c>
      <c r="T536" t="s">
        <v>119</v>
      </c>
    </row>
    <row r="537" spans="1:20" ht="15" customHeight="1" x14ac:dyDescent="0.4">
      <c r="A537" t="s">
        <v>2253</v>
      </c>
      <c r="B537" t="s">
        <v>2253</v>
      </c>
      <c r="C537" t="s">
        <v>151</v>
      </c>
      <c r="D537" t="s">
        <v>81</v>
      </c>
      <c r="E537" t="s">
        <v>163</v>
      </c>
      <c r="F537" t="s">
        <v>7288</v>
      </c>
      <c r="G537" t="s">
        <v>6294</v>
      </c>
      <c r="H537" t="s">
        <v>2252</v>
      </c>
      <c r="L537" t="s">
        <v>7288</v>
      </c>
      <c r="N537" t="s">
        <v>7288</v>
      </c>
      <c r="O537" t="s">
        <v>7</v>
      </c>
      <c r="P537" t="s">
        <v>2254</v>
      </c>
      <c r="Q537" t="s">
        <v>2255</v>
      </c>
      <c r="R537" s="27" t="s">
        <v>7289</v>
      </c>
      <c r="T537" t="s">
        <v>119</v>
      </c>
    </row>
    <row r="538" spans="1:20" ht="15" customHeight="1" x14ac:dyDescent="0.4">
      <c r="A538" t="s">
        <v>2257</v>
      </c>
      <c r="B538" t="s">
        <v>2257</v>
      </c>
      <c r="C538" t="s">
        <v>151</v>
      </c>
      <c r="D538" t="s">
        <v>81</v>
      </c>
      <c r="E538" t="s">
        <v>163</v>
      </c>
      <c r="F538" t="s">
        <v>7290</v>
      </c>
      <c r="G538" t="s">
        <v>6294</v>
      </c>
      <c r="H538" t="s">
        <v>2256</v>
      </c>
      <c r="L538" t="s">
        <v>7290</v>
      </c>
      <c r="N538" t="s">
        <v>7290</v>
      </c>
      <c r="O538" t="s">
        <v>7</v>
      </c>
      <c r="P538" t="s">
        <v>2258</v>
      </c>
      <c r="Q538" t="s">
        <v>2259</v>
      </c>
      <c r="R538" s="27" t="s">
        <v>7281</v>
      </c>
      <c r="T538" t="s">
        <v>119</v>
      </c>
    </row>
    <row r="539" spans="1:20" ht="15" customHeight="1" x14ac:dyDescent="0.4">
      <c r="A539" t="s">
        <v>2261</v>
      </c>
      <c r="B539" t="s">
        <v>2261</v>
      </c>
      <c r="C539" t="s">
        <v>151</v>
      </c>
      <c r="D539" t="s">
        <v>81</v>
      </c>
      <c r="E539" t="s">
        <v>163</v>
      </c>
      <c r="F539" t="s">
        <v>7291</v>
      </c>
      <c r="G539" t="s">
        <v>6294</v>
      </c>
      <c r="H539" t="s">
        <v>2260</v>
      </c>
      <c r="L539" t="s">
        <v>7291</v>
      </c>
      <c r="N539" t="s">
        <v>7291</v>
      </c>
      <c r="O539" t="s">
        <v>7</v>
      </c>
      <c r="P539" t="s">
        <v>2262</v>
      </c>
      <c r="Q539" t="s">
        <v>2263</v>
      </c>
      <c r="R539" s="27" t="s">
        <v>7275</v>
      </c>
      <c r="T539" t="s">
        <v>119</v>
      </c>
    </row>
    <row r="540" spans="1:20" ht="15" customHeight="1" x14ac:dyDescent="0.4">
      <c r="A540" t="s">
        <v>2265</v>
      </c>
      <c r="B540" t="s">
        <v>2265</v>
      </c>
      <c r="C540" t="s">
        <v>151</v>
      </c>
      <c r="D540" t="s">
        <v>81</v>
      </c>
      <c r="E540" t="s">
        <v>163</v>
      </c>
      <c r="F540" t="s">
        <v>7292</v>
      </c>
      <c r="G540" t="s">
        <v>6294</v>
      </c>
      <c r="H540" t="s">
        <v>2264</v>
      </c>
      <c r="L540" t="s">
        <v>7292</v>
      </c>
      <c r="N540" t="s">
        <v>7292</v>
      </c>
      <c r="O540" t="s">
        <v>7</v>
      </c>
      <c r="P540" t="s">
        <v>2266</v>
      </c>
      <c r="Q540" t="s">
        <v>2267</v>
      </c>
      <c r="R540" s="27" t="s">
        <v>7273</v>
      </c>
      <c r="T540" t="s">
        <v>119</v>
      </c>
    </row>
    <row r="541" spans="1:20" ht="15" customHeight="1" x14ac:dyDescent="0.4">
      <c r="A541" t="s">
        <v>2269</v>
      </c>
      <c r="B541" t="s">
        <v>2269</v>
      </c>
      <c r="C541" t="s">
        <v>151</v>
      </c>
      <c r="D541" t="s">
        <v>81</v>
      </c>
      <c r="E541" t="s">
        <v>163</v>
      </c>
      <c r="F541" t="s">
        <v>7293</v>
      </c>
      <c r="G541" t="s">
        <v>6294</v>
      </c>
      <c r="H541" t="s">
        <v>2268</v>
      </c>
      <c r="L541" t="s">
        <v>7293</v>
      </c>
      <c r="N541" t="s">
        <v>7293</v>
      </c>
      <c r="O541" t="s">
        <v>7</v>
      </c>
      <c r="P541" t="s">
        <v>2270</v>
      </c>
      <c r="Q541" t="s">
        <v>2271</v>
      </c>
      <c r="R541" s="27" t="s">
        <v>7281</v>
      </c>
      <c r="T541" t="s">
        <v>119</v>
      </c>
    </row>
    <row r="542" spans="1:20" ht="15" customHeight="1" x14ac:dyDescent="0.4">
      <c r="A542" t="s">
        <v>2273</v>
      </c>
      <c r="B542" t="s">
        <v>2273</v>
      </c>
      <c r="C542" t="s">
        <v>151</v>
      </c>
      <c r="D542" t="s">
        <v>81</v>
      </c>
      <c r="E542" t="s">
        <v>163</v>
      </c>
      <c r="F542" t="s">
        <v>7294</v>
      </c>
      <c r="G542" t="s">
        <v>6294</v>
      </c>
      <c r="H542" t="s">
        <v>2272</v>
      </c>
      <c r="L542" t="s">
        <v>7294</v>
      </c>
      <c r="N542" t="s">
        <v>7294</v>
      </c>
      <c r="O542" t="s">
        <v>7</v>
      </c>
      <c r="P542" t="s">
        <v>2274</v>
      </c>
      <c r="Q542" t="s">
        <v>2275</v>
      </c>
      <c r="R542" s="27" t="s">
        <v>7289</v>
      </c>
      <c r="T542" t="s">
        <v>119</v>
      </c>
    </row>
    <row r="543" spans="1:20" ht="15" customHeight="1" x14ac:dyDescent="0.4">
      <c r="A543" t="s">
        <v>2277</v>
      </c>
      <c r="B543" t="s">
        <v>2277</v>
      </c>
      <c r="C543" t="s">
        <v>151</v>
      </c>
      <c r="D543" t="s">
        <v>81</v>
      </c>
      <c r="E543" t="s">
        <v>163</v>
      </c>
      <c r="F543" t="s">
        <v>7295</v>
      </c>
      <c r="G543" t="s">
        <v>6294</v>
      </c>
      <c r="H543" t="s">
        <v>2276</v>
      </c>
      <c r="L543" t="s">
        <v>7295</v>
      </c>
      <c r="N543" t="s">
        <v>7295</v>
      </c>
      <c r="O543" t="s">
        <v>7</v>
      </c>
      <c r="P543" t="s">
        <v>2278</v>
      </c>
      <c r="Q543" t="s">
        <v>2279</v>
      </c>
      <c r="R543" s="27" t="s">
        <v>7271</v>
      </c>
      <c r="T543" t="s">
        <v>119</v>
      </c>
    </row>
    <row r="544" spans="1:20" ht="15" customHeight="1" x14ac:dyDescent="0.4">
      <c r="A544" t="s">
        <v>2281</v>
      </c>
      <c r="B544" t="s">
        <v>2281</v>
      </c>
      <c r="C544" t="s">
        <v>151</v>
      </c>
      <c r="D544" t="s">
        <v>81</v>
      </c>
      <c r="E544" t="s">
        <v>163</v>
      </c>
      <c r="F544" t="s">
        <v>7296</v>
      </c>
      <c r="G544" t="s">
        <v>6294</v>
      </c>
      <c r="H544" t="s">
        <v>2280</v>
      </c>
      <c r="L544" t="s">
        <v>7296</v>
      </c>
      <c r="N544" t="s">
        <v>7296</v>
      </c>
      <c r="O544" t="s">
        <v>7</v>
      </c>
      <c r="P544" t="s">
        <v>2282</v>
      </c>
      <c r="Q544" t="s">
        <v>2283</v>
      </c>
      <c r="R544" s="27" t="s">
        <v>7275</v>
      </c>
      <c r="T544" t="s">
        <v>119</v>
      </c>
    </row>
    <row r="545" spans="1:20" ht="15" customHeight="1" x14ac:dyDescent="0.4">
      <c r="A545" t="s">
        <v>2285</v>
      </c>
      <c r="B545" t="s">
        <v>2285</v>
      </c>
      <c r="C545" t="s">
        <v>151</v>
      </c>
      <c r="D545" t="s">
        <v>81</v>
      </c>
      <c r="E545" t="s">
        <v>163</v>
      </c>
      <c r="F545" t="s">
        <v>7297</v>
      </c>
      <c r="G545" t="s">
        <v>6294</v>
      </c>
      <c r="H545" t="s">
        <v>2284</v>
      </c>
      <c r="L545" t="s">
        <v>7297</v>
      </c>
      <c r="N545" t="s">
        <v>7297</v>
      </c>
      <c r="O545" t="s">
        <v>7</v>
      </c>
      <c r="P545" t="s">
        <v>2286</v>
      </c>
      <c r="Q545" t="s">
        <v>2287</v>
      </c>
      <c r="R545" s="27" t="s">
        <v>7271</v>
      </c>
      <c r="T545" t="s">
        <v>119</v>
      </c>
    </row>
    <row r="546" spans="1:20" ht="15" customHeight="1" x14ac:dyDescent="0.4">
      <c r="A546" t="s">
        <v>2289</v>
      </c>
      <c r="B546" t="s">
        <v>2289</v>
      </c>
      <c r="C546" t="s">
        <v>151</v>
      </c>
      <c r="D546" t="s">
        <v>81</v>
      </c>
      <c r="E546" t="s">
        <v>163</v>
      </c>
      <c r="F546" t="s">
        <v>7298</v>
      </c>
      <c r="G546" t="s">
        <v>6294</v>
      </c>
      <c r="H546" t="s">
        <v>2288</v>
      </c>
      <c r="L546" t="s">
        <v>7298</v>
      </c>
      <c r="N546" t="s">
        <v>7298</v>
      </c>
      <c r="O546" t="s">
        <v>7</v>
      </c>
      <c r="P546" t="s">
        <v>2290</v>
      </c>
      <c r="Q546" t="s">
        <v>2291</v>
      </c>
      <c r="R546" s="27" t="s">
        <v>7281</v>
      </c>
      <c r="T546" t="s">
        <v>119</v>
      </c>
    </row>
    <row r="547" spans="1:20" ht="15" customHeight="1" x14ac:dyDescent="0.4">
      <c r="A547" t="s">
        <v>2293</v>
      </c>
      <c r="B547" t="s">
        <v>2293</v>
      </c>
      <c r="C547" t="s">
        <v>151</v>
      </c>
      <c r="D547" t="s">
        <v>81</v>
      </c>
      <c r="E547" t="s">
        <v>163</v>
      </c>
      <c r="F547" t="s">
        <v>7299</v>
      </c>
      <c r="G547" t="s">
        <v>6294</v>
      </c>
      <c r="H547" t="s">
        <v>2292</v>
      </c>
      <c r="L547" t="s">
        <v>7299</v>
      </c>
      <c r="N547" t="s">
        <v>7299</v>
      </c>
      <c r="O547" t="s">
        <v>7</v>
      </c>
      <c r="P547" t="s">
        <v>2294</v>
      </c>
      <c r="Q547" t="s">
        <v>2295</v>
      </c>
      <c r="R547" s="27" t="s">
        <v>7271</v>
      </c>
      <c r="T547" t="s">
        <v>119</v>
      </c>
    </row>
    <row r="548" spans="1:20" ht="15" customHeight="1" x14ac:dyDescent="0.4">
      <c r="A548" t="s">
        <v>2297</v>
      </c>
      <c r="B548" t="s">
        <v>2297</v>
      </c>
      <c r="C548" t="s">
        <v>151</v>
      </c>
      <c r="D548" t="s">
        <v>81</v>
      </c>
      <c r="E548" t="s">
        <v>163</v>
      </c>
      <c r="F548" t="s">
        <v>7300</v>
      </c>
      <c r="G548" t="s">
        <v>6294</v>
      </c>
      <c r="H548" t="s">
        <v>2296</v>
      </c>
      <c r="L548" t="s">
        <v>7300</v>
      </c>
      <c r="N548" t="s">
        <v>7300</v>
      </c>
      <c r="O548" t="s">
        <v>7</v>
      </c>
      <c r="P548" t="s">
        <v>2298</v>
      </c>
      <c r="Q548" t="s">
        <v>2299</v>
      </c>
      <c r="R548" s="27" t="s">
        <v>7271</v>
      </c>
      <c r="T548" t="s">
        <v>119</v>
      </c>
    </row>
    <row r="549" spans="1:20" ht="15" customHeight="1" x14ac:dyDescent="0.4">
      <c r="A549" t="s">
        <v>2301</v>
      </c>
      <c r="B549" t="s">
        <v>2301</v>
      </c>
      <c r="C549" t="s">
        <v>151</v>
      </c>
      <c r="D549" t="s">
        <v>81</v>
      </c>
      <c r="E549" t="s">
        <v>163</v>
      </c>
      <c r="F549" t="s">
        <v>7301</v>
      </c>
      <c r="G549" t="s">
        <v>6294</v>
      </c>
      <c r="H549" t="s">
        <v>2300</v>
      </c>
      <c r="L549" t="s">
        <v>7301</v>
      </c>
      <c r="N549" t="s">
        <v>7301</v>
      </c>
      <c r="O549" t="s">
        <v>7</v>
      </c>
      <c r="P549" t="s">
        <v>2302</v>
      </c>
      <c r="Q549" t="s">
        <v>2303</v>
      </c>
      <c r="R549" s="27" t="s">
        <v>7271</v>
      </c>
      <c r="T549" t="s">
        <v>119</v>
      </c>
    </row>
    <row r="550" spans="1:20" ht="15" customHeight="1" x14ac:dyDescent="0.4">
      <c r="A550" t="s">
        <v>2305</v>
      </c>
      <c r="B550" t="s">
        <v>2305</v>
      </c>
      <c r="C550" t="s">
        <v>151</v>
      </c>
      <c r="D550" t="s">
        <v>81</v>
      </c>
      <c r="E550" t="s">
        <v>163</v>
      </c>
      <c r="F550" t="s">
        <v>7302</v>
      </c>
      <c r="G550" t="s">
        <v>6294</v>
      </c>
      <c r="H550" t="s">
        <v>2304</v>
      </c>
      <c r="L550" t="s">
        <v>7302</v>
      </c>
      <c r="N550" t="s">
        <v>7302</v>
      </c>
      <c r="O550" t="s">
        <v>7</v>
      </c>
      <c r="P550" t="s">
        <v>2306</v>
      </c>
      <c r="Q550" t="s">
        <v>2307</v>
      </c>
      <c r="R550" s="27" t="s">
        <v>7303</v>
      </c>
      <c r="T550" t="s">
        <v>119</v>
      </c>
    </row>
    <row r="551" spans="1:20" ht="15" customHeight="1" x14ac:dyDescent="0.4">
      <c r="A551" t="s">
        <v>2309</v>
      </c>
      <c r="B551" t="s">
        <v>2309</v>
      </c>
      <c r="C551" t="s">
        <v>151</v>
      </c>
      <c r="D551" t="s">
        <v>81</v>
      </c>
      <c r="E551" t="s">
        <v>163</v>
      </c>
      <c r="F551" t="s">
        <v>7304</v>
      </c>
      <c r="G551" t="s">
        <v>6294</v>
      </c>
      <c r="H551" t="s">
        <v>2308</v>
      </c>
      <c r="L551" t="s">
        <v>7304</v>
      </c>
      <c r="N551" t="s">
        <v>7304</v>
      </c>
      <c r="O551" t="s">
        <v>7</v>
      </c>
      <c r="P551" t="s">
        <v>2310</v>
      </c>
      <c r="Q551" t="s">
        <v>2311</v>
      </c>
      <c r="R551" s="27" t="s">
        <v>7303</v>
      </c>
      <c r="T551" t="s">
        <v>119</v>
      </c>
    </row>
    <row r="552" spans="1:20" ht="15" customHeight="1" x14ac:dyDescent="0.4">
      <c r="A552" t="s">
        <v>2313</v>
      </c>
      <c r="B552" t="s">
        <v>2313</v>
      </c>
      <c r="C552" t="s">
        <v>151</v>
      </c>
      <c r="D552" t="s">
        <v>81</v>
      </c>
      <c r="E552" t="s">
        <v>163</v>
      </c>
      <c r="F552" t="s">
        <v>7305</v>
      </c>
      <c r="G552" t="s">
        <v>6294</v>
      </c>
      <c r="H552" t="s">
        <v>2312</v>
      </c>
      <c r="L552" t="s">
        <v>7305</v>
      </c>
      <c r="N552" t="s">
        <v>7305</v>
      </c>
      <c r="O552" t="s">
        <v>7</v>
      </c>
      <c r="P552" t="s">
        <v>2314</v>
      </c>
      <c r="Q552" t="s">
        <v>2315</v>
      </c>
      <c r="R552" s="27" t="s">
        <v>7303</v>
      </c>
      <c r="T552" t="s">
        <v>119</v>
      </c>
    </row>
    <row r="553" spans="1:20" ht="15" customHeight="1" x14ac:dyDescent="0.4">
      <c r="A553" t="s">
        <v>2317</v>
      </c>
      <c r="B553" t="s">
        <v>2317</v>
      </c>
      <c r="C553" t="s">
        <v>151</v>
      </c>
      <c r="D553" t="s">
        <v>81</v>
      </c>
      <c r="E553" t="s">
        <v>163</v>
      </c>
      <c r="F553" t="s">
        <v>7306</v>
      </c>
      <c r="G553" t="s">
        <v>6294</v>
      </c>
      <c r="H553" t="s">
        <v>2316</v>
      </c>
      <c r="L553" t="s">
        <v>7306</v>
      </c>
      <c r="N553" t="s">
        <v>7306</v>
      </c>
      <c r="O553" t="s">
        <v>7</v>
      </c>
      <c r="P553" t="s">
        <v>2318</v>
      </c>
      <c r="Q553" t="s">
        <v>2319</v>
      </c>
      <c r="R553" s="27" t="s">
        <v>7303</v>
      </c>
      <c r="T553" t="s">
        <v>119</v>
      </c>
    </row>
    <row r="554" spans="1:20" ht="15" customHeight="1" x14ac:dyDescent="0.4">
      <c r="A554" t="s">
        <v>2321</v>
      </c>
      <c r="B554" t="s">
        <v>2321</v>
      </c>
      <c r="C554" t="s">
        <v>151</v>
      </c>
      <c r="D554" t="s">
        <v>81</v>
      </c>
      <c r="E554" t="s">
        <v>163</v>
      </c>
      <c r="F554" t="s">
        <v>7307</v>
      </c>
      <c r="G554" t="s">
        <v>6294</v>
      </c>
      <c r="H554" t="s">
        <v>2320</v>
      </c>
      <c r="L554" t="s">
        <v>7307</v>
      </c>
      <c r="N554" t="s">
        <v>7307</v>
      </c>
      <c r="O554" t="s">
        <v>7</v>
      </c>
      <c r="P554" t="s">
        <v>2322</v>
      </c>
      <c r="Q554" t="s">
        <v>2323</v>
      </c>
      <c r="R554" s="27" t="s">
        <v>7303</v>
      </c>
      <c r="T554" t="s">
        <v>119</v>
      </c>
    </row>
    <row r="555" spans="1:20" ht="15" customHeight="1" x14ac:dyDescent="0.4">
      <c r="A555" t="s">
        <v>2325</v>
      </c>
      <c r="B555" t="s">
        <v>2325</v>
      </c>
      <c r="C555" t="s">
        <v>151</v>
      </c>
      <c r="D555" t="s">
        <v>81</v>
      </c>
      <c r="E555" t="s">
        <v>163</v>
      </c>
      <c r="F555" t="s">
        <v>7308</v>
      </c>
      <c r="G555" t="s">
        <v>6294</v>
      </c>
      <c r="H555" t="s">
        <v>2324</v>
      </c>
      <c r="L555" t="s">
        <v>7308</v>
      </c>
      <c r="N555" t="s">
        <v>7308</v>
      </c>
      <c r="O555" t="s">
        <v>7</v>
      </c>
      <c r="P555" t="s">
        <v>2326</v>
      </c>
      <c r="Q555" t="s">
        <v>2327</v>
      </c>
      <c r="R555" s="27" t="s">
        <v>7309</v>
      </c>
      <c r="T555" t="s">
        <v>119</v>
      </c>
    </row>
    <row r="556" spans="1:20" ht="15" customHeight="1" x14ac:dyDescent="0.4">
      <c r="A556" t="s">
        <v>2329</v>
      </c>
      <c r="B556" t="s">
        <v>2329</v>
      </c>
      <c r="C556" t="s">
        <v>151</v>
      </c>
      <c r="D556" t="s">
        <v>81</v>
      </c>
      <c r="E556" t="s">
        <v>163</v>
      </c>
      <c r="F556" t="s">
        <v>7310</v>
      </c>
      <c r="G556" t="s">
        <v>6294</v>
      </c>
      <c r="H556" t="s">
        <v>2328</v>
      </c>
      <c r="L556" t="s">
        <v>7310</v>
      </c>
      <c r="N556" t="s">
        <v>7310</v>
      </c>
      <c r="O556" t="s">
        <v>7</v>
      </c>
      <c r="P556" t="s">
        <v>2330</v>
      </c>
      <c r="Q556" t="s">
        <v>2331</v>
      </c>
      <c r="R556" s="27" t="s">
        <v>7311</v>
      </c>
      <c r="T556" t="s">
        <v>119</v>
      </c>
    </row>
    <row r="557" spans="1:20" ht="15" customHeight="1" x14ac:dyDescent="0.4">
      <c r="A557" t="s">
        <v>2333</v>
      </c>
      <c r="B557" t="s">
        <v>2333</v>
      </c>
      <c r="C557" t="s">
        <v>151</v>
      </c>
      <c r="D557" t="s">
        <v>81</v>
      </c>
      <c r="E557" t="s">
        <v>163</v>
      </c>
      <c r="F557" t="s">
        <v>7312</v>
      </c>
      <c r="G557" t="s">
        <v>6294</v>
      </c>
      <c r="H557" t="s">
        <v>2332</v>
      </c>
      <c r="L557" t="s">
        <v>7312</v>
      </c>
      <c r="N557" t="s">
        <v>7312</v>
      </c>
      <c r="O557" t="s">
        <v>7</v>
      </c>
      <c r="P557" t="s">
        <v>2334</v>
      </c>
      <c r="Q557" t="s">
        <v>2335</v>
      </c>
      <c r="R557" s="27" t="s">
        <v>7303</v>
      </c>
      <c r="T557" t="s">
        <v>119</v>
      </c>
    </row>
    <row r="558" spans="1:20" ht="15" customHeight="1" x14ac:dyDescent="0.4">
      <c r="A558" t="s">
        <v>2337</v>
      </c>
      <c r="B558" t="s">
        <v>2337</v>
      </c>
      <c r="C558" t="s">
        <v>151</v>
      </c>
      <c r="D558" t="s">
        <v>81</v>
      </c>
      <c r="E558" t="s">
        <v>163</v>
      </c>
      <c r="F558" t="s">
        <v>7313</v>
      </c>
      <c r="G558" t="s">
        <v>6294</v>
      </c>
      <c r="H558" t="s">
        <v>2336</v>
      </c>
      <c r="L558" t="s">
        <v>7313</v>
      </c>
      <c r="N558" t="s">
        <v>7313</v>
      </c>
      <c r="O558" t="s">
        <v>7</v>
      </c>
      <c r="P558" t="s">
        <v>2338</v>
      </c>
      <c r="Q558" t="s">
        <v>2339</v>
      </c>
      <c r="R558" s="27" t="s">
        <v>7303</v>
      </c>
      <c r="T558" t="s">
        <v>119</v>
      </c>
    </row>
    <row r="559" spans="1:20" ht="15" customHeight="1" x14ac:dyDescent="0.4">
      <c r="A559" t="s">
        <v>2341</v>
      </c>
      <c r="B559" t="s">
        <v>2341</v>
      </c>
      <c r="C559" t="s">
        <v>151</v>
      </c>
      <c r="D559" t="s">
        <v>81</v>
      </c>
      <c r="E559" t="s">
        <v>163</v>
      </c>
      <c r="F559" t="s">
        <v>7314</v>
      </c>
      <c r="G559" t="s">
        <v>6294</v>
      </c>
      <c r="H559" t="s">
        <v>2340</v>
      </c>
      <c r="L559" t="s">
        <v>7314</v>
      </c>
      <c r="N559" t="s">
        <v>7314</v>
      </c>
      <c r="O559" t="s">
        <v>7</v>
      </c>
      <c r="P559" t="s">
        <v>2342</v>
      </c>
      <c r="Q559" t="s">
        <v>2343</v>
      </c>
      <c r="R559" s="27" t="s">
        <v>7303</v>
      </c>
      <c r="T559" t="s">
        <v>119</v>
      </c>
    </row>
    <row r="560" spans="1:20" ht="15" customHeight="1" x14ac:dyDescent="0.4">
      <c r="A560" t="s">
        <v>2345</v>
      </c>
      <c r="B560" t="s">
        <v>2345</v>
      </c>
      <c r="C560" t="s">
        <v>151</v>
      </c>
      <c r="D560" t="s">
        <v>81</v>
      </c>
      <c r="E560" t="s">
        <v>163</v>
      </c>
      <c r="F560" t="s">
        <v>7315</v>
      </c>
      <c r="G560" t="s">
        <v>6294</v>
      </c>
      <c r="H560" t="s">
        <v>2344</v>
      </c>
      <c r="L560" t="s">
        <v>7315</v>
      </c>
      <c r="N560" t="s">
        <v>7315</v>
      </c>
      <c r="O560" t="s">
        <v>7</v>
      </c>
      <c r="P560" t="s">
        <v>2346</v>
      </c>
      <c r="Q560" t="s">
        <v>2347</v>
      </c>
      <c r="R560" s="27" t="s">
        <v>7303</v>
      </c>
      <c r="T560" t="s">
        <v>119</v>
      </c>
    </row>
    <row r="561" spans="1:20" ht="15" customHeight="1" x14ac:dyDescent="0.4">
      <c r="A561" t="s">
        <v>2349</v>
      </c>
      <c r="B561" t="s">
        <v>2349</v>
      </c>
      <c r="C561" t="s">
        <v>151</v>
      </c>
      <c r="D561" t="s">
        <v>81</v>
      </c>
      <c r="E561" t="s">
        <v>163</v>
      </c>
      <c r="F561" t="s">
        <v>7316</v>
      </c>
      <c r="G561" t="s">
        <v>6294</v>
      </c>
      <c r="H561" t="s">
        <v>2348</v>
      </c>
      <c r="L561" t="s">
        <v>7316</v>
      </c>
      <c r="N561" t="s">
        <v>7316</v>
      </c>
      <c r="O561" t="s">
        <v>7</v>
      </c>
      <c r="P561" t="s">
        <v>2350</v>
      </c>
      <c r="Q561" t="s">
        <v>2351</v>
      </c>
      <c r="R561" s="27" t="s">
        <v>7303</v>
      </c>
      <c r="T561" t="s">
        <v>119</v>
      </c>
    </row>
    <row r="562" spans="1:20" ht="15" customHeight="1" x14ac:dyDescent="0.4">
      <c r="A562" t="s">
        <v>2353</v>
      </c>
      <c r="B562" t="s">
        <v>2353</v>
      </c>
      <c r="C562" t="s">
        <v>151</v>
      </c>
      <c r="D562" t="s">
        <v>81</v>
      </c>
      <c r="E562" t="s">
        <v>163</v>
      </c>
      <c r="F562" t="s">
        <v>7317</v>
      </c>
      <c r="G562" t="s">
        <v>6294</v>
      </c>
      <c r="H562" t="s">
        <v>2352</v>
      </c>
      <c r="L562" t="s">
        <v>7317</v>
      </c>
      <c r="N562" t="s">
        <v>7317</v>
      </c>
      <c r="O562" t="s">
        <v>7</v>
      </c>
      <c r="P562" t="s">
        <v>2354</v>
      </c>
      <c r="Q562" t="s">
        <v>2355</v>
      </c>
      <c r="R562" s="27" t="s">
        <v>7318</v>
      </c>
      <c r="T562" t="s">
        <v>119</v>
      </c>
    </row>
    <row r="563" spans="1:20" ht="15" customHeight="1" x14ac:dyDescent="0.4">
      <c r="A563" t="s">
        <v>2357</v>
      </c>
      <c r="B563" t="s">
        <v>2357</v>
      </c>
      <c r="C563" t="s">
        <v>151</v>
      </c>
      <c r="D563" t="s">
        <v>81</v>
      </c>
      <c r="E563" t="s">
        <v>163</v>
      </c>
      <c r="F563" t="s">
        <v>7319</v>
      </c>
      <c r="G563" t="s">
        <v>6294</v>
      </c>
      <c r="H563" t="s">
        <v>2356</v>
      </c>
      <c r="L563" t="s">
        <v>7319</v>
      </c>
      <c r="N563" t="s">
        <v>7319</v>
      </c>
      <c r="O563" t="s">
        <v>7</v>
      </c>
      <c r="P563" t="s">
        <v>2358</v>
      </c>
      <c r="Q563" t="s">
        <v>2359</v>
      </c>
      <c r="R563" s="27" t="s">
        <v>7318</v>
      </c>
      <c r="T563" t="s">
        <v>119</v>
      </c>
    </row>
    <row r="564" spans="1:20" ht="15" customHeight="1" x14ac:dyDescent="0.4">
      <c r="A564" t="s">
        <v>2361</v>
      </c>
      <c r="B564" t="s">
        <v>2361</v>
      </c>
      <c r="C564" t="s">
        <v>151</v>
      </c>
      <c r="D564" t="s">
        <v>81</v>
      </c>
      <c r="E564" t="s">
        <v>163</v>
      </c>
      <c r="F564" t="s">
        <v>7320</v>
      </c>
      <c r="G564" t="s">
        <v>6294</v>
      </c>
      <c r="H564" t="s">
        <v>2360</v>
      </c>
      <c r="L564" t="s">
        <v>7320</v>
      </c>
      <c r="N564" t="s">
        <v>7320</v>
      </c>
      <c r="O564" t="s">
        <v>7</v>
      </c>
      <c r="P564" t="s">
        <v>2362</v>
      </c>
      <c r="Q564" t="s">
        <v>2363</v>
      </c>
      <c r="R564" s="27" t="s">
        <v>7311</v>
      </c>
      <c r="T564" t="s">
        <v>119</v>
      </c>
    </row>
    <row r="565" spans="1:20" ht="15" customHeight="1" x14ac:dyDescent="0.4">
      <c r="A565" t="s">
        <v>2365</v>
      </c>
      <c r="B565" t="s">
        <v>2365</v>
      </c>
      <c r="C565" t="s">
        <v>151</v>
      </c>
      <c r="D565" t="s">
        <v>81</v>
      </c>
      <c r="E565" t="s">
        <v>163</v>
      </c>
      <c r="F565" t="s">
        <v>7321</v>
      </c>
      <c r="G565" t="s">
        <v>6294</v>
      </c>
      <c r="H565" t="s">
        <v>2364</v>
      </c>
      <c r="L565" t="s">
        <v>7321</v>
      </c>
      <c r="N565" t="s">
        <v>7321</v>
      </c>
      <c r="O565" t="s">
        <v>7</v>
      </c>
      <c r="P565" t="s">
        <v>2366</v>
      </c>
      <c r="Q565" t="s">
        <v>2367</v>
      </c>
      <c r="R565" s="27" t="s">
        <v>7322</v>
      </c>
      <c r="T565" t="s">
        <v>119</v>
      </c>
    </row>
    <row r="566" spans="1:20" ht="15" customHeight="1" x14ac:dyDescent="0.4">
      <c r="A566" t="s">
        <v>2369</v>
      </c>
      <c r="B566" t="s">
        <v>2369</v>
      </c>
      <c r="C566" t="s">
        <v>151</v>
      </c>
      <c r="D566" t="s">
        <v>81</v>
      </c>
      <c r="E566" t="s">
        <v>163</v>
      </c>
      <c r="F566" t="s">
        <v>7323</v>
      </c>
      <c r="G566" t="s">
        <v>6294</v>
      </c>
      <c r="H566" t="s">
        <v>2368</v>
      </c>
      <c r="L566" t="s">
        <v>7323</v>
      </c>
      <c r="N566" t="s">
        <v>7323</v>
      </c>
      <c r="O566" t="s">
        <v>7</v>
      </c>
      <c r="P566" t="s">
        <v>2370</v>
      </c>
      <c r="Q566" t="s">
        <v>2371</v>
      </c>
      <c r="R566" s="27" t="s">
        <v>7324</v>
      </c>
      <c r="T566" t="s">
        <v>119</v>
      </c>
    </row>
    <row r="567" spans="1:20" ht="15" customHeight="1" x14ac:dyDescent="0.4">
      <c r="A567" t="s">
        <v>2373</v>
      </c>
      <c r="B567" t="s">
        <v>2373</v>
      </c>
      <c r="C567" t="s">
        <v>151</v>
      </c>
      <c r="D567" t="s">
        <v>81</v>
      </c>
      <c r="E567" t="s">
        <v>163</v>
      </c>
      <c r="F567" t="s">
        <v>7325</v>
      </c>
      <c r="G567" t="s">
        <v>6294</v>
      </c>
      <c r="H567" t="s">
        <v>2372</v>
      </c>
      <c r="L567" t="s">
        <v>7325</v>
      </c>
      <c r="N567" t="s">
        <v>7325</v>
      </c>
      <c r="O567" t="s">
        <v>7</v>
      </c>
      <c r="P567" t="s">
        <v>2374</v>
      </c>
      <c r="Q567" t="s">
        <v>2375</v>
      </c>
      <c r="R567" s="27" t="s">
        <v>7326</v>
      </c>
      <c r="T567" t="s">
        <v>119</v>
      </c>
    </row>
    <row r="568" spans="1:20" ht="15" customHeight="1" x14ac:dyDescent="0.4">
      <c r="A568" t="s">
        <v>2377</v>
      </c>
      <c r="B568" t="s">
        <v>2377</v>
      </c>
      <c r="C568" t="s">
        <v>151</v>
      </c>
      <c r="D568" t="s">
        <v>81</v>
      </c>
      <c r="E568" t="s">
        <v>163</v>
      </c>
      <c r="F568" t="s">
        <v>7327</v>
      </c>
      <c r="G568" t="s">
        <v>6294</v>
      </c>
      <c r="H568" t="s">
        <v>2376</v>
      </c>
      <c r="L568" t="s">
        <v>7327</v>
      </c>
      <c r="N568" t="s">
        <v>7327</v>
      </c>
      <c r="O568" t="s">
        <v>7</v>
      </c>
      <c r="P568" t="s">
        <v>2378</v>
      </c>
      <c r="Q568" t="s">
        <v>2379</v>
      </c>
      <c r="R568" s="27" t="s">
        <v>7328</v>
      </c>
      <c r="T568" t="s">
        <v>119</v>
      </c>
    </row>
    <row r="569" spans="1:20" ht="15" customHeight="1" x14ac:dyDescent="0.4">
      <c r="A569" t="s">
        <v>2381</v>
      </c>
      <c r="B569" t="s">
        <v>2381</v>
      </c>
      <c r="C569" t="s">
        <v>151</v>
      </c>
      <c r="D569" t="s">
        <v>81</v>
      </c>
      <c r="E569" t="s">
        <v>163</v>
      </c>
      <c r="F569" t="s">
        <v>7329</v>
      </c>
      <c r="G569" t="s">
        <v>6294</v>
      </c>
      <c r="H569" t="s">
        <v>2380</v>
      </c>
      <c r="L569" t="s">
        <v>7329</v>
      </c>
      <c r="N569" t="s">
        <v>7329</v>
      </c>
      <c r="O569" t="s">
        <v>7</v>
      </c>
      <c r="P569" t="s">
        <v>2382</v>
      </c>
      <c r="Q569" t="s">
        <v>2383</v>
      </c>
      <c r="R569" s="27" t="s">
        <v>7330</v>
      </c>
      <c r="T569" t="s">
        <v>119</v>
      </c>
    </row>
    <row r="570" spans="1:20" ht="15" customHeight="1" x14ac:dyDescent="0.4">
      <c r="A570" t="s">
        <v>2385</v>
      </c>
      <c r="B570" t="s">
        <v>2385</v>
      </c>
      <c r="C570" t="s">
        <v>151</v>
      </c>
      <c r="D570" t="s">
        <v>81</v>
      </c>
      <c r="E570" t="s">
        <v>163</v>
      </c>
      <c r="F570" t="s">
        <v>7331</v>
      </c>
      <c r="G570" t="s">
        <v>6294</v>
      </c>
      <c r="H570" t="s">
        <v>2384</v>
      </c>
      <c r="L570" t="s">
        <v>7331</v>
      </c>
      <c r="N570" t="s">
        <v>7331</v>
      </c>
      <c r="O570" t="s">
        <v>7</v>
      </c>
      <c r="P570" t="s">
        <v>2386</v>
      </c>
      <c r="Q570" t="s">
        <v>2387</v>
      </c>
      <c r="R570" s="27" t="s">
        <v>7332</v>
      </c>
      <c r="T570" t="s">
        <v>119</v>
      </c>
    </row>
    <row r="571" spans="1:20" ht="15" customHeight="1" x14ac:dyDescent="0.4">
      <c r="A571" t="s">
        <v>2389</v>
      </c>
      <c r="B571" t="s">
        <v>2389</v>
      </c>
      <c r="C571" t="s">
        <v>151</v>
      </c>
      <c r="D571" t="s">
        <v>81</v>
      </c>
      <c r="E571" t="s">
        <v>163</v>
      </c>
      <c r="F571" t="s">
        <v>7333</v>
      </c>
      <c r="G571" t="s">
        <v>6294</v>
      </c>
      <c r="H571" t="s">
        <v>2388</v>
      </c>
      <c r="L571" t="s">
        <v>7333</v>
      </c>
      <c r="N571" t="s">
        <v>7333</v>
      </c>
      <c r="O571" t="s">
        <v>7</v>
      </c>
      <c r="P571" t="s">
        <v>2390</v>
      </c>
      <c r="Q571" t="s">
        <v>2391</v>
      </c>
      <c r="R571" s="27" t="s">
        <v>7334</v>
      </c>
      <c r="T571" t="s">
        <v>119</v>
      </c>
    </row>
    <row r="572" spans="1:20" ht="15" customHeight="1" x14ac:dyDescent="0.4">
      <c r="A572" t="s">
        <v>2393</v>
      </c>
      <c r="B572" t="s">
        <v>2393</v>
      </c>
      <c r="C572" t="s">
        <v>151</v>
      </c>
      <c r="D572" t="s">
        <v>81</v>
      </c>
      <c r="E572" t="s">
        <v>163</v>
      </c>
      <c r="F572" t="s">
        <v>7335</v>
      </c>
      <c r="G572" t="s">
        <v>6294</v>
      </c>
      <c r="H572" t="s">
        <v>2392</v>
      </c>
      <c r="L572" t="s">
        <v>7335</v>
      </c>
      <c r="N572" t="s">
        <v>7335</v>
      </c>
      <c r="O572" t="s">
        <v>7</v>
      </c>
      <c r="P572" t="s">
        <v>2394</v>
      </c>
      <c r="Q572" t="s">
        <v>2395</v>
      </c>
      <c r="R572" s="27" t="s">
        <v>7336</v>
      </c>
      <c r="T572" t="s">
        <v>119</v>
      </c>
    </row>
    <row r="573" spans="1:20" ht="15" customHeight="1" x14ac:dyDescent="0.4">
      <c r="A573" t="s">
        <v>2397</v>
      </c>
      <c r="B573" t="s">
        <v>2397</v>
      </c>
      <c r="C573" t="s">
        <v>151</v>
      </c>
      <c r="D573" t="s">
        <v>81</v>
      </c>
      <c r="E573" t="s">
        <v>163</v>
      </c>
      <c r="F573" t="s">
        <v>7337</v>
      </c>
      <c r="G573" t="s">
        <v>6294</v>
      </c>
      <c r="H573" t="s">
        <v>2396</v>
      </c>
      <c r="L573" t="s">
        <v>7337</v>
      </c>
      <c r="N573" t="s">
        <v>7337</v>
      </c>
      <c r="O573" t="s">
        <v>7</v>
      </c>
      <c r="P573" t="s">
        <v>2398</v>
      </c>
      <c r="Q573" t="s">
        <v>2399</v>
      </c>
      <c r="R573" s="27" t="s">
        <v>7338</v>
      </c>
      <c r="T573" t="s">
        <v>119</v>
      </c>
    </row>
    <row r="574" spans="1:20" ht="15" customHeight="1" x14ac:dyDescent="0.4">
      <c r="A574" t="s">
        <v>2401</v>
      </c>
      <c r="B574" t="s">
        <v>2401</v>
      </c>
      <c r="C574" t="s">
        <v>151</v>
      </c>
      <c r="D574" t="s">
        <v>81</v>
      </c>
      <c r="E574" t="s">
        <v>163</v>
      </c>
      <c r="F574" t="s">
        <v>7339</v>
      </c>
      <c r="G574" t="s">
        <v>6294</v>
      </c>
      <c r="H574" t="s">
        <v>2400</v>
      </c>
      <c r="L574" t="s">
        <v>7339</v>
      </c>
      <c r="N574" t="s">
        <v>7339</v>
      </c>
      <c r="O574" t="s">
        <v>7</v>
      </c>
      <c r="P574" t="s">
        <v>2402</v>
      </c>
      <c r="Q574" t="s">
        <v>2403</v>
      </c>
      <c r="R574" s="27" t="s">
        <v>7340</v>
      </c>
      <c r="T574" t="s">
        <v>119</v>
      </c>
    </row>
    <row r="575" spans="1:20" ht="15" customHeight="1" x14ac:dyDescent="0.4">
      <c r="A575" t="s">
        <v>2405</v>
      </c>
      <c r="B575" t="s">
        <v>2405</v>
      </c>
      <c r="C575" t="s">
        <v>151</v>
      </c>
      <c r="D575" t="s">
        <v>81</v>
      </c>
      <c r="E575" t="s">
        <v>163</v>
      </c>
      <c r="F575" t="s">
        <v>7341</v>
      </c>
      <c r="G575" t="s">
        <v>6294</v>
      </c>
      <c r="H575" t="s">
        <v>2404</v>
      </c>
      <c r="L575" t="s">
        <v>7341</v>
      </c>
      <c r="N575" t="s">
        <v>7341</v>
      </c>
      <c r="O575" t="s">
        <v>7</v>
      </c>
      <c r="P575" t="s">
        <v>2406</v>
      </c>
      <c r="Q575" t="s">
        <v>2407</v>
      </c>
      <c r="R575" s="27" t="s">
        <v>7342</v>
      </c>
      <c r="T575" t="s">
        <v>119</v>
      </c>
    </row>
    <row r="576" spans="1:20" ht="15" customHeight="1" x14ac:dyDescent="0.4">
      <c r="A576" t="s">
        <v>2409</v>
      </c>
      <c r="B576" t="s">
        <v>2409</v>
      </c>
      <c r="C576" t="s">
        <v>151</v>
      </c>
      <c r="D576" t="s">
        <v>81</v>
      </c>
      <c r="E576" t="s">
        <v>163</v>
      </c>
      <c r="F576" t="s">
        <v>7343</v>
      </c>
      <c r="G576" t="s">
        <v>6294</v>
      </c>
      <c r="H576" t="s">
        <v>2408</v>
      </c>
      <c r="L576" t="s">
        <v>7343</v>
      </c>
      <c r="N576" t="s">
        <v>7343</v>
      </c>
      <c r="O576" t="s">
        <v>7</v>
      </c>
      <c r="P576" t="s">
        <v>2410</v>
      </c>
      <c r="Q576" t="s">
        <v>2411</v>
      </c>
      <c r="R576" s="27" t="s">
        <v>7342</v>
      </c>
      <c r="T576" t="s">
        <v>119</v>
      </c>
    </row>
    <row r="577" spans="1:20" ht="15" customHeight="1" x14ac:dyDescent="0.4">
      <c r="A577" t="s">
        <v>2413</v>
      </c>
      <c r="B577" t="s">
        <v>2413</v>
      </c>
      <c r="C577" t="s">
        <v>151</v>
      </c>
      <c r="D577" t="s">
        <v>81</v>
      </c>
      <c r="E577" t="s">
        <v>163</v>
      </c>
      <c r="F577" t="s">
        <v>7344</v>
      </c>
      <c r="G577" t="s">
        <v>6294</v>
      </c>
      <c r="H577" t="s">
        <v>2412</v>
      </c>
      <c r="L577" t="s">
        <v>7344</v>
      </c>
      <c r="N577" t="s">
        <v>7344</v>
      </c>
      <c r="O577" t="s">
        <v>7</v>
      </c>
      <c r="P577" t="s">
        <v>2414</v>
      </c>
      <c r="Q577" t="s">
        <v>2415</v>
      </c>
      <c r="R577" s="27" t="s">
        <v>7342</v>
      </c>
      <c r="T577" t="s">
        <v>119</v>
      </c>
    </row>
    <row r="578" spans="1:20" ht="15" customHeight="1" x14ac:dyDescent="0.4">
      <c r="A578" t="s">
        <v>2417</v>
      </c>
      <c r="B578" t="s">
        <v>2417</v>
      </c>
      <c r="C578" t="s">
        <v>151</v>
      </c>
      <c r="D578" t="s">
        <v>81</v>
      </c>
      <c r="E578" t="s">
        <v>163</v>
      </c>
      <c r="F578" t="s">
        <v>7345</v>
      </c>
      <c r="G578" t="s">
        <v>6294</v>
      </c>
      <c r="H578" t="s">
        <v>2416</v>
      </c>
      <c r="L578" t="s">
        <v>7345</v>
      </c>
      <c r="N578" t="s">
        <v>7345</v>
      </c>
      <c r="O578" t="s">
        <v>7</v>
      </c>
      <c r="P578" t="s">
        <v>2418</v>
      </c>
      <c r="Q578" t="s">
        <v>2419</v>
      </c>
      <c r="R578" s="27" t="s">
        <v>7342</v>
      </c>
      <c r="T578" t="s">
        <v>119</v>
      </c>
    </row>
    <row r="579" spans="1:20" ht="15" customHeight="1" x14ac:dyDescent="0.4">
      <c r="A579" t="s">
        <v>2421</v>
      </c>
      <c r="B579" t="s">
        <v>2421</v>
      </c>
      <c r="C579" t="s">
        <v>151</v>
      </c>
      <c r="D579" t="s">
        <v>81</v>
      </c>
      <c r="E579" t="s">
        <v>163</v>
      </c>
      <c r="F579" t="s">
        <v>7346</v>
      </c>
      <c r="G579" t="s">
        <v>6294</v>
      </c>
      <c r="H579" t="s">
        <v>2420</v>
      </c>
      <c r="L579" t="s">
        <v>7346</v>
      </c>
      <c r="N579" t="s">
        <v>7346</v>
      </c>
      <c r="O579" t="s">
        <v>7</v>
      </c>
      <c r="P579" t="s">
        <v>2422</v>
      </c>
      <c r="Q579" t="s">
        <v>2423</v>
      </c>
      <c r="R579" s="27" t="s">
        <v>7336</v>
      </c>
      <c r="T579" t="s">
        <v>119</v>
      </c>
    </row>
    <row r="580" spans="1:20" ht="15" customHeight="1" x14ac:dyDescent="0.4">
      <c r="A580" t="s">
        <v>2425</v>
      </c>
      <c r="B580" t="s">
        <v>2425</v>
      </c>
      <c r="C580" t="s">
        <v>151</v>
      </c>
      <c r="D580" t="s">
        <v>81</v>
      </c>
      <c r="E580" t="s">
        <v>163</v>
      </c>
      <c r="F580" t="s">
        <v>7347</v>
      </c>
      <c r="G580" t="s">
        <v>6294</v>
      </c>
      <c r="H580" t="s">
        <v>2424</v>
      </c>
      <c r="L580" t="s">
        <v>7347</v>
      </c>
      <c r="N580" t="s">
        <v>7347</v>
      </c>
      <c r="O580" t="s">
        <v>7</v>
      </c>
      <c r="P580" t="s">
        <v>2426</v>
      </c>
      <c r="Q580" t="s">
        <v>2427</v>
      </c>
      <c r="R580" s="27" t="s">
        <v>7342</v>
      </c>
      <c r="T580" t="s">
        <v>119</v>
      </c>
    </row>
    <row r="581" spans="1:20" ht="15" customHeight="1" x14ac:dyDescent="0.4">
      <c r="A581" t="s">
        <v>2429</v>
      </c>
      <c r="B581" t="s">
        <v>2429</v>
      </c>
      <c r="C581" t="s">
        <v>151</v>
      </c>
      <c r="D581" t="s">
        <v>81</v>
      </c>
      <c r="E581" t="s">
        <v>163</v>
      </c>
      <c r="F581" t="s">
        <v>7348</v>
      </c>
      <c r="G581" t="s">
        <v>6294</v>
      </c>
      <c r="H581" t="s">
        <v>2428</v>
      </c>
      <c r="L581" t="s">
        <v>7348</v>
      </c>
      <c r="N581" t="s">
        <v>7348</v>
      </c>
      <c r="O581" t="s">
        <v>7</v>
      </c>
      <c r="P581" t="s">
        <v>2430</v>
      </c>
      <c r="Q581" t="s">
        <v>2431</v>
      </c>
      <c r="R581" s="27" t="s">
        <v>7342</v>
      </c>
      <c r="T581" t="s">
        <v>119</v>
      </c>
    </row>
    <row r="582" spans="1:20" ht="15" customHeight="1" x14ac:dyDescent="0.4">
      <c r="A582" t="s">
        <v>2433</v>
      </c>
      <c r="B582" t="s">
        <v>2433</v>
      </c>
      <c r="C582" t="s">
        <v>151</v>
      </c>
      <c r="D582" t="s">
        <v>81</v>
      </c>
      <c r="E582" t="s">
        <v>163</v>
      </c>
      <c r="F582" t="s">
        <v>7349</v>
      </c>
      <c r="G582" t="s">
        <v>6294</v>
      </c>
      <c r="H582" t="s">
        <v>2432</v>
      </c>
      <c r="L582" t="s">
        <v>7349</v>
      </c>
      <c r="N582" t="s">
        <v>7349</v>
      </c>
      <c r="O582" t="s">
        <v>7</v>
      </c>
      <c r="P582" t="s">
        <v>2434</v>
      </c>
      <c r="Q582" t="s">
        <v>2435</v>
      </c>
      <c r="R582" s="27" t="s">
        <v>7336</v>
      </c>
      <c r="T582" t="s">
        <v>119</v>
      </c>
    </row>
    <row r="583" spans="1:20" ht="15" customHeight="1" x14ac:dyDescent="0.4">
      <c r="A583" t="s">
        <v>2437</v>
      </c>
      <c r="B583" t="s">
        <v>2437</v>
      </c>
      <c r="C583" t="s">
        <v>151</v>
      </c>
      <c r="D583" t="s">
        <v>81</v>
      </c>
      <c r="E583" t="s">
        <v>163</v>
      </c>
      <c r="F583" t="s">
        <v>7350</v>
      </c>
      <c r="G583" t="s">
        <v>6294</v>
      </c>
      <c r="H583" t="s">
        <v>2436</v>
      </c>
      <c r="L583" t="s">
        <v>7350</v>
      </c>
      <c r="N583" t="s">
        <v>7350</v>
      </c>
      <c r="O583" t="s">
        <v>7</v>
      </c>
      <c r="P583" t="s">
        <v>2438</v>
      </c>
      <c r="Q583" t="s">
        <v>2439</v>
      </c>
      <c r="R583" s="27" t="s">
        <v>7338</v>
      </c>
      <c r="T583" t="s">
        <v>119</v>
      </c>
    </row>
    <row r="584" spans="1:20" ht="15" customHeight="1" x14ac:dyDescent="0.4">
      <c r="A584" t="s">
        <v>2441</v>
      </c>
      <c r="B584" t="s">
        <v>2441</v>
      </c>
      <c r="C584" t="s">
        <v>151</v>
      </c>
      <c r="D584" t="s">
        <v>81</v>
      </c>
      <c r="E584" t="s">
        <v>163</v>
      </c>
      <c r="F584" t="s">
        <v>7351</v>
      </c>
      <c r="G584" t="s">
        <v>6294</v>
      </c>
      <c r="H584" t="s">
        <v>2440</v>
      </c>
      <c r="L584" t="s">
        <v>7351</v>
      </c>
      <c r="N584" t="s">
        <v>7351</v>
      </c>
      <c r="O584" t="s">
        <v>7</v>
      </c>
      <c r="P584" t="s">
        <v>2442</v>
      </c>
      <c r="Q584" t="s">
        <v>2443</v>
      </c>
      <c r="R584" s="27" t="s">
        <v>7338</v>
      </c>
      <c r="T584" t="s">
        <v>119</v>
      </c>
    </row>
    <row r="585" spans="1:20" ht="15" customHeight="1" x14ac:dyDescent="0.4">
      <c r="A585" t="s">
        <v>2445</v>
      </c>
      <c r="B585" t="s">
        <v>2445</v>
      </c>
      <c r="C585" t="s">
        <v>151</v>
      </c>
      <c r="D585" t="s">
        <v>81</v>
      </c>
      <c r="E585" t="s">
        <v>163</v>
      </c>
      <c r="F585" t="s">
        <v>7352</v>
      </c>
      <c r="G585" t="s">
        <v>6294</v>
      </c>
      <c r="H585" t="s">
        <v>2444</v>
      </c>
      <c r="L585" t="s">
        <v>7352</v>
      </c>
      <c r="N585" t="s">
        <v>7352</v>
      </c>
      <c r="O585" t="s">
        <v>7</v>
      </c>
      <c r="P585" t="s">
        <v>2446</v>
      </c>
      <c r="Q585" t="s">
        <v>2447</v>
      </c>
      <c r="R585" s="27" t="s">
        <v>7340</v>
      </c>
      <c r="T585" t="s">
        <v>119</v>
      </c>
    </row>
    <row r="586" spans="1:20" ht="15" customHeight="1" x14ac:dyDescent="0.4">
      <c r="A586" t="s">
        <v>2449</v>
      </c>
      <c r="B586" t="s">
        <v>2449</v>
      </c>
      <c r="C586" t="s">
        <v>151</v>
      </c>
      <c r="D586" t="s">
        <v>81</v>
      </c>
      <c r="E586" t="s">
        <v>163</v>
      </c>
      <c r="F586" t="s">
        <v>7353</v>
      </c>
      <c r="G586" t="s">
        <v>6294</v>
      </c>
      <c r="H586" t="s">
        <v>2448</v>
      </c>
      <c r="L586" t="s">
        <v>7353</v>
      </c>
      <c r="N586" t="s">
        <v>7353</v>
      </c>
      <c r="O586" t="s">
        <v>7</v>
      </c>
      <c r="P586" t="s">
        <v>2450</v>
      </c>
      <c r="Q586" t="s">
        <v>2451</v>
      </c>
      <c r="R586" s="27" t="s">
        <v>7338</v>
      </c>
      <c r="T586" t="s">
        <v>119</v>
      </c>
    </row>
    <row r="587" spans="1:20" ht="15" customHeight="1" x14ac:dyDescent="0.4">
      <c r="A587" t="s">
        <v>2453</v>
      </c>
      <c r="B587" t="s">
        <v>2453</v>
      </c>
      <c r="C587" t="s">
        <v>151</v>
      </c>
      <c r="D587" t="s">
        <v>81</v>
      </c>
      <c r="E587" t="s">
        <v>163</v>
      </c>
      <c r="F587" t="s">
        <v>7354</v>
      </c>
      <c r="G587" t="s">
        <v>6294</v>
      </c>
      <c r="H587" t="s">
        <v>2452</v>
      </c>
      <c r="L587" t="s">
        <v>7354</v>
      </c>
      <c r="N587" t="s">
        <v>7354</v>
      </c>
      <c r="O587" t="s">
        <v>7</v>
      </c>
      <c r="P587" t="s">
        <v>2454</v>
      </c>
      <c r="Q587" t="s">
        <v>2455</v>
      </c>
      <c r="R587" s="27" t="s">
        <v>7336</v>
      </c>
      <c r="T587" t="s">
        <v>119</v>
      </c>
    </row>
    <row r="588" spans="1:20" ht="15" customHeight="1" x14ac:dyDescent="0.4">
      <c r="A588" t="s">
        <v>2457</v>
      </c>
      <c r="B588" t="s">
        <v>2457</v>
      </c>
      <c r="C588" t="s">
        <v>151</v>
      </c>
      <c r="D588" t="s">
        <v>81</v>
      </c>
      <c r="E588" t="s">
        <v>163</v>
      </c>
      <c r="F588" t="s">
        <v>7355</v>
      </c>
      <c r="G588" t="s">
        <v>6294</v>
      </c>
      <c r="H588" t="s">
        <v>2456</v>
      </c>
      <c r="L588" t="s">
        <v>7355</v>
      </c>
      <c r="N588" t="s">
        <v>7355</v>
      </c>
      <c r="O588" t="s">
        <v>7</v>
      </c>
      <c r="P588" t="s">
        <v>2458</v>
      </c>
      <c r="Q588" t="s">
        <v>2459</v>
      </c>
      <c r="R588" s="27" t="s">
        <v>7342</v>
      </c>
      <c r="T588" t="s">
        <v>119</v>
      </c>
    </row>
    <row r="589" spans="1:20" ht="15" customHeight="1" x14ac:dyDescent="0.4">
      <c r="A589" t="s">
        <v>2461</v>
      </c>
      <c r="B589" t="s">
        <v>2461</v>
      </c>
      <c r="C589" t="s">
        <v>151</v>
      </c>
      <c r="D589" t="s">
        <v>81</v>
      </c>
      <c r="E589" t="s">
        <v>163</v>
      </c>
      <c r="F589" t="s">
        <v>7356</v>
      </c>
      <c r="G589" t="s">
        <v>6294</v>
      </c>
      <c r="H589" t="s">
        <v>2460</v>
      </c>
      <c r="L589" t="s">
        <v>7356</v>
      </c>
      <c r="N589" t="s">
        <v>7356</v>
      </c>
      <c r="O589" t="s">
        <v>7</v>
      </c>
      <c r="P589" t="s">
        <v>2462</v>
      </c>
      <c r="Q589" t="s">
        <v>2463</v>
      </c>
      <c r="R589" s="27" t="s">
        <v>7357</v>
      </c>
      <c r="T589" t="s">
        <v>119</v>
      </c>
    </row>
    <row r="590" spans="1:20" ht="15" customHeight="1" x14ac:dyDescent="0.4">
      <c r="A590" t="s">
        <v>2465</v>
      </c>
      <c r="B590" t="s">
        <v>2465</v>
      </c>
      <c r="C590" t="s">
        <v>151</v>
      </c>
      <c r="D590" t="s">
        <v>81</v>
      </c>
      <c r="E590" t="s">
        <v>163</v>
      </c>
      <c r="F590" t="s">
        <v>7358</v>
      </c>
      <c r="G590" t="s">
        <v>6294</v>
      </c>
      <c r="H590" t="s">
        <v>2464</v>
      </c>
      <c r="L590" t="s">
        <v>7358</v>
      </c>
      <c r="N590" t="s">
        <v>7358</v>
      </c>
      <c r="O590" t="s">
        <v>7</v>
      </c>
      <c r="P590" t="s">
        <v>2466</v>
      </c>
      <c r="Q590" t="s">
        <v>2467</v>
      </c>
      <c r="R590" s="27" t="s">
        <v>7336</v>
      </c>
      <c r="T590" t="s">
        <v>119</v>
      </c>
    </row>
    <row r="591" spans="1:20" ht="15" customHeight="1" x14ac:dyDescent="0.4">
      <c r="A591" t="s">
        <v>2469</v>
      </c>
      <c r="B591" t="s">
        <v>2469</v>
      </c>
      <c r="C591" t="s">
        <v>151</v>
      </c>
      <c r="D591" t="s">
        <v>81</v>
      </c>
      <c r="E591" t="s">
        <v>163</v>
      </c>
      <c r="F591" t="s">
        <v>7359</v>
      </c>
      <c r="G591" t="s">
        <v>6294</v>
      </c>
      <c r="H591" t="s">
        <v>2468</v>
      </c>
      <c r="L591" t="s">
        <v>7359</v>
      </c>
      <c r="N591" t="s">
        <v>7359</v>
      </c>
      <c r="O591" t="s">
        <v>7</v>
      </c>
      <c r="P591" t="s">
        <v>2470</v>
      </c>
      <c r="Q591" t="s">
        <v>2471</v>
      </c>
      <c r="R591" s="27" t="s">
        <v>7342</v>
      </c>
      <c r="T591" t="s">
        <v>119</v>
      </c>
    </row>
    <row r="592" spans="1:20" ht="15" customHeight="1" x14ac:dyDescent="0.4">
      <c r="A592" t="s">
        <v>2473</v>
      </c>
      <c r="B592" t="s">
        <v>2473</v>
      </c>
      <c r="C592" t="s">
        <v>151</v>
      </c>
      <c r="D592" t="s">
        <v>81</v>
      </c>
      <c r="E592" t="s">
        <v>163</v>
      </c>
      <c r="F592" t="s">
        <v>7360</v>
      </c>
      <c r="G592" t="s">
        <v>6294</v>
      </c>
      <c r="H592" t="s">
        <v>2472</v>
      </c>
      <c r="L592" t="s">
        <v>7360</v>
      </c>
      <c r="N592" t="s">
        <v>7360</v>
      </c>
      <c r="O592" t="s">
        <v>7</v>
      </c>
      <c r="P592" t="s">
        <v>2474</v>
      </c>
      <c r="Q592" t="s">
        <v>2475</v>
      </c>
      <c r="R592" s="27" t="s">
        <v>7340</v>
      </c>
      <c r="T592" t="s">
        <v>119</v>
      </c>
    </row>
    <row r="593" spans="1:20" ht="15" customHeight="1" x14ac:dyDescent="0.4">
      <c r="A593" t="s">
        <v>2477</v>
      </c>
      <c r="B593" t="s">
        <v>2477</v>
      </c>
      <c r="C593" t="s">
        <v>151</v>
      </c>
      <c r="D593" t="s">
        <v>81</v>
      </c>
      <c r="E593" t="s">
        <v>163</v>
      </c>
      <c r="F593" t="s">
        <v>7361</v>
      </c>
      <c r="G593" t="s">
        <v>6294</v>
      </c>
      <c r="H593" t="s">
        <v>2476</v>
      </c>
      <c r="L593" t="s">
        <v>7361</v>
      </c>
      <c r="N593" t="s">
        <v>7361</v>
      </c>
      <c r="O593" t="s">
        <v>7</v>
      </c>
      <c r="P593" t="s">
        <v>2478</v>
      </c>
      <c r="Q593" t="s">
        <v>2479</v>
      </c>
      <c r="R593" s="27" t="s">
        <v>7336</v>
      </c>
      <c r="T593" t="s">
        <v>119</v>
      </c>
    </row>
    <row r="594" spans="1:20" ht="15" customHeight="1" x14ac:dyDescent="0.4">
      <c r="A594" t="s">
        <v>2481</v>
      </c>
      <c r="B594" t="s">
        <v>2481</v>
      </c>
      <c r="C594" t="s">
        <v>151</v>
      </c>
      <c r="D594" t="s">
        <v>81</v>
      </c>
      <c r="E594" t="s">
        <v>163</v>
      </c>
      <c r="F594" t="s">
        <v>7362</v>
      </c>
      <c r="G594" t="s">
        <v>6294</v>
      </c>
      <c r="H594" t="s">
        <v>2480</v>
      </c>
      <c r="L594" t="s">
        <v>7362</v>
      </c>
      <c r="N594" t="s">
        <v>7362</v>
      </c>
      <c r="O594" t="s">
        <v>7</v>
      </c>
      <c r="P594" t="s">
        <v>2482</v>
      </c>
      <c r="Q594" t="s">
        <v>2483</v>
      </c>
      <c r="R594" s="27" t="s">
        <v>7340</v>
      </c>
      <c r="T594" t="s">
        <v>119</v>
      </c>
    </row>
    <row r="595" spans="1:20" ht="15" customHeight="1" x14ac:dyDescent="0.4">
      <c r="A595" t="s">
        <v>2485</v>
      </c>
      <c r="B595" t="s">
        <v>2485</v>
      </c>
      <c r="C595" t="s">
        <v>151</v>
      </c>
      <c r="D595" t="s">
        <v>81</v>
      </c>
      <c r="E595" t="s">
        <v>163</v>
      </c>
      <c r="F595" t="s">
        <v>7363</v>
      </c>
      <c r="G595" t="s">
        <v>6294</v>
      </c>
      <c r="H595" t="s">
        <v>2484</v>
      </c>
      <c r="L595" t="s">
        <v>7363</v>
      </c>
      <c r="N595" t="s">
        <v>7363</v>
      </c>
      <c r="O595" t="s">
        <v>7</v>
      </c>
      <c r="P595" t="s">
        <v>2486</v>
      </c>
      <c r="Q595" t="s">
        <v>2487</v>
      </c>
      <c r="R595" s="27" t="s">
        <v>7357</v>
      </c>
      <c r="T595" t="s">
        <v>119</v>
      </c>
    </row>
    <row r="596" spans="1:20" ht="15" customHeight="1" x14ac:dyDescent="0.4">
      <c r="A596" t="s">
        <v>2489</v>
      </c>
      <c r="B596" t="s">
        <v>2489</v>
      </c>
      <c r="C596" t="s">
        <v>151</v>
      </c>
      <c r="D596" t="s">
        <v>81</v>
      </c>
      <c r="E596" t="s">
        <v>163</v>
      </c>
      <c r="F596" t="s">
        <v>7364</v>
      </c>
      <c r="G596" t="s">
        <v>6294</v>
      </c>
      <c r="H596" t="s">
        <v>2488</v>
      </c>
      <c r="L596" t="s">
        <v>7364</v>
      </c>
      <c r="N596" t="s">
        <v>7364</v>
      </c>
      <c r="O596" t="s">
        <v>7</v>
      </c>
      <c r="P596" t="s">
        <v>2490</v>
      </c>
      <c r="Q596" t="s">
        <v>2491</v>
      </c>
      <c r="R596" s="27" t="s">
        <v>7338</v>
      </c>
      <c r="T596" t="s">
        <v>119</v>
      </c>
    </row>
    <row r="597" spans="1:20" ht="15" customHeight="1" x14ac:dyDescent="0.4">
      <c r="A597" t="s">
        <v>2493</v>
      </c>
      <c r="B597" t="s">
        <v>2493</v>
      </c>
      <c r="C597" t="s">
        <v>151</v>
      </c>
      <c r="D597" t="s">
        <v>81</v>
      </c>
      <c r="E597" t="s">
        <v>163</v>
      </c>
      <c r="F597" t="s">
        <v>7365</v>
      </c>
      <c r="G597" t="s">
        <v>6294</v>
      </c>
      <c r="H597" t="s">
        <v>2492</v>
      </c>
      <c r="L597" t="s">
        <v>7365</v>
      </c>
      <c r="N597" t="s">
        <v>7365</v>
      </c>
      <c r="O597" t="s">
        <v>7</v>
      </c>
      <c r="P597" t="s">
        <v>2494</v>
      </c>
      <c r="Q597" t="s">
        <v>2495</v>
      </c>
      <c r="R597" s="27" t="s">
        <v>7336</v>
      </c>
      <c r="T597" t="s">
        <v>119</v>
      </c>
    </row>
    <row r="598" spans="1:20" ht="15" customHeight="1" x14ac:dyDescent="0.4">
      <c r="A598" t="s">
        <v>2497</v>
      </c>
      <c r="B598" t="s">
        <v>2497</v>
      </c>
      <c r="C598" t="s">
        <v>151</v>
      </c>
      <c r="D598" t="s">
        <v>81</v>
      </c>
      <c r="E598" t="s">
        <v>163</v>
      </c>
      <c r="F598" t="s">
        <v>7366</v>
      </c>
      <c r="G598" t="s">
        <v>6294</v>
      </c>
      <c r="H598" t="s">
        <v>2496</v>
      </c>
      <c r="L598" t="s">
        <v>7366</v>
      </c>
      <c r="N598" t="s">
        <v>7366</v>
      </c>
      <c r="O598" t="s">
        <v>7</v>
      </c>
      <c r="P598" t="s">
        <v>2498</v>
      </c>
      <c r="Q598" t="s">
        <v>2499</v>
      </c>
      <c r="R598" s="27" t="s">
        <v>7342</v>
      </c>
      <c r="T598" t="s">
        <v>119</v>
      </c>
    </row>
    <row r="599" spans="1:20" ht="15" customHeight="1" x14ac:dyDescent="0.4">
      <c r="A599" t="s">
        <v>2501</v>
      </c>
      <c r="B599" t="s">
        <v>2501</v>
      </c>
      <c r="C599" t="s">
        <v>151</v>
      </c>
      <c r="D599" t="s">
        <v>81</v>
      </c>
      <c r="E599" t="s">
        <v>163</v>
      </c>
      <c r="F599" t="s">
        <v>7367</v>
      </c>
      <c r="G599" t="s">
        <v>6294</v>
      </c>
      <c r="H599" t="s">
        <v>2500</v>
      </c>
      <c r="L599" t="s">
        <v>7367</v>
      </c>
      <c r="N599" t="s">
        <v>7367</v>
      </c>
      <c r="O599" t="s">
        <v>7</v>
      </c>
      <c r="P599" t="s">
        <v>2502</v>
      </c>
      <c r="Q599" t="s">
        <v>2503</v>
      </c>
      <c r="R599" s="27" t="s">
        <v>7342</v>
      </c>
      <c r="T599" t="s">
        <v>119</v>
      </c>
    </row>
    <row r="600" spans="1:20" ht="15" customHeight="1" x14ac:dyDescent="0.4">
      <c r="A600" t="s">
        <v>2505</v>
      </c>
      <c r="B600" t="s">
        <v>2505</v>
      </c>
      <c r="C600" t="s">
        <v>151</v>
      </c>
      <c r="D600" t="s">
        <v>81</v>
      </c>
      <c r="E600" t="s">
        <v>163</v>
      </c>
      <c r="F600" t="s">
        <v>7368</v>
      </c>
      <c r="G600" t="s">
        <v>6294</v>
      </c>
      <c r="H600" t="s">
        <v>2504</v>
      </c>
      <c r="L600" t="s">
        <v>7368</v>
      </c>
      <c r="N600" t="s">
        <v>7368</v>
      </c>
      <c r="O600" t="s">
        <v>7</v>
      </c>
      <c r="P600" t="s">
        <v>2506</v>
      </c>
      <c r="Q600" t="s">
        <v>2507</v>
      </c>
      <c r="R600" s="27" t="s">
        <v>7342</v>
      </c>
      <c r="T600" t="s">
        <v>119</v>
      </c>
    </row>
    <row r="601" spans="1:20" ht="15" customHeight="1" x14ac:dyDescent="0.4">
      <c r="A601" t="s">
        <v>2509</v>
      </c>
      <c r="B601" t="s">
        <v>2509</v>
      </c>
      <c r="C601" t="s">
        <v>151</v>
      </c>
      <c r="D601" t="s">
        <v>81</v>
      </c>
      <c r="E601" t="s">
        <v>163</v>
      </c>
      <c r="F601" t="s">
        <v>7369</v>
      </c>
      <c r="G601" t="s">
        <v>6294</v>
      </c>
      <c r="H601" t="s">
        <v>2508</v>
      </c>
      <c r="L601" t="s">
        <v>7369</v>
      </c>
      <c r="N601" t="s">
        <v>7369</v>
      </c>
      <c r="O601" t="s">
        <v>7</v>
      </c>
      <c r="P601" t="s">
        <v>2510</v>
      </c>
      <c r="Q601" t="s">
        <v>2511</v>
      </c>
      <c r="R601" s="27" t="s">
        <v>7342</v>
      </c>
      <c r="T601" t="s">
        <v>119</v>
      </c>
    </row>
    <row r="602" spans="1:20" ht="15" customHeight="1" x14ac:dyDescent="0.4">
      <c r="A602" t="s">
        <v>2513</v>
      </c>
      <c r="B602" t="s">
        <v>2513</v>
      </c>
      <c r="C602" t="s">
        <v>151</v>
      </c>
      <c r="D602" t="s">
        <v>81</v>
      </c>
      <c r="E602" t="s">
        <v>163</v>
      </c>
      <c r="F602" t="s">
        <v>7370</v>
      </c>
      <c r="G602" t="s">
        <v>6294</v>
      </c>
      <c r="H602" t="s">
        <v>2512</v>
      </c>
      <c r="L602" t="s">
        <v>7370</v>
      </c>
      <c r="N602" t="s">
        <v>7370</v>
      </c>
      <c r="O602" t="s">
        <v>7</v>
      </c>
      <c r="P602" t="s">
        <v>2514</v>
      </c>
      <c r="Q602" t="s">
        <v>2515</v>
      </c>
      <c r="R602" s="27" t="s">
        <v>7342</v>
      </c>
      <c r="T602" t="s">
        <v>119</v>
      </c>
    </row>
    <row r="603" spans="1:20" ht="15" customHeight="1" x14ac:dyDescent="0.4">
      <c r="A603" t="s">
        <v>2517</v>
      </c>
      <c r="B603" t="s">
        <v>2517</v>
      </c>
      <c r="C603" t="s">
        <v>151</v>
      </c>
      <c r="D603" t="s">
        <v>81</v>
      </c>
      <c r="E603" t="s">
        <v>163</v>
      </c>
      <c r="F603" t="s">
        <v>7371</v>
      </c>
      <c r="G603" t="s">
        <v>6294</v>
      </c>
      <c r="H603" t="s">
        <v>2516</v>
      </c>
      <c r="L603" t="s">
        <v>7371</v>
      </c>
      <c r="N603" t="s">
        <v>7371</v>
      </c>
      <c r="O603" t="s">
        <v>7</v>
      </c>
      <c r="P603" t="s">
        <v>2518</v>
      </c>
      <c r="Q603" t="s">
        <v>2519</v>
      </c>
      <c r="R603" s="27" t="s">
        <v>7342</v>
      </c>
      <c r="T603" t="s">
        <v>119</v>
      </c>
    </row>
    <row r="604" spans="1:20" ht="15" customHeight="1" x14ac:dyDescent="0.4">
      <c r="A604" t="s">
        <v>2521</v>
      </c>
      <c r="B604" t="s">
        <v>2521</v>
      </c>
      <c r="C604" t="s">
        <v>151</v>
      </c>
      <c r="D604" t="s">
        <v>81</v>
      </c>
      <c r="E604" t="s">
        <v>163</v>
      </c>
      <c r="F604" t="s">
        <v>7372</v>
      </c>
      <c r="G604" t="s">
        <v>6294</v>
      </c>
      <c r="H604" t="s">
        <v>2520</v>
      </c>
      <c r="L604" t="s">
        <v>7372</v>
      </c>
      <c r="N604" t="s">
        <v>7372</v>
      </c>
      <c r="O604" t="s">
        <v>7</v>
      </c>
      <c r="P604" t="s">
        <v>2522</v>
      </c>
      <c r="Q604" t="s">
        <v>2523</v>
      </c>
      <c r="R604" s="27" t="s">
        <v>7336</v>
      </c>
      <c r="T604" t="s">
        <v>119</v>
      </c>
    </row>
    <row r="605" spans="1:20" ht="15" customHeight="1" x14ac:dyDescent="0.4">
      <c r="A605" t="s">
        <v>2525</v>
      </c>
      <c r="B605" t="s">
        <v>2525</v>
      </c>
      <c r="C605" t="s">
        <v>151</v>
      </c>
      <c r="D605" t="s">
        <v>81</v>
      </c>
      <c r="E605" t="s">
        <v>163</v>
      </c>
      <c r="F605" t="s">
        <v>7373</v>
      </c>
      <c r="G605" t="s">
        <v>6294</v>
      </c>
      <c r="H605" t="s">
        <v>2524</v>
      </c>
      <c r="L605" t="s">
        <v>7373</v>
      </c>
      <c r="N605" t="s">
        <v>7373</v>
      </c>
      <c r="O605" t="s">
        <v>7</v>
      </c>
      <c r="P605" t="s">
        <v>2526</v>
      </c>
      <c r="Q605" t="s">
        <v>2527</v>
      </c>
      <c r="R605" s="27" t="s">
        <v>7336</v>
      </c>
      <c r="T605" t="s">
        <v>119</v>
      </c>
    </row>
    <row r="606" spans="1:20" ht="15" customHeight="1" x14ac:dyDescent="0.4">
      <c r="A606" t="s">
        <v>2529</v>
      </c>
      <c r="B606" t="s">
        <v>2529</v>
      </c>
      <c r="C606" t="s">
        <v>151</v>
      </c>
      <c r="D606" t="s">
        <v>81</v>
      </c>
      <c r="E606" t="s">
        <v>163</v>
      </c>
      <c r="F606" t="s">
        <v>7374</v>
      </c>
      <c r="G606" t="s">
        <v>6294</v>
      </c>
      <c r="H606" t="s">
        <v>2528</v>
      </c>
      <c r="L606" t="s">
        <v>7374</v>
      </c>
      <c r="N606" t="s">
        <v>7374</v>
      </c>
      <c r="O606" t="s">
        <v>7</v>
      </c>
      <c r="P606" t="s">
        <v>2530</v>
      </c>
      <c r="Q606" t="s">
        <v>2531</v>
      </c>
      <c r="R606" s="27" t="s">
        <v>7336</v>
      </c>
      <c r="T606" t="s">
        <v>119</v>
      </c>
    </row>
    <row r="607" spans="1:20" ht="15" customHeight="1" x14ac:dyDescent="0.4">
      <c r="A607" t="s">
        <v>2533</v>
      </c>
      <c r="B607" t="s">
        <v>2533</v>
      </c>
      <c r="C607" t="s">
        <v>151</v>
      </c>
      <c r="D607" t="s">
        <v>81</v>
      </c>
      <c r="E607" t="s">
        <v>163</v>
      </c>
      <c r="F607" t="s">
        <v>7375</v>
      </c>
      <c r="G607" t="s">
        <v>6294</v>
      </c>
      <c r="H607" t="s">
        <v>2532</v>
      </c>
      <c r="L607" t="s">
        <v>7375</v>
      </c>
      <c r="N607" t="s">
        <v>7375</v>
      </c>
      <c r="O607" t="s">
        <v>7</v>
      </c>
      <c r="P607" t="s">
        <v>2534</v>
      </c>
      <c r="Q607" t="s">
        <v>2535</v>
      </c>
      <c r="R607" s="27" t="s">
        <v>7376</v>
      </c>
      <c r="T607" t="s">
        <v>119</v>
      </c>
    </row>
    <row r="608" spans="1:20" ht="15" customHeight="1" x14ac:dyDescent="0.4">
      <c r="A608" t="s">
        <v>2537</v>
      </c>
      <c r="B608" t="s">
        <v>2537</v>
      </c>
      <c r="C608" t="s">
        <v>151</v>
      </c>
      <c r="D608" t="s">
        <v>81</v>
      </c>
      <c r="E608" t="s">
        <v>163</v>
      </c>
      <c r="F608" t="s">
        <v>7377</v>
      </c>
      <c r="G608" t="s">
        <v>6294</v>
      </c>
      <c r="H608" t="s">
        <v>2536</v>
      </c>
      <c r="L608" t="s">
        <v>7377</v>
      </c>
      <c r="N608" t="s">
        <v>7377</v>
      </c>
      <c r="O608" t="s">
        <v>7</v>
      </c>
      <c r="P608" t="s">
        <v>2538</v>
      </c>
      <c r="Q608" t="s">
        <v>2539</v>
      </c>
      <c r="R608" s="27" t="s">
        <v>7378</v>
      </c>
      <c r="T608" t="s">
        <v>119</v>
      </c>
    </row>
    <row r="609" spans="1:20" ht="15" customHeight="1" x14ac:dyDescent="0.4">
      <c r="A609" t="s">
        <v>2541</v>
      </c>
      <c r="B609" t="s">
        <v>2541</v>
      </c>
      <c r="C609" t="s">
        <v>151</v>
      </c>
      <c r="D609" t="s">
        <v>81</v>
      </c>
      <c r="E609" t="s">
        <v>163</v>
      </c>
      <c r="F609" t="s">
        <v>7379</v>
      </c>
      <c r="G609" t="s">
        <v>6294</v>
      </c>
      <c r="H609" t="s">
        <v>2540</v>
      </c>
      <c r="L609" t="s">
        <v>7379</v>
      </c>
      <c r="N609" t="s">
        <v>7379</v>
      </c>
      <c r="O609" t="s">
        <v>7</v>
      </c>
      <c r="P609" t="s">
        <v>2542</v>
      </c>
      <c r="Q609" t="s">
        <v>2543</v>
      </c>
      <c r="R609" s="27" t="s">
        <v>7380</v>
      </c>
      <c r="T609" t="s">
        <v>119</v>
      </c>
    </row>
    <row r="610" spans="1:20" ht="15" customHeight="1" x14ac:dyDescent="0.4">
      <c r="A610" t="s">
        <v>2545</v>
      </c>
      <c r="B610" t="s">
        <v>2545</v>
      </c>
      <c r="C610" t="s">
        <v>151</v>
      </c>
      <c r="D610" t="s">
        <v>81</v>
      </c>
      <c r="E610" t="s">
        <v>163</v>
      </c>
      <c r="F610" t="s">
        <v>7381</v>
      </c>
      <c r="G610" t="s">
        <v>6294</v>
      </c>
      <c r="H610" t="s">
        <v>2544</v>
      </c>
      <c r="L610" t="s">
        <v>7381</v>
      </c>
      <c r="N610" t="s">
        <v>7381</v>
      </c>
      <c r="O610" t="s">
        <v>7</v>
      </c>
      <c r="P610" t="s">
        <v>2546</v>
      </c>
      <c r="Q610" t="s">
        <v>2547</v>
      </c>
      <c r="R610" s="27" t="s">
        <v>7382</v>
      </c>
      <c r="T610" t="s">
        <v>119</v>
      </c>
    </row>
    <row r="611" spans="1:20" ht="15" customHeight="1" x14ac:dyDescent="0.4">
      <c r="A611" t="s">
        <v>2549</v>
      </c>
      <c r="B611" t="s">
        <v>2549</v>
      </c>
      <c r="C611" t="s">
        <v>151</v>
      </c>
      <c r="D611" t="s">
        <v>81</v>
      </c>
      <c r="E611" t="s">
        <v>163</v>
      </c>
      <c r="F611" t="s">
        <v>7383</v>
      </c>
      <c r="G611" t="s">
        <v>6294</v>
      </c>
      <c r="H611" t="s">
        <v>2548</v>
      </c>
      <c r="L611" t="s">
        <v>7383</v>
      </c>
      <c r="N611" t="s">
        <v>7383</v>
      </c>
      <c r="O611" t="s">
        <v>7</v>
      </c>
      <c r="P611" t="s">
        <v>2550</v>
      </c>
      <c r="Q611" t="s">
        <v>2551</v>
      </c>
      <c r="R611" s="27" t="s">
        <v>7384</v>
      </c>
      <c r="T611" t="s">
        <v>119</v>
      </c>
    </row>
    <row r="612" spans="1:20" ht="15" customHeight="1" x14ac:dyDescent="0.4">
      <c r="A612" t="s">
        <v>2553</v>
      </c>
      <c r="B612" t="s">
        <v>2553</v>
      </c>
      <c r="C612" t="s">
        <v>151</v>
      </c>
      <c r="D612" t="s">
        <v>81</v>
      </c>
      <c r="E612" t="s">
        <v>163</v>
      </c>
      <c r="F612" t="s">
        <v>7385</v>
      </c>
      <c r="G612" t="s">
        <v>6294</v>
      </c>
      <c r="H612" t="s">
        <v>2552</v>
      </c>
      <c r="L612" t="s">
        <v>7385</v>
      </c>
      <c r="N612" t="s">
        <v>7385</v>
      </c>
      <c r="O612" t="s">
        <v>7</v>
      </c>
      <c r="P612" t="s">
        <v>2554</v>
      </c>
      <c r="Q612" t="s">
        <v>2555</v>
      </c>
      <c r="R612" s="27" t="s">
        <v>7382</v>
      </c>
      <c r="T612" t="s">
        <v>119</v>
      </c>
    </row>
    <row r="613" spans="1:20" ht="15" customHeight="1" x14ac:dyDescent="0.4">
      <c r="A613" t="s">
        <v>2557</v>
      </c>
      <c r="B613" t="s">
        <v>2557</v>
      </c>
      <c r="C613" t="s">
        <v>151</v>
      </c>
      <c r="D613" t="s">
        <v>81</v>
      </c>
      <c r="E613" t="s">
        <v>163</v>
      </c>
      <c r="F613" t="s">
        <v>7386</v>
      </c>
      <c r="G613" t="s">
        <v>6294</v>
      </c>
      <c r="H613" t="s">
        <v>2556</v>
      </c>
      <c r="L613" t="s">
        <v>7386</v>
      </c>
      <c r="N613" t="s">
        <v>7386</v>
      </c>
      <c r="O613" t="s">
        <v>7</v>
      </c>
      <c r="P613" t="s">
        <v>2558</v>
      </c>
      <c r="Q613" t="s">
        <v>2559</v>
      </c>
      <c r="R613" s="27" t="s">
        <v>7378</v>
      </c>
      <c r="T613" t="s">
        <v>119</v>
      </c>
    </row>
    <row r="614" spans="1:20" ht="15" customHeight="1" x14ac:dyDescent="0.4">
      <c r="A614" t="s">
        <v>2561</v>
      </c>
      <c r="B614" t="s">
        <v>2561</v>
      </c>
      <c r="C614" t="s">
        <v>151</v>
      </c>
      <c r="D614" t="s">
        <v>81</v>
      </c>
      <c r="E614" t="s">
        <v>163</v>
      </c>
      <c r="F614" t="s">
        <v>7387</v>
      </c>
      <c r="G614" t="s">
        <v>6294</v>
      </c>
      <c r="H614" t="s">
        <v>2560</v>
      </c>
      <c r="L614" t="s">
        <v>7387</v>
      </c>
      <c r="N614" t="s">
        <v>7387</v>
      </c>
      <c r="O614" t="s">
        <v>7</v>
      </c>
      <c r="P614" t="s">
        <v>2562</v>
      </c>
      <c r="Q614" t="s">
        <v>2563</v>
      </c>
      <c r="R614" s="27" t="s">
        <v>7382</v>
      </c>
      <c r="T614" t="s">
        <v>119</v>
      </c>
    </row>
    <row r="615" spans="1:20" ht="15" customHeight="1" x14ac:dyDescent="0.4">
      <c r="A615" t="s">
        <v>2565</v>
      </c>
      <c r="B615" t="s">
        <v>2565</v>
      </c>
      <c r="C615" t="s">
        <v>151</v>
      </c>
      <c r="D615" t="s">
        <v>81</v>
      </c>
      <c r="E615" t="s">
        <v>163</v>
      </c>
      <c r="F615" t="s">
        <v>7388</v>
      </c>
      <c r="G615" t="s">
        <v>6294</v>
      </c>
      <c r="H615" t="s">
        <v>2564</v>
      </c>
      <c r="L615" t="s">
        <v>7388</v>
      </c>
      <c r="N615" t="s">
        <v>7388</v>
      </c>
      <c r="O615" t="s">
        <v>7</v>
      </c>
      <c r="P615" t="s">
        <v>2566</v>
      </c>
      <c r="Q615" t="s">
        <v>2567</v>
      </c>
      <c r="R615" s="27" t="s">
        <v>7382</v>
      </c>
      <c r="T615" t="s">
        <v>119</v>
      </c>
    </row>
    <row r="616" spans="1:20" ht="15" customHeight="1" x14ac:dyDescent="0.4">
      <c r="A616" t="s">
        <v>2569</v>
      </c>
      <c r="B616" t="s">
        <v>2569</v>
      </c>
      <c r="C616" t="s">
        <v>151</v>
      </c>
      <c r="D616" t="s">
        <v>81</v>
      </c>
      <c r="E616" t="s">
        <v>163</v>
      </c>
      <c r="F616" t="s">
        <v>7389</v>
      </c>
      <c r="G616" t="s">
        <v>6294</v>
      </c>
      <c r="H616" t="s">
        <v>2568</v>
      </c>
      <c r="L616" t="s">
        <v>7389</v>
      </c>
      <c r="N616" t="s">
        <v>7389</v>
      </c>
      <c r="O616" t="s">
        <v>7</v>
      </c>
      <c r="P616" t="s">
        <v>2570</v>
      </c>
      <c r="Q616" t="s">
        <v>2571</v>
      </c>
      <c r="R616" s="27" t="s">
        <v>7378</v>
      </c>
      <c r="T616" t="s">
        <v>119</v>
      </c>
    </row>
    <row r="617" spans="1:20" ht="15" customHeight="1" x14ac:dyDescent="0.4">
      <c r="A617" t="s">
        <v>2573</v>
      </c>
      <c r="B617" t="s">
        <v>2573</v>
      </c>
      <c r="C617" t="s">
        <v>151</v>
      </c>
      <c r="D617" t="s">
        <v>81</v>
      </c>
      <c r="E617" t="s">
        <v>163</v>
      </c>
      <c r="F617" t="s">
        <v>7390</v>
      </c>
      <c r="G617" t="s">
        <v>6294</v>
      </c>
      <c r="H617" t="s">
        <v>2572</v>
      </c>
      <c r="L617" t="s">
        <v>7390</v>
      </c>
      <c r="N617" t="s">
        <v>7390</v>
      </c>
      <c r="O617" t="s">
        <v>7</v>
      </c>
      <c r="P617" t="s">
        <v>2574</v>
      </c>
      <c r="Q617" t="s">
        <v>2575</v>
      </c>
      <c r="R617" s="27" t="s">
        <v>7384</v>
      </c>
      <c r="T617" t="s">
        <v>119</v>
      </c>
    </row>
    <row r="618" spans="1:20" ht="15" customHeight="1" x14ac:dyDescent="0.4">
      <c r="A618" t="s">
        <v>2577</v>
      </c>
      <c r="B618" t="s">
        <v>2577</v>
      </c>
      <c r="C618" t="s">
        <v>151</v>
      </c>
      <c r="D618" t="s">
        <v>81</v>
      </c>
      <c r="E618" t="s">
        <v>163</v>
      </c>
      <c r="F618" t="s">
        <v>7391</v>
      </c>
      <c r="G618" t="s">
        <v>6294</v>
      </c>
      <c r="H618" t="s">
        <v>2576</v>
      </c>
      <c r="L618" t="s">
        <v>7391</v>
      </c>
      <c r="N618" t="s">
        <v>7391</v>
      </c>
      <c r="O618" t="s">
        <v>7</v>
      </c>
      <c r="P618" t="s">
        <v>2578</v>
      </c>
      <c r="Q618" t="s">
        <v>2579</v>
      </c>
      <c r="R618" s="27" t="s">
        <v>7378</v>
      </c>
      <c r="T618" t="s">
        <v>119</v>
      </c>
    </row>
    <row r="619" spans="1:20" ht="15" customHeight="1" x14ac:dyDescent="0.4">
      <c r="A619" t="s">
        <v>2581</v>
      </c>
      <c r="B619" t="s">
        <v>2581</v>
      </c>
      <c r="C619" t="s">
        <v>151</v>
      </c>
      <c r="D619" t="s">
        <v>81</v>
      </c>
      <c r="E619" t="s">
        <v>163</v>
      </c>
      <c r="F619" t="s">
        <v>7392</v>
      </c>
      <c r="G619" t="s">
        <v>6294</v>
      </c>
      <c r="H619" t="s">
        <v>2580</v>
      </c>
      <c r="L619" t="s">
        <v>7392</v>
      </c>
      <c r="N619" t="s">
        <v>7392</v>
      </c>
      <c r="O619" t="s">
        <v>7</v>
      </c>
      <c r="P619" t="s">
        <v>2582</v>
      </c>
      <c r="Q619" t="s">
        <v>2583</v>
      </c>
      <c r="R619" s="27" t="s">
        <v>7378</v>
      </c>
      <c r="T619" t="s">
        <v>119</v>
      </c>
    </row>
    <row r="620" spans="1:20" ht="15" customHeight="1" x14ac:dyDescent="0.4">
      <c r="A620" t="s">
        <v>2585</v>
      </c>
      <c r="B620" t="s">
        <v>2585</v>
      </c>
      <c r="C620" t="s">
        <v>151</v>
      </c>
      <c r="D620" t="s">
        <v>81</v>
      </c>
      <c r="E620" t="s">
        <v>163</v>
      </c>
      <c r="F620" t="s">
        <v>7393</v>
      </c>
      <c r="G620" t="s">
        <v>6294</v>
      </c>
      <c r="H620" t="s">
        <v>2584</v>
      </c>
      <c r="L620" t="s">
        <v>7393</v>
      </c>
      <c r="N620" t="s">
        <v>7393</v>
      </c>
      <c r="O620" t="s">
        <v>7</v>
      </c>
      <c r="P620" t="s">
        <v>2586</v>
      </c>
      <c r="Q620" t="s">
        <v>2587</v>
      </c>
      <c r="R620" s="27" t="s">
        <v>7378</v>
      </c>
      <c r="T620" t="s">
        <v>119</v>
      </c>
    </row>
    <row r="621" spans="1:20" ht="15" customHeight="1" x14ac:dyDescent="0.4">
      <c r="A621" t="s">
        <v>2589</v>
      </c>
      <c r="B621" t="s">
        <v>2589</v>
      </c>
      <c r="C621" t="s">
        <v>151</v>
      </c>
      <c r="D621" t="s">
        <v>81</v>
      </c>
      <c r="E621" t="s">
        <v>163</v>
      </c>
      <c r="F621" t="s">
        <v>7394</v>
      </c>
      <c r="G621" t="s">
        <v>6294</v>
      </c>
      <c r="H621" t="s">
        <v>2588</v>
      </c>
      <c r="L621" t="s">
        <v>7394</v>
      </c>
      <c r="N621" t="s">
        <v>7394</v>
      </c>
      <c r="O621" t="s">
        <v>7</v>
      </c>
      <c r="P621" t="s">
        <v>2590</v>
      </c>
      <c r="Q621" t="s">
        <v>2591</v>
      </c>
      <c r="R621" s="27" t="s">
        <v>7382</v>
      </c>
      <c r="T621" t="s">
        <v>119</v>
      </c>
    </row>
    <row r="622" spans="1:20" ht="15" customHeight="1" x14ac:dyDescent="0.4">
      <c r="A622" t="s">
        <v>2593</v>
      </c>
      <c r="B622" t="s">
        <v>2593</v>
      </c>
      <c r="C622" t="s">
        <v>151</v>
      </c>
      <c r="D622" t="s">
        <v>81</v>
      </c>
      <c r="E622" t="s">
        <v>163</v>
      </c>
      <c r="F622" t="s">
        <v>7395</v>
      </c>
      <c r="G622" t="s">
        <v>6294</v>
      </c>
      <c r="H622" t="s">
        <v>2592</v>
      </c>
      <c r="L622" t="s">
        <v>7395</v>
      </c>
      <c r="N622" t="s">
        <v>7395</v>
      </c>
      <c r="O622" t="s">
        <v>7</v>
      </c>
      <c r="P622" t="s">
        <v>2594</v>
      </c>
      <c r="Q622" t="s">
        <v>2595</v>
      </c>
      <c r="R622" s="27" t="s">
        <v>7378</v>
      </c>
      <c r="T622" t="s">
        <v>119</v>
      </c>
    </row>
    <row r="623" spans="1:20" ht="15" customHeight="1" x14ac:dyDescent="0.4">
      <c r="A623" t="s">
        <v>2597</v>
      </c>
      <c r="B623" t="s">
        <v>2597</v>
      </c>
      <c r="C623" t="s">
        <v>151</v>
      </c>
      <c r="D623" t="s">
        <v>81</v>
      </c>
      <c r="E623" t="s">
        <v>163</v>
      </c>
      <c r="F623" t="s">
        <v>7396</v>
      </c>
      <c r="G623" t="s">
        <v>6294</v>
      </c>
      <c r="H623" t="s">
        <v>2596</v>
      </c>
      <c r="L623" t="s">
        <v>7396</v>
      </c>
      <c r="N623" t="s">
        <v>7396</v>
      </c>
      <c r="O623" t="s">
        <v>7</v>
      </c>
      <c r="P623" t="s">
        <v>2598</v>
      </c>
      <c r="Q623" t="s">
        <v>2599</v>
      </c>
      <c r="R623" s="27" t="s">
        <v>7384</v>
      </c>
      <c r="T623" t="s">
        <v>119</v>
      </c>
    </row>
    <row r="624" spans="1:20" ht="15" customHeight="1" x14ac:dyDescent="0.4">
      <c r="A624" t="s">
        <v>2601</v>
      </c>
      <c r="B624" t="s">
        <v>2601</v>
      </c>
      <c r="C624" t="s">
        <v>151</v>
      </c>
      <c r="D624" t="s">
        <v>81</v>
      </c>
      <c r="E624" t="s">
        <v>163</v>
      </c>
      <c r="F624" t="s">
        <v>7397</v>
      </c>
      <c r="G624" t="s">
        <v>6294</v>
      </c>
      <c r="H624" t="s">
        <v>2600</v>
      </c>
      <c r="L624" t="s">
        <v>7397</v>
      </c>
      <c r="N624" t="s">
        <v>7397</v>
      </c>
      <c r="O624" t="s">
        <v>7</v>
      </c>
      <c r="P624" t="s">
        <v>2602</v>
      </c>
      <c r="Q624" t="s">
        <v>2603</v>
      </c>
      <c r="R624" s="27" t="s">
        <v>7382</v>
      </c>
      <c r="T624" t="s">
        <v>119</v>
      </c>
    </row>
    <row r="625" spans="1:20" ht="15" customHeight="1" x14ac:dyDescent="0.4">
      <c r="A625" t="s">
        <v>2605</v>
      </c>
      <c r="B625" t="s">
        <v>2605</v>
      </c>
      <c r="C625" t="s">
        <v>151</v>
      </c>
      <c r="D625" t="s">
        <v>81</v>
      </c>
      <c r="E625" t="s">
        <v>163</v>
      </c>
      <c r="F625" t="s">
        <v>7398</v>
      </c>
      <c r="G625" t="s">
        <v>6294</v>
      </c>
      <c r="H625" t="s">
        <v>2604</v>
      </c>
      <c r="L625" t="s">
        <v>7398</v>
      </c>
      <c r="N625" t="s">
        <v>7398</v>
      </c>
      <c r="O625" t="s">
        <v>7</v>
      </c>
      <c r="P625" t="s">
        <v>2606</v>
      </c>
      <c r="Q625" t="s">
        <v>2607</v>
      </c>
      <c r="R625" s="27" t="s">
        <v>7382</v>
      </c>
      <c r="T625" t="s">
        <v>119</v>
      </c>
    </row>
    <row r="626" spans="1:20" ht="15" customHeight="1" x14ac:dyDescent="0.4">
      <c r="A626" t="s">
        <v>2609</v>
      </c>
      <c r="B626" t="s">
        <v>2609</v>
      </c>
      <c r="C626" t="s">
        <v>151</v>
      </c>
      <c r="D626" t="s">
        <v>81</v>
      </c>
      <c r="E626" t="s">
        <v>163</v>
      </c>
      <c r="F626" t="s">
        <v>7399</v>
      </c>
      <c r="G626" t="s">
        <v>6294</v>
      </c>
      <c r="H626" t="s">
        <v>2608</v>
      </c>
      <c r="L626" t="s">
        <v>7399</v>
      </c>
      <c r="N626" t="s">
        <v>7399</v>
      </c>
      <c r="O626" t="s">
        <v>7</v>
      </c>
      <c r="P626" t="s">
        <v>2610</v>
      </c>
      <c r="Q626" t="s">
        <v>2611</v>
      </c>
      <c r="R626" s="27" t="s">
        <v>7378</v>
      </c>
      <c r="T626" t="s">
        <v>119</v>
      </c>
    </row>
    <row r="627" spans="1:20" ht="15" customHeight="1" x14ac:dyDescent="0.4">
      <c r="A627" t="s">
        <v>2613</v>
      </c>
      <c r="B627" t="s">
        <v>2613</v>
      </c>
      <c r="C627" t="s">
        <v>151</v>
      </c>
      <c r="D627" t="s">
        <v>81</v>
      </c>
      <c r="E627" t="s">
        <v>163</v>
      </c>
      <c r="F627" t="s">
        <v>7400</v>
      </c>
      <c r="G627" t="s">
        <v>6294</v>
      </c>
      <c r="H627" t="s">
        <v>2612</v>
      </c>
      <c r="L627" t="s">
        <v>7400</v>
      </c>
      <c r="N627" t="s">
        <v>7400</v>
      </c>
      <c r="O627" t="s">
        <v>7</v>
      </c>
      <c r="P627" t="s">
        <v>2614</v>
      </c>
      <c r="Q627" t="s">
        <v>2615</v>
      </c>
      <c r="R627" s="27" t="s">
        <v>7401</v>
      </c>
      <c r="T627" t="s">
        <v>119</v>
      </c>
    </row>
    <row r="628" spans="1:20" ht="15" customHeight="1" x14ac:dyDescent="0.4">
      <c r="A628" t="s">
        <v>2617</v>
      </c>
      <c r="B628" t="s">
        <v>2617</v>
      </c>
      <c r="C628" t="s">
        <v>151</v>
      </c>
      <c r="D628" t="s">
        <v>81</v>
      </c>
      <c r="E628" t="s">
        <v>163</v>
      </c>
      <c r="F628" t="s">
        <v>7402</v>
      </c>
      <c r="G628" t="s">
        <v>6294</v>
      </c>
      <c r="H628" t="s">
        <v>2616</v>
      </c>
      <c r="L628" t="s">
        <v>7402</v>
      </c>
      <c r="N628" t="s">
        <v>7402</v>
      </c>
      <c r="O628" t="s">
        <v>7</v>
      </c>
      <c r="P628" t="s">
        <v>2618</v>
      </c>
      <c r="Q628" t="s">
        <v>2619</v>
      </c>
      <c r="R628" s="27" t="s">
        <v>7384</v>
      </c>
      <c r="T628" t="s">
        <v>119</v>
      </c>
    </row>
    <row r="629" spans="1:20" ht="15" customHeight="1" x14ac:dyDescent="0.4">
      <c r="A629" t="s">
        <v>2621</v>
      </c>
      <c r="B629" t="s">
        <v>2621</v>
      </c>
      <c r="C629" t="s">
        <v>151</v>
      </c>
      <c r="D629" t="s">
        <v>81</v>
      </c>
      <c r="E629" t="s">
        <v>163</v>
      </c>
      <c r="F629" t="s">
        <v>7403</v>
      </c>
      <c r="G629" t="s">
        <v>6294</v>
      </c>
      <c r="H629" t="s">
        <v>2620</v>
      </c>
      <c r="L629" t="s">
        <v>7403</v>
      </c>
      <c r="N629" t="s">
        <v>7403</v>
      </c>
      <c r="O629" t="s">
        <v>7</v>
      </c>
      <c r="P629" t="s">
        <v>2622</v>
      </c>
      <c r="Q629" t="s">
        <v>2623</v>
      </c>
      <c r="R629" s="27" t="s">
        <v>7404</v>
      </c>
      <c r="T629" t="s">
        <v>119</v>
      </c>
    </row>
    <row r="630" spans="1:20" ht="15" customHeight="1" x14ac:dyDescent="0.4">
      <c r="A630" t="s">
        <v>2625</v>
      </c>
      <c r="B630" t="s">
        <v>2625</v>
      </c>
      <c r="C630" t="s">
        <v>151</v>
      </c>
      <c r="D630" t="s">
        <v>81</v>
      </c>
      <c r="E630" t="s">
        <v>163</v>
      </c>
      <c r="F630" t="s">
        <v>7405</v>
      </c>
      <c r="G630" t="s">
        <v>6294</v>
      </c>
      <c r="H630" t="s">
        <v>2624</v>
      </c>
      <c r="L630" t="s">
        <v>7405</v>
      </c>
      <c r="N630" t="s">
        <v>7405</v>
      </c>
      <c r="O630" t="s">
        <v>7</v>
      </c>
      <c r="P630" t="s">
        <v>2626</v>
      </c>
      <c r="Q630" t="s">
        <v>2627</v>
      </c>
      <c r="R630" s="27" t="s">
        <v>7406</v>
      </c>
      <c r="T630" t="s">
        <v>119</v>
      </c>
    </row>
    <row r="631" spans="1:20" ht="15" customHeight="1" x14ac:dyDescent="0.4">
      <c r="A631" t="s">
        <v>2629</v>
      </c>
      <c r="B631" t="s">
        <v>2629</v>
      </c>
      <c r="C631" t="s">
        <v>151</v>
      </c>
      <c r="D631" t="s">
        <v>81</v>
      </c>
      <c r="E631" t="s">
        <v>163</v>
      </c>
      <c r="F631" t="s">
        <v>7407</v>
      </c>
      <c r="G631" t="s">
        <v>6294</v>
      </c>
      <c r="H631" t="s">
        <v>2628</v>
      </c>
      <c r="L631" t="s">
        <v>7407</v>
      </c>
      <c r="N631" t="s">
        <v>7407</v>
      </c>
      <c r="O631" t="s">
        <v>7</v>
      </c>
      <c r="P631" t="s">
        <v>2630</v>
      </c>
      <c r="Q631" t="s">
        <v>2631</v>
      </c>
      <c r="R631" s="27" t="s">
        <v>7408</v>
      </c>
      <c r="T631" t="s">
        <v>119</v>
      </c>
    </row>
    <row r="632" spans="1:20" ht="15" customHeight="1" x14ac:dyDescent="0.4">
      <c r="A632" t="s">
        <v>2633</v>
      </c>
      <c r="B632" t="s">
        <v>2633</v>
      </c>
      <c r="C632" t="s">
        <v>151</v>
      </c>
      <c r="D632" t="s">
        <v>81</v>
      </c>
      <c r="E632" t="s">
        <v>163</v>
      </c>
      <c r="F632" t="s">
        <v>7409</v>
      </c>
      <c r="G632" t="s">
        <v>6294</v>
      </c>
      <c r="H632" t="s">
        <v>2632</v>
      </c>
      <c r="L632" t="s">
        <v>7409</v>
      </c>
      <c r="N632" t="s">
        <v>7409</v>
      </c>
      <c r="O632" t="s">
        <v>7</v>
      </c>
      <c r="P632" t="s">
        <v>2634</v>
      </c>
      <c r="Q632" t="s">
        <v>2635</v>
      </c>
      <c r="R632" s="27" t="s">
        <v>7410</v>
      </c>
      <c r="T632" t="s">
        <v>119</v>
      </c>
    </row>
    <row r="633" spans="1:20" ht="15" customHeight="1" x14ac:dyDescent="0.4">
      <c r="A633" t="s">
        <v>2637</v>
      </c>
      <c r="B633" t="s">
        <v>2637</v>
      </c>
      <c r="C633" t="s">
        <v>151</v>
      </c>
      <c r="D633" t="s">
        <v>81</v>
      </c>
      <c r="E633" t="s">
        <v>163</v>
      </c>
      <c r="F633" t="s">
        <v>7411</v>
      </c>
      <c r="G633" t="s">
        <v>6294</v>
      </c>
      <c r="H633" t="s">
        <v>2636</v>
      </c>
      <c r="L633" t="s">
        <v>7411</v>
      </c>
      <c r="N633" t="s">
        <v>7411</v>
      </c>
      <c r="O633" t="s">
        <v>7</v>
      </c>
      <c r="P633" t="s">
        <v>2638</v>
      </c>
      <c r="Q633" t="s">
        <v>2639</v>
      </c>
      <c r="R633" s="27" t="s">
        <v>7412</v>
      </c>
      <c r="T633" t="s">
        <v>119</v>
      </c>
    </row>
    <row r="634" spans="1:20" ht="15" customHeight="1" x14ac:dyDescent="0.4">
      <c r="A634" t="s">
        <v>2641</v>
      </c>
      <c r="B634" t="s">
        <v>2641</v>
      </c>
      <c r="C634" t="s">
        <v>151</v>
      </c>
      <c r="D634" t="s">
        <v>81</v>
      </c>
      <c r="E634" t="s">
        <v>163</v>
      </c>
      <c r="F634" t="s">
        <v>7413</v>
      </c>
      <c r="G634" t="s">
        <v>6294</v>
      </c>
      <c r="H634" t="s">
        <v>2640</v>
      </c>
      <c r="L634" t="s">
        <v>7413</v>
      </c>
      <c r="N634" t="s">
        <v>7413</v>
      </c>
      <c r="O634" t="s">
        <v>7</v>
      </c>
      <c r="P634" t="s">
        <v>2642</v>
      </c>
      <c r="Q634" t="s">
        <v>2643</v>
      </c>
      <c r="R634" s="27" t="s">
        <v>7410</v>
      </c>
      <c r="T634" t="s">
        <v>119</v>
      </c>
    </row>
    <row r="635" spans="1:20" ht="15" customHeight="1" x14ac:dyDescent="0.4">
      <c r="A635" t="s">
        <v>2645</v>
      </c>
      <c r="B635" t="s">
        <v>2645</v>
      </c>
      <c r="C635" t="s">
        <v>151</v>
      </c>
      <c r="D635" t="s">
        <v>81</v>
      </c>
      <c r="E635" t="s">
        <v>163</v>
      </c>
      <c r="F635" t="s">
        <v>7414</v>
      </c>
      <c r="G635" t="s">
        <v>6294</v>
      </c>
      <c r="H635" t="s">
        <v>2644</v>
      </c>
      <c r="L635" t="s">
        <v>7414</v>
      </c>
      <c r="N635" t="s">
        <v>7414</v>
      </c>
      <c r="O635" t="s">
        <v>7</v>
      </c>
      <c r="P635" t="s">
        <v>2646</v>
      </c>
      <c r="Q635" t="s">
        <v>2647</v>
      </c>
      <c r="R635" s="27" t="s">
        <v>7410</v>
      </c>
      <c r="T635" t="s">
        <v>119</v>
      </c>
    </row>
    <row r="636" spans="1:20" ht="15" customHeight="1" x14ac:dyDescent="0.4">
      <c r="A636" t="s">
        <v>2649</v>
      </c>
      <c r="B636" t="s">
        <v>2649</v>
      </c>
      <c r="C636" t="s">
        <v>151</v>
      </c>
      <c r="D636" t="s">
        <v>81</v>
      </c>
      <c r="E636" t="s">
        <v>163</v>
      </c>
      <c r="F636" t="s">
        <v>7415</v>
      </c>
      <c r="G636" t="s">
        <v>6294</v>
      </c>
      <c r="H636" t="s">
        <v>2648</v>
      </c>
      <c r="L636" t="s">
        <v>7415</v>
      </c>
      <c r="N636" t="s">
        <v>7415</v>
      </c>
      <c r="O636" t="s">
        <v>7</v>
      </c>
      <c r="P636" t="s">
        <v>2650</v>
      </c>
      <c r="Q636" t="s">
        <v>2651</v>
      </c>
      <c r="R636" s="27" t="s">
        <v>7410</v>
      </c>
      <c r="T636" t="s">
        <v>119</v>
      </c>
    </row>
    <row r="637" spans="1:20" ht="15" customHeight="1" x14ac:dyDescent="0.4">
      <c r="A637" t="s">
        <v>2653</v>
      </c>
      <c r="B637" t="s">
        <v>2653</v>
      </c>
      <c r="C637" t="s">
        <v>151</v>
      </c>
      <c r="D637" t="s">
        <v>81</v>
      </c>
      <c r="E637" t="s">
        <v>163</v>
      </c>
      <c r="F637" t="s">
        <v>7416</v>
      </c>
      <c r="G637" t="s">
        <v>6294</v>
      </c>
      <c r="H637" t="s">
        <v>2652</v>
      </c>
      <c r="L637" t="s">
        <v>7416</v>
      </c>
      <c r="N637" t="s">
        <v>7416</v>
      </c>
      <c r="O637" t="s">
        <v>7</v>
      </c>
      <c r="P637" t="s">
        <v>2654</v>
      </c>
      <c r="Q637" t="s">
        <v>2655</v>
      </c>
      <c r="R637" s="27" t="s">
        <v>7417</v>
      </c>
      <c r="T637" t="s">
        <v>119</v>
      </c>
    </row>
    <row r="638" spans="1:20" ht="15" customHeight="1" x14ac:dyDescent="0.4">
      <c r="A638" t="s">
        <v>2657</v>
      </c>
      <c r="B638" t="s">
        <v>2657</v>
      </c>
      <c r="C638" t="s">
        <v>151</v>
      </c>
      <c r="D638" t="s">
        <v>81</v>
      </c>
      <c r="E638" t="s">
        <v>163</v>
      </c>
      <c r="F638" t="s">
        <v>7418</v>
      </c>
      <c r="G638" t="s">
        <v>6294</v>
      </c>
      <c r="H638" t="s">
        <v>2656</v>
      </c>
      <c r="L638" t="s">
        <v>7418</v>
      </c>
      <c r="N638" t="s">
        <v>7418</v>
      </c>
      <c r="O638" t="s">
        <v>7</v>
      </c>
      <c r="P638" t="s">
        <v>2658</v>
      </c>
      <c r="Q638" t="s">
        <v>2659</v>
      </c>
      <c r="R638" s="27" t="s">
        <v>7408</v>
      </c>
      <c r="T638" t="s">
        <v>119</v>
      </c>
    </row>
    <row r="639" spans="1:20" ht="15" customHeight="1" x14ac:dyDescent="0.4">
      <c r="A639" t="s">
        <v>2661</v>
      </c>
      <c r="B639" t="s">
        <v>2661</v>
      </c>
      <c r="C639" t="s">
        <v>151</v>
      </c>
      <c r="D639" t="s">
        <v>81</v>
      </c>
      <c r="E639" t="s">
        <v>163</v>
      </c>
      <c r="F639" t="s">
        <v>7419</v>
      </c>
      <c r="G639" t="s">
        <v>6294</v>
      </c>
      <c r="H639" t="s">
        <v>2660</v>
      </c>
      <c r="L639" t="s">
        <v>7419</v>
      </c>
      <c r="N639" t="s">
        <v>7419</v>
      </c>
      <c r="O639" t="s">
        <v>7</v>
      </c>
      <c r="P639" t="s">
        <v>2662</v>
      </c>
      <c r="Q639" t="s">
        <v>2663</v>
      </c>
      <c r="R639" s="27" t="s">
        <v>7420</v>
      </c>
      <c r="T639" t="s">
        <v>119</v>
      </c>
    </row>
    <row r="640" spans="1:20" ht="15" customHeight="1" x14ac:dyDescent="0.4">
      <c r="A640" t="s">
        <v>2665</v>
      </c>
      <c r="B640" t="s">
        <v>2665</v>
      </c>
      <c r="C640" t="s">
        <v>151</v>
      </c>
      <c r="D640" t="s">
        <v>81</v>
      </c>
      <c r="E640" t="s">
        <v>163</v>
      </c>
      <c r="F640" t="s">
        <v>7421</v>
      </c>
      <c r="G640" t="s">
        <v>6294</v>
      </c>
      <c r="H640" t="s">
        <v>2664</v>
      </c>
      <c r="L640" t="s">
        <v>7421</v>
      </c>
      <c r="N640" t="s">
        <v>7421</v>
      </c>
      <c r="O640" t="s">
        <v>7</v>
      </c>
      <c r="P640" t="s">
        <v>2666</v>
      </c>
      <c r="Q640" t="s">
        <v>2667</v>
      </c>
      <c r="R640" s="27" t="s">
        <v>7406</v>
      </c>
      <c r="T640" t="s">
        <v>119</v>
      </c>
    </row>
    <row r="641" spans="1:20" ht="15" customHeight="1" x14ac:dyDescent="0.4">
      <c r="A641" t="s">
        <v>2669</v>
      </c>
      <c r="B641" t="s">
        <v>2669</v>
      </c>
      <c r="C641" t="s">
        <v>151</v>
      </c>
      <c r="D641" t="s">
        <v>81</v>
      </c>
      <c r="E641" t="s">
        <v>163</v>
      </c>
      <c r="F641" t="s">
        <v>7422</v>
      </c>
      <c r="G641" t="s">
        <v>6294</v>
      </c>
      <c r="H641" t="s">
        <v>2668</v>
      </c>
      <c r="L641" t="s">
        <v>7422</v>
      </c>
      <c r="N641" t="s">
        <v>7422</v>
      </c>
      <c r="O641" t="s">
        <v>7</v>
      </c>
      <c r="P641" t="s">
        <v>2670</v>
      </c>
      <c r="Q641" t="s">
        <v>2671</v>
      </c>
      <c r="R641" s="27" t="s">
        <v>7420</v>
      </c>
      <c r="T641" t="s">
        <v>119</v>
      </c>
    </row>
    <row r="642" spans="1:20" ht="15" customHeight="1" x14ac:dyDescent="0.4">
      <c r="A642" t="s">
        <v>2673</v>
      </c>
      <c r="B642" t="s">
        <v>2673</v>
      </c>
      <c r="C642" t="s">
        <v>151</v>
      </c>
      <c r="D642" t="s">
        <v>81</v>
      </c>
      <c r="E642" t="s">
        <v>163</v>
      </c>
      <c r="F642" t="s">
        <v>7423</v>
      </c>
      <c r="G642" t="s">
        <v>6294</v>
      </c>
      <c r="H642" t="s">
        <v>2672</v>
      </c>
      <c r="L642" t="s">
        <v>7423</v>
      </c>
      <c r="N642" t="s">
        <v>7423</v>
      </c>
      <c r="O642" t="s">
        <v>7</v>
      </c>
      <c r="P642" t="s">
        <v>2674</v>
      </c>
      <c r="Q642" t="s">
        <v>2675</v>
      </c>
      <c r="R642" s="27" t="s">
        <v>7420</v>
      </c>
      <c r="T642" t="s">
        <v>119</v>
      </c>
    </row>
    <row r="643" spans="1:20" ht="15" customHeight="1" x14ac:dyDescent="0.4">
      <c r="A643" t="s">
        <v>2677</v>
      </c>
      <c r="B643" t="s">
        <v>2677</v>
      </c>
      <c r="C643" t="s">
        <v>151</v>
      </c>
      <c r="D643" t="s">
        <v>81</v>
      </c>
      <c r="E643" t="s">
        <v>163</v>
      </c>
      <c r="F643" t="s">
        <v>7424</v>
      </c>
      <c r="G643" t="s">
        <v>6294</v>
      </c>
      <c r="H643" t="s">
        <v>2676</v>
      </c>
      <c r="L643" t="s">
        <v>7424</v>
      </c>
      <c r="N643" t="s">
        <v>7424</v>
      </c>
      <c r="O643" t="s">
        <v>7</v>
      </c>
      <c r="P643" t="s">
        <v>2678</v>
      </c>
      <c r="Q643" t="s">
        <v>2679</v>
      </c>
      <c r="R643" s="27" t="s">
        <v>7410</v>
      </c>
      <c r="T643" t="s">
        <v>119</v>
      </c>
    </row>
    <row r="644" spans="1:20" ht="15" customHeight="1" x14ac:dyDescent="0.4">
      <c r="A644" t="s">
        <v>2681</v>
      </c>
      <c r="B644" t="s">
        <v>2681</v>
      </c>
      <c r="C644" t="s">
        <v>151</v>
      </c>
      <c r="D644" t="s">
        <v>81</v>
      </c>
      <c r="E644" t="s">
        <v>163</v>
      </c>
      <c r="F644" t="s">
        <v>7425</v>
      </c>
      <c r="G644" t="s">
        <v>6294</v>
      </c>
      <c r="H644" t="s">
        <v>2680</v>
      </c>
      <c r="L644" t="s">
        <v>7425</v>
      </c>
      <c r="N644" t="s">
        <v>7425</v>
      </c>
      <c r="O644" t="s">
        <v>7</v>
      </c>
      <c r="P644" t="s">
        <v>2682</v>
      </c>
      <c r="Q644" t="s">
        <v>2683</v>
      </c>
      <c r="R644" s="27" t="s">
        <v>7426</v>
      </c>
      <c r="T644" t="s">
        <v>119</v>
      </c>
    </row>
    <row r="645" spans="1:20" ht="15" customHeight="1" x14ac:dyDescent="0.4">
      <c r="A645" t="s">
        <v>2685</v>
      </c>
      <c r="B645" t="s">
        <v>2685</v>
      </c>
      <c r="C645" t="s">
        <v>151</v>
      </c>
      <c r="D645" t="s">
        <v>81</v>
      </c>
      <c r="E645" t="s">
        <v>163</v>
      </c>
      <c r="F645" t="s">
        <v>7427</v>
      </c>
      <c r="G645" t="s">
        <v>6294</v>
      </c>
      <c r="H645" t="s">
        <v>2684</v>
      </c>
      <c r="L645" t="s">
        <v>7427</v>
      </c>
      <c r="N645" t="s">
        <v>7427</v>
      </c>
      <c r="O645" t="s">
        <v>7</v>
      </c>
      <c r="P645" t="s">
        <v>2686</v>
      </c>
      <c r="Q645" t="s">
        <v>2687</v>
      </c>
      <c r="R645" s="27" t="s">
        <v>7410</v>
      </c>
      <c r="T645" t="s">
        <v>119</v>
      </c>
    </row>
    <row r="646" spans="1:20" ht="15" customHeight="1" x14ac:dyDescent="0.4">
      <c r="A646" t="s">
        <v>2689</v>
      </c>
      <c r="B646" t="s">
        <v>2689</v>
      </c>
      <c r="C646" t="s">
        <v>151</v>
      </c>
      <c r="D646" t="s">
        <v>81</v>
      </c>
      <c r="E646" t="s">
        <v>163</v>
      </c>
      <c r="F646" t="s">
        <v>7428</v>
      </c>
      <c r="G646" t="s">
        <v>6294</v>
      </c>
      <c r="H646" t="s">
        <v>2688</v>
      </c>
      <c r="L646" t="s">
        <v>7428</v>
      </c>
      <c r="N646" t="s">
        <v>7428</v>
      </c>
      <c r="O646" t="s">
        <v>7</v>
      </c>
      <c r="P646" t="s">
        <v>2690</v>
      </c>
      <c r="Q646" t="s">
        <v>2691</v>
      </c>
      <c r="R646" s="27" t="s">
        <v>7406</v>
      </c>
      <c r="T646" t="s">
        <v>119</v>
      </c>
    </row>
    <row r="647" spans="1:20" ht="15" customHeight="1" x14ac:dyDescent="0.4">
      <c r="A647" t="s">
        <v>2693</v>
      </c>
      <c r="B647" t="s">
        <v>2693</v>
      </c>
      <c r="C647" t="s">
        <v>151</v>
      </c>
      <c r="D647" t="s">
        <v>81</v>
      </c>
      <c r="E647" t="s">
        <v>163</v>
      </c>
      <c r="F647" t="s">
        <v>7429</v>
      </c>
      <c r="G647" t="s">
        <v>6294</v>
      </c>
      <c r="H647" t="s">
        <v>2692</v>
      </c>
      <c r="L647" t="s">
        <v>7429</v>
      </c>
      <c r="N647" t="s">
        <v>7429</v>
      </c>
      <c r="O647" t="s">
        <v>7</v>
      </c>
      <c r="P647" t="s">
        <v>2694</v>
      </c>
      <c r="Q647" t="s">
        <v>2695</v>
      </c>
      <c r="R647" s="27" t="s">
        <v>7430</v>
      </c>
      <c r="T647" t="s">
        <v>119</v>
      </c>
    </row>
    <row r="648" spans="1:20" ht="15" customHeight="1" x14ac:dyDescent="0.4">
      <c r="A648" t="s">
        <v>2697</v>
      </c>
      <c r="B648" t="s">
        <v>2697</v>
      </c>
      <c r="C648" t="s">
        <v>151</v>
      </c>
      <c r="D648" t="s">
        <v>81</v>
      </c>
      <c r="E648" t="s">
        <v>163</v>
      </c>
      <c r="F648" t="s">
        <v>7431</v>
      </c>
      <c r="G648" t="s">
        <v>6294</v>
      </c>
      <c r="H648" t="s">
        <v>2696</v>
      </c>
      <c r="L648" t="s">
        <v>7431</v>
      </c>
      <c r="N648" t="s">
        <v>7431</v>
      </c>
      <c r="O648" t="s">
        <v>7</v>
      </c>
      <c r="P648" t="s">
        <v>2698</v>
      </c>
      <c r="Q648" t="s">
        <v>2699</v>
      </c>
      <c r="R648" s="27" t="s">
        <v>7432</v>
      </c>
      <c r="T648" t="s">
        <v>119</v>
      </c>
    </row>
    <row r="649" spans="1:20" ht="15" customHeight="1" x14ac:dyDescent="0.4">
      <c r="A649" t="s">
        <v>2701</v>
      </c>
      <c r="B649" t="s">
        <v>2701</v>
      </c>
      <c r="C649" t="s">
        <v>151</v>
      </c>
      <c r="D649" t="s">
        <v>81</v>
      </c>
      <c r="E649" t="s">
        <v>163</v>
      </c>
      <c r="F649" t="s">
        <v>7433</v>
      </c>
      <c r="G649" t="s">
        <v>6294</v>
      </c>
      <c r="H649" t="s">
        <v>2700</v>
      </c>
      <c r="L649" t="s">
        <v>7433</v>
      </c>
      <c r="N649" t="s">
        <v>7433</v>
      </c>
      <c r="O649" t="s">
        <v>7</v>
      </c>
      <c r="P649" t="s">
        <v>2702</v>
      </c>
      <c r="Q649" t="s">
        <v>2703</v>
      </c>
      <c r="R649" s="27" t="s">
        <v>7434</v>
      </c>
      <c r="T649" t="s">
        <v>119</v>
      </c>
    </row>
    <row r="650" spans="1:20" ht="15" customHeight="1" x14ac:dyDescent="0.4">
      <c r="A650" t="s">
        <v>2705</v>
      </c>
      <c r="B650" t="s">
        <v>2705</v>
      </c>
      <c r="C650" t="s">
        <v>151</v>
      </c>
      <c r="D650" t="s">
        <v>81</v>
      </c>
      <c r="E650" t="s">
        <v>163</v>
      </c>
      <c r="F650" t="s">
        <v>7435</v>
      </c>
      <c r="G650" t="s">
        <v>6294</v>
      </c>
      <c r="H650" t="s">
        <v>2704</v>
      </c>
      <c r="L650" t="s">
        <v>7435</v>
      </c>
      <c r="N650" t="s">
        <v>7435</v>
      </c>
      <c r="O650" t="s">
        <v>7</v>
      </c>
      <c r="P650" t="s">
        <v>2706</v>
      </c>
      <c r="Q650" t="s">
        <v>2707</v>
      </c>
      <c r="R650" s="27" t="s">
        <v>7432</v>
      </c>
      <c r="T650" t="s">
        <v>119</v>
      </c>
    </row>
    <row r="651" spans="1:20" ht="15" customHeight="1" x14ac:dyDescent="0.4">
      <c r="A651" t="s">
        <v>2709</v>
      </c>
      <c r="B651" t="s">
        <v>2709</v>
      </c>
      <c r="C651" t="s">
        <v>151</v>
      </c>
      <c r="D651" t="s">
        <v>81</v>
      </c>
      <c r="E651" t="s">
        <v>163</v>
      </c>
      <c r="F651" t="s">
        <v>7436</v>
      </c>
      <c r="G651" t="s">
        <v>6294</v>
      </c>
      <c r="H651" t="s">
        <v>2708</v>
      </c>
      <c r="L651" t="s">
        <v>7436</v>
      </c>
      <c r="N651" t="s">
        <v>7436</v>
      </c>
      <c r="O651" t="s">
        <v>7</v>
      </c>
      <c r="P651" t="s">
        <v>2710</v>
      </c>
      <c r="Q651" t="s">
        <v>2711</v>
      </c>
      <c r="R651" s="27" t="s">
        <v>7430</v>
      </c>
      <c r="T651" t="s">
        <v>119</v>
      </c>
    </row>
    <row r="652" spans="1:20" ht="15" customHeight="1" x14ac:dyDescent="0.4">
      <c r="A652" t="s">
        <v>2713</v>
      </c>
      <c r="B652" t="s">
        <v>2713</v>
      </c>
      <c r="C652" t="s">
        <v>151</v>
      </c>
      <c r="D652" t="s">
        <v>81</v>
      </c>
      <c r="E652" t="s">
        <v>163</v>
      </c>
      <c r="F652" t="s">
        <v>7437</v>
      </c>
      <c r="G652" t="s">
        <v>6294</v>
      </c>
      <c r="H652" t="s">
        <v>2712</v>
      </c>
      <c r="L652" t="s">
        <v>7437</v>
      </c>
      <c r="N652" t="s">
        <v>7437</v>
      </c>
      <c r="O652" t="s">
        <v>7</v>
      </c>
      <c r="P652" t="s">
        <v>2714</v>
      </c>
      <c r="Q652" t="s">
        <v>2715</v>
      </c>
      <c r="R652" s="27" t="s">
        <v>7430</v>
      </c>
      <c r="T652" t="s">
        <v>119</v>
      </c>
    </row>
    <row r="653" spans="1:20" ht="15" customHeight="1" x14ac:dyDescent="0.4">
      <c r="A653" t="s">
        <v>2717</v>
      </c>
      <c r="B653" t="s">
        <v>2717</v>
      </c>
      <c r="C653" t="s">
        <v>151</v>
      </c>
      <c r="D653" t="s">
        <v>81</v>
      </c>
      <c r="E653" t="s">
        <v>163</v>
      </c>
      <c r="F653" t="s">
        <v>7438</v>
      </c>
      <c r="G653" t="s">
        <v>6294</v>
      </c>
      <c r="H653" t="s">
        <v>2716</v>
      </c>
      <c r="L653" t="s">
        <v>7438</v>
      </c>
      <c r="N653" t="s">
        <v>7438</v>
      </c>
      <c r="O653" t="s">
        <v>7</v>
      </c>
      <c r="P653" t="s">
        <v>2718</v>
      </c>
      <c r="Q653" t="s">
        <v>2719</v>
      </c>
      <c r="R653" s="27" t="s">
        <v>7430</v>
      </c>
      <c r="T653" t="s">
        <v>119</v>
      </c>
    </row>
    <row r="654" spans="1:20" ht="15" customHeight="1" x14ac:dyDescent="0.4">
      <c r="A654" t="s">
        <v>2721</v>
      </c>
      <c r="B654" t="s">
        <v>2721</v>
      </c>
      <c r="C654" t="s">
        <v>151</v>
      </c>
      <c r="D654" t="s">
        <v>81</v>
      </c>
      <c r="E654" t="s">
        <v>163</v>
      </c>
      <c r="F654" t="s">
        <v>7439</v>
      </c>
      <c r="G654" t="s">
        <v>6294</v>
      </c>
      <c r="H654" t="s">
        <v>2720</v>
      </c>
      <c r="L654" t="s">
        <v>7439</v>
      </c>
      <c r="N654" t="s">
        <v>7439</v>
      </c>
      <c r="O654" t="s">
        <v>7</v>
      </c>
      <c r="P654" t="s">
        <v>2722</v>
      </c>
      <c r="Q654" t="s">
        <v>2723</v>
      </c>
      <c r="R654" s="27" t="s">
        <v>7430</v>
      </c>
      <c r="T654" t="s">
        <v>119</v>
      </c>
    </row>
    <row r="655" spans="1:20" ht="15" customHeight="1" x14ac:dyDescent="0.4">
      <c r="A655" t="s">
        <v>2725</v>
      </c>
      <c r="B655" t="s">
        <v>2725</v>
      </c>
      <c r="C655" t="s">
        <v>151</v>
      </c>
      <c r="D655" t="s">
        <v>81</v>
      </c>
      <c r="E655" t="s">
        <v>163</v>
      </c>
      <c r="F655" t="s">
        <v>7440</v>
      </c>
      <c r="G655" t="s">
        <v>6294</v>
      </c>
      <c r="H655" t="s">
        <v>2724</v>
      </c>
      <c r="L655" t="s">
        <v>7440</v>
      </c>
      <c r="N655" t="s">
        <v>7440</v>
      </c>
      <c r="O655" t="s">
        <v>7</v>
      </c>
      <c r="P655" t="s">
        <v>2726</v>
      </c>
      <c r="Q655" t="s">
        <v>2727</v>
      </c>
      <c r="R655" s="27" t="s">
        <v>7434</v>
      </c>
      <c r="T655" t="s">
        <v>119</v>
      </c>
    </row>
    <row r="656" spans="1:20" ht="15" customHeight="1" x14ac:dyDescent="0.4">
      <c r="A656" t="s">
        <v>2729</v>
      </c>
      <c r="B656" t="s">
        <v>2729</v>
      </c>
      <c r="C656" t="s">
        <v>151</v>
      </c>
      <c r="D656" t="s">
        <v>81</v>
      </c>
      <c r="E656" t="s">
        <v>163</v>
      </c>
      <c r="F656" t="s">
        <v>7441</v>
      </c>
      <c r="G656" t="s">
        <v>6294</v>
      </c>
      <c r="H656" t="s">
        <v>2728</v>
      </c>
      <c r="L656" t="s">
        <v>7441</v>
      </c>
      <c r="N656" t="s">
        <v>7441</v>
      </c>
      <c r="O656" t="s">
        <v>7</v>
      </c>
      <c r="P656" t="s">
        <v>2730</v>
      </c>
      <c r="Q656" t="s">
        <v>2731</v>
      </c>
      <c r="R656" s="27" t="s">
        <v>7442</v>
      </c>
      <c r="T656" t="s">
        <v>119</v>
      </c>
    </row>
    <row r="657" spans="1:20" ht="15" customHeight="1" x14ac:dyDescent="0.4">
      <c r="A657" t="s">
        <v>2733</v>
      </c>
      <c r="B657" t="s">
        <v>2733</v>
      </c>
      <c r="C657" t="s">
        <v>151</v>
      </c>
      <c r="D657" t="s">
        <v>81</v>
      </c>
      <c r="E657" t="s">
        <v>163</v>
      </c>
      <c r="F657" t="s">
        <v>7443</v>
      </c>
      <c r="G657" t="s">
        <v>6294</v>
      </c>
      <c r="H657" t="s">
        <v>2732</v>
      </c>
      <c r="L657" t="s">
        <v>7443</v>
      </c>
      <c r="N657" t="s">
        <v>7443</v>
      </c>
      <c r="O657" t="s">
        <v>7</v>
      </c>
      <c r="P657" t="s">
        <v>2734</v>
      </c>
      <c r="Q657" t="s">
        <v>2735</v>
      </c>
      <c r="R657" s="27" t="s">
        <v>7444</v>
      </c>
      <c r="T657" t="s">
        <v>119</v>
      </c>
    </row>
    <row r="658" spans="1:20" ht="15" customHeight="1" x14ac:dyDescent="0.4">
      <c r="A658" t="s">
        <v>2737</v>
      </c>
      <c r="B658" t="s">
        <v>2737</v>
      </c>
      <c r="C658" t="s">
        <v>151</v>
      </c>
      <c r="D658" t="s">
        <v>81</v>
      </c>
      <c r="E658" t="s">
        <v>163</v>
      </c>
      <c r="F658" t="s">
        <v>7445</v>
      </c>
      <c r="G658" t="s">
        <v>6294</v>
      </c>
      <c r="H658" t="s">
        <v>2736</v>
      </c>
      <c r="L658" t="s">
        <v>7445</v>
      </c>
      <c r="N658" t="s">
        <v>7445</v>
      </c>
      <c r="O658" t="s">
        <v>7</v>
      </c>
      <c r="P658" t="s">
        <v>2738</v>
      </c>
      <c r="Q658" t="s">
        <v>2739</v>
      </c>
      <c r="R658" s="27" t="s">
        <v>7446</v>
      </c>
      <c r="T658" t="s">
        <v>119</v>
      </c>
    </row>
    <row r="659" spans="1:20" ht="15" customHeight="1" x14ac:dyDescent="0.4">
      <c r="A659" t="s">
        <v>2741</v>
      </c>
      <c r="B659" t="s">
        <v>2741</v>
      </c>
      <c r="C659" t="s">
        <v>151</v>
      </c>
      <c r="D659" t="s">
        <v>81</v>
      </c>
      <c r="E659" t="s">
        <v>163</v>
      </c>
      <c r="F659" t="s">
        <v>7447</v>
      </c>
      <c r="G659" t="s">
        <v>6294</v>
      </c>
      <c r="H659" t="s">
        <v>2740</v>
      </c>
      <c r="L659" t="s">
        <v>7447</v>
      </c>
      <c r="N659" t="s">
        <v>7447</v>
      </c>
      <c r="O659" t="s">
        <v>7</v>
      </c>
      <c r="P659" t="s">
        <v>2742</v>
      </c>
      <c r="Q659" t="s">
        <v>2743</v>
      </c>
      <c r="R659" s="27" t="s">
        <v>7448</v>
      </c>
      <c r="T659" t="s">
        <v>119</v>
      </c>
    </row>
    <row r="660" spans="1:20" ht="15" customHeight="1" x14ac:dyDescent="0.4">
      <c r="A660" t="s">
        <v>2745</v>
      </c>
      <c r="B660" t="s">
        <v>2745</v>
      </c>
      <c r="C660" t="s">
        <v>151</v>
      </c>
      <c r="D660" t="s">
        <v>81</v>
      </c>
      <c r="E660" t="s">
        <v>163</v>
      </c>
      <c r="F660" t="s">
        <v>7449</v>
      </c>
      <c r="G660" t="s">
        <v>6294</v>
      </c>
      <c r="H660" t="s">
        <v>2744</v>
      </c>
      <c r="L660" t="s">
        <v>7449</v>
      </c>
      <c r="N660" t="s">
        <v>7449</v>
      </c>
      <c r="O660" t="s">
        <v>7</v>
      </c>
      <c r="P660" t="s">
        <v>2746</v>
      </c>
      <c r="Q660" t="s">
        <v>2747</v>
      </c>
      <c r="R660" s="27" t="s">
        <v>7450</v>
      </c>
      <c r="T660" t="s">
        <v>119</v>
      </c>
    </row>
    <row r="661" spans="1:20" ht="15" customHeight="1" x14ac:dyDescent="0.4">
      <c r="A661" t="s">
        <v>2749</v>
      </c>
      <c r="B661" t="s">
        <v>2749</v>
      </c>
      <c r="C661" t="s">
        <v>151</v>
      </c>
      <c r="D661" t="s">
        <v>81</v>
      </c>
      <c r="E661" t="s">
        <v>163</v>
      </c>
      <c r="F661" t="s">
        <v>7451</v>
      </c>
      <c r="G661" t="s">
        <v>6294</v>
      </c>
      <c r="H661" t="s">
        <v>2748</v>
      </c>
      <c r="L661" t="s">
        <v>7451</v>
      </c>
      <c r="N661" t="s">
        <v>7451</v>
      </c>
      <c r="O661" t="s">
        <v>7</v>
      </c>
      <c r="P661" t="s">
        <v>2750</v>
      </c>
      <c r="Q661" t="s">
        <v>2751</v>
      </c>
      <c r="R661" s="27" t="s">
        <v>7450</v>
      </c>
      <c r="T661" t="s">
        <v>119</v>
      </c>
    </row>
    <row r="662" spans="1:20" ht="15" customHeight="1" x14ac:dyDescent="0.4">
      <c r="A662" t="s">
        <v>2753</v>
      </c>
      <c r="B662" t="s">
        <v>2753</v>
      </c>
      <c r="C662" t="s">
        <v>151</v>
      </c>
      <c r="D662" t="s">
        <v>81</v>
      </c>
      <c r="E662" t="s">
        <v>163</v>
      </c>
      <c r="F662" t="s">
        <v>7452</v>
      </c>
      <c r="G662" t="s">
        <v>6294</v>
      </c>
      <c r="H662" t="s">
        <v>2752</v>
      </c>
      <c r="L662" t="s">
        <v>7452</v>
      </c>
      <c r="N662" t="s">
        <v>7452</v>
      </c>
      <c r="O662" t="s">
        <v>7</v>
      </c>
      <c r="P662" t="s">
        <v>2754</v>
      </c>
      <c r="Q662" t="s">
        <v>2755</v>
      </c>
      <c r="R662" s="27" t="s">
        <v>7450</v>
      </c>
      <c r="T662" t="s">
        <v>119</v>
      </c>
    </row>
    <row r="663" spans="1:20" ht="15" customHeight="1" x14ac:dyDescent="0.4">
      <c r="A663" t="s">
        <v>2757</v>
      </c>
      <c r="B663" t="s">
        <v>2757</v>
      </c>
      <c r="C663" t="s">
        <v>151</v>
      </c>
      <c r="D663" t="s">
        <v>81</v>
      </c>
      <c r="E663" t="s">
        <v>163</v>
      </c>
      <c r="F663" t="s">
        <v>7453</v>
      </c>
      <c r="G663" t="s">
        <v>6294</v>
      </c>
      <c r="H663" t="s">
        <v>2756</v>
      </c>
      <c r="L663" t="s">
        <v>7453</v>
      </c>
      <c r="N663" t="s">
        <v>7453</v>
      </c>
      <c r="O663" t="s">
        <v>7</v>
      </c>
      <c r="P663" t="s">
        <v>2758</v>
      </c>
      <c r="Q663" t="s">
        <v>2759</v>
      </c>
      <c r="R663" s="27" t="s">
        <v>7454</v>
      </c>
      <c r="T663" t="s">
        <v>119</v>
      </c>
    </row>
    <row r="664" spans="1:20" ht="15" customHeight="1" x14ac:dyDescent="0.4">
      <c r="A664" t="s">
        <v>2761</v>
      </c>
      <c r="B664" t="s">
        <v>2761</v>
      </c>
      <c r="C664" t="s">
        <v>151</v>
      </c>
      <c r="D664" t="s">
        <v>81</v>
      </c>
      <c r="E664" t="s">
        <v>163</v>
      </c>
      <c r="F664" t="s">
        <v>7455</v>
      </c>
      <c r="G664" t="s">
        <v>6294</v>
      </c>
      <c r="H664" t="s">
        <v>2760</v>
      </c>
      <c r="L664" t="s">
        <v>7455</v>
      </c>
      <c r="N664" t="s">
        <v>7455</v>
      </c>
      <c r="O664" t="s">
        <v>7</v>
      </c>
      <c r="P664" t="s">
        <v>2762</v>
      </c>
      <c r="Q664" t="s">
        <v>2763</v>
      </c>
      <c r="R664" s="27" t="s">
        <v>7448</v>
      </c>
      <c r="T664" t="s">
        <v>119</v>
      </c>
    </row>
    <row r="665" spans="1:20" ht="15" customHeight="1" x14ac:dyDescent="0.4">
      <c r="A665" t="s">
        <v>2765</v>
      </c>
      <c r="B665" t="s">
        <v>2765</v>
      </c>
      <c r="C665" t="s">
        <v>151</v>
      </c>
      <c r="D665" t="s">
        <v>81</v>
      </c>
      <c r="E665" t="s">
        <v>163</v>
      </c>
      <c r="F665" t="s">
        <v>7456</v>
      </c>
      <c r="G665" t="s">
        <v>6294</v>
      </c>
      <c r="H665" t="s">
        <v>2764</v>
      </c>
      <c r="L665" t="s">
        <v>7456</v>
      </c>
      <c r="N665" t="s">
        <v>7456</v>
      </c>
      <c r="O665" t="s">
        <v>7</v>
      </c>
      <c r="P665" t="s">
        <v>2766</v>
      </c>
      <c r="Q665" t="s">
        <v>2767</v>
      </c>
      <c r="R665" s="27" t="s">
        <v>7450</v>
      </c>
      <c r="T665" t="s">
        <v>119</v>
      </c>
    </row>
    <row r="666" spans="1:20" ht="15" customHeight="1" x14ac:dyDescent="0.4">
      <c r="A666" t="s">
        <v>2769</v>
      </c>
      <c r="B666" t="s">
        <v>2769</v>
      </c>
      <c r="C666" t="s">
        <v>151</v>
      </c>
      <c r="D666" t="s">
        <v>81</v>
      </c>
      <c r="E666" t="s">
        <v>163</v>
      </c>
      <c r="F666" t="s">
        <v>7457</v>
      </c>
      <c r="G666" t="s">
        <v>6294</v>
      </c>
      <c r="H666" t="s">
        <v>2768</v>
      </c>
      <c r="L666" t="s">
        <v>7457</v>
      </c>
      <c r="N666" t="s">
        <v>7457</v>
      </c>
      <c r="O666" t="s">
        <v>7</v>
      </c>
      <c r="P666" t="s">
        <v>2770</v>
      </c>
      <c r="Q666" t="s">
        <v>2771</v>
      </c>
      <c r="R666" s="27" t="s">
        <v>7458</v>
      </c>
      <c r="T666" t="s">
        <v>119</v>
      </c>
    </row>
    <row r="667" spans="1:20" ht="15" customHeight="1" x14ac:dyDescent="0.4">
      <c r="A667" t="s">
        <v>2773</v>
      </c>
      <c r="B667" t="s">
        <v>2773</v>
      </c>
      <c r="C667" t="s">
        <v>151</v>
      </c>
      <c r="D667" t="s">
        <v>81</v>
      </c>
      <c r="E667" t="s">
        <v>163</v>
      </c>
      <c r="F667" t="s">
        <v>7459</v>
      </c>
      <c r="G667" t="s">
        <v>6294</v>
      </c>
      <c r="H667" t="s">
        <v>2772</v>
      </c>
      <c r="L667" t="s">
        <v>7459</v>
      </c>
      <c r="N667" t="s">
        <v>7459</v>
      </c>
      <c r="O667" t="s">
        <v>7</v>
      </c>
      <c r="P667" t="s">
        <v>2774</v>
      </c>
      <c r="Q667" t="s">
        <v>2775</v>
      </c>
      <c r="R667" s="27" t="s">
        <v>7460</v>
      </c>
      <c r="T667" t="s">
        <v>119</v>
      </c>
    </row>
    <row r="668" spans="1:20" ht="15" customHeight="1" x14ac:dyDescent="0.4">
      <c r="A668" t="s">
        <v>2777</v>
      </c>
      <c r="B668" t="s">
        <v>2777</v>
      </c>
      <c r="C668" t="s">
        <v>151</v>
      </c>
      <c r="D668" t="s">
        <v>81</v>
      </c>
      <c r="E668" t="s">
        <v>163</v>
      </c>
      <c r="F668" t="s">
        <v>7461</v>
      </c>
      <c r="G668" t="s">
        <v>6294</v>
      </c>
      <c r="H668" t="s">
        <v>2776</v>
      </c>
      <c r="L668" t="s">
        <v>7461</v>
      </c>
      <c r="N668" t="s">
        <v>7461</v>
      </c>
      <c r="O668" t="s">
        <v>7</v>
      </c>
      <c r="P668" t="s">
        <v>2778</v>
      </c>
      <c r="Q668" t="s">
        <v>2779</v>
      </c>
      <c r="R668" s="27" t="s">
        <v>7462</v>
      </c>
      <c r="T668" t="s">
        <v>119</v>
      </c>
    </row>
    <row r="669" spans="1:20" ht="15" customHeight="1" x14ac:dyDescent="0.4">
      <c r="A669" t="s">
        <v>2781</v>
      </c>
      <c r="B669" t="s">
        <v>2781</v>
      </c>
      <c r="C669" t="s">
        <v>151</v>
      </c>
      <c r="D669" t="s">
        <v>81</v>
      </c>
      <c r="E669" t="s">
        <v>163</v>
      </c>
      <c r="F669" t="s">
        <v>7463</v>
      </c>
      <c r="G669" t="s">
        <v>6294</v>
      </c>
      <c r="H669" t="s">
        <v>2780</v>
      </c>
      <c r="L669" t="s">
        <v>7463</v>
      </c>
      <c r="N669" t="s">
        <v>7463</v>
      </c>
      <c r="O669" t="s">
        <v>7</v>
      </c>
      <c r="P669" t="s">
        <v>2782</v>
      </c>
      <c r="Q669" t="s">
        <v>2783</v>
      </c>
      <c r="R669" s="27" t="s">
        <v>7460</v>
      </c>
      <c r="T669" t="s">
        <v>119</v>
      </c>
    </row>
    <row r="670" spans="1:20" ht="15" customHeight="1" x14ac:dyDescent="0.4">
      <c r="A670" t="s">
        <v>2785</v>
      </c>
      <c r="B670" t="s">
        <v>2785</v>
      </c>
      <c r="C670" t="s">
        <v>151</v>
      </c>
      <c r="D670" t="s">
        <v>81</v>
      </c>
      <c r="E670" t="s">
        <v>163</v>
      </c>
      <c r="F670" t="s">
        <v>7464</v>
      </c>
      <c r="G670" t="s">
        <v>6294</v>
      </c>
      <c r="H670" t="s">
        <v>2784</v>
      </c>
      <c r="L670" t="s">
        <v>7464</v>
      </c>
      <c r="N670" t="s">
        <v>7464</v>
      </c>
      <c r="O670" t="s">
        <v>7</v>
      </c>
      <c r="P670" t="s">
        <v>2786</v>
      </c>
      <c r="Q670" t="s">
        <v>2787</v>
      </c>
      <c r="R670" s="27" t="s">
        <v>7465</v>
      </c>
      <c r="T670" t="s">
        <v>119</v>
      </c>
    </row>
    <row r="671" spans="1:20" ht="15" customHeight="1" x14ac:dyDescent="0.4">
      <c r="A671" t="s">
        <v>2789</v>
      </c>
      <c r="B671" t="s">
        <v>2789</v>
      </c>
      <c r="C671" t="s">
        <v>151</v>
      </c>
      <c r="D671" t="s">
        <v>81</v>
      </c>
      <c r="E671" t="s">
        <v>163</v>
      </c>
      <c r="F671" t="s">
        <v>7466</v>
      </c>
      <c r="G671" t="s">
        <v>6294</v>
      </c>
      <c r="H671" t="s">
        <v>2788</v>
      </c>
      <c r="L671" t="s">
        <v>7466</v>
      </c>
      <c r="N671" t="s">
        <v>7466</v>
      </c>
      <c r="O671" t="s">
        <v>7</v>
      </c>
      <c r="P671" t="s">
        <v>2790</v>
      </c>
      <c r="Q671" t="s">
        <v>2791</v>
      </c>
      <c r="R671" s="27" t="s">
        <v>7467</v>
      </c>
      <c r="T671" t="s">
        <v>119</v>
      </c>
    </row>
    <row r="672" spans="1:20" ht="15" customHeight="1" x14ac:dyDescent="0.4">
      <c r="A672" t="s">
        <v>2793</v>
      </c>
      <c r="B672" t="s">
        <v>2793</v>
      </c>
      <c r="C672" t="s">
        <v>151</v>
      </c>
      <c r="D672" t="s">
        <v>81</v>
      </c>
      <c r="E672" t="s">
        <v>163</v>
      </c>
      <c r="F672" t="s">
        <v>7468</v>
      </c>
      <c r="G672" t="s">
        <v>6294</v>
      </c>
      <c r="H672" t="s">
        <v>2792</v>
      </c>
      <c r="L672" t="s">
        <v>7468</v>
      </c>
      <c r="N672" t="s">
        <v>7468</v>
      </c>
      <c r="O672" t="s">
        <v>7</v>
      </c>
      <c r="P672" t="s">
        <v>2794</v>
      </c>
      <c r="Q672" t="s">
        <v>2795</v>
      </c>
      <c r="R672" s="27" t="s">
        <v>7469</v>
      </c>
      <c r="T672" t="s">
        <v>119</v>
      </c>
    </row>
    <row r="673" spans="1:20" ht="15" customHeight="1" x14ac:dyDescent="0.4">
      <c r="A673" t="s">
        <v>2797</v>
      </c>
      <c r="B673" t="s">
        <v>2797</v>
      </c>
      <c r="C673" t="s">
        <v>151</v>
      </c>
      <c r="D673" t="s">
        <v>81</v>
      </c>
      <c r="E673" t="s">
        <v>163</v>
      </c>
      <c r="F673" t="s">
        <v>7470</v>
      </c>
      <c r="G673" t="s">
        <v>6294</v>
      </c>
      <c r="H673" t="s">
        <v>2796</v>
      </c>
      <c r="L673" t="s">
        <v>7470</v>
      </c>
      <c r="N673" t="s">
        <v>7470</v>
      </c>
      <c r="O673" t="s">
        <v>7</v>
      </c>
      <c r="P673" t="s">
        <v>2798</v>
      </c>
      <c r="Q673" t="s">
        <v>2799</v>
      </c>
      <c r="R673" s="27" t="s">
        <v>7465</v>
      </c>
      <c r="T673" t="s">
        <v>119</v>
      </c>
    </row>
    <row r="674" spans="1:20" ht="15" customHeight="1" x14ac:dyDescent="0.4">
      <c r="A674" t="s">
        <v>2801</v>
      </c>
      <c r="B674" t="s">
        <v>2801</v>
      </c>
      <c r="C674" t="s">
        <v>151</v>
      </c>
      <c r="D674" t="s">
        <v>81</v>
      </c>
      <c r="E674" t="s">
        <v>163</v>
      </c>
      <c r="F674" t="s">
        <v>7471</v>
      </c>
      <c r="G674" t="s">
        <v>6294</v>
      </c>
      <c r="H674" t="s">
        <v>2800</v>
      </c>
      <c r="L674" t="s">
        <v>7471</v>
      </c>
      <c r="N674" t="s">
        <v>7471</v>
      </c>
      <c r="O674" t="s">
        <v>7</v>
      </c>
      <c r="P674" t="s">
        <v>2802</v>
      </c>
      <c r="Q674" t="s">
        <v>2803</v>
      </c>
      <c r="R674" s="27" t="s">
        <v>7469</v>
      </c>
      <c r="T674" t="s">
        <v>119</v>
      </c>
    </row>
    <row r="675" spans="1:20" ht="15" customHeight="1" x14ac:dyDescent="0.4">
      <c r="A675" t="s">
        <v>2805</v>
      </c>
      <c r="B675" t="s">
        <v>2805</v>
      </c>
      <c r="C675" t="s">
        <v>151</v>
      </c>
      <c r="D675" t="s">
        <v>81</v>
      </c>
      <c r="E675" t="s">
        <v>163</v>
      </c>
      <c r="F675" t="s">
        <v>7472</v>
      </c>
      <c r="G675" t="s">
        <v>6294</v>
      </c>
      <c r="H675" t="s">
        <v>2804</v>
      </c>
      <c r="L675" t="s">
        <v>7472</v>
      </c>
      <c r="N675" t="s">
        <v>7472</v>
      </c>
      <c r="O675" t="s">
        <v>7</v>
      </c>
      <c r="P675" t="s">
        <v>2806</v>
      </c>
      <c r="Q675" t="s">
        <v>2807</v>
      </c>
      <c r="R675" s="27" t="s">
        <v>7460</v>
      </c>
      <c r="T675" t="s">
        <v>119</v>
      </c>
    </row>
    <row r="676" spans="1:20" ht="15" customHeight="1" x14ac:dyDescent="0.4">
      <c r="A676" t="s">
        <v>2809</v>
      </c>
      <c r="B676" t="s">
        <v>2809</v>
      </c>
      <c r="C676" t="s">
        <v>151</v>
      </c>
      <c r="D676" t="s">
        <v>81</v>
      </c>
      <c r="E676" t="s">
        <v>163</v>
      </c>
      <c r="F676" t="s">
        <v>7473</v>
      </c>
      <c r="G676" t="s">
        <v>6294</v>
      </c>
      <c r="H676" t="s">
        <v>2808</v>
      </c>
      <c r="L676" t="s">
        <v>7473</v>
      </c>
      <c r="N676" t="s">
        <v>7473</v>
      </c>
      <c r="O676" t="s">
        <v>7</v>
      </c>
      <c r="P676" t="s">
        <v>2810</v>
      </c>
      <c r="Q676" t="s">
        <v>2811</v>
      </c>
      <c r="R676" s="27" t="s">
        <v>7474</v>
      </c>
      <c r="T676" t="s">
        <v>119</v>
      </c>
    </row>
    <row r="677" spans="1:20" ht="15" customHeight="1" x14ac:dyDescent="0.4">
      <c r="A677" t="s">
        <v>2813</v>
      </c>
      <c r="B677" t="s">
        <v>2813</v>
      </c>
      <c r="C677" t="s">
        <v>151</v>
      </c>
      <c r="D677" t="s">
        <v>81</v>
      </c>
      <c r="E677" t="s">
        <v>163</v>
      </c>
      <c r="F677" t="s">
        <v>7475</v>
      </c>
      <c r="G677" t="s">
        <v>6294</v>
      </c>
      <c r="H677" t="s">
        <v>2812</v>
      </c>
      <c r="L677" t="s">
        <v>7475</v>
      </c>
      <c r="N677" t="s">
        <v>7475</v>
      </c>
      <c r="O677" t="s">
        <v>7</v>
      </c>
      <c r="P677" t="s">
        <v>2814</v>
      </c>
      <c r="Q677" t="s">
        <v>2815</v>
      </c>
      <c r="R677" s="27" t="s">
        <v>7476</v>
      </c>
      <c r="T677" t="s">
        <v>119</v>
      </c>
    </row>
    <row r="678" spans="1:20" ht="15" customHeight="1" x14ac:dyDescent="0.4">
      <c r="A678" t="s">
        <v>2817</v>
      </c>
      <c r="B678" t="s">
        <v>2817</v>
      </c>
      <c r="C678" t="s">
        <v>151</v>
      </c>
      <c r="D678" t="s">
        <v>81</v>
      </c>
      <c r="E678" t="s">
        <v>163</v>
      </c>
      <c r="F678" t="s">
        <v>7477</v>
      </c>
      <c r="G678" t="s">
        <v>6294</v>
      </c>
      <c r="H678" t="s">
        <v>2816</v>
      </c>
      <c r="L678" t="s">
        <v>7477</v>
      </c>
      <c r="N678" t="s">
        <v>7477</v>
      </c>
      <c r="O678" t="s">
        <v>7</v>
      </c>
      <c r="P678" t="s">
        <v>2818</v>
      </c>
      <c r="Q678" t="s">
        <v>2819</v>
      </c>
      <c r="R678" s="27" t="s">
        <v>7478</v>
      </c>
      <c r="T678" t="s">
        <v>119</v>
      </c>
    </row>
    <row r="679" spans="1:20" ht="15" customHeight="1" x14ac:dyDescent="0.4">
      <c r="A679" t="s">
        <v>2821</v>
      </c>
      <c r="B679" t="s">
        <v>2821</v>
      </c>
      <c r="C679" t="s">
        <v>151</v>
      </c>
      <c r="D679" t="s">
        <v>81</v>
      </c>
      <c r="E679" t="s">
        <v>163</v>
      </c>
      <c r="F679" t="s">
        <v>7479</v>
      </c>
      <c r="G679" t="s">
        <v>6294</v>
      </c>
      <c r="H679" t="s">
        <v>2820</v>
      </c>
      <c r="L679" t="s">
        <v>7479</v>
      </c>
      <c r="N679" t="s">
        <v>7479</v>
      </c>
      <c r="O679" t="s">
        <v>7</v>
      </c>
      <c r="P679" t="s">
        <v>2822</v>
      </c>
      <c r="Q679" t="s">
        <v>2823</v>
      </c>
      <c r="R679" s="27" t="s">
        <v>7465</v>
      </c>
      <c r="T679" t="s">
        <v>119</v>
      </c>
    </row>
    <row r="680" spans="1:20" ht="15" customHeight="1" x14ac:dyDescent="0.4">
      <c r="A680" t="s">
        <v>2825</v>
      </c>
      <c r="B680" t="s">
        <v>2825</v>
      </c>
      <c r="C680" t="s">
        <v>151</v>
      </c>
      <c r="D680" t="s">
        <v>81</v>
      </c>
      <c r="E680" t="s">
        <v>163</v>
      </c>
      <c r="F680" t="s">
        <v>7480</v>
      </c>
      <c r="G680" t="s">
        <v>6294</v>
      </c>
      <c r="H680" t="s">
        <v>2824</v>
      </c>
      <c r="L680" t="s">
        <v>7480</v>
      </c>
      <c r="N680" t="s">
        <v>7480</v>
      </c>
      <c r="O680" t="s">
        <v>7</v>
      </c>
      <c r="P680" t="s">
        <v>2826</v>
      </c>
      <c r="Q680" t="s">
        <v>2827</v>
      </c>
      <c r="R680" s="27" t="s">
        <v>7478</v>
      </c>
      <c r="T680" t="s">
        <v>119</v>
      </c>
    </row>
    <row r="681" spans="1:20" ht="15" customHeight="1" x14ac:dyDescent="0.4">
      <c r="A681" t="s">
        <v>2829</v>
      </c>
      <c r="B681" t="s">
        <v>2829</v>
      </c>
      <c r="C681" t="s">
        <v>151</v>
      </c>
      <c r="D681" t="s">
        <v>81</v>
      </c>
      <c r="E681" t="s">
        <v>163</v>
      </c>
      <c r="F681" t="s">
        <v>7481</v>
      </c>
      <c r="G681" t="s">
        <v>6294</v>
      </c>
      <c r="H681" t="s">
        <v>2828</v>
      </c>
      <c r="L681" t="s">
        <v>7481</v>
      </c>
      <c r="N681" t="s">
        <v>7481</v>
      </c>
      <c r="O681" t="s">
        <v>7</v>
      </c>
      <c r="P681" t="s">
        <v>2830</v>
      </c>
      <c r="Q681" t="s">
        <v>2831</v>
      </c>
      <c r="R681" s="27" t="s">
        <v>7465</v>
      </c>
      <c r="T681" t="s">
        <v>119</v>
      </c>
    </row>
    <row r="682" spans="1:20" ht="15" customHeight="1" x14ac:dyDescent="0.4">
      <c r="A682" t="s">
        <v>2833</v>
      </c>
      <c r="B682" t="s">
        <v>2833</v>
      </c>
      <c r="C682" t="s">
        <v>151</v>
      </c>
      <c r="D682" t="s">
        <v>81</v>
      </c>
      <c r="E682" t="s">
        <v>163</v>
      </c>
      <c r="F682" t="s">
        <v>7482</v>
      </c>
      <c r="G682" t="s">
        <v>6294</v>
      </c>
      <c r="H682" t="s">
        <v>2832</v>
      </c>
      <c r="L682" t="s">
        <v>7482</v>
      </c>
      <c r="N682" t="s">
        <v>7482</v>
      </c>
      <c r="O682" t="s">
        <v>7</v>
      </c>
      <c r="P682" t="s">
        <v>2834</v>
      </c>
      <c r="Q682" t="s">
        <v>2835</v>
      </c>
      <c r="R682" s="27" t="s">
        <v>7483</v>
      </c>
      <c r="T682" t="s">
        <v>119</v>
      </c>
    </row>
    <row r="683" spans="1:20" ht="15" customHeight="1" x14ac:dyDescent="0.4">
      <c r="A683" t="s">
        <v>2837</v>
      </c>
      <c r="B683" t="s">
        <v>2837</v>
      </c>
      <c r="C683" t="s">
        <v>151</v>
      </c>
      <c r="D683" t="s">
        <v>81</v>
      </c>
      <c r="E683" t="s">
        <v>163</v>
      </c>
      <c r="F683" t="s">
        <v>7484</v>
      </c>
      <c r="G683" t="s">
        <v>6294</v>
      </c>
      <c r="H683" t="s">
        <v>2836</v>
      </c>
      <c r="L683" t="s">
        <v>7484</v>
      </c>
      <c r="N683" t="s">
        <v>7484</v>
      </c>
      <c r="O683" t="s">
        <v>7</v>
      </c>
      <c r="P683" t="s">
        <v>2838</v>
      </c>
      <c r="Q683" t="s">
        <v>2839</v>
      </c>
      <c r="R683" s="27" t="s">
        <v>7485</v>
      </c>
      <c r="T683" t="s">
        <v>119</v>
      </c>
    </row>
    <row r="684" spans="1:20" ht="15" customHeight="1" x14ac:dyDescent="0.4">
      <c r="A684" t="s">
        <v>2841</v>
      </c>
      <c r="B684" t="s">
        <v>2841</v>
      </c>
      <c r="C684" t="s">
        <v>151</v>
      </c>
      <c r="D684" t="s">
        <v>81</v>
      </c>
      <c r="E684" t="s">
        <v>163</v>
      </c>
      <c r="F684" t="s">
        <v>7486</v>
      </c>
      <c r="G684" t="s">
        <v>6294</v>
      </c>
      <c r="H684" t="s">
        <v>2840</v>
      </c>
      <c r="L684" t="s">
        <v>7486</v>
      </c>
      <c r="N684" t="s">
        <v>7486</v>
      </c>
      <c r="O684" t="s">
        <v>7</v>
      </c>
      <c r="P684" t="s">
        <v>2842</v>
      </c>
      <c r="Q684" t="s">
        <v>2843</v>
      </c>
      <c r="R684" s="27" t="s">
        <v>7465</v>
      </c>
      <c r="T684" t="s">
        <v>119</v>
      </c>
    </row>
    <row r="685" spans="1:20" ht="15" customHeight="1" x14ac:dyDescent="0.4">
      <c r="A685" t="s">
        <v>2845</v>
      </c>
      <c r="B685" t="s">
        <v>2845</v>
      </c>
      <c r="C685" t="s">
        <v>151</v>
      </c>
      <c r="D685" t="s">
        <v>81</v>
      </c>
      <c r="E685" t="s">
        <v>163</v>
      </c>
      <c r="F685" t="s">
        <v>7487</v>
      </c>
      <c r="G685" t="s">
        <v>6294</v>
      </c>
      <c r="H685" t="s">
        <v>2844</v>
      </c>
      <c r="L685" t="s">
        <v>7487</v>
      </c>
      <c r="N685" t="s">
        <v>7487</v>
      </c>
      <c r="O685" t="s">
        <v>7</v>
      </c>
      <c r="P685" t="s">
        <v>2846</v>
      </c>
      <c r="Q685" t="s">
        <v>2847</v>
      </c>
      <c r="R685" s="27" t="s">
        <v>7469</v>
      </c>
      <c r="T685" t="s">
        <v>119</v>
      </c>
    </row>
    <row r="686" spans="1:20" ht="15" customHeight="1" x14ac:dyDescent="0.4">
      <c r="A686" t="s">
        <v>2849</v>
      </c>
      <c r="B686" t="s">
        <v>2849</v>
      </c>
      <c r="C686" t="s">
        <v>151</v>
      </c>
      <c r="D686" t="s">
        <v>81</v>
      </c>
      <c r="E686" t="s">
        <v>163</v>
      </c>
      <c r="F686" t="s">
        <v>7488</v>
      </c>
      <c r="G686" t="s">
        <v>6294</v>
      </c>
      <c r="H686" t="s">
        <v>2848</v>
      </c>
      <c r="L686" t="s">
        <v>7488</v>
      </c>
      <c r="N686" t="s">
        <v>7488</v>
      </c>
      <c r="O686" t="s">
        <v>7</v>
      </c>
      <c r="P686" t="s">
        <v>2850</v>
      </c>
      <c r="Q686" t="s">
        <v>2851</v>
      </c>
      <c r="R686" s="27" t="s">
        <v>7460</v>
      </c>
      <c r="T686" t="s">
        <v>119</v>
      </c>
    </row>
    <row r="687" spans="1:20" ht="15" customHeight="1" x14ac:dyDescent="0.4">
      <c r="A687" t="s">
        <v>2853</v>
      </c>
      <c r="B687" t="s">
        <v>2853</v>
      </c>
      <c r="C687" t="s">
        <v>151</v>
      </c>
      <c r="D687" t="s">
        <v>81</v>
      </c>
      <c r="E687" t="s">
        <v>163</v>
      </c>
      <c r="F687" t="s">
        <v>7489</v>
      </c>
      <c r="G687" t="s">
        <v>6294</v>
      </c>
      <c r="H687" t="s">
        <v>2852</v>
      </c>
      <c r="L687" t="s">
        <v>7489</v>
      </c>
      <c r="N687" t="s">
        <v>7489</v>
      </c>
      <c r="O687" t="s">
        <v>7</v>
      </c>
      <c r="P687" t="s">
        <v>2854</v>
      </c>
      <c r="Q687" t="s">
        <v>2855</v>
      </c>
      <c r="R687" s="27" t="s">
        <v>7465</v>
      </c>
      <c r="T687" t="s">
        <v>119</v>
      </c>
    </row>
    <row r="688" spans="1:20" ht="15" customHeight="1" x14ac:dyDescent="0.4">
      <c r="A688" t="s">
        <v>2857</v>
      </c>
      <c r="B688" t="s">
        <v>2857</v>
      </c>
      <c r="C688" t="s">
        <v>151</v>
      </c>
      <c r="D688" t="s">
        <v>81</v>
      </c>
      <c r="E688" t="s">
        <v>163</v>
      </c>
      <c r="F688" t="s">
        <v>7490</v>
      </c>
      <c r="G688" t="s">
        <v>6294</v>
      </c>
      <c r="H688" t="s">
        <v>2856</v>
      </c>
      <c r="L688" t="s">
        <v>7490</v>
      </c>
      <c r="N688" t="s">
        <v>7490</v>
      </c>
      <c r="O688" t="s">
        <v>7</v>
      </c>
      <c r="P688" t="s">
        <v>2858</v>
      </c>
      <c r="Q688" t="s">
        <v>2859</v>
      </c>
      <c r="R688" s="27" t="s">
        <v>7465</v>
      </c>
      <c r="T688" t="s">
        <v>119</v>
      </c>
    </row>
    <row r="689" spans="1:20" ht="15" customHeight="1" x14ac:dyDescent="0.4">
      <c r="A689" t="s">
        <v>2861</v>
      </c>
      <c r="B689" t="s">
        <v>2861</v>
      </c>
      <c r="C689" t="s">
        <v>151</v>
      </c>
      <c r="D689" t="s">
        <v>81</v>
      </c>
      <c r="E689" t="s">
        <v>163</v>
      </c>
      <c r="F689" t="s">
        <v>7491</v>
      </c>
      <c r="G689" t="s">
        <v>6294</v>
      </c>
      <c r="H689" t="s">
        <v>2860</v>
      </c>
      <c r="L689" t="s">
        <v>7491</v>
      </c>
      <c r="N689" t="s">
        <v>7491</v>
      </c>
      <c r="O689" t="s">
        <v>7</v>
      </c>
      <c r="P689" t="s">
        <v>2862</v>
      </c>
      <c r="Q689" t="s">
        <v>2863</v>
      </c>
      <c r="R689" s="27" t="s">
        <v>7492</v>
      </c>
      <c r="T689" t="s">
        <v>119</v>
      </c>
    </row>
    <row r="690" spans="1:20" ht="15" customHeight="1" x14ac:dyDescent="0.4">
      <c r="A690" t="s">
        <v>2865</v>
      </c>
      <c r="B690" t="s">
        <v>2865</v>
      </c>
      <c r="C690" t="s">
        <v>151</v>
      </c>
      <c r="D690" t="s">
        <v>81</v>
      </c>
      <c r="E690" t="s">
        <v>163</v>
      </c>
      <c r="F690" t="s">
        <v>7493</v>
      </c>
      <c r="G690" t="s">
        <v>6294</v>
      </c>
      <c r="H690" t="s">
        <v>2864</v>
      </c>
      <c r="L690" t="s">
        <v>7493</v>
      </c>
      <c r="N690" t="s">
        <v>7493</v>
      </c>
      <c r="O690" t="s">
        <v>7</v>
      </c>
      <c r="P690" t="s">
        <v>2866</v>
      </c>
      <c r="Q690" t="s">
        <v>2867</v>
      </c>
      <c r="R690" s="27" t="s">
        <v>7465</v>
      </c>
      <c r="T690" t="s">
        <v>119</v>
      </c>
    </row>
    <row r="691" spans="1:20" ht="15" customHeight="1" x14ac:dyDescent="0.4">
      <c r="A691" t="s">
        <v>2869</v>
      </c>
      <c r="B691" t="s">
        <v>2869</v>
      </c>
      <c r="C691" t="s">
        <v>151</v>
      </c>
      <c r="D691" t="s">
        <v>81</v>
      </c>
      <c r="E691" t="s">
        <v>163</v>
      </c>
      <c r="F691" t="s">
        <v>7494</v>
      </c>
      <c r="G691" t="s">
        <v>6294</v>
      </c>
      <c r="H691" t="s">
        <v>2868</v>
      </c>
      <c r="L691" t="s">
        <v>7494</v>
      </c>
      <c r="N691" t="s">
        <v>7494</v>
      </c>
      <c r="O691" t="s">
        <v>7</v>
      </c>
      <c r="P691" t="s">
        <v>2870</v>
      </c>
      <c r="Q691" t="s">
        <v>2871</v>
      </c>
      <c r="R691" s="27" t="s">
        <v>7460</v>
      </c>
      <c r="T691" t="s">
        <v>119</v>
      </c>
    </row>
    <row r="692" spans="1:20" ht="15" customHeight="1" x14ac:dyDescent="0.4">
      <c r="A692" t="s">
        <v>2873</v>
      </c>
      <c r="B692" t="s">
        <v>2873</v>
      </c>
      <c r="C692" t="s">
        <v>151</v>
      </c>
      <c r="D692" t="s">
        <v>81</v>
      </c>
      <c r="E692" t="s">
        <v>163</v>
      </c>
      <c r="F692" t="s">
        <v>7495</v>
      </c>
      <c r="G692" t="s">
        <v>6294</v>
      </c>
      <c r="H692" t="s">
        <v>2872</v>
      </c>
      <c r="L692" t="s">
        <v>7495</v>
      </c>
      <c r="N692" t="s">
        <v>7495</v>
      </c>
      <c r="O692" t="s">
        <v>7</v>
      </c>
      <c r="P692" t="s">
        <v>2874</v>
      </c>
      <c r="Q692" t="s">
        <v>2875</v>
      </c>
      <c r="R692" s="27" t="s">
        <v>7460</v>
      </c>
      <c r="T692" t="s">
        <v>119</v>
      </c>
    </row>
    <row r="693" spans="1:20" ht="15" customHeight="1" x14ac:dyDescent="0.4">
      <c r="A693" t="s">
        <v>2877</v>
      </c>
      <c r="B693" t="s">
        <v>2877</v>
      </c>
      <c r="C693" t="s">
        <v>151</v>
      </c>
      <c r="D693" t="s">
        <v>81</v>
      </c>
      <c r="E693" t="s">
        <v>163</v>
      </c>
      <c r="F693" t="s">
        <v>7496</v>
      </c>
      <c r="G693" t="s">
        <v>6294</v>
      </c>
      <c r="H693" t="s">
        <v>2876</v>
      </c>
      <c r="L693" t="s">
        <v>7496</v>
      </c>
      <c r="N693" t="s">
        <v>7496</v>
      </c>
      <c r="O693" t="s">
        <v>7</v>
      </c>
      <c r="P693" t="s">
        <v>2878</v>
      </c>
      <c r="Q693" t="s">
        <v>2879</v>
      </c>
      <c r="R693" s="27" t="s">
        <v>7469</v>
      </c>
      <c r="T693" t="s">
        <v>119</v>
      </c>
    </row>
    <row r="694" spans="1:20" ht="15" customHeight="1" x14ac:dyDescent="0.4">
      <c r="A694" t="s">
        <v>2881</v>
      </c>
      <c r="B694" t="s">
        <v>2881</v>
      </c>
      <c r="C694" t="s">
        <v>151</v>
      </c>
      <c r="D694" t="s">
        <v>81</v>
      </c>
      <c r="E694" t="s">
        <v>163</v>
      </c>
      <c r="F694" t="s">
        <v>7497</v>
      </c>
      <c r="G694" t="s">
        <v>6294</v>
      </c>
      <c r="H694" t="s">
        <v>2880</v>
      </c>
      <c r="L694" t="s">
        <v>7497</v>
      </c>
      <c r="N694" t="s">
        <v>7497</v>
      </c>
      <c r="O694" t="s">
        <v>7</v>
      </c>
      <c r="P694" t="s">
        <v>2882</v>
      </c>
      <c r="Q694" t="s">
        <v>2883</v>
      </c>
      <c r="R694" s="27" t="s">
        <v>7498</v>
      </c>
      <c r="T694" t="s">
        <v>119</v>
      </c>
    </row>
    <row r="695" spans="1:20" ht="15" customHeight="1" x14ac:dyDescent="0.4">
      <c r="A695" t="s">
        <v>2885</v>
      </c>
      <c r="B695" t="s">
        <v>2885</v>
      </c>
      <c r="C695" t="s">
        <v>151</v>
      </c>
      <c r="D695" t="s">
        <v>81</v>
      </c>
      <c r="E695" t="s">
        <v>163</v>
      </c>
      <c r="F695" t="s">
        <v>7499</v>
      </c>
      <c r="G695" t="s">
        <v>6294</v>
      </c>
      <c r="H695" t="s">
        <v>2884</v>
      </c>
      <c r="L695" t="s">
        <v>7499</v>
      </c>
      <c r="N695" t="s">
        <v>7499</v>
      </c>
      <c r="O695" t="s">
        <v>7</v>
      </c>
      <c r="P695" t="s">
        <v>2886</v>
      </c>
      <c r="Q695" t="s">
        <v>2887</v>
      </c>
      <c r="R695" s="27" t="s">
        <v>7500</v>
      </c>
      <c r="T695" t="s">
        <v>119</v>
      </c>
    </row>
    <row r="696" spans="1:20" ht="15" customHeight="1" x14ac:dyDescent="0.4">
      <c r="A696" t="s">
        <v>2889</v>
      </c>
      <c r="B696" t="s">
        <v>2889</v>
      </c>
      <c r="C696" t="s">
        <v>151</v>
      </c>
      <c r="D696" t="s">
        <v>81</v>
      </c>
      <c r="E696" t="s">
        <v>163</v>
      </c>
      <c r="F696" t="s">
        <v>7501</v>
      </c>
      <c r="G696" t="s">
        <v>6294</v>
      </c>
      <c r="H696" t="s">
        <v>2888</v>
      </c>
      <c r="L696" t="s">
        <v>7501</v>
      </c>
      <c r="N696" t="s">
        <v>7501</v>
      </c>
      <c r="O696" t="s">
        <v>7</v>
      </c>
      <c r="P696" t="s">
        <v>2890</v>
      </c>
      <c r="Q696" t="s">
        <v>2891</v>
      </c>
      <c r="R696" s="27" t="s">
        <v>7502</v>
      </c>
      <c r="T696" t="s">
        <v>119</v>
      </c>
    </row>
    <row r="697" spans="1:20" ht="15" customHeight="1" x14ac:dyDescent="0.4">
      <c r="A697" t="s">
        <v>2893</v>
      </c>
      <c r="B697" t="s">
        <v>2893</v>
      </c>
      <c r="C697" t="s">
        <v>151</v>
      </c>
      <c r="D697" t="s">
        <v>81</v>
      </c>
      <c r="E697" t="s">
        <v>163</v>
      </c>
      <c r="F697" t="s">
        <v>7503</v>
      </c>
      <c r="G697" t="s">
        <v>6294</v>
      </c>
      <c r="H697" t="s">
        <v>2892</v>
      </c>
      <c r="L697" t="s">
        <v>7503</v>
      </c>
      <c r="N697" t="s">
        <v>7503</v>
      </c>
      <c r="O697" t="s">
        <v>7</v>
      </c>
      <c r="P697" t="s">
        <v>2894</v>
      </c>
      <c r="Q697" t="s">
        <v>2895</v>
      </c>
      <c r="R697" s="27" t="s">
        <v>7465</v>
      </c>
      <c r="T697" t="s">
        <v>119</v>
      </c>
    </row>
    <row r="698" spans="1:20" ht="15" customHeight="1" x14ac:dyDescent="0.4">
      <c r="A698" t="s">
        <v>2897</v>
      </c>
      <c r="B698" t="s">
        <v>2897</v>
      </c>
      <c r="C698" t="s">
        <v>151</v>
      </c>
      <c r="D698" t="s">
        <v>81</v>
      </c>
      <c r="E698" t="s">
        <v>163</v>
      </c>
      <c r="F698" t="s">
        <v>7504</v>
      </c>
      <c r="G698" t="s">
        <v>6294</v>
      </c>
      <c r="H698" t="s">
        <v>2896</v>
      </c>
      <c r="L698" t="s">
        <v>7504</v>
      </c>
      <c r="N698" t="s">
        <v>7504</v>
      </c>
      <c r="O698" t="s">
        <v>7</v>
      </c>
      <c r="P698" t="s">
        <v>2898</v>
      </c>
      <c r="Q698" t="s">
        <v>2899</v>
      </c>
      <c r="R698" s="27" t="s">
        <v>7505</v>
      </c>
      <c r="T698" t="s">
        <v>119</v>
      </c>
    </row>
    <row r="699" spans="1:20" ht="15" customHeight="1" x14ac:dyDescent="0.4">
      <c r="A699" t="s">
        <v>2901</v>
      </c>
      <c r="B699" t="s">
        <v>2901</v>
      </c>
      <c r="C699" t="s">
        <v>151</v>
      </c>
      <c r="D699" t="s">
        <v>81</v>
      </c>
      <c r="E699" t="s">
        <v>163</v>
      </c>
      <c r="F699" t="s">
        <v>7506</v>
      </c>
      <c r="G699" t="s">
        <v>6294</v>
      </c>
      <c r="H699" t="s">
        <v>2900</v>
      </c>
      <c r="L699" t="s">
        <v>7506</v>
      </c>
      <c r="N699" t="s">
        <v>7506</v>
      </c>
      <c r="O699" t="s">
        <v>7</v>
      </c>
      <c r="P699" t="s">
        <v>2902</v>
      </c>
      <c r="Q699" t="s">
        <v>2903</v>
      </c>
      <c r="R699" s="27" t="s">
        <v>7505</v>
      </c>
      <c r="T699" t="s">
        <v>119</v>
      </c>
    </row>
    <row r="700" spans="1:20" ht="15" customHeight="1" x14ac:dyDescent="0.4">
      <c r="A700" t="s">
        <v>2905</v>
      </c>
      <c r="B700" t="s">
        <v>2905</v>
      </c>
      <c r="C700" t="s">
        <v>151</v>
      </c>
      <c r="D700" t="s">
        <v>81</v>
      </c>
      <c r="E700" t="s">
        <v>163</v>
      </c>
      <c r="F700" t="s">
        <v>7507</v>
      </c>
      <c r="G700" t="s">
        <v>6294</v>
      </c>
      <c r="H700" t="s">
        <v>2904</v>
      </c>
      <c r="L700" t="s">
        <v>7507</v>
      </c>
      <c r="N700" t="s">
        <v>7507</v>
      </c>
      <c r="O700" t="s">
        <v>7</v>
      </c>
      <c r="P700" t="s">
        <v>2906</v>
      </c>
      <c r="Q700" t="s">
        <v>2907</v>
      </c>
      <c r="R700" s="27" t="s">
        <v>7508</v>
      </c>
      <c r="T700" t="s">
        <v>119</v>
      </c>
    </row>
    <row r="701" spans="1:20" ht="15" customHeight="1" x14ac:dyDescent="0.4">
      <c r="A701" t="s">
        <v>2909</v>
      </c>
      <c r="B701" t="s">
        <v>2909</v>
      </c>
      <c r="C701" t="s">
        <v>151</v>
      </c>
      <c r="D701" t="s">
        <v>81</v>
      </c>
      <c r="E701" t="s">
        <v>163</v>
      </c>
      <c r="F701" t="s">
        <v>7509</v>
      </c>
      <c r="G701" t="s">
        <v>6294</v>
      </c>
      <c r="H701" t="s">
        <v>2908</v>
      </c>
      <c r="L701" t="s">
        <v>7509</v>
      </c>
      <c r="N701" t="s">
        <v>7509</v>
      </c>
      <c r="O701" t="s">
        <v>7</v>
      </c>
      <c r="P701" t="s">
        <v>2910</v>
      </c>
      <c r="Q701" t="s">
        <v>2911</v>
      </c>
      <c r="R701" s="27" t="s">
        <v>7510</v>
      </c>
      <c r="T701" t="s">
        <v>119</v>
      </c>
    </row>
    <row r="702" spans="1:20" ht="15" customHeight="1" x14ac:dyDescent="0.4">
      <c r="A702" t="s">
        <v>2913</v>
      </c>
      <c r="B702" t="s">
        <v>2913</v>
      </c>
      <c r="C702" t="s">
        <v>151</v>
      </c>
      <c r="D702" t="s">
        <v>81</v>
      </c>
      <c r="E702" t="s">
        <v>163</v>
      </c>
      <c r="F702" t="s">
        <v>7511</v>
      </c>
      <c r="G702" t="s">
        <v>6294</v>
      </c>
      <c r="H702" t="s">
        <v>2912</v>
      </c>
      <c r="L702" t="s">
        <v>7511</v>
      </c>
      <c r="N702" t="s">
        <v>7511</v>
      </c>
      <c r="O702" t="s">
        <v>7</v>
      </c>
      <c r="P702" t="s">
        <v>2914</v>
      </c>
      <c r="Q702" t="s">
        <v>2915</v>
      </c>
      <c r="R702" s="27" t="s">
        <v>7508</v>
      </c>
      <c r="T702" t="s">
        <v>119</v>
      </c>
    </row>
    <row r="703" spans="1:20" ht="15" customHeight="1" x14ac:dyDescent="0.4">
      <c r="A703" t="s">
        <v>2917</v>
      </c>
      <c r="B703" t="s">
        <v>2917</v>
      </c>
      <c r="C703" t="s">
        <v>151</v>
      </c>
      <c r="D703" t="s">
        <v>81</v>
      </c>
      <c r="E703" t="s">
        <v>163</v>
      </c>
      <c r="F703" t="s">
        <v>7512</v>
      </c>
      <c r="G703" t="s">
        <v>6294</v>
      </c>
      <c r="H703" t="s">
        <v>2916</v>
      </c>
      <c r="L703" t="s">
        <v>7512</v>
      </c>
      <c r="N703" t="s">
        <v>7512</v>
      </c>
      <c r="O703" t="s">
        <v>7</v>
      </c>
      <c r="P703" t="s">
        <v>2918</v>
      </c>
      <c r="Q703" t="s">
        <v>2919</v>
      </c>
      <c r="R703" s="27" t="s">
        <v>7508</v>
      </c>
      <c r="T703" t="s">
        <v>119</v>
      </c>
    </row>
    <row r="704" spans="1:20" ht="15" customHeight="1" x14ac:dyDescent="0.4">
      <c r="A704" t="s">
        <v>2921</v>
      </c>
      <c r="B704" t="s">
        <v>2921</v>
      </c>
      <c r="C704" t="s">
        <v>151</v>
      </c>
      <c r="D704" t="s">
        <v>81</v>
      </c>
      <c r="E704" t="s">
        <v>163</v>
      </c>
      <c r="F704" t="s">
        <v>7513</v>
      </c>
      <c r="G704" t="s">
        <v>6294</v>
      </c>
      <c r="H704" t="s">
        <v>2920</v>
      </c>
      <c r="L704" t="s">
        <v>7513</v>
      </c>
      <c r="N704" t="s">
        <v>7513</v>
      </c>
      <c r="O704" t="s">
        <v>7</v>
      </c>
      <c r="P704" t="s">
        <v>2922</v>
      </c>
      <c r="Q704" t="s">
        <v>2923</v>
      </c>
      <c r="R704" s="27" t="s">
        <v>7505</v>
      </c>
      <c r="T704" t="s">
        <v>119</v>
      </c>
    </row>
    <row r="705" spans="1:20" ht="15" customHeight="1" x14ac:dyDescent="0.4">
      <c r="A705" t="s">
        <v>2925</v>
      </c>
      <c r="B705" t="s">
        <v>2925</v>
      </c>
      <c r="C705" t="s">
        <v>151</v>
      </c>
      <c r="D705" t="s">
        <v>81</v>
      </c>
      <c r="E705" t="s">
        <v>163</v>
      </c>
      <c r="F705" t="s">
        <v>7514</v>
      </c>
      <c r="G705" t="s">
        <v>6294</v>
      </c>
      <c r="H705" t="s">
        <v>2924</v>
      </c>
      <c r="L705" t="s">
        <v>7514</v>
      </c>
      <c r="N705" t="s">
        <v>7514</v>
      </c>
      <c r="O705" t="s">
        <v>7</v>
      </c>
      <c r="P705" t="s">
        <v>2926</v>
      </c>
      <c r="Q705" t="s">
        <v>2927</v>
      </c>
      <c r="R705" s="27" t="s">
        <v>7505</v>
      </c>
      <c r="T705" t="s">
        <v>119</v>
      </c>
    </row>
    <row r="706" spans="1:20" ht="15" customHeight="1" x14ac:dyDescent="0.4">
      <c r="A706" t="s">
        <v>2929</v>
      </c>
      <c r="B706" t="s">
        <v>2929</v>
      </c>
      <c r="C706" t="s">
        <v>151</v>
      </c>
      <c r="D706" t="s">
        <v>81</v>
      </c>
      <c r="E706" t="s">
        <v>163</v>
      </c>
      <c r="F706" t="s">
        <v>7515</v>
      </c>
      <c r="G706" t="s">
        <v>6294</v>
      </c>
      <c r="H706" t="s">
        <v>2928</v>
      </c>
      <c r="L706" t="s">
        <v>7515</v>
      </c>
      <c r="N706" t="s">
        <v>7515</v>
      </c>
      <c r="O706" t="s">
        <v>7</v>
      </c>
      <c r="P706" t="s">
        <v>2930</v>
      </c>
      <c r="Q706" t="s">
        <v>2931</v>
      </c>
      <c r="R706" s="27" t="s">
        <v>7505</v>
      </c>
      <c r="T706" t="s">
        <v>119</v>
      </c>
    </row>
    <row r="707" spans="1:20" ht="15" customHeight="1" x14ac:dyDescent="0.4">
      <c r="A707" t="s">
        <v>2933</v>
      </c>
      <c r="B707" t="s">
        <v>2933</v>
      </c>
      <c r="C707" t="s">
        <v>151</v>
      </c>
      <c r="D707" t="s">
        <v>81</v>
      </c>
      <c r="E707" t="s">
        <v>163</v>
      </c>
      <c r="F707" t="s">
        <v>7516</v>
      </c>
      <c r="G707" t="s">
        <v>6294</v>
      </c>
      <c r="H707" t="s">
        <v>2932</v>
      </c>
      <c r="L707" t="s">
        <v>7516</v>
      </c>
      <c r="N707" t="s">
        <v>7516</v>
      </c>
      <c r="O707" t="s">
        <v>7</v>
      </c>
      <c r="P707" t="s">
        <v>2934</v>
      </c>
      <c r="Q707" t="s">
        <v>2935</v>
      </c>
      <c r="R707" s="27" t="s">
        <v>7510</v>
      </c>
      <c r="T707" t="s">
        <v>119</v>
      </c>
    </row>
    <row r="708" spans="1:20" ht="15" customHeight="1" x14ac:dyDescent="0.4">
      <c r="A708" t="s">
        <v>2937</v>
      </c>
      <c r="B708" t="s">
        <v>2937</v>
      </c>
      <c r="C708" t="s">
        <v>151</v>
      </c>
      <c r="D708" t="s">
        <v>81</v>
      </c>
      <c r="E708" t="s">
        <v>163</v>
      </c>
      <c r="F708" t="s">
        <v>7517</v>
      </c>
      <c r="G708" t="s">
        <v>6294</v>
      </c>
      <c r="H708" t="s">
        <v>2936</v>
      </c>
      <c r="L708" t="s">
        <v>7517</v>
      </c>
      <c r="N708" t="s">
        <v>7517</v>
      </c>
      <c r="O708" t="s">
        <v>7</v>
      </c>
      <c r="P708" t="s">
        <v>2938</v>
      </c>
      <c r="Q708" t="s">
        <v>2939</v>
      </c>
      <c r="R708" s="27" t="s">
        <v>7510</v>
      </c>
      <c r="T708" t="s">
        <v>119</v>
      </c>
    </row>
    <row r="709" spans="1:20" ht="15" customHeight="1" x14ac:dyDescent="0.4">
      <c r="A709" t="s">
        <v>2941</v>
      </c>
      <c r="B709" t="s">
        <v>2941</v>
      </c>
      <c r="C709" t="s">
        <v>151</v>
      </c>
      <c r="D709" t="s">
        <v>81</v>
      </c>
      <c r="E709" t="s">
        <v>163</v>
      </c>
      <c r="F709" t="s">
        <v>7518</v>
      </c>
      <c r="G709" t="s">
        <v>6294</v>
      </c>
      <c r="H709" t="s">
        <v>2940</v>
      </c>
      <c r="L709" t="s">
        <v>7518</v>
      </c>
      <c r="N709" t="s">
        <v>7518</v>
      </c>
      <c r="O709" t="s">
        <v>7</v>
      </c>
      <c r="P709" t="s">
        <v>2942</v>
      </c>
      <c r="Q709" t="s">
        <v>2943</v>
      </c>
      <c r="R709" s="27" t="s">
        <v>7510</v>
      </c>
      <c r="T709" t="s">
        <v>119</v>
      </c>
    </row>
    <row r="710" spans="1:20" ht="15" customHeight="1" x14ac:dyDescent="0.4">
      <c r="A710" t="s">
        <v>2945</v>
      </c>
      <c r="B710" t="s">
        <v>2945</v>
      </c>
      <c r="C710" t="s">
        <v>151</v>
      </c>
      <c r="D710" t="s">
        <v>81</v>
      </c>
      <c r="E710" t="s">
        <v>163</v>
      </c>
      <c r="F710" t="s">
        <v>7519</v>
      </c>
      <c r="G710" t="s">
        <v>6294</v>
      </c>
      <c r="H710" t="s">
        <v>2944</v>
      </c>
      <c r="L710" t="s">
        <v>7519</v>
      </c>
      <c r="N710" t="s">
        <v>7519</v>
      </c>
      <c r="O710" t="s">
        <v>7</v>
      </c>
      <c r="P710" t="s">
        <v>2946</v>
      </c>
      <c r="Q710" t="s">
        <v>2947</v>
      </c>
      <c r="R710" s="27" t="s">
        <v>7505</v>
      </c>
      <c r="T710" t="s">
        <v>119</v>
      </c>
    </row>
    <row r="711" spans="1:20" ht="15" customHeight="1" x14ac:dyDescent="0.4">
      <c r="A711" t="s">
        <v>2949</v>
      </c>
      <c r="B711" t="s">
        <v>2949</v>
      </c>
      <c r="C711" t="s">
        <v>151</v>
      </c>
      <c r="D711" t="s">
        <v>81</v>
      </c>
      <c r="E711" t="s">
        <v>163</v>
      </c>
      <c r="F711" t="s">
        <v>7520</v>
      </c>
      <c r="G711" t="s">
        <v>6294</v>
      </c>
      <c r="H711" t="s">
        <v>2948</v>
      </c>
      <c r="L711" t="s">
        <v>7520</v>
      </c>
      <c r="N711" t="s">
        <v>7520</v>
      </c>
      <c r="O711" t="s">
        <v>7</v>
      </c>
      <c r="P711" t="s">
        <v>2950</v>
      </c>
      <c r="Q711" t="s">
        <v>2951</v>
      </c>
      <c r="R711" s="27" t="s">
        <v>7505</v>
      </c>
      <c r="T711" t="s">
        <v>119</v>
      </c>
    </row>
    <row r="712" spans="1:20" ht="15" customHeight="1" x14ac:dyDescent="0.4">
      <c r="A712" t="s">
        <v>2953</v>
      </c>
      <c r="B712" t="s">
        <v>2953</v>
      </c>
      <c r="C712" t="s">
        <v>151</v>
      </c>
      <c r="D712" t="s">
        <v>81</v>
      </c>
      <c r="E712" t="s">
        <v>163</v>
      </c>
      <c r="F712" t="s">
        <v>7521</v>
      </c>
      <c r="G712" t="s">
        <v>6294</v>
      </c>
      <c r="H712" t="s">
        <v>2952</v>
      </c>
      <c r="L712" t="s">
        <v>7521</v>
      </c>
      <c r="N712" t="s">
        <v>7521</v>
      </c>
      <c r="O712" t="s">
        <v>7</v>
      </c>
      <c r="P712" t="s">
        <v>2954</v>
      </c>
      <c r="Q712" t="s">
        <v>2955</v>
      </c>
      <c r="R712" s="27" t="s">
        <v>7510</v>
      </c>
      <c r="T712" t="s">
        <v>119</v>
      </c>
    </row>
    <row r="713" spans="1:20" ht="15" customHeight="1" x14ac:dyDescent="0.4">
      <c r="A713" t="s">
        <v>2957</v>
      </c>
      <c r="B713" t="s">
        <v>2957</v>
      </c>
      <c r="C713" t="s">
        <v>151</v>
      </c>
      <c r="D713" t="s">
        <v>81</v>
      </c>
      <c r="E713" t="s">
        <v>163</v>
      </c>
      <c r="F713" t="s">
        <v>7522</v>
      </c>
      <c r="G713" t="s">
        <v>6294</v>
      </c>
      <c r="H713" t="s">
        <v>2956</v>
      </c>
      <c r="L713" t="s">
        <v>7522</v>
      </c>
      <c r="N713" t="s">
        <v>7522</v>
      </c>
      <c r="O713" t="s">
        <v>7</v>
      </c>
      <c r="P713" t="s">
        <v>2958</v>
      </c>
      <c r="Q713" t="s">
        <v>2959</v>
      </c>
      <c r="R713" s="27" t="s">
        <v>7523</v>
      </c>
      <c r="T713" t="s">
        <v>119</v>
      </c>
    </row>
    <row r="714" spans="1:20" ht="15" customHeight="1" x14ac:dyDescent="0.4">
      <c r="A714" t="s">
        <v>2961</v>
      </c>
      <c r="B714" t="s">
        <v>2961</v>
      </c>
      <c r="C714" t="s">
        <v>151</v>
      </c>
      <c r="D714" t="s">
        <v>81</v>
      </c>
      <c r="E714" t="s">
        <v>163</v>
      </c>
      <c r="F714" t="s">
        <v>7524</v>
      </c>
      <c r="G714" t="s">
        <v>6294</v>
      </c>
      <c r="H714" t="s">
        <v>2960</v>
      </c>
      <c r="L714" t="s">
        <v>7524</v>
      </c>
      <c r="N714" t="s">
        <v>7524</v>
      </c>
      <c r="O714" t="s">
        <v>7</v>
      </c>
      <c r="P714" t="s">
        <v>2962</v>
      </c>
      <c r="Q714" t="s">
        <v>2963</v>
      </c>
      <c r="R714" s="27" t="s">
        <v>7525</v>
      </c>
      <c r="T714" t="s">
        <v>119</v>
      </c>
    </row>
    <row r="715" spans="1:20" ht="15" customHeight="1" x14ac:dyDescent="0.4">
      <c r="A715" t="s">
        <v>2965</v>
      </c>
      <c r="B715" t="s">
        <v>2965</v>
      </c>
      <c r="C715" t="s">
        <v>151</v>
      </c>
      <c r="D715" t="s">
        <v>81</v>
      </c>
      <c r="E715" t="s">
        <v>163</v>
      </c>
      <c r="F715" t="s">
        <v>7526</v>
      </c>
      <c r="G715" t="s">
        <v>6294</v>
      </c>
      <c r="H715" t="s">
        <v>2964</v>
      </c>
      <c r="L715" t="s">
        <v>7526</v>
      </c>
      <c r="N715" t="s">
        <v>7526</v>
      </c>
      <c r="O715" t="s">
        <v>7</v>
      </c>
      <c r="P715" t="s">
        <v>2966</v>
      </c>
      <c r="Q715" t="s">
        <v>2967</v>
      </c>
      <c r="R715" s="27" t="s">
        <v>7527</v>
      </c>
      <c r="T715" t="s">
        <v>119</v>
      </c>
    </row>
    <row r="716" spans="1:20" ht="15" customHeight="1" x14ac:dyDescent="0.4">
      <c r="A716" t="s">
        <v>2969</v>
      </c>
      <c r="B716" t="s">
        <v>2969</v>
      </c>
      <c r="C716" t="s">
        <v>151</v>
      </c>
      <c r="D716" t="s">
        <v>81</v>
      </c>
      <c r="E716" t="s">
        <v>163</v>
      </c>
      <c r="F716" t="s">
        <v>7528</v>
      </c>
      <c r="G716" t="s">
        <v>6294</v>
      </c>
      <c r="H716" t="s">
        <v>2968</v>
      </c>
      <c r="L716" t="s">
        <v>7528</v>
      </c>
      <c r="N716" t="s">
        <v>7528</v>
      </c>
      <c r="O716" t="s">
        <v>7</v>
      </c>
      <c r="P716" t="s">
        <v>2970</v>
      </c>
      <c r="Q716" t="s">
        <v>2971</v>
      </c>
      <c r="R716" s="27" t="s">
        <v>7529</v>
      </c>
      <c r="T716" t="s">
        <v>119</v>
      </c>
    </row>
    <row r="717" spans="1:20" ht="15" customHeight="1" x14ac:dyDescent="0.4">
      <c r="A717" t="s">
        <v>2973</v>
      </c>
      <c r="B717" t="s">
        <v>2973</v>
      </c>
      <c r="C717" t="s">
        <v>151</v>
      </c>
      <c r="D717" t="s">
        <v>81</v>
      </c>
      <c r="E717" t="s">
        <v>163</v>
      </c>
      <c r="F717" t="s">
        <v>7530</v>
      </c>
      <c r="G717" t="s">
        <v>6294</v>
      </c>
      <c r="H717" t="s">
        <v>2972</v>
      </c>
      <c r="L717" t="s">
        <v>7530</v>
      </c>
      <c r="N717" t="s">
        <v>7530</v>
      </c>
      <c r="O717" t="s">
        <v>7</v>
      </c>
      <c r="P717" t="s">
        <v>2974</v>
      </c>
      <c r="Q717" t="s">
        <v>2975</v>
      </c>
      <c r="R717" s="27" t="s">
        <v>7523</v>
      </c>
      <c r="T717" t="s">
        <v>119</v>
      </c>
    </row>
    <row r="718" spans="1:20" ht="15" customHeight="1" x14ac:dyDescent="0.4">
      <c r="A718" t="s">
        <v>2977</v>
      </c>
      <c r="B718" t="s">
        <v>2977</v>
      </c>
      <c r="C718" t="s">
        <v>151</v>
      </c>
      <c r="D718" t="s">
        <v>81</v>
      </c>
      <c r="E718" t="s">
        <v>163</v>
      </c>
      <c r="F718" t="s">
        <v>7531</v>
      </c>
      <c r="G718" t="s">
        <v>6294</v>
      </c>
      <c r="H718" t="s">
        <v>2976</v>
      </c>
      <c r="L718" t="s">
        <v>7531</v>
      </c>
      <c r="N718" t="s">
        <v>7531</v>
      </c>
      <c r="O718" t="s">
        <v>7</v>
      </c>
      <c r="P718" t="s">
        <v>2978</v>
      </c>
      <c r="Q718" t="s">
        <v>2979</v>
      </c>
      <c r="R718" s="27" t="s">
        <v>7523</v>
      </c>
      <c r="T718" t="s">
        <v>119</v>
      </c>
    </row>
    <row r="719" spans="1:20" ht="15" customHeight="1" x14ac:dyDescent="0.4">
      <c r="A719" t="s">
        <v>2981</v>
      </c>
      <c r="B719" t="s">
        <v>2981</v>
      </c>
      <c r="C719" t="s">
        <v>151</v>
      </c>
      <c r="D719" t="s">
        <v>81</v>
      </c>
      <c r="E719" t="s">
        <v>163</v>
      </c>
      <c r="F719" t="s">
        <v>7532</v>
      </c>
      <c r="G719" t="s">
        <v>6294</v>
      </c>
      <c r="H719" t="s">
        <v>2980</v>
      </c>
      <c r="L719" t="s">
        <v>7532</v>
      </c>
      <c r="N719" t="s">
        <v>7532</v>
      </c>
      <c r="O719" t="s">
        <v>7</v>
      </c>
      <c r="P719" t="s">
        <v>2982</v>
      </c>
      <c r="Q719" t="s">
        <v>2983</v>
      </c>
      <c r="R719" s="27" t="s">
        <v>7525</v>
      </c>
      <c r="T719" t="s">
        <v>119</v>
      </c>
    </row>
    <row r="720" spans="1:20" ht="15" customHeight="1" x14ac:dyDescent="0.4">
      <c r="A720" t="s">
        <v>2985</v>
      </c>
      <c r="B720" t="s">
        <v>2985</v>
      </c>
      <c r="C720" t="s">
        <v>151</v>
      </c>
      <c r="D720" t="s">
        <v>81</v>
      </c>
      <c r="E720" t="s">
        <v>163</v>
      </c>
      <c r="F720" t="s">
        <v>7533</v>
      </c>
      <c r="G720" t="s">
        <v>6294</v>
      </c>
      <c r="H720" t="s">
        <v>2984</v>
      </c>
      <c r="L720" t="s">
        <v>7533</v>
      </c>
      <c r="N720" t="s">
        <v>7533</v>
      </c>
      <c r="O720" t="s">
        <v>7</v>
      </c>
      <c r="P720" t="s">
        <v>2986</v>
      </c>
      <c r="Q720" t="s">
        <v>2987</v>
      </c>
      <c r="R720" s="27" t="s">
        <v>7525</v>
      </c>
      <c r="T720" t="s">
        <v>119</v>
      </c>
    </row>
    <row r="721" spans="1:20" ht="15" customHeight="1" x14ac:dyDescent="0.4">
      <c r="A721" t="s">
        <v>2989</v>
      </c>
      <c r="B721" t="s">
        <v>2989</v>
      </c>
      <c r="C721" t="s">
        <v>151</v>
      </c>
      <c r="D721" t="s">
        <v>81</v>
      </c>
      <c r="E721" t="s">
        <v>163</v>
      </c>
      <c r="F721" t="s">
        <v>7534</v>
      </c>
      <c r="G721" t="s">
        <v>6294</v>
      </c>
      <c r="H721" t="s">
        <v>2988</v>
      </c>
      <c r="L721" t="s">
        <v>7534</v>
      </c>
      <c r="N721" t="s">
        <v>7534</v>
      </c>
      <c r="O721" t="s">
        <v>7</v>
      </c>
      <c r="P721" t="s">
        <v>2990</v>
      </c>
      <c r="Q721" t="s">
        <v>2991</v>
      </c>
      <c r="R721" s="27" t="s">
        <v>7527</v>
      </c>
      <c r="T721" t="s">
        <v>119</v>
      </c>
    </row>
    <row r="722" spans="1:20" ht="15" customHeight="1" x14ac:dyDescent="0.4">
      <c r="A722" t="s">
        <v>2993</v>
      </c>
      <c r="B722" t="s">
        <v>2993</v>
      </c>
      <c r="C722" t="s">
        <v>151</v>
      </c>
      <c r="D722" t="s">
        <v>81</v>
      </c>
      <c r="E722" t="s">
        <v>163</v>
      </c>
      <c r="F722" t="s">
        <v>7535</v>
      </c>
      <c r="G722" t="s">
        <v>6294</v>
      </c>
      <c r="H722" t="s">
        <v>2992</v>
      </c>
      <c r="L722" t="s">
        <v>7535</v>
      </c>
      <c r="N722" t="s">
        <v>7535</v>
      </c>
      <c r="O722" t="s">
        <v>7</v>
      </c>
      <c r="P722" t="s">
        <v>2994</v>
      </c>
      <c r="Q722" t="s">
        <v>2995</v>
      </c>
      <c r="R722" s="27" t="s">
        <v>7536</v>
      </c>
      <c r="T722" t="s">
        <v>119</v>
      </c>
    </row>
    <row r="723" spans="1:20" ht="15" customHeight="1" x14ac:dyDescent="0.4">
      <c r="A723" t="s">
        <v>2997</v>
      </c>
      <c r="B723" t="s">
        <v>2997</v>
      </c>
      <c r="C723" t="s">
        <v>151</v>
      </c>
      <c r="D723" t="s">
        <v>81</v>
      </c>
      <c r="E723" t="s">
        <v>163</v>
      </c>
      <c r="F723" t="s">
        <v>7537</v>
      </c>
      <c r="G723" t="s">
        <v>6294</v>
      </c>
      <c r="H723" t="s">
        <v>2996</v>
      </c>
      <c r="L723" t="s">
        <v>7537</v>
      </c>
      <c r="N723" t="s">
        <v>7537</v>
      </c>
      <c r="O723" t="s">
        <v>7</v>
      </c>
      <c r="P723" t="s">
        <v>2998</v>
      </c>
      <c r="Q723" t="s">
        <v>2999</v>
      </c>
      <c r="R723" s="27" t="s">
        <v>7527</v>
      </c>
      <c r="T723" t="s">
        <v>119</v>
      </c>
    </row>
    <row r="724" spans="1:20" ht="15" customHeight="1" x14ac:dyDescent="0.4">
      <c r="A724" t="s">
        <v>3001</v>
      </c>
      <c r="B724" t="s">
        <v>3001</v>
      </c>
      <c r="C724" t="s">
        <v>151</v>
      </c>
      <c r="D724" t="s">
        <v>81</v>
      </c>
      <c r="E724" t="s">
        <v>163</v>
      </c>
      <c r="F724" t="s">
        <v>7538</v>
      </c>
      <c r="G724" t="s">
        <v>6294</v>
      </c>
      <c r="H724" t="s">
        <v>3000</v>
      </c>
      <c r="L724" t="s">
        <v>7538</v>
      </c>
      <c r="N724" t="s">
        <v>7538</v>
      </c>
      <c r="O724" t="s">
        <v>7</v>
      </c>
      <c r="P724" t="s">
        <v>3002</v>
      </c>
      <c r="Q724" t="s">
        <v>3003</v>
      </c>
      <c r="R724" s="27" t="s">
        <v>7529</v>
      </c>
      <c r="T724" t="s">
        <v>119</v>
      </c>
    </row>
    <row r="725" spans="1:20" ht="15" customHeight="1" x14ac:dyDescent="0.4">
      <c r="A725" t="s">
        <v>3005</v>
      </c>
      <c r="B725" t="s">
        <v>3005</v>
      </c>
      <c r="C725" t="s">
        <v>151</v>
      </c>
      <c r="D725" t="s">
        <v>81</v>
      </c>
      <c r="E725" t="s">
        <v>163</v>
      </c>
      <c r="F725" t="s">
        <v>7539</v>
      </c>
      <c r="G725" t="s">
        <v>6294</v>
      </c>
      <c r="H725" t="s">
        <v>3004</v>
      </c>
      <c r="L725" t="s">
        <v>7539</v>
      </c>
      <c r="N725" t="s">
        <v>7539</v>
      </c>
      <c r="O725" t="s">
        <v>7</v>
      </c>
      <c r="P725" t="s">
        <v>3006</v>
      </c>
      <c r="Q725" t="s">
        <v>3007</v>
      </c>
      <c r="R725" s="27" t="s">
        <v>7540</v>
      </c>
      <c r="T725" t="s">
        <v>119</v>
      </c>
    </row>
    <row r="726" spans="1:20" ht="15" customHeight="1" x14ac:dyDescent="0.4">
      <c r="A726" t="s">
        <v>3009</v>
      </c>
      <c r="B726" t="s">
        <v>3009</v>
      </c>
      <c r="C726" t="s">
        <v>151</v>
      </c>
      <c r="D726" t="s">
        <v>81</v>
      </c>
      <c r="E726" t="s">
        <v>163</v>
      </c>
      <c r="F726" t="s">
        <v>7541</v>
      </c>
      <c r="G726" t="s">
        <v>6294</v>
      </c>
      <c r="H726" t="s">
        <v>3008</v>
      </c>
      <c r="L726" t="s">
        <v>7541</v>
      </c>
      <c r="N726" t="s">
        <v>7541</v>
      </c>
      <c r="O726" t="s">
        <v>7</v>
      </c>
      <c r="P726" t="s">
        <v>3010</v>
      </c>
      <c r="Q726" t="s">
        <v>3011</v>
      </c>
      <c r="R726" s="27" t="s">
        <v>7529</v>
      </c>
      <c r="T726" t="s">
        <v>119</v>
      </c>
    </row>
    <row r="727" spans="1:20" ht="15" customHeight="1" x14ac:dyDescent="0.4">
      <c r="A727" t="s">
        <v>3013</v>
      </c>
      <c r="B727" t="s">
        <v>3013</v>
      </c>
      <c r="C727" t="s">
        <v>151</v>
      </c>
      <c r="D727" t="s">
        <v>81</v>
      </c>
      <c r="E727" t="s">
        <v>163</v>
      </c>
      <c r="F727" t="s">
        <v>7542</v>
      </c>
      <c r="G727" t="s">
        <v>6294</v>
      </c>
      <c r="H727" t="s">
        <v>3012</v>
      </c>
      <c r="L727" t="s">
        <v>7542</v>
      </c>
      <c r="N727" t="s">
        <v>7542</v>
      </c>
      <c r="O727" t="s">
        <v>7</v>
      </c>
      <c r="P727" t="s">
        <v>3014</v>
      </c>
      <c r="Q727" t="s">
        <v>3015</v>
      </c>
      <c r="R727" s="27" t="s">
        <v>7525</v>
      </c>
      <c r="T727" t="s">
        <v>119</v>
      </c>
    </row>
    <row r="728" spans="1:20" ht="15" customHeight="1" x14ac:dyDescent="0.4">
      <c r="A728" t="s">
        <v>3017</v>
      </c>
      <c r="B728" t="s">
        <v>3017</v>
      </c>
      <c r="C728" t="s">
        <v>151</v>
      </c>
      <c r="D728" t="s">
        <v>81</v>
      </c>
      <c r="E728" t="s">
        <v>163</v>
      </c>
      <c r="F728" t="s">
        <v>7543</v>
      </c>
      <c r="G728" t="s">
        <v>6294</v>
      </c>
      <c r="H728" t="s">
        <v>3016</v>
      </c>
      <c r="L728" t="s">
        <v>7543</v>
      </c>
      <c r="N728" t="s">
        <v>7543</v>
      </c>
      <c r="O728" t="s">
        <v>7</v>
      </c>
      <c r="P728" t="s">
        <v>3018</v>
      </c>
      <c r="Q728" t="s">
        <v>3019</v>
      </c>
      <c r="R728" s="27" t="s">
        <v>7536</v>
      </c>
      <c r="T728" t="s">
        <v>119</v>
      </c>
    </row>
    <row r="729" spans="1:20" ht="15" customHeight="1" x14ac:dyDescent="0.4">
      <c r="A729" t="s">
        <v>3021</v>
      </c>
      <c r="B729" t="s">
        <v>3021</v>
      </c>
      <c r="C729" t="s">
        <v>151</v>
      </c>
      <c r="D729" t="s">
        <v>81</v>
      </c>
      <c r="E729" t="s">
        <v>163</v>
      </c>
      <c r="F729" t="s">
        <v>7544</v>
      </c>
      <c r="G729" t="s">
        <v>6294</v>
      </c>
      <c r="H729" t="s">
        <v>3020</v>
      </c>
      <c r="L729" t="s">
        <v>7544</v>
      </c>
      <c r="N729" t="s">
        <v>7544</v>
      </c>
      <c r="O729" t="s">
        <v>7</v>
      </c>
      <c r="P729" t="s">
        <v>3022</v>
      </c>
      <c r="Q729" t="s">
        <v>3023</v>
      </c>
      <c r="R729" s="27" t="s">
        <v>7525</v>
      </c>
      <c r="T729" t="s">
        <v>119</v>
      </c>
    </row>
    <row r="730" spans="1:20" ht="15" customHeight="1" x14ac:dyDescent="0.4">
      <c r="A730" t="s">
        <v>3025</v>
      </c>
      <c r="B730" t="s">
        <v>3025</v>
      </c>
      <c r="C730" t="s">
        <v>151</v>
      </c>
      <c r="D730" t="s">
        <v>81</v>
      </c>
      <c r="E730" t="s">
        <v>163</v>
      </c>
      <c r="F730" t="s">
        <v>7545</v>
      </c>
      <c r="G730" t="s">
        <v>6294</v>
      </c>
      <c r="H730" t="s">
        <v>3024</v>
      </c>
      <c r="L730" t="s">
        <v>7545</v>
      </c>
      <c r="N730" t="s">
        <v>7545</v>
      </c>
      <c r="O730" t="s">
        <v>7</v>
      </c>
      <c r="P730" t="s">
        <v>3026</v>
      </c>
      <c r="Q730" t="s">
        <v>3027</v>
      </c>
      <c r="R730" s="27" t="s">
        <v>7525</v>
      </c>
      <c r="T730" t="s">
        <v>119</v>
      </c>
    </row>
    <row r="731" spans="1:20" ht="15" customHeight="1" x14ac:dyDescent="0.4">
      <c r="A731" t="s">
        <v>3029</v>
      </c>
      <c r="B731" t="s">
        <v>3029</v>
      </c>
      <c r="C731" t="s">
        <v>151</v>
      </c>
      <c r="D731" t="s">
        <v>81</v>
      </c>
      <c r="E731" t="s">
        <v>163</v>
      </c>
      <c r="F731" t="s">
        <v>7546</v>
      </c>
      <c r="G731" t="s">
        <v>6294</v>
      </c>
      <c r="H731" t="s">
        <v>3028</v>
      </c>
      <c r="L731" t="s">
        <v>7546</v>
      </c>
      <c r="N731" t="s">
        <v>7546</v>
      </c>
      <c r="O731" t="s">
        <v>7</v>
      </c>
      <c r="P731" t="s">
        <v>3030</v>
      </c>
      <c r="Q731" t="s">
        <v>3031</v>
      </c>
      <c r="R731" s="27" t="s">
        <v>7527</v>
      </c>
      <c r="T731" t="s">
        <v>119</v>
      </c>
    </row>
    <row r="732" spans="1:20" ht="15" customHeight="1" x14ac:dyDescent="0.4">
      <c r="A732" t="s">
        <v>3033</v>
      </c>
      <c r="B732" t="s">
        <v>3033</v>
      </c>
      <c r="C732" t="s">
        <v>151</v>
      </c>
      <c r="D732" t="s">
        <v>81</v>
      </c>
      <c r="E732" t="s">
        <v>163</v>
      </c>
      <c r="F732" t="s">
        <v>7547</v>
      </c>
      <c r="G732" t="s">
        <v>6294</v>
      </c>
      <c r="H732" t="s">
        <v>3032</v>
      </c>
      <c r="L732" t="s">
        <v>7547</v>
      </c>
      <c r="N732" t="s">
        <v>7547</v>
      </c>
      <c r="O732" t="s">
        <v>7</v>
      </c>
      <c r="P732" t="s">
        <v>3034</v>
      </c>
      <c r="Q732" t="s">
        <v>3035</v>
      </c>
      <c r="R732" s="27" t="s">
        <v>7525</v>
      </c>
      <c r="T732" t="s">
        <v>119</v>
      </c>
    </row>
    <row r="733" spans="1:20" ht="15" customHeight="1" x14ac:dyDescent="0.4">
      <c r="A733" t="s">
        <v>3037</v>
      </c>
      <c r="B733" t="s">
        <v>3037</v>
      </c>
      <c r="C733" t="s">
        <v>151</v>
      </c>
      <c r="D733" t="s">
        <v>81</v>
      </c>
      <c r="E733" t="s">
        <v>163</v>
      </c>
      <c r="F733" t="s">
        <v>7548</v>
      </c>
      <c r="G733" t="s">
        <v>6294</v>
      </c>
      <c r="H733" t="s">
        <v>3036</v>
      </c>
      <c r="L733" t="s">
        <v>7548</v>
      </c>
      <c r="N733" t="s">
        <v>7548</v>
      </c>
      <c r="O733" t="s">
        <v>7</v>
      </c>
      <c r="P733" t="s">
        <v>3038</v>
      </c>
      <c r="Q733" t="s">
        <v>3039</v>
      </c>
      <c r="R733" s="27" t="s">
        <v>7540</v>
      </c>
      <c r="T733" t="s">
        <v>119</v>
      </c>
    </row>
    <row r="734" spans="1:20" ht="15" customHeight="1" x14ac:dyDescent="0.4">
      <c r="A734" t="s">
        <v>3041</v>
      </c>
      <c r="B734" t="s">
        <v>3041</v>
      </c>
      <c r="C734" t="s">
        <v>151</v>
      </c>
      <c r="D734" t="s">
        <v>81</v>
      </c>
      <c r="E734" t="s">
        <v>163</v>
      </c>
      <c r="F734" t="s">
        <v>7549</v>
      </c>
      <c r="G734" t="s">
        <v>6294</v>
      </c>
      <c r="H734" t="s">
        <v>3040</v>
      </c>
      <c r="L734" t="s">
        <v>7549</v>
      </c>
      <c r="N734" t="s">
        <v>7549</v>
      </c>
      <c r="O734" t="s">
        <v>7</v>
      </c>
      <c r="P734" t="s">
        <v>3042</v>
      </c>
      <c r="Q734" t="s">
        <v>3043</v>
      </c>
      <c r="R734" s="27" t="s">
        <v>7527</v>
      </c>
      <c r="T734" t="s">
        <v>119</v>
      </c>
    </row>
    <row r="735" spans="1:20" ht="15" customHeight="1" x14ac:dyDescent="0.4">
      <c r="A735" t="s">
        <v>3045</v>
      </c>
      <c r="B735" t="s">
        <v>3045</v>
      </c>
      <c r="C735" t="s">
        <v>151</v>
      </c>
      <c r="D735" t="s">
        <v>81</v>
      </c>
      <c r="E735" t="s">
        <v>163</v>
      </c>
      <c r="F735" t="s">
        <v>7550</v>
      </c>
      <c r="G735" t="s">
        <v>6294</v>
      </c>
      <c r="H735" t="s">
        <v>3044</v>
      </c>
      <c r="L735" t="s">
        <v>7550</v>
      </c>
      <c r="N735" t="s">
        <v>7550</v>
      </c>
      <c r="O735" t="s">
        <v>7</v>
      </c>
      <c r="P735" t="s">
        <v>3046</v>
      </c>
      <c r="Q735" t="s">
        <v>3047</v>
      </c>
      <c r="R735" s="27" t="s">
        <v>7529</v>
      </c>
      <c r="T735" t="s">
        <v>119</v>
      </c>
    </row>
    <row r="736" spans="1:20" ht="15" customHeight="1" x14ac:dyDescent="0.4">
      <c r="A736" t="s">
        <v>3049</v>
      </c>
      <c r="B736" t="s">
        <v>3049</v>
      </c>
      <c r="C736" t="s">
        <v>151</v>
      </c>
      <c r="D736" t="s">
        <v>81</v>
      </c>
      <c r="E736" t="s">
        <v>163</v>
      </c>
      <c r="F736" t="s">
        <v>7551</v>
      </c>
      <c r="G736" t="s">
        <v>6294</v>
      </c>
      <c r="H736" t="s">
        <v>3048</v>
      </c>
      <c r="L736" t="s">
        <v>7551</v>
      </c>
      <c r="N736" t="s">
        <v>7551</v>
      </c>
      <c r="O736" t="s">
        <v>7</v>
      </c>
      <c r="P736" t="s">
        <v>3050</v>
      </c>
      <c r="Q736" t="s">
        <v>3051</v>
      </c>
      <c r="R736" s="27" t="s">
        <v>7523</v>
      </c>
      <c r="T736" t="s">
        <v>119</v>
      </c>
    </row>
    <row r="737" spans="1:20" ht="15" customHeight="1" x14ac:dyDescent="0.4">
      <c r="A737" t="s">
        <v>3053</v>
      </c>
      <c r="B737" t="s">
        <v>3053</v>
      </c>
      <c r="C737" t="s">
        <v>151</v>
      </c>
      <c r="D737" t="s">
        <v>81</v>
      </c>
      <c r="E737" t="s">
        <v>163</v>
      </c>
      <c r="F737" t="s">
        <v>7552</v>
      </c>
      <c r="G737" t="s">
        <v>6294</v>
      </c>
      <c r="H737" t="s">
        <v>3052</v>
      </c>
      <c r="L737" t="s">
        <v>7552</v>
      </c>
      <c r="N737" t="s">
        <v>7552</v>
      </c>
      <c r="O737" t="s">
        <v>7</v>
      </c>
      <c r="P737" t="s">
        <v>3054</v>
      </c>
      <c r="Q737" t="s">
        <v>3055</v>
      </c>
      <c r="R737" s="27" t="s">
        <v>7525</v>
      </c>
      <c r="T737" t="s">
        <v>119</v>
      </c>
    </row>
    <row r="738" spans="1:20" ht="15" customHeight="1" x14ac:dyDescent="0.4">
      <c r="A738" t="s">
        <v>3057</v>
      </c>
      <c r="B738" t="s">
        <v>3057</v>
      </c>
      <c r="C738" t="s">
        <v>151</v>
      </c>
      <c r="D738" t="s">
        <v>81</v>
      </c>
      <c r="E738" t="s">
        <v>163</v>
      </c>
      <c r="F738" t="s">
        <v>7553</v>
      </c>
      <c r="G738" t="s">
        <v>6294</v>
      </c>
      <c r="H738" t="s">
        <v>3056</v>
      </c>
      <c r="L738" t="s">
        <v>7553</v>
      </c>
      <c r="N738" t="s">
        <v>7553</v>
      </c>
      <c r="O738" t="s">
        <v>7</v>
      </c>
      <c r="P738" t="s">
        <v>3058</v>
      </c>
      <c r="Q738" t="s">
        <v>3059</v>
      </c>
      <c r="R738" s="27" t="s">
        <v>7529</v>
      </c>
      <c r="T738" t="s">
        <v>119</v>
      </c>
    </row>
    <row r="739" spans="1:20" ht="15" customHeight="1" x14ac:dyDescent="0.4">
      <c r="A739" t="s">
        <v>3061</v>
      </c>
      <c r="B739" t="s">
        <v>3061</v>
      </c>
      <c r="C739" t="s">
        <v>151</v>
      </c>
      <c r="D739" t="s">
        <v>81</v>
      </c>
      <c r="E739" t="s">
        <v>163</v>
      </c>
      <c r="F739" t="s">
        <v>7554</v>
      </c>
      <c r="G739" t="s">
        <v>6294</v>
      </c>
      <c r="H739" t="s">
        <v>3060</v>
      </c>
      <c r="L739" t="s">
        <v>7554</v>
      </c>
      <c r="N739" t="s">
        <v>7554</v>
      </c>
      <c r="O739" t="s">
        <v>7</v>
      </c>
      <c r="P739" t="s">
        <v>3062</v>
      </c>
      <c r="Q739" t="s">
        <v>3063</v>
      </c>
      <c r="R739" s="27" t="s">
        <v>7540</v>
      </c>
      <c r="T739" t="s">
        <v>119</v>
      </c>
    </row>
    <row r="740" spans="1:20" ht="15" customHeight="1" x14ac:dyDescent="0.4">
      <c r="A740" t="s">
        <v>3065</v>
      </c>
      <c r="B740" t="s">
        <v>3065</v>
      </c>
      <c r="C740" t="s">
        <v>151</v>
      </c>
      <c r="D740" t="s">
        <v>81</v>
      </c>
      <c r="E740" t="s">
        <v>163</v>
      </c>
      <c r="F740" t="s">
        <v>7555</v>
      </c>
      <c r="G740" t="s">
        <v>6294</v>
      </c>
      <c r="H740" t="s">
        <v>3064</v>
      </c>
      <c r="L740" t="s">
        <v>7555</v>
      </c>
      <c r="N740" t="s">
        <v>7555</v>
      </c>
      <c r="O740" t="s">
        <v>7</v>
      </c>
      <c r="P740" t="s">
        <v>3066</v>
      </c>
      <c r="Q740" t="s">
        <v>3067</v>
      </c>
      <c r="R740" s="27" t="s">
        <v>7556</v>
      </c>
      <c r="T740" t="s">
        <v>119</v>
      </c>
    </row>
    <row r="741" spans="1:20" ht="15" customHeight="1" x14ac:dyDescent="0.4">
      <c r="A741" t="s">
        <v>3069</v>
      </c>
      <c r="B741" t="s">
        <v>3069</v>
      </c>
      <c r="C741" t="s">
        <v>151</v>
      </c>
      <c r="D741" t="s">
        <v>81</v>
      </c>
      <c r="E741" t="s">
        <v>163</v>
      </c>
      <c r="F741" t="s">
        <v>7557</v>
      </c>
      <c r="G741" t="s">
        <v>6294</v>
      </c>
      <c r="H741" t="s">
        <v>3068</v>
      </c>
      <c r="L741" t="s">
        <v>7557</v>
      </c>
      <c r="N741" t="s">
        <v>7557</v>
      </c>
      <c r="O741" t="s">
        <v>7</v>
      </c>
      <c r="P741" t="s">
        <v>3070</v>
      </c>
      <c r="Q741" t="s">
        <v>3071</v>
      </c>
      <c r="R741" s="27" t="s">
        <v>7558</v>
      </c>
      <c r="T741" t="s">
        <v>119</v>
      </c>
    </row>
    <row r="742" spans="1:20" ht="15" customHeight="1" x14ac:dyDescent="0.4">
      <c r="A742" t="s">
        <v>3073</v>
      </c>
      <c r="B742" t="s">
        <v>3073</v>
      </c>
      <c r="C742" t="s">
        <v>151</v>
      </c>
      <c r="D742" t="s">
        <v>81</v>
      </c>
      <c r="E742" t="s">
        <v>163</v>
      </c>
      <c r="F742" t="s">
        <v>7559</v>
      </c>
      <c r="G742" t="s">
        <v>6294</v>
      </c>
      <c r="H742" t="s">
        <v>3072</v>
      </c>
      <c r="L742" t="s">
        <v>7559</v>
      </c>
      <c r="N742" t="s">
        <v>7559</v>
      </c>
      <c r="O742" t="s">
        <v>7</v>
      </c>
      <c r="P742" t="s">
        <v>3074</v>
      </c>
      <c r="Q742" t="s">
        <v>3075</v>
      </c>
      <c r="R742" s="27" t="s">
        <v>7558</v>
      </c>
      <c r="T742" t="s">
        <v>119</v>
      </c>
    </row>
    <row r="743" spans="1:20" ht="15" customHeight="1" x14ac:dyDescent="0.4">
      <c r="A743" t="s">
        <v>3077</v>
      </c>
      <c r="B743" t="s">
        <v>3077</v>
      </c>
      <c r="C743" t="s">
        <v>151</v>
      </c>
      <c r="D743" t="s">
        <v>81</v>
      </c>
      <c r="E743" t="s">
        <v>163</v>
      </c>
      <c r="F743" t="s">
        <v>7560</v>
      </c>
      <c r="G743" t="s">
        <v>6294</v>
      </c>
      <c r="H743" t="s">
        <v>3076</v>
      </c>
      <c r="L743" t="s">
        <v>7560</v>
      </c>
      <c r="N743" t="s">
        <v>7560</v>
      </c>
      <c r="O743" t="s">
        <v>7</v>
      </c>
      <c r="P743" t="s">
        <v>3078</v>
      </c>
      <c r="Q743" t="s">
        <v>3079</v>
      </c>
      <c r="R743" s="27" t="s">
        <v>7561</v>
      </c>
      <c r="T743" t="s">
        <v>119</v>
      </c>
    </row>
    <row r="744" spans="1:20" ht="15" customHeight="1" x14ac:dyDescent="0.4">
      <c r="A744" t="s">
        <v>3081</v>
      </c>
      <c r="B744" t="s">
        <v>3081</v>
      </c>
      <c r="C744" t="s">
        <v>151</v>
      </c>
      <c r="D744" t="s">
        <v>81</v>
      </c>
      <c r="E744" t="s">
        <v>163</v>
      </c>
      <c r="F744" t="s">
        <v>7562</v>
      </c>
      <c r="G744" t="s">
        <v>6294</v>
      </c>
      <c r="H744" t="s">
        <v>3080</v>
      </c>
      <c r="L744" t="s">
        <v>7562</v>
      </c>
      <c r="N744" t="s">
        <v>7562</v>
      </c>
      <c r="O744" t="s">
        <v>7</v>
      </c>
      <c r="P744" t="s">
        <v>3082</v>
      </c>
      <c r="Q744" t="s">
        <v>3083</v>
      </c>
      <c r="R744" s="27" t="s">
        <v>7563</v>
      </c>
      <c r="T744" t="s">
        <v>119</v>
      </c>
    </row>
    <row r="745" spans="1:20" ht="15" customHeight="1" x14ac:dyDescent="0.4">
      <c r="A745" t="s">
        <v>3085</v>
      </c>
      <c r="B745" t="s">
        <v>3085</v>
      </c>
      <c r="C745" t="s">
        <v>151</v>
      </c>
      <c r="D745" t="s">
        <v>81</v>
      </c>
      <c r="E745" t="s">
        <v>163</v>
      </c>
      <c r="F745" t="s">
        <v>7564</v>
      </c>
      <c r="G745" t="s">
        <v>6294</v>
      </c>
      <c r="H745" t="s">
        <v>3084</v>
      </c>
      <c r="L745" t="s">
        <v>7564</v>
      </c>
      <c r="N745" t="s">
        <v>7564</v>
      </c>
      <c r="O745" t="s">
        <v>7</v>
      </c>
      <c r="P745" t="s">
        <v>3086</v>
      </c>
      <c r="Q745" t="s">
        <v>3087</v>
      </c>
      <c r="R745" s="27" t="s">
        <v>7558</v>
      </c>
      <c r="T745" t="s">
        <v>119</v>
      </c>
    </row>
    <row r="746" spans="1:20" ht="15" customHeight="1" x14ac:dyDescent="0.4">
      <c r="A746" t="s">
        <v>3089</v>
      </c>
      <c r="B746" t="s">
        <v>3089</v>
      </c>
      <c r="C746" t="s">
        <v>151</v>
      </c>
      <c r="D746" t="s">
        <v>81</v>
      </c>
      <c r="E746" t="s">
        <v>163</v>
      </c>
      <c r="F746" t="s">
        <v>7565</v>
      </c>
      <c r="G746" t="s">
        <v>6294</v>
      </c>
      <c r="H746" t="s">
        <v>3088</v>
      </c>
      <c r="L746" t="s">
        <v>7565</v>
      </c>
      <c r="N746" t="s">
        <v>7565</v>
      </c>
      <c r="O746" t="s">
        <v>7</v>
      </c>
      <c r="P746" t="s">
        <v>3090</v>
      </c>
      <c r="Q746" t="s">
        <v>3091</v>
      </c>
      <c r="R746" s="27" t="s">
        <v>7563</v>
      </c>
      <c r="T746" t="s">
        <v>119</v>
      </c>
    </row>
    <row r="747" spans="1:20" ht="15" customHeight="1" x14ac:dyDescent="0.4">
      <c r="A747" t="s">
        <v>3093</v>
      </c>
      <c r="B747" t="s">
        <v>3093</v>
      </c>
      <c r="C747" t="s">
        <v>151</v>
      </c>
      <c r="D747" t="s">
        <v>81</v>
      </c>
      <c r="E747" t="s">
        <v>163</v>
      </c>
      <c r="F747" t="s">
        <v>7566</v>
      </c>
      <c r="G747" t="s">
        <v>6294</v>
      </c>
      <c r="H747" t="s">
        <v>3092</v>
      </c>
      <c r="L747" t="s">
        <v>7566</v>
      </c>
      <c r="N747" t="s">
        <v>7566</v>
      </c>
      <c r="O747" t="s">
        <v>7</v>
      </c>
      <c r="P747" t="s">
        <v>3094</v>
      </c>
      <c r="Q747" t="s">
        <v>3095</v>
      </c>
      <c r="R747" s="27" t="s">
        <v>7563</v>
      </c>
      <c r="T747" t="s">
        <v>119</v>
      </c>
    </row>
    <row r="748" spans="1:20" ht="15" customHeight="1" x14ac:dyDescent="0.4">
      <c r="A748" t="s">
        <v>3097</v>
      </c>
      <c r="B748" t="s">
        <v>3097</v>
      </c>
      <c r="C748" t="s">
        <v>151</v>
      </c>
      <c r="D748" t="s">
        <v>81</v>
      </c>
      <c r="E748" t="s">
        <v>163</v>
      </c>
      <c r="F748" t="s">
        <v>7567</v>
      </c>
      <c r="G748" t="s">
        <v>6294</v>
      </c>
      <c r="H748" t="s">
        <v>3096</v>
      </c>
      <c r="L748" t="s">
        <v>7567</v>
      </c>
      <c r="N748" t="s">
        <v>7567</v>
      </c>
      <c r="O748" t="s">
        <v>7</v>
      </c>
      <c r="P748" t="s">
        <v>3098</v>
      </c>
      <c r="Q748" t="s">
        <v>3099</v>
      </c>
      <c r="R748" s="27" t="s">
        <v>7556</v>
      </c>
      <c r="T748" t="s">
        <v>119</v>
      </c>
    </row>
    <row r="749" spans="1:20" ht="15" customHeight="1" x14ac:dyDescent="0.4">
      <c r="A749" t="s">
        <v>3101</v>
      </c>
      <c r="B749" t="s">
        <v>3101</v>
      </c>
      <c r="C749" t="s">
        <v>151</v>
      </c>
      <c r="D749" t="s">
        <v>81</v>
      </c>
      <c r="E749" t="s">
        <v>163</v>
      </c>
      <c r="F749" t="s">
        <v>7568</v>
      </c>
      <c r="G749" t="s">
        <v>6294</v>
      </c>
      <c r="H749" t="s">
        <v>3100</v>
      </c>
      <c r="L749" t="s">
        <v>7568</v>
      </c>
      <c r="N749" t="s">
        <v>7568</v>
      </c>
      <c r="O749" t="s">
        <v>7</v>
      </c>
      <c r="P749" t="s">
        <v>3102</v>
      </c>
      <c r="Q749" t="s">
        <v>3103</v>
      </c>
      <c r="R749" s="27" t="s">
        <v>7563</v>
      </c>
      <c r="T749" t="s">
        <v>119</v>
      </c>
    </row>
    <row r="750" spans="1:20" ht="15" customHeight="1" x14ac:dyDescent="0.4">
      <c r="A750" t="s">
        <v>3105</v>
      </c>
      <c r="B750" t="s">
        <v>3105</v>
      </c>
      <c r="C750" t="s">
        <v>151</v>
      </c>
      <c r="D750" t="s">
        <v>81</v>
      </c>
      <c r="E750" t="s">
        <v>163</v>
      </c>
      <c r="F750" t="s">
        <v>7569</v>
      </c>
      <c r="G750" t="s">
        <v>6294</v>
      </c>
      <c r="H750" t="s">
        <v>3104</v>
      </c>
      <c r="L750" t="s">
        <v>7569</v>
      </c>
      <c r="N750" t="s">
        <v>7569</v>
      </c>
      <c r="O750" t="s">
        <v>7</v>
      </c>
      <c r="P750" t="s">
        <v>3106</v>
      </c>
      <c r="Q750" t="s">
        <v>3107</v>
      </c>
      <c r="R750" s="27" t="s">
        <v>7563</v>
      </c>
      <c r="T750" t="s">
        <v>119</v>
      </c>
    </row>
    <row r="751" spans="1:20" ht="15" customHeight="1" x14ac:dyDescent="0.4">
      <c r="A751" t="s">
        <v>3109</v>
      </c>
      <c r="B751" t="s">
        <v>3109</v>
      </c>
      <c r="C751" t="s">
        <v>151</v>
      </c>
      <c r="D751" t="s">
        <v>81</v>
      </c>
      <c r="E751" t="s">
        <v>163</v>
      </c>
      <c r="F751" t="s">
        <v>7570</v>
      </c>
      <c r="G751" t="s">
        <v>6294</v>
      </c>
      <c r="H751" t="s">
        <v>3108</v>
      </c>
      <c r="L751" t="s">
        <v>7570</v>
      </c>
      <c r="N751" t="s">
        <v>7570</v>
      </c>
      <c r="O751" t="s">
        <v>7</v>
      </c>
      <c r="P751" t="s">
        <v>3110</v>
      </c>
      <c r="Q751" t="s">
        <v>3111</v>
      </c>
      <c r="R751" s="27" t="s">
        <v>7556</v>
      </c>
      <c r="T751" t="s">
        <v>119</v>
      </c>
    </row>
    <row r="752" spans="1:20" ht="15" customHeight="1" x14ac:dyDescent="0.4">
      <c r="A752" t="s">
        <v>3113</v>
      </c>
      <c r="B752" t="s">
        <v>3113</v>
      </c>
      <c r="C752" t="s">
        <v>151</v>
      </c>
      <c r="D752" t="s">
        <v>81</v>
      </c>
      <c r="E752" t="s">
        <v>163</v>
      </c>
      <c r="F752" t="s">
        <v>7571</v>
      </c>
      <c r="G752" t="s">
        <v>6294</v>
      </c>
      <c r="H752" t="s">
        <v>3112</v>
      </c>
      <c r="L752" t="s">
        <v>7571</v>
      </c>
      <c r="N752" t="s">
        <v>7571</v>
      </c>
      <c r="O752" t="s">
        <v>7</v>
      </c>
      <c r="P752" t="s">
        <v>3114</v>
      </c>
      <c r="Q752" t="s">
        <v>3115</v>
      </c>
      <c r="R752" s="27" t="s">
        <v>7556</v>
      </c>
      <c r="T752" t="s">
        <v>119</v>
      </c>
    </row>
    <row r="753" spans="1:20" ht="15" customHeight="1" x14ac:dyDescent="0.4">
      <c r="A753" t="s">
        <v>3117</v>
      </c>
      <c r="B753" t="s">
        <v>3117</v>
      </c>
      <c r="C753" t="s">
        <v>151</v>
      </c>
      <c r="D753" t="s">
        <v>81</v>
      </c>
      <c r="E753" t="s">
        <v>163</v>
      </c>
      <c r="F753" t="s">
        <v>7572</v>
      </c>
      <c r="G753" t="s">
        <v>6294</v>
      </c>
      <c r="H753" t="s">
        <v>3116</v>
      </c>
      <c r="L753" t="s">
        <v>7572</v>
      </c>
      <c r="N753" t="s">
        <v>7572</v>
      </c>
      <c r="O753" t="s">
        <v>7</v>
      </c>
      <c r="P753" t="s">
        <v>3118</v>
      </c>
      <c r="Q753" t="s">
        <v>3119</v>
      </c>
      <c r="R753" s="27" t="s">
        <v>7573</v>
      </c>
      <c r="T753" t="s">
        <v>119</v>
      </c>
    </row>
    <row r="754" spans="1:20" ht="15" customHeight="1" x14ac:dyDescent="0.4">
      <c r="A754" t="s">
        <v>3121</v>
      </c>
      <c r="B754" t="s">
        <v>3121</v>
      </c>
      <c r="C754" t="s">
        <v>151</v>
      </c>
      <c r="D754" t="s">
        <v>81</v>
      </c>
      <c r="E754" t="s">
        <v>163</v>
      </c>
      <c r="F754" t="s">
        <v>7574</v>
      </c>
      <c r="G754" t="s">
        <v>6294</v>
      </c>
      <c r="H754" t="s">
        <v>3120</v>
      </c>
      <c r="L754" t="s">
        <v>7574</v>
      </c>
      <c r="N754" t="s">
        <v>7574</v>
      </c>
      <c r="O754" t="s">
        <v>7</v>
      </c>
      <c r="P754" t="s">
        <v>3122</v>
      </c>
      <c r="Q754" t="s">
        <v>3123</v>
      </c>
      <c r="R754" s="27" t="s">
        <v>7563</v>
      </c>
      <c r="T754" t="s">
        <v>119</v>
      </c>
    </row>
    <row r="755" spans="1:20" ht="15" customHeight="1" x14ac:dyDescent="0.4">
      <c r="A755" t="s">
        <v>3125</v>
      </c>
      <c r="B755" t="s">
        <v>3125</v>
      </c>
      <c r="C755" t="s">
        <v>151</v>
      </c>
      <c r="D755" t="s">
        <v>81</v>
      </c>
      <c r="E755" t="s">
        <v>163</v>
      </c>
      <c r="F755" t="s">
        <v>7575</v>
      </c>
      <c r="G755" t="s">
        <v>6294</v>
      </c>
      <c r="H755" t="s">
        <v>3124</v>
      </c>
      <c r="L755" t="s">
        <v>7575</v>
      </c>
      <c r="N755" t="s">
        <v>7575</v>
      </c>
      <c r="O755" t="s">
        <v>7</v>
      </c>
      <c r="P755" t="s">
        <v>3126</v>
      </c>
      <c r="Q755" t="s">
        <v>3127</v>
      </c>
      <c r="R755" s="27" t="s">
        <v>7556</v>
      </c>
      <c r="T755" t="s">
        <v>119</v>
      </c>
    </row>
    <row r="756" spans="1:20" ht="15" customHeight="1" x14ac:dyDescent="0.4">
      <c r="A756" t="s">
        <v>3129</v>
      </c>
      <c r="B756" t="s">
        <v>3129</v>
      </c>
      <c r="C756" t="s">
        <v>151</v>
      </c>
      <c r="D756" t="s">
        <v>81</v>
      </c>
      <c r="E756" t="s">
        <v>163</v>
      </c>
      <c r="F756" t="s">
        <v>7576</v>
      </c>
      <c r="G756" t="s">
        <v>6294</v>
      </c>
      <c r="H756" t="s">
        <v>3128</v>
      </c>
      <c r="L756" t="s">
        <v>7576</v>
      </c>
      <c r="N756" t="s">
        <v>7576</v>
      </c>
      <c r="O756" t="s">
        <v>7</v>
      </c>
      <c r="P756" t="s">
        <v>3130</v>
      </c>
      <c r="Q756" t="s">
        <v>3131</v>
      </c>
      <c r="R756" s="27" t="s">
        <v>7577</v>
      </c>
      <c r="T756" t="s">
        <v>119</v>
      </c>
    </row>
    <row r="757" spans="1:20" ht="15" customHeight="1" x14ac:dyDescent="0.4">
      <c r="A757" t="s">
        <v>3133</v>
      </c>
      <c r="B757" t="s">
        <v>3133</v>
      </c>
      <c r="C757" t="s">
        <v>151</v>
      </c>
      <c r="D757" t="s">
        <v>81</v>
      </c>
      <c r="E757" t="s">
        <v>163</v>
      </c>
      <c r="F757" t="s">
        <v>7578</v>
      </c>
      <c r="G757" t="s">
        <v>6294</v>
      </c>
      <c r="H757" t="s">
        <v>3132</v>
      </c>
      <c r="L757" t="s">
        <v>7578</v>
      </c>
      <c r="N757" t="s">
        <v>7578</v>
      </c>
      <c r="O757" t="s">
        <v>7</v>
      </c>
      <c r="P757" t="s">
        <v>3134</v>
      </c>
      <c r="Q757" t="s">
        <v>3135</v>
      </c>
      <c r="R757" s="27" t="s">
        <v>7558</v>
      </c>
      <c r="T757" t="s">
        <v>119</v>
      </c>
    </row>
    <row r="758" spans="1:20" ht="15" customHeight="1" x14ac:dyDescent="0.4">
      <c r="A758" t="s">
        <v>3137</v>
      </c>
      <c r="B758" t="s">
        <v>3137</v>
      </c>
      <c r="C758" t="s">
        <v>151</v>
      </c>
      <c r="D758" t="s">
        <v>81</v>
      </c>
      <c r="E758" t="s">
        <v>163</v>
      </c>
      <c r="F758" t="s">
        <v>7579</v>
      </c>
      <c r="G758" t="s">
        <v>6294</v>
      </c>
      <c r="H758" t="s">
        <v>3136</v>
      </c>
      <c r="L758" t="s">
        <v>7579</v>
      </c>
      <c r="N758" t="s">
        <v>7579</v>
      </c>
      <c r="O758" t="s">
        <v>7</v>
      </c>
      <c r="P758" t="s">
        <v>3138</v>
      </c>
      <c r="Q758" t="s">
        <v>3139</v>
      </c>
      <c r="R758" s="27" t="s">
        <v>7556</v>
      </c>
      <c r="T758" t="s">
        <v>119</v>
      </c>
    </row>
    <row r="759" spans="1:20" ht="15" customHeight="1" x14ac:dyDescent="0.4">
      <c r="A759" t="s">
        <v>3141</v>
      </c>
      <c r="B759" t="s">
        <v>3141</v>
      </c>
      <c r="C759" t="s">
        <v>151</v>
      </c>
      <c r="D759" t="s">
        <v>81</v>
      </c>
      <c r="E759" t="s">
        <v>163</v>
      </c>
      <c r="F759" t="s">
        <v>7580</v>
      </c>
      <c r="G759" t="s">
        <v>6294</v>
      </c>
      <c r="H759" t="s">
        <v>3140</v>
      </c>
      <c r="L759" t="s">
        <v>7580</v>
      </c>
      <c r="N759" t="s">
        <v>7580</v>
      </c>
      <c r="O759" t="s">
        <v>7</v>
      </c>
      <c r="P759" t="s">
        <v>3142</v>
      </c>
      <c r="Q759" t="s">
        <v>3143</v>
      </c>
      <c r="R759" s="27" t="s">
        <v>7563</v>
      </c>
      <c r="T759" t="s">
        <v>119</v>
      </c>
    </row>
    <row r="760" spans="1:20" ht="15" customHeight="1" x14ac:dyDescent="0.4">
      <c r="A760" t="s">
        <v>3145</v>
      </c>
      <c r="B760" t="s">
        <v>3145</v>
      </c>
      <c r="C760" t="s">
        <v>151</v>
      </c>
      <c r="D760" t="s">
        <v>81</v>
      </c>
      <c r="E760" t="s">
        <v>163</v>
      </c>
      <c r="F760" t="s">
        <v>7581</v>
      </c>
      <c r="G760" t="s">
        <v>6294</v>
      </c>
      <c r="H760" t="s">
        <v>3144</v>
      </c>
      <c r="L760" t="s">
        <v>7581</v>
      </c>
      <c r="N760" t="s">
        <v>7581</v>
      </c>
      <c r="O760" t="s">
        <v>7</v>
      </c>
      <c r="P760" t="s">
        <v>3146</v>
      </c>
      <c r="Q760" t="s">
        <v>3147</v>
      </c>
      <c r="R760" s="27" t="s">
        <v>7558</v>
      </c>
      <c r="T760" t="s">
        <v>119</v>
      </c>
    </row>
    <row r="761" spans="1:20" ht="15" customHeight="1" x14ac:dyDescent="0.4">
      <c r="A761" t="s">
        <v>3149</v>
      </c>
      <c r="B761" t="s">
        <v>3149</v>
      </c>
      <c r="C761" t="s">
        <v>151</v>
      </c>
      <c r="D761" t="s">
        <v>81</v>
      </c>
      <c r="E761" t="s">
        <v>163</v>
      </c>
      <c r="F761" t="s">
        <v>7582</v>
      </c>
      <c r="G761" t="s">
        <v>6294</v>
      </c>
      <c r="H761" t="s">
        <v>3148</v>
      </c>
      <c r="L761" t="s">
        <v>7582</v>
      </c>
      <c r="N761" t="s">
        <v>7582</v>
      </c>
      <c r="O761" t="s">
        <v>7</v>
      </c>
      <c r="P761" t="s">
        <v>3150</v>
      </c>
      <c r="Q761" t="s">
        <v>3151</v>
      </c>
      <c r="R761" s="27" t="s">
        <v>7563</v>
      </c>
      <c r="T761" t="s">
        <v>119</v>
      </c>
    </row>
    <row r="762" spans="1:20" ht="15" customHeight="1" x14ac:dyDescent="0.4">
      <c r="A762" t="s">
        <v>3153</v>
      </c>
      <c r="B762" t="s">
        <v>3153</v>
      </c>
      <c r="C762" t="s">
        <v>151</v>
      </c>
      <c r="D762" t="s">
        <v>81</v>
      </c>
      <c r="E762" t="s">
        <v>163</v>
      </c>
      <c r="F762" t="s">
        <v>7583</v>
      </c>
      <c r="G762" t="s">
        <v>6294</v>
      </c>
      <c r="H762" t="s">
        <v>3152</v>
      </c>
      <c r="L762" t="s">
        <v>7583</v>
      </c>
      <c r="N762" t="s">
        <v>7583</v>
      </c>
      <c r="O762" t="s">
        <v>7</v>
      </c>
      <c r="P762" t="s">
        <v>3154</v>
      </c>
      <c r="Q762" t="s">
        <v>3155</v>
      </c>
      <c r="R762" s="27" t="s">
        <v>7558</v>
      </c>
      <c r="T762" t="s">
        <v>119</v>
      </c>
    </row>
    <row r="763" spans="1:20" ht="15" customHeight="1" x14ac:dyDescent="0.4">
      <c r="A763" t="s">
        <v>3157</v>
      </c>
      <c r="B763" t="s">
        <v>3157</v>
      </c>
      <c r="C763" t="s">
        <v>151</v>
      </c>
      <c r="D763" t="s">
        <v>81</v>
      </c>
      <c r="E763" t="s">
        <v>163</v>
      </c>
      <c r="F763" t="s">
        <v>7584</v>
      </c>
      <c r="G763" t="s">
        <v>6294</v>
      </c>
      <c r="H763" t="s">
        <v>3156</v>
      </c>
      <c r="L763" t="s">
        <v>7584</v>
      </c>
      <c r="N763" t="s">
        <v>7584</v>
      </c>
      <c r="O763" t="s">
        <v>7</v>
      </c>
      <c r="P763" t="s">
        <v>3158</v>
      </c>
      <c r="Q763" t="s">
        <v>3159</v>
      </c>
      <c r="R763" s="27" t="s">
        <v>7577</v>
      </c>
      <c r="T763" t="s">
        <v>119</v>
      </c>
    </row>
    <row r="764" spans="1:20" ht="15" customHeight="1" x14ac:dyDescent="0.4">
      <c r="A764" t="s">
        <v>3161</v>
      </c>
      <c r="B764" t="s">
        <v>3161</v>
      </c>
      <c r="C764" t="s">
        <v>151</v>
      </c>
      <c r="D764" t="s">
        <v>81</v>
      </c>
      <c r="E764" t="s">
        <v>163</v>
      </c>
      <c r="F764" t="s">
        <v>7585</v>
      </c>
      <c r="G764" t="s">
        <v>6294</v>
      </c>
      <c r="H764" t="s">
        <v>3160</v>
      </c>
      <c r="L764" t="s">
        <v>7585</v>
      </c>
      <c r="N764" t="s">
        <v>7585</v>
      </c>
      <c r="O764" t="s">
        <v>7</v>
      </c>
      <c r="P764" t="s">
        <v>3162</v>
      </c>
      <c r="Q764" t="s">
        <v>3163</v>
      </c>
      <c r="R764" s="27" t="s">
        <v>7577</v>
      </c>
      <c r="T764" t="s">
        <v>119</v>
      </c>
    </row>
    <row r="765" spans="1:20" ht="15" customHeight="1" x14ac:dyDescent="0.4">
      <c r="A765" t="s">
        <v>3165</v>
      </c>
      <c r="B765" t="s">
        <v>3165</v>
      </c>
      <c r="C765" t="s">
        <v>151</v>
      </c>
      <c r="D765" t="s">
        <v>81</v>
      </c>
      <c r="E765" t="s">
        <v>163</v>
      </c>
      <c r="F765" t="s">
        <v>7586</v>
      </c>
      <c r="G765" t="s">
        <v>6294</v>
      </c>
      <c r="H765" t="s">
        <v>3164</v>
      </c>
      <c r="L765" t="s">
        <v>7586</v>
      </c>
      <c r="N765" t="s">
        <v>7586</v>
      </c>
      <c r="O765" t="s">
        <v>7</v>
      </c>
      <c r="P765" t="s">
        <v>3166</v>
      </c>
      <c r="Q765" t="s">
        <v>3167</v>
      </c>
      <c r="R765" s="27" t="s">
        <v>7563</v>
      </c>
      <c r="T765" t="s">
        <v>119</v>
      </c>
    </row>
    <row r="766" spans="1:20" ht="15" customHeight="1" x14ac:dyDescent="0.4">
      <c r="A766" t="s">
        <v>3169</v>
      </c>
      <c r="B766" t="s">
        <v>3169</v>
      </c>
      <c r="C766" t="s">
        <v>151</v>
      </c>
      <c r="D766" t="s">
        <v>81</v>
      </c>
      <c r="E766" t="s">
        <v>163</v>
      </c>
      <c r="F766" t="s">
        <v>7587</v>
      </c>
      <c r="G766" t="s">
        <v>6294</v>
      </c>
      <c r="H766" t="s">
        <v>3168</v>
      </c>
      <c r="L766" t="s">
        <v>7587</v>
      </c>
      <c r="N766" t="s">
        <v>7587</v>
      </c>
      <c r="O766" t="s">
        <v>7</v>
      </c>
      <c r="P766" t="s">
        <v>3170</v>
      </c>
      <c r="Q766" t="s">
        <v>3171</v>
      </c>
      <c r="R766" s="27" t="s">
        <v>7558</v>
      </c>
      <c r="T766" t="s">
        <v>119</v>
      </c>
    </row>
    <row r="767" spans="1:20" ht="15" customHeight="1" x14ac:dyDescent="0.4">
      <c r="A767" t="s">
        <v>3173</v>
      </c>
      <c r="B767" t="s">
        <v>3173</v>
      </c>
      <c r="C767" t="s">
        <v>151</v>
      </c>
      <c r="D767" t="s">
        <v>81</v>
      </c>
      <c r="E767" t="s">
        <v>163</v>
      </c>
      <c r="F767" t="s">
        <v>7588</v>
      </c>
      <c r="G767" t="s">
        <v>6294</v>
      </c>
      <c r="H767" t="s">
        <v>3172</v>
      </c>
      <c r="L767" t="s">
        <v>7588</v>
      </c>
      <c r="N767" t="s">
        <v>7588</v>
      </c>
      <c r="O767" t="s">
        <v>7</v>
      </c>
      <c r="P767" t="s">
        <v>3174</v>
      </c>
      <c r="Q767" t="s">
        <v>3175</v>
      </c>
      <c r="R767" s="27" t="s">
        <v>7563</v>
      </c>
      <c r="T767" t="s">
        <v>119</v>
      </c>
    </row>
    <row r="768" spans="1:20" ht="15" customHeight="1" x14ac:dyDescent="0.4">
      <c r="A768" t="s">
        <v>3177</v>
      </c>
      <c r="B768" t="s">
        <v>3177</v>
      </c>
      <c r="C768" t="s">
        <v>151</v>
      </c>
      <c r="D768" t="s">
        <v>81</v>
      </c>
      <c r="E768" t="s">
        <v>163</v>
      </c>
      <c r="F768" t="s">
        <v>7589</v>
      </c>
      <c r="G768" t="s">
        <v>6294</v>
      </c>
      <c r="H768" t="s">
        <v>3176</v>
      </c>
      <c r="L768" t="s">
        <v>7589</v>
      </c>
      <c r="N768" t="s">
        <v>7589</v>
      </c>
      <c r="O768" t="s">
        <v>7</v>
      </c>
      <c r="P768" t="s">
        <v>3178</v>
      </c>
      <c r="Q768" t="s">
        <v>3179</v>
      </c>
      <c r="R768" s="27" t="s">
        <v>7556</v>
      </c>
      <c r="T768" t="s">
        <v>119</v>
      </c>
    </row>
    <row r="769" spans="1:20" ht="15" customHeight="1" x14ac:dyDescent="0.4">
      <c r="A769" t="s">
        <v>3181</v>
      </c>
      <c r="B769" t="s">
        <v>3181</v>
      </c>
      <c r="C769" t="s">
        <v>151</v>
      </c>
      <c r="D769" t="s">
        <v>81</v>
      </c>
      <c r="E769" t="s">
        <v>163</v>
      </c>
      <c r="F769" t="s">
        <v>7590</v>
      </c>
      <c r="G769" t="s">
        <v>6294</v>
      </c>
      <c r="H769" t="s">
        <v>3180</v>
      </c>
      <c r="L769" t="s">
        <v>7590</v>
      </c>
      <c r="N769" t="s">
        <v>7590</v>
      </c>
      <c r="O769" t="s">
        <v>7</v>
      </c>
      <c r="P769" t="s">
        <v>3182</v>
      </c>
      <c r="Q769" t="s">
        <v>3183</v>
      </c>
      <c r="R769" s="27" t="s">
        <v>7591</v>
      </c>
      <c r="T769" t="s">
        <v>119</v>
      </c>
    </row>
    <row r="770" spans="1:20" ht="15" customHeight="1" x14ac:dyDescent="0.4">
      <c r="A770" t="s">
        <v>3185</v>
      </c>
      <c r="B770" t="s">
        <v>3185</v>
      </c>
      <c r="C770" t="s">
        <v>151</v>
      </c>
      <c r="D770" t="s">
        <v>81</v>
      </c>
      <c r="E770" t="s">
        <v>163</v>
      </c>
      <c r="F770" t="s">
        <v>7592</v>
      </c>
      <c r="G770" t="s">
        <v>6294</v>
      </c>
      <c r="H770" t="s">
        <v>3184</v>
      </c>
      <c r="L770" t="s">
        <v>7592</v>
      </c>
      <c r="N770" t="s">
        <v>7592</v>
      </c>
      <c r="O770" t="s">
        <v>7</v>
      </c>
      <c r="P770" t="s">
        <v>3186</v>
      </c>
      <c r="Q770" t="s">
        <v>3187</v>
      </c>
      <c r="R770" s="27" t="s">
        <v>7593</v>
      </c>
      <c r="T770" t="s">
        <v>119</v>
      </c>
    </row>
    <row r="771" spans="1:20" ht="15" customHeight="1" x14ac:dyDescent="0.4">
      <c r="A771" t="s">
        <v>3189</v>
      </c>
      <c r="B771" t="s">
        <v>3189</v>
      </c>
      <c r="C771" t="s">
        <v>151</v>
      </c>
      <c r="D771" t="s">
        <v>81</v>
      </c>
      <c r="E771" t="s">
        <v>163</v>
      </c>
      <c r="F771" t="s">
        <v>7594</v>
      </c>
      <c r="G771" t="s">
        <v>6294</v>
      </c>
      <c r="H771" t="s">
        <v>3188</v>
      </c>
      <c r="L771" t="s">
        <v>7594</v>
      </c>
      <c r="N771" t="s">
        <v>7594</v>
      </c>
      <c r="O771" t="s">
        <v>7</v>
      </c>
      <c r="P771" t="s">
        <v>3190</v>
      </c>
      <c r="Q771" t="s">
        <v>3191</v>
      </c>
      <c r="R771" s="27" t="s">
        <v>7595</v>
      </c>
      <c r="T771" t="s">
        <v>119</v>
      </c>
    </row>
    <row r="772" spans="1:20" ht="15" customHeight="1" x14ac:dyDescent="0.4">
      <c r="A772" t="s">
        <v>3193</v>
      </c>
      <c r="B772" t="s">
        <v>3193</v>
      </c>
      <c r="C772" t="s">
        <v>151</v>
      </c>
      <c r="D772" t="s">
        <v>81</v>
      </c>
      <c r="E772" t="s">
        <v>163</v>
      </c>
      <c r="F772" t="s">
        <v>7596</v>
      </c>
      <c r="G772" t="s">
        <v>6294</v>
      </c>
      <c r="H772" t="s">
        <v>3192</v>
      </c>
      <c r="L772" t="s">
        <v>7596</v>
      </c>
      <c r="N772" t="s">
        <v>7596</v>
      </c>
      <c r="O772" t="s">
        <v>7</v>
      </c>
      <c r="P772" t="s">
        <v>3194</v>
      </c>
      <c r="Q772" t="s">
        <v>3195</v>
      </c>
      <c r="R772" s="27" t="s">
        <v>7597</v>
      </c>
      <c r="T772" t="s">
        <v>119</v>
      </c>
    </row>
    <row r="773" spans="1:20" ht="15" customHeight="1" x14ac:dyDescent="0.4">
      <c r="A773" t="s">
        <v>3197</v>
      </c>
      <c r="B773" t="s">
        <v>3197</v>
      </c>
      <c r="C773" t="s">
        <v>151</v>
      </c>
      <c r="D773" t="s">
        <v>81</v>
      </c>
      <c r="E773" t="s">
        <v>163</v>
      </c>
      <c r="F773" t="s">
        <v>7598</v>
      </c>
      <c r="G773" t="s">
        <v>6294</v>
      </c>
      <c r="H773" t="s">
        <v>3196</v>
      </c>
      <c r="L773" t="s">
        <v>7598</v>
      </c>
      <c r="N773" t="s">
        <v>7598</v>
      </c>
      <c r="O773" t="s">
        <v>7</v>
      </c>
      <c r="P773" t="s">
        <v>3198</v>
      </c>
      <c r="Q773" t="s">
        <v>3199</v>
      </c>
      <c r="R773" s="27" t="s">
        <v>7591</v>
      </c>
      <c r="T773" t="s">
        <v>119</v>
      </c>
    </row>
    <row r="774" spans="1:20" ht="15" customHeight="1" x14ac:dyDescent="0.4">
      <c r="A774" t="s">
        <v>3201</v>
      </c>
      <c r="B774" t="s">
        <v>3201</v>
      </c>
      <c r="C774" t="s">
        <v>151</v>
      </c>
      <c r="D774" t="s">
        <v>81</v>
      </c>
      <c r="E774" t="s">
        <v>163</v>
      </c>
      <c r="F774" t="s">
        <v>7599</v>
      </c>
      <c r="G774" t="s">
        <v>6294</v>
      </c>
      <c r="H774" t="s">
        <v>3200</v>
      </c>
      <c r="L774" t="s">
        <v>7599</v>
      </c>
      <c r="N774" t="s">
        <v>7599</v>
      </c>
      <c r="O774" t="s">
        <v>7</v>
      </c>
      <c r="P774" t="s">
        <v>3202</v>
      </c>
      <c r="Q774" t="s">
        <v>3203</v>
      </c>
      <c r="R774" s="27" t="s">
        <v>7593</v>
      </c>
      <c r="T774" t="s">
        <v>119</v>
      </c>
    </row>
    <row r="775" spans="1:20" ht="15" customHeight="1" x14ac:dyDescent="0.4">
      <c r="A775" t="s">
        <v>3205</v>
      </c>
      <c r="B775" t="s">
        <v>3205</v>
      </c>
      <c r="C775" t="s">
        <v>151</v>
      </c>
      <c r="D775" t="s">
        <v>81</v>
      </c>
      <c r="E775" t="s">
        <v>163</v>
      </c>
      <c r="F775" t="s">
        <v>7600</v>
      </c>
      <c r="G775" t="s">
        <v>6294</v>
      </c>
      <c r="H775" t="s">
        <v>3204</v>
      </c>
      <c r="L775" t="s">
        <v>7600</v>
      </c>
      <c r="N775" t="s">
        <v>7600</v>
      </c>
      <c r="O775" t="s">
        <v>7</v>
      </c>
      <c r="P775" t="s">
        <v>3206</v>
      </c>
      <c r="Q775" t="s">
        <v>3207</v>
      </c>
      <c r="R775" s="27" t="s">
        <v>7601</v>
      </c>
      <c r="T775" t="s">
        <v>119</v>
      </c>
    </row>
    <row r="776" spans="1:20" ht="15" customHeight="1" x14ac:dyDescent="0.4">
      <c r="A776" t="s">
        <v>3209</v>
      </c>
      <c r="B776" t="s">
        <v>3209</v>
      </c>
      <c r="C776" t="s">
        <v>151</v>
      </c>
      <c r="D776" t="s">
        <v>81</v>
      </c>
      <c r="E776" t="s">
        <v>163</v>
      </c>
      <c r="F776" t="s">
        <v>7602</v>
      </c>
      <c r="G776" t="s">
        <v>6294</v>
      </c>
      <c r="H776" t="s">
        <v>3208</v>
      </c>
      <c r="L776" t="s">
        <v>7602</v>
      </c>
      <c r="N776" t="s">
        <v>7602</v>
      </c>
      <c r="O776" t="s">
        <v>7</v>
      </c>
      <c r="P776" t="s">
        <v>3210</v>
      </c>
      <c r="Q776" t="s">
        <v>3211</v>
      </c>
      <c r="R776" s="27" t="s">
        <v>7603</v>
      </c>
      <c r="T776" t="s">
        <v>119</v>
      </c>
    </row>
    <row r="777" spans="1:20" ht="15" customHeight="1" x14ac:dyDescent="0.4">
      <c r="A777" t="s">
        <v>3213</v>
      </c>
      <c r="B777" t="s">
        <v>3213</v>
      </c>
      <c r="C777" t="s">
        <v>151</v>
      </c>
      <c r="D777" t="s">
        <v>81</v>
      </c>
      <c r="E777" t="s">
        <v>163</v>
      </c>
      <c r="F777" t="s">
        <v>7604</v>
      </c>
      <c r="G777" t="s">
        <v>6294</v>
      </c>
      <c r="H777" t="s">
        <v>3212</v>
      </c>
      <c r="L777" t="s">
        <v>7604</v>
      </c>
      <c r="N777" t="s">
        <v>7604</v>
      </c>
      <c r="O777" t="s">
        <v>7</v>
      </c>
      <c r="P777" t="s">
        <v>3214</v>
      </c>
      <c r="Q777" t="s">
        <v>3215</v>
      </c>
      <c r="R777" s="27" t="s">
        <v>7605</v>
      </c>
      <c r="T777" t="s">
        <v>119</v>
      </c>
    </row>
    <row r="778" spans="1:20" ht="15" customHeight="1" x14ac:dyDescent="0.4">
      <c r="A778" t="s">
        <v>3217</v>
      </c>
      <c r="B778" t="s">
        <v>3217</v>
      </c>
      <c r="C778" t="s">
        <v>151</v>
      </c>
      <c r="D778" t="s">
        <v>81</v>
      </c>
      <c r="E778" t="s">
        <v>163</v>
      </c>
      <c r="F778" t="s">
        <v>7606</v>
      </c>
      <c r="G778" t="s">
        <v>6294</v>
      </c>
      <c r="H778" t="s">
        <v>3216</v>
      </c>
      <c r="L778" t="s">
        <v>7606</v>
      </c>
      <c r="N778" t="s">
        <v>7606</v>
      </c>
      <c r="O778" t="s">
        <v>7</v>
      </c>
      <c r="P778" t="s">
        <v>3218</v>
      </c>
      <c r="Q778" t="s">
        <v>3219</v>
      </c>
      <c r="R778" s="27" t="s">
        <v>7607</v>
      </c>
      <c r="T778" t="s">
        <v>119</v>
      </c>
    </row>
    <row r="779" spans="1:20" ht="15" customHeight="1" x14ac:dyDescent="0.4">
      <c r="A779" t="s">
        <v>3221</v>
      </c>
      <c r="B779" t="s">
        <v>3221</v>
      </c>
      <c r="C779" t="s">
        <v>151</v>
      </c>
      <c r="D779" t="s">
        <v>81</v>
      </c>
      <c r="E779" t="s">
        <v>163</v>
      </c>
      <c r="F779" t="s">
        <v>7608</v>
      </c>
      <c r="G779" t="s">
        <v>6294</v>
      </c>
      <c r="H779" t="s">
        <v>3220</v>
      </c>
      <c r="L779" t="s">
        <v>7608</v>
      </c>
      <c r="N779" t="s">
        <v>7608</v>
      </c>
      <c r="O779" t="s">
        <v>7</v>
      </c>
      <c r="P779" t="s">
        <v>3222</v>
      </c>
      <c r="Q779" t="s">
        <v>3223</v>
      </c>
      <c r="R779" s="27" t="s">
        <v>7595</v>
      </c>
      <c r="T779" t="s">
        <v>119</v>
      </c>
    </row>
    <row r="780" spans="1:20" ht="15" customHeight="1" x14ac:dyDescent="0.4">
      <c r="A780" t="s">
        <v>3225</v>
      </c>
      <c r="B780" t="s">
        <v>3225</v>
      </c>
      <c r="C780" t="s">
        <v>151</v>
      </c>
      <c r="D780" t="s">
        <v>81</v>
      </c>
      <c r="E780" t="s">
        <v>163</v>
      </c>
      <c r="F780" t="s">
        <v>7609</v>
      </c>
      <c r="G780" t="s">
        <v>6294</v>
      </c>
      <c r="H780" t="s">
        <v>3224</v>
      </c>
      <c r="L780" t="s">
        <v>7609</v>
      </c>
      <c r="N780" t="s">
        <v>7609</v>
      </c>
      <c r="O780" t="s">
        <v>7</v>
      </c>
      <c r="P780" t="s">
        <v>3226</v>
      </c>
      <c r="Q780" t="s">
        <v>3227</v>
      </c>
      <c r="R780" s="27" t="s">
        <v>7610</v>
      </c>
      <c r="T780" t="s">
        <v>119</v>
      </c>
    </row>
    <row r="781" spans="1:20" ht="15" customHeight="1" x14ac:dyDescent="0.4">
      <c r="A781" t="s">
        <v>3229</v>
      </c>
      <c r="B781" t="s">
        <v>3229</v>
      </c>
      <c r="C781" t="s">
        <v>151</v>
      </c>
      <c r="D781" t="s">
        <v>81</v>
      </c>
      <c r="E781" t="s">
        <v>163</v>
      </c>
      <c r="F781" t="s">
        <v>7611</v>
      </c>
      <c r="G781" t="s">
        <v>6294</v>
      </c>
      <c r="H781" t="s">
        <v>3228</v>
      </c>
      <c r="L781" t="s">
        <v>7611</v>
      </c>
      <c r="N781" t="s">
        <v>7611</v>
      </c>
      <c r="O781" t="s">
        <v>7</v>
      </c>
      <c r="P781" t="s">
        <v>3230</v>
      </c>
      <c r="Q781" t="s">
        <v>3231</v>
      </c>
      <c r="R781" s="27" t="s">
        <v>7612</v>
      </c>
      <c r="T781" t="s">
        <v>119</v>
      </c>
    </row>
    <row r="782" spans="1:20" ht="15" customHeight="1" x14ac:dyDescent="0.4">
      <c r="A782" t="s">
        <v>3233</v>
      </c>
      <c r="B782" t="s">
        <v>3233</v>
      </c>
      <c r="C782" t="s">
        <v>151</v>
      </c>
      <c r="D782" t="s">
        <v>81</v>
      </c>
      <c r="E782" t="s">
        <v>163</v>
      </c>
      <c r="F782" t="s">
        <v>7613</v>
      </c>
      <c r="G782" t="s">
        <v>6294</v>
      </c>
      <c r="H782" t="s">
        <v>3232</v>
      </c>
      <c r="L782" t="s">
        <v>7613</v>
      </c>
      <c r="N782" t="s">
        <v>7613</v>
      </c>
      <c r="O782" t="s">
        <v>7</v>
      </c>
      <c r="P782" t="s">
        <v>3234</v>
      </c>
      <c r="Q782" t="s">
        <v>3235</v>
      </c>
      <c r="R782" s="27" t="s">
        <v>7614</v>
      </c>
      <c r="T782" t="s">
        <v>119</v>
      </c>
    </row>
    <row r="783" spans="1:20" ht="15" customHeight="1" x14ac:dyDescent="0.4">
      <c r="A783" t="s">
        <v>3237</v>
      </c>
      <c r="B783" t="s">
        <v>3237</v>
      </c>
      <c r="C783" t="s">
        <v>151</v>
      </c>
      <c r="D783" t="s">
        <v>81</v>
      </c>
      <c r="E783" t="s">
        <v>163</v>
      </c>
      <c r="F783" t="s">
        <v>7615</v>
      </c>
      <c r="G783" t="s">
        <v>6294</v>
      </c>
      <c r="H783" t="s">
        <v>3236</v>
      </c>
      <c r="L783" t="s">
        <v>7615</v>
      </c>
      <c r="N783" t="s">
        <v>7615</v>
      </c>
      <c r="O783" t="s">
        <v>7</v>
      </c>
      <c r="P783" t="s">
        <v>3238</v>
      </c>
      <c r="Q783" t="s">
        <v>3239</v>
      </c>
      <c r="R783" s="27" t="s">
        <v>7605</v>
      </c>
      <c r="T783" t="s">
        <v>119</v>
      </c>
    </row>
    <row r="784" spans="1:20" ht="15" customHeight="1" x14ac:dyDescent="0.4">
      <c r="A784" t="s">
        <v>3241</v>
      </c>
      <c r="B784" t="s">
        <v>3241</v>
      </c>
      <c r="C784" t="s">
        <v>151</v>
      </c>
      <c r="D784" t="s">
        <v>81</v>
      </c>
      <c r="E784" t="s">
        <v>163</v>
      </c>
      <c r="F784" t="s">
        <v>7616</v>
      </c>
      <c r="G784" t="s">
        <v>6294</v>
      </c>
      <c r="H784" t="s">
        <v>3240</v>
      </c>
      <c r="L784" t="s">
        <v>7616</v>
      </c>
      <c r="N784" t="s">
        <v>7616</v>
      </c>
      <c r="O784" t="s">
        <v>7</v>
      </c>
      <c r="P784" t="s">
        <v>3242</v>
      </c>
      <c r="Q784" t="s">
        <v>3243</v>
      </c>
      <c r="R784" s="27" t="s">
        <v>7605</v>
      </c>
      <c r="T784" t="s">
        <v>119</v>
      </c>
    </row>
    <row r="785" spans="1:20" ht="15" customHeight="1" x14ac:dyDescent="0.4">
      <c r="A785" t="s">
        <v>3245</v>
      </c>
      <c r="B785" t="s">
        <v>3245</v>
      </c>
      <c r="C785" t="s">
        <v>151</v>
      </c>
      <c r="D785" t="s">
        <v>81</v>
      </c>
      <c r="E785" t="s">
        <v>163</v>
      </c>
      <c r="F785" t="s">
        <v>7617</v>
      </c>
      <c r="G785" t="s">
        <v>6294</v>
      </c>
      <c r="H785" t="s">
        <v>3244</v>
      </c>
      <c r="L785" t="s">
        <v>7617</v>
      </c>
      <c r="N785" t="s">
        <v>7617</v>
      </c>
      <c r="O785" t="s">
        <v>7</v>
      </c>
      <c r="P785" t="s">
        <v>3246</v>
      </c>
      <c r="Q785" t="s">
        <v>3247</v>
      </c>
      <c r="R785" s="27" t="s">
        <v>7618</v>
      </c>
      <c r="T785" t="s">
        <v>119</v>
      </c>
    </row>
    <row r="786" spans="1:20" ht="15" customHeight="1" x14ac:dyDescent="0.4">
      <c r="A786" t="s">
        <v>3249</v>
      </c>
      <c r="B786" t="s">
        <v>3249</v>
      </c>
      <c r="C786" t="s">
        <v>151</v>
      </c>
      <c r="D786" t="s">
        <v>81</v>
      </c>
      <c r="E786" t="s">
        <v>163</v>
      </c>
      <c r="F786" t="s">
        <v>7619</v>
      </c>
      <c r="G786" t="s">
        <v>6294</v>
      </c>
      <c r="H786" t="s">
        <v>3248</v>
      </c>
      <c r="L786" t="s">
        <v>7619</v>
      </c>
      <c r="N786" t="s">
        <v>7619</v>
      </c>
      <c r="O786" t="s">
        <v>7</v>
      </c>
      <c r="P786" t="s">
        <v>3250</v>
      </c>
      <c r="Q786" t="s">
        <v>3251</v>
      </c>
      <c r="R786" s="27" t="s">
        <v>7605</v>
      </c>
      <c r="T786" t="s">
        <v>119</v>
      </c>
    </row>
    <row r="787" spans="1:20" ht="15" customHeight="1" x14ac:dyDescent="0.4">
      <c r="A787" t="s">
        <v>3253</v>
      </c>
      <c r="B787" t="s">
        <v>3253</v>
      </c>
      <c r="C787" t="s">
        <v>151</v>
      </c>
      <c r="D787" t="s">
        <v>81</v>
      </c>
      <c r="E787" t="s">
        <v>163</v>
      </c>
      <c r="F787" t="s">
        <v>7620</v>
      </c>
      <c r="G787" t="s">
        <v>6294</v>
      </c>
      <c r="H787" t="s">
        <v>3252</v>
      </c>
      <c r="L787" t="s">
        <v>7620</v>
      </c>
      <c r="N787" t="s">
        <v>7620</v>
      </c>
      <c r="O787" t="s">
        <v>7</v>
      </c>
      <c r="P787" t="s">
        <v>3254</v>
      </c>
      <c r="Q787" t="s">
        <v>3255</v>
      </c>
      <c r="R787" s="27" t="s">
        <v>7610</v>
      </c>
      <c r="T787" t="s">
        <v>119</v>
      </c>
    </row>
    <row r="788" spans="1:20" ht="15" customHeight="1" x14ac:dyDescent="0.4">
      <c r="A788" t="s">
        <v>3257</v>
      </c>
      <c r="B788" t="s">
        <v>3257</v>
      </c>
      <c r="C788" t="s">
        <v>151</v>
      </c>
      <c r="D788" t="s">
        <v>81</v>
      </c>
      <c r="E788" t="s">
        <v>163</v>
      </c>
      <c r="F788" t="s">
        <v>7621</v>
      </c>
      <c r="G788" t="s">
        <v>6294</v>
      </c>
      <c r="H788" t="s">
        <v>3256</v>
      </c>
      <c r="L788" t="s">
        <v>7621</v>
      </c>
      <c r="N788" t="s">
        <v>7621</v>
      </c>
      <c r="O788" t="s">
        <v>7</v>
      </c>
      <c r="P788" t="s">
        <v>3258</v>
      </c>
      <c r="Q788" t="s">
        <v>3259</v>
      </c>
      <c r="R788" s="27" t="s">
        <v>7612</v>
      </c>
      <c r="T788" t="s">
        <v>119</v>
      </c>
    </row>
    <row r="789" spans="1:20" ht="15" customHeight="1" x14ac:dyDescent="0.4">
      <c r="A789" t="s">
        <v>3261</v>
      </c>
      <c r="B789" t="s">
        <v>3261</v>
      </c>
      <c r="C789" t="s">
        <v>151</v>
      </c>
      <c r="D789" t="s">
        <v>81</v>
      </c>
      <c r="E789" t="s">
        <v>163</v>
      </c>
      <c r="F789" t="s">
        <v>7622</v>
      </c>
      <c r="G789" t="s">
        <v>6294</v>
      </c>
      <c r="H789" t="s">
        <v>3260</v>
      </c>
      <c r="L789" t="s">
        <v>7622</v>
      </c>
      <c r="N789" t="s">
        <v>7622</v>
      </c>
      <c r="O789" t="s">
        <v>7</v>
      </c>
      <c r="P789" t="s">
        <v>3262</v>
      </c>
      <c r="Q789" t="s">
        <v>3263</v>
      </c>
      <c r="R789" s="27" t="s">
        <v>7605</v>
      </c>
      <c r="T789" t="s">
        <v>119</v>
      </c>
    </row>
    <row r="790" spans="1:20" ht="15" customHeight="1" x14ac:dyDescent="0.4">
      <c r="A790" t="s">
        <v>3265</v>
      </c>
      <c r="B790" t="s">
        <v>3265</v>
      </c>
      <c r="C790" t="s">
        <v>151</v>
      </c>
      <c r="D790" t="s">
        <v>81</v>
      </c>
      <c r="E790" t="s">
        <v>163</v>
      </c>
      <c r="F790" t="s">
        <v>7623</v>
      </c>
      <c r="G790" t="s">
        <v>6294</v>
      </c>
      <c r="H790" t="s">
        <v>3264</v>
      </c>
      <c r="L790" t="s">
        <v>7623</v>
      </c>
      <c r="N790" t="s">
        <v>7623</v>
      </c>
      <c r="O790" t="s">
        <v>7</v>
      </c>
      <c r="P790" t="s">
        <v>3266</v>
      </c>
      <c r="Q790" t="s">
        <v>3267</v>
      </c>
      <c r="R790" s="27" t="s">
        <v>7614</v>
      </c>
      <c r="T790" t="s">
        <v>119</v>
      </c>
    </row>
    <row r="791" spans="1:20" ht="15" customHeight="1" x14ac:dyDescent="0.4">
      <c r="A791" t="s">
        <v>3269</v>
      </c>
      <c r="B791" t="s">
        <v>3269</v>
      </c>
      <c r="C791" t="s">
        <v>151</v>
      </c>
      <c r="D791" t="s">
        <v>81</v>
      </c>
      <c r="E791" t="s">
        <v>163</v>
      </c>
      <c r="F791" t="s">
        <v>7624</v>
      </c>
      <c r="G791" t="s">
        <v>6294</v>
      </c>
      <c r="H791" t="s">
        <v>3268</v>
      </c>
      <c r="L791" t="s">
        <v>7624</v>
      </c>
      <c r="N791" t="s">
        <v>7624</v>
      </c>
      <c r="O791" t="s">
        <v>7</v>
      </c>
      <c r="P791" t="s">
        <v>3270</v>
      </c>
      <c r="Q791" t="s">
        <v>3271</v>
      </c>
      <c r="R791" s="27" t="s">
        <v>7605</v>
      </c>
      <c r="T791" t="s">
        <v>119</v>
      </c>
    </row>
    <row r="792" spans="1:20" ht="15" customHeight="1" x14ac:dyDescent="0.4">
      <c r="A792" t="s">
        <v>3273</v>
      </c>
      <c r="B792" t="s">
        <v>3273</v>
      </c>
      <c r="C792" t="s">
        <v>151</v>
      </c>
      <c r="D792" t="s">
        <v>81</v>
      </c>
      <c r="E792" t="s">
        <v>163</v>
      </c>
      <c r="F792" t="s">
        <v>7625</v>
      </c>
      <c r="G792" t="s">
        <v>6294</v>
      </c>
      <c r="H792" t="s">
        <v>3272</v>
      </c>
      <c r="L792" t="s">
        <v>7625</v>
      </c>
      <c r="N792" t="s">
        <v>7625</v>
      </c>
      <c r="O792" t="s">
        <v>7</v>
      </c>
      <c r="P792" t="s">
        <v>3274</v>
      </c>
      <c r="Q792" t="s">
        <v>3275</v>
      </c>
      <c r="R792" s="27" t="s">
        <v>7610</v>
      </c>
      <c r="T792" t="s">
        <v>119</v>
      </c>
    </row>
    <row r="793" spans="1:20" ht="15" customHeight="1" x14ac:dyDescent="0.4">
      <c r="A793" t="s">
        <v>3277</v>
      </c>
      <c r="B793" t="s">
        <v>3277</v>
      </c>
      <c r="C793" t="s">
        <v>151</v>
      </c>
      <c r="D793" t="s">
        <v>81</v>
      </c>
      <c r="E793" t="s">
        <v>163</v>
      </c>
      <c r="F793" t="s">
        <v>7626</v>
      </c>
      <c r="G793" t="s">
        <v>6294</v>
      </c>
      <c r="H793" t="s">
        <v>3276</v>
      </c>
      <c r="L793" t="s">
        <v>7626</v>
      </c>
      <c r="N793" t="s">
        <v>7626</v>
      </c>
      <c r="O793" t="s">
        <v>7</v>
      </c>
      <c r="P793" t="s">
        <v>3278</v>
      </c>
      <c r="Q793" t="s">
        <v>3279</v>
      </c>
      <c r="R793" s="27" t="s">
        <v>7610</v>
      </c>
      <c r="T793" t="s">
        <v>119</v>
      </c>
    </row>
    <row r="794" spans="1:20" ht="15" customHeight="1" x14ac:dyDescent="0.4">
      <c r="A794" t="s">
        <v>3281</v>
      </c>
      <c r="B794" t="s">
        <v>3281</v>
      </c>
      <c r="C794" t="s">
        <v>151</v>
      </c>
      <c r="D794" t="s">
        <v>81</v>
      </c>
      <c r="E794" t="s">
        <v>163</v>
      </c>
      <c r="F794" t="s">
        <v>7627</v>
      </c>
      <c r="G794" t="s">
        <v>6294</v>
      </c>
      <c r="H794" t="s">
        <v>3280</v>
      </c>
      <c r="L794" t="s">
        <v>7627</v>
      </c>
      <c r="N794" t="s">
        <v>7627</v>
      </c>
      <c r="O794" t="s">
        <v>7</v>
      </c>
      <c r="P794" t="s">
        <v>3282</v>
      </c>
      <c r="Q794" t="s">
        <v>3283</v>
      </c>
      <c r="R794" s="27" t="s">
        <v>7605</v>
      </c>
      <c r="T794" t="s">
        <v>119</v>
      </c>
    </row>
    <row r="795" spans="1:20" ht="15" customHeight="1" x14ac:dyDescent="0.4">
      <c r="A795" t="s">
        <v>3285</v>
      </c>
      <c r="B795" t="s">
        <v>3285</v>
      </c>
      <c r="C795" t="s">
        <v>151</v>
      </c>
      <c r="D795" t="s">
        <v>81</v>
      </c>
      <c r="E795" t="s">
        <v>163</v>
      </c>
      <c r="F795" t="s">
        <v>7628</v>
      </c>
      <c r="G795" t="s">
        <v>6294</v>
      </c>
      <c r="H795" t="s">
        <v>3284</v>
      </c>
      <c r="L795" t="s">
        <v>7628</v>
      </c>
      <c r="N795" t="s">
        <v>7628</v>
      </c>
      <c r="O795" t="s">
        <v>7</v>
      </c>
      <c r="P795" t="s">
        <v>3286</v>
      </c>
      <c r="Q795" t="s">
        <v>3287</v>
      </c>
      <c r="R795" s="27" t="s">
        <v>7629</v>
      </c>
      <c r="T795" t="s">
        <v>119</v>
      </c>
    </row>
    <row r="796" spans="1:20" ht="15" customHeight="1" x14ac:dyDescent="0.4">
      <c r="A796" t="s">
        <v>3289</v>
      </c>
      <c r="B796" t="s">
        <v>3289</v>
      </c>
      <c r="C796" t="s">
        <v>151</v>
      </c>
      <c r="D796" t="s">
        <v>81</v>
      </c>
      <c r="E796" t="s">
        <v>163</v>
      </c>
      <c r="F796" t="s">
        <v>7630</v>
      </c>
      <c r="G796" t="s">
        <v>6294</v>
      </c>
      <c r="H796" t="s">
        <v>3288</v>
      </c>
      <c r="L796" t="s">
        <v>7630</v>
      </c>
      <c r="N796" t="s">
        <v>7630</v>
      </c>
      <c r="O796" t="s">
        <v>7</v>
      </c>
      <c r="P796" t="s">
        <v>3290</v>
      </c>
      <c r="Q796" t="s">
        <v>3291</v>
      </c>
      <c r="R796" s="27" t="s">
        <v>7618</v>
      </c>
      <c r="T796" t="s">
        <v>119</v>
      </c>
    </row>
    <row r="797" spans="1:20" ht="15" customHeight="1" x14ac:dyDescent="0.4">
      <c r="A797" t="s">
        <v>3293</v>
      </c>
      <c r="B797" t="s">
        <v>3293</v>
      </c>
      <c r="C797" t="s">
        <v>151</v>
      </c>
      <c r="D797" t="s">
        <v>81</v>
      </c>
      <c r="E797" t="s">
        <v>163</v>
      </c>
      <c r="F797" t="s">
        <v>7631</v>
      </c>
      <c r="G797" t="s">
        <v>6294</v>
      </c>
      <c r="H797" t="s">
        <v>3292</v>
      </c>
      <c r="L797" t="s">
        <v>7631</v>
      </c>
      <c r="N797" t="s">
        <v>7631</v>
      </c>
      <c r="O797" t="s">
        <v>7</v>
      </c>
      <c r="P797" t="s">
        <v>3294</v>
      </c>
      <c r="Q797" t="s">
        <v>3295</v>
      </c>
      <c r="R797" s="27" t="s">
        <v>7632</v>
      </c>
      <c r="T797" t="s">
        <v>119</v>
      </c>
    </row>
    <row r="798" spans="1:20" ht="15" customHeight="1" x14ac:dyDescent="0.4">
      <c r="A798" t="s">
        <v>3297</v>
      </c>
      <c r="B798" t="s">
        <v>3297</v>
      </c>
      <c r="C798" t="s">
        <v>151</v>
      </c>
      <c r="D798" t="s">
        <v>81</v>
      </c>
      <c r="E798" t="s">
        <v>163</v>
      </c>
      <c r="F798" t="s">
        <v>7633</v>
      </c>
      <c r="G798" t="s">
        <v>6294</v>
      </c>
      <c r="H798" t="s">
        <v>3296</v>
      </c>
      <c r="L798" t="s">
        <v>7633</v>
      </c>
      <c r="N798" t="s">
        <v>7633</v>
      </c>
      <c r="O798" t="s">
        <v>7</v>
      </c>
      <c r="P798" t="s">
        <v>3298</v>
      </c>
      <c r="Q798" t="s">
        <v>3299</v>
      </c>
      <c r="R798" s="27" t="s">
        <v>7614</v>
      </c>
      <c r="T798" t="s">
        <v>119</v>
      </c>
    </row>
    <row r="799" spans="1:20" ht="15" customHeight="1" x14ac:dyDescent="0.4">
      <c r="A799" t="s">
        <v>3301</v>
      </c>
      <c r="B799" t="s">
        <v>3301</v>
      </c>
      <c r="C799" t="s">
        <v>151</v>
      </c>
      <c r="D799" t="s">
        <v>81</v>
      </c>
      <c r="E799" t="s">
        <v>163</v>
      </c>
      <c r="F799" t="s">
        <v>7634</v>
      </c>
      <c r="G799" t="s">
        <v>6294</v>
      </c>
      <c r="H799" t="s">
        <v>3300</v>
      </c>
      <c r="L799" t="s">
        <v>7634</v>
      </c>
      <c r="N799" t="s">
        <v>7634</v>
      </c>
      <c r="O799" t="s">
        <v>7</v>
      </c>
      <c r="P799" t="s">
        <v>3302</v>
      </c>
      <c r="Q799" t="s">
        <v>3303</v>
      </c>
      <c r="R799" s="27" t="s">
        <v>7618</v>
      </c>
      <c r="T799" t="s">
        <v>119</v>
      </c>
    </row>
    <row r="800" spans="1:20" ht="15" customHeight="1" x14ac:dyDescent="0.4">
      <c r="A800" t="s">
        <v>3305</v>
      </c>
      <c r="B800" t="s">
        <v>3305</v>
      </c>
      <c r="C800" t="s">
        <v>151</v>
      </c>
      <c r="D800" t="s">
        <v>81</v>
      </c>
      <c r="E800" t="s">
        <v>163</v>
      </c>
      <c r="F800" t="s">
        <v>7635</v>
      </c>
      <c r="G800" t="s">
        <v>6294</v>
      </c>
      <c r="H800" t="s">
        <v>3304</v>
      </c>
      <c r="L800" t="s">
        <v>7635</v>
      </c>
      <c r="N800" t="s">
        <v>7635</v>
      </c>
      <c r="O800" t="s">
        <v>7</v>
      </c>
      <c r="P800" t="s">
        <v>3306</v>
      </c>
      <c r="Q800" t="s">
        <v>3307</v>
      </c>
      <c r="R800" s="27" t="s">
        <v>7610</v>
      </c>
      <c r="T800" t="s">
        <v>119</v>
      </c>
    </row>
    <row r="801" spans="1:20" ht="15" customHeight="1" x14ac:dyDescent="0.4">
      <c r="A801" t="s">
        <v>3309</v>
      </c>
      <c r="B801" t="s">
        <v>3309</v>
      </c>
      <c r="C801" t="s">
        <v>151</v>
      </c>
      <c r="D801" t="s">
        <v>81</v>
      </c>
      <c r="E801" t="s">
        <v>163</v>
      </c>
      <c r="F801" t="s">
        <v>7636</v>
      </c>
      <c r="G801" t="s">
        <v>6294</v>
      </c>
      <c r="H801" t="s">
        <v>3308</v>
      </c>
      <c r="L801" t="s">
        <v>7636</v>
      </c>
      <c r="N801" t="s">
        <v>7636</v>
      </c>
      <c r="O801" t="s">
        <v>7</v>
      </c>
      <c r="P801" t="s">
        <v>3310</v>
      </c>
      <c r="Q801" t="s">
        <v>3311</v>
      </c>
      <c r="R801" s="27" t="s">
        <v>7607</v>
      </c>
      <c r="T801" t="s">
        <v>119</v>
      </c>
    </row>
    <row r="802" spans="1:20" ht="15" customHeight="1" x14ac:dyDescent="0.4">
      <c r="A802" t="s">
        <v>3313</v>
      </c>
      <c r="B802" t="s">
        <v>3313</v>
      </c>
      <c r="C802" t="s">
        <v>151</v>
      </c>
      <c r="D802" t="s">
        <v>81</v>
      </c>
      <c r="E802" t="s">
        <v>163</v>
      </c>
      <c r="F802" t="s">
        <v>7637</v>
      </c>
      <c r="G802" t="s">
        <v>6294</v>
      </c>
      <c r="H802" t="s">
        <v>3312</v>
      </c>
      <c r="L802" t="s">
        <v>7637</v>
      </c>
      <c r="N802" t="s">
        <v>7637</v>
      </c>
      <c r="O802" t="s">
        <v>7</v>
      </c>
      <c r="P802" t="s">
        <v>3314</v>
      </c>
      <c r="Q802" t="s">
        <v>3315</v>
      </c>
      <c r="R802" s="27" t="s">
        <v>7638</v>
      </c>
      <c r="T802" t="s">
        <v>119</v>
      </c>
    </row>
    <row r="803" spans="1:20" ht="15" customHeight="1" x14ac:dyDescent="0.4">
      <c r="A803" t="s">
        <v>3317</v>
      </c>
      <c r="B803" t="s">
        <v>3317</v>
      </c>
      <c r="C803" t="s">
        <v>151</v>
      </c>
      <c r="D803" t="s">
        <v>81</v>
      </c>
      <c r="E803" t="s">
        <v>163</v>
      </c>
      <c r="F803" t="s">
        <v>7639</v>
      </c>
      <c r="G803" t="s">
        <v>6294</v>
      </c>
      <c r="H803" t="s">
        <v>3316</v>
      </c>
      <c r="L803" t="s">
        <v>7639</v>
      </c>
      <c r="N803" t="s">
        <v>7639</v>
      </c>
      <c r="O803" t="s">
        <v>7</v>
      </c>
      <c r="P803" t="s">
        <v>3318</v>
      </c>
      <c r="Q803" t="s">
        <v>3319</v>
      </c>
      <c r="R803" s="27" t="s">
        <v>7640</v>
      </c>
      <c r="T803" t="s">
        <v>119</v>
      </c>
    </row>
    <row r="804" spans="1:20" ht="15" customHeight="1" x14ac:dyDescent="0.4">
      <c r="A804" t="s">
        <v>3321</v>
      </c>
      <c r="B804" t="s">
        <v>3321</v>
      </c>
      <c r="C804" t="s">
        <v>151</v>
      </c>
      <c r="D804" t="s">
        <v>81</v>
      </c>
      <c r="E804" t="s">
        <v>163</v>
      </c>
      <c r="F804" t="s">
        <v>7641</v>
      </c>
      <c r="G804" t="s">
        <v>6294</v>
      </c>
      <c r="H804" t="s">
        <v>3320</v>
      </c>
      <c r="L804" t="s">
        <v>7641</v>
      </c>
      <c r="N804" t="s">
        <v>7641</v>
      </c>
      <c r="O804" t="s">
        <v>7</v>
      </c>
      <c r="P804" t="s">
        <v>3322</v>
      </c>
      <c r="Q804" t="s">
        <v>3323</v>
      </c>
      <c r="R804" s="27" t="s">
        <v>7610</v>
      </c>
      <c r="T804" t="s">
        <v>119</v>
      </c>
    </row>
    <row r="805" spans="1:20" ht="15" customHeight="1" x14ac:dyDescent="0.4">
      <c r="A805" t="s">
        <v>3325</v>
      </c>
      <c r="B805" t="s">
        <v>3325</v>
      </c>
      <c r="C805" t="s">
        <v>151</v>
      </c>
      <c r="D805" t="s">
        <v>81</v>
      </c>
      <c r="E805" t="s">
        <v>163</v>
      </c>
      <c r="F805" t="s">
        <v>7642</v>
      </c>
      <c r="G805" t="s">
        <v>6294</v>
      </c>
      <c r="H805" t="s">
        <v>3324</v>
      </c>
      <c r="L805" t="s">
        <v>7642</v>
      </c>
      <c r="N805" t="s">
        <v>7642</v>
      </c>
      <c r="O805" t="s">
        <v>7</v>
      </c>
      <c r="P805" t="s">
        <v>3326</v>
      </c>
      <c r="Q805" t="s">
        <v>3327</v>
      </c>
      <c r="R805" s="27" t="s">
        <v>7603</v>
      </c>
      <c r="T805" t="s">
        <v>119</v>
      </c>
    </row>
    <row r="806" spans="1:20" ht="15" customHeight="1" x14ac:dyDescent="0.4">
      <c r="A806" t="s">
        <v>3329</v>
      </c>
      <c r="B806" t="s">
        <v>3329</v>
      </c>
      <c r="C806" t="s">
        <v>151</v>
      </c>
      <c r="D806" t="s">
        <v>81</v>
      </c>
      <c r="E806" t="s">
        <v>163</v>
      </c>
      <c r="F806" t="s">
        <v>7643</v>
      </c>
      <c r="G806" t="s">
        <v>6294</v>
      </c>
      <c r="H806" t="s">
        <v>3328</v>
      </c>
      <c r="L806" t="s">
        <v>7643</v>
      </c>
      <c r="N806" t="s">
        <v>7643</v>
      </c>
      <c r="O806" t="s">
        <v>7</v>
      </c>
      <c r="P806" t="s">
        <v>3330</v>
      </c>
      <c r="Q806" t="s">
        <v>3331</v>
      </c>
      <c r="R806" s="27" t="s">
        <v>7644</v>
      </c>
      <c r="T806" t="s">
        <v>119</v>
      </c>
    </row>
    <row r="807" spans="1:20" ht="15" customHeight="1" x14ac:dyDescent="0.4">
      <c r="A807" t="s">
        <v>3333</v>
      </c>
      <c r="B807" t="s">
        <v>3333</v>
      </c>
      <c r="C807" t="s">
        <v>151</v>
      </c>
      <c r="D807" t="s">
        <v>81</v>
      </c>
      <c r="E807" t="s">
        <v>163</v>
      </c>
      <c r="F807" t="s">
        <v>7645</v>
      </c>
      <c r="G807" t="s">
        <v>6294</v>
      </c>
      <c r="H807" t="s">
        <v>3332</v>
      </c>
      <c r="L807" t="s">
        <v>7645</v>
      </c>
      <c r="N807" t="s">
        <v>7645</v>
      </c>
      <c r="O807" t="s">
        <v>7</v>
      </c>
      <c r="P807" t="s">
        <v>3334</v>
      </c>
      <c r="Q807" t="s">
        <v>3335</v>
      </c>
      <c r="R807" s="27" t="s">
        <v>7646</v>
      </c>
      <c r="T807" t="s">
        <v>119</v>
      </c>
    </row>
    <row r="808" spans="1:20" ht="15" customHeight="1" x14ac:dyDescent="0.4">
      <c r="A808" t="s">
        <v>3337</v>
      </c>
      <c r="B808" t="s">
        <v>3337</v>
      </c>
      <c r="C808" t="s">
        <v>151</v>
      </c>
      <c r="D808" t="s">
        <v>81</v>
      </c>
      <c r="E808" t="s">
        <v>163</v>
      </c>
      <c r="F808" t="s">
        <v>7647</v>
      </c>
      <c r="G808" t="s">
        <v>6294</v>
      </c>
      <c r="H808" t="s">
        <v>3336</v>
      </c>
      <c r="L808" t="s">
        <v>7647</v>
      </c>
      <c r="N808" t="s">
        <v>7647</v>
      </c>
      <c r="O808" t="s">
        <v>7</v>
      </c>
      <c r="P808" t="s">
        <v>3338</v>
      </c>
      <c r="Q808" t="s">
        <v>3339</v>
      </c>
      <c r="R808" s="27" t="s">
        <v>7648</v>
      </c>
      <c r="T808" t="s">
        <v>119</v>
      </c>
    </row>
    <row r="809" spans="1:20" ht="15" customHeight="1" x14ac:dyDescent="0.4">
      <c r="A809" t="s">
        <v>3341</v>
      </c>
      <c r="B809" t="s">
        <v>3341</v>
      </c>
      <c r="C809" t="s">
        <v>151</v>
      </c>
      <c r="D809" t="s">
        <v>81</v>
      </c>
      <c r="E809" t="s">
        <v>163</v>
      </c>
      <c r="F809" t="s">
        <v>7649</v>
      </c>
      <c r="G809" t="s">
        <v>6294</v>
      </c>
      <c r="H809" t="s">
        <v>3340</v>
      </c>
      <c r="L809" t="s">
        <v>7649</v>
      </c>
      <c r="N809" t="s">
        <v>7649</v>
      </c>
      <c r="O809" t="s">
        <v>7</v>
      </c>
      <c r="P809" t="s">
        <v>3342</v>
      </c>
      <c r="Q809" t="s">
        <v>3343</v>
      </c>
      <c r="R809" s="27" t="s">
        <v>7650</v>
      </c>
      <c r="T809" t="s">
        <v>119</v>
      </c>
    </row>
    <row r="810" spans="1:20" ht="15" customHeight="1" x14ac:dyDescent="0.4">
      <c r="A810" t="s">
        <v>3345</v>
      </c>
      <c r="B810" t="s">
        <v>3345</v>
      </c>
      <c r="C810" t="s">
        <v>151</v>
      </c>
      <c r="D810" t="s">
        <v>81</v>
      </c>
      <c r="E810" t="s">
        <v>163</v>
      </c>
      <c r="F810" t="s">
        <v>7651</v>
      </c>
      <c r="G810" t="s">
        <v>6294</v>
      </c>
      <c r="H810" t="s">
        <v>3344</v>
      </c>
      <c r="L810" t="s">
        <v>7651</v>
      </c>
      <c r="N810" t="s">
        <v>7651</v>
      </c>
      <c r="O810" t="s">
        <v>7</v>
      </c>
      <c r="P810" t="s">
        <v>3346</v>
      </c>
      <c r="Q810" t="s">
        <v>3347</v>
      </c>
      <c r="R810" s="27" t="s">
        <v>7652</v>
      </c>
      <c r="T810" t="s">
        <v>119</v>
      </c>
    </row>
    <row r="811" spans="1:20" ht="15" customHeight="1" x14ac:dyDescent="0.4">
      <c r="A811" t="s">
        <v>3349</v>
      </c>
      <c r="B811" t="s">
        <v>3349</v>
      </c>
      <c r="C811" t="s">
        <v>151</v>
      </c>
      <c r="D811" t="s">
        <v>81</v>
      </c>
      <c r="E811" t="s">
        <v>163</v>
      </c>
      <c r="F811" t="s">
        <v>7653</v>
      </c>
      <c r="G811" t="s">
        <v>6294</v>
      </c>
      <c r="H811" t="s">
        <v>3348</v>
      </c>
      <c r="L811" t="s">
        <v>7653</v>
      </c>
      <c r="N811" t="s">
        <v>7653</v>
      </c>
      <c r="O811" t="s">
        <v>7</v>
      </c>
      <c r="P811" t="s">
        <v>3350</v>
      </c>
      <c r="Q811" t="s">
        <v>3351</v>
      </c>
      <c r="R811" s="27" t="s">
        <v>7654</v>
      </c>
      <c r="T811" t="s">
        <v>119</v>
      </c>
    </row>
    <row r="812" spans="1:20" ht="15" customHeight="1" x14ac:dyDescent="0.4">
      <c r="A812" t="s">
        <v>3353</v>
      </c>
      <c r="B812" t="s">
        <v>3353</v>
      </c>
      <c r="C812" t="s">
        <v>151</v>
      </c>
      <c r="D812" t="s">
        <v>81</v>
      </c>
      <c r="E812" t="s">
        <v>163</v>
      </c>
      <c r="F812" t="s">
        <v>7655</v>
      </c>
      <c r="G812" t="s">
        <v>6294</v>
      </c>
      <c r="H812" t="s">
        <v>3352</v>
      </c>
      <c r="L812" t="s">
        <v>7655</v>
      </c>
      <c r="N812" t="s">
        <v>7655</v>
      </c>
      <c r="O812" t="s">
        <v>7</v>
      </c>
      <c r="P812" t="s">
        <v>3354</v>
      </c>
      <c r="Q812" t="s">
        <v>3355</v>
      </c>
      <c r="R812" s="27" t="s">
        <v>7656</v>
      </c>
      <c r="T812" t="s">
        <v>119</v>
      </c>
    </row>
    <row r="813" spans="1:20" ht="15" customHeight="1" x14ac:dyDescent="0.4">
      <c r="A813" t="s">
        <v>3357</v>
      </c>
      <c r="B813" t="s">
        <v>3357</v>
      </c>
      <c r="C813" t="s">
        <v>151</v>
      </c>
      <c r="D813" t="s">
        <v>81</v>
      </c>
      <c r="E813" t="s">
        <v>163</v>
      </c>
      <c r="F813" t="s">
        <v>7657</v>
      </c>
      <c r="G813" t="s">
        <v>6294</v>
      </c>
      <c r="H813" t="s">
        <v>3356</v>
      </c>
      <c r="L813" t="s">
        <v>7657</v>
      </c>
      <c r="N813" t="s">
        <v>7657</v>
      </c>
      <c r="O813" t="s">
        <v>7</v>
      </c>
      <c r="P813" t="s">
        <v>3358</v>
      </c>
      <c r="Q813" t="s">
        <v>3359</v>
      </c>
      <c r="R813" s="27" t="s">
        <v>7658</v>
      </c>
      <c r="T813" t="s">
        <v>119</v>
      </c>
    </row>
    <row r="814" spans="1:20" ht="15" customHeight="1" x14ac:dyDescent="0.4">
      <c r="A814" t="s">
        <v>3361</v>
      </c>
      <c r="B814" t="s">
        <v>3361</v>
      </c>
      <c r="C814" t="s">
        <v>151</v>
      </c>
      <c r="D814" t="s">
        <v>81</v>
      </c>
      <c r="E814" t="s">
        <v>163</v>
      </c>
      <c r="F814" t="s">
        <v>7659</v>
      </c>
      <c r="G814" t="s">
        <v>6294</v>
      </c>
      <c r="H814" t="s">
        <v>3360</v>
      </c>
      <c r="L814" t="s">
        <v>7659</v>
      </c>
      <c r="N814" t="s">
        <v>7659</v>
      </c>
      <c r="O814" t="s">
        <v>7</v>
      </c>
      <c r="P814" t="s">
        <v>3362</v>
      </c>
      <c r="Q814" t="s">
        <v>3363</v>
      </c>
      <c r="R814" s="27" t="s">
        <v>7660</v>
      </c>
      <c r="T814" t="s">
        <v>119</v>
      </c>
    </row>
    <row r="815" spans="1:20" ht="15" customHeight="1" x14ac:dyDescent="0.4">
      <c r="A815" t="s">
        <v>3365</v>
      </c>
      <c r="B815" t="s">
        <v>3365</v>
      </c>
      <c r="C815" t="s">
        <v>151</v>
      </c>
      <c r="D815" t="s">
        <v>81</v>
      </c>
      <c r="E815" t="s">
        <v>163</v>
      </c>
      <c r="F815" t="s">
        <v>7661</v>
      </c>
      <c r="G815" t="s">
        <v>6294</v>
      </c>
      <c r="H815" t="s">
        <v>3364</v>
      </c>
      <c r="L815" t="s">
        <v>7661</v>
      </c>
      <c r="N815" t="s">
        <v>7661</v>
      </c>
      <c r="O815" t="s">
        <v>7</v>
      </c>
      <c r="P815" t="s">
        <v>3366</v>
      </c>
      <c r="Q815" t="s">
        <v>123</v>
      </c>
      <c r="R815" t="s">
        <v>6279</v>
      </c>
      <c r="T815" t="s">
        <v>119</v>
      </c>
    </row>
    <row r="816" spans="1:20" ht="15" customHeight="1" x14ac:dyDescent="0.4">
      <c r="A816" t="s">
        <v>3369</v>
      </c>
      <c r="B816" t="s">
        <v>3369</v>
      </c>
      <c r="C816" t="s">
        <v>151</v>
      </c>
      <c r="D816" t="s">
        <v>81</v>
      </c>
      <c r="E816" t="s">
        <v>163</v>
      </c>
      <c r="F816" t="s">
        <v>7662</v>
      </c>
      <c r="G816" t="s">
        <v>6294</v>
      </c>
      <c r="H816" t="s">
        <v>3368</v>
      </c>
      <c r="L816" t="s">
        <v>7662</v>
      </c>
      <c r="N816" t="s">
        <v>7662</v>
      </c>
      <c r="O816" t="s">
        <v>7</v>
      </c>
      <c r="P816" t="s">
        <v>3370</v>
      </c>
      <c r="Q816" t="s">
        <v>3371</v>
      </c>
      <c r="R816" s="27" t="s">
        <v>7663</v>
      </c>
      <c r="T816" t="s">
        <v>119</v>
      </c>
    </row>
    <row r="817" spans="1:20" ht="15" customHeight="1" x14ac:dyDescent="0.4">
      <c r="A817" t="s">
        <v>3373</v>
      </c>
      <c r="B817" t="s">
        <v>3373</v>
      </c>
      <c r="C817" t="s">
        <v>151</v>
      </c>
      <c r="D817" t="s">
        <v>81</v>
      </c>
      <c r="E817" t="s">
        <v>163</v>
      </c>
      <c r="F817" t="s">
        <v>7664</v>
      </c>
      <c r="G817" t="s">
        <v>6294</v>
      </c>
      <c r="H817" t="s">
        <v>3372</v>
      </c>
      <c r="L817" t="s">
        <v>7664</v>
      </c>
      <c r="N817" t="s">
        <v>7664</v>
      </c>
      <c r="O817" t="s">
        <v>7</v>
      </c>
      <c r="P817" t="s">
        <v>3374</v>
      </c>
      <c r="Q817" t="s">
        <v>3375</v>
      </c>
      <c r="R817" s="27" t="s">
        <v>7663</v>
      </c>
      <c r="T817" t="s">
        <v>119</v>
      </c>
    </row>
    <row r="818" spans="1:20" ht="15" customHeight="1" x14ac:dyDescent="0.4">
      <c r="A818" t="s">
        <v>3377</v>
      </c>
      <c r="B818" t="s">
        <v>3377</v>
      </c>
      <c r="C818" t="s">
        <v>151</v>
      </c>
      <c r="D818" t="s">
        <v>81</v>
      </c>
      <c r="E818" t="s">
        <v>163</v>
      </c>
      <c r="F818" t="s">
        <v>7665</v>
      </c>
      <c r="G818" t="s">
        <v>6294</v>
      </c>
      <c r="H818" t="s">
        <v>3376</v>
      </c>
      <c r="L818" t="s">
        <v>7665</v>
      </c>
      <c r="N818" t="s">
        <v>7665</v>
      </c>
      <c r="O818" t="s">
        <v>7</v>
      </c>
      <c r="P818" t="s">
        <v>3378</v>
      </c>
      <c r="Q818" t="s">
        <v>3379</v>
      </c>
      <c r="R818" s="27" t="s">
        <v>7663</v>
      </c>
      <c r="T818" t="s">
        <v>119</v>
      </c>
    </row>
    <row r="819" spans="1:20" ht="15" customHeight="1" x14ac:dyDescent="0.4">
      <c r="A819" t="s">
        <v>3381</v>
      </c>
      <c r="B819" t="s">
        <v>3381</v>
      </c>
      <c r="C819" t="s">
        <v>151</v>
      </c>
      <c r="D819" t="s">
        <v>81</v>
      </c>
      <c r="E819" t="s">
        <v>163</v>
      </c>
      <c r="F819" t="s">
        <v>7666</v>
      </c>
      <c r="G819" t="s">
        <v>6294</v>
      </c>
      <c r="H819" t="s">
        <v>3380</v>
      </c>
      <c r="L819" t="s">
        <v>7666</v>
      </c>
      <c r="N819" t="s">
        <v>7666</v>
      </c>
      <c r="O819" t="s">
        <v>7</v>
      </c>
      <c r="P819" t="s">
        <v>3382</v>
      </c>
      <c r="Q819" t="s">
        <v>3383</v>
      </c>
      <c r="R819" s="27" t="s">
        <v>7667</v>
      </c>
      <c r="T819" t="s">
        <v>119</v>
      </c>
    </row>
    <row r="820" spans="1:20" ht="15" customHeight="1" x14ac:dyDescent="0.4">
      <c r="A820" t="s">
        <v>3385</v>
      </c>
      <c r="B820" t="s">
        <v>3385</v>
      </c>
      <c r="C820" t="s">
        <v>151</v>
      </c>
      <c r="D820" t="s">
        <v>81</v>
      </c>
      <c r="E820" t="s">
        <v>163</v>
      </c>
      <c r="F820" t="s">
        <v>7668</v>
      </c>
      <c r="G820" t="s">
        <v>6294</v>
      </c>
      <c r="H820" t="s">
        <v>3384</v>
      </c>
      <c r="L820" t="s">
        <v>7668</v>
      </c>
      <c r="N820" t="s">
        <v>7668</v>
      </c>
      <c r="O820" t="s">
        <v>7</v>
      </c>
      <c r="P820" t="s">
        <v>3386</v>
      </c>
      <c r="Q820" t="s">
        <v>3387</v>
      </c>
      <c r="R820" s="27" t="s">
        <v>7667</v>
      </c>
      <c r="T820" t="s">
        <v>119</v>
      </c>
    </row>
    <row r="821" spans="1:20" ht="15" customHeight="1" x14ac:dyDescent="0.4">
      <c r="A821" t="s">
        <v>3389</v>
      </c>
      <c r="B821" t="s">
        <v>3389</v>
      </c>
      <c r="C821" t="s">
        <v>151</v>
      </c>
      <c r="D821" t="s">
        <v>81</v>
      </c>
      <c r="E821" t="s">
        <v>163</v>
      </c>
      <c r="F821" t="s">
        <v>7669</v>
      </c>
      <c r="G821" t="s">
        <v>6294</v>
      </c>
      <c r="H821" t="s">
        <v>3388</v>
      </c>
      <c r="L821" t="s">
        <v>7669</v>
      </c>
      <c r="N821" t="s">
        <v>7669</v>
      </c>
      <c r="O821" t="s">
        <v>7</v>
      </c>
      <c r="P821" t="s">
        <v>3390</v>
      </c>
      <c r="Q821" t="s">
        <v>3391</v>
      </c>
      <c r="R821" s="27" t="s">
        <v>7667</v>
      </c>
      <c r="T821" t="s">
        <v>119</v>
      </c>
    </row>
    <row r="822" spans="1:20" ht="15" customHeight="1" x14ac:dyDescent="0.4">
      <c r="A822" t="s">
        <v>3393</v>
      </c>
      <c r="B822" t="s">
        <v>3393</v>
      </c>
      <c r="C822" t="s">
        <v>151</v>
      </c>
      <c r="D822" t="s">
        <v>81</v>
      </c>
      <c r="E822" t="s">
        <v>163</v>
      </c>
      <c r="F822" t="s">
        <v>7670</v>
      </c>
      <c r="G822" t="s">
        <v>6294</v>
      </c>
      <c r="H822" t="s">
        <v>3392</v>
      </c>
      <c r="L822" t="s">
        <v>7670</v>
      </c>
      <c r="N822" t="s">
        <v>7670</v>
      </c>
      <c r="O822" t="s">
        <v>7</v>
      </c>
      <c r="P822" t="s">
        <v>3394</v>
      </c>
      <c r="Q822" t="s">
        <v>3395</v>
      </c>
      <c r="R822" s="27" t="s">
        <v>7671</v>
      </c>
      <c r="T822" t="s">
        <v>119</v>
      </c>
    </row>
    <row r="823" spans="1:20" ht="15" customHeight="1" x14ac:dyDescent="0.4">
      <c r="A823" t="s">
        <v>3397</v>
      </c>
      <c r="B823" t="s">
        <v>3397</v>
      </c>
      <c r="C823" t="s">
        <v>151</v>
      </c>
      <c r="D823" t="s">
        <v>81</v>
      </c>
      <c r="E823" t="s">
        <v>163</v>
      </c>
      <c r="F823" t="s">
        <v>7672</v>
      </c>
      <c r="G823" t="s">
        <v>6294</v>
      </c>
      <c r="H823" t="s">
        <v>3396</v>
      </c>
      <c r="L823" t="s">
        <v>7672</v>
      </c>
      <c r="N823" t="s">
        <v>7672</v>
      </c>
      <c r="O823" t="s">
        <v>7</v>
      </c>
      <c r="P823" t="s">
        <v>3398</v>
      </c>
      <c r="Q823" t="s">
        <v>3399</v>
      </c>
      <c r="R823" s="27" t="s">
        <v>7673</v>
      </c>
      <c r="T823" t="s">
        <v>119</v>
      </c>
    </row>
    <row r="824" spans="1:20" ht="15" customHeight="1" x14ac:dyDescent="0.4">
      <c r="A824" t="s">
        <v>3401</v>
      </c>
      <c r="B824" t="s">
        <v>3401</v>
      </c>
      <c r="C824" t="s">
        <v>151</v>
      </c>
      <c r="D824" t="s">
        <v>81</v>
      </c>
      <c r="E824" t="s">
        <v>163</v>
      </c>
      <c r="F824" t="s">
        <v>7674</v>
      </c>
      <c r="G824" t="s">
        <v>6294</v>
      </c>
      <c r="H824" t="s">
        <v>3400</v>
      </c>
      <c r="L824" t="s">
        <v>7674</v>
      </c>
      <c r="N824" t="s">
        <v>7674</v>
      </c>
      <c r="O824" t="s">
        <v>7</v>
      </c>
      <c r="P824" t="s">
        <v>3402</v>
      </c>
      <c r="Q824" t="s">
        <v>3403</v>
      </c>
      <c r="R824" s="27" t="s">
        <v>7673</v>
      </c>
      <c r="T824" t="s">
        <v>119</v>
      </c>
    </row>
    <row r="825" spans="1:20" ht="15" customHeight="1" x14ac:dyDescent="0.4">
      <c r="A825" t="s">
        <v>3405</v>
      </c>
      <c r="B825" t="s">
        <v>3405</v>
      </c>
      <c r="C825" t="s">
        <v>151</v>
      </c>
      <c r="D825" t="s">
        <v>81</v>
      </c>
      <c r="E825" t="s">
        <v>163</v>
      </c>
      <c r="F825" t="s">
        <v>7675</v>
      </c>
      <c r="G825" t="s">
        <v>6294</v>
      </c>
      <c r="H825" t="s">
        <v>3404</v>
      </c>
      <c r="L825" t="s">
        <v>7675</v>
      </c>
      <c r="N825" t="s">
        <v>7675</v>
      </c>
      <c r="O825" t="s">
        <v>7</v>
      </c>
      <c r="P825" t="s">
        <v>3406</v>
      </c>
      <c r="Q825" t="s">
        <v>3407</v>
      </c>
      <c r="R825" s="27" t="s">
        <v>7673</v>
      </c>
      <c r="T825" t="s">
        <v>119</v>
      </c>
    </row>
    <row r="826" spans="1:20" ht="15" customHeight="1" x14ac:dyDescent="0.4">
      <c r="A826" t="s">
        <v>3409</v>
      </c>
      <c r="B826" t="s">
        <v>3409</v>
      </c>
      <c r="C826" t="s">
        <v>151</v>
      </c>
      <c r="D826" t="s">
        <v>81</v>
      </c>
      <c r="E826" t="s">
        <v>163</v>
      </c>
      <c r="F826" t="s">
        <v>7676</v>
      </c>
      <c r="G826" t="s">
        <v>6294</v>
      </c>
      <c r="H826" t="s">
        <v>3408</v>
      </c>
      <c r="L826" t="s">
        <v>7676</v>
      </c>
      <c r="N826" t="s">
        <v>7676</v>
      </c>
      <c r="O826" t="s">
        <v>7</v>
      </c>
      <c r="P826" t="s">
        <v>3410</v>
      </c>
      <c r="Q826" t="s">
        <v>3411</v>
      </c>
      <c r="R826" s="27" t="s">
        <v>7673</v>
      </c>
      <c r="T826" t="s">
        <v>119</v>
      </c>
    </row>
    <row r="827" spans="1:20" ht="15" customHeight="1" x14ac:dyDescent="0.4">
      <c r="A827" t="s">
        <v>3413</v>
      </c>
      <c r="B827" t="s">
        <v>3413</v>
      </c>
      <c r="C827" t="s">
        <v>151</v>
      </c>
      <c r="D827" t="s">
        <v>81</v>
      </c>
      <c r="E827" t="s">
        <v>163</v>
      </c>
      <c r="F827" t="s">
        <v>7677</v>
      </c>
      <c r="G827" t="s">
        <v>6294</v>
      </c>
      <c r="H827" t="s">
        <v>3412</v>
      </c>
      <c r="L827" t="s">
        <v>7677</v>
      </c>
      <c r="N827" t="s">
        <v>7677</v>
      </c>
      <c r="O827" t="s">
        <v>7</v>
      </c>
      <c r="P827" t="s">
        <v>3414</v>
      </c>
      <c r="Q827" t="s">
        <v>3415</v>
      </c>
      <c r="R827" s="27" t="s">
        <v>7673</v>
      </c>
      <c r="T827" t="s">
        <v>119</v>
      </c>
    </row>
    <row r="828" spans="1:20" ht="15" customHeight="1" x14ac:dyDescent="0.4">
      <c r="A828" t="s">
        <v>3417</v>
      </c>
      <c r="B828" t="s">
        <v>3417</v>
      </c>
      <c r="C828" t="s">
        <v>151</v>
      </c>
      <c r="D828" t="s">
        <v>81</v>
      </c>
      <c r="E828" t="s">
        <v>163</v>
      </c>
      <c r="F828" t="s">
        <v>7678</v>
      </c>
      <c r="G828" t="s">
        <v>6294</v>
      </c>
      <c r="H828" t="s">
        <v>3416</v>
      </c>
      <c r="L828" t="s">
        <v>7678</v>
      </c>
      <c r="N828" t="s">
        <v>7678</v>
      </c>
      <c r="O828" t="s">
        <v>7</v>
      </c>
      <c r="P828" t="s">
        <v>3418</v>
      </c>
      <c r="Q828" t="s">
        <v>3419</v>
      </c>
      <c r="R828" s="27" t="s">
        <v>7673</v>
      </c>
      <c r="T828" t="s">
        <v>119</v>
      </c>
    </row>
    <row r="829" spans="1:20" ht="15" customHeight="1" x14ac:dyDescent="0.4">
      <c r="A829" t="s">
        <v>3421</v>
      </c>
      <c r="B829" t="s">
        <v>3421</v>
      </c>
      <c r="C829" t="s">
        <v>151</v>
      </c>
      <c r="D829" t="s">
        <v>81</v>
      </c>
      <c r="E829" t="s">
        <v>163</v>
      </c>
      <c r="F829" t="s">
        <v>7679</v>
      </c>
      <c r="G829" t="s">
        <v>6294</v>
      </c>
      <c r="H829" t="s">
        <v>3420</v>
      </c>
      <c r="L829" t="s">
        <v>7679</v>
      </c>
      <c r="N829" t="s">
        <v>7679</v>
      </c>
      <c r="O829" t="s">
        <v>7</v>
      </c>
      <c r="P829" t="s">
        <v>3422</v>
      </c>
      <c r="Q829" t="s">
        <v>3423</v>
      </c>
      <c r="R829" s="27" t="s">
        <v>7680</v>
      </c>
      <c r="T829" t="s">
        <v>119</v>
      </c>
    </row>
    <row r="830" spans="1:20" ht="15" customHeight="1" x14ac:dyDescent="0.4">
      <c r="A830" t="s">
        <v>3425</v>
      </c>
      <c r="B830" t="s">
        <v>3425</v>
      </c>
      <c r="C830" t="s">
        <v>151</v>
      </c>
      <c r="D830" t="s">
        <v>81</v>
      </c>
      <c r="E830" t="s">
        <v>163</v>
      </c>
      <c r="F830" t="s">
        <v>7681</v>
      </c>
      <c r="G830" t="s">
        <v>6294</v>
      </c>
      <c r="H830" t="s">
        <v>3424</v>
      </c>
      <c r="L830" t="s">
        <v>7681</v>
      </c>
      <c r="N830" t="s">
        <v>7681</v>
      </c>
      <c r="O830" t="s">
        <v>7</v>
      </c>
      <c r="P830" t="s">
        <v>3426</v>
      </c>
      <c r="Q830" t="s">
        <v>3427</v>
      </c>
      <c r="R830" s="27" t="s">
        <v>7680</v>
      </c>
      <c r="T830" t="s">
        <v>119</v>
      </c>
    </row>
    <row r="831" spans="1:20" ht="15" customHeight="1" x14ac:dyDescent="0.4">
      <c r="A831" t="s">
        <v>3429</v>
      </c>
      <c r="B831" t="s">
        <v>3429</v>
      </c>
      <c r="C831" t="s">
        <v>151</v>
      </c>
      <c r="D831" t="s">
        <v>81</v>
      </c>
      <c r="E831" t="s">
        <v>163</v>
      </c>
      <c r="F831" t="s">
        <v>7682</v>
      </c>
      <c r="G831" t="s">
        <v>6294</v>
      </c>
      <c r="H831" t="s">
        <v>3428</v>
      </c>
      <c r="L831" t="s">
        <v>7682</v>
      </c>
      <c r="N831" t="s">
        <v>7682</v>
      </c>
      <c r="O831" t="s">
        <v>7</v>
      </c>
      <c r="P831" t="s">
        <v>3430</v>
      </c>
      <c r="Q831" t="s">
        <v>3431</v>
      </c>
      <c r="R831" s="27" t="s">
        <v>7683</v>
      </c>
      <c r="T831" t="s">
        <v>119</v>
      </c>
    </row>
    <row r="832" spans="1:20" ht="15" customHeight="1" x14ac:dyDescent="0.4">
      <c r="A832" t="s">
        <v>3433</v>
      </c>
      <c r="B832" t="s">
        <v>3433</v>
      </c>
      <c r="C832" t="s">
        <v>151</v>
      </c>
      <c r="D832" t="s">
        <v>81</v>
      </c>
      <c r="E832" t="s">
        <v>163</v>
      </c>
      <c r="F832" t="s">
        <v>7684</v>
      </c>
      <c r="G832" t="s">
        <v>6294</v>
      </c>
      <c r="H832" t="s">
        <v>3432</v>
      </c>
      <c r="L832" t="s">
        <v>7684</v>
      </c>
      <c r="N832" t="s">
        <v>7684</v>
      </c>
      <c r="O832" t="s">
        <v>7</v>
      </c>
      <c r="P832" t="s">
        <v>3434</v>
      </c>
      <c r="Q832" t="s">
        <v>3435</v>
      </c>
      <c r="R832" s="27" t="s">
        <v>7683</v>
      </c>
      <c r="T832" t="s">
        <v>119</v>
      </c>
    </row>
    <row r="833" spans="1:20" ht="15" customHeight="1" x14ac:dyDescent="0.4">
      <c r="A833" t="s">
        <v>3437</v>
      </c>
      <c r="B833" t="s">
        <v>3437</v>
      </c>
      <c r="C833" t="s">
        <v>151</v>
      </c>
      <c r="D833" t="s">
        <v>81</v>
      </c>
      <c r="E833" t="s">
        <v>163</v>
      </c>
      <c r="F833" t="s">
        <v>7685</v>
      </c>
      <c r="G833" t="s">
        <v>6294</v>
      </c>
      <c r="H833" t="s">
        <v>3436</v>
      </c>
      <c r="L833" t="s">
        <v>7685</v>
      </c>
      <c r="N833" t="s">
        <v>7685</v>
      </c>
      <c r="O833" t="s">
        <v>7</v>
      </c>
      <c r="P833" t="s">
        <v>3438</v>
      </c>
      <c r="Q833" t="s">
        <v>3439</v>
      </c>
      <c r="R833" s="27" t="s">
        <v>7683</v>
      </c>
      <c r="T833" t="s">
        <v>119</v>
      </c>
    </row>
    <row r="834" spans="1:20" ht="15" customHeight="1" x14ac:dyDescent="0.4">
      <c r="A834" t="s">
        <v>3441</v>
      </c>
      <c r="B834" t="s">
        <v>3441</v>
      </c>
      <c r="C834" t="s">
        <v>151</v>
      </c>
      <c r="D834" t="s">
        <v>81</v>
      </c>
      <c r="E834" t="s">
        <v>163</v>
      </c>
      <c r="F834" t="s">
        <v>7686</v>
      </c>
      <c r="G834" t="s">
        <v>6294</v>
      </c>
      <c r="H834" t="s">
        <v>3440</v>
      </c>
      <c r="L834" t="s">
        <v>7686</v>
      </c>
      <c r="N834" t="s">
        <v>7686</v>
      </c>
      <c r="O834" t="s">
        <v>7</v>
      </c>
      <c r="P834" t="s">
        <v>3442</v>
      </c>
      <c r="Q834" t="s">
        <v>3443</v>
      </c>
      <c r="R834" s="27" t="s">
        <v>7687</v>
      </c>
      <c r="T834" t="s">
        <v>119</v>
      </c>
    </row>
    <row r="835" spans="1:20" ht="15" customHeight="1" x14ac:dyDescent="0.4">
      <c r="A835" t="s">
        <v>3445</v>
      </c>
      <c r="B835" t="s">
        <v>3445</v>
      </c>
      <c r="C835" t="s">
        <v>151</v>
      </c>
      <c r="D835" t="s">
        <v>81</v>
      </c>
      <c r="E835" t="s">
        <v>163</v>
      </c>
      <c r="F835" t="s">
        <v>7688</v>
      </c>
      <c r="G835" t="s">
        <v>6294</v>
      </c>
      <c r="H835" t="s">
        <v>3444</v>
      </c>
      <c r="L835" t="s">
        <v>7688</v>
      </c>
      <c r="N835" t="s">
        <v>7688</v>
      </c>
      <c r="O835" t="s">
        <v>7</v>
      </c>
      <c r="P835" t="s">
        <v>3446</v>
      </c>
      <c r="Q835" t="s">
        <v>123</v>
      </c>
      <c r="R835" t="s">
        <v>6279</v>
      </c>
      <c r="T835" t="s">
        <v>119</v>
      </c>
    </row>
    <row r="836" spans="1:20" ht="15" customHeight="1" x14ac:dyDescent="0.4">
      <c r="A836" t="s">
        <v>3449</v>
      </c>
      <c r="B836" t="s">
        <v>3449</v>
      </c>
      <c r="C836" t="s">
        <v>151</v>
      </c>
      <c r="D836" t="s">
        <v>81</v>
      </c>
      <c r="E836" t="s">
        <v>163</v>
      </c>
      <c r="F836" t="s">
        <v>7689</v>
      </c>
      <c r="G836" t="s">
        <v>6294</v>
      </c>
      <c r="H836" t="s">
        <v>3448</v>
      </c>
      <c r="L836" t="s">
        <v>7689</v>
      </c>
      <c r="N836" t="s">
        <v>7689</v>
      </c>
      <c r="O836" t="s">
        <v>7</v>
      </c>
      <c r="P836" t="s">
        <v>3450</v>
      </c>
      <c r="Q836" t="s">
        <v>3451</v>
      </c>
      <c r="R836" s="27" t="s">
        <v>7687</v>
      </c>
      <c r="T836" t="s">
        <v>119</v>
      </c>
    </row>
    <row r="837" spans="1:20" ht="15" customHeight="1" x14ac:dyDescent="0.4">
      <c r="A837" t="s">
        <v>3453</v>
      </c>
      <c r="B837" t="s">
        <v>3453</v>
      </c>
      <c r="C837" t="s">
        <v>151</v>
      </c>
      <c r="D837" t="s">
        <v>81</v>
      </c>
      <c r="E837" t="s">
        <v>163</v>
      </c>
      <c r="F837" t="s">
        <v>7690</v>
      </c>
      <c r="G837" t="s">
        <v>6294</v>
      </c>
      <c r="H837" t="s">
        <v>3452</v>
      </c>
      <c r="L837" t="s">
        <v>7690</v>
      </c>
      <c r="N837" t="s">
        <v>7690</v>
      </c>
      <c r="O837" t="s">
        <v>7</v>
      </c>
      <c r="P837" t="s">
        <v>3454</v>
      </c>
      <c r="Q837" t="s">
        <v>3455</v>
      </c>
      <c r="R837" s="27" t="s">
        <v>7691</v>
      </c>
      <c r="T837" t="s">
        <v>119</v>
      </c>
    </row>
    <row r="838" spans="1:20" ht="15" customHeight="1" x14ac:dyDescent="0.4">
      <c r="A838" t="s">
        <v>3457</v>
      </c>
      <c r="B838" t="s">
        <v>3457</v>
      </c>
      <c r="C838" t="s">
        <v>151</v>
      </c>
      <c r="D838" t="s">
        <v>81</v>
      </c>
      <c r="E838" t="s">
        <v>163</v>
      </c>
      <c r="F838" t="s">
        <v>7692</v>
      </c>
      <c r="G838" t="s">
        <v>6294</v>
      </c>
      <c r="H838" t="s">
        <v>3456</v>
      </c>
      <c r="L838" t="s">
        <v>7692</v>
      </c>
      <c r="N838" t="s">
        <v>7692</v>
      </c>
      <c r="O838" t="s">
        <v>7</v>
      </c>
      <c r="P838" t="s">
        <v>3458</v>
      </c>
      <c r="Q838" t="s">
        <v>3459</v>
      </c>
      <c r="R838" s="27" t="s">
        <v>7693</v>
      </c>
      <c r="T838" t="s">
        <v>119</v>
      </c>
    </row>
    <row r="839" spans="1:20" ht="15" customHeight="1" x14ac:dyDescent="0.4">
      <c r="A839" t="s">
        <v>3461</v>
      </c>
      <c r="B839" t="s">
        <v>3461</v>
      </c>
      <c r="C839" t="s">
        <v>151</v>
      </c>
      <c r="D839" t="s">
        <v>81</v>
      </c>
      <c r="E839" t="s">
        <v>163</v>
      </c>
      <c r="F839" t="s">
        <v>7694</v>
      </c>
      <c r="G839" t="s">
        <v>6294</v>
      </c>
      <c r="H839" t="s">
        <v>3460</v>
      </c>
      <c r="L839" t="s">
        <v>7694</v>
      </c>
      <c r="N839" t="s">
        <v>7694</v>
      </c>
      <c r="O839" t="s">
        <v>7</v>
      </c>
      <c r="P839" t="s">
        <v>3462</v>
      </c>
      <c r="Q839" t="s">
        <v>3463</v>
      </c>
      <c r="R839" s="27" t="s">
        <v>7693</v>
      </c>
      <c r="T839" t="s">
        <v>119</v>
      </c>
    </row>
    <row r="840" spans="1:20" ht="15" customHeight="1" x14ac:dyDescent="0.4">
      <c r="A840" t="s">
        <v>3465</v>
      </c>
      <c r="B840" t="s">
        <v>3465</v>
      </c>
      <c r="C840" t="s">
        <v>151</v>
      </c>
      <c r="D840" t="s">
        <v>81</v>
      </c>
      <c r="E840" t="s">
        <v>163</v>
      </c>
      <c r="F840" t="s">
        <v>7695</v>
      </c>
      <c r="G840" t="s">
        <v>6294</v>
      </c>
      <c r="H840" t="s">
        <v>3464</v>
      </c>
      <c r="L840" t="s">
        <v>7695</v>
      </c>
      <c r="N840" t="s">
        <v>7695</v>
      </c>
      <c r="O840" t="s">
        <v>7</v>
      </c>
      <c r="P840" t="s">
        <v>3466</v>
      </c>
      <c r="Q840" t="s">
        <v>3467</v>
      </c>
      <c r="R840" s="27" t="s">
        <v>7693</v>
      </c>
      <c r="T840" t="s">
        <v>119</v>
      </c>
    </row>
    <row r="841" spans="1:20" ht="15" customHeight="1" x14ac:dyDescent="0.4">
      <c r="A841" t="s">
        <v>3469</v>
      </c>
      <c r="B841" t="s">
        <v>3469</v>
      </c>
      <c r="C841" t="s">
        <v>151</v>
      </c>
      <c r="D841" t="s">
        <v>81</v>
      </c>
      <c r="E841" t="s">
        <v>163</v>
      </c>
      <c r="F841" t="s">
        <v>7696</v>
      </c>
      <c r="G841" t="s">
        <v>6294</v>
      </c>
      <c r="H841" t="s">
        <v>3468</v>
      </c>
      <c r="L841" t="s">
        <v>7696</v>
      </c>
      <c r="N841" t="s">
        <v>7696</v>
      </c>
      <c r="O841" t="s">
        <v>7</v>
      </c>
      <c r="P841" t="s">
        <v>3470</v>
      </c>
      <c r="Q841" t="s">
        <v>3471</v>
      </c>
      <c r="R841" s="27" t="s">
        <v>7693</v>
      </c>
      <c r="T841" t="s">
        <v>119</v>
      </c>
    </row>
    <row r="842" spans="1:20" ht="15" customHeight="1" x14ac:dyDescent="0.4">
      <c r="A842" t="s">
        <v>3473</v>
      </c>
      <c r="B842" t="s">
        <v>3473</v>
      </c>
      <c r="C842" t="s">
        <v>151</v>
      </c>
      <c r="D842" t="s">
        <v>81</v>
      </c>
      <c r="E842" t="s">
        <v>163</v>
      </c>
      <c r="F842" t="s">
        <v>7697</v>
      </c>
      <c r="G842" t="s">
        <v>6294</v>
      </c>
      <c r="H842" t="s">
        <v>3472</v>
      </c>
      <c r="L842" t="s">
        <v>7697</v>
      </c>
      <c r="N842" t="s">
        <v>7697</v>
      </c>
      <c r="O842" t="s">
        <v>7</v>
      </c>
      <c r="P842" t="s">
        <v>3474</v>
      </c>
      <c r="Q842" t="s">
        <v>3475</v>
      </c>
      <c r="R842" s="27" t="s">
        <v>7693</v>
      </c>
      <c r="T842" t="s">
        <v>119</v>
      </c>
    </row>
    <row r="843" spans="1:20" ht="15" customHeight="1" x14ac:dyDescent="0.4">
      <c r="A843" t="s">
        <v>3477</v>
      </c>
      <c r="B843" t="s">
        <v>3477</v>
      </c>
      <c r="C843" t="s">
        <v>151</v>
      </c>
      <c r="D843" t="s">
        <v>81</v>
      </c>
      <c r="E843" t="s">
        <v>163</v>
      </c>
      <c r="F843" t="s">
        <v>7698</v>
      </c>
      <c r="G843" t="s">
        <v>6294</v>
      </c>
      <c r="H843" t="s">
        <v>3476</v>
      </c>
      <c r="L843" t="s">
        <v>7698</v>
      </c>
      <c r="N843" t="s">
        <v>7698</v>
      </c>
      <c r="O843" t="s">
        <v>7</v>
      </c>
      <c r="P843" t="s">
        <v>3478</v>
      </c>
      <c r="Q843" t="s">
        <v>123</v>
      </c>
      <c r="R843" t="s">
        <v>6279</v>
      </c>
      <c r="T843" t="s">
        <v>119</v>
      </c>
    </row>
    <row r="844" spans="1:20" ht="15" customHeight="1" x14ac:dyDescent="0.4">
      <c r="A844" t="s">
        <v>3481</v>
      </c>
      <c r="B844" t="s">
        <v>3481</v>
      </c>
      <c r="C844" t="s">
        <v>151</v>
      </c>
      <c r="D844" t="s">
        <v>81</v>
      </c>
      <c r="E844" t="s">
        <v>163</v>
      </c>
      <c r="F844" t="s">
        <v>7699</v>
      </c>
      <c r="G844" t="s">
        <v>6294</v>
      </c>
      <c r="H844" t="s">
        <v>3480</v>
      </c>
      <c r="L844" t="s">
        <v>7699</v>
      </c>
      <c r="N844" t="s">
        <v>7699</v>
      </c>
      <c r="O844" t="s">
        <v>7</v>
      </c>
      <c r="P844" t="s">
        <v>3482</v>
      </c>
      <c r="Q844" t="s">
        <v>123</v>
      </c>
      <c r="R844" t="s">
        <v>6279</v>
      </c>
      <c r="T844" t="s">
        <v>119</v>
      </c>
    </row>
    <row r="845" spans="1:20" ht="15" customHeight="1" x14ac:dyDescent="0.4">
      <c r="A845" t="s">
        <v>3485</v>
      </c>
      <c r="B845" t="s">
        <v>3485</v>
      </c>
      <c r="C845" t="s">
        <v>151</v>
      </c>
      <c r="D845" t="s">
        <v>81</v>
      </c>
      <c r="E845" t="s">
        <v>163</v>
      </c>
      <c r="F845" t="s">
        <v>7700</v>
      </c>
      <c r="G845" t="s">
        <v>6294</v>
      </c>
      <c r="H845" t="s">
        <v>3484</v>
      </c>
      <c r="L845" t="s">
        <v>7700</v>
      </c>
      <c r="N845" t="s">
        <v>7700</v>
      </c>
      <c r="O845" t="s">
        <v>7</v>
      </c>
      <c r="P845" t="s">
        <v>3478</v>
      </c>
      <c r="Q845" t="s">
        <v>3486</v>
      </c>
      <c r="R845" s="27" t="s">
        <v>7701</v>
      </c>
      <c r="T845" t="s">
        <v>119</v>
      </c>
    </row>
    <row r="846" spans="1:20" ht="15" customHeight="1" x14ac:dyDescent="0.4">
      <c r="A846" t="s">
        <v>3488</v>
      </c>
      <c r="B846" t="s">
        <v>3488</v>
      </c>
      <c r="C846" t="s">
        <v>151</v>
      </c>
      <c r="D846" t="s">
        <v>81</v>
      </c>
      <c r="E846" t="s">
        <v>163</v>
      </c>
      <c r="F846" t="s">
        <v>7702</v>
      </c>
      <c r="G846" t="s">
        <v>6294</v>
      </c>
      <c r="H846" t="s">
        <v>3487</v>
      </c>
      <c r="L846" t="s">
        <v>7702</v>
      </c>
      <c r="N846" t="s">
        <v>7702</v>
      </c>
      <c r="O846" t="s">
        <v>7</v>
      </c>
      <c r="P846" t="s">
        <v>3489</v>
      </c>
      <c r="Q846" t="s">
        <v>3491</v>
      </c>
      <c r="R846" s="27" t="s">
        <v>7703</v>
      </c>
      <c r="S846" t="s">
        <v>6280</v>
      </c>
      <c r="T846" t="s">
        <v>119</v>
      </c>
    </row>
    <row r="847" spans="1:20" ht="15" customHeight="1" x14ac:dyDescent="0.4">
      <c r="A847" t="s">
        <v>3493</v>
      </c>
      <c r="B847" t="s">
        <v>3493</v>
      </c>
      <c r="C847" t="s">
        <v>151</v>
      </c>
      <c r="D847" t="s">
        <v>81</v>
      </c>
      <c r="E847" t="s">
        <v>163</v>
      </c>
      <c r="F847" t="s">
        <v>7704</v>
      </c>
      <c r="G847" t="s">
        <v>6294</v>
      </c>
      <c r="H847" t="s">
        <v>3492</v>
      </c>
      <c r="L847" t="s">
        <v>7704</v>
      </c>
      <c r="N847" t="s">
        <v>7704</v>
      </c>
      <c r="O847" t="s">
        <v>7</v>
      </c>
      <c r="P847" t="s">
        <v>3494</v>
      </c>
      <c r="Q847" t="s">
        <v>3496</v>
      </c>
      <c r="R847" s="27" t="s">
        <v>7705</v>
      </c>
      <c r="S847" t="s">
        <v>6280</v>
      </c>
      <c r="T847" t="s">
        <v>119</v>
      </c>
    </row>
    <row r="848" spans="1:20" ht="15" customHeight="1" x14ac:dyDescent="0.4">
      <c r="A848" t="s">
        <v>3498</v>
      </c>
      <c r="B848" t="s">
        <v>3498</v>
      </c>
      <c r="C848" t="s">
        <v>151</v>
      </c>
      <c r="D848" t="s">
        <v>81</v>
      </c>
      <c r="E848" t="s">
        <v>163</v>
      </c>
      <c r="F848" t="s">
        <v>7706</v>
      </c>
      <c r="G848" t="s">
        <v>6294</v>
      </c>
      <c r="H848" t="s">
        <v>3497</v>
      </c>
      <c r="L848" t="s">
        <v>7706</v>
      </c>
      <c r="N848" t="s">
        <v>7706</v>
      </c>
      <c r="O848" t="s">
        <v>7</v>
      </c>
      <c r="P848" t="s">
        <v>3499</v>
      </c>
      <c r="Q848" t="s">
        <v>3501</v>
      </c>
      <c r="R848" s="27" t="s">
        <v>7707</v>
      </c>
      <c r="S848" t="s">
        <v>6280</v>
      </c>
      <c r="T848" t="s">
        <v>119</v>
      </c>
    </row>
    <row r="849" spans="1:20" ht="15" customHeight="1" x14ac:dyDescent="0.4">
      <c r="A849" t="s">
        <v>3503</v>
      </c>
      <c r="B849" t="s">
        <v>3503</v>
      </c>
      <c r="C849" t="s">
        <v>151</v>
      </c>
      <c r="D849" t="s">
        <v>81</v>
      </c>
      <c r="E849" t="s">
        <v>163</v>
      </c>
      <c r="F849" t="s">
        <v>7708</v>
      </c>
      <c r="G849" t="s">
        <v>6294</v>
      </c>
      <c r="H849" t="s">
        <v>3502</v>
      </c>
      <c r="L849" t="s">
        <v>7708</v>
      </c>
      <c r="N849" t="s">
        <v>7708</v>
      </c>
      <c r="O849" t="s">
        <v>7</v>
      </c>
      <c r="P849" t="s">
        <v>3504</v>
      </c>
      <c r="Q849" t="s">
        <v>3506</v>
      </c>
      <c r="R849" s="27" t="s">
        <v>7709</v>
      </c>
      <c r="S849" t="s">
        <v>6280</v>
      </c>
      <c r="T849" t="s">
        <v>119</v>
      </c>
    </row>
    <row r="850" spans="1:20" ht="15" customHeight="1" x14ac:dyDescent="0.4">
      <c r="A850" t="s">
        <v>3509</v>
      </c>
      <c r="B850" t="s">
        <v>3509</v>
      </c>
      <c r="C850" t="s">
        <v>151</v>
      </c>
      <c r="D850" t="s">
        <v>81</v>
      </c>
      <c r="E850" t="s">
        <v>163</v>
      </c>
      <c r="F850" t="s">
        <v>7710</v>
      </c>
      <c r="G850" t="s">
        <v>6294</v>
      </c>
      <c r="H850" t="s">
        <v>3508</v>
      </c>
      <c r="L850" t="s">
        <v>7710</v>
      </c>
      <c r="N850" t="s">
        <v>7710</v>
      </c>
      <c r="O850" t="s">
        <v>7</v>
      </c>
      <c r="P850" t="s">
        <v>3510</v>
      </c>
      <c r="Q850" t="s">
        <v>3512</v>
      </c>
      <c r="R850" t="s">
        <v>6282</v>
      </c>
      <c r="S850" t="s">
        <v>6280</v>
      </c>
      <c r="T850" t="s">
        <v>119</v>
      </c>
    </row>
    <row r="851" spans="1:20" ht="15" customHeight="1" x14ac:dyDescent="0.4">
      <c r="A851" t="s">
        <v>3515</v>
      </c>
      <c r="B851" t="s">
        <v>3515</v>
      </c>
      <c r="C851" t="s">
        <v>151</v>
      </c>
      <c r="D851" t="s">
        <v>81</v>
      </c>
      <c r="E851" t="s">
        <v>163</v>
      </c>
      <c r="F851" t="s">
        <v>7711</v>
      </c>
      <c r="G851" t="s">
        <v>6294</v>
      </c>
      <c r="H851" t="s">
        <v>3514</v>
      </c>
      <c r="L851" t="s">
        <v>7712</v>
      </c>
      <c r="N851" t="s">
        <v>7712</v>
      </c>
      <c r="O851" t="s">
        <v>7</v>
      </c>
      <c r="P851" t="s">
        <v>3516</v>
      </c>
      <c r="Q851" t="s">
        <v>3518</v>
      </c>
      <c r="R851" s="27" t="s">
        <v>7713</v>
      </c>
      <c r="S851" t="s">
        <v>6280</v>
      </c>
      <c r="T851" t="s">
        <v>119</v>
      </c>
    </row>
    <row r="852" spans="1:20" ht="15" customHeight="1" x14ac:dyDescent="0.4">
      <c r="A852" t="s">
        <v>3520</v>
      </c>
      <c r="B852" t="s">
        <v>3520</v>
      </c>
      <c r="C852" t="s">
        <v>151</v>
      </c>
      <c r="D852" t="s">
        <v>81</v>
      </c>
      <c r="E852" t="s">
        <v>163</v>
      </c>
      <c r="F852" t="s">
        <v>7714</v>
      </c>
      <c r="G852" t="s">
        <v>6294</v>
      </c>
      <c r="H852" t="s">
        <v>3519</v>
      </c>
      <c r="L852" t="s">
        <v>7715</v>
      </c>
      <c r="N852" t="s">
        <v>7715</v>
      </c>
      <c r="O852" t="s">
        <v>7</v>
      </c>
      <c r="P852" t="s">
        <v>3521</v>
      </c>
      <c r="Q852" t="s">
        <v>3523</v>
      </c>
      <c r="R852" t="s">
        <v>7716</v>
      </c>
      <c r="S852" t="s">
        <v>6280</v>
      </c>
      <c r="T852" t="s">
        <v>119</v>
      </c>
    </row>
    <row r="853" spans="1:20" ht="15" customHeight="1" x14ac:dyDescent="0.4">
      <c r="A853" t="s">
        <v>3525</v>
      </c>
      <c r="B853" t="s">
        <v>3525</v>
      </c>
      <c r="C853" t="s">
        <v>151</v>
      </c>
      <c r="D853" t="s">
        <v>81</v>
      </c>
      <c r="E853" t="s">
        <v>163</v>
      </c>
      <c r="F853" t="s">
        <v>7717</v>
      </c>
      <c r="G853" t="s">
        <v>6294</v>
      </c>
      <c r="H853" t="s">
        <v>3524</v>
      </c>
      <c r="L853" t="s">
        <v>7717</v>
      </c>
      <c r="N853" t="s">
        <v>7717</v>
      </c>
      <c r="O853" t="s">
        <v>7</v>
      </c>
      <c r="P853" t="s">
        <v>3526</v>
      </c>
      <c r="Q853" t="s">
        <v>3527</v>
      </c>
      <c r="R853" t="s">
        <v>6279</v>
      </c>
      <c r="S853" t="s">
        <v>6280</v>
      </c>
      <c r="T853" t="s">
        <v>119</v>
      </c>
    </row>
    <row r="854" spans="1:20" ht="15" customHeight="1" x14ac:dyDescent="0.4">
      <c r="A854" t="s">
        <v>3530</v>
      </c>
      <c r="B854" t="s">
        <v>3530</v>
      </c>
      <c r="C854" t="s">
        <v>151</v>
      </c>
      <c r="D854" t="s">
        <v>81</v>
      </c>
      <c r="E854" t="s">
        <v>163</v>
      </c>
      <c r="F854" t="s">
        <v>7718</v>
      </c>
      <c r="G854" t="s">
        <v>6294</v>
      </c>
      <c r="H854" t="s">
        <v>3529</v>
      </c>
      <c r="L854" t="s">
        <v>7718</v>
      </c>
      <c r="N854" t="s">
        <v>7718</v>
      </c>
      <c r="O854" t="s">
        <v>7</v>
      </c>
      <c r="P854" t="s">
        <v>3531</v>
      </c>
      <c r="Q854" t="s">
        <v>3532</v>
      </c>
      <c r="R854" t="s">
        <v>7719</v>
      </c>
      <c r="S854" t="s">
        <v>6280</v>
      </c>
      <c r="T854" t="s">
        <v>119</v>
      </c>
    </row>
    <row r="855" spans="1:20" ht="15" customHeight="1" x14ac:dyDescent="0.4">
      <c r="A855" t="s">
        <v>3534</v>
      </c>
      <c r="B855" t="s">
        <v>3534</v>
      </c>
      <c r="C855" t="s">
        <v>151</v>
      </c>
      <c r="D855" t="s">
        <v>81</v>
      </c>
      <c r="E855" t="s">
        <v>163</v>
      </c>
      <c r="F855" t="s">
        <v>7720</v>
      </c>
      <c r="G855" t="s">
        <v>6294</v>
      </c>
      <c r="H855" t="s">
        <v>3533</v>
      </c>
      <c r="L855" t="s">
        <v>7720</v>
      </c>
      <c r="N855" t="s">
        <v>7720</v>
      </c>
      <c r="O855" t="s">
        <v>7</v>
      </c>
      <c r="P855" t="s">
        <v>3535</v>
      </c>
      <c r="Q855" t="s">
        <v>3536</v>
      </c>
      <c r="R855" t="s">
        <v>7721</v>
      </c>
      <c r="S855" t="s">
        <v>6280</v>
      </c>
      <c r="T855" t="s">
        <v>119</v>
      </c>
    </row>
    <row r="856" spans="1:20" ht="15" customHeight="1" x14ac:dyDescent="0.4">
      <c r="A856" t="s">
        <v>3538</v>
      </c>
      <c r="B856" t="s">
        <v>3538</v>
      </c>
      <c r="C856" t="s">
        <v>151</v>
      </c>
      <c r="D856" t="s">
        <v>81</v>
      </c>
      <c r="E856" t="s">
        <v>163</v>
      </c>
      <c r="F856" t="s">
        <v>7722</v>
      </c>
      <c r="G856" t="s">
        <v>6294</v>
      </c>
      <c r="H856" t="s">
        <v>3537</v>
      </c>
      <c r="L856" t="s">
        <v>7722</v>
      </c>
      <c r="N856" t="s">
        <v>7722</v>
      </c>
      <c r="O856" t="s">
        <v>7</v>
      </c>
      <c r="P856" t="s">
        <v>3539</v>
      </c>
      <c r="Q856" t="s">
        <v>3540</v>
      </c>
      <c r="R856" t="s">
        <v>7723</v>
      </c>
      <c r="S856" t="s">
        <v>6280</v>
      </c>
      <c r="T856" t="s">
        <v>119</v>
      </c>
    </row>
    <row r="857" spans="1:20" ht="15" customHeight="1" x14ac:dyDescent="0.4">
      <c r="A857" t="s">
        <v>3542</v>
      </c>
      <c r="B857" t="s">
        <v>3542</v>
      </c>
      <c r="C857" t="s">
        <v>151</v>
      </c>
      <c r="D857" t="s">
        <v>81</v>
      </c>
      <c r="E857" t="s">
        <v>163</v>
      </c>
      <c r="F857" t="s">
        <v>7724</v>
      </c>
      <c r="G857" t="s">
        <v>6294</v>
      </c>
      <c r="H857" t="s">
        <v>3541</v>
      </c>
      <c r="L857" t="s">
        <v>7724</v>
      </c>
      <c r="N857" t="s">
        <v>7724</v>
      </c>
      <c r="O857" t="s">
        <v>7</v>
      </c>
      <c r="P857" t="s">
        <v>3543</v>
      </c>
      <c r="Q857" t="s">
        <v>3544</v>
      </c>
      <c r="R857" t="s">
        <v>7725</v>
      </c>
      <c r="S857" t="s">
        <v>6280</v>
      </c>
      <c r="T857" t="s">
        <v>119</v>
      </c>
    </row>
    <row r="858" spans="1:20" ht="15" customHeight="1" x14ac:dyDescent="0.4">
      <c r="A858" t="s">
        <v>3546</v>
      </c>
      <c r="B858" t="s">
        <v>3546</v>
      </c>
      <c r="C858" t="s">
        <v>151</v>
      </c>
      <c r="D858" t="s">
        <v>81</v>
      </c>
      <c r="E858" t="s">
        <v>163</v>
      </c>
      <c r="F858" t="s">
        <v>7726</v>
      </c>
      <c r="G858" t="s">
        <v>6294</v>
      </c>
      <c r="H858" t="s">
        <v>3545</v>
      </c>
      <c r="L858" t="s">
        <v>7726</v>
      </c>
      <c r="N858" t="s">
        <v>7726</v>
      </c>
      <c r="O858" t="s">
        <v>7</v>
      </c>
      <c r="P858" t="s">
        <v>3547</v>
      </c>
      <c r="Q858" t="s">
        <v>3548</v>
      </c>
      <c r="R858" t="s">
        <v>7727</v>
      </c>
      <c r="S858" t="s">
        <v>6280</v>
      </c>
      <c r="T858" t="s">
        <v>119</v>
      </c>
    </row>
    <row r="859" spans="1:20" ht="15" customHeight="1" x14ac:dyDescent="0.4">
      <c r="A859" t="s">
        <v>3550</v>
      </c>
      <c r="B859" t="s">
        <v>3550</v>
      </c>
      <c r="C859" t="s">
        <v>151</v>
      </c>
      <c r="D859" t="s">
        <v>81</v>
      </c>
      <c r="E859" t="s">
        <v>163</v>
      </c>
      <c r="F859" t="s">
        <v>7728</v>
      </c>
      <c r="G859" t="s">
        <v>6294</v>
      </c>
      <c r="H859" t="s">
        <v>3549</v>
      </c>
      <c r="L859" t="s">
        <v>7728</v>
      </c>
      <c r="N859" t="s">
        <v>7728</v>
      </c>
      <c r="O859" t="s">
        <v>7</v>
      </c>
      <c r="P859" t="s">
        <v>3551</v>
      </c>
      <c r="Q859" t="s">
        <v>3552</v>
      </c>
      <c r="R859" t="s">
        <v>7729</v>
      </c>
      <c r="S859" t="s">
        <v>6280</v>
      </c>
      <c r="T859" t="s">
        <v>119</v>
      </c>
    </row>
    <row r="860" spans="1:20" ht="15" customHeight="1" x14ac:dyDescent="0.4">
      <c r="A860" t="s">
        <v>3554</v>
      </c>
      <c r="B860" t="s">
        <v>3554</v>
      </c>
      <c r="C860" t="s">
        <v>151</v>
      </c>
      <c r="D860" t="s">
        <v>81</v>
      </c>
      <c r="E860" t="s">
        <v>163</v>
      </c>
      <c r="F860" t="s">
        <v>7730</v>
      </c>
      <c r="G860" t="s">
        <v>6294</v>
      </c>
      <c r="H860" t="s">
        <v>3553</v>
      </c>
      <c r="L860" t="s">
        <v>7730</v>
      </c>
      <c r="N860" t="s">
        <v>7730</v>
      </c>
      <c r="O860" t="s">
        <v>7</v>
      </c>
      <c r="P860" t="s">
        <v>3555</v>
      </c>
      <c r="Q860" t="s">
        <v>3556</v>
      </c>
      <c r="R860" t="s">
        <v>7731</v>
      </c>
      <c r="S860" t="s">
        <v>6280</v>
      </c>
      <c r="T860" t="s">
        <v>119</v>
      </c>
    </row>
    <row r="861" spans="1:20" ht="15" customHeight="1" x14ac:dyDescent="0.4">
      <c r="A861" t="s">
        <v>3558</v>
      </c>
      <c r="B861" t="s">
        <v>3558</v>
      </c>
      <c r="C861" t="s">
        <v>151</v>
      </c>
      <c r="D861" t="s">
        <v>81</v>
      </c>
      <c r="E861" t="s">
        <v>163</v>
      </c>
      <c r="F861" t="s">
        <v>7732</v>
      </c>
      <c r="G861" t="s">
        <v>6294</v>
      </c>
      <c r="H861" t="s">
        <v>3557</v>
      </c>
      <c r="L861" t="s">
        <v>7732</v>
      </c>
      <c r="N861" t="s">
        <v>7732</v>
      </c>
      <c r="O861" t="s">
        <v>7</v>
      </c>
      <c r="P861" t="s">
        <v>3559</v>
      </c>
      <c r="Q861" t="s">
        <v>3560</v>
      </c>
      <c r="R861" t="s">
        <v>7733</v>
      </c>
      <c r="S861" t="s">
        <v>6280</v>
      </c>
      <c r="T861" t="s">
        <v>119</v>
      </c>
    </row>
    <row r="862" spans="1:20" ht="15" customHeight="1" x14ac:dyDescent="0.4">
      <c r="A862" t="s">
        <v>3562</v>
      </c>
      <c r="B862" t="s">
        <v>3562</v>
      </c>
      <c r="C862" t="s">
        <v>151</v>
      </c>
      <c r="D862" t="s">
        <v>81</v>
      </c>
      <c r="E862" t="s">
        <v>163</v>
      </c>
      <c r="F862" t="s">
        <v>7734</v>
      </c>
      <c r="G862" t="s">
        <v>6294</v>
      </c>
      <c r="H862" t="s">
        <v>3561</v>
      </c>
      <c r="L862" t="s">
        <v>7734</v>
      </c>
      <c r="N862" t="s">
        <v>7734</v>
      </c>
      <c r="O862" t="s">
        <v>7</v>
      </c>
      <c r="P862" t="s">
        <v>3563</v>
      </c>
      <c r="Q862" t="s">
        <v>3564</v>
      </c>
      <c r="R862" t="s">
        <v>7735</v>
      </c>
      <c r="S862" t="s">
        <v>6280</v>
      </c>
      <c r="T862" t="s">
        <v>119</v>
      </c>
    </row>
    <row r="863" spans="1:20" ht="15" customHeight="1" x14ac:dyDescent="0.4">
      <c r="A863" t="s">
        <v>3566</v>
      </c>
      <c r="B863" t="s">
        <v>3566</v>
      </c>
      <c r="C863" t="s">
        <v>151</v>
      </c>
      <c r="D863" t="s">
        <v>81</v>
      </c>
      <c r="E863" t="s">
        <v>163</v>
      </c>
      <c r="F863" t="s">
        <v>7736</v>
      </c>
      <c r="G863" t="s">
        <v>6294</v>
      </c>
      <c r="H863" t="s">
        <v>3565</v>
      </c>
      <c r="L863" t="s">
        <v>7736</v>
      </c>
      <c r="N863" t="s">
        <v>7736</v>
      </c>
      <c r="O863" t="s">
        <v>7</v>
      </c>
      <c r="P863" t="s">
        <v>3567</v>
      </c>
      <c r="Q863" t="s">
        <v>3568</v>
      </c>
      <c r="R863" t="s">
        <v>7737</v>
      </c>
      <c r="S863" t="s">
        <v>6280</v>
      </c>
      <c r="T863" t="s">
        <v>119</v>
      </c>
    </row>
    <row r="864" spans="1:20" ht="15" customHeight="1" x14ac:dyDescent="0.4">
      <c r="A864" t="s">
        <v>3570</v>
      </c>
      <c r="B864" t="s">
        <v>3570</v>
      </c>
      <c r="C864" t="s">
        <v>151</v>
      </c>
      <c r="D864" t="s">
        <v>81</v>
      </c>
      <c r="E864" t="s">
        <v>163</v>
      </c>
      <c r="F864" t="s">
        <v>7738</v>
      </c>
      <c r="G864" t="s">
        <v>6294</v>
      </c>
      <c r="H864" t="s">
        <v>3569</v>
      </c>
      <c r="L864" t="s">
        <v>7738</v>
      </c>
      <c r="N864" t="s">
        <v>7738</v>
      </c>
      <c r="O864" t="s">
        <v>7</v>
      </c>
      <c r="P864" t="s">
        <v>3571</v>
      </c>
      <c r="Q864" t="s">
        <v>3572</v>
      </c>
      <c r="R864" t="s">
        <v>7739</v>
      </c>
      <c r="S864" t="s">
        <v>6280</v>
      </c>
      <c r="T864" t="s">
        <v>119</v>
      </c>
    </row>
    <row r="865" spans="1:20" ht="15" customHeight="1" x14ac:dyDescent="0.4">
      <c r="A865" t="s">
        <v>3574</v>
      </c>
      <c r="B865" t="s">
        <v>3574</v>
      </c>
      <c r="C865" t="s">
        <v>151</v>
      </c>
      <c r="D865" t="s">
        <v>81</v>
      </c>
      <c r="E865" t="s">
        <v>163</v>
      </c>
      <c r="F865" t="s">
        <v>7740</v>
      </c>
      <c r="G865" t="s">
        <v>6294</v>
      </c>
      <c r="H865" t="s">
        <v>3573</v>
      </c>
      <c r="L865" t="s">
        <v>7740</v>
      </c>
      <c r="N865" t="s">
        <v>7740</v>
      </c>
      <c r="O865" t="s">
        <v>7</v>
      </c>
      <c r="P865" t="s">
        <v>3575</v>
      </c>
      <c r="Q865" t="s">
        <v>3576</v>
      </c>
      <c r="R865" t="s">
        <v>7741</v>
      </c>
      <c r="S865" t="s">
        <v>6280</v>
      </c>
      <c r="T865" t="s">
        <v>119</v>
      </c>
    </row>
    <row r="866" spans="1:20" ht="15" customHeight="1" x14ac:dyDescent="0.4">
      <c r="A866" t="s">
        <v>3578</v>
      </c>
      <c r="B866" t="s">
        <v>3578</v>
      </c>
      <c r="C866" t="s">
        <v>151</v>
      </c>
      <c r="D866" t="s">
        <v>81</v>
      </c>
      <c r="E866" t="s">
        <v>163</v>
      </c>
      <c r="F866" t="s">
        <v>7742</v>
      </c>
      <c r="G866" t="s">
        <v>6294</v>
      </c>
      <c r="H866" t="s">
        <v>3577</v>
      </c>
      <c r="L866" t="s">
        <v>7742</v>
      </c>
      <c r="N866" t="s">
        <v>7742</v>
      </c>
      <c r="O866" t="s">
        <v>7</v>
      </c>
      <c r="P866" t="s">
        <v>3579</v>
      </c>
      <c r="Q866" t="s">
        <v>3580</v>
      </c>
      <c r="R866" t="s">
        <v>7743</v>
      </c>
      <c r="S866" t="s">
        <v>6280</v>
      </c>
      <c r="T866" t="s">
        <v>119</v>
      </c>
    </row>
    <row r="867" spans="1:20" ht="15" customHeight="1" x14ac:dyDescent="0.4">
      <c r="A867" t="s">
        <v>3582</v>
      </c>
      <c r="B867" t="s">
        <v>3582</v>
      </c>
      <c r="C867" t="s">
        <v>151</v>
      </c>
      <c r="D867" t="s">
        <v>81</v>
      </c>
      <c r="E867" t="s">
        <v>163</v>
      </c>
      <c r="F867" t="s">
        <v>7744</v>
      </c>
      <c r="G867" t="s">
        <v>6294</v>
      </c>
      <c r="H867" t="s">
        <v>3581</v>
      </c>
      <c r="L867" t="s">
        <v>7744</v>
      </c>
      <c r="N867" t="s">
        <v>7744</v>
      </c>
      <c r="O867" t="s">
        <v>7</v>
      </c>
      <c r="P867" t="s">
        <v>3583</v>
      </c>
      <c r="Q867" t="s">
        <v>3584</v>
      </c>
      <c r="R867" t="s">
        <v>7745</v>
      </c>
      <c r="S867" t="s">
        <v>6280</v>
      </c>
      <c r="T867" t="s">
        <v>119</v>
      </c>
    </row>
    <row r="868" spans="1:20" ht="15" customHeight="1" x14ac:dyDescent="0.4">
      <c r="A868" t="s">
        <v>3586</v>
      </c>
      <c r="B868" t="s">
        <v>3586</v>
      </c>
      <c r="C868" t="s">
        <v>151</v>
      </c>
      <c r="D868" t="s">
        <v>81</v>
      </c>
      <c r="E868" t="s">
        <v>163</v>
      </c>
      <c r="F868" t="s">
        <v>7746</v>
      </c>
      <c r="G868" t="s">
        <v>6294</v>
      </c>
      <c r="H868" t="s">
        <v>3585</v>
      </c>
      <c r="L868" t="s">
        <v>7746</v>
      </c>
      <c r="N868" t="s">
        <v>7746</v>
      </c>
      <c r="O868" t="s">
        <v>7</v>
      </c>
      <c r="P868" t="s">
        <v>3587</v>
      </c>
      <c r="Q868" t="s">
        <v>3588</v>
      </c>
      <c r="R868" s="27" t="s">
        <v>7747</v>
      </c>
      <c r="S868" t="s">
        <v>6280</v>
      </c>
      <c r="T868" t="s">
        <v>119</v>
      </c>
    </row>
    <row r="869" spans="1:20" ht="15" customHeight="1" x14ac:dyDescent="0.4">
      <c r="A869" t="s">
        <v>3591</v>
      </c>
      <c r="B869" t="s">
        <v>3591</v>
      </c>
      <c r="C869" t="s">
        <v>151</v>
      </c>
      <c r="D869" t="s">
        <v>81</v>
      </c>
      <c r="E869" t="s">
        <v>163</v>
      </c>
      <c r="F869" t="s">
        <v>7748</v>
      </c>
      <c r="G869" t="s">
        <v>6294</v>
      </c>
      <c r="H869" t="s">
        <v>3590</v>
      </c>
      <c r="L869" t="s">
        <v>7748</v>
      </c>
      <c r="N869" t="s">
        <v>7748</v>
      </c>
      <c r="O869" t="s">
        <v>7</v>
      </c>
      <c r="P869" t="s">
        <v>3592</v>
      </c>
      <c r="Q869" t="s">
        <v>3593</v>
      </c>
      <c r="R869" s="27" t="s">
        <v>7749</v>
      </c>
      <c r="S869" t="s">
        <v>6280</v>
      </c>
      <c r="T869" t="s">
        <v>119</v>
      </c>
    </row>
    <row r="870" spans="1:20" ht="15" customHeight="1" x14ac:dyDescent="0.4">
      <c r="A870" t="s">
        <v>3596</v>
      </c>
      <c r="B870" t="s">
        <v>3596</v>
      </c>
      <c r="C870" t="s">
        <v>151</v>
      </c>
      <c r="D870" t="s">
        <v>81</v>
      </c>
      <c r="E870" t="s">
        <v>163</v>
      </c>
      <c r="F870" t="s">
        <v>7750</v>
      </c>
      <c r="G870" t="s">
        <v>6294</v>
      </c>
      <c r="H870" t="s">
        <v>3595</v>
      </c>
      <c r="L870" t="s">
        <v>7751</v>
      </c>
      <c r="N870" t="s">
        <v>7751</v>
      </c>
      <c r="O870" t="s">
        <v>7</v>
      </c>
      <c r="P870" t="s">
        <v>3597</v>
      </c>
      <c r="Q870" t="s">
        <v>3599</v>
      </c>
      <c r="R870" s="27" t="s">
        <v>7752</v>
      </c>
      <c r="S870" t="s">
        <v>6280</v>
      </c>
      <c r="T870" t="s">
        <v>119</v>
      </c>
    </row>
    <row r="871" spans="1:20" ht="15" customHeight="1" x14ac:dyDescent="0.4">
      <c r="A871" t="s">
        <v>3602</v>
      </c>
      <c r="B871" t="s">
        <v>3602</v>
      </c>
      <c r="C871" t="s">
        <v>151</v>
      </c>
      <c r="D871" t="s">
        <v>81</v>
      </c>
      <c r="E871" t="s">
        <v>163</v>
      </c>
      <c r="F871" t="s">
        <v>7753</v>
      </c>
      <c r="G871" t="s">
        <v>6294</v>
      </c>
      <c r="H871" t="s">
        <v>3601</v>
      </c>
      <c r="L871" t="s">
        <v>7754</v>
      </c>
      <c r="N871" t="s">
        <v>7754</v>
      </c>
      <c r="O871" t="s">
        <v>7</v>
      </c>
      <c r="P871" t="s">
        <v>3603</v>
      </c>
      <c r="Q871" t="s">
        <v>3605</v>
      </c>
      <c r="R871" s="27" t="s">
        <v>7755</v>
      </c>
      <c r="S871" t="s">
        <v>6280</v>
      </c>
      <c r="T871" t="s">
        <v>119</v>
      </c>
    </row>
    <row r="872" spans="1:20" ht="15" customHeight="1" x14ac:dyDescent="0.4">
      <c r="A872" t="s">
        <v>3607</v>
      </c>
      <c r="B872" t="s">
        <v>3607</v>
      </c>
      <c r="C872" t="s">
        <v>151</v>
      </c>
      <c r="D872" t="s">
        <v>81</v>
      </c>
      <c r="E872" t="s">
        <v>163</v>
      </c>
      <c r="F872" t="s">
        <v>7756</v>
      </c>
      <c r="G872" t="s">
        <v>6294</v>
      </c>
      <c r="H872" t="s">
        <v>3606</v>
      </c>
      <c r="L872" t="s">
        <v>7757</v>
      </c>
      <c r="N872" t="s">
        <v>7757</v>
      </c>
      <c r="O872" t="s">
        <v>7</v>
      </c>
      <c r="P872" t="s">
        <v>3608</v>
      </c>
      <c r="Q872" t="s">
        <v>3610</v>
      </c>
      <c r="R872" s="27" t="s">
        <v>7758</v>
      </c>
      <c r="S872" t="s">
        <v>6280</v>
      </c>
      <c r="T872" t="s">
        <v>119</v>
      </c>
    </row>
    <row r="873" spans="1:20" ht="15" customHeight="1" x14ac:dyDescent="0.4">
      <c r="A873" t="s">
        <v>3612</v>
      </c>
      <c r="B873" t="s">
        <v>3612</v>
      </c>
      <c r="C873" t="s">
        <v>151</v>
      </c>
      <c r="D873" t="s">
        <v>81</v>
      </c>
      <c r="E873" t="s">
        <v>163</v>
      </c>
      <c r="F873" t="s">
        <v>7759</v>
      </c>
      <c r="G873" t="s">
        <v>6294</v>
      </c>
      <c r="H873" t="s">
        <v>3611</v>
      </c>
      <c r="L873" t="s">
        <v>7760</v>
      </c>
      <c r="N873" t="s">
        <v>7760</v>
      </c>
      <c r="O873" t="s">
        <v>7</v>
      </c>
      <c r="P873" t="s">
        <v>3613</v>
      </c>
      <c r="Q873" t="s">
        <v>3610</v>
      </c>
      <c r="R873" s="27" t="s">
        <v>7761</v>
      </c>
      <c r="S873" t="s">
        <v>6280</v>
      </c>
      <c r="T873" t="s">
        <v>119</v>
      </c>
    </row>
    <row r="874" spans="1:20" ht="15" customHeight="1" x14ac:dyDescent="0.4">
      <c r="A874" t="s">
        <v>3615</v>
      </c>
      <c r="B874" t="s">
        <v>3615</v>
      </c>
      <c r="C874" t="s">
        <v>151</v>
      </c>
      <c r="D874" t="s">
        <v>81</v>
      </c>
      <c r="E874" t="s">
        <v>163</v>
      </c>
      <c r="F874" t="s">
        <v>7762</v>
      </c>
      <c r="G874" t="s">
        <v>6294</v>
      </c>
      <c r="H874" t="s">
        <v>3614</v>
      </c>
      <c r="L874" t="s">
        <v>7763</v>
      </c>
      <c r="N874" t="s">
        <v>7763</v>
      </c>
      <c r="O874" t="s">
        <v>7</v>
      </c>
      <c r="P874" t="s">
        <v>3616</v>
      </c>
      <c r="Q874" t="s">
        <v>3618</v>
      </c>
      <c r="R874" t="s">
        <v>6279</v>
      </c>
      <c r="S874" t="s">
        <v>6280</v>
      </c>
      <c r="T874" t="s">
        <v>119</v>
      </c>
    </row>
    <row r="875" spans="1:20" ht="15" customHeight="1" x14ac:dyDescent="0.4">
      <c r="A875" t="s">
        <v>3620</v>
      </c>
      <c r="B875" t="s">
        <v>3620</v>
      </c>
      <c r="C875" t="s">
        <v>151</v>
      </c>
      <c r="D875" t="s">
        <v>81</v>
      </c>
      <c r="E875" t="s">
        <v>163</v>
      </c>
      <c r="F875" t="s">
        <v>7764</v>
      </c>
      <c r="G875" t="s">
        <v>6294</v>
      </c>
      <c r="H875" t="s">
        <v>3619</v>
      </c>
      <c r="L875" t="s">
        <v>7765</v>
      </c>
      <c r="N875" t="s">
        <v>7765</v>
      </c>
      <c r="O875" t="s">
        <v>7</v>
      </c>
      <c r="P875" t="s">
        <v>3621</v>
      </c>
      <c r="Q875" t="s">
        <v>3623</v>
      </c>
      <c r="R875" t="s">
        <v>6279</v>
      </c>
      <c r="S875" t="s">
        <v>6280</v>
      </c>
      <c r="T875" t="s">
        <v>119</v>
      </c>
    </row>
    <row r="876" spans="1:20" ht="15" customHeight="1" x14ac:dyDescent="0.4">
      <c r="A876" t="s">
        <v>3625</v>
      </c>
      <c r="B876" t="s">
        <v>3625</v>
      </c>
      <c r="C876" t="s">
        <v>151</v>
      </c>
      <c r="D876" t="s">
        <v>81</v>
      </c>
      <c r="E876" t="s">
        <v>163</v>
      </c>
      <c r="F876" t="s">
        <v>7766</v>
      </c>
      <c r="G876" t="s">
        <v>6294</v>
      </c>
      <c r="H876" t="s">
        <v>3624</v>
      </c>
      <c r="L876" t="s">
        <v>7767</v>
      </c>
      <c r="N876" t="s">
        <v>7767</v>
      </c>
      <c r="O876" t="s">
        <v>7</v>
      </c>
      <c r="P876" t="s">
        <v>3626</v>
      </c>
      <c r="Q876" t="s">
        <v>3628</v>
      </c>
      <c r="R876" s="27" t="s">
        <v>7768</v>
      </c>
      <c r="S876" t="s">
        <v>6280</v>
      </c>
      <c r="T876" t="s">
        <v>119</v>
      </c>
    </row>
    <row r="877" spans="1:20" ht="15" customHeight="1" x14ac:dyDescent="0.4">
      <c r="A877" t="s">
        <v>3630</v>
      </c>
      <c r="B877" t="s">
        <v>3630</v>
      </c>
      <c r="C877" t="s">
        <v>151</v>
      </c>
      <c r="D877" t="s">
        <v>81</v>
      </c>
      <c r="E877" t="s">
        <v>163</v>
      </c>
      <c r="F877" t="s">
        <v>7769</v>
      </c>
      <c r="G877" t="s">
        <v>6294</v>
      </c>
      <c r="H877" t="s">
        <v>3629</v>
      </c>
      <c r="L877" t="s">
        <v>7770</v>
      </c>
      <c r="N877" t="s">
        <v>7770</v>
      </c>
      <c r="O877" t="s">
        <v>7</v>
      </c>
      <c r="P877" t="s">
        <v>3631</v>
      </c>
      <c r="Q877" t="s">
        <v>3633</v>
      </c>
      <c r="R877" s="27" t="s">
        <v>7771</v>
      </c>
      <c r="S877" t="s">
        <v>6280</v>
      </c>
      <c r="T877" t="s">
        <v>119</v>
      </c>
    </row>
    <row r="878" spans="1:20" ht="15" customHeight="1" x14ac:dyDescent="0.4">
      <c r="A878" t="s">
        <v>3635</v>
      </c>
      <c r="B878" t="s">
        <v>3635</v>
      </c>
      <c r="C878" t="s">
        <v>151</v>
      </c>
      <c r="D878" t="s">
        <v>81</v>
      </c>
      <c r="E878" t="s">
        <v>163</v>
      </c>
      <c r="F878" t="s">
        <v>7772</v>
      </c>
      <c r="G878" t="s">
        <v>6294</v>
      </c>
      <c r="H878" t="s">
        <v>3634</v>
      </c>
      <c r="L878" t="s">
        <v>7773</v>
      </c>
      <c r="N878" t="s">
        <v>7773</v>
      </c>
      <c r="O878" t="s">
        <v>7</v>
      </c>
      <c r="P878" t="s">
        <v>3636</v>
      </c>
      <c r="Q878" t="s">
        <v>3638</v>
      </c>
      <c r="R878" s="27" t="s">
        <v>7774</v>
      </c>
      <c r="S878" t="s">
        <v>6280</v>
      </c>
      <c r="T878" t="s">
        <v>119</v>
      </c>
    </row>
    <row r="879" spans="1:20" ht="15" customHeight="1" x14ac:dyDescent="0.4">
      <c r="A879" t="s">
        <v>3641</v>
      </c>
      <c r="B879" t="s">
        <v>3641</v>
      </c>
      <c r="C879" t="s">
        <v>151</v>
      </c>
      <c r="D879" t="s">
        <v>81</v>
      </c>
      <c r="E879" t="s">
        <v>163</v>
      </c>
      <c r="F879" t="s">
        <v>7775</v>
      </c>
      <c r="G879" t="s">
        <v>6294</v>
      </c>
      <c r="H879" t="s">
        <v>3640</v>
      </c>
      <c r="L879" t="s">
        <v>7775</v>
      </c>
      <c r="N879" t="s">
        <v>7775</v>
      </c>
      <c r="O879" t="s">
        <v>7</v>
      </c>
      <c r="P879" t="s">
        <v>3642</v>
      </c>
      <c r="Q879" t="s">
        <v>3643</v>
      </c>
      <c r="R879" t="s">
        <v>7776</v>
      </c>
      <c r="S879" t="s">
        <v>6280</v>
      </c>
      <c r="T879" t="s">
        <v>119</v>
      </c>
    </row>
    <row r="880" spans="1:20" ht="15" customHeight="1" x14ac:dyDescent="0.4">
      <c r="A880" t="s">
        <v>3645</v>
      </c>
      <c r="B880" t="s">
        <v>3645</v>
      </c>
      <c r="C880" t="s">
        <v>151</v>
      </c>
      <c r="D880" t="s">
        <v>81</v>
      </c>
      <c r="E880" t="s">
        <v>163</v>
      </c>
      <c r="F880" t="s">
        <v>7777</v>
      </c>
      <c r="G880" t="s">
        <v>6294</v>
      </c>
      <c r="H880" t="s">
        <v>3644</v>
      </c>
      <c r="L880" t="s">
        <v>7777</v>
      </c>
      <c r="N880" t="s">
        <v>7777</v>
      </c>
      <c r="O880" t="s">
        <v>7</v>
      </c>
      <c r="P880" t="s">
        <v>3646</v>
      </c>
      <c r="Q880" t="s">
        <v>3647</v>
      </c>
      <c r="R880" s="27" t="s">
        <v>7778</v>
      </c>
      <c r="S880" t="s">
        <v>6280</v>
      </c>
      <c r="T880" t="s">
        <v>119</v>
      </c>
    </row>
    <row r="881" spans="1:20" ht="15" customHeight="1" x14ac:dyDescent="0.4">
      <c r="A881" t="s">
        <v>3651</v>
      </c>
      <c r="B881" t="s">
        <v>3651</v>
      </c>
      <c r="C881" t="s">
        <v>151</v>
      </c>
      <c r="D881" t="s">
        <v>81</v>
      </c>
      <c r="E881" t="s">
        <v>163</v>
      </c>
      <c r="F881" t="s">
        <v>7779</v>
      </c>
      <c r="G881" t="s">
        <v>6294</v>
      </c>
      <c r="H881" t="s">
        <v>3650</v>
      </c>
      <c r="L881" t="s">
        <v>7779</v>
      </c>
      <c r="N881" t="s">
        <v>7779</v>
      </c>
      <c r="O881" t="s">
        <v>7</v>
      </c>
      <c r="P881" t="s">
        <v>3652</v>
      </c>
      <c r="Q881" t="s">
        <v>3653</v>
      </c>
      <c r="R881" s="27" t="s">
        <v>7780</v>
      </c>
      <c r="S881" t="s">
        <v>6280</v>
      </c>
      <c r="T881" t="s">
        <v>119</v>
      </c>
    </row>
    <row r="882" spans="1:20" ht="15" customHeight="1" x14ac:dyDescent="0.4">
      <c r="A882" t="s">
        <v>3655</v>
      </c>
      <c r="B882" t="s">
        <v>3655</v>
      </c>
      <c r="C882" t="s">
        <v>151</v>
      </c>
      <c r="D882" t="s">
        <v>81</v>
      </c>
      <c r="E882" t="s">
        <v>163</v>
      </c>
      <c r="F882" t="s">
        <v>7781</v>
      </c>
      <c r="G882" t="s">
        <v>6294</v>
      </c>
      <c r="H882" t="s">
        <v>3654</v>
      </c>
      <c r="L882" t="s">
        <v>7781</v>
      </c>
      <c r="N882" t="s">
        <v>7781</v>
      </c>
      <c r="O882" t="s">
        <v>7</v>
      </c>
      <c r="P882" t="s">
        <v>3656</v>
      </c>
      <c r="Q882" t="s">
        <v>3657</v>
      </c>
      <c r="R882" s="27" t="s">
        <v>7782</v>
      </c>
      <c r="S882" t="s">
        <v>6280</v>
      </c>
      <c r="T882" t="s">
        <v>119</v>
      </c>
    </row>
    <row r="883" spans="1:20" ht="15" customHeight="1" x14ac:dyDescent="0.4">
      <c r="A883" t="s">
        <v>3659</v>
      </c>
      <c r="B883" t="s">
        <v>3659</v>
      </c>
      <c r="C883" t="s">
        <v>151</v>
      </c>
      <c r="D883" t="s">
        <v>81</v>
      </c>
      <c r="E883" t="s">
        <v>163</v>
      </c>
      <c r="F883" t="s">
        <v>7783</v>
      </c>
      <c r="G883" t="s">
        <v>6294</v>
      </c>
      <c r="H883" t="s">
        <v>3658</v>
      </c>
      <c r="L883" t="s">
        <v>7783</v>
      </c>
      <c r="N883" t="s">
        <v>7783</v>
      </c>
      <c r="O883" t="s">
        <v>7</v>
      </c>
      <c r="P883" t="s">
        <v>3660</v>
      </c>
      <c r="Q883" t="s">
        <v>3661</v>
      </c>
      <c r="R883" s="27" t="s">
        <v>7784</v>
      </c>
      <c r="S883" t="s">
        <v>6280</v>
      </c>
      <c r="T883" t="s">
        <v>119</v>
      </c>
    </row>
    <row r="884" spans="1:20" ht="15" customHeight="1" x14ac:dyDescent="0.4">
      <c r="A884" t="s">
        <v>3663</v>
      </c>
      <c r="B884" t="s">
        <v>3663</v>
      </c>
      <c r="C884" t="s">
        <v>151</v>
      </c>
      <c r="D884" t="s">
        <v>81</v>
      </c>
      <c r="E884" t="s">
        <v>163</v>
      </c>
      <c r="F884" t="s">
        <v>7785</v>
      </c>
      <c r="G884" t="s">
        <v>6294</v>
      </c>
      <c r="H884" t="s">
        <v>3662</v>
      </c>
      <c r="L884" t="s">
        <v>7785</v>
      </c>
      <c r="N884" t="s">
        <v>7785</v>
      </c>
      <c r="O884" t="s">
        <v>7</v>
      </c>
      <c r="P884" t="s">
        <v>3664</v>
      </c>
      <c r="Q884" t="s">
        <v>3665</v>
      </c>
      <c r="R884" s="27" t="s">
        <v>7786</v>
      </c>
      <c r="S884" t="s">
        <v>6280</v>
      </c>
      <c r="T884" t="s">
        <v>119</v>
      </c>
    </row>
    <row r="885" spans="1:20" ht="15" customHeight="1" x14ac:dyDescent="0.4">
      <c r="A885" t="s">
        <v>3668</v>
      </c>
      <c r="B885" t="s">
        <v>3668</v>
      </c>
      <c r="C885" t="s">
        <v>151</v>
      </c>
      <c r="D885" t="s">
        <v>81</v>
      </c>
      <c r="E885" t="s">
        <v>163</v>
      </c>
      <c r="F885" t="s">
        <v>7787</v>
      </c>
      <c r="G885" t="s">
        <v>6294</v>
      </c>
      <c r="H885" t="s">
        <v>3667</v>
      </c>
      <c r="L885" t="s">
        <v>7787</v>
      </c>
      <c r="N885" t="s">
        <v>7787</v>
      </c>
      <c r="O885" t="s">
        <v>7</v>
      </c>
      <c r="P885" t="s">
        <v>3669</v>
      </c>
      <c r="Q885" t="s">
        <v>3670</v>
      </c>
      <c r="R885" s="27" t="s">
        <v>7788</v>
      </c>
      <c r="S885" t="s">
        <v>6280</v>
      </c>
      <c r="T885" t="s">
        <v>119</v>
      </c>
    </row>
    <row r="886" spans="1:20" ht="15" customHeight="1" x14ac:dyDescent="0.4">
      <c r="A886" t="s">
        <v>3672</v>
      </c>
      <c r="B886" t="s">
        <v>3672</v>
      </c>
      <c r="C886" t="s">
        <v>151</v>
      </c>
      <c r="D886" t="s">
        <v>81</v>
      </c>
      <c r="E886" t="s">
        <v>163</v>
      </c>
      <c r="F886" t="s">
        <v>7789</v>
      </c>
      <c r="G886" t="s">
        <v>6294</v>
      </c>
      <c r="H886" t="s">
        <v>3671</v>
      </c>
      <c r="L886" t="s">
        <v>7789</v>
      </c>
      <c r="N886" t="s">
        <v>7789</v>
      </c>
      <c r="O886" t="s">
        <v>7</v>
      </c>
      <c r="P886" t="s">
        <v>3673</v>
      </c>
      <c r="Q886" t="s">
        <v>3674</v>
      </c>
      <c r="R886" s="27" t="s">
        <v>7790</v>
      </c>
      <c r="S886" t="s">
        <v>6280</v>
      </c>
      <c r="T886" t="s">
        <v>119</v>
      </c>
    </row>
    <row r="887" spans="1:20" ht="15" customHeight="1" x14ac:dyDescent="0.4">
      <c r="A887" t="s">
        <v>3676</v>
      </c>
      <c r="B887" t="s">
        <v>3676</v>
      </c>
      <c r="C887" t="s">
        <v>151</v>
      </c>
      <c r="D887" t="s">
        <v>81</v>
      </c>
      <c r="E887" t="s">
        <v>163</v>
      </c>
      <c r="F887" t="s">
        <v>7791</v>
      </c>
      <c r="G887" t="s">
        <v>6294</v>
      </c>
      <c r="H887" t="s">
        <v>3675</v>
      </c>
      <c r="L887" t="s">
        <v>7791</v>
      </c>
      <c r="N887" t="s">
        <v>7791</v>
      </c>
      <c r="O887" t="s">
        <v>7</v>
      </c>
      <c r="P887" t="s">
        <v>3677</v>
      </c>
      <c r="Q887" t="s">
        <v>3678</v>
      </c>
      <c r="R887" s="27" t="s">
        <v>7792</v>
      </c>
      <c r="S887" t="s">
        <v>6280</v>
      </c>
      <c r="T887" t="s">
        <v>119</v>
      </c>
    </row>
    <row r="888" spans="1:20" ht="15" customHeight="1" x14ac:dyDescent="0.4">
      <c r="A888" t="s">
        <v>3680</v>
      </c>
      <c r="B888" t="s">
        <v>3680</v>
      </c>
      <c r="C888" t="s">
        <v>151</v>
      </c>
      <c r="D888" t="s">
        <v>81</v>
      </c>
      <c r="E888" t="s">
        <v>163</v>
      </c>
      <c r="F888" t="s">
        <v>7793</v>
      </c>
      <c r="G888" t="s">
        <v>6294</v>
      </c>
      <c r="H888" t="s">
        <v>3679</v>
      </c>
      <c r="L888" t="s">
        <v>7793</v>
      </c>
      <c r="N888" t="s">
        <v>7793</v>
      </c>
      <c r="O888" t="s">
        <v>7</v>
      </c>
      <c r="P888" t="s">
        <v>3681</v>
      </c>
      <c r="Q888" t="s">
        <v>3682</v>
      </c>
      <c r="R888" s="27" t="s">
        <v>7794</v>
      </c>
      <c r="S888" t="s">
        <v>6280</v>
      </c>
      <c r="T888" t="s">
        <v>119</v>
      </c>
    </row>
    <row r="889" spans="1:20" ht="15" customHeight="1" x14ac:dyDescent="0.4">
      <c r="A889" t="s">
        <v>3684</v>
      </c>
      <c r="B889" t="s">
        <v>3684</v>
      </c>
      <c r="C889" t="s">
        <v>151</v>
      </c>
      <c r="D889" t="s">
        <v>81</v>
      </c>
      <c r="E889" t="s">
        <v>163</v>
      </c>
      <c r="F889" t="s">
        <v>7795</v>
      </c>
      <c r="G889" t="s">
        <v>6294</v>
      </c>
      <c r="H889" t="s">
        <v>3683</v>
      </c>
      <c r="L889" t="s">
        <v>7795</v>
      </c>
      <c r="N889" t="s">
        <v>7795</v>
      </c>
      <c r="O889" t="s">
        <v>7</v>
      </c>
      <c r="P889" t="s">
        <v>3685</v>
      </c>
      <c r="Q889" t="s">
        <v>3686</v>
      </c>
      <c r="R889" s="27" t="s">
        <v>7796</v>
      </c>
      <c r="S889" t="s">
        <v>6280</v>
      </c>
      <c r="T889" t="s">
        <v>119</v>
      </c>
    </row>
    <row r="890" spans="1:20" ht="15" customHeight="1" x14ac:dyDescent="0.4">
      <c r="A890" t="s">
        <v>3688</v>
      </c>
      <c r="B890" t="s">
        <v>3688</v>
      </c>
      <c r="C890" t="s">
        <v>151</v>
      </c>
      <c r="D890" t="s">
        <v>81</v>
      </c>
      <c r="E890" t="s">
        <v>163</v>
      </c>
      <c r="F890" t="s">
        <v>7797</v>
      </c>
      <c r="G890" t="s">
        <v>6294</v>
      </c>
      <c r="H890" t="s">
        <v>3687</v>
      </c>
      <c r="L890" t="s">
        <v>7797</v>
      </c>
      <c r="N890" t="s">
        <v>7797</v>
      </c>
      <c r="O890" t="s">
        <v>7</v>
      </c>
      <c r="P890" t="s">
        <v>3689</v>
      </c>
      <c r="Q890" t="s">
        <v>3690</v>
      </c>
      <c r="R890" s="27" t="s">
        <v>7798</v>
      </c>
      <c r="S890" t="s">
        <v>6280</v>
      </c>
      <c r="T890" t="s">
        <v>119</v>
      </c>
    </row>
    <row r="891" spans="1:20" ht="15" customHeight="1" x14ac:dyDescent="0.4">
      <c r="A891" t="s">
        <v>3693</v>
      </c>
      <c r="B891" t="s">
        <v>3693</v>
      </c>
      <c r="C891" t="s">
        <v>151</v>
      </c>
      <c r="D891" t="s">
        <v>81</v>
      </c>
      <c r="E891" t="s">
        <v>163</v>
      </c>
      <c r="F891" t="s">
        <v>7799</v>
      </c>
      <c r="G891" t="s">
        <v>6294</v>
      </c>
      <c r="H891" t="s">
        <v>3692</v>
      </c>
      <c r="L891" t="s">
        <v>7799</v>
      </c>
      <c r="N891" t="s">
        <v>7799</v>
      </c>
      <c r="O891" t="s">
        <v>7</v>
      </c>
      <c r="P891" t="s">
        <v>3694</v>
      </c>
      <c r="Q891" t="s">
        <v>3695</v>
      </c>
      <c r="R891" s="27" t="s">
        <v>7800</v>
      </c>
      <c r="S891" t="s">
        <v>6280</v>
      </c>
      <c r="T891" t="s">
        <v>119</v>
      </c>
    </row>
    <row r="892" spans="1:20" ht="15" customHeight="1" x14ac:dyDescent="0.4">
      <c r="A892" t="s">
        <v>3697</v>
      </c>
      <c r="B892" t="s">
        <v>3697</v>
      </c>
      <c r="C892" t="s">
        <v>151</v>
      </c>
      <c r="D892" t="s">
        <v>81</v>
      </c>
      <c r="E892" t="s">
        <v>163</v>
      </c>
      <c r="F892" t="s">
        <v>7801</v>
      </c>
      <c r="G892" t="s">
        <v>6294</v>
      </c>
      <c r="H892" t="s">
        <v>3696</v>
      </c>
      <c r="L892" t="s">
        <v>7801</v>
      </c>
      <c r="N892" t="s">
        <v>7801</v>
      </c>
      <c r="O892" t="s">
        <v>7</v>
      </c>
      <c r="P892" t="s">
        <v>3698</v>
      </c>
      <c r="Q892" t="s">
        <v>3699</v>
      </c>
      <c r="R892" s="27" t="s">
        <v>7802</v>
      </c>
      <c r="S892" t="s">
        <v>6280</v>
      </c>
      <c r="T892" t="s">
        <v>119</v>
      </c>
    </row>
    <row r="893" spans="1:20" ht="15" customHeight="1" x14ac:dyDescent="0.4">
      <c r="A893" t="s">
        <v>3701</v>
      </c>
      <c r="B893" t="s">
        <v>3701</v>
      </c>
      <c r="C893" t="s">
        <v>151</v>
      </c>
      <c r="D893" t="s">
        <v>81</v>
      </c>
      <c r="E893" t="s">
        <v>163</v>
      </c>
      <c r="F893" t="s">
        <v>7803</v>
      </c>
      <c r="G893" t="s">
        <v>6294</v>
      </c>
      <c r="H893" t="s">
        <v>3700</v>
      </c>
      <c r="L893" t="s">
        <v>7803</v>
      </c>
      <c r="N893" t="s">
        <v>7803</v>
      </c>
      <c r="O893" t="s">
        <v>7</v>
      </c>
      <c r="P893" t="s">
        <v>3702</v>
      </c>
      <c r="Q893" t="s">
        <v>3703</v>
      </c>
      <c r="R893" s="27" t="s">
        <v>7804</v>
      </c>
      <c r="S893" t="s">
        <v>6280</v>
      </c>
      <c r="T893" t="s">
        <v>119</v>
      </c>
    </row>
    <row r="894" spans="1:20" ht="15" customHeight="1" x14ac:dyDescent="0.4">
      <c r="A894" t="s">
        <v>3705</v>
      </c>
      <c r="B894" t="s">
        <v>3705</v>
      </c>
      <c r="C894" t="s">
        <v>151</v>
      </c>
      <c r="D894" t="s">
        <v>81</v>
      </c>
      <c r="E894" t="s">
        <v>163</v>
      </c>
      <c r="F894" t="s">
        <v>7805</v>
      </c>
      <c r="G894" t="s">
        <v>6294</v>
      </c>
      <c r="H894" t="s">
        <v>3704</v>
      </c>
      <c r="L894" t="s">
        <v>7805</v>
      </c>
      <c r="N894" t="s">
        <v>7805</v>
      </c>
      <c r="O894" t="s">
        <v>7</v>
      </c>
      <c r="P894" t="s">
        <v>3706</v>
      </c>
      <c r="Q894" t="s">
        <v>3707</v>
      </c>
      <c r="R894" s="27" t="s">
        <v>7806</v>
      </c>
      <c r="S894" t="s">
        <v>6280</v>
      </c>
      <c r="T894" t="s">
        <v>119</v>
      </c>
    </row>
    <row r="895" spans="1:20" ht="15" customHeight="1" x14ac:dyDescent="0.4">
      <c r="A895" t="s">
        <v>3709</v>
      </c>
      <c r="B895" t="s">
        <v>3709</v>
      </c>
      <c r="C895" t="s">
        <v>151</v>
      </c>
      <c r="D895" t="s">
        <v>81</v>
      </c>
      <c r="E895" t="s">
        <v>163</v>
      </c>
      <c r="F895" t="s">
        <v>7807</v>
      </c>
      <c r="G895" t="s">
        <v>6294</v>
      </c>
      <c r="H895" t="s">
        <v>3708</v>
      </c>
      <c r="L895" t="s">
        <v>7807</v>
      </c>
      <c r="N895" t="s">
        <v>7807</v>
      </c>
      <c r="O895" t="s">
        <v>7</v>
      </c>
      <c r="P895" t="s">
        <v>3710</v>
      </c>
      <c r="Q895" t="s">
        <v>3711</v>
      </c>
      <c r="R895" s="27" t="s">
        <v>7808</v>
      </c>
      <c r="S895" t="s">
        <v>6280</v>
      </c>
      <c r="T895" t="s">
        <v>119</v>
      </c>
    </row>
    <row r="896" spans="1:20" ht="15" customHeight="1" x14ac:dyDescent="0.4">
      <c r="A896" t="s">
        <v>3713</v>
      </c>
      <c r="B896" t="s">
        <v>3713</v>
      </c>
      <c r="C896" t="s">
        <v>151</v>
      </c>
      <c r="D896" t="s">
        <v>81</v>
      </c>
      <c r="E896" t="s">
        <v>163</v>
      </c>
      <c r="F896" t="s">
        <v>7809</v>
      </c>
      <c r="G896" t="s">
        <v>6294</v>
      </c>
      <c r="H896" t="s">
        <v>3712</v>
      </c>
      <c r="L896" t="s">
        <v>7809</v>
      </c>
      <c r="N896" t="s">
        <v>7809</v>
      </c>
      <c r="O896" t="s">
        <v>7</v>
      </c>
      <c r="P896" t="s">
        <v>3714</v>
      </c>
      <c r="Q896" t="s">
        <v>3715</v>
      </c>
      <c r="R896" s="27" t="s">
        <v>7810</v>
      </c>
      <c r="S896" t="s">
        <v>6280</v>
      </c>
      <c r="T896" t="s">
        <v>119</v>
      </c>
    </row>
    <row r="897" spans="1:20" ht="15" customHeight="1" x14ac:dyDescent="0.4">
      <c r="A897" t="s">
        <v>3717</v>
      </c>
      <c r="B897" t="s">
        <v>3717</v>
      </c>
      <c r="C897" t="s">
        <v>151</v>
      </c>
      <c r="D897" t="s">
        <v>81</v>
      </c>
      <c r="E897" t="s">
        <v>163</v>
      </c>
      <c r="F897" t="s">
        <v>7811</v>
      </c>
      <c r="G897" t="s">
        <v>6294</v>
      </c>
      <c r="H897" t="s">
        <v>3716</v>
      </c>
      <c r="L897" t="s">
        <v>7811</v>
      </c>
      <c r="N897" t="s">
        <v>7811</v>
      </c>
      <c r="O897" t="s">
        <v>7</v>
      </c>
      <c r="P897" t="s">
        <v>3718</v>
      </c>
      <c r="Q897" t="s">
        <v>3719</v>
      </c>
      <c r="R897" s="27" t="s">
        <v>7812</v>
      </c>
      <c r="S897" t="s">
        <v>6280</v>
      </c>
      <c r="T897" t="s">
        <v>119</v>
      </c>
    </row>
    <row r="898" spans="1:20" ht="15" customHeight="1" x14ac:dyDescent="0.4">
      <c r="A898" t="s">
        <v>3721</v>
      </c>
      <c r="B898" t="s">
        <v>3721</v>
      </c>
      <c r="C898" t="s">
        <v>151</v>
      </c>
      <c r="D898" t="s">
        <v>81</v>
      </c>
      <c r="E898" t="s">
        <v>163</v>
      </c>
      <c r="F898" t="s">
        <v>7813</v>
      </c>
      <c r="G898" t="s">
        <v>6294</v>
      </c>
      <c r="H898" t="s">
        <v>3720</v>
      </c>
      <c r="L898" t="s">
        <v>7813</v>
      </c>
      <c r="N898" t="s">
        <v>7813</v>
      </c>
      <c r="O898" t="s">
        <v>7</v>
      </c>
      <c r="P898" t="s">
        <v>3722</v>
      </c>
      <c r="Q898" t="s">
        <v>3723</v>
      </c>
      <c r="R898" s="27" t="s">
        <v>7814</v>
      </c>
      <c r="S898" t="s">
        <v>6280</v>
      </c>
      <c r="T898" t="s">
        <v>119</v>
      </c>
    </row>
    <row r="899" spans="1:20" ht="15" customHeight="1" x14ac:dyDescent="0.4">
      <c r="A899" t="s">
        <v>3725</v>
      </c>
      <c r="B899" t="s">
        <v>3725</v>
      </c>
      <c r="C899" t="s">
        <v>151</v>
      </c>
      <c r="D899" t="s">
        <v>81</v>
      </c>
      <c r="E899" t="s">
        <v>163</v>
      </c>
      <c r="F899" t="s">
        <v>7815</v>
      </c>
      <c r="G899" t="s">
        <v>6294</v>
      </c>
      <c r="H899" t="s">
        <v>3724</v>
      </c>
      <c r="L899" t="s">
        <v>7815</v>
      </c>
      <c r="N899" t="s">
        <v>7815</v>
      </c>
      <c r="O899" t="s">
        <v>7</v>
      </c>
      <c r="P899" t="s">
        <v>3726</v>
      </c>
      <c r="Q899" t="s">
        <v>3727</v>
      </c>
      <c r="R899" s="27" t="s">
        <v>7816</v>
      </c>
      <c r="S899" t="s">
        <v>6280</v>
      </c>
      <c r="T899" t="s">
        <v>119</v>
      </c>
    </row>
    <row r="900" spans="1:20" ht="15" customHeight="1" x14ac:dyDescent="0.4">
      <c r="A900" t="s">
        <v>3729</v>
      </c>
      <c r="B900" t="s">
        <v>3729</v>
      </c>
      <c r="C900" t="s">
        <v>151</v>
      </c>
      <c r="D900" t="s">
        <v>81</v>
      </c>
      <c r="E900" t="s">
        <v>163</v>
      </c>
      <c r="F900" t="s">
        <v>7817</v>
      </c>
      <c r="G900" t="s">
        <v>6294</v>
      </c>
      <c r="H900" t="s">
        <v>3728</v>
      </c>
      <c r="L900" t="s">
        <v>7817</v>
      </c>
      <c r="N900" t="s">
        <v>7817</v>
      </c>
      <c r="O900" t="s">
        <v>7</v>
      </c>
      <c r="P900" t="s">
        <v>3730</v>
      </c>
      <c r="Q900" t="s">
        <v>3731</v>
      </c>
      <c r="R900" s="27" t="s">
        <v>7818</v>
      </c>
      <c r="S900" t="s">
        <v>6280</v>
      </c>
      <c r="T900" t="s">
        <v>119</v>
      </c>
    </row>
    <row r="901" spans="1:20" ht="15" customHeight="1" x14ac:dyDescent="0.4">
      <c r="A901" t="s">
        <v>3733</v>
      </c>
      <c r="B901" t="s">
        <v>3733</v>
      </c>
      <c r="C901" t="s">
        <v>151</v>
      </c>
      <c r="D901" t="s">
        <v>81</v>
      </c>
      <c r="E901" t="s">
        <v>163</v>
      </c>
      <c r="F901" t="s">
        <v>7819</v>
      </c>
      <c r="G901" t="s">
        <v>6294</v>
      </c>
      <c r="H901" t="s">
        <v>3732</v>
      </c>
      <c r="L901" t="s">
        <v>7819</v>
      </c>
      <c r="N901" t="s">
        <v>7819</v>
      </c>
      <c r="O901" t="s">
        <v>7</v>
      </c>
      <c r="P901" t="s">
        <v>3734</v>
      </c>
      <c r="Q901" t="s">
        <v>3735</v>
      </c>
      <c r="R901" s="27" t="s">
        <v>7820</v>
      </c>
      <c r="S901" t="s">
        <v>6280</v>
      </c>
      <c r="T901" t="s">
        <v>119</v>
      </c>
    </row>
    <row r="902" spans="1:20" ht="15" customHeight="1" x14ac:dyDescent="0.4">
      <c r="A902" t="s">
        <v>3737</v>
      </c>
      <c r="B902" t="s">
        <v>3737</v>
      </c>
      <c r="C902" t="s">
        <v>151</v>
      </c>
      <c r="D902" t="s">
        <v>81</v>
      </c>
      <c r="E902" t="s">
        <v>163</v>
      </c>
      <c r="F902" t="s">
        <v>7821</v>
      </c>
      <c r="G902" t="s">
        <v>6294</v>
      </c>
      <c r="H902" t="s">
        <v>3736</v>
      </c>
      <c r="L902" t="s">
        <v>7821</v>
      </c>
      <c r="N902" t="s">
        <v>7821</v>
      </c>
      <c r="O902" t="s">
        <v>7</v>
      </c>
      <c r="P902" t="s">
        <v>3738</v>
      </c>
      <c r="Q902" t="s">
        <v>3739</v>
      </c>
      <c r="R902" s="27" t="s">
        <v>7822</v>
      </c>
      <c r="S902" t="s">
        <v>6280</v>
      </c>
      <c r="T902" t="s">
        <v>119</v>
      </c>
    </row>
    <row r="903" spans="1:20" ht="15" customHeight="1" x14ac:dyDescent="0.4">
      <c r="A903" t="s">
        <v>3741</v>
      </c>
      <c r="B903" t="s">
        <v>3741</v>
      </c>
      <c r="C903" t="s">
        <v>151</v>
      </c>
      <c r="D903" t="s">
        <v>81</v>
      </c>
      <c r="E903" t="s">
        <v>163</v>
      </c>
      <c r="F903" t="s">
        <v>7823</v>
      </c>
      <c r="G903" t="s">
        <v>6294</v>
      </c>
      <c r="H903" t="s">
        <v>3740</v>
      </c>
      <c r="L903" t="s">
        <v>7823</v>
      </c>
      <c r="N903" t="s">
        <v>7823</v>
      </c>
      <c r="O903" t="s">
        <v>7</v>
      </c>
      <c r="P903" t="s">
        <v>3742</v>
      </c>
      <c r="Q903" t="s">
        <v>3743</v>
      </c>
      <c r="R903" s="27" t="s">
        <v>7824</v>
      </c>
      <c r="S903" t="s">
        <v>6280</v>
      </c>
      <c r="T903" t="s">
        <v>119</v>
      </c>
    </row>
    <row r="904" spans="1:20" ht="15" customHeight="1" x14ac:dyDescent="0.4">
      <c r="A904" t="s">
        <v>3745</v>
      </c>
      <c r="B904" t="s">
        <v>3745</v>
      </c>
      <c r="C904" t="s">
        <v>151</v>
      </c>
      <c r="D904" t="s">
        <v>81</v>
      </c>
      <c r="E904" t="s">
        <v>163</v>
      </c>
      <c r="F904" t="s">
        <v>7825</v>
      </c>
      <c r="G904" t="s">
        <v>6294</v>
      </c>
      <c r="H904" t="s">
        <v>3744</v>
      </c>
      <c r="L904" t="s">
        <v>7825</v>
      </c>
      <c r="N904" t="s">
        <v>7825</v>
      </c>
      <c r="O904" t="s">
        <v>7</v>
      </c>
      <c r="P904" t="s">
        <v>3746</v>
      </c>
      <c r="Q904" t="s">
        <v>3747</v>
      </c>
      <c r="R904" s="27" t="s">
        <v>7826</v>
      </c>
      <c r="S904" t="s">
        <v>6280</v>
      </c>
      <c r="T904" t="s">
        <v>119</v>
      </c>
    </row>
    <row r="905" spans="1:20" ht="15" customHeight="1" x14ac:dyDescent="0.4">
      <c r="A905" t="s">
        <v>3749</v>
      </c>
      <c r="B905" t="s">
        <v>3749</v>
      </c>
      <c r="C905" t="s">
        <v>151</v>
      </c>
      <c r="D905" t="s">
        <v>81</v>
      </c>
      <c r="E905" t="s">
        <v>163</v>
      </c>
      <c r="F905" t="s">
        <v>7827</v>
      </c>
      <c r="G905" t="s">
        <v>6294</v>
      </c>
      <c r="H905" t="s">
        <v>3748</v>
      </c>
      <c r="L905" t="s">
        <v>7827</v>
      </c>
      <c r="N905" t="s">
        <v>7827</v>
      </c>
      <c r="O905" t="s">
        <v>7</v>
      </c>
      <c r="P905" t="s">
        <v>3750</v>
      </c>
      <c r="Q905" t="s">
        <v>3751</v>
      </c>
      <c r="R905" s="27" t="s">
        <v>7828</v>
      </c>
      <c r="S905" t="s">
        <v>6280</v>
      </c>
      <c r="T905" t="s">
        <v>119</v>
      </c>
    </row>
    <row r="906" spans="1:20" ht="15" customHeight="1" x14ac:dyDescent="0.4">
      <c r="A906" t="s">
        <v>3753</v>
      </c>
      <c r="B906" t="s">
        <v>3753</v>
      </c>
      <c r="C906" t="s">
        <v>151</v>
      </c>
      <c r="D906" t="s">
        <v>81</v>
      </c>
      <c r="E906" t="s">
        <v>163</v>
      </c>
      <c r="F906" t="s">
        <v>7829</v>
      </c>
      <c r="G906" t="s">
        <v>6294</v>
      </c>
      <c r="H906" t="s">
        <v>3752</v>
      </c>
      <c r="L906" t="s">
        <v>7829</v>
      </c>
      <c r="N906" t="s">
        <v>7829</v>
      </c>
      <c r="O906" t="s">
        <v>7</v>
      </c>
      <c r="P906" t="s">
        <v>3754</v>
      </c>
      <c r="Q906" t="s">
        <v>3755</v>
      </c>
      <c r="R906" s="27" t="s">
        <v>7830</v>
      </c>
      <c r="S906" t="s">
        <v>6280</v>
      </c>
      <c r="T906" t="s">
        <v>119</v>
      </c>
    </row>
    <row r="907" spans="1:20" ht="15" customHeight="1" x14ac:dyDescent="0.4">
      <c r="A907" t="s">
        <v>3757</v>
      </c>
      <c r="B907" t="s">
        <v>3757</v>
      </c>
      <c r="C907" t="s">
        <v>151</v>
      </c>
      <c r="D907" t="s">
        <v>81</v>
      </c>
      <c r="E907" t="s">
        <v>163</v>
      </c>
      <c r="F907" t="s">
        <v>7831</v>
      </c>
      <c r="G907" t="s">
        <v>6294</v>
      </c>
      <c r="H907" t="s">
        <v>3756</v>
      </c>
      <c r="L907" t="s">
        <v>7831</v>
      </c>
      <c r="N907" t="s">
        <v>7831</v>
      </c>
      <c r="O907" t="s">
        <v>7</v>
      </c>
      <c r="P907" t="s">
        <v>3758</v>
      </c>
      <c r="Q907" t="s">
        <v>3759</v>
      </c>
      <c r="R907" s="27" t="s">
        <v>7832</v>
      </c>
      <c r="S907" t="s">
        <v>6280</v>
      </c>
      <c r="T907" t="s">
        <v>119</v>
      </c>
    </row>
    <row r="908" spans="1:20" ht="15" customHeight="1" x14ac:dyDescent="0.4">
      <c r="A908" t="s">
        <v>3761</v>
      </c>
      <c r="B908" t="s">
        <v>3761</v>
      </c>
      <c r="C908" t="s">
        <v>151</v>
      </c>
      <c r="D908" t="s">
        <v>81</v>
      </c>
      <c r="E908" t="s">
        <v>163</v>
      </c>
      <c r="F908" t="s">
        <v>7833</v>
      </c>
      <c r="G908" t="s">
        <v>6294</v>
      </c>
      <c r="H908" t="s">
        <v>3760</v>
      </c>
      <c r="L908" t="s">
        <v>7833</v>
      </c>
      <c r="N908" t="s">
        <v>7833</v>
      </c>
      <c r="O908" t="s">
        <v>7</v>
      </c>
      <c r="P908" t="s">
        <v>3762</v>
      </c>
      <c r="Q908" t="s">
        <v>3763</v>
      </c>
      <c r="R908" t="s">
        <v>7834</v>
      </c>
      <c r="S908" t="s">
        <v>6280</v>
      </c>
      <c r="T908" t="s">
        <v>119</v>
      </c>
    </row>
    <row r="909" spans="1:20" ht="15" customHeight="1" x14ac:dyDescent="0.4">
      <c r="A909" t="s">
        <v>3766</v>
      </c>
      <c r="B909" t="s">
        <v>3766</v>
      </c>
      <c r="C909" t="s">
        <v>151</v>
      </c>
      <c r="D909" t="s">
        <v>81</v>
      </c>
      <c r="E909" t="s">
        <v>163</v>
      </c>
      <c r="F909" t="s">
        <v>7835</v>
      </c>
      <c r="G909" t="s">
        <v>6294</v>
      </c>
      <c r="H909" t="s">
        <v>3765</v>
      </c>
      <c r="L909" t="s">
        <v>7835</v>
      </c>
      <c r="N909" t="s">
        <v>7835</v>
      </c>
      <c r="O909" t="s">
        <v>7</v>
      </c>
      <c r="P909" t="s">
        <v>3767</v>
      </c>
      <c r="Q909" t="s">
        <v>3768</v>
      </c>
      <c r="R909" s="27" t="s">
        <v>7836</v>
      </c>
      <c r="S909" t="s">
        <v>6280</v>
      </c>
      <c r="T909" t="s">
        <v>119</v>
      </c>
    </row>
    <row r="910" spans="1:20" ht="15" customHeight="1" x14ac:dyDescent="0.4">
      <c r="A910" t="s">
        <v>3771</v>
      </c>
      <c r="B910" t="s">
        <v>3771</v>
      </c>
      <c r="C910" t="s">
        <v>151</v>
      </c>
      <c r="D910" t="s">
        <v>81</v>
      </c>
      <c r="E910" t="s">
        <v>163</v>
      </c>
      <c r="F910" t="s">
        <v>7837</v>
      </c>
      <c r="G910" t="s">
        <v>6294</v>
      </c>
      <c r="H910" t="s">
        <v>3770</v>
      </c>
      <c r="L910" t="s">
        <v>7837</v>
      </c>
      <c r="N910" t="s">
        <v>7837</v>
      </c>
      <c r="O910" t="s">
        <v>7</v>
      </c>
      <c r="P910" t="s">
        <v>3772</v>
      </c>
      <c r="Q910" t="s">
        <v>3773</v>
      </c>
      <c r="R910" t="s">
        <v>7838</v>
      </c>
      <c r="S910" t="s">
        <v>6280</v>
      </c>
      <c r="T910" t="s">
        <v>119</v>
      </c>
    </row>
    <row r="911" spans="1:20" ht="15" customHeight="1" x14ac:dyDescent="0.4">
      <c r="A911" t="s">
        <v>3775</v>
      </c>
      <c r="B911" t="s">
        <v>3775</v>
      </c>
      <c r="C911" t="s">
        <v>151</v>
      </c>
      <c r="D911" t="s">
        <v>81</v>
      </c>
      <c r="E911" t="s">
        <v>163</v>
      </c>
      <c r="F911" t="s">
        <v>7839</v>
      </c>
      <c r="G911" t="s">
        <v>6294</v>
      </c>
      <c r="H911" t="s">
        <v>3774</v>
      </c>
      <c r="L911" t="s">
        <v>7840</v>
      </c>
      <c r="N911" t="s">
        <v>7840</v>
      </c>
      <c r="O911" t="s">
        <v>7</v>
      </c>
      <c r="P911" t="s">
        <v>3776</v>
      </c>
      <c r="Q911" t="s">
        <v>3777</v>
      </c>
      <c r="R911" s="27" t="s">
        <v>7841</v>
      </c>
      <c r="S911" t="s">
        <v>6280</v>
      </c>
      <c r="T911" t="s">
        <v>119</v>
      </c>
    </row>
    <row r="912" spans="1:20" ht="15" customHeight="1" x14ac:dyDescent="0.4">
      <c r="A912" t="s">
        <v>3779</v>
      </c>
      <c r="B912" t="s">
        <v>3779</v>
      </c>
      <c r="C912" t="s">
        <v>151</v>
      </c>
      <c r="D912" t="s">
        <v>81</v>
      </c>
      <c r="E912" t="s">
        <v>163</v>
      </c>
      <c r="F912" t="s">
        <v>7842</v>
      </c>
      <c r="G912" t="s">
        <v>6294</v>
      </c>
      <c r="H912" t="s">
        <v>3778</v>
      </c>
      <c r="L912" t="s">
        <v>7842</v>
      </c>
      <c r="N912" t="s">
        <v>7842</v>
      </c>
      <c r="O912" t="s">
        <v>7</v>
      </c>
      <c r="P912" t="s">
        <v>3780</v>
      </c>
      <c r="Q912" t="s">
        <v>3781</v>
      </c>
      <c r="R912" s="27" t="s">
        <v>7843</v>
      </c>
      <c r="S912" t="s">
        <v>6280</v>
      </c>
      <c r="T912" t="s">
        <v>119</v>
      </c>
    </row>
    <row r="913" spans="1:20" ht="15" customHeight="1" x14ac:dyDescent="0.4">
      <c r="A913" t="s">
        <v>3783</v>
      </c>
      <c r="B913" t="s">
        <v>3783</v>
      </c>
      <c r="C913" t="s">
        <v>151</v>
      </c>
      <c r="D913" t="s">
        <v>81</v>
      </c>
      <c r="E913" t="s">
        <v>163</v>
      </c>
      <c r="F913" t="s">
        <v>7844</v>
      </c>
      <c r="G913" t="s">
        <v>6294</v>
      </c>
      <c r="H913" t="s">
        <v>3782</v>
      </c>
      <c r="L913" t="s">
        <v>7844</v>
      </c>
      <c r="N913" t="s">
        <v>7844</v>
      </c>
      <c r="O913" t="s">
        <v>7</v>
      </c>
      <c r="P913" t="s">
        <v>3784</v>
      </c>
      <c r="Q913" t="s">
        <v>3785</v>
      </c>
      <c r="R913" s="27" t="s">
        <v>7845</v>
      </c>
      <c r="S913" t="s">
        <v>6280</v>
      </c>
      <c r="T913" t="s">
        <v>119</v>
      </c>
    </row>
    <row r="914" spans="1:20" ht="15" customHeight="1" x14ac:dyDescent="0.4">
      <c r="A914" t="s">
        <v>3787</v>
      </c>
      <c r="B914" t="s">
        <v>3787</v>
      </c>
      <c r="C914" t="s">
        <v>151</v>
      </c>
      <c r="D914" t="s">
        <v>81</v>
      </c>
      <c r="E914" t="s">
        <v>163</v>
      </c>
      <c r="F914" t="s">
        <v>7846</v>
      </c>
      <c r="G914" t="s">
        <v>6294</v>
      </c>
      <c r="H914" t="s">
        <v>3786</v>
      </c>
      <c r="L914" t="s">
        <v>7846</v>
      </c>
      <c r="N914" t="s">
        <v>7846</v>
      </c>
      <c r="O914" t="s">
        <v>7</v>
      </c>
      <c r="P914" t="s">
        <v>3788</v>
      </c>
      <c r="Q914" t="s">
        <v>3790</v>
      </c>
      <c r="R914" s="27" t="s">
        <v>7847</v>
      </c>
      <c r="S914" t="s">
        <v>6280</v>
      </c>
      <c r="T914" t="s">
        <v>119</v>
      </c>
    </row>
    <row r="915" spans="1:20" ht="15" customHeight="1" x14ac:dyDescent="0.4">
      <c r="A915" t="s">
        <v>3792</v>
      </c>
      <c r="B915" t="s">
        <v>3792</v>
      </c>
      <c r="C915" t="s">
        <v>151</v>
      </c>
      <c r="D915" t="s">
        <v>81</v>
      </c>
      <c r="E915" t="s">
        <v>163</v>
      </c>
      <c r="F915" t="s">
        <v>7848</v>
      </c>
      <c r="G915" t="s">
        <v>6294</v>
      </c>
      <c r="H915" t="s">
        <v>3791</v>
      </c>
      <c r="L915" t="s">
        <v>7848</v>
      </c>
      <c r="N915" t="s">
        <v>7848</v>
      </c>
      <c r="O915" t="s">
        <v>7</v>
      </c>
      <c r="P915" t="s">
        <v>3793</v>
      </c>
      <c r="Q915" t="s">
        <v>3794</v>
      </c>
      <c r="R915" t="s">
        <v>7849</v>
      </c>
      <c r="S915" t="s">
        <v>6280</v>
      </c>
      <c r="T915" t="s">
        <v>119</v>
      </c>
    </row>
    <row r="916" spans="1:20" ht="15" customHeight="1" x14ac:dyDescent="0.4">
      <c r="A916" t="s">
        <v>3796</v>
      </c>
      <c r="B916" t="s">
        <v>3796</v>
      </c>
      <c r="C916" t="s">
        <v>151</v>
      </c>
      <c r="D916" t="s">
        <v>81</v>
      </c>
      <c r="E916" t="s">
        <v>163</v>
      </c>
      <c r="F916" t="s">
        <v>7850</v>
      </c>
      <c r="G916" t="s">
        <v>6294</v>
      </c>
      <c r="H916" t="s">
        <v>3795</v>
      </c>
      <c r="L916" t="s">
        <v>7850</v>
      </c>
      <c r="N916" t="s">
        <v>7850</v>
      </c>
      <c r="O916" t="s">
        <v>7</v>
      </c>
      <c r="P916" t="s">
        <v>3797</v>
      </c>
      <c r="Q916" t="s">
        <v>3798</v>
      </c>
      <c r="R916" t="s">
        <v>6279</v>
      </c>
      <c r="S916" t="s">
        <v>6280</v>
      </c>
      <c r="T916" t="s">
        <v>119</v>
      </c>
    </row>
    <row r="917" spans="1:20" ht="15" customHeight="1" x14ac:dyDescent="0.4">
      <c r="A917" t="s">
        <v>3800</v>
      </c>
      <c r="B917" t="s">
        <v>3800</v>
      </c>
      <c r="C917" t="s">
        <v>151</v>
      </c>
      <c r="D917" t="s">
        <v>81</v>
      </c>
      <c r="E917" t="s">
        <v>163</v>
      </c>
      <c r="F917" t="s">
        <v>7851</v>
      </c>
      <c r="G917" t="s">
        <v>6294</v>
      </c>
      <c r="H917" t="s">
        <v>3799</v>
      </c>
      <c r="L917" t="s">
        <v>7851</v>
      </c>
      <c r="N917" t="s">
        <v>7851</v>
      </c>
      <c r="O917" t="s">
        <v>7</v>
      </c>
      <c r="P917" t="s">
        <v>3801</v>
      </c>
      <c r="Q917" t="s">
        <v>3802</v>
      </c>
      <c r="R917" t="s">
        <v>3801</v>
      </c>
      <c r="S917" t="s">
        <v>6280</v>
      </c>
      <c r="T917" t="s">
        <v>119</v>
      </c>
    </row>
    <row r="918" spans="1:20" ht="15" customHeight="1" x14ac:dyDescent="0.4">
      <c r="A918" t="s">
        <v>3804</v>
      </c>
      <c r="B918" t="s">
        <v>3804</v>
      </c>
      <c r="C918" t="s">
        <v>151</v>
      </c>
      <c r="D918" t="s">
        <v>81</v>
      </c>
      <c r="E918" t="s">
        <v>163</v>
      </c>
      <c r="F918" t="s">
        <v>7852</v>
      </c>
      <c r="G918" t="s">
        <v>6294</v>
      </c>
      <c r="H918" t="s">
        <v>3803</v>
      </c>
      <c r="L918" t="s">
        <v>7852</v>
      </c>
      <c r="N918" t="s">
        <v>7852</v>
      </c>
      <c r="O918" t="s">
        <v>7</v>
      </c>
      <c r="P918" t="s">
        <v>3805</v>
      </c>
      <c r="Q918" t="s">
        <v>3806</v>
      </c>
      <c r="R918" t="s">
        <v>3805</v>
      </c>
      <c r="S918" t="s">
        <v>6280</v>
      </c>
      <c r="T918" t="s">
        <v>119</v>
      </c>
    </row>
    <row r="919" spans="1:20" ht="15" customHeight="1" x14ac:dyDescent="0.4">
      <c r="A919" t="s">
        <v>3808</v>
      </c>
      <c r="B919" t="s">
        <v>3808</v>
      </c>
      <c r="C919" t="s">
        <v>151</v>
      </c>
      <c r="D919" t="s">
        <v>81</v>
      </c>
      <c r="E919" t="s">
        <v>163</v>
      </c>
      <c r="F919" t="s">
        <v>7853</v>
      </c>
      <c r="G919" t="s">
        <v>6294</v>
      </c>
      <c r="H919" t="s">
        <v>3807</v>
      </c>
      <c r="L919" t="s">
        <v>7853</v>
      </c>
      <c r="N919" t="s">
        <v>7853</v>
      </c>
      <c r="O919" t="s">
        <v>7</v>
      </c>
      <c r="P919" t="s">
        <v>3809</v>
      </c>
      <c r="Q919" t="s">
        <v>3810</v>
      </c>
      <c r="R919" t="s">
        <v>7854</v>
      </c>
      <c r="S919" t="s">
        <v>6280</v>
      </c>
      <c r="T919" t="s">
        <v>119</v>
      </c>
    </row>
    <row r="920" spans="1:20" ht="15" customHeight="1" x14ac:dyDescent="0.4">
      <c r="A920" t="s">
        <v>3812</v>
      </c>
      <c r="B920" t="s">
        <v>3812</v>
      </c>
      <c r="C920" t="s">
        <v>151</v>
      </c>
      <c r="D920" t="s">
        <v>81</v>
      </c>
      <c r="E920" t="s">
        <v>163</v>
      </c>
      <c r="F920" t="s">
        <v>7855</v>
      </c>
      <c r="G920" t="s">
        <v>6294</v>
      </c>
      <c r="H920" t="s">
        <v>3811</v>
      </c>
      <c r="L920" t="s">
        <v>7855</v>
      </c>
      <c r="N920" t="s">
        <v>7855</v>
      </c>
      <c r="O920" t="s">
        <v>7</v>
      </c>
      <c r="P920" t="s">
        <v>3813</v>
      </c>
      <c r="Q920" t="s">
        <v>3814</v>
      </c>
      <c r="R920" t="s">
        <v>3813</v>
      </c>
      <c r="S920" t="s">
        <v>6280</v>
      </c>
      <c r="T920" t="s">
        <v>119</v>
      </c>
    </row>
    <row r="921" spans="1:20" ht="15" customHeight="1" x14ac:dyDescent="0.4">
      <c r="A921" t="s">
        <v>3816</v>
      </c>
      <c r="B921" t="s">
        <v>3816</v>
      </c>
      <c r="C921" t="s">
        <v>151</v>
      </c>
      <c r="D921" t="s">
        <v>81</v>
      </c>
      <c r="E921" t="s">
        <v>163</v>
      </c>
      <c r="F921" t="s">
        <v>7856</v>
      </c>
      <c r="G921" t="s">
        <v>6294</v>
      </c>
      <c r="H921" t="s">
        <v>3815</v>
      </c>
      <c r="L921" t="s">
        <v>7856</v>
      </c>
      <c r="N921" t="s">
        <v>7856</v>
      </c>
      <c r="O921" t="s">
        <v>7</v>
      </c>
      <c r="P921" t="s">
        <v>3817</v>
      </c>
      <c r="Q921" t="s">
        <v>3818</v>
      </c>
      <c r="R921" t="s">
        <v>7857</v>
      </c>
      <c r="S921" t="s">
        <v>6280</v>
      </c>
      <c r="T921" t="s">
        <v>119</v>
      </c>
    </row>
    <row r="922" spans="1:20" ht="15" customHeight="1" x14ac:dyDescent="0.4">
      <c r="A922" t="s">
        <v>3820</v>
      </c>
      <c r="B922" t="s">
        <v>3820</v>
      </c>
      <c r="C922" t="s">
        <v>151</v>
      </c>
      <c r="D922" t="s">
        <v>81</v>
      </c>
      <c r="E922" t="s">
        <v>163</v>
      </c>
      <c r="F922" t="s">
        <v>7858</v>
      </c>
      <c r="G922" t="s">
        <v>6294</v>
      </c>
      <c r="H922" t="s">
        <v>3819</v>
      </c>
      <c r="L922" t="s">
        <v>7858</v>
      </c>
      <c r="N922" t="s">
        <v>7858</v>
      </c>
      <c r="O922" t="s">
        <v>7</v>
      </c>
      <c r="P922" t="s">
        <v>3821</v>
      </c>
      <c r="Q922" t="s">
        <v>3822</v>
      </c>
      <c r="R922" t="s">
        <v>7859</v>
      </c>
      <c r="S922" t="s">
        <v>6280</v>
      </c>
      <c r="T922" t="s">
        <v>119</v>
      </c>
    </row>
    <row r="923" spans="1:20" ht="15" customHeight="1" x14ac:dyDescent="0.4">
      <c r="A923" t="s">
        <v>3824</v>
      </c>
      <c r="B923" t="s">
        <v>3824</v>
      </c>
      <c r="C923" t="s">
        <v>151</v>
      </c>
      <c r="D923" t="s">
        <v>81</v>
      </c>
      <c r="E923" t="s">
        <v>163</v>
      </c>
      <c r="F923" t="s">
        <v>7860</v>
      </c>
      <c r="G923" t="s">
        <v>6294</v>
      </c>
      <c r="H923" t="s">
        <v>3823</v>
      </c>
      <c r="L923" t="s">
        <v>7861</v>
      </c>
      <c r="N923" t="s">
        <v>7861</v>
      </c>
      <c r="O923" t="s">
        <v>7</v>
      </c>
      <c r="P923" t="s">
        <v>3825</v>
      </c>
      <c r="Q923" t="s">
        <v>3826</v>
      </c>
      <c r="R923" t="s">
        <v>6279</v>
      </c>
      <c r="S923" t="s">
        <v>6280</v>
      </c>
      <c r="T923" t="s">
        <v>119</v>
      </c>
    </row>
    <row r="924" spans="1:20" ht="15" customHeight="1" x14ac:dyDescent="0.4">
      <c r="A924" t="s">
        <v>3828</v>
      </c>
      <c r="B924" t="s">
        <v>3828</v>
      </c>
      <c r="C924" t="s">
        <v>151</v>
      </c>
      <c r="D924" t="s">
        <v>81</v>
      </c>
      <c r="E924" t="s">
        <v>163</v>
      </c>
      <c r="F924" t="s">
        <v>7862</v>
      </c>
      <c r="G924" t="s">
        <v>6294</v>
      </c>
      <c r="H924" t="s">
        <v>3827</v>
      </c>
      <c r="L924" t="s">
        <v>7862</v>
      </c>
      <c r="N924" t="s">
        <v>7862</v>
      </c>
      <c r="O924" t="s">
        <v>7</v>
      </c>
      <c r="P924" t="s">
        <v>3829</v>
      </c>
      <c r="Q924" t="s">
        <v>3830</v>
      </c>
      <c r="R924" t="s">
        <v>7863</v>
      </c>
      <c r="S924" t="s">
        <v>6280</v>
      </c>
      <c r="T924" t="s">
        <v>119</v>
      </c>
    </row>
    <row r="925" spans="1:20" ht="15" customHeight="1" x14ac:dyDescent="0.4">
      <c r="A925" t="s">
        <v>3832</v>
      </c>
      <c r="B925" t="s">
        <v>3832</v>
      </c>
      <c r="C925" t="s">
        <v>151</v>
      </c>
      <c r="D925" t="s">
        <v>81</v>
      </c>
      <c r="E925" t="s">
        <v>163</v>
      </c>
      <c r="F925" t="s">
        <v>7864</v>
      </c>
      <c r="G925" t="s">
        <v>6294</v>
      </c>
      <c r="H925" t="s">
        <v>3831</v>
      </c>
      <c r="L925" t="s">
        <v>7865</v>
      </c>
      <c r="N925" t="s">
        <v>7865</v>
      </c>
      <c r="O925" t="s">
        <v>7</v>
      </c>
      <c r="P925" t="s">
        <v>3833</v>
      </c>
      <c r="Q925" t="s">
        <v>3834</v>
      </c>
      <c r="R925" t="s">
        <v>6279</v>
      </c>
      <c r="S925" t="s">
        <v>6280</v>
      </c>
      <c r="T925" t="s">
        <v>119</v>
      </c>
    </row>
    <row r="926" spans="1:20" ht="15" customHeight="1" x14ac:dyDescent="0.4">
      <c r="A926" t="s">
        <v>3836</v>
      </c>
      <c r="B926" t="s">
        <v>3836</v>
      </c>
      <c r="C926" t="s">
        <v>151</v>
      </c>
      <c r="D926" t="s">
        <v>81</v>
      </c>
      <c r="E926" t="s">
        <v>163</v>
      </c>
      <c r="F926" t="s">
        <v>7866</v>
      </c>
      <c r="G926" t="s">
        <v>6294</v>
      </c>
      <c r="H926" t="s">
        <v>3835</v>
      </c>
      <c r="L926" t="s">
        <v>7866</v>
      </c>
      <c r="N926" t="s">
        <v>7866</v>
      </c>
      <c r="O926" t="s">
        <v>7</v>
      </c>
      <c r="P926" t="s">
        <v>3837</v>
      </c>
      <c r="Q926" t="s">
        <v>3838</v>
      </c>
      <c r="R926" t="s">
        <v>7867</v>
      </c>
      <c r="S926" t="s">
        <v>6280</v>
      </c>
      <c r="T926" t="s">
        <v>119</v>
      </c>
    </row>
    <row r="927" spans="1:20" ht="15" customHeight="1" x14ac:dyDescent="0.4">
      <c r="A927" t="s">
        <v>3841</v>
      </c>
      <c r="B927" t="s">
        <v>3841</v>
      </c>
      <c r="C927" t="s">
        <v>151</v>
      </c>
      <c r="D927" t="s">
        <v>81</v>
      </c>
      <c r="E927" t="s">
        <v>163</v>
      </c>
      <c r="F927" t="s">
        <v>7868</v>
      </c>
      <c r="G927" t="s">
        <v>6294</v>
      </c>
      <c r="H927" t="s">
        <v>3840</v>
      </c>
      <c r="L927" t="s">
        <v>7868</v>
      </c>
      <c r="N927" t="s">
        <v>7868</v>
      </c>
      <c r="O927" t="s">
        <v>7</v>
      </c>
      <c r="P927" t="s">
        <v>3842</v>
      </c>
      <c r="Q927" t="s">
        <v>3843</v>
      </c>
      <c r="R927" t="s">
        <v>6279</v>
      </c>
      <c r="S927" t="s">
        <v>6280</v>
      </c>
      <c r="T927" t="s">
        <v>119</v>
      </c>
    </row>
    <row r="928" spans="1:20" ht="15" customHeight="1" x14ac:dyDescent="0.4">
      <c r="A928" t="s">
        <v>3845</v>
      </c>
      <c r="B928" t="s">
        <v>3845</v>
      </c>
      <c r="C928" t="s">
        <v>151</v>
      </c>
      <c r="D928" t="s">
        <v>81</v>
      </c>
      <c r="E928" t="s">
        <v>163</v>
      </c>
      <c r="F928" t="s">
        <v>7869</v>
      </c>
      <c r="G928" t="s">
        <v>6294</v>
      </c>
      <c r="H928" t="s">
        <v>3844</v>
      </c>
      <c r="L928" t="s">
        <v>7869</v>
      </c>
      <c r="N928" t="s">
        <v>7869</v>
      </c>
      <c r="O928" t="s">
        <v>7</v>
      </c>
      <c r="P928" t="s">
        <v>3846</v>
      </c>
      <c r="Q928" t="s">
        <v>3847</v>
      </c>
      <c r="R928" t="s">
        <v>6279</v>
      </c>
      <c r="S928" t="s">
        <v>6280</v>
      </c>
      <c r="T928" t="s">
        <v>119</v>
      </c>
    </row>
    <row r="929" spans="1:20" ht="15" customHeight="1" x14ac:dyDescent="0.4">
      <c r="A929" t="s">
        <v>3849</v>
      </c>
      <c r="B929" t="s">
        <v>3849</v>
      </c>
      <c r="C929" t="s">
        <v>151</v>
      </c>
      <c r="D929" t="s">
        <v>81</v>
      </c>
      <c r="E929" t="s">
        <v>163</v>
      </c>
      <c r="F929" t="s">
        <v>7870</v>
      </c>
      <c r="G929" t="s">
        <v>6294</v>
      </c>
      <c r="H929" t="s">
        <v>3848</v>
      </c>
      <c r="L929" t="s">
        <v>7870</v>
      </c>
      <c r="N929" t="s">
        <v>7870</v>
      </c>
      <c r="O929" t="s">
        <v>7</v>
      </c>
      <c r="P929" t="s">
        <v>3850</v>
      </c>
      <c r="Q929" t="s">
        <v>3851</v>
      </c>
      <c r="R929" t="s">
        <v>7871</v>
      </c>
      <c r="S929" t="s">
        <v>6280</v>
      </c>
      <c r="T929" t="s">
        <v>119</v>
      </c>
    </row>
    <row r="930" spans="1:20" ht="15" customHeight="1" x14ac:dyDescent="0.4">
      <c r="A930" t="s">
        <v>3853</v>
      </c>
      <c r="B930" t="s">
        <v>3853</v>
      </c>
      <c r="C930" t="s">
        <v>151</v>
      </c>
      <c r="D930" t="s">
        <v>81</v>
      </c>
      <c r="E930" t="s">
        <v>163</v>
      </c>
      <c r="F930" t="s">
        <v>7872</v>
      </c>
      <c r="G930" t="s">
        <v>6294</v>
      </c>
      <c r="H930" t="s">
        <v>3852</v>
      </c>
      <c r="L930" t="s">
        <v>7872</v>
      </c>
      <c r="N930" t="s">
        <v>7872</v>
      </c>
      <c r="O930" t="s">
        <v>7</v>
      </c>
      <c r="P930" t="s">
        <v>3854</v>
      </c>
      <c r="Q930" t="s">
        <v>3830</v>
      </c>
      <c r="R930" t="s">
        <v>7873</v>
      </c>
      <c r="S930" t="s">
        <v>6280</v>
      </c>
      <c r="T930" t="s">
        <v>119</v>
      </c>
    </row>
    <row r="931" spans="1:20" ht="15" customHeight="1" x14ac:dyDescent="0.4">
      <c r="A931" t="s">
        <v>3856</v>
      </c>
      <c r="B931" t="s">
        <v>3856</v>
      </c>
      <c r="C931" t="s">
        <v>151</v>
      </c>
      <c r="D931" t="s">
        <v>81</v>
      </c>
      <c r="E931" t="s">
        <v>163</v>
      </c>
      <c r="F931" t="s">
        <v>7874</v>
      </c>
      <c r="G931" t="s">
        <v>6294</v>
      </c>
      <c r="H931" t="s">
        <v>3855</v>
      </c>
      <c r="L931" t="s">
        <v>7874</v>
      </c>
      <c r="N931" t="s">
        <v>7874</v>
      </c>
      <c r="O931" t="s">
        <v>7</v>
      </c>
      <c r="P931" t="s">
        <v>3857</v>
      </c>
      <c r="Q931" t="s">
        <v>3858</v>
      </c>
      <c r="R931" s="27" t="s">
        <v>7875</v>
      </c>
      <c r="S931" t="s">
        <v>6280</v>
      </c>
      <c r="T931" t="s">
        <v>119</v>
      </c>
    </row>
    <row r="932" spans="1:20" ht="15" customHeight="1" x14ac:dyDescent="0.4">
      <c r="A932" t="s">
        <v>3860</v>
      </c>
      <c r="B932" t="s">
        <v>3860</v>
      </c>
      <c r="C932" t="s">
        <v>151</v>
      </c>
      <c r="D932" t="s">
        <v>81</v>
      </c>
      <c r="E932" t="s">
        <v>163</v>
      </c>
      <c r="F932" t="s">
        <v>7876</v>
      </c>
      <c r="G932" t="s">
        <v>6294</v>
      </c>
      <c r="H932" t="s">
        <v>3859</v>
      </c>
      <c r="L932" t="s">
        <v>7876</v>
      </c>
      <c r="N932" t="s">
        <v>7876</v>
      </c>
      <c r="O932" t="s">
        <v>7</v>
      </c>
      <c r="P932" t="s">
        <v>3861</v>
      </c>
      <c r="Q932" t="s">
        <v>3862</v>
      </c>
      <c r="R932" t="s">
        <v>7877</v>
      </c>
      <c r="S932" t="s">
        <v>6280</v>
      </c>
      <c r="T932" t="s">
        <v>119</v>
      </c>
    </row>
    <row r="933" spans="1:20" ht="15" customHeight="1" x14ac:dyDescent="0.4">
      <c r="A933" t="s">
        <v>3864</v>
      </c>
      <c r="B933" t="s">
        <v>3864</v>
      </c>
      <c r="C933" t="s">
        <v>151</v>
      </c>
      <c r="D933" t="s">
        <v>81</v>
      </c>
      <c r="E933" t="s">
        <v>163</v>
      </c>
      <c r="F933" t="s">
        <v>7878</v>
      </c>
      <c r="G933" t="s">
        <v>6294</v>
      </c>
      <c r="H933" t="s">
        <v>3863</v>
      </c>
      <c r="L933" t="s">
        <v>7878</v>
      </c>
      <c r="N933" t="s">
        <v>7878</v>
      </c>
      <c r="O933" t="s">
        <v>7</v>
      </c>
      <c r="P933" t="s">
        <v>3865</v>
      </c>
      <c r="Q933" t="s">
        <v>3866</v>
      </c>
      <c r="R933" t="s">
        <v>7879</v>
      </c>
      <c r="S933" t="s">
        <v>6280</v>
      </c>
      <c r="T933" t="s">
        <v>119</v>
      </c>
    </row>
    <row r="934" spans="1:20" ht="15" customHeight="1" x14ac:dyDescent="0.4">
      <c r="A934" t="s">
        <v>3868</v>
      </c>
      <c r="B934" t="s">
        <v>3868</v>
      </c>
      <c r="C934" t="s">
        <v>151</v>
      </c>
      <c r="D934" t="s">
        <v>81</v>
      </c>
      <c r="E934" t="s">
        <v>163</v>
      </c>
      <c r="F934" t="s">
        <v>7880</v>
      </c>
      <c r="G934" t="s">
        <v>6294</v>
      </c>
      <c r="H934" t="s">
        <v>3867</v>
      </c>
      <c r="L934" t="s">
        <v>7880</v>
      </c>
      <c r="N934" t="s">
        <v>7880</v>
      </c>
      <c r="O934" t="s">
        <v>7</v>
      </c>
      <c r="P934" t="s">
        <v>3869</v>
      </c>
      <c r="Q934" t="s">
        <v>3870</v>
      </c>
      <c r="R934" t="s">
        <v>7881</v>
      </c>
      <c r="S934" t="s">
        <v>6280</v>
      </c>
      <c r="T934" t="s">
        <v>119</v>
      </c>
    </row>
    <row r="935" spans="1:20" ht="15" customHeight="1" x14ac:dyDescent="0.4">
      <c r="A935" t="s">
        <v>3872</v>
      </c>
      <c r="B935" t="s">
        <v>3872</v>
      </c>
      <c r="C935" t="s">
        <v>151</v>
      </c>
      <c r="D935" t="s">
        <v>81</v>
      </c>
      <c r="E935" t="s">
        <v>163</v>
      </c>
      <c r="F935" t="s">
        <v>7882</v>
      </c>
      <c r="G935" t="s">
        <v>6294</v>
      </c>
      <c r="H935" t="s">
        <v>3871</v>
      </c>
      <c r="L935" t="s">
        <v>7882</v>
      </c>
      <c r="N935" t="s">
        <v>7882</v>
      </c>
      <c r="O935" t="s">
        <v>7</v>
      </c>
      <c r="P935" t="s">
        <v>3873</v>
      </c>
      <c r="Q935" t="s">
        <v>3874</v>
      </c>
      <c r="R935" s="27" t="s">
        <v>7883</v>
      </c>
      <c r="S935" t="s">
        <v>6280</v>
      </c>
      <c r="T935" t="s">
        <v>119</v>
      </c>
    </row>
    <row r="936" spans="1:20" ht="15" customHeight="1" x14ac:dyDescent="0.4">
      <c r="A936" t="s">
        <v>3877</v>
      </c>
      <c r="B936" t="s">
        <v>3877</v>
      </c>
      <c r="C936" t="s">
        <v>151</v>
      </c>
      <c r="D936" t="s">
        <v>81</v>
      </c>
      <c r="E936" t="s">
        <v>163</v>
      </c>
      <c r="F936" t="s">
        <v>7884</v>
      </c>
      <c r="G936" t="s">
        <v>6294</v>
      </c>
      <c r="H936" t="s">
        <v>3876</v>
      </c>
      <c r="L936" t="s">
        <v>7884</v>
      </c>
      <c r="N936" t="s">
        <v>7884</v>
      </c>
      <c r="O936" t="s">
        <v>7</v>
      </c>
      <c r="P936" t="s">
        <v>3878</v>
      </c>
      <c r="Q936" t="s">
        <v>3879</v>
      </c>
      <c r="R936" t="s">
        <v>7885</v>
      </c>
      <c r="S936" t="s">
        <v>6280</v>
      </c>
      <c r="T936" t="s">
        <v>119</v>
      </c>
    </row>
    <row r="937" spans="1:20" ht="15" customHeight="1" x14ac:dyDescent="0.4">
      <c r="A937" t="s">
        <v>3881</v>
      </c>
      <c r="B937" t="s">
        <v>3881</v>
      </c>
      <c r="C937" t="s">
        <v>151</v>
      </c>
      <c r="D937" t="s">
        <v>81</v>
      </c>
      <c r="E937" t="s">
        <v>163</v>
      </c>
      <c r="F937" t="s">
        <v>7886</v>
      </c>
      <c r="G937" t="s">
        <v>6294</v>
      </c>
      <c r="H937" t="s">
        <v>3880</v>
      </c>
      <c r="L937" t="s">
        <v>7886</v>
      </c>
      <c r="N937" t="s">
        <v>7886</v>
      </c>
      <c r="O937" t="s">
        <v>7</v>
      </c>
      <c r="P937" t="s">
        <v>3882</v>
      </c>
      <c r="Q937" t="s">
        <v>3883</v>
      </c>
      <c r="R937" t="s">
        <v>7887</v>
      </c>
      <c r="S937" t="s">
        <v>6280</v>
      </c>
      <c r="T937" t="s">
        <v>119</v>
      </c>
    </row>
    <row r="938" spans="1:20" ht="15" customHeight="1" x14ac:dyDescent="0.4">
      <c r="A938" t="s">
        <v>3885</v>
      </c>
      <c r="B938" t="s">
        <v>3885</v>
      </c>
      <c r="C938" t="s">
        <v>151</v>
      </c>
      <c r="D938" t="s">
        <v>81</v>
      </c>
      <c r="E938" t="s">
        <v>163</v>
      </c>
      <c r="F938" t="s">
        <v>7888</v>
      </c>
      <c r="G938" t="s">
        <v>6294</v>
      </c>
      <c r="H938" t="s">
        <v>3884</v>
      </c>
      <c r="L938" t="s">
        <v>7888</v>
      </c>
      <c r="N938" t="s">
        <v>7888</v>
      </c>
      <c r="O938" t="s">
        <v>7</v>
      </c>
      <c r="P938" t="s">
        <v>3886</v>
      </c>
      <c r="Q938" t="s">
        <v>3887</v>
      </c>
      <c r="R938" s="27" t="s">
        <v>7889</v>
      </c>
      <c r="S938" t="s">
        <v>6280</v>
      </c>
      <c r="T938" t="s">
        <v>119</v>
      </c>
    </row>
    <row r="939" spans="1:20" ht="15" customHeight="1" x14ac:dyDescent="0.4">
      <c r="A939" t="s">
        <v>3889</v>
      </c>
      <c r="B939" t="s">
        <v>3889</v>
      </c>
      <c r="C939" t="s">
        <v>151</v>
      </c>
      <c r="D939" t="s">
        <v>81</v>
      </c>
      <c r="E939" t="s">
        <v>163</v>
      </c>
      <c r="F939" t="s">
        <v>7890</v>
      </c>
      <c r="G939" t="s">
        <v>6294</v>
      </c>
      <c r="H939" t="s">
        <v>3888</v>
      </c>
      <c r="L939" t="s">
        <v>7890</v>
      </c>
      <c r="N939" t="s">
        <v>7890</v>
      </c>
      <c r="O939" t="s">
        <v>7</v>
      </c>
      <c r="P939" t="s">
        <v>3890</v>
      </c>
      <c r="Q939" t="s">
        <v>3891</v>
      </c>
      <c r="R939" s="27" t="s">
        <v>7891</v>
      </c>
      <c r="S939" t="s">
        <v>6280</v>
      </c>
      <c r="T939" t="s">
        <v>119</v>
      </c>
    </row>
    <row r="940" spans="1:20" ht="15" customHeight="1" x14ac:dyDescent="0.4">
      <c r="A940" t="s">
        <v>3893</v>
      </c>
      <c r="B940" t="s">
        <v>3893</v>
      </c>
      <c r="C940" t="s">
        <v>151</v>
      </c>
      <c r="D940" t="s">
        <v>81</v>
      </c>
      <c r="E940" t="s">
        <v>163</v>
      </c>
      <c r="F940" t="s">
        <v>7892</v>
      </c>
      <c r="G940" t="s">
        <v>6294</v>
      </c>
      <c r="H940" t="s">
        <v>3892</v>
      </c>
      <c r="L940" t="s">
        <v>7892</v>
      </c>
      <c r="N940" t="s">
        <v>7892</v>
      </c>
      <c r="O940" t="s">
        <v>7</v>
      </c>
      <c r="P940" t="s">
        <v>3894</v>
      </c>
      <c r="Q940" t="s">
        <v>3895</v>
      </c>
      <c r="R940" s="27" t="s">
        <v>7893</v>
      </c>
      <c r="S940" t="s">
        <v>6280</v>
      </c>
      <c r="T940" t="s">
        <v>119</v>
      </c>
    </row>
    <row r="941" spans="1:20" ht="15" customHeight="1" x14ac:dyDescent="0.4">
      <c r="A941" t="s">
        <v>3897</v>
      </c>
      <c r="B941" t="s">
        <v>3897</v>
      </c>
      <c r="C941" t="s">
        <v>151</v>
      </c>
      <c r="D941" t="s">
        <v>81</v>
      </c>
      <c r="E941" t="s">
        <v>163</v>
      </c>
      <c r="F941" t="s">
        <v>7894</v>
      </c>
      <c r="G941" t="s">
        <v>6294</v>
      </c>
      <c r="H941" t="s">
        <v>3896</v>
      </c>
      <c r="L941" t="s">
        <v>7894</v>
      </c>
      <c r="N941" t="s">
        <v>7894</v>
      </c>
      <c r="O941" t="s">
        <v>7</v>
      </c>
      <c r="P941" t="s">
        <v>3898</v>
      </c>
      <c r="Q941" t="s">
        <v>3899</v>
      </c>
      <c r="R941" s="27" t="s">
        <v>7895</v>
      </c>
      <c r="S941" t="s">
        <v>6280</v>
      </c>
      <c r="T941" t="s">
        <v>119</v>
      </c>
    </row>
    <row r="942" spans="1:20" ht="15" customHeight="1" x14ac:dyDescent="0.4">
      <c r="A942" t="s">
        <v>3901</v>
      </c>
      <c r="B942" t="s">
        <v>3901</v>
      </c>
      <c r="C942" t="s">
        <v>151</v>
      </c>
      <c r="D942" t="s">
        <v>81</v>
      </c>
      <c r="E942" t="s">
        <v>163</v>
      </c>
      <c r="F942" t="s">
        <v>7896</v>
      </c>
      <c r="G942" t="s">
        <v>6294</v>
      </c>
      <c r="H942" t="s">
        <v>3900</v>
      </c>
      <c r="L942" t="s">
        <v>7896</v>
      </c>
      <c r="N942" t="s">
        <v>7896</v>
      </c>
      <c r="O942" t="s">
        <v>7</v>
      </c>
      <c r="P942" t="s">
        <v>3902</v>
      </c>
      <c r="Q942" t="s">
        <v>3903</v>
      </c>
      <c r="R942" s="27" t="s">
        <v>7897</v>
      </c>
      <c r="S942" t="s">
        <v>6280</v>
      </c>
      <c r="T942" t="s">
        <v>119</v>
      </c>
    </row>
    <row r="943" spans="1:20" ht="15" customHeight="1" x14ac:dyDescent="0.4">
      <c r="A943" t="s">
        <v>3905</v>
      </c>
      <c r="B943" t="s">
        <v>3905</v>
      </c>
      <c r="C943" t="s">
        <v>151</v>
      </c>
      <c r="D943" t="s">
        <v>81</v>
      </c>
      <c r="E943" t="s">
        <v>163</v>
      </c>
      <c r="F943" t="s">
        <v>7898</v>
      </c>
      <c r="G943" t="s">
        <v>6294</v>
      </c>
      <c r="H943" t="s">
        <v>3904</v>
      </c>
      <c r="L943" t="s">
        <v>7899</v>
      </c>
      <c r="N943" t="s">
        <v>7899</v>
      </c>
      <c r="O943" t="s">
        <v>7</v>
      </c>
      <c r="P943" t="s">
        <v>3906</v>
      </c>
      <c r="Q943" t="s">
        <v>3907</v>
      </c>
      <c r="R943" s="27" t="s">
        <v>7900</v>
      </c>
      <c r="S943" t="s">
        <v>6280</v>
      </c>
      <c r="T943" t="s">
        <v>119</v>
      </c>
    </row>
    <row r="944" spans="1:20" ht="15" customHeight="1" x14ac:dyDescent="0.4">
      <c r="A944" t="s">
        <v>3909</v>
      </c>
      <c r="B944" t="s">
        <v>3909</v>
      </c>
      <c r="C944" t="s">
        <v>151</v>
      </c>
      <c r="D944" t="s">
        <v>81</v>
      </c>
      <c r="E944" t="s">
        <v>163</v>
      </c>
      <c r="F944" t="s">
        <v>7901</v>
      </c>
      <c r="G944" t="s">
        <v>6294</v>
      </c>
      <c r="H944" t="s">
        <v>3908</v>
      </c>
      <c r="L944" t="s">
        <v>7902</v>
      </c>
      <c r="N944" t="s">
        <v>7902</v>
      </c>
      <c r="O944" t="s">
        <v>7</v>
      </c>
      <c r="P944" t="s">
        <v>3910</v>
      </c>
      <c r="Q944" t="s">
        <v>3911</v>
      </c>
      <c r="R944" s="27" t="s">
        <v>7903</v>
      </c>
      <c r="S944" t="s">
        <v>6280</v>
      </c>
      <c r="T944" t="s">
        <v>119</v>
      </c>
    </row>
    <row r="945" spans="1:20" ht="15" customHeight="1" x14ac:dyDescent="0.4">
      <c r="A945" t="s">
        <v>3913</v>
      </c>
      <c r="B945" t="s">
        <v>3913</v>
      </c>
      <c r="C945" t="s">
        <v>151</v>
      </c>
      <c r="D945" t="s">
        <v>81</v>
      </c>
      <c r="E945" t="s">
        <v>163</v>
      </c>
      <c r="F945" t="s">
        <v>7904</v>
      </c>
      <c r="G945" t="s">
        <v>6294</v>
      </c>
      <c r="H945" t="s">
        <v>3912</v>
      </c>
      <c r="L945" t="s">
        <v>7905</v>
      </c>
      <c r="N945" t="s">
        <v>7905</v>
      </c>
      <c r="O945" t="s">
        <v>7</v>
      </c>
      <c r="P945" t="s">
        <v>3914</v>
      </c>
      <c r="Q945" t="s">
        <v>3915</v>
      </c>
      <c r="R945" s="27" t="s">
        <v>7903</v>
      </c>
      <c r="S945" t="s">
        <v>6280</v>
      </c>
      <c r="T945" t="s">
        <v>119</v>
      </c>
    </row>
    <row r="946" spans="1:20" ht="15" customHeight="1" x14ac:dyDescent="0.4">
      <c r="A946" t="s">
        <v>3917</v>
      </c>
      <c r="B946" t="s">
        <v>3917</v>
      </c>
      <c r="C946" t="s">
        <v>151</v>
      </c>
      <c r="D946" t="s">
        <v>81</v>
      </c>
      <c r="E946" t="s">
        <v>163</v>
      </c>
      <c r="F946" t="s">
        <v>7906</v>
      </c>
      <c r="G946" t="s">
        <v>6294</v>
      </c>
      <c r="H946" t="s">
        <v>3916</v>
      </c>
      <c r="L946" t="s">
        <v>7907</v>
      </c>
      <c r="N946" t="s">
        <v>7907</v>
      </c>
      <c r="O946" t="s">
        <v>7</v>
      </c>
      <c r="P946" t="s">
        <v>3918</v>
      </c>
      <c r="Q946" t="s">
        <v>3919</v>
      </c>
      <c r="R946" s="27" t="s">
        <v>7903</v>
      </c>
      <c r="S946" t="s">
        <v>6280</v>
      </c>
      <c r="T946" t="s">
        <v>119</v>
      </c>
    </row>
    <row r="947" spans="1:20" ht="15" customHeight="1" x14ac:dyDescent="0.4">
      <c r="A947" t="s">
        <v>3921</v>
      </c>
      <c r="B947" t="s">
        <v>3921</v>
      </c>
      <c r="C947" t="s">
        <v>151</v>
      </c>
      <c r="D947" t="s">
        <v>81</v>
      </c>
      <c r="E947" t="s">
        <v>163</v>
      </c>
      <c r="F947" t="s">
        <v>7908</v>
      </c>
      <c r="G947" t="s">
        <v>6294</v>
      </c>
      <c r="H947" t="s">
        <v>3920</v>
      </c>
      <c r="L947" t="s">
        <v>7909</v>
      </c>
      <c r="N947" t="s">
        <v>7909</v>
      </c>
      <c r="O947" t="s">
        <v>7</v>
      </c>
      <c r="P947" t="s">
        <v>3922</v>
      </c>
      <c r="Q947" t="s">
        <v>3923</v>
      </c>
      <c r="R947" s="27" t="s">
        <v>7903</v>
      </c>
      <c r="S947" t="s">
        <v>6280</v>
      </c>
      <c r="T947" t="s">
        <v>119</v>
      </c>
    </row>
    <row r="948" spans="1:20" ht="15" customHeight="1" x14ac:dyDescent="0.4">
      <c r="A948" t="s">
        <v>3925</v>
      </c>
      <c r="B948" t="s">
        <v>3925</v>
      </c>
      <c r="C948" t="s">
        <v>151</v>
      </c>
      <c r="D948" t="s">
        <v>81</v>
      </c>
      <c r="E948" t="s">
        <v>163</v>
      </c>
      <c r="F948" t="s">
        <v>7910</v>
      </c>
      <c r="G948" t="s">
        <v>6294</v>
      </c>
      <c r="H948" t="s">
        <v>3924</v>
      </c>
      <c r="L948" t="s">
        <v>7911</v>
      </c>
      <c r="N948" t="s">
        <v>7911</v>
      </c>
      <c r="O948" t="s">
        <v>7</v>
      </c>
      <c r="P948" t="s">
        <v>3926</v>
      </c>
      <c r="Q948" t="s">
        <v>3927</v>
      </c>
      <c r="R948" t="s">
        <v>6279</v>
      </c>
      <c r="S948" t="s">
        <v>6280</v>
      </c>
      <c r="T948" t="s">
        <v>119</v>
      </c>
    </row>
    <row r="949" spans="1:20" ht="15" customHeight="1" x14ac:dyDescent="0.4">
      <c r="A949" t="s">
        <v>3929</v>
      </c>
      <c r="B949" t="s">
        <v>3929</v>
      </c>
      <c r="C949" t="s">
        <v>151</v>
      </c>
      <c r="D949" t="s">
        <v>81</v>
      </c>
      <c r="E949" t="s">
        <v>163</v>
      </c>
      <c r="F949" t="s">
        <v>7912</v>
      </c>
      <c r="G949" t="s">
        <v>6294</v>
      </c>
      <c r="H949" t="s">
        <v>3928</v>
      </c>
      <c r="L949" t="s">
        <v>7913</v>
      </c>
      <c r="N949" t="s">
        <v>7913</v>
      </c>
      <c r="O949" t="s">
        <v>7</v>
      </c>
      <c r="P949" t="s">
        <v>3930</v>
      </c>
      <c r="Q949" t="s">
        <v>3931</v>
      </c>
      <c r="R949" s="27" t="s">
        <v>7903</v>
      </c>
      <c r="S949" t="s">
        <v>6280</v>
      </c>
      <c r="T949" t="s">
        <v>119</v>
      </c>
    </row>
    <row r="950" spans="1:20" ht="15" customHeight="1" x14ac:dyDescent="0.4">
      <c r="A950" t="s">
        <v>3933</v>
      </c>
      <c r="B950" t="s">
        <v>3933</v>
      </c>
      <c r="C950" t="s">
        <v>151</v>
      </c>
      <c r="D950" t="s">
        <v>81</v>
      </c>
      <c r="E950" t="s">
        <v>163</v>
      </c>
      <c r="F950" t="s">
        <v>7914</v>
      </c>
      <c r="G950" t="s">
        <v>6294</v>
      </c>
      <c r="H950" t="s">
        <v>3932</v>
      </c>
      <c r="L950" t="s">
        <v>7915</v>
      </c>
      <c r="N950" t="s">
        <v>7915</v>
      </c>
      <c r="O950" t="s">
        <v>7</v>
      </c>
      <c r="P950" t="s">
        <v>3934</v>
      </c>
      <c r="Q950" t="s">
        <v>3935</v>
      </c>
      <c r="R950" s="27" t="s">
        <v>7903</v>
      </c>
      <c r="S950" t="s">
        <v>6280</v>
      </c>
      <c r="T950" t="s">
        <v>119</v>
      </c>
    </row>
    <row r="951" spans="1:20" ht="15" customHeight="1" x14ac:dyDescent="0.4">
      <c r="A951" t="s">
        <v>3937</v>
      </c>
      <c r="B951" t="s">
        <v>3937</v>
      </c>
      <c r="C951" t="s">
        <v>151</v>
      </c>
      <c r="D951" t="s">
        <v>81</v>
      </c>
      <c r="E951" t="s">
        <v>163</v>
      </c>
      <c r="F951" t="s">
        <v>7916</v>
      </c>
      <c r="G951" t="s">
        <v>6294</v>
      </c>
      <c r="H951" t="s">
        <v>3936</v>
      </c>
      <c r="L951" t="s">
        <v>7917</v>
      </c>
      <c r="N951" t="s">
        <v>7917</v>
      </c>
      <c r="O951" t="s">
        <v>7</v>
      </c>
      <c r="P951" t="s">
        <v>3938</v>
      </c>
      <c r="Q951" t="s">
        <v>3939</v>
      </c>
      <c r="R951" s="27" t="s">
        <v>7903</v>
      </c>
      <c r="S951" t="s">
        <v>6280</v>
      </c>
      <c r="T951" t="s">
        <v>119</v>
      </c>
    </row>
    <row r="952" spans="1:20" ht="15" customHeight="1" x14ac:dyDescent="0.4">
      <c r="A952" t="s">
        <v>3941</v>
      </c>
      <c r="B952" t="s">
        <v>3941</v>
      </c>
      <c r="C952" t="s">
        <v>151</v>
      </c>
      <c r="D952" t="s">
        <v>81</v>
      </c>
      <c r="E952" t="s">
        <v>163</v>
      </c>
      <c r="F952" t="s">
        <v>7918</v>
      </c>
      <c r="G952" t="s">
        <v>6294</v>
      </c>
      <c r="H952" t="s">
        <v>3940</v>
      </c>
      <c r="L952" t="s">
        <v>7919</v>
      </c>
      <c r="N952" t="s">
        <v>7919</v>
      </c>
      <c r="O952" t="s">
        <v>7</v>
      </c>
      <c r="P952" t="s">
        <v>3942</v>
      </c>
      <c r="Q952" t="s">
        <v>3943</v>
      </c>
      <c r="R952" s="27" t="s">
        <v>7920</v>
      </c>
      <c r="S952" t="s">
        <v>6280</v>
      </c>
      <c r="T952" t="s">
        <v>119</v>
      </c>
    </row>
    <row r="953" spans="1:20" ht="15" customHeight="1" x14ac:dyDescent="0.4">
      <c r="A953" t="s">
        <v>3945</v>
      </c>
      <c r="B953" t="s">
        <v>3945</v>
      </c>
      <c r="C953" t="s">
        <v>151</v>
      </c>
      <c r="D953" t="s">
        <v>81</v>
      </c>
      <c r="E953" t="s">
        <v>163</v>
      </c>
      <c r="F953" t="s">
        <v>7921</v>
      </c>
      <c r="G953" t="s">
        <v>6294</v>
      </c>
      <c r="H953" t="s">
        <v>3944</v>
      </c>
      <c r="L953" t="s">
        <v>7922</v>
      </c>
      <c r="N953" t="s">
        <v>7922</v>
      </c>
      <c r="O953" t="s">
        <v>7</v>
      </c>
      <c r="P953" t="s">
        <v>3946</v>
      </c>
      <c r="Q953" t="s">
        <v>3947</v>
      </c>
      <c r="R953" s="27" t="s">
        <v>7920</v>
      </c>
      <c r="S953" t="s">
        <v>6280</v>
      </c>
      <c r="T953" t="s">
        <v>119</v>
      </c>
    </row>
    <row r="954" spans="1:20" ht="15" customHeight="1" x14ac:dyDescent="0.4">
      <c r="A954" t="s">
        <v>3949</v>
      </c>
      <c r="B954" t="s">
        <v>3949</v>
      </c>
      <c r="C954" t="s">
        <v>151</v>
      </c>
      <c r="D954" t="s">
        <v>81</v>
      </c>
      <c r="E954" t="s">
        <v>163</v>
      </c>
      <c r="F954" t="s">
        <v>7923</v>
      </c>
      <c r="G954" t="s">
        <v>6294</v>
      </c>
      <c r="H954" t="s">
        <v>3948</v>
      </c>
      <c r="L954" t="s">
        <v>7924</v>
      </c>
      <c r="N954" t="s">
        <v>7924</v>
      </c>
      <c r="O954" t="s">
        <v>7</v>
      </c>
      <c r="P954" t="s">
        <v>3950</v>
      </c>
      <c r="Q954" t="s">
        <v>3951</v>
      </c>
      <c r="R954" s="27" t="s">
        <v>7920</v>
      </c>
      <c r="S954" t="s">
        <v>6280</v>
      </c>
      <c r="T954" t="s">
        <v>119</v>
      </c>
    </row>
    <row r="955" spans="1:20" ht="15" customHeight="1" x14ac:dyDescent="0.4">
      <c r="A955" t="s">
        <v>3953</v>
      </c>
      <c r="B955" t="s">
        <v>3953</v>
      </c>
      <c r="C955" t="s">
        <v>151</v>
      </c>
      <c r="D955" t="s">
        <v>81</v>
      </c>
      <c r="E955" t="s">
        <v>163</v>
      </c>
      <c r="F955" t="s">
        <v>7925</v>
      </c>
      <c r="G955" t="s">
        <v>6294</v>
      </c>
      <c r="H955" t="s">
        <v>3952</v>
      </c>
      <c r="L955" t="s">
        <v>7926</v>
      </c>
      <c r="N955" t="s">
        <v>7926</v>
      </c>
      <c r="O955" t="s">
        <v>7</v>
      </c>
      <c r="P955" t="s">
        <v>3954</v>
      </c>
      <c r="Q955" t="s">
        <v>3955</v>
      </c>
      <c r="R955" s="27" t="s">
        <v>7920</v>
      </c>
      <c r="S955" t="s">
        <v>6280</v>
      </c>
      <c r="T955" t="s">
        <v>119</v>
      </c>
    </row>
    <row r="956" spans="1:20" ht="15" customHeight="1" x14ac:dyDescent="0.4">
      <c r="A956" t="s">
        <v>3957</v>
      </c>
      <c r="B956" t="s">
        <v>3957</v>
      </c>
      <c r="C956" t="s">
        <v>151</v>
      </c>
      <c r="D956" t="s">
        <v>81</v>
      </c>
      <c r="E956" t="s">
        <v>163</v>
      </c>
      <c r="F956" t="s">
        <v>7927</v>
      </c>
      <c r="G956" t="s">
        <v>6294</v>
      </c>
      <c r="H956" t="s">
        <v>3956</v>
      </c>
      <c r="L956" t="s">
        <v>7928</v>
      </c>
      <c r="N956" t="s">
        <v>7928</v>
      </c>
      <c r="O956" t="s">
        <v>7</v>
      </c>
      <c r="P956" t="s">
        <v>3958</v>
      </c>
      <c r="Q956" t="s">
        <v>3959</v>
      </c>
      <c r="R956" s="27" t="s">
        <v>7920</v>
      </c>
      <c r="S956" t="s">
        <v>6280</v>
      </c>
      <c r="T956" t="s">
        <v>119</v>
      </c>
    </row>
    <row r="957" spans="1:20" ht="15" customHeight="1" x14ac:dyDescent="0.4">
      <c r="A957" t="s">
        <v>3961</v>
      </c>
      <c r="B957" t="s">
        <v>3961</v>
      </c>
      <c r="C957" t="s">
        <v>151</v>
      </c>
      <c r="D957" t="s">
        <v>81</v>
      </c>
      <c r="E957" t="s">
        <v>163</v>
      </c>
      <c r="F957" t="s">
        <v>7929</v>
      </c>
      <c r="G957" t="s">
        <v>6294</v>
      </c>
      <c r="H957" t="s">
        <v>3960</v>
      </c>
      <c r="L957" t="s">
        <v>7930</v>
      </c>
      <c r="N957" t="s">
        <v>7930</v>
      </c>
      <c r="O957" t="s">
        <v>7</v>
      </c>
      <c r="P957" t="s">
        <v>3962</v>
      </c>
      <c r="Q957" t="s">
        <v>3963</v>
      </c>
      <c r="R957" s="27" t="s">
        <v>7920</v>
      </c>
      <c r="S957" t="s">
        <v>6280</v>
      </c>
      <c r="T957" t="s">
        <v>119</v>
      </c>
    </row>
    <row r="958" spans="1:20" ht="15" customHeight="1" x14ac:dyDescent="0.4">
      <c r="A958" t="s">
        <v>3965</v>
      </c>
      <c r="B958" t="s">
        <v>3965</v>
      </c>
      <c r="C958" t="s">
        <v>151</v>
      </c>
      <c r="D958" t="s">
        <v>81</v>
      </c>
      <c r="E958" t="s">
        <v>163</v>
      </c>
      <c r="F958" t="s">
        <v>7931</v>
      </c>
      <c r="G958" t="s">
        <v>6294</v>
      </c>
      <c r="H958" t="s">
        <v>3964</v>
      </c>
      <c r="L958" t="s">
        <v>7932</v>
      </c>
      <c r="N958" t="s">
        <v>7932</v>
      </c>
      <c r="O958" t="s">
        <v>7</v>
      </c>
      <c r="P958" t="s">
        <v>3966</v>
      </c>
      <c r="Q958" t="s">
        <v>3967</v>
      </c>
      <c r="R958" s="27" t="s">
        <v>7920</v>
      </c>
      <c r="S958" t="s">
        <v>6280</v>
      </c>
      <c r="T958" t="s">
        <v>119</v>
      </c>
    </row>
    <row r="959" spans="1:20" ht="15" customHeight="1" x14ac:dyDescent="0.4">
      <c r="A959" t="s">
        <v>3969</v>
      </c>
      <c r="B959" t="s">
        <v>3969</v>
      </c>
      <c r="C959" t="s">
        <v>151</v>
      </c>
      <c r="D959" t="s">
        <v>81</v>
      </c>
      <c r="E959" t="s">
        <v>163</v>
      </c>
      <c r="F959" t="s">
        <v>7933</v>
      </c>
      <c r="G959" t="s">
        <v>6294</v>
      </c>
      <c r="H959" t="s">
        <v>3968</v>
      </c>
      <c r="L959" t="s">
        <v>7934</v>
      </c>
      <c r="N959" t="s">
        <v>7934</v>
      </c>
      <c r="O959" t="s">
        <v>7</v>
      </c>
      <c r="P959" t="s">
        <v>3970</v>
      </c>
      <c r="Q959" t="s">
        <v>3971</v>
      </c>
      <c r="R959" s="27" t="s">
        <v>7920</v>
      </c>
      <c r="S959" t="s">
        <v>6280</v>
      </c>
      <c r="T959" t="s">
        <v>119</v>
      </c>
    </row>
    <row r="960" spans="1:20" ht="15" customHeight="1" x14ac:dyDescent="0.4">
      <c r="A960" t="s">
        <v>3973</v>
      </c>
      <c r="B960" t="s">
        <v>3973</v>
      </c>
      <c r="C960" t="s">
        <v>151</v>
      </c>
      <c r="D960" t="s">
        <v>81</v>
      </c>
      <c r="E960" t="s">
        <v>163</v>
      </c>
      <c r="F960" t="s">
        <v>7935</v>
      </c>
      <c r="G960" t="s">
        <v>6294</v>
      </c>
      <c r="H960" t="s">
        <v>3972</v>
      </c>
      <c r="L960" t="s">
        <v>7936</v>
      </c>
      <c r="N960" t="s">
        <v>7936</v>
      </c>
      <c r="O960" t="s">
        <v>7</v>
      </c>
      <c r="P960" t="s">
        <v>3974</v>
      </c>
      <c r="Q960" t="s">
        <v>3975</v>
      </c>
      <c r="R960" s="27" t="s">
        <v>7920</v>
      </c>
      <c r="S960" t="s">
        <v>6280</v>
      </c>
      <c r="T960" t="s">
        <v>119</v>
      </c>
    </row>
    <row r="961" spans="1:20" ht="15" customHeight="1" x14ac:dyDescent="0.4">
      <c r="A961" t="s">
        <v>3977</v>
      </c>
      <c r="B961" t="s">
        <v>3977</v>
      </c>
      <c r="C961" t="s">
        <v>151</v>
      </c>
      <c r="D961" t="s">
        <v>81</v>
      </c>
      <c r="E961" t="s">
        <v>163</v>
      </c>
      <c r="F961" t="s">
        <v>7937</v>
      </c>
      <c r="G961" t="s">
        <v>6294</v>
      </c>
      <c r="H961" t="s">
        <v>3976</v>
      </c>
      <c r="L961" t="s">
        <v>7938</v>
      </c>
      <c r="N961" t="s">
        <v>7938</v>
      </c>
      <c r="O961" t="s">
        <v>7</v>
      </c>
      <c r="P961" t="s">
        <v>3978</v>
      </c>
      <c r="Q961" t="s">
        <v>3979</v>
      </c>
      <c r="R961" s="27" t="s">
        <v>7939</v>
      </c>
      <c r="S961" t="s">
        <v>6280</v>
      </c>
      <c r="T961" t="s">
        <v>119</v>
      </c>
    </row>
    <row r="962" spans="1:20" ht="15" customHeight="1" x14ac:dyDescent="0.4">
      <c r="A962" t="s">
        <v>3981</v>
      </c>
      <c r="B962" t="s">
        <v>3981</v>
      </c>
      <c r="C962" t="s">
        <v>151</v>
      </c>
      <c r="D962" t="s">
        <v>81</v>
      </c>
      <c r="E962" t="s">
        <v>163</v>
      </c>
      <c r="F962" t="s">
        <v>7940</v>
      </c>
      <c r="G962" t="s">
        <v>6294</v>
      </c>
      <c r="H962" t="s">
        <v>3980</v>
      </c>
      <c r="L962" t="s">
        <v>7941</v>
      </c>
      <c r="N962" t="s">
        <v>7941</v>
      </c>
      <c r="O962" t="s">
        <v>7</v>
      </c>
      <c r="P962" t="s">
        <v>3982</v>
      </c>
      <c r="Q962" t="s">
        <v>3983</v>
      </c>
      <c r="R962" s="27" t="s">
        <v>7939</v>
      </c>
      <c r="S962" t="s">
        <v>6280</v>
      </c>
      <c r="T962" t="s">
        <v>119</v>
      </c>
    </row>
    <row r="963" spans="1:20" ht="15" customHeight="1" x14ac:dyDescent="0.4">
      <c r="A963" t="s">
        <v>3985</v>
      </c>
      <c r="B963" t="s">
        <v>3985</v>
      </c>
      <c r="C963" t="s">
        <v>151</v>
      </c>
      <c r="D963" t="s">
        <v>81</v>
      </c>
      <c r="E963" t="s">
        <v>163</v>
      </c>
      <c r="F963" t="s">
        <v>7942</v>
      </c>
      <c r="G963" t="s">
        <v>6294</v>
      </c>
      <c r="H963" t="s">
        <v>3984</v>
      </c>
      <c r="L963" t="s">
        <v>7943</v>
      </c>
      <c r="N963" t="s">
        <v>7943</v>
      </c>
      <c r="O963" t="s">
        <v>7</v>
      </c>
      <c r="P963" t="s">
        <v>3986</v>
      </c>
      <c r="Q963" t="s">
        <v>3987</v>
      </c>
      <c r="R963" s="27" t="s">
        <v>7939</v>
      </c>
      <c r="S963" t="s">
        <v>6280</v>
      </c>
      <c r="T963" t="s">
        <v>119</v>
      </c>
    </row>
    <row r="964" spans="1:20" ht="15" customHeight="1" x14ac:dyDescent="0.4">
      <c r="A964" t="s">
        <v>3989</v>
      </c>
      <c r="B964" t="s">
        <v>3989</v>
      </c>
      <c r="C964" t="s">
        <v>151</v>
      </c>
      <c r="D964" t="s">
        <v>81</v>
      </c>
      <c r="E964" t="s">
        <v>163</v>
      </c>
      <c r="F964" t="s">
        <v>7944</v>
      </c>
      <c r="G964" t="s">
        <v>6294</v>
      </c>
      <c r="H964" t="s">
        <v>3988</v>
      </c>
      <c r="L964" t="s">
        <v>7945</v>
      </c>
      <c r="N964" t="s">
        <v>7945</v>
      </c>
      <c r="O964" t="s">
        <v>7</v>
      </c>
      <c r="P964" t="s">
        <v>3990</v>
      </c>
      <c r="Q964" t="s">
        <v>3991</v>
      </c>
      <c r="R964" s="27" t="s">
        <v>7946</v>
      </c>
      <c r="S964" t="s">
        <v>6280</v>
      </c>
      <c r="T964" t="s">
        <v>119</v>
      </c>
    </row>
    <row r="965" spans="1:20" ht="15" customHeight="1" x14ac:dyDescent="0.4">
      <c r="A965" t="s">
        <v>3993</v>
      </c>
      <c r="B965" t="s">
        <v>3993</v>
      </c>
      <c r="C965" t="s">
        <v>151</v>
      </c>
      <c r="D965" t="s">
        <v>81</v>
      </c>
      <c r="E965" t="s">
        <v>163</v>
      </c>
      <c r="F965" t="s">
        <v>7947</v>
      </c>
      <c r="G965" t="s">
        <v>6294</v>
      </c>
      <c r="H965" t="s">
        <v>3992</v>
      </c>
      <c r="L965" t="s">
        <v>7948</v>
      </c>
      <c r="N965" t="s">
        <v>7948</v>
      </c>
      <c r="O965" t="s">
        <v>7</v>
      </c>
      <c r="P965" t="s">
        <v>3994</v>
      </c>
      <c r="Q965" t="s">
        <v>3995</v>
      </c>
      <c r="R965" s="27" t="s">
        <v>7946</v>
      </c>
      <c r="S965" t="s">
        <v>6280</v>
      </c>
      <c r="T965" t="s">
        <v>119</v>
      </c>
    </row>
    <row r="966" spans="1:20" ht="15" customHeight="1" x14ac:dyDescent="0.4">
      <c r="A966" t="s">
        <v>3997</v>
      </c>
      <c r="B966" t="s">
        <v>3997</v>
      </c>
      <c r="C966" t="s">
        <v>151</v>
      </c>
      <c r="D966" t="s">
        <v>81</v>
      </c>
      <c r="E966" t="s">
        <v>163</v>
      </c>
      <c r="F966" t="s">
        <v>7949</v>
      </c>
      <c r="G966" t="s">
        <v>6294</v>
      </c>
      <c r="H966" t="s">
        <v>3996</v>
      </c>
      <c r="L966" t="s">
        <v>7950</v>
      </c>
      <c r="N966" t="s">
        <v>7950</v>
      </c>
      <c r="O966" t="s">
        <v>7</v>
      </c>
      <c r="P966" t="s">
        <v>3998</v>
      </c>
      <c r="Q966" t="s">
        <v>3999</v>
      </c>
      <c r="R966" s="27" t="s">
        <v>7946</v>
      </c>
      <c r="S966" t="s">
        <v>6280</v>
      </c>
      <c r="T966" t="s">
        <v>119</v>
      </c>
    </row>
    <row r="967" spans="1:20" ht="15" customHeight="1" x14ac:dyDescent="0.4">
      <c r="A967" t="s">
        <v>4001</v>
      </c>
      <c r="B967" t="s">
        <v>4001</v>
      </c>
      <c r="C967" t="s">
        <v>151</v>
      </c>
      <c r="D967" t="s">
        <v>81</v>
      </c>
      <c r="E967" t="s">
        <v>163</v>
      </c>
      <c r="F967" t="s">
        <v>7951</v>
      </c>
      <c r="G967" t="s">
        <v>6294</v>
      </c>
      <c r="H967" t="s">
        <v>4000</v>
      </c>
      <c r="L967" t="s">
        <v>7952</v>
      </c>
      <c r="N967" t="s">
        <v>7952</v>
      </c>
      <c r="O967" t="s">
        <v>7</v>
      </c>
      <c r="P967" t="s">
        <v>4002</v>
      </c>
      <c r="Q967" t="s">
        <v>4003</v>
      </c>
      <c r="R967" s="27" t="s">
        <v>7953</v>
      </c>
      <c r="S967" t="s">
        <v>6280</v>
      </c>
      <c r="T967" t="s">
        <v>119</v>
      </c>
    </row>
    <row r="968" spans="1:20" ht="15" customHeight="1" x14ac:dyDescent="0.4">
      <c r="A968" t="s">
        <v>4005</v>
      </c>
      <c r="B968" t="s">
        <v>4005</v>
      </c>
      <c r="C968" t="s">
        <v>151</v>
      </c>
      <c r="D968" t="s">
        <v>81</v>
      </c>
      <c r="E968" t="s">
        <v>163</v>
      </c>
      <c r="F968" t="s">
        <v>7954</v>
      </c>
      <c r="G968" t="s">
        <v>6294</v>
      </c>
      <c r="H968" t="s">
        <v>4004</v>
      </c>
      <c r="L968" t="s">
        <v>7955</v>
      </c>
      <c r="N968" t="s">
        <v>7955</v>
      </c>
      <c r="O968" t="s">
        <v>7</v>
      </c>
      <c r="P968" t="s">
        <v>4006</v>
      </c>
      <c r="Q968" t="s">
        <v>4007</v>
      </c>
      <c r="R968" s="27" t="s">
        <v>7953</v>
      </c>
      <c r="S968" t="s">
        <v>6280</v>
      </c>
      <c r="T968" t="s">
        <v>119</v>
      </c>
    </row>
    <row r="969" spans="1:20" ht="15" customHeight="1" x14ac:dyDescent="0.4">
      <c r="A969" t="s">
        <v>4009</v>
      </c>
      <c r="B969" t="s">
        <v>4009</v>
      </c>
      <c r="C969" t="s">
        <v>151</v>
      </c>
      <c r="D969" t="s">
        <v>81</v>
      </c>
      <c r="E969" t="s">
        <v>163</v>
      </c>
      <c r="F969" t="s">
        <v>7956</v>
      </c>
      <c r="G969" t="s">
        <v>6294</v>
      </c>
      <c r="H969" t="s">
        <v>4008</v>
      </c>
      <c r="L969" t="s">
        <v>7957</v>
      </c>
      <c r="N969" t="s">
        <v>7957</v>
      </c>
      <c r="O969" t="s">
        <v>7</v>
      </c>
      <c r="P969" t="s">
        <v>4010</v>
      </c>
      <c r="Q969" t="s">
        <v>4011</v>
      </c>
      <c r="R969" s="27" t="s">
        <v>7953</v>
      </c>
      <c r="S969" t="s">
        <v>6280</v>
      </c>
      <c r="T969" t="s">
        <v>119</v>
      </c>
    </row>
    <row r="970" spans="1:20" ht="15" customHeight="1" x14ac:dyDescent="0.4">
      <c r="A970" t="s">
        <v>4013</v>
      </c>
      <c r="B970" t="s">
        <v>4013</v>
      </c>
      <c r="C970" t="s">
        <v>151</v>
      </c>
      <c r="D970" t="s">
        <v>81</v>
      </c>
      <c r="E970" t="s">
        <v>163</v>
      </c>
      <c r="F970" t="s">
        <v>7958</v>
      </c>
      <c r="G970" t="s">
        <v>6294</v>
      </c>
      <c r="H970" t="s">
        <v>4012</v>
      </c>
      <c r="L970" t="s">
        <v>7959</v>
      </c>
      <c r="N970" t="s">
        <v>7959</v>
      </c>
      <c r="O970" t="s">
        <v>7</v>
      </c>
      <c r="P970" t="s">
        <v>4014</v>
      </c>
      <c r="Q970" t="s">
        <v>4015</v>
      </c>
      <c r="R970" s="27" t="s">
        <v>7960</v>
      </c>
      <c r="S970" t="s">
        <v>6280</v>
      </c>
      <c r="T970" t="s">
        <v>119</v>
      </c>
    </row>
    <row r="971" spans="1:20" ht="15" customHeight="1" x14ac:dyDescent="0.4">
      <c r="A971" t="s">
        <v>4017</v>
      </c>
      <c r="B971" t="s">
        <v>4017</v>
      </c>
      <c r="C971" t="s">
        <v>151</v>
      </c>
      <c r="D971" t="s">
        <v>81</v>
      </c>
      <c r="E971" t="s">
        <v>163</v>
      </c>
      <c r="F971" t="s">
        <v>7961</v>
      </c>
      <c r="G971" t="s">
        <v>6294</v>
      </c>
      <c r="H971" t="s">
        <v>4016</v>
      </c>
      <c r="L971" t="s">
        <v>7962</v>
      </c>
      <c r="N971" t="s">
        <v>7962</v>
      </c>
      <c r="O971" t="s">
        <v>7</v>
      </c>
      <c r="P971" t="s">
        <v>4018</v>
      </c>
      <c r="Q971" t="s">
        <v>4019</v>
      </c>
      <c r="R971" s="27" t="s">
        <v>7960</v>
      </c>
      <c r="S971" t="s">
        <v>6280</v>
      </c>
      <c r="T971" t="s">
        <v>119</v>
      </c>
    </row>
    <row r="972" spans="1:20" ht="15" customHeight="1" x14ac:dyDescent="0.4">
      <c r="A972" t="s">
        <v>4021</v>
      </c>
      <c r="B972" t="s">
        <v>4021</v>
      </c>
      <c r="C972" t="s">
        <v>151</v>
      </c>
      <c r="D972" t="s">
        <v>81</v>
      </c>
      <c r="E972" t="s">
        <v>163</v>
      </c>
      <c r="F972" t="s">
        <v>7963</v>
      </c>
      <c r="G972" t="s">
        <v>6294</v>
      </c>
      <c r="H972" t="s">
        <v>4020</v>
      </c>
      <c r="L972" t="s">
        <v>7964</v>
      </c>
      <c r="N972" t="s">
        <v>7964</v>
      </c>
      <c r="O972" t="s">
        <v>7</v>
      </c>
      <c r="P972" t="s">
        <v>4022</v>
      </c>
      <c r="Q972" t="s">
        <v>4023</v>
      </c>
      <c r="R972" s="27" t="s">
        <v>7960</v>
      </c>
      <c r="S972" t="s">
        <v>6280</v>
      </c>
      <c r="T972" t="s">
        <v>119</v>
      </c>
    </row>
    <row r="973" spans="1:20" ht="15" customHeight="1" x14ac:dyDescent="0.4">
      <c r="A973" t="s">
        <v>4025</v>
      </c>
      <c r="B973" t="s">
        <v>4025</v>
      </c>
      <c r="C973" t="s">
        <v>151</v>
      </c>
      <c r="D973" t="s">
        <v>81</v>
      </c>
      <c r="E973" t="s">
        <v>163</v>
      </c>
      <c r="F973" t="s">
        <v>7965</v>
      </c>
      <c r="G973" t="s">
        <v>6294</v>
      </c>
      <c r="H973" t="s">
        <v>4024</v>
      </c>
      <c r="L973" t="s">
        <v>7966</v>
      </c>
      <c r="N973" t="s">
        <v>7966</v>
      </c>
      <c r="O973" t="s">
        <v>7</v>
      </c>
      <c r="P973" t="s">
        <v>4026</v>
      </c>
      <c r="Q973" t="s">
        <v>4027</v>
      </c>
      <c r="R973" s="27" t="s">
        <v>7967</v>
      </c>
      <c r="S973" t="s">
        <v>6280</v>
      </c>
      <c r="T973" t="s">
        <v>119</v>
      </c>
    </row>
    <row r="974" spans="1:20" ht="15" customHeight="1" x14ac:dyDescent="0.4">
      <c r="A974" t="s">
        <v>4029</v>
      </c>
      <c r="B974" t="s">
        <v>4029</v>
      </c>
      <c r="C974" t="s">
        <v>151</v>
      </c>
      <c r="D974" t="s">
        <v>81</v>
      </c>
      <c r="E974" t="s">
        <v>163</v>
      </c>
      <c r="F974" t="s">
        <v>7968</v>
      </c>
      <c r="G974" t="s">
        <v>6294</v>
      </c>
      <c r="H974" t="s">
        <v>4028</v>
      </c>
      <c r="L974" t="s">
        <v>7969</v>
      </c>
      <c r="N974" t="s">
        <v>7969</v>
      </c>
      <c r="O974" t="s">
        <v>7</v>
      </c>
      <c r="P974" t="s">
        <v>4030</v>
      </c>
      <c r="Q974" t="s">
        <v>4031</v>
      </c>
      <c r="R974" s="27" t="s">
        <v>7967</v>
      </c>
      <c r="S974" t="s">
        <v>6280</v>
      </c>
      <c r="T974" t="s">
        <v>119</v>
      </c>
    </row>
    <row r="975" spans="1:20" ht="15" customHeight="1" x14ac:dyDescent="0.4">
      <c r="A975" t="s">
        <v>4033</v>
      </c>
      <c r="B975" t="s">
        <v>4033</v>
      </c>
      <c r="C975" t="s">
        <v>151</v>
      </c>
      <c r="D975" t="s">
        <v>81</v>
      </c>
      <c r="E975" t="s">
        <v>163</v>
      </c>
      <c r="F975" t="s">
        <v>7970</v>
      </c>
      <c r="G975" t="s">
        <v>6294</v>
      </c>
      <c r="H975" t="s">
        <v>4032</v>
      </c>
      <c r="L975" t="s">
        <v>7971</v>
      </c>
      <c r="N975" t="s">
        <v>7971</v>
      </c>
      <c r="O975" t="s">
        <v>7</v>
      </c>
      <c r="P975" t="s">
        <v>4034</v>
      </c>
      <c r="Q975" t="s">
        <v>4035</v>
      </c>
      <c r="R975" s="27" t="s">
        <v>7967</v>
      </c>
      <c r="S975" t="s">
        <v>6280</v>
      </c>
      <c r="T975" t="s">
        <v>119</v>
      </c>
    </row>
    <row r="976" spans="1:20" ht="15" customHeight="1" x14ac:dyDescent="0.4">
      <c r="A976" t="s">
        <v>4037</v>
      </c>
      <c r="B976" t="s">
        <v>4037</v>
      </c>
      <c r="C976" t="s">
        <v>151</v>
      </c>
      <c r="D976" t="s">
        <v>81</v>
      </c>
      <c r="E976" t="s">
        <v>163</v>
      </c>
      <c r="F976" t="s">
        <v>7972</v>
      </c>
      <c r="G976" t="s">
        <v>6294</v>
      </c>
      <c r="H976" t="s">
        <v>4036</v>
      </c>
      <c r="L976" t="s">
        <v>7973</v>
      </c>
      <c r="N976" t="s">
        <v>7973</v>
      </c>
      <c r="O976" t="s">
        <v>7</v>
      </c>
      <c r="P976" t="s">
        <v>4038</v>
      </c>
      <c r="Q976" t="s">
        <v>4039</v>
      </c>
      <c r="R976" s="27" t="s">
        <v>7967</v>
      </c>
      <c r="S976" t="s">
        <v>6280</v>
      </c>
      <c r="T976" t="s">
        <v>119</v>
      </c>
    </row>
    <row r="977" spans="1:20" ht="15" customHeight="1" x14ac:dyDescent="0.4">
      <c r="A977" t="s">
        <v>4041</v>
      </c>
      <c r="B977" t="s">
        <v>4041</v>
      </c>
      <c r="C977" t="s">
        <v>151</v>
      </c>
      <c r="D977" t="s">
        <v>81</v>
      </c>
      <c r="E977" t="s">
        <v>163</v>
      </c>
      <c r="F977" t="s">
        <v>7974</v>
      </c>
      <c r="G977" t="s">
        <v>6294</v>
      </c>
      <c r="H977" t="s">
        <v>4040</v>
      </c>
      <c r="L977" t="s">
        <v>7975</v>
      </c>
      <c r="N977" t="s">
        <v>7975</v>
      </c>
      <c r="O977" t="s">
        <v>7</v>
      </c>
      <c r="P977" t="s">
        <v>4042</v>
      </c>
      <c r="Q977" t="s">
        <v>4043</v>
      </c>
      <c r="R977" s="27" t="s">
        <v>7967</v>
      </c>
      <c r="S977" t="s">
        <v>6280</v>
      </c>
      <c r="T977" t="s">
        <v>119</v>
      </c>
    </row>
    <row r="978" spans="1:20" ht="15" customHeight="1" x14ac:dyDescent="0.4">
      <c r="A978" t="s">
        <v>4045</v>
      </c>
      <c r="B978" t="s">
        <v>4045</v>
      </c>
      <c r="C978" t="s">
        <v>151</v>
      </c>
      <c r="D978" t="s">
        <v>81</v>
      </c>
      <c r="E978" t="s">
        <v>163</v>
      </c>
      <c r="F978" t="s">
        <v>7976</v>
      </c>
      <c r="G978" t="s">
        <v>6294</v>
      </c>
      <c r="H978" t="s">
        <v>4044</v>
      </c>
      <c r="L978" t="s">
        <v>7977</v>
      </c>
      <c r="N978" t="s">
        <v>7977</v>
      </c>
      <c r="O978" t="s">
        <v>7</v>
      </c>
      <c r="P978" t="s">
        <v>4046</v>
      </c>
      <c r="Q978" t="s">
        <v>4047</v>
      </c>
      <c r="R978" s="27" t="s">
        <v>7967</v>
      </c>
      <c r="S978" t="s">
        <v>6280</v>
      </c>
      <c r="T978" t="s">
        <v>119</v>
      </c>
    </row>
    <row r="979" spans="1:20" ht="15" customHeight="1" x14ac:dyDescent="0.4">
      <c r="A979" t="s">
        <v>4049</v>
      </c>
      <c r="B979" t="s">
        <v>4049</v>
      </c>
      <c r="C979" t="s">
        <v>151</v>
      </c>
      <c r="D979" t="s">
        <v>81</v>
      </c>
      <c r="E979" t="s">
        <v>163</v>
      </c>
      <c r="F979" t="s">
        <v>7978</v>
      </c>
      <c r="G979" t="s">
        <v>6294</v>
      </c>
      <c r="H979" t="s">
        <v>4048</v>
      </c>
      <c r="L979" t="s">
        <v>7979</v>
      </c>
      <c r="N979" t="s">
        <v>7979</v>
      </c>
      <c r="O979" t="s">
        <v>7</v>
      </c>
      <c r="P979" t="s">
        <v>4050</v>
      </c>
      <c r="Q979" t="s">
        <v>4051</v>
      </c>
      <c r="R979" s="27" t="s">
        <v>7967</v>
      </c>
      <c r="S979" t="s">
        <v>6280</v>
      </c>
      <c r="T979" t="s">
        <v>119</v>
      </c>
    </row>
    <row r="980" spans="1:20" ht="15" customHeight="1" x14ac:dyDescent="0.4">
      <c r="A980" t="s">
        <v>4053</v>
      </c>
      <c r="B980" t="s">
        <v>4053</v>
      </c>
      <c r="C980" t="s">
        <v>151</v>
      </c>
      <c r="D980" t="s">
        <v>81</v>
      </c>
      <c r="E980" t="s">
        <v>163</v>
      </c>
      <c r="F980" t="s">
        <v>7980</v>
      </c>
      <c r="G980" t="s">
        <v>6294</v>
      </c>
      <c r="H980" t="s">
        <v>4052</v>
      </c>
      <c r="L980" t="s">
        <v>7981</v>
      </c>
      <c r="N980" t="s">
        <v>7981</v>
      </c>
      <c r="O980" t="s">
        <v>7</v>
      </c>
      <c r="P980" t="s">
        <v>4054</v>
      </c>
      <c r="Q980" t="s">
        <v>4055</v>
      </c>
      <c r="R980" s="27" t="s">
        <v>7982</v>
      </c>
      <c r="S980" t="s">
        <v>6280</v>
      </c>
      <c r="T980" t="s">
        <v>119</v>
      </c>
    </row>
    <row r="981" spans="1:20" ht="15" customHeight="1" x14ac:dyDescent="0.4">
      <c r="A981" t="s">
        <v>4057</v>
      </c>
      <c r="B981" t="s">
        <v>4057</v>
      </c>
      <c r="C981" t="s">
        <v>151</v>
      </c>
      <c r="D981" t="s">
        <v>81</v>
      </c>
      <c r="E981" t="s">
        <v>163</v>
      </c>
      <c r="F981" t="s">
        <v>7983</v>
      </c>
      <c r="G981" t="s">
        <v>6294</v>
      </c>
      <c r="H981" t="s">
        <v>4056</v>
      </c>
      <c r="L981" t="s">
        <v>7984</v>
      </c>
      <c r="N981" t="s">
        <v>7984</v>
      </c>
      <c r="O981" t="s">
        <v>7</v>
      </c>
      <c r="P981" t="s">
        <v>4058</v>
      </c>
      <c r="Q981" t="s">
        <v>4059</v>
      </c>
      <c r="R981" s="27" t="s">
        <v>7982</v>
      </c>
      <c r="S981" t="s">
        <v>6280</v>
      </c>
      <c r="T981" t="s">
        <v>119</v>
      </c>
    </row>
    <row r="982" spans="1:20" ht="15" customHeight="1" x14ac:dyDescent="0.4">
      <c r="A982" t="s">
        <v>4061</v>
      </c>
      <c r="B982" t="s">
        <v>4061</v>
      </c>
      <c r="C982" t="s">
        <v>151</v>
      </c>
      <c r="D982" t="s">
        <v>81</v>
      </c>
      <c r="E982" t="s">
        <v>163</v>
      </c>
      <c r="F982" t="s">
        <v>7985</v>
      </c>
      <c r="G982" t="s">
        <v>6294</v>
      </c>
      <c r="H982" t="s">
        <v>4060</v>
      </c>
      <c r="L982" t="s">
        <v>7986</v>
      </c>
      <c r="N982" t="s">
        <v>7986</v>
      </c>
      <c r="O982" t="s">
        <v>7</v>
      </c>
      <c r="P982" t="s">
        <v>4062</v>
      </c>
      <c r="Q982" t="s">
        <v>4063</v>
      </c>
      <c r="R982" s="27" t="s">
        <v>7982</v>
      </c>
      <c r="S982" t="s">
        <v>6280</v>
      </c>
      <c r="T982" t="s">
        <v>119</v>
      </c>
    </row>
    <row r="983" spans="1:20" ht="15" customHeight="1" x14ac:dyDescent="0.4">
      <c r="A983" t="s">
        <v>4065</v>
      </c>
      <c r="B983" t="s">
        <v>4065</v>
      </c>
      <c r="C983" t="s">
        <v>151</v>
      </c>
      <c r="D983" t="s">
        <v>81</v>
      </c>
      <c r="E983" t="s">
        <v>163</v>
      </c>
      <c r="F983" t="s">
        <v>7987</v>
      </c>
      <c r="G983" t="s">
        <v>6294</v>
      </c>
      <c r="H983" t="s">
        <v>4064</v>
      </c>
      <c r="L983" t="s">
        <v>7988</v>
      </c>
      <c r="N983" t="s">
        <v>7988</v>
      </c>
      <c r="O983" t="s">
        <v>7</v>
      </c>
      <c r="P983" t="s">
        <v>4066</v>
      </c>
      <c r="Q983" t="s">
        <v>4067</v>
      </c>
      <c r="R983" s="27" t="s">
        <v>7989</v>
      </c>
      <c r="S983" t="s">
        <v>6280</v>
      </c>
      <c r="T983" t="s">
        <v>119</v>
      </c>
    </row>
    <row r="984" spans="1:20" ht="15" customHeight="1" x14ac:dyDescent="0.4">
      <c r="A984" t="s">
        <v>4069</v>
      </c>
      <c r="B984" t="s">
        <v>4069</v>
      </c>
      <c r="C984" t="s">
        <v>151</v>
      </c>
      <c r="D984" t="s">
        <v>81</v>
      </c>
      <c r="E984" t="s">
        <v>163</v>
      </c>
      <c r="F984" t="s">
        <v>7990</v>
      </c>
      <c r="G984" t="s">
        <v>6294</v>
      </c>
      <c r="H984" t="s">
        <v>4068</v>
      </c>
      <c r="L984" t="s">
        <v>7991</v>
      </c>
      <c r="N984" t="s">
        <v>7991</v>
      </c>
      <c r="O984" t="s">
        <v>7</v>
      </c>
      <c r="P984" t="s">
        <v>4070</v>
      </c>
      <c r="Q984" t="s">
        <v>4071</v>
      </c>
      <c r="R984" s="27" t="s">
        <v>7992</v>
      </c>
      <c r="S984" t="s">
        <v>6280</v>
      </c>
      <c r="T984" t="s">
        <v>119</v>
      </c>
    </row>
    <row r="985" spans="1:20" ht="15" customHeight="1" x14ac:dyDescent="0.4">
      <c r="A985" t="s">
        <v>4073</v>
      </c>
      <c r="B985" t="s">
        <v>4073</v>
      </c>
      <c r="C985" t="s">
        <v>151</v>
      </c>
      <c r="D985" t="s">
        <v>81</v>
      </c>
      <c r="E985" t="s">
        <v>163</v>
      </c>
      <c r="F985" t="s">
        <v>7993</v>
      </c>
      <c r="G985" t="s">
        <v>6294</v>
      </c>
      <c r="H985" t="s">
        <v>4072</v>
      </c>
      <c r="L985" t="s">
        <v>7994</v>
      </c>
      <c r="N985" t="s">
        <v>7994</v>
      </c>
      <c r="O985" t="s">
        <v>7</v>
      </c>
      <c r="P985" t="s">
        <v>4074</v>
      </c>
      <c r="Q985" t="s">
        <v>4075</v>
      </c>
      <c r="R985" s="27" t="s">
        <v>7992</v>
      </c>
      <c r="S985" t="s">
        <v>6280</v>
      </c>
      <c r="T985" t="s">
        <v>119</v>
      </c>
    </row>
    <row r="986" spans="1:20" ht="15" customHeight="1" x14ac:dyDescent="0.4">
      <c r="A986" t="s">
        <v>4077</v>
      </c>
      <c r="B986" t="s">
        <v>4077</v>
      </c>
      <c r="C986" t="s">
        <v>151</v>
      </c>
      <c r="D986" t="s">
        <v>81</v>
      </c>
      <c r="E986" t="s">
        <v>163</v>
      </c>
      <c r="F986" t="s">
        <v>7995</v>
      </c>
      <c r="G986" t="s">
        <v>6294</v>
      </c>
      <c r="H986" t="s">
        <v>4076</v>
      </c>
      <c r="L986" t="s">
        <v>7996</v>
      </c>
      <c r="N986" t="s">
        <v>7996</v>
      </c>
      <c r="O986" t="s">
        <v>7</v>
      </c>
      <c r="P986" t="s">
        <v>4078</v>
      </c>
      <c r="Q986" t="s">
        <v>4079</v>
      </c>
      <c r="R986" s="27" t="s">
        <v>7997</v>
      </c>
      <c r="S986" t="s">
        <v>6280</v>
      </c>
      <c r="T986" t="s">
        <v>119</v>
      </c>
    </row>
    <row r="987" spans="1:20" ht="15" customHeight="1" x14ac:dyDescent="0.4">
      <c r="A987" t="s">
        <v>4081</v>
      </c>
      <c r="B987" t="s">
        <v>4081</v>
      </c>
      <c r="C987" t="s">
        <v>151</v>
      </c>
      <c r="D987" t="s">
        <v>81</v>
      </c>
      <c r="E987" t="s">
        <v>163</v>
      </c>
      <c r="F987" t="s">
        <v>7998</v>
      </c>
      <c r="G987" t="s">
        <v>6294</v>
      </c>
      <c r="H987" t="s">
        <v>4080</v>
      </c>
      <c r="L987" t="s">
        <v>7999</v>
      </c>
      <c r="N987" t="s">
        <v>7999</v>
      </c>
      <c r="O987" t="s">
        <v>7</v>
      </c>
      <c r="P987" t="s">
        <v>4082</v>
      </c>
      <c r="Q987" t="s">
        <v>4083</v>
      </c>
      <c r="R987" s="27" t="s">
        <v>7997</v>
      </c>
      <c r="S987" t="s">
        <v>6280</v>
      </c>
      <c r="T987" t="s">
        <v>119</v>
      </c>
    </row>
    <row r="988" spans="1:20" ht="15" customHeight="1" x14ac:dyDescent="0.4">
      <c r="A988" t="s">
        <v>4085</v>
      </c>
      <c r="B988" t="s">
        <v>4085</v>
      </c>
      <c r="C988" t="s">
        <v>151</v>
      </c>
      <c r="D988" t="s">
        <v>81</v>
      </c>
      <c r="E988" t="s">
        <v>163</v>
      </c>
      <c r="F988" t="s">
        <v>8000</v>
      </c>
      <c r="G988" t="s">
        <v>6294</v>
      </c>
      <c r="H988" t="s">
        <v>4084</v>
      </c>
      <c r="L988" t="s">
        <v>8001</v>
      </c>
      <c r="N988" t="s">
        <v>8001</v>
      </c>
      <c r="O988" t="s">
        <v>7</v>
      </c>
      <c r="P988" t="s">
        <v>4086</v>
      </c>
      <c r="Q988" t="s">
        <v>4087</v>
      </c>
      <c r="R988" s="27" t="s">
        <v>8002</v>
      </c>
      <c r="S988" t="s">
        <v>6280</v>
      </c>
      <c r="T988" t="s">
        <v>119</v>
      </c>
    </row>
    <row r="989" spans="1:20" ht="15" customHeight="1" x14ac:dyDescent="0.4">
      <c r="A989" t="s">
        <v>4089</v>
      </c>
      <c r="B989" t="s">
        <v>4089</v>
      </c>
      <c r="C989" t="s">
        <v>151</v>
      </c>
      <c r="D989" t="s">
        <v>81</v>
      </c>
      <c r="E989" t="s">
        <v>163</v>
      </c>
      <c r="F989" t="s">
        <v>8003</v>
      </c>
      <c r="G989" t="s">
        <v>6294</v>
      </c>
      <c r="H989" t="s">
        <v>4088</v>
      </c>
      <c r="L989" t="s">
        <v>8004</v>
      </c>
      <c r="N989" t="s">
        <v>8004</v>
      </c>
      <c r="O989" t="s">
        <v>7</v>
      </c>
      <c r="P989" t="s">
        <v>4090</v>
      </c>
      <c r="Q989" t="s">
        <v>4091</v>
      </c>
      <c r="R989" s="27" t="s">
        <v>8002</v>
      </c>
      <c r="S989" t="s">
        <v>6280</v>
      </c>
      <c r="T989" t="s">
        <v>119</v>
      </c>
    </row>
    <row r="990" spans="1:20" ht="15" customHeight="1" x14ac:dyDescent="0.4">
      <c r="A990" t="s">
        <v>4093</v>
      </c>
      <c r="B990" t="s">
        <v>4093</v>
      </c>
      <c r="C990" t="s">
        <v>151</v>
      </c>
      <c r="D990" t="s">
        <v>81</v>
      </c>
      <c r="E990" t="s">
        <v>163</v>
      </c>
      <c r="F990" t="s">
        <v>8005</v>
      </c>
      <c r="G990" t="s">
        <v>6294</v>
      </c>
      <c r="H990" t="s">
        <v>4092</v>
      </c>
      <c r="L990" t="s">
        <v>8006</v>
      </c>
      <c r="N990" t="s">
        <v>8006</v>
      </c>
      <c r="O990" t="s">
        <v>7</v>
      </c>
      <c r="P990" t="s">
        <v>4094</v>
      </c>
      <c r="Q990" t="s">
        <v>4095</v>
      </c>
      <c r="R990" s="27" t="s">
        <v>8007</v>
      </c>
      <c r="S990" t="s">
        <v>6280</v>
      </c>
      <c r="T990" t="s">
        <v>119</v>
      </c>
    </row>
    <row r="991" spans="1:20" ht="15" customHeight="1" x14ac:dyDescent="0.4">
      <c r="A991" t="s">
        <v>4097</v>
      </c>
      <c r="B991" t="s">
        <v>4097</v>
      </c>
      <c r="C991" t="s">
        <v>151</v>
      </c>
      <c r="D991" t="s">
        <v>81</v>
      </c>
      <c r="E991" t="s">
        <v>163</v>
      </c>
      <c r="F991" t="s">
        <v>8008</v>
      </c>
      <c r="G991" t="s">
        <v>6294</v>
      </c>
      <c r="H991" t="s">
        <v>4096</v>
      </c>
      <c r="L991" t="s">
        <v>8009</v>
      </c>
      <c r="N991" t="s">
        <v>8009</v>
      </c>
      <c r="O991" t="s">
        <v>7</v>
      </c>
      <c r="P991" t="s">
        <v>4098</v>
      </c>
      <c r="Q991" t="s">
        <v>4099</v>
      </c>
      <c r="R991" s="27" t="s">
        <v>8007</v>
      </c>
      <c r="S991" t="s">
        <v>6280</v>
      </c>
      <c r="T991" t="s">
        <v>119</v>
      </c>
    </row>
    <row r="992" spans="1:20" ht="15" customHeight="1" x14ac:dyDescent="0.4">
      <c r="A992" t="s">
        <v>4101</v>
      </c>
      <c r="B992" t="s">
        <v>4101</v>
      </c>
      <c r="C992" t="s">
        <v>151</v>
      </c>
      <c r="D992" t="s">
        <v>81</v>
      </c>
      <c r="E992" t="s">
        <v>163</v>
      </c>
      <c r="F992" t="s">
        <v>8010</v>
      </c>
      <c r="G992" t="s">
        <v>6294</v>
      </c>
      <c r="H992" t="s">
        <v>4100</v>
      </c>
      <c r="L992" t="s">
        <v>8011</v>
      </c>
      <c r="N992" t="s">
        <v>8011</v>
      </c>
      <c r="O992" t="s">
        <v>7</v>
      </c>
      <c r="P992" t="s">
        <v>4102</v>
      </c>
      <c r="Q992" t="s">
        <v>4103</v>
      </c>
      <c r="R992" s="27" t="s">
        <v>8007</v>
      </c>
      <c r="S992" t="s">
        <v>6280</v>
      </c>
      <c r="T992" t="s">
        <v>119</v>
      </c>
    </row>
    <row r="993" spans="1:20" ht="15" customHeight="1" x14ac:dyDescent="0.4">
      <c r="A993" t="s">
        <v>4105</v>
      </c>
      <c r="B993" t="s">
        <v>4105</v>
      </c>
      <c r="C993" t="s">
        <v>151</v>
      </c>
      <c r="D993" t="s">
        <v>81</v>
      </c>
      <c r="E993" t="s">
        <v>163</v>
      </c>
      <c r="F993" t="s">
        <v>8012</v>
      </c>
      <c r="G993" t="s">
        <v>6294</v>
      </c>
      <c r="H993" t="s">
        <v>4104</v>
      </c>
      <c r="L993" t="s">
        <v>8013</v>
      </c>
      <c r="N993" t="s">
        <v>8013</v>
      </c>
      <c r="O993" t="s">
        <v>7</v>
      </c>
      <c r="P993" t="s">
        <v>4106</v>
      </c>
      <c r="Q993" t="s">
        <v>4107</v>
      </c>
      <c r="R993" s="27" t="s">
        <v>8014</v>
      </c>
      <c r="S993" t="s">
        <v>6280</v>
      </c>
      <c r="T993" t="s">
        <v>119</v>
      </c>
    </row>
    <row r="994" spans="1:20" ht="15" customHeight="1" x14ac:dyDescent="0.4">
      <c r="A994" t="s">
        <v>4109</v>
      </c>
      <c r="B994" t="s">
        <v>4109</v>
      </c>
      <c r="C994" t="s">
        <v>151</v>
      </c>
      <c r="D994" t="s">
        <v>81</v>
      </c>
      <c r="E994" t="s">
        <v>163</v>
      </c>
      <c r="F994" t="s">
        <v>8015</v>
      </c>
      <c r="G994" t="s">
        <v>6294</v>
      </c>
      <c r="H994" t="s">
        <v>4108</v>
      </c>
      <c r="L994" t="s">
        <v>8016</v>
      </c>
      <c r="N994" t="s">
        <v>8016</v>
      </c>
      <c r="O994" t="s">
        <v>7</v>
      </c>
      <c r="P994" t="s">
        <v>4110</v>
      </c>
      <c r="Q994" t="s">
        <v>4111</v>
      </c>
      <c r="R994" s="27" t="s">
        <v>8014</v>
      </c>
      <c r="S994" t="s">
        <v>6280</v>
      </c>
      <c r="T994" t="s">
        <v>119</v>
      </c>
    </row>
    <row r="995" spans="1:20" ht="15" customHeight="1" x14ac:dyDescent="0.4">
      <c r="A995" t="s">
        <v>4113</v>
      </c>
      <c r="B995" t="s">
        <v>4113</v>
      </c>
      <c r="C995" t="s">
        <v>151</v>
      </c>
      <c r="D995" t="s">
        <v>81</v>
      </c>
      <c r="E995" t="s">
        <v>163</v>
      </c>
      <c r="F995" t="s">
        <v>8017</v>
      </c>
      <c r="G995" t="s">
        <v>6294</v>
      </c>
      <c r="H995" t="s">
        <v>4112</v>
      </c>
      <c r="L995" t="s">
        <v>8018</v>
      </c>
      <c r="N995" t="s">
        <v>8018</v>
      </c>
      <c r="O995" t="s">
        <v>7</v>
      </c>
      <c r="P995" t="s">
        <v>4114</v>
      </c>
      <c r="Q995" t="s">
        <v>4115</v>
      </c>
      <c r="R995" s="27" t="s">
        <v>8014</v>
      </c>
      <c r="S995" t="s">
        <v>6280</v>
      </c>
      <c r="T995" t="s">
        <v>119</v>
      </c>
    </row>
    <row r="996" spans="1:20" ht="15" customHeight="1" x14ac:dyDescent="0.4">
      <c r="A996" t="s">
        <v>4117</v>
      </c>
      <c r="B996" t="s">
        <v>4117</v>
      </c>
      <c r="C996" t="s">
        <v>151</v>
      </c>
      <c r="D996" t="s">
        <v>81</v>
      </c>
      <c r="E996" t="s">
        <v>163</v>
      </c>
      <c r="F996" t="s">
        <v>8019</v>
      </c>
      <c r="G996" t="s">
        <v>6294</v>
      </c>
      <c r="H996" t="s">
        <v>4116</v>
      </c>
      <c r="L996" t="s">
        <v>8019</v>
      </c>
      <c r="N996" t="s">
        <v>8019</v>
      </c>
      <c r="O996" t="s">
        <v>7</v>
      </c>
      <c r="P996" t="s">
        <v>4118</v>
      </c>
      <c r="Q996" t="s">
        <v>4119</v>
      </c>
      <c r="R996" t="s">
        <v>8020</v>
      </c>
      <c r="S996" t="s">
        <v>6280</v>
      </c>
      <c r="T996" t="s">
        <v>119</v>
      </c>
    </row>
    <row r="997" spans="1:20" ht="15" customHeight="1" x14ac:dyDescent="0.4">
      <c r="A997" t="s">
        <v>4121</v>
      </c>
      <c r="B997" t="s">
        <v>4121</v>
      </c>
      <c r="C997" t="s">
        <v>151</v>
      </c>
      <c r="D997" t="s">
        <v>81</v>
      </c>
      <c r="E997" t="s">
        <v>4125</v>
      </c>
      <c r="F997" t="s">
        <v>6876</v>
      </c>
      <c r="G997" t="s">
        <v>8021</v>
      </c>
      <c r="H997" t="s">
        <v>8022</v>
      </c>
      <c r="L997" t="s">
        <v>6876</v>
      </c>
      <c r="N997" t="s">
        <v>6876</v>
      </c>
      <c r="O997" t="s">
        <v>8</v>
      </c>
      <c r="P997" t="s">
        <v>1470</v>
      </c>
      <c r="Q997" t="s">
        <v>4122</v>
      </c>
      <c r="R997" s="27" t="s">
        <v>6723</v>
      </c>
      <c r="S997" t="s">
        <v>6280</v>
      </c>
      <c r="T997" t="s">
        <v>119</v>
      </c>
    </row>
    <row r="998" spans="1:20" ht="15" customHeight="1" x14ac:dyDescent="0.4">
      <c r="A998" t="s">
        <v>4128</v>
      </c>
      <c r="B998" t="s">
        <v>4128</v>
      </c>
      <c r="C998" t="s">
        <v>151</v>
      </c>
      <c r="D998" t="s">
        <v>81</v>
      </c>
      <c r="E998" t="s">
        <v>4125</v>
      </c>
      <c r="F998" t="s">
        <v>6874</v>
      </c>
      <c r="G998" t="s">
        <v>8021</v>
      </c>
      <c r="H998" t="s">
        <v>8023</v>
      </c>
      <c r="L998" t="s">
        <v>6874</v>
      </c>
      <c r="N998" t="s">
        <v>6874</v>
      </c>
      <c r="O998" t="s">
        <v>8</v>
      </c>
      <c r="P998" t="s">
        <v>1466</v>
      </c>
      <c r="Q998" t="s">
        <v>4129</v>
      </c>
      <c r="R998" s="27" t="s">
        <v>6723</v>
      </c>
      <c r="S998" t="s">
        <v>6280</v>
      </c>
      <c r="T998" t="s">
        <v>119</v>
      </c>
    </row>
    <row r="999" spans="1:20" ht="15" customHeight="1" x14ac:dyDescent="0.4">
      <c r="A999" t="s">
        <v>4131</v>
      </c>
      <c r="B999" t="s">
        <v>4131</v>
      </c>
      <c r="C999" t="s">
        <v>151</v>
      </c>
      <c r="D999" t="s">
        <v>81</v>
      </c>
      <c r="E999" t="s">
        <v>4125</v>
      </c>
      <c r="F999" t="s">
        <v>6872</v>
      </c>
      <c r="G999" t="s">
        <v>8021</v>
      </c>
      <c r="H999" t="s">
        <v>8024</v>
      </c>
      <c r="L999" t="s">
        <v>6872</v>
      </c>
      <c r="N999" t="s">
        <v>6872</v>
      </c>
      <c r="O999" t="s">
        <v>8</v>
      </c>
      <c r="P999" t="s">
        <v>1462</v>
      </c>
      <c r="Q999" t="s">
        <v>4132</v>
      </c>
      <c r="R999" s="27" t="s">
        <v>6723</v>
      </c>
      <c r="S999" t="s">
        <v>6280</v>
      </c>
      <c r="T999" t="s">
        <v>119</v>
      </c>
    </row>
    <row r="1000" spans="1:20" ht="15" customHeight="1" x14ac:dyDescent="0.4">
      <c r="A1000" t="s">
        <v>4134</v>
      </c>
      <c r="B1000" t="s">
        <v>4134</v>
      </c>
      <c r="C1000" t="s">
        <v>151</v>
      </c>
      <c r="D1000" t="s">
        <v>81</v>
      </c>
      <c r="E1000" t="s">
        <v>4125</v>
      </c>
      <c r="F1000" t="s">
        <v>6870</v>
      </c>
      <c r="G1000" t="s">
        <v>8021</v>
      </c>
      <c r="H1000" t="s">
        <v>8025</v>
      </c>
      <c r="L1000" t="s">
        <v>6870</v>
      </c>
      <c r="N1000" t="s">
        <v>6870</v>
      </c>
      <c r="O1000" t="s">
        <v>8</v>
      </c>
      <c r="P1000" t="s">
        <v>1458</v>
      </c>
      <c r="Q1000" t="s">
        <v>4135</v>
      </c>
      <c r="R1000" s="27" t="s">
        <v>6723</v>
      </c>
      <c r="S1000" t="s">
        <v>6280</v>
      </c>
      <c r="T1000" t="s">
        <v>119</v>
      </c>
    </row>
    <row r="1001" spans="1:20" ht="15" customHeight="1" x14ac:dyDescent="0.4">
      <c r="A1001" t="s">
        <v>4137</v>
      </c>
      <c r="B1001" t="s">
        <v>4137</v>
      </c>
      <c r="C1001" t="s">
        <v>151</v>
      </c>
      <c r="D1001" t="s">
        <v>81</v>
      </c>
      <c r="E1001" t="s">
        <v>4125</v>
      </c>
      <c r="F1001" t="s">
        <v>6868</v>
      </c>
      <c r="G1001" t="s">
        <v>8021</v>
      </c>
      <c r="H1001" t="s">
        <v>8026</v>
      </c>
      <c r="L1001" t="s">
        <v>6868</v>
      </c>
      <c r="N1001" t="s">
        <v>6868</v>
      </c>
      <c r="O1001" t="s">
        <v>8</v>
      </c>
      <c r="P1001" t="s">
        <v>1454</v>
      </c>
      <c r="Q1001" t="s">
        <v>4138</v>
      </c>
      <c r="R1001" s="27" t="s">
        <v>6718</v>
      </c>
      <c r="S1001" t="s">
        <v>6280</v>
      </c>
      <c r="T1001" t="s">
        <v>119</v>
      </c>
    </row>
    <row r="1002" spans="1:20" ht="15" customHeight="1" x14ac:dyDescent="0.4">
      <c r="A1002" t="s">
        <v>4140</v>
      </c>
      <c r="B1002" t="s">
        <v>4140</v>
      </c>
      <c r="C1002" t="s">
        <v>151</v>
      </c>
      <c r="D1002" t="s">
        <v>81</v>
      </c>
      <c r="E1002" t="s">
        <v>4125</v>
      </c>
      <c r="F1002" t="s">
        <v>6866</v>
      </c>
      <c r="G1002" t="s">
        <v>8021</v>
      </c>
      <c r="H1002" t="s">
        <v>8027</v>
      </c>
      <c r="L1002" t="s">
        <v>6866</v>
      </c>
      <c r="N1002" t="s">
        <v>6866</v>
      </c>
      <c r="O1002" t="s">
        <v>8</v>
      </c>
      <c r="P1002" t="s">
        <v>1450</v>
      </c>
      <c r="Q1002" t="s">
        <v>4141</v>
      </c>
      <c r="R1002" s="27" t="s">
        <v>6723</v>
      </c>
      <c r="S1002" t="s">
        <v>6280</v>
      </c>
      <c r="T1002" t="s">
        <v>119</v>
      </c>
    </row>
    <row r="1003" spans="1:20" ht="15" customHeight="1" x14ac:dyDescent="0.4">
      <c r="A1003" t="s">
        <v>4143</v>
      </c>
      <c r="B1003" t="s">
        <v>4143</v>
      </c>
      <c r="C1003" t="s">
        <v>151</v>
      </c>
      <c r="D1003" t="s">
        <v>81</v>
      </c>
      <c r="E1003" t="s">
        <v>4125</v>
      </c>
      <c r="F1003" t="s">
        <v>6864</v>
      </c>
      <c r="G1003" t="s">
        <v>8021</v>
      </c>
      <c r="H1003" t="s">
        <v>8028</v>
      </c>
      <c r="L1003" t="s">
        <v>6864</v>
      </c>
      <c r="N1003" t="s">
        <v>6864</v>
      </c>
      <c r="O1003" t="s">
        <v>8</v>
      </c>
      <c r="P1003" t="s">
        <v>1446</v>
      </c>
      <c r="Q1003" t="s">
        <v>4144</v>
      </c>
      <c r="R1003" s="27" t="s">
        <v>6718</v>
      </c>
      <c r="S1003" t="s">
        <v>6280</v>
      </c>
      <c r="T1003" t="s">
        <v>119</v>
      </c>
    </row>
    <row r="1004" spans="1:20" ht="15" customHeight="1" x14ac:dyDescent="0.4">
      <c r="A1004" t="s">
        <v>4146</v>
      </c>
      <c r="B1004" t="s">
        <v>4146</v>
      </c>
      <c r="C1004" t="s">
        <v>151</v>
      </c>
      <c r="D1004" t="s">
        <v>81</v>
      </c>
      <c r="E1004" t="s">
        <v>4125</v>
      </c>
      <c r="F1004" t="s">
        <v>6862</v>
      </c>
      <c r="G1004" t="s">
        <v>8021</v>
      </c>
      <c r="H1004" t="s">
        <v>8029</v>
      </c>
      <c r="L1004" t="s">
        <v>6862</v>
      </c>
      <c r="N1004" t="s">
        <v>6862</v>
      </c>
      <c r="O1004" t="s">
        <v>8</v>
      </c>
      <c r="P1004" t="s">
        <v>1442</v>
      </c>
      <c r="Q1004" t="s">
        <v>4147</v>
      </c>
      <c r="R1004" s="27" t="s">
        <v>6723</v>
      </c>
      <c r="S1004" t="s">
        <v>6280</v>
      </c>
      <c r="T1004" t="s">
        <v>119</v>
      </c>
    </row>
    <row r="1005" spans="1:20" ht="15" customHeight="1" x14ac:dyDescent="0.4">
      <c r="A1005" t="s">
        <v>4149</v>
      </c>
      <c r="B1005" t="s">
        <v>4149</v>
      </c>
      <c r="C1005" t="s">
        <v>151</v>
      </c>
      <c r="D1005" t="s">
        <v>81</v>
      </c>
      <c r="E1005" t="s">
        <v>4125</v>
      </c>
      <c r="F1005" t="s">
        <v>6860</v>
      </c>
      <c r="G1005" t="s">
        <v>8021</v>
      </c>
      <c r="H1005" t="s">
        <v>8030</v>
      </c>
      <c r="L1005" t="s">
        <v>6860</v>
      </c>
      <c r="N1005" t="s">
        <v>6860</v>
      </c>
      <c r="O1005" t="s">
        <v>8</v>
      </c>
      <c r="P1005" t="s">
        <v>1438</v>
      </c>
      <c r="Q1005" t="s">
        <v>4150</v>
      </c>
      <c r="R1005" s="27" t="s">
        <v>6723</v>
      </c>
      <c r="S1005" t="s">
        <v>6280</v>
      </c>
      <c r="T1005" t="s">
        <v>119</v>
      </c>
    </row>
    <row r="1006" spans="1:20" ht="15" customHeight="1" x14ac:dyDescent="0.4">
      <c r="A1006" t="s">
        <v>4152</v>
      </c>
      <c r="B1006" t="s">
        <v>4152</v>
      </c>
      <c r="C1006" t="s">
        <v>151</v>
      </c>
      <c r="D1006" t="s">
        <v>81</v>
      </c>
      <c r="E1006" t="s">
        <v>4125</v>
      </c>
      <c r="F1006" t="s">
        <v>6858</v>
      </c>
      <c r="G1006" t="s">
        <v>8021</v>
      </c>
      <c r="H1006" t="s">
        <v>8031</v>
      </c>
      <c r="L1006" t="s">
        <v>6858</v>
      </c>
      <c r="N1006" t="s">
        <v>6858</v>
      </c>
      <c r="O1006" t="s">
        <v>8</v>
      </c>
      <c r="P1006" t="s">
        <v>1434</v>
      </c>
      <c r="Q1006" t="s">
        <v>4153</v>
      </c>
      <c r="R1006" s="27" t="s">
        <v>6723</v>
      </c>
      <c r="S1006" t="s">
        <v>6280</v>
      </c>
      <c r="T1006" t="s">
        <v>119</v>
      </c>
    </row>
    <row r="1007" spans="1:20" ht="15" customHeight="1" x14ac:dyDescent="0.4">
      <c r="A1007" t="s">
        <v>4155</v>
      </c>
      <c r="B1007" t="s">
        <v>4155</v>
      </c>
      <c r="C1007" t="s">
        <v>151</v>
      </c>
      <c r="D1007" t="s">
        <v>81</v>
      </c>
      <c r="E1007" t="s">
        <v>4125</v>
      </c>
      <c r="F1007" t="s">
        <v>6856</v>
      </c>
      <c r="G1007" t="s">
        <v>8021</v>
      </c>
      <c r="H1007" t="s">
        <v>8032</v>
      </c>
      <c r="L1007" t="s">
        <v>6856</v>
      </c>
      <c r="N1007" t="s">
        <v>6856</v>
      </c>
      <c r="O1007" t="s">
        <v>8</v>
      </c>
      <c r="P1007" t="s">
        <v>1430</v>
      </c>
      <c r="Q1007" t="s">
        <v>4156</v>
      </c>
      <c r="R1007" s="27" t="s">
        <v>6718</v>
      </c>
      <c r="S1007" t="s">
        <v>6280</v>
      </c>
      <c r="T1007" t="s">
        <v>119</v>
      </c>
    </row>
    <row r="1008" spans="1:20" ht="15" customHeight="1" x14ac:dyDescent="0.4">
      <c r="A1008" t="s">
        <v>4158</v>
      </c>
      <c r="B1008" t="s">
        <v>4158</v>
      </c>
      <c r="C1008" t="s">
        <v>151</v>
      </c>
      <c r="D1008" t="s">
        <v>81</v>
      </c>
      <c r="E1008" t="s">
        <v>4125</v>
      </c>
      <c r="F1008" t="s">
        <v>6854</v>
      </c>
      <c r="G1008" t="s">
        <v>8021</v>
      </c>
      <c r="H1008" t="s">
        <v>8033</v>
      </c>
      <c r="L1008" t="s">
        <v>6854</v>
      </c>
      <c r="N1008" t="s">
        <v>6854</v>
      </c>
      <c r="O1008" t="s">
        <v>8</v>
      </c>
      <c r="P1008" t="s">
        <v>1426</v>
      </c>
      <c r="Q1008" t="s">
        <v>4159</v>
      </c>
      <c r="R1008" s="27" t="s">
        <v>6723</v>
      </c>
      <c r="S1008" t="s">
        <v>6280</v>
      </c>
      <c r="T1008" t="s">
        <v>119</v>
      </c>
    </row>
    <row r="1009" spans="1:20" ht="15" customHeight="1" x14ac:dyDescent="0.4">
      <c r="A1009" t="s">
        <v>4161</v>
      </c>
      <c r="B1009" t="s">
        <v>4161</v>
      </c>
      <c r="C1009" t="s">
        <v>151</v>
      </c>
      <c r="D1009" t="s">
        <v>81</v>
      </c>
      <c r="E1009" t="s">
        <v>4125</v>
      </c>
      <c r="F1009" t="s">
        <v>6852</v>
      </c>
      <c r="G1009" t="s">
        <v>8021</v>
      </c>
      <c r="H1009" t="s">
        <v>8034</v>
      </c>
      <c r="L1009" t="s">
        <v>6852</v>
      </c>
      <c r="N1009" t="s">
        <v>6852</v>
      </c>
      <c r="O1009" t="s">
        <v>8</v>
      </c>
      <c r="P1009" t="s">
        <v>1422</v>
      </c>
      <c r="Q1009" t="s">
        <v>4162</v>
      </c>
      <c r="R1009" s="27" t="s">
        <v>6718</v>
      </c>
      <c r="S1009" t="s">
        <v>6280</v>
      </c>
      <c r="T1009" t="s">
        <v>119</v>
      </c>
    </row>
    <row r="1010" spans="1:20" ht="15" customHeight="1" x14ac:dyDescent="0.4">
      <c r="A1010" t="s">
        <v>4164</v>
      </c>
      <c r="B1010" t="s">
        <v>4164</v>
      </c>
      <c r="C1010" t="s">
        <v>151</v>
      </c>
      <c r="D1010" t="s">
        <v>81</v>
      </c>
      <c r="E1010" t="s">
        <v>4125</v>
      </c>
      <c r="F1010" t="s">
        <v>6850</v>
      </c>
      <c r="G1010" t="s">
        <v>8021</v>
      </c>
      <c r="H1010" t="s">
        <v>8035</v>
      </c>
      <c r="L1010" t="s">
        <v>6850</v>
      </c>
      <c r="N1010" t="s">
        <v>6850</v>
      </c>
      <c r="O1010" t="s">
        <v>8</v>
      </c>
      <c r="P1010" t="s">
        <v>1418</v>
      </c>
      <c r="Q1010" t="s">
        <v>4165</v>
      </c>
      <c r="R1010" s="27" t="s">
        <v>6723</v>
      </c>
      <c r="S1010" t="s">
        <v>6280</v>
      </c>
      <c r="T1010" t="s">
        <v>119</v>
      </c>
    </row>
    <row r="1011" spans="1:20" ht="15" customHeight="1" x14ac:dyDescent="0.4">
      <c r="A1011" t="s">
        <v>4167</v>
      </c>
      <c r="B1011" t="s">
        <v>4167</v>
      </c>
      <c r="C1011" t="s">
        <v>151</v>
      </c>
      <c r="D1011" t="s">
        <v>81</v>
      </c>
      <c r="E1011" t="s">
        <v>4125</v>
      </c>
      <c r="F1011" t="s">
        <v>6848</v>
      </c>
      <c r="G1011" t="s">
        <v>8021</v>
      </c>
      <c r="H1011" t="s">
        <v>8036</v>
      </c>
      <c r="L1011" t="s">
        <v>6848</v>
      </c>
      <c r="N1011" t="s">
        <v>6848</v>
      </c>
      <c r="O1011" t="s">
        <v>8</v>
      </c>
      <c r="P1011" t="s">
        <v>1414</v>
      </c>
      <c r="Q1011" t="s">
        <v>4168</v>
      </c>
      <c r="R1011" s="27" t="s">
        <v>6718</v>
      </c>
      <c r="S1011" t="s">
        <v>6280</v>
      </c>
      <c r="T1011" t="s">
        <v>119</v>
      </c>
    </row>
    <row r="1012" spans="1:20" ht="15" customHeight="1" x14ac:dyDescent="0.4">
      <c r="A1012" t="s">
        <v>4170</v>
      </c>
      <c r="B1012" t="s">
        <v>4170</v>
      </c>
      <c r="C1012" t="s">
        <v>151</v>
      </c>
      <c r="D1012" t="s">
        <v>81</v>
      </c>
      <c r="E1012" t="s">
        <v>4125</v>
      </c>
      <c r="F1012" t="s">
        <v>6846</v>
      </c>
      <c r="G1012" t="s">
        <v>8021</v>
      </c>
      <c r="H1012" t="s">
        <v>8037</v>
      </c>
      <c r="L1012" t="s">
        <v>6846</v>
      </c>
      <c r="N1012" t="s">
        <v>6846</v>
      </c>
      <c r="O1012" t="s">
        <v>8</v>
      </c>
      <c r="P1012" t="s">
        <v>1410</v>
      </c>
      <c r="Q1012" t="s">
        <v>4171</v>
      </c>
      <c r="R1012" t="s">
        <v>6279</v>
      </c>
      <c r="S1012" t="s">
        <v>6280</v>
      </c>
      <c r="T1012" t="s">
        <v>119</v>
      </c>
    </row>
    <row r="1013" spans="1:20" ht="15" customHeight="1" x14ac:dyDescent="0.4">
      <c r="A1013" t="s">
        <v>4173</v>
      </c>
      <c r="B1013" t="s">
        <v>4173</v>
      </c>
      <c r="C1013" t="s">
        <v>151</v>
      </c>
      <c r="D1013" t="s">
        <v>81</v>
      </c>
      <c r="E1013" t="s">
        <v>4125</v>
      </c>
      <c r="F1013" t="s">
        <v>6844</v>
      </c>
      <c r="G1013" t="s">
        <v>8021</v>
      </c>
      <c r="H1013" t="s">
        <v>8038</v>
      </c>
      <c r="L1013" t="s">
        <v>6844</v>
      </c>
      <c r="N1013" t="s">
        <v>6844</v>
      </c>
      <c r="O1013" t="s">
        <v>8</v>
      </c>
      <c r="P1013" t="s">
        <v>1406</v>
      </c>
      <c r="Q1013" t="s">
        <v>4174</v>
      </c>
      <c r="R1013" s="27" t="s">
        <v>6723</v>
      </c>
      <c r="S1013" t="s">
        <v>6280</v>
      </c>
      <c r="T1013" t="s">
        <v>119</v>
      </c>
    </row>
    <row r="1014" spans="1:20" ht="15" customHeight="1" x14ac:dyDescent="0.4">
      <c r="A1014" t="s">
        <v>4176</v>
      </c>
      <c r="B1014" t="s">
        <v>4176</v>
      </c>
      <c r="C1014" t="s">
        <v>151</v>
      </c>
      <c r="D1014" t="s">
        <v>81</v>
      </c>
      <c r="E1014" t="s">
        <v>4125</v>
      </c>
      <c r="F1014" t="s">
        <v>6842</v>
      </c>
      <c r="G1014" t="s">
        <v>8021</v>
      </c>
      <c r="H1014" t="s">
        <v>8039</v>
      </c>
      <c r="L1014" t="s">
        <v>6842</v>
      </c>
      <c r="N1014" t="s">
        <v>6842</v>
      </c>
      <c r="O1014" t="s">
        <v>8</v>
      </c>
      <c r="P1014" t="s">
        <v>1402</v>
      </c>
      <c r="Q1014" t="s">
        <v>4177</v>
      </c>
      <c r="R1014" s="27" t="s">
        <v>6781</v>
      </c>
      <c r="S1014" t="s">
        <v>6280</v>
      </c>
      <c r="T1014" t="s">
        <v>119</v>
      </c>
    </row>
    <row r="1015" spans="1:20" ht="15" customHeight="1" x14ac:dyDescent="0.4">
      <c r="A1015" t="s">
        <v>4179</v>
      </c>
      <c r="B1015" t="s">
        <v>4179</v>
      </c>
      <c r="C1015" t="s">
        <v>151</v>
      </c>
      <c r="D1015" t="s">
        <v>81</v>
      </c>
      <c r="E1015" t="s">
        <v>4125</v>
      </c>
      <c r="F1015" t="s">
        <v>6840</v>
      </c>
      <c r="G1015" t="s">
        <v>8021</v>
      </c>
      <c r="H1015" t="s">
        <v>8040</v>
      </c>
      <c r="L1015" t="s">
        <v>6840</v>
      </c>
      <c r="N1015" t="s">
        <v>6840</v>
      </c>
      <c r="O1015" t="s">
        <v>8</v>
      </c>
      <c r="P1015" t="s">
        <v>1398</v>
      </c>
      <c r="Q1015" t="s">
        <v>4180</v>
      </c>
      <c r="R1015" s="27" t="s">
        <v>6723</v>
      </c>
      <c r="S1015" t="s">
        <v>6280</v>
      </c>
      <c r="T1015" t="s">
        <v>119</v>
      </c>
    </row>
    <row r="1016" spans="1:20" ht="15" customHeight="1" x14ac:dyDescent="0.4">
      <c r="A1016" t="s">
        <v>4182</v>
      </c>
      <c r="B1016" t="s">
        <v>4182</v>
      </c>
      <c r="C1016" t="s">
        <v>151</v>
      </c>
      <c r="D1016" t="s">
        <v>81</v>
      </c>
      <c r="E1016" t="s">
        <v>4125</v>
      </c>
      <c r="F1016" t="s">
        <v>6838</v>
      </c>
      <c r="G1016" t="s">
        <v>8021</v>
      </c>
      <c r="H1016" t="s">
        <v>8041</v>
      </c>
      <c r="L1016" t="s">
        <v>6838</v>
      </c>
      <c r="N1016" t="s">
        <v>6838</v>
      </c>
      <c r="O1016" t="s">
        <v>8</v>
      </c>
      <c r="P1016" t="s">
        <v>1394</v>
      </c>
      <c r="Q1016" t="s">
        <v>4183</v>
      </c>
      <c r="R1016" s="27" t="s">
        <v>6723</v>
      </c>
      <c r="S1016" t="s">
        <v>6280</v>
      </c>
      <c r="T1016" t="s">
        <v>119</v>
      </c>
    </row>
    <row r="1017" spans="1:20" ht="15" customHeight="1" x14ac:dyDescent="0.4">
      <c r="A1017" t="s">
        <v>4185</v>
      </c>
      <c r="B1017" t="s">
        <v>4185</v>
      </c>
      <c r="C1017" t="s">
        <v>151</v>
      </c>
      <c r="D1017" t="s">
        <v>81</v>
      </c>
      <c r="E1017" t="s">
        <v>4125</v>
      </c>
      <c r="F1017" t="s">
        <v>6836</v>
      </c>
      <c r="G1017" t="s">
        <v>8021</v>
      </c>
      <c r="H1017" t="s">
        <v>8042</v>
      </c>
      <c r="L1017" t="s">
        <v>6836</v>
      </c>
      <c r="N1017" t="s">
        <v>6836</v>
      </c>
      <c r="O1017" t="s">
        <v>8</v>
      </c>
      <c r="P1017" t="s">
        <v>1390</v>
      </c>
      <c r="Q1017" t="s">
        <v>4186</v>
      </c>
      <c r="R1017" s="27" t="s">
        <v>6723</v>
      </c>
      <c r="S1017" t="s">
        <v>6280</v>
      </c>
      <c r="T1017" t="s">
        <v>119</v>
      </c>
    </row>
    <row r="1018" spans="1:20" ht="15" customHeight="1" x14ac:dyDescent="0.4">
      <c r="A1018" t="s">
        <v>4188</v>
      </c>
      <c r="B1018" t="s">
        <v>4188</v>
      </c>
      <c r="C1018" t="s">
        <v>151</v>
      </c>
      <c r="D1018" t="s">
        <v>81</v>
      </c>
      <c r="E1018" t="s">
        <v>4125</v>
      </c>
      <c r="F1018" t="s">
        <v>6834</v>
      </c>
      <c r="G1018" t="s">
        <v>8021</v>
      </c>
      <c r="H1018" t="s">
        <v>8043</v>
      </c>
      <c r="L1018" t="s">
        <v>6834</v>
      </c>
      <c r="N1018" t="s">
        <v>6834</v>
      </c>
      <c r="O1018" t="s">
        <v>8</v>
      </c>
      <c r="P1018" t="s">
        <v>1386</v>
      </c>
      <c r="Q1018" t="s">
        <v>4189</v>
      </c>
      <c r="R1018" s="27" t="s">
        <v>6723</v>
      </c>
      <c r="S1018" t="s">
        <v>6280</v>
      </c>
      <c r="T1018" t="s">
        <v>119</v>
      </c>
    </row>
    <row r="1019" spans="1:20" ht="15" customHeight="1" x14ac:dyDescent="0.4">
      <c r="A1019" t="s">
        <v>4191</v>
      </c>
      <c r="B1019" t="s">
        <v>4191</v>
      </c>
      <c r="C1019" t="s">
        <v>151</v>
      </c>
      <c r="D1019" t="s">
        <v>81</v>
      </c>
      <c r="E1019" t="s">
        <v>4125</v>
      </c>
      <c r="F1019" t="s">
        <v>6832</v>
      </c>
      <c r="G1019" t="s">
        <v>8021</v>
      </c>
      <c r="H1019" t="s">
        <v>8044</v>
      </c>
      <c r="L1019" t="s">
        <v>6832</v>
      </c>
      <c r="N1019" t="s">
        <v>6832</v>
      </c>
      <c r="O1019" t="s">
        <v>8</v>
      </c>
      <c r="P1019" t="s">
        <v>1382</v>
      </c>
      <c r="Q1019" t="s">
        <v>4192</v>
      </c>
      <c r="R1019" s="27" t="s">
        <v>6723</v>
      </c>
      <c r="S1019" t="s">
        <v>6280</v>
      </c>
      <c r="T1019" t="s">
        <v>119</v>
      </c>
    </row>
    <row r="1020" spans="1:20" ht="15" customHeight="1" x14ac:dyDescent="0.4">
      <c r="A1020" t="s">
        <v>4194</v>
      </c>
      <c r="B1020" t="s">
        <v>4194</v>
      </c>
      <c r="C1020" t="s">
        <v>151</v>
      </c>
      <c r="D1020" t="s">
        <v>81</v>
      </c>
      <c r="E1020" t="s">
        <v>4125</v>
      </c>
      <c r="F1020" t="s">
        <v>6830</v>
      </c>
      <c r="G1020" t="s">
        <v>8021</v>
      </c>
      <c r="H1020" t="s">
        <v>8045</v>
      </c>
      <c r="L1020" t="s">
        <v>6830</v>
      </c>
      <c r="N1020" t="s">
        <v>6830</v>
      </c>
      <c r="O1020" t="s">
        <v>8</v>
      </c>
      <c r="P1020" t="s">
        <v>1378</v>
      </c>
      <c r="Q1020" t="s">
        <v>4195</v>
      </c>
      <c r="R1020" s="27" t="s">
        <v>6723</v>
      </c>
      <c r="S1020" t="s">
        <v>6280</v>
      </c>
      <c r="T1020" t="s">
        <v>119</v>
      </c>
    </row>
    <row r="1021" spans="1:20" ht="15" customHeight="1" x14ac:dyDescent="0.4">
      <c r="A1021" t="s">
        <v>4197</v>
      </c>
      <c r="B1021" t="s">
        <v>4197</v>
      </c>
      <c r="C1021" t="s">
        <v>151</v>
      </c>
      <c r="D1021" t="s">
        <v>81</v>
      </c>
      <c r="E1021" t="s">
        <v>4125</v>
      </c>
      <c r="F1021" t="s">
        <v>6828</v>
      </c>
      <c r="G1021" t="s">
        <v>8021</v>
      </c>
      <c r="H1021" t="s">
        <v>8046</v>
      </c>
      <c r="L1021" t="s">
        <v>6828</v>
      </c>
      <c r="N1021" t="s">
        <v>6828</v>
      </c>
      <c r="O1021" t="s">
        <v>8</v>
      </c>
      <c r="P1021" t="s">
        <v>1374</v>
      </c>
      <c r="Q1021" t="s">
        <v>4198</v>
      </c>
      <c r="R1021" s="27" t="s">
        <v>6723</v>
      </c>
      <c r="S1021" t="s">
        <v>6280</v>
      </c>
      <c r="T1021" t="s">
        <v>119</v>
      </c>
    </row>
    <row r="1022" spans="1:20" ht="15" customHeight="1" x14ac:dyDescent="0.4">
      <c r="A1022" t="s">
        <v>4200</v>
      </c>
      <c r="B1022" t="s">
        <v>4200</v>
      </c>
      <c r="C1022" t="s">
        <v>151</v>
      </c>
      <c r="D1022" t="s">
        <v>81</v>
      </c>
      <c r="E1022" t="s">
        <v>4125</v>
      </c>
      <c r="F1022" t="s">
        <v>6826</v>
      </c>
      <c r="G1022" t="s">
        <v>8021</v>
      </c>
      <c r="H1022" t="s">
        <v>8047</v>
      </c>
      <c r="L1022" t="s">
        <v>6826</v>
      </c>
      <c r="N1022" t="s">
        <v>6826</v>
      </c>
      <c r="O1022" t="s">
        <v>8</v>
      </c>
      <c r="P1022" t="s">
        <v>1370</v>
      </c>
      <c r="Q1022" t="s">
        <v>4201</v>
      </c>
      <c r="R1022" s="27" t="s">
        <v>6723</v>
      </c>
      <c r="S1022" t="s">
        <v>6280</v>
      </c>
      <c r="T1022" t="s">
        <v>119</v>
      </c>
    </row>
    <row r="1023" spans="1:20" ht="15" customHeight="1" x14ac:dyDescent="0.4">
      <c r="A1023" t="s">
        <v>4203</v>
      </c>
      <c r="B1023" t="s">
        <v>4203</v>
      </c>
      <c r="C1023" t="s">
        <v>151</v>
      </c>
      <c r="D1023" t="s">
        <v>81</v>
      </c>
      <c r="E1023" t="s">
        <v>4125</v>
      </c>
      <c r="F1023" t="s">
        <v>6824</v>
      </c>
      <c r="G1023" t="s">
        <v>8021</v>
      </c>
      <c r="H1023" t="s">
        <v>8048</v>
      </c>
      <c r="L1023" t="s">
        <v>6824</v>
      </c>
      <c r="N1023" t="s">
        <v>6824</v>
      </c>
      <c r="O1023" t="s">
        <v>8</v>
      </c>
      <c r="P1023" t="s">
        <v>1366</v>
      </c>
      <c r="Q1023" t="s">
        <v>4204</v>
      </c>
      <c r="R1023" s="27" t="s">
        <v>6718</v>
      </c>
      <c r="S1023" t="s">
        <v>6280</v>
      </c>
      <c r="T1023" t="s">
        <v>119</v>
      </c>
    </row>
    <row r="1024" spans="1:20" ht="15" customHeight="1" x14ac:dyDescent="0.4">
      <c r="A1024" t="s">
        <v>4206</v>
      </c>
      <c r="B1024" t="s">
        <v>4206</v>
      </c>
      <c r="C1024" t="s">
        <v>151</v>
      </c>
      <c r="D1024" t="s">
        <v>81</v>
      </c>
      <c r="E1024" t="s">
        <v>4125</v>
      </c>
      <c r="F1024" t="s">
        <v>6822</v>
      </c>
      <c r="G1024" t="s">
        <v>8021</v>
      </c>
      <c r="H1024" t="s">
        <v>8049</v>
      </c>
      <c r="L1024" t="s">
        <v>6822</v>
      </c>
      <c r="N1024" t="s">
        <v>6822</v>
      </c>
      <c r="O1024" t="s">
        <v>8</v>
      </c>
      <c r="P1024" t="s">
        <v>1362</v>
      </c>
      <c r="Q1024" t="s">
        <v>4207</v>
      </c>
      <c r="R1024" s="27" t="s">
        <v>6718</v>
      </c>
      <c r="S1024" t="s">
        <v>6280</v>
      </c>
      <c r="T1024" t="s">
        <v>119</v>
      </c>
    </row>
    <row r="1025" spans="1:20" ht="15" customHeight="1" x14ac:dyDescent="0.4">
      <c r="A1025" t="s">
        <v>4209</v>
      </c>
      <c r="B1025" t="s">
        <v>4209</v>
      </c>
      <c r="C1025" t="s">
        <v>151</v>
      </c>
      <c r="D1025" t="s">
        <v>81</v>
      </c>
      <c r="E1025" t="s">
        <v>4125</v>
      </c>
      <c r="F1025" t="s">
        <v>6820</v>
      </c>
      <c r="G1025" t="s">
        <v>8021</v>
      </c>
      <c r="H1025" t="s">
        <v>8050</v>
      </c>
      <c r="L1025" t="s">
        <v>6820</v>
      </c>
      <c r="N1025" t="s">
        <v>6820</v>
      </c>
      <c r="O1025" t="s">
        <v>8</v>
      </c>
      <c r="P1025" t="s">
        <v>1358</v>
      </c>
      <c r="Q1025" t="s">
        <v>4210</v>
      </c>
      <c r="R1025" s="27" t="s">
        <v>6718</v>
      </c>
      <c r="S1025" t="s">
        <v>6280</v>
      </c>
      <c r="T1025" t="s">
        <v>119</v>
      </c>
    </row>
    <row r="1026" spans="1:20" ht="15" customHeight="1" x14ac:dyDescent="0.4">
      <c r="A1026" t="s">
        <v>4212</v>
      </c>
      <c r="B1026" t="s">
        <v>4212</v>
      </c>
      <c r="C1026" t="s">
        <v>151</v>
      </c>
      <c r="D1026" t="s">
        <v>81</v>
      </c>
      <c r="E1026" t="s">
        <v>4125</v>
      </c>
      <c r="F1026" t="s">
        <v>6818</v>
      </c>
      <c r="G1026" t="s">
        <v>8021</v>
      </c>
      <c r="H1026" t="s">
        <v>8051</v>
      </c>
      <c r="L1026" t="s">
        <v>6818</v>
      </c>
      <c r="N1026" t="s">
        <v>6818</v>
      </c>
      <c r="O1026" t="s">
        <v>8</v>
      </c>
      <c r="P1026" t="s">
        <v>1354</v>
      </c>
      <c r="Q1026" t="s">
        <v>4213</v>
      </c>
      <c r="R1026" s="27" t="s">
        <v>6718</v>
      </c>
      <c r="S1026" t="s">
        <v>6280</v>
      </c>
      <c r="T1026" t="s">
        <v>119</v>
      </c>
    </row>
    <row r="1027" spans="1:20" ht="15" customHeight="1" x14ac:dyDescent="0.4">
      <c r="A1027" t="s">
        <v>4215</v>
      </c>
      <c r="B1027" t="s">
        <v>4215</v>
      </c>
      <c r="C1027" t="s">
        <v>151</v>
      </c>
      <c r="D1027" t="s">
        <v>81</v>
      </c>
      <c r="E1027" t="s">
        <v>4125</v>
      </c>
      <c r="F1027" t="s">
        <v>6816</v>
      </c>
      <c r="G1027" t="s">
        <v>8021</v>
      </c>
      <c r="H1027" t="s">
        <v>8052</v>
      </c>
      <c r="L1027" t="s">
        <v>6816</v>
      </c>
      <c r="N1027" t="s">
        <v>6816</v>
      </c>
      <c r="O1027" t="s">
        <v>8</v>
      </c>
      <c r="P1027" t="s">
        <v>1350</v>
      </c>
      <c r="Q1027" t="s">
        <v>4216</v>
      </c>
      <c r="R1027" s="27" t="s">
        <v>6723</v>
      </c>
      <c r="S1027" t="s">
        <v>6280</v>
      </c>
      <c r="T1027" t="s">
        <v>119</v>
      </c>
    </row>
    <row r="1028" spans="1:20" ht="15" customHeight="1" x14ac:dyDescent="0.4">
      <c r="A1028" t="s">
        <v>4218</v>
      </c>
      <c r="B1028" t="s">
        <v>4218</v>
      </c>
      <c r="C1028" t="s">
        <v>151</v>
      </c>
      <c r="D1028" t="s">
        <v>81</v>
      </c>
      <c r="E1028" t="s">
        <v>4125</v>
      </c>
      <c r="F1028" t="s">
        <v>6814</v>
      </c>
      <c r="G1028" t="s">
        <v>8021</v>
      </c>
      <c r="H1028" t="s">
        <v>8053</v>
      </c>
      <c r="L1028" t="s">
        <v>6814</v>
      </c>
      <c r="N1028" t="s">
        <v>6814</v>
      </c>
      <c r="O1028" t="s">
        <v>8</v>
      </c>
      <c r="P1028" t="s">
        <v>1346</v>
      </c>
      <c r="Q1028" t="s">
        <v>4219</v>
      </c>
      <c r="R1028" s="27" t="s">
        <v>6723</v>
      </c>
      <c r="S1028" t="s">
        <v>6280</v>
      </c>
      <c r="T1028" t="s">
        <v>119</v>
      </c>
    </row>
    <row r="1029" spans="1:20" ht="15" customHeight="1" x14ac:dyDescent="0.4">
      <c r="A1029" t="s">
        <v>4221</v>
      </c>
      <c r="B1029" t="s">
        <v>4221</v>
      </c>
      <c r="C1029" t="s">
        <v>151</v>
      </c>
      <c r="D1029" t="s">
        <v>81</v>
      </c>
      <c r="E1029" t="s">
        <v>4125</v>
      </c>
      <c r="F1029" t="s">
        <v>6812</v>
      </c>
      <c r="G1029" t="s">
        <v>8021</v>
      </c>
      <c r="H1029" t="s">
        <v>8054</v>
      </c>
      <c r="L1029" t="s">
        <v>6812</v>
      </c>
      <c r="N1029" t="s">
        <v>6812</v>
      </c>
      <c r="O1029" t="s">
        <v>8</v>
      </c>
      <c r="P1029" t="s">
        <v>1342</v>
      </c>
      <c r="Q1029" t="s">
        <v>4222</v>
      </c>
      <c r="R1029" s="27" t="s">
        <v>6718</v>
      </c>
      <c r="S1029" t="s">
        <v>6280</v>
      </c>
      <c r="T1029" t="s">
        <v>119</v>
      </c>
    </row>
    <row r="1030" spans="1:20" ht="15" customHeight="1" x14ac:dyDescent="0.4">
      <c r="A1030" t="s">
        <v>4224</v>
      </c>
      <c r="B1030" t="s">
        <v>4224</v>
      </c>
      <c r="C1030" t="s">
        <v>151</v>
      </c>
      <c r="D1030" t="s">
        <v>81</v>
      </c>
      <c r="E1030" t="s">
        <v>4125</v>
      </c>
      <c r="F1030" t="s">
        <v>6810</v>
      </c>
      <c r="G1030" t="s">
        <v>8021</v>
      </c>
      <c r="H1030" t="s">
        <v>8055</v>
      </c>
      <c r="L1030" t="s">
        <v>6810</v>
      </c>
      <c r="N1030" t="s">
        <v>6810</v>
      </c>
      <c r="O1030" t="s">
        <v>8</v>
      </c>
      <c r="P1030" t="s">
        <v>1338</v>
      </c>
      <c r="Q1030" t="s">
        <v>4225</v>
      </c>
      <c r="R1030" s="27" t="s">
        <v>6781</v>
      </c>
      <c r="S1030" t="s">
        <v>6280</v>
      </c>
      <c r="T1030" t="s">
        <v>119</v>
      </c>
    </row>
    <row r="1031" spans="1:20" ht="15" customHeight="1" x14ac:dyDescent="0.4">
      <c r="A1031" t="s">
        <v>4227</v>
      </c>
      <c r="B1031" t="s">
        <v>4227</v>
      </c>
      <c r="C1031" t="s">
        <v>151</v>
      </c>
      <c r="D1031" t="s">
        <v>81</v>
      </c>
      <c r="E1031" t="s">
        <v>4125</v>
      </c>
      <c r="F1031" t="s">
        <v>6808</v>
      </c>
      <c r="G1031" t="s">
        <v>8021</v>
      </c>
      <c r="H1031" t="s">
        <v>8056</v>
      </c>
      <c r="L1031" t="s">
        <v>6808</v>
      </c>
      <c r="N1031" t="s">
        <v>6808</v>
      </c>
      <c r="O1031" t="s">
        <v>8</v>
      </c>
      <c r="P1031" t="s">
        <v>1334</v>
      </c>
      <c r="Q1031" t="s">
        <v>4228</v>
      </c>
      <c r="R1031" s="27" t="s">
        <v>6718</v>
      </c>
      <c r="S1031" t="s">
        <v>6280</v>
      </c>
      <c r="T1031" t="s">
        <v>119</v>
      </c>
    </row>
    <row r="1032" spans="1:20" ht="15" customHeight="1" x14ac:dyDescent="0.4">
      <c r="A1032" t="s">
        <v>4230</v>
      </c>
      <c r="B1032" t="s">
        <v>4230</v>
      </c>
      <c r="C1032" t="s">
        <v>151</v>
      </c>
      <c r="D1032" t="s">
        <v>81</v>
      </c>
      <c r="E1032" t="s">
        <v>4125</v>
      </c>
      <c r="F1032" t="s">
        <v>6806</v>
      </c>
      <c r="G1032" t="s">
        <v>8021</v>
      </c>
      <c r="H1032" t="s">
        <v>8057</v>
      </c>
      <c r="L1032" t="s">
        <v>6806</v>
      </c>
      <c r="N1032" t="s">
        <v>6806</v>
      </c>
      <c r="O1032" t="s">
        <v>8</v>
      </c>
      <c r="P1032" t="s">
        <v>1330</v>
      </c>
      <c r="Q1032" t="s">
        <v>4231</v>
      </c>
      <c r="R1032" s="27" t="s">
        <v>6723</v>
      </c>
      <c r="S1032" t="s">
        <v>6280</v>
      </c>
      <c r="T1032" t="s">
        <v>119</v>
      </c>
    </row>
    <row r="1033" spans="1:20" ht="15" customHeight="1" x14ac:dyDescent="0.4">
      <c r="A1033" t="s">
        <v>4233</v>
      </c>
      <c r="B1033" t="s">
        <v>4233</v>
      </c>
      <c r="C1033" t="s">
        <v>151</v>
      </c>
      <c r="D1033" t="s">
        <v>81</v>
      </c>
      <c r="E1033" t="s">
        <v>4125</v>
      </c>
      <c r="F1033" t="s">
        <v>6804</v>
      </c>
      <c r="G1033" t="s">
        <v>8021</v>
      </c>
      <c r="H1033" t="s">
        <v>8058</v>
      </c>
      <c r="L1033" t="s">
        <v>6804</v>
      </c>
      <c r="N1033" t="s">
        <v>6804</v>
      </c>
      <c r="O1033" t="s">
        <v>8</v>
      </c>
      <c r="P1033" t="s">
        <v>1326</v>
      </c>
      <c r="Q1033" t="s">
        <v>4234</v>
      </c>
      <c r="R1033" s="27" t="s">
        <v>6723</v>
      </c>
      <c r="S1033" t="s">
        <v>6280</v>
      </c>
      <c r="T1033" t="s">
        <v>119</v>
      </c>
    </row>
    <row r="1034" spans="1:20" ht="15" customHeight="1" x14ac:dyDescent="0.4">
      <c r="A1034" t="s">
        <v>4236</v>
      </c>
      <c r="B1034" t="s">
        <v>4236</v>
      </c>
      <c r="C1034" t="s">
        <v>151</v>
      </c>
      <c r="D1034" t="s">
        <v>81</v>
      </c>
      <c r="E1034" t="s">
        <v>4125</v>
      </c>
      <c r="F1034" t="s">
        <v>6802</v>
      </c>
      <c r="G1034" t="s">
        <v>8021</v>
      </c>
      <c r="H1034" t="s">
        <v>8059</v>
      </c>
      <c r="L1034" t="s">
        <v>6802</v>
      </c>
      <c r="N1034" t="s">
        <v>6802</v>
      </c>
      <c r="O1034" t="s">
        <v>8</v>
      </c>
      <c r="P1034" t="s">
        <v>1322</v>
      </c>
      <c r="Q1034" t="s">
        <v>4237</v>
      </c>
      <c r="R1034" s="27" t="s">
        <v>6723</v>
      </c>
      <c r="S1034" t="s">
        <v>6280</v>
      </c>
      <c r="T1034" t="s">
        <v>119</v>
      </c>
    </row>
    <row r="1035" spans="1:20" ht="15" customHeight="1" x14ac:dyDescent="0.4">
      <c r="A1035" t="s">
        <v>4239</v>
      </c>
      <c r="B1035" t="s">
        <v>4239</v>
      </c>
      <c r="C1035" t="s">
        <v>151</v>
      </c>
      <c r="D1035" t="s">
        <v>81</v>
      </c>
      <c r="E1035" t="s">
        <v>4125</v>
      </c>
      <c r="F1035" t="s">
        <v>6800</v>
      </c>
      <c r="G1035" t="s">
        <v>8021</v>
      </c>
      <c r="H1035" t="s">
        <v>8060</v>
      </c>
      <c r="L1035" t="s">
        <v>6800</v>
      </c>
      <c r="N1035" t="s">
        <v>6800</v>
      </c>
      <c r="O1035" t="s">
        <v>8</v>
      </c>
      <c r="P1035" t="s">
        <v>1318</v>
      </c>
      <c r="Q1035" t="s">
        <v>4240</v>
      </c>
      <c r="R1035" s="27" t="s">
        <v>6723</v>
      </c>
      <c r="S1035" t="s">
        <v>6280</v>
      </c>
      <c r="T1035" t="s">
        <v>119</v>
      </c>
    </row>
    <row r="1036" spans="1:20" ht="15" customHeight="1" x14ac:dyDescent="0.4">
      <c r="A1036" t="s">
        <v>4242</v>
      </c>
      <c r="B1036" t="s">
        <v>4242</v>
      </c>
      <c r="C1036" t="s">
        <v>151</v>
      </c>
      <c r="D1036" t="s">
        <v>81</v>
      </c>
      <c r="E1036" t="s">
        <v>4125</v>
      </c>
      <c r="F1036" t="s">
        <v>6798</v>
      </c>
      <c r="G1036" t="s">
        <v>8021</v>
      </c>
      <c r="H1036" t="s">
        <v>8061</v>
      </c>
      <c r="L1036" t="s">
        <v>6798</v>
      </c>
      <c r="N1036" t="s">
        <v>6798</v>
      </c>
      <c r="O1036" t="s">
        <v>8</v>
      </c>
      <c r="P1036" t="s">
        <v>1314</v>
      </c>
      <c r="Q1036" t="s">
        <v>4243</v>
      </c>
      <c r="R1036" s="27" t="s">
        <v>6723</v>
      </c>
      <c r="S1036" t="s">
        <v>6280</v>
      </c>
      <c r="T1036" t="s">
        <v>119</v>
      </c>
    </row>
    <row r="1037" spans="1:20" ht="15" customHeight="1" x14ac:dyDescent="0.4">
      <c r="A1037" t="s">
        <v>4245</v>
      </c>
      <c r="B1037" t="s">
        <v>4245</v>
      </c>
      <c r="C1037" t="s">
        <v>151</v>
      </c>
      <c r="D1037" t="s">
        <v>81</v>
      </c>
      <c r="E1037" t="s">
        <v>4125</v>
      </c>
      <c r="F1037" t="s">
        <v>6796</v>
      </c>
      <c r="G1037" t="s">
        <v>8021</v>
      </c>
      <c r="H1037" t="s">
        <v>8062</v>
      </c>
      <c r="L1037" t="s">
        <v>6796</v>
      </c>
      <c r="N1037" t="s">
        <v>6796</v>
      </c>
      <c r="O1037" t="s">
        <v>8</v>
      </c>
      <c r="P1037" t="s">
        <v>1310</v>
      </c>
      <c r="Q1037" t="s">
        <v>4246</v>
      </c>
      <c r="R1037" s="27" t="s">
        <v>6723</v>
      </c>
      <c r="S1037" t="s">
        <v>6280</v>
      </c>
      <c r="T1037" t="s">
        <v>119</v>
      </c>
    </row>
    <row r="1038" spans="1:20" ht="15" customHeight="1" x14ac:dyDescent="0.4">
      <c r="A1038" t="s">
        <v>4248</v>
      </c>
      <c r="B1038" t="s">
        <v>4248</v>
      </c>
      <c r="C1038" t="s">
        <v>151</v>
      </c>
      <c r="D1038" t="s">
        <v>81</v>
      </c>
      <c r="E1038" t="s">
        <v>4125</v>
      </c>
      <c r="F1038" t="s">
        <v>6794</v>
      </c>
      <c r="G1038" t="s">
        <v>8021</v>
      </c>
      <c r="H1038" t="s">
        <v>8063</v>
      </c>
      <c r="L1038" t="s">
        <v>6794</v>
      </c>
      <c r="N1038" t="s">
        <v>6794</v>
      </c>
      <c r="O1038" t="s">
        <v>8</v>
      </c>
      <c r="P1038" t="s">
        <v>1306</v>
      </c>
      <c r="Q1038" t="s">
        <v>4249</v>
      </c>
      <c r="R1038" s="27" t="s">
        <v>6723</v>
      </c>
      <c r="S1038" t="s">
        <v>6280</v>
      </c>
      <c r="T1038" t="s">
        <v>119</v>
      </c>
    </row>
    <row r="1039" spans="1:20" ht="15" customHeight="1" x14ac:dyDescent="0.4">
      <c r="A1039" t="s">
        <v>4251</v>
      </c>
      <c r="B1039" t="s">
        <v>4251</v>
      </c>
      <c r="C1039" t="s">
        <v>151</v>
      </c>
      <c r="D1039" t="s">
        <v>81</v>
      </c>
      <c r="E1039" t="s">
        <v>4125</v>
      </c>
      <c r="F1039" t="s">
        <v>6792</v>
      </c>
      <c r="G1039" t="s">
        <v>8021</v>
      </c>
      <c r="H1039" t="s">
        <v>8064</v>
      </c>
      <c r="L1039" t="s">
        <v>6792</v>
      </c>
      <c r="N1039" t="s">
        <v>6792</v>
      </c>
      <c r="O1039" t="s">
        <v>8</v>
      </c>
      <c r="P1039" t="s">
        <v>1302</v>
      </c>
      <c r="Q1039" t="s">
        <v>4252</v>
      </c>
      <c r="R1039" s="27" t="s">
        <v>6723</v>
      </c>
      <c r="S1039" t="s">
        <v>6280</v>
      </c>
      <c r="T1039" t="s">
        <v>119</v>
      </c>
    </row>
    <row r="1040" spans="1:20" ht="15" customHeight="1" x14ac:dyDescent="0.4">
      <c r="A1040" t="s">
        <v>4254</v>
      </c>
      <c r="B1040" t="s">
        <v>4254</v>
      </c>
      <c r="C1040" t="s">
        <v>151</v>
      </c>
      <c r="D1040" t="s">
        <v>81</v>
      </c>
      <c r="E1040" t="s">
        <v>4125</v>
      </c>
      <c r="F1040" t="s">
        <v>6790</v>
      </c>
      <c r="G1040" t="s">
        <v>8021</v>
      </c>
      <c r="H1040" t="s">
        <v>8065</v>
      </c>
      <c r="L1040" t="s">
        <v>6790</v>
      </c>
      <c r="N1040" t="s">
        <v>6790</v>
      </c>
      <c r="O1040" t="s">
        <v>8</v>
      </c>
      <c r="P1040" t="s">
        <v>1298</v>
      </c>
      <c r="Q1040" t="s">
        <v>4255</v>
      </c>
      <c r="R1040" s="27" t="s">
        <v>6723</v>
      </c>
      <c r="S1040" t="s">
        <v>6280</v>
      </c>
      <c r="T1040" t="s">
        <v>119</v>
      </c>
    </row>
    <row r="1041" spans="1:20" ht="15" customHeight="1" x14ac:dyDescent="0.4">
      <c r="A1041" t="s">
        <v>4257</v>
      </c>
      <c r="B1041" t="s">
        <v>4257</v>
      </c>
      <c r="C1041" t="s">
        <v>151</v>
      </c>
      <c r="D1041" t="s">
        <v>81</v>
      </c>
      <c r="E1041" t="s">
        <v>4125</v>
      </c>
      <c r="F1041" t="s">
        <v>6788</v>
      </c>
      <c r="G1041" t="s">
        <v>8021</v>
      </c>
      <c r="H1041" t="s">
        <v>8066</v>
      </c>
      <c r="L1041" t="s">
        <v>6788</v>
      </c>
      <c r="N1041" t="s">
        <v>6788</v>
      </c>
      <c r="O1041" t="s">
        <v>8</v>
      </c>
      <c r="P1041" t="s">
        <v>1294</v>
      </c>
      <c r="Q1041" t="s">
        <v>4258</v>
      </c>
      <c r="R1041" s="27" t="s">
        <v>6718</v>
      </c>
      <c r="S1041" t="s">
        <v>6280</v>
      </c>
      <c r="T1041" t="s">
        <v>119</v>
      </c>
    </row>
    <row r="1042" spans="1:20" ht="15" customHeight="1" x14ac:dyDescent="0.4">
      <c r="A1042" t="s">
        <v>4260</v>
      </c>
      <c r="B1042" t="s">
        <v>4260</v>
      </c>
      <c r="C1042" t="s">
        <v>151</v>
      </c>
      <c r="D1042" t="s">
        <v>81</v>
      </c>
      <c r="E1042" t="s">
        <v>4125</v>
      </c>
      <c r="F1042" t="s">
        <v>6786</v>
      </c>
      <c r="G1042" t="s">
        <v>8021</v>
      </c>
      <c r="H1042" t="s">
        <v>8067</v>
      </c>
      <c r="L1042" t="s">
        <v>6786</v>
      </c>
      <c r="N1042" t="s">
        <v>6786</v>
      </c>
      <c r="O1042" t="s">
        <v>8</v>
      </c>
      <c r="P1042" t="s">
        <v>1290</v>
      </c>
      <c r="Q1042" t="s">
        <v>4261</v>
      </c>
      <c r="R1042" s="27" t="s">
        <v>6718</v>
      </c>
      <c r="S1042" t="s">
        <v>6280</v>
      </c>
      <c r="T1042" t="s">
        <v>119</v>
      </c>
    </row>
    <row r="1043" spans="1:20" ht="15" customHeight="1" x14ac:dyDescent="0.4">
      <c r="A1043" t="s">
        <v>4263</v>
      </c>
      <c r="B1043" t="s">
        <v>4263</v>
      </c>
      <c r="C1043" t="s">
        <v>151</v>
      </c>
      <c r="D1043" t="s">
        <v>81</v>
      </c>
      <c r="E1043" t="s">
        <v>4125</v>
      </c>
      <c r="F1043" t="s">
        <v>6784</v>
      </c>
      <c r="G1043" t="s">
        <v>8021</v>
      </c>
      <c r="H1043" t="s">
        <v>8068</v>
      </c>
      <c r="L1043" t="s">
        <v>6784</v>
      </c>
      <c r="N1043" t="s">
        <v>6784</v>
      </c>
      <c r="O1043" t="s">
        <v>8</v>
      </c>
      <c r="P1043" t="s">
        <v>1286</v>
      </c>
      <c r="Q1043" t="s">
        <v>4264</v>
      </c>
      <c r="R1043" s="27" t="s">
        <v>6723</v>
      </c>
      <c r="S1043" t="s">
        <v>6280</v>
      </c>
      <c r="T1043" t="s">
        <v>119</v>
      </c>
    </row>
    <row r="1044" spans="1:20" ht="15" customHeight="1" x14ac:dyDescent="0.4">
      <c r="A1044" t="s">
        <v>4266</v>
      </c>
      <c r="B1044" t="s">
        <v>4266</v>
      </c>
      <c r="C1044" t="s">
        <v>151</v>
      </c>
      <c r="D1044" t="s">
        <v>81</v>
      </c>
      <c r="E1044" t="s">
        <v>4125</v>
      </c>
      <c r="F1044" t="s">
        <v>6782</v>
      </c>
      <c r="G1044" t="s">
        <v>8021</v>
      </c>
      <c r="H1044" t="s">
        <v>8069</v>
      </c>
      <c r="L1044" t="s">
        <v>6782</v>
      </c>
      <c r="N1044" t="s">
        <v>6782</v>
      </c>
      <c r="O1044" t="s">
        <v>8</v>
      </c>
      <c r="P1044" t="s">
        <v>1282</v>
      </c>
      <c r="Q1044" t="s">
        <v>4267</v>
      </c>
      <c r="R1044" s="27" t="s">
        <v>6781</v>
      </c>
      <c r="S1044" t="s">
        <v>6280</v>
      </c>
      <c r="T1044" t="s">
        <v>119</v>
      </c>
    </row>
    <row r="1045" spans="1:20" ht="15" customHeight="1" x14ac:dyDescent="0.4">
      <c r="A1045" t="s">
        <v>4269</v>
      </c>
      <c r="B1045" t="s">
        <v>4269</v>
      </c>
      <c r="C1045" t="s">
        <v>151</v>
      </c>
      <c r="D1045" t="s">
        <v>81</v>
      </c>
      <c r="E1045" t="s">
        <v>4125</v>
      </c>
      <c r="F1045" t="s">
        <v>6779</v>
      </c>
      <c r="G1045" t="s">
        <v>8021</v>
      </c>
      <c r="H1045" t="s">
        <v>8070</v>
      </c>
      <c r="L1045" t="s">
        <v>6779</v>
      </c>
      <c r="N1045" t="s">
        <v>6779</v>
      </c>
      <c r="O1045" t="s">
        <v>8</v>
      </c>
      <c r="P1045" t="s">
        <v>1278</v>
      </c>
      <c r="Q1045" t="s">
        <v>4270</v>
      </c>
      <c r="R1045" s="27" t="s">
        <v>6781</v>
      </c>
      <c r="S1045" t="s">
        <v>6280</v>
      </c>
      <c r="T1045" t="s">
        <v>119</v>
      </c>
    </row>
    <row r="1046" spans="1:20" ht="15" customHeight="1" x14ac:dyDescent="0.4">
      <c r="A1046" t="s">
        <v>4272</v>
      </c>
      <c r="B1046" t="s">
        <v>4272</v>
      </c>
      <c r="C1046" t="s">
        <v>151</v>
      </c>
      <c r="D1046" t="s">
        <v>81</v>
      </c>
      <c r="E1046" t="s">
        <v>4125</v>
      </c>
      <c r="F1046" t="s">
        <v>6777</v>
      </c>
      <c r="G1046" t="s">
        <v>8021</v>
      </c>
      <c r="H1046" t="s">
        <v>8071</v>
      </c>
      <c r="L1046" t="s">
        <v>6777</v>
      </c>
      <c r="N1046" t="s">
        <v>6777</v>
      </c>
      <c r="O1046" t="s">
        <v>8</v>
      </c>
      <c r="P1046" t="s">
        <v>1274</v>
      </c>
      <c r="Q1046" t="s">
        <v>4273</v>
      </c>
      <c r="R1046" s="27" t="s">
        <v>6723</v>
      </c>
      <c r="S1046" t="s">
        <v>6280</v>
      </c>
      <c r="T1046" t="s">
        <v>119</v>
      </c>
    </row>
    <row r="1047" spans="1:20" ht="15" customHeight="1" x14ac:dyDescent="0.4">
      <c r="A1047" t="s">
        <v>4275</v>
      </c>
      <c r="B1047" t="s">
        <v>4275</v>
      </c>
      <c r="C1047" t="s">
        <v>151</v>
      </c>
      <c r="D1047" t="s">
        <v>81</v>
      </c>
      <c r="E1047" t="s">
        <v>4125</v>
      </c>
      <c r="F1047" t="s">
        <v>6775</v>
      </c>
      <c r="G1047" t="s">
        <v>8021</v>
      </c>
      <c r="H1047" t="s">
        <v>8072</v>
      </c>
      <c r="L1047" t="s">
        <v>6775</v>
      </c>
      <c r="N1047" t="s">
        <v>6775</v>
      </c>
      <c r="O1047" t="s">
        <v>8</v>
      </c>
      <c r="P1047" t="s">
        <v>1270</v>
      </c>
      <c r="Q1047" t="s">
        <v>4276</v>
      </c>
      <c r="R1047" s="27" t="s">
        <v>6718</v>
      </c>
      <c r="S1047" t="s">
        <v>6280</v>
      </c>
      <c r="T1047" t="s">
        <v>119</v>
      </c>
    </row>
    <row r="1048" spans="1:20" ht="15" customHeight="1" x14ac:dyDescent="0.4">
      <c r="A1048" t="s">
        <v>4278</v>
      </c>
      <c r="B1048" t="s">
        <v>4278</v>
      </c>
      <c r="C1048" t="s">
        <v>151</v>
      </c>
      <c r="D1048" t="s">
        <v>81</v>
      </c>
      <c r="E1048" t="s">
        <v>4125</v>
      </c>
      <c r="F1048" t="s">
        <v>6773</v>
      </c>
      <c r="G1048" t="s">
        <v>8021</v>
      </c>
      <c r="H1048" t="s">
        <v>8073</v>
      </c>
      <c r="L1048" t="s">
        <v>6773</v>
      </c>
      <c r="N1048" t="s">
        <v>6773</v>
      </c>
      <c r="O1048" t="s">
        <v>8</v>
      </c>
      <c r="P1048" t="s">
        <v>1266</v>
      </c>
      <c r="Q1048" t="s">
        <v>4279</v>
      </c>
      <c r="R1048" s="27" t="s">
        <v>6723</v>
      </c>
      <c r="S1048" t="s">
        <v>6280</v>
      </c>
      <c r="T1048" t="s">
        <v>119</v>
      </c>
    </row>
    <row r="1049" spans="1:20" ht="15" customHeight="1" x14ac:dyDescent="0.4">
      <c r="A1049" t="s">
        <v>4281</v>
      </c>
      <c r="B1049" t="s">
        <v>4281</v>
      </c>
      <c r="C1049" t="s">
        <v>151</v>
      </c>
      <c r="D1049" t="s">
        <v>81</v>
      </c>
      <c r="E1049" t="s">
        <v>4125</v>
      </c>
      <c r="F1049" t="s">
        <v>6770</v>
      </c>
      <c r="G1049" t="s">
        <v>8021</v>
      </c>
      <c r="H1049" t="s">
        <v>8074</v>
      </c>
      <c r="L1049" t="s">
        <v>6770</v>
      </c>
      <c r="N1049" t="s">
        <v>6770</v>
      </c>
      <c r="O1049" t="s">
        <v>8</v>
      </c>
      <c r="P1049" t="s">
        <v>1262</v>
      </c>
      <c r="Q1049" t="s">
        <v>4282</v>
      </c>
      <c r="R1049" s="27" t="s">
        <v>6772</v>
      </c>
      <c r="S1049" t="s">
        <v>6280</v>
      </c>
      <c r="T1049" t="s">
        <v>119</v>
      </c>
    </row>
    <row r="1050" spans="1:20" ht="15" customHeight="1" x14ac:dyDescent="0.4">
      <c r="A1050" t="s">
        <v>4284</v>
      </c>
      <c r="B1050" t="s">
        <v>4284</v>
      </c>
      <c r="C1050" t="s">
        <v>151</v>
      </c>
      <c r="D1050" t="s">
        <v>81</v>
      </c>
      <c r="E1050" t="s">
        <v>4125</v>
      </c>
      <c r="F1050" t="s">
        <v>6768</v>
      </c>
      <c r="G1050" t="s">
        <v>8021</v>
      </c>
      <c r="H1050" t="s">
        <v>8075</v>
      </c>
      <c r="L1050" t="s">
        <v>6768</v>
      </c>
      <c r="N1050" t="s">
        <v>6768</v>
      </c>
      <c r="O1050" t="s">
        <v>8</v>
      </c>
      <c r="P1050" t="s">
        <v>1258</v>
      </c>
      <c r="Q1050" t="s">
        <v>4285</v>
      </c>
      <c r="R1050" s="27" t="s">
        <v>6718</v>
      </c>
      <c r="S1050" t="s">
        <v>6280</v>
      </c>
      <c r="T1050" t="s">
        <v>119</v>
      </c>
    </row>
    <row r="1051" spans="1:20" ht="15" customHeight="1" x14ac:dyDescent="0.4">
      <c r="A1051" t="s">
        <v>4287</v>
      </c>
      <c r="B1051" t="s">
        <v>4287</v>
      </c>
      <c r="C1051" t="s">
        <v>151</v>
      </c>
      <c r="D1051" t="s">
        <v>81</v>
      </c>
      <c r="E1051" t="s">
        <v>4125</v>
      </c>
      <c r="F1051" t="s">
        <v>6766</v>
      </c>
      <c r="G1051" t="s">
        <v>8021</v>
      </c>
      <c r="H1051" t="s">
        <v>8076</v>
      </c>
      <c r="L1051" t="s">
        <v>6766</v>
      </c>
      <c r="N1051" t="s">
        <v>6766</v>
      </c>
      <c r="O1051" t="s">
        <v>8</v>
      </c>
      <c r="P1051" t="s">
        <v>1254</v>
      </c>
      <c r="Q1051" t="s">
        <v>4288</v>
      </c>
      <c r="R1051" s="27" t="s">
        <v>6723</v>
      </c>
      <c r="S1051" t="s">
        <v>6280</v>
      </c>
      <c r="T1051" t="s">
        <v>119</v>
      </c>
    </row>
    <row r="1052" spans="1:20" ht="15" customHeight="1" x14ac:dyDescent="0.4">
      <c r="A1052" t="s">
        <v>4290</v>
      </c>
      <c r="B1052" t="s">
        <v>4290</v>
      </c>
      <c r="C1052" t="s">
        <v>151</v>
      </c>
      <c r="D1052" t="s">
        <v>81</v>
      </c>
      <c r="E1052" t="s">
        <v>4125</v>
      </c>
      <c r="F1052" t="s">
        <v>6764</v>
      </c>
      <c r="G1052" t="s">
        <v>8021</v>
      </c>
      <c r="H1052" t="s">
        <v>8077</v>
      </c>
      <c r="L1052" t="s">
        <v>6764</v>
      </c>
      <c r="N1052" t="s">
        <v>6764</v>
      </c>
      <c r="O1052" t="s">
        <v>8</v>
      </c>
      <c r="P1052" t="s">
        <v>1250</v>
      </c>
      <c r="Q1052" t="s">
        <v>4291</v>
      </c>
      <c r="R1052" s="27" t="s">
        <v>6723</v>
      </c>
      <c r="S1052" t="s">
        <v>6280</v>
      </c>
      <c r="T1052" t="s">
        <v>119</v>
      </c>
    </row>
    <row r="1053" spans="1:20" ht="15" customHeight="1" x14ac:dyDescent="0.4">
      <c r="A1053" t="s">
        <v>4293</v>
      </c>
      <c r="B1053" t="s">
        <v>4293</v>
      </c>
      <c r="C1053" t="s">
        <v>151</v>
      </c>
      <c r="D1053" t="s">
        <v>81</v>
      </c>
      <c r="E1053" t="s">
        <v>4125</v>
      </c>
      <c r="F1053" t="s">
        <v>6762</v>
      </c>
      <c r="G1053" t="s">
        <v>8021</v>
      </c>
      <c r="H1053" t="s">
        <v>8078</v>
      </c>
      <c r="L1053" t="s">
        <v>6762</v>
      </c>
      <c r="N1053" t="s">
        <v>6762</v>
      </c>
      <c r="O1053" t="s">
        <v>8</v>
      </c>
      <c r="P1053" t="s">
        <v>1246</v>
      </c>
      <c r="Q1053" t="s">
        <v>4294</v>
      </c>
      <c r="R1053" s="27" t="s">
        <v>6723</v>
      </c>
      <c r="S1053" t="s">
        <v>6280</v>
      </c>
      <c r="T1053" t="s">
        <v>119</v>
      </c>
    </row>
    <row r="1054" spans="1:20" ht="15" customHeight="1" x14ac:dyDescent="0.4">
      <c r="A1054" t="s">
        <v>4296</v>
      </c>
      <c r="B1054" t="s">
        <v>4296</v>
      </c>
      <c r="C1054" t="s">
        <v>151</v>
      </c>
      <c r="D1054" t="s">
        <v>81</v>
      </c>
      <c r="E1054" t="s">
        <v>4125</v>
      </c>
      <c r="F1054" t="s">
        <v>6760</v>
      </c>
      <c r="G1054" t="s">
        <v>8021</v>
      </c>
      <c r="H1054" t="s">
        <v>8079</v>
      </c>
      <c r="L1054" t="s">
        <v>6760</v>
      </c>
      <c r="N1054" t="s">
        <v>6760</v>
      </c>
      <c r="O1054" t="s">
        <v>8</v>
      </c>
      <c r="P1054" t="s">
        <v>1242</v>
      </c>
      <c r="Q1054" t="s">
        <v>4297</v>
      </c>
      <c r="R1054" s="27" t="s">
        <v>6723</v>
      </c>
      <c r="S1054" t="s">
        <v>6280</v>
      </c>
      <c r="T1054" t="s">
        <v>119</v>
      </c>
    </row>
    <row r="1055" spans="1:20" ht="15" customHeight="1" x14ac:dyDescent="0.4">
      <c r="A1055" t="s">
        <v>4299</v>
      </c>
      <c r="B1055" t="s">
        <v>4299</v>
      </c>
      <c r="C1055" t="s">
        <v>151</v>
      </c>
      <c r="D1055" t="s">
        <v>81</v>
      </c>
      <c r="E1055" t="s">
        <v>4125</v>
      </c>
      <c r="F1055" t="s">
        <v>6758</v>
      </c>
      <c r="G1055" t="s">
        <v>8021</v>
      </c>
      <c r="H1055" t="s">
        <v>8080</v>
      </c>
      <c r="L1055" t="s">
        <v>6758</v>
      </c>
      <c r="N1055" t="s">
        <v>6758</v>
      </c>
      <c r="O1055" t="s">
        <v>8</v>
      </c>
      <c r="P1055" t="s">
        <v>1238</v>
      </c>
      <c r="Q1055" t="s">
        <v>4300</v>
      </c>
      <c r="R1055" s="27" t="s">
        <v>6723</v>
      </c>
      <c r="S1055" t="s">
        <v>6280</v>
      </c>
      <c r="T1055" t="s">
        <v>119</v>
      </c>
    </row>
    <row r="1056" spans="1:20" ht="15" customHeight="1" x14ac:dyDescent="0.4">
      <c r="A1056" t="s">
        <v>4302</v>
      </c>
      <c r="B1056" t="s">
        <v>4302</v>
      </c>
      <c r="C1056" t="s">
        <v>151</v>
      </c>
      <c r="D1056" t="s">
        <v>81</v>
      </c>
      <c r="E1056" t="s">
        <v>4125</v>
      </c>
      <c r="F1056" t="s">
        <v>6756</v>
      </c>
      <c r="G1056" t="s">
        <v>8021</v>
      </c>
      <c r="H1056" t="s">
        <v>8081</v>
      </c>
      <c r="L1056" t="s">
        <v>6756</v>
      </c>
      <c r="N1056" t="s">
        <v>6756</v>
      </c>
      <c r="O1056" t="s">
        <v>8</v>
      </c>
      <c r="P1056" t="s">
        <v>1234</v>
      </c>
      <c r="Q1056" t="s">
        <v>4303</v>
      </c>
      <c r="R1056" s="27" t="s">
        <v>6723</v>
      </c>
      <c r="S1056" t="s">
        <v>6280</v>
      </c>
      <c r="T1056" t="s">
        <v>119</v>
      </c>
    </row>
    <row r="1057" spans="1:20" ht="15" customHeight="1" x14ac:dyDescent="0.4">
      <c r="A1057" t="s">
        <v>4305</v>
      </c>
      <c r="B1057" t="s">
        <v>4305</v>
      </c>
      <c r="C1057" t="s">
        <v>151</v>
      </c>
      <c r="D1057" t="s">
        <v>81</v>
      </c>
      <c r="E1057" t="s">
        <v>4125</v>
      </c>
      <c r="F1057" t="s">
        <v>6754</v>
      </c>
      <c r="G1057" t="s">
        <v>8021</v>
      </c>
      <c r="H1057" t="s">
        <v>8082</v>
      </c>
      <c r="L1057" t="s">
        <v>6754</v>
      </c>
      <c r="N1057" t="s">
        <v>6754</v>
      </c>
      <c r="O1057" t="s">
        <v>8</v>
      </c>
      <c r="P1057" t="s">
        <v>1230</v>
      </c>
      <c r="Q1057" t="s">
        <v>4306</v>
      </c>
      <c r="R1057" s="27" t="s">
        <v>6718</v>
      </c>
      <c r="S1057" t="s">
        <v>6280</v>
      </c>
      <c r="T1057" t="s">
        <v>119</v>
      </c>
    </row>
    <row r="1058" spans="1:20" ht="15" customHeight="1" x14ac:dyDescent="0.4">
      <c r="A1058" t="s">
        <v>4308</v>
      </c>
      <c r="B1058" t="s">
        <v>4308</v>
      </c>
      <c r="C1058" t="s">
        <v>151</v>
      </c>
      <c r="D1058" t="s">
        <v>81</v>
      </c>
      <c r="E1058" t="s">
        <v>4125</v>
      </c>
      <c r="F1058" t="s">
        <v>6752</v>
      </c>
      <c r="G1058" t="s">
        <v>8021</v>
      </c>
      <c r="H1058" t="s">
        <v>8083</v>
      </c>
      <c r="L1058" t="s">
        <v>6752</v>
      </c>
      <c r="N1058" t="s">
        <v>6752</v>
      </c>
      <c r="O1058" t="s">
        <v>8</v>
      </c>
      <c r="P1058" t="s">
        <v>1226</v>
      </c>
      <c r="Q1058" t="s">
        <v>4309</v>
      </c>
      <c r="R1058" s="27" t="s">
        <v>6718</v>
      </c>
      <c r="S1058" t="s">
        <v>6280</v>
      </c>
      <c r="T1058" t="s">
        <v>119</v>
      </c>
    </row>
    <row r="1059" spans="1:20" ht="15" customHeight="1" x14ac:dyDescent="0.4">
      <c r="A1059" t="s">
        <v>4311</v>
      </c>
      <c r="B1059" t="s">
        <v>4311</v>
      </c>
      <c r="C1059" t="s">
        <v>151</v>
      </c>
      <c r="D1059" t="s">
        <v>81</v>
      </c>
      <c r="E1059" t="s">
        <v>4125</v>
      </c>
      <c r="F1059" t="s">
        <v>6750</v>
      </c>
      <c r="G1059" t="s">
        <v>8021</v>
      </c>
      <c r="H1059" t="s">
        <v>8084</v>
      </c>
      <c r="L1059" t="s">
        <v>6750</v>
      </c>
      <c r="N1059" t="s">
        <v>6750</v>
      </c>
      <c r="O1059" t="s">
        <v>8</v>
      </c>
      <c r="P1059" t="s">
        <v>1222</v>
      </c>
      <c r="Q1059" t="s">
        <v>4312</v>
      </c>
      <c r="R1059" s="27" t="s">
        <v>6718</v>
      </c>
      <c r="S1059" t="s">
        <v>6280</v>
      </c>
      <c r="T1059" t="s">
        <v>119</v>
      </c>
    </row>
    <row r="1060" spans="1:20" ht="15" customHeight="1" x14ac:dyDescent="0.4">
      <c r="A1060" t="s">
        <v>4314</v>
      </c>
      <c r="B1060" t="s">
        <v>4314</v>
      </c>
      <c r="C1060" t="s">
        <v>151</v>
      </c>
      <c r="D1060" t="s">
        <v>81</v>
      </c>
      <c r="E1060" t="s">
        <v>4125</v>
      </c>
      <c r="F1060" t="s">
        <v>6748</v>
      </c>
      <c r="G1060" t="s">
        <v>8021</v>
      </c>
      <c r="H1060" t="s">
        <v>8085</v>
      </c>
      <c r="L1060" t="s">
        <v>6748</v>
      </c>
      <c r="N1060" t="s">
        <v>6748</v>
      </c>
      <c r="O1060" t="s">
        <v>8</v>
      </c>
      <c r="P1060" t="s">
        <v>1218</v>
      </c>
      <c r="Q1060" t="s">
        <v>4315</v>
      </c>
      <c r="R1060" s="27" t="s">
        <v>6723</v>
      </c>
      <c r="S1060" t="s">
        <v>6280</v>
      </c>
      <c r="T1060" t="s">
        <v>119</v>
      </c>
    </row>
    <row r="1061" spans="1:20" ht="15" customHeight="1" x14ac:dyDescent="0.4">
      <c r="A1061" t="s">
        <v>4317</v>
      </c>
      <c r="B1061" t="s">
        <v>4317</v>
      </c>
      <c r="C1061" t="s">
        <v>151</v>
      </c>
      <c r="D1061" t="s">
        <v>81</v>
      </c>
      <c r="E1061" t="s">
        <v>4125</v>
      </c>
      <c r="F1061" t="s">
        <v>6746</v>
      </c>
      <c r="G1061" t="s">
        <v>8021</v>
      </c>
      <c r="H1061" t="s">
        <v>8086</v>
      </c>
      <c r="L1061" t="s">
        <v>6746</v>
      </c>
      <c r="N1061" t="s">
        <v>6746</v>
      </c>
      <c r="O1061" t="s">
        <v>8</v>
      </c>
      <c r="P1061" t="s">
        <v>1214</v>
      </c>
      <c r="Q1061" t="s">
        <v>4318</v>
      </c>
      <c r="R1061" s="27" t="s">
        <v>6718</v>
      </c>
      <c r="S1061" t="s">
        <v>6280</v>
      </c>
      <c r="T1061" t="s">
        <v>119</v>
      </c>
    </row>
    <row r="1062" spans="1:20" ht="15" customHeight="1" x14ac:dyDescent="0.4">
      <c r="A1062" t="s">
        <v>4320</v>
      </c>
      <c r="B1062" t="s">
        <v>4320</v>
      </c>
      <c r="C1062" t="s">
        <v>151</v>
      </c>
      <c r="D1062" t="s">
        <v>81</v>
      </c>
      <c r="E1062" t="s">
        <v>4125</v>
      </c>
      <c r="F1062" t="s">
        <v>6744</v>
      </c>
      <c r="G1062" t="s">
        <v>8021</v>
      </c>
      <c r="H1062" t="s">
        <v>8087</v>
      </c>
      <c r="L1062" t="s">
        <v>6744</v>
      </c>
      <c r="N1062" t="s">
        <v>6744</v>
      </c>
      <c r="O1062" t="s">
        <v>8</v>
      </c>
      <c r="P1062" t="s">
        <v>1210</v>
      </c>
      <c r="Q1062" t="s">
        <v>4321</v>
      </c>
      <c r="R1062" s="27" t="s">
        <v>6718</v>
      </c>
      <c r="S1062" t="s">
        <v>6280</v>
      </c>
      <c r="T1062" t="s">
        <v>119</v>
      </c>
    </row>
    <row r="1063" spans="1:20" ht="15" customHeight="1" x14ac:dyDescent="0.4">
      <c r="A1063" t="s">
        <v>4323</v>
      </c>
      <c r="B1063" t="s">
        <v>4323</v>
      </c>
      <c r="C1063" t="s">
        <v>151</v>
      </c>
      <c r="D1063" t="s">
        <v>81</v>
      </c>
      <c r="E1063" t="s">
        <v>4125</v>
      </c>
      <c r="F1063" t="s">
        <v>6742</v>
      </c>
      <c r="G1063" t="s">
        <v>8021</v>
      </c>
      <c r="H1063" t="s">
        <v>8088</v>
      </c>
      <c r="L1063" t="s">
        <v>6742</v>
      </c>
      <c r="N1063" t="s">
        <v>6742</v>
      </c>
      <c r="O1063" t="s">
        <v>8</v>
      </c>
      <c r="P1063" t="s">
        <v>1206</v>
      </c>
      <c r="Q1063" t="s">
        <v>4324</v>
      </c>
      <c r="R1063" s="27" t="s">
        <v>6718</v>
      </c>
      <c r="S1063" t="s">
        <v>6280</v>
      </c>
      <c r="T1063" t="s">
        <v>119</v>
      </c>
    </row>
    <row r="1064" spans="1:20" ht="15" customHeight="1" x14ac:dyDescent="0.4">
      <c r="A1064" t="s">
        <v>4326</v>
      </c>
      <c r="B1064" t="s">
        <v>4326</v>
      </c>
      <c r="C1064" t="s">
        <v>151</v>
      </c>
      <c r="D1064" t="s">
        <v>81</v>
      </c>
      <c r="E1064" t="s">
        <v>4125</v>
      </c>
      <c r="F1064" t="s">
        <v>6740</v>
      </c>
      <c r="G1064" t="s">
        <v>8021</v>
      </c>
      <c r="H1064" t="s">
        <v>8089</v>
      </c>
      <c r="L1064" t="s">
        <v>6740</v>
      </c>
      <c r="N1064" t="s">
        <v>6740</v>
      </c>
      <c r="O1064" t="s">
        <v>8</v>
      </c>
      <c r="P1064" t="s">
        <v>1202</v>
      </c>
      <c r="Q1064" t="s">
        <v>4327</v>
      </c>
      <c r="R1064" s="27" t="s">
        <v>6718</v>
      </c>
      <c r="S1064" t="s">
        <v>6280</v>
      </c>
      <c r="T1064" t="s">
        <v>119</v>
      </c>
    </row>
    <row r="1065" spans="1:20" ht="15" customHeight="1" x14ac:dyDescent="0.4">
      <c r="A1065" t="s">
        <v>4329</v>
      </c>
      <c r="B1065" t="s">
        <v>4329</v>
      </c>
      <c r="C1065" t="s">
        <v>151</v>
      </c>
      <c r="D1065" t="s">
        <v>81</v>
      </c>
      <c r="E1065" t="s">
        <v>4125</v>
      </c>
      <c r="F1065" t="s">
        <v>6738</v>
      </c>
      <c r="G1065" t="s">
        <v>8021</v>
      </c>
      <c r="H1065" t="s">
        <v>8090</v>
      </c>
      <c r="L1065" t="s">
        <v>6738</v>
      </c>
      <c r="N1065" t="s">
        <v>6738</v>
      </c>
      <c r="O1065" t="s">
        <v>8</v>
      </c>
      <c r="P1065" t="s">
        <v>1198</v>
      </c>
      <c r="Q1065" t="s">
        <v>4330</v>
      </c>
      <c r="R1065" s="27" t="s">
        <v>6718</v>
      </c>
      <c r="S1065" t="s">
        <v>6280</v>
      </c>
      <c r="T1065" t="s">
        <v>119</v>
      </c>
    </row>
    <row r="1066" spans="1:20" ht="15" customHeight="1" x14ac:dyDescent="0.4">
      <c r="A1066" t="s">
        <v>4332</v>
      </c>
      <c r="B1066" t="s">
        <v>4332</v>
      </c>
      <c r="C1066" t="s">
        <v>151</v>
      </c>
      <c r="D1066" t="s">
        <v>81</v>
      </c>
      <c r="E1066" t="s">
        <v>4125</v>
      </c>
      <c r="F1066" t="s">
        <v>6736</v>
      </c>
      <c r="G1066" t="s">
        <v>8021</v>
      </c>
      <c r="H1066" t="s">
        <v>8091</v>
      </c>
      <c r="L1066" t="s">
        <v>6736</v>
      </c>
      <c r="N1066" t="s">
        <v>6736</v>
      </c>
      <c r="O1066" t="s">
        <v>8</v>
      </c>
      <c r="P1066" t="s">
        <v>1194</v>
      </c>
      <c r="Q1066" t="s">
        <v>4333</v>
      </c>
      <c r="R1066" s="27" t="s">
        <v>6723</v>
      </c>
      <c r="S1066" t="s">
        <v>6280</v>
      </c>
      <c r="T1066" t="s">
        <v>119</v>
      </c>
    </row>
    <row r="1067" spans="1:20" ht="15" customHeight="1" x14ac:dyDescent="0.4">
      <c r="A1067" t="s">
        <v>4335</v>
      </c>
      <c r="B1067" t="s">
        <v>4335</v>
      </c>
      <c r="C1067" t="s">
        <v>151</v>
      </c>
      <c r="D1067" t="s">
        <v>81</v>
      </c>
      <c r="E1067" t="s">
        <v>4125</v>
      </c>
      <c r="F1067" t="s">
        <v>6734</v>
      </c>
      <c r="G1067" t="s">
        <v>8021</v>
      </c>
      <c r="H1067" t="s">
        <v>8092</v>
      </c>
      <c r="L1067" t="s">
        <v>6734</v>
      </c>
      <c r="N1067" t="s">
        <v>6734</v>
      </c>
      <c r="O1067" t="s">
        <v>8</v>
      </c>
      <c r="P1067" t="s">
        <v>1190</v>
      </c>
      <c r="Q1067" t="s">
        <v>4336</v>
      </c>
      <c r="R1067" s="27" t="s">
        <v>6718</v>
      </c>
      <c r="S1067" t="s">
        <v>6280</v>
      </c>
      <c r="T1067" t="s">
        <v>119</v>
      </c>
    </row>
    <row r="1068" spans="1:20" ht="15" customHeight="1" x14ac:dyDescent="0.4">
      <c r="A1068" t="s">
        <v>4338</v>
      </c>
      <c r="B1068" t="s">
        <v>4338</v>
      </c>
      <c r="C1068" t="s">
        <v>151</v>
      </c>
      <c r="D1068" t="s">
        <v>81</v>
      </c>
      <c r="E1068" t="s">
        <v>4125</v>
      </c>
      <c r="F1068" t="s">
        <v>6732</v>
      </c>
      <c r="G1068" t="s">
        <v>8021</v>
      </c>
      <c r="H1068" t="s">
        <v>8093</v>
      </c>
      <c r="L1068" t="s">
        <v>6732</v>
      </c>
      <c r="N1068" t="s">
        <v>6732</v>
      </c>
      <c r="O1068" t="s">
        <v>8</v>
      </c>
      <c r="P1068" t="s">
        <v>1186</v>
      </c>
      <c r="Q1068" t="s">
        <v>4339</v>
      </c>
      <c r="R1068" s="27" t="s">
        <v>6723</v>
      </c>
      <c r="S1068" t="s">
        <v>6280</v>
      </c>
      <c r="T1068" t="s">
        <v>119</v>
      </c>
    </row>
    <row r="1069" spans="1:20" ht="15" customHeight="1" x14ac:dyDescent="0.4">
      <c r="A1069" t="s">
        <v>4341</v>
      </c>
      <c r="B1069" t="s">
        <v>4341</v>
      </c>
      <c r="C1069" t="s">
        <v>151</v>
      </c>
      <c r="D1069" t="s">
        <v>81</v>
      </c>
      <c r="E1069" t="s">
        <v>4125</v>
      </c>
      <c r="F1069" t="s">
        <v>6730</v>
      </c>
      <c r="G1069" t="s">
        <v>8021</v>
      </c>
      <c r="H1069" t="s">
        <v>8094</v>
      </c>
      <c r="L1069" t="s">
        <v>6730</v>
      </c>
      <c r="N1069" t="s">
        <v>6730</v>
      </c>
      <c r="O1069" t="s">
        <v>8</v>
      </c>
      <c r="P1069" t="s">
        <v>1182</v>
      </c>
      <c r="Q1069" t="s">
        <v>4342</v>
      </c>
      <c r="R1069" s="27" t="s">
        <v>6723</v>
      </c>
      <c r="S1069" t="s">
        <v>6280</v>
      </c>
      <c r="T1069" t="s">
        <v>119</v>
      </c>
    </row>
    <row r="1070" spans="1:20" ht="15" customHeight="1" x14ac:dyDescent="0.4">
      <c r="A1070" t="s">
        <v>4344</v>
      </c>
      <c r="B1070" t="s">
        <v>4344</v>
      </c>
      <c r="C1070" t="s">
        <v>151</v>
      </c>
      <c r="D1070" t="s">
        <v>81</v>
      </c>
      <c r="E1070" t="s">
        <v>4125</v>
      </c>
      <c r="F1070" t="s">
        <v>6728</v>
      </c>
      <c r="G1070" t="s">
        <v>8021</v>
      </c>
      <c r="H1070" t="s">
        <v>8095</v>
      </c>
      <c r="L1070" t="s">
        <v>6728</v>
      </c>
      <c r="N1070" t="s">
        <v>6728</v>
      </c>
      <c r="O1070" t="s">
        <v>8</v>
      </c>
      <c r="P1070" t="s">
        <v>1178</v>
      </c>
      <c r="Q1070" t="s">
        <v>4345</v>
      </c>
      <c r="R1070" s="27" t="s">
        <v>6723</v>
      </c>
      <c r="S1070" t="s">
        <v>6280</v>
      </c>
      <c r="T1070" t="s">
        <v>119</v>
      </c>
    </row>
    <row r="1071" spans="1:20" ht="15" customHeight="1" x14ac:dyDescent="0.4">
      <c r="A1071" t="s">
        <v>4347</v>
      </c>
      <c r="B1071" t="s">
        <v>4347</v>
      </c>
      <c r="C1071" t="s">
        <v>151</v>
      </c>
      <c r="D1071" t="s">
        <v>81</v>
      </c>
      <c r="E1071" t="s">
        <v>4125</v>
      </c>
      <c r="F1071" t="s">
        <v>6726</v>
      </c>
      <c r="G1071" t="s">
        <v>8021</v>
      </c>
      <c r="H1071" t="s">
        <v>8096</v>
      </c>
      <c r="L1071" t="s">
        <v>6726</v>
      </c>
      <c r="N1071" t="s">
        <v>6726</v>
      </c>
      <c r="O1071" t="s">
        <v>8</v>
      </c>
      <c r="P1071" t="s">
        <v>1174</v>
      </c>
      <c r="Q1071" t="s">
        <v>4348</v>
      </c>
      <c r="R1071" s="27" t="s">
        <v>6723</v>
      </c>
      <c r="S1071" t="s">
        <v>6280</v>
      </c>
      <c r="T1071" t="s">
        <v>119</v>
      </c>
    </row>
    <row r="1072" spans="1:20" ht="15" customHeight="1" x14ac:dyDescent="0.4">
      <c r="A1072" t="s">
        <v>4350</v>
      </c>
      <c r="B1072" t="s">
        <v>4350</v>
      </c>
      <c r="C1072" t="s">
        <v>151</v>
      </c>
      <c r="D1072" t="s">
        <v>81</v>
      </c>
      <c r="E1072" t="s">
        <v>4125</v>
      </c>
      <c r="F1072" t="s">
        <v>6724</v>
      </c>
      <c r="G1072" t="s">
        <v>8021</v>
      </c>
      <c r="H1072" t="s">
        <v>8097</v>
      </c>
      <c r="L1072" t="s">
        <v>6724</v>
      </c>
      <c r="N1072" t="s">
        <v>6724</v>
      </c>
      <c r="O1072" t="s">
        <v>8</v>
      </c>
      <c r="P1072" t="s">
        <v>1170</v>
      </c>
      <c r="Q1072" t="s">
        <v>4351</v>
      </c>
      <c r="R1072" s="27" t="s">
        <v>6723</v>
      </c>
      <c r="S1072" t="s">
        <v>6280</v>
      </c>
      <c r="T1072" t="s">
        <v>119</v>
      </c>
    </row>
    <row r="1073" spans="1:20" ht="15" customHeight="1" x14ac:dyDescent="0.4">
      <c r="A1073" t="s">
        <v>4353</v>
      </c>
      <c r="B1073" t="s">
        <v>4353</v>
      </c>
      <c r="C1073" t="s">
        <v>151</v>
      </c>
      <c r="D1073" t="s">
        <v>81</v>
      </c>
      <c r="E1073" t="s">
        <v>4125</v>
      </c>
      <c r="F1073" t="s">
        <v>6721</v>
      </c>
      <c r="G1073" t="s">
        <v>8021</v>
      </c>
      <c r="H1073" t="s">
        <v>8098</v>
      </c>
      <c r="L1073" t="s">
        <v>6721</v>
      </c>
      <c r="N1073" t="s">
        <v>6721</v>
      </c>
      <c r="O1073" t="s">
        <v>8</v>
      </c>
      <c r="P1073" t="s">
        <v>1166</v>
      </c>
      <c r="Q1073" t="s">
        <v>4354</v>
      </c>
      <c r="R1073" s="27" t="s">
        <v>6723</v>
      </c>
      <c r="S1073" t="s">
        <v>6280</v>
      </c>
      <c r="T1073" t="s">
        <v>119</v>
      </c>
    </row>
    <row r="1074" spans="1:20" ht="15" customHeight="1" x14ac:dyDescent="0.4">
      <c r="A1074" t="s">
        <v>4356</v>
      </c>
      <c r="B1074" t="s">
        <v>4356</v>
      </c>
      <c r="C1074" t="s">
        <v>151</v>
      </c>
      <c r="D1074" t="s">
        <v>81</v>
      </c>
      <c r="E1074" t="s">
        <v>4125</v>
      </c>
      <c r="F1074" t="s">
        <v>6719</v>
      </c>
      <c r="G1074" t="s">
        <v>8021</v>
      </c>
      <c r="H1074" t="s">
        <v>8099</v>
      </c>
      <c r="L1074" t="s">
        <v>6719</v>
      </c>
      <c r="N1074" t="s">
        <v>6719</v>
      </c>
      <c r="O1074" t="s">
        <v>8</v>
      </c>
      <c r="P1074" t="s">
        <v>1162</v>
      </c>
      <c r="Q1074" t="s">
        <v>4357</v>
      </c>
      <c r="R1074" s="27" t="s">
        <v>6718</v>
      </c>
      <c r="S1074" t="s">
        <v>6280</v>
      </c>
      <c r="T1074" t="s">
        <v>119</v>
      </c>
    </row>
    <row r="1075" spans="1:20" ht="15" customHeight="1" x14ac:dyDescent="0.4">
      <c r="A1075" t="s">
        <v>4359</v>
      </c>
      <c r="B1075" t="s">
        <v>4359</v>
      </c>
      <c r="C1075" t="s">
        <v>151</v>
      </c>
      <c r="D1075" t="s">
        <v>81</v>
      </c>
      <c r="E1075" t="s">
        <v>4125</v>
      </c>
      <c r="F1075" t="s">
        <v>6716</v>
      </c>
      <c r="G1075" t="s">
        <v>8021</v>
      </c>
      <c r="H1075" t="s">
        <v>8100</v>
      </c>
      <c r="L1075" t="s">
        <v>6716</v>
      </c>
      <c r="N1075" t="s">
        <v>6716</v>
      </c>
      <c r="O1075" t="s">
        <v>8</v>
      </c>
      <c r="P1075" t="s">
        <v>1157</v>
      </c>
      <c r="Q1075" t="s">
        <v>4360</v>
      </c>
      <c r="R1075" s="27" t="s">
        <v>6718</v>
      </c>
      <c r="S1075" t="s">
        <v>6280</v>
      </c>
      <c r="T1075" t="s">
        <v>119</v>
      </c>
    </row>
    <row r="1076" spans="1:20" ht="15" customHeight="1" x14ac:dyDescent="0.4">
      <c r="A1076" t="s">
        <v>4362</v>
      </c>
      <c r="B1076" t="s">
        <v>4362</v>
      </c>
      <c r="C1076" t="s">
        <v>151</v>
      </c>
      <c r="D1076" t="s">
        <v>81</v>
      </c>
      <c r="E1076" t="s">
        <v>4366</v>
      </c>
      <c r="F1076" t="s">
        <v>8101</v>
      </c>
      <c r="G1076" t="s">
        <v>8021</v>
      </c>
      <c r="H1076" t="s">
        <v>8102</v>
      </c>
      <c r="L1076" t="s">
        <v>8101</v>
      </c>
      <c r="N1076" t="s">
        <v>8101</v>
      </c>
      <c r="O1076" t="s">
        <v>9</v>
      </c>
      <c r="P1076" t="s">
        <v>4363</v>
      </c>
      <c r="Q1076" t="s">
        <v>4364</v>
      </c>
      <c r="R1076" t="s">
        <v>6279</v>
      </c>
      <c r="S1076" t="s">
        <v>6280</v>
      </c>
      <c r="T1076" t="s">
        <v>119</v>
      </c>
    </row>
    <row r="1077" spans="1:20" ht="15" customHeight="1" x14ac:dyDescent="0.4">
      <c r="A1077" t="s">
        <v>4370</v>
      </c>
      <c r="B1077" t="s">
        <v>4370</v>
      </c>
      <c r="C1077" t="s">
        <v>151</v>
      </c>
      <c r="D1077" t="s">
        <v>81</v>
      </c>
      <c r="E1077" t="s">
        <v>4375</v>
      </c>
      <c r="F1077" t="s">
        <v>8103</v>
      </c>
      <c r="G1077" t="s">
        <v>8104</v>
      </c>
      <c r="H1077" t="s">
        <v>4368</v>
      </c>
      <c r="L1077" t="s">
        <v>8103</v>
      </c>
      <c r="M1077" t="s">
        <v>8103</v>
      </c>
      <c r="O1077" t="s">
        <v>10</v>
      </c>
      <c r="P1077" t="s">
        <v>4371</v>
      </c>
      <c r="Q1077" t="s">
        <v>4372</v>
      </c>
      <c r="R1077" t="s">
        <v>6279</v>
      </c>
      <c r="S1077" t="s">
        <v>6280</v>
      </c>
      <c r="T1077" t="s">
        <v>119</v>
      </c>
    </row>
    <row r="1078" spans="1:20" ht="15" customHeight="1" x14ac:dyDescent="0.4">
      <c r="A1078" t="s">
        <v>4379</v>
      </c>
      <c r="B1078" t="s">
        <v>4379</v>
      </c>
      <c r="C1078" t="s">
        <v>151</v>
      </c>
      <c r="D1078" t="s">
        <v>81</v>
      </c>
      <c r="E1078" t="s">
        <v>4375</v>
      </c>
      <c r="F1078" t="s">
        <v>8105</v>
      </c>
      <c r="G1078" t="s">
        <v>8104</v>
      </c>
      <c r="H1078" t="s">
        <v>4377</v>
      </c>
      <c r="L1078" t="s">
        <v>8105</v>
      </c>
      <c r="M1078" t="s">
        <v>8105</v>
      </c>
      <c r="O1078" t="s">
        <v>10</v>
      </c>
      <c r="P1078" t="s">
        <v>4380</v>
      </c>
      <c r="Q1078" t="s">
        <v>4381</v>
      </c>
      <c r="R1078" t="s">
        <v>6279</v>
      </c>
      <c r="S1078" t="s">
        <v>6280</v>
      </c>
      <c r="T1078" t="s">
        <v>119</v>
      </c>
    </row>
    <row r="1079" spans="1:20" ht="15" customHeight="1" x14ac:dyDescent="0.4">
      <c r="A1079" t="s">
        <v>4385</v>
      </c>
      <c r="B1079" t="s">
        <v>4385</v>
      </c>
      <c r="C1079" t="s">
        <v>151</v>
      </c>
      <c r="D1079" t="s">
        <v>81</v>
      </c>
      <c r="E1079" t="s">
        <v>4389</v>
      </c>
      <c r="F1079" t="s">
        <v>8106</v>
      </c>
      <c r="G1079" t="s">
        <v>8021</v>
      </c>
      <c r="H1079" t="s">
        <v>8107</v>
      </c>
      <c r="L1079" t="s">
        <v>8106</v>
      </c>
      <c r="N1079" t="s">
        <v>8106</v>
      </c>
      <c r="O1079" t="s">
        <v>11</v>
      </c>
      <c r="P1079" t="s">
        <v>4386</v>
      </c>
      <c r="Q1079" t="s">
        <v>4364</v>
      </c>
      <c r="R1079" t="s">
        <v>6279</v>
      </c>
      <c r="S1079" t="s">
        <v>6280</v>
      </c>
      <c r="T1079" t="s">
        <v>119</v>
      </c>
    </row>
    <row r="1080" spans="1:20" ht="15" customHeight="1" x14ac:dyDescent="0.4">
      <c r="A1080" t="s">
        <v>4391</v>
      </c>
      <c r="B1080" t="s">
        <v>4391</v>
      </c>
      <c r="C1080" t="s">
        <v>151</v>
      </c>
      <c r="D1080" t="s">
        <v>81</v>
      </c>
      <c r="E1080" t="s">
        <v>4394</v>
      </c>
      <c r="F1080" t="s">
        <v>8108</v>
      </c>
      <c r="G1080" t="s">
        <v>8109</v>
      </c>
      <c r="H1080" t="s">
        <v>4390</v>
      </c>
      <c r="L1080" t="s">
        <v>8108</v>
      </c>
      <c r="N1080" t="s">
        <v>8108</v>
      </c>
      <c r="O1080" t="s">
        <v>12</v>
      </c>
      <c r="P1080" t="s">
        <v>4392</v>
      </c>
      <c r="Q1080" t="s">
        <v>4393</v>
      </c>
      <c r="R1080" s="27" t="s">
        <v>8110</v>
      </c>
      <c r="S1080" t="s">
        <v>6280</v>
      </c>
      <c r="T1080" t="s">
        <v>119</v>
      </c>
    </row>
    <row r="1081" spans="1:20" ht="15" customHeight="1" x14ac:dyDescent="0.4">
      <c r="A1081" t="s">
        <v>4397</v>
      </c>
      <c r="B1081" t="s">
        <v>4397</v>
      </c>
      <c r="C1081" t="s">
        <v>151</v>
      </c>
      <c r="D1081" t="s">
        <v>81</v>
      </c>
      <c r="E1081" t="s">
        <v>4400</v>
      </c>
      <c r="F1081" t="s">
        <v>8108</v>
      </c>
      <c r="G1081" t="s">
        <v>8109</v>
      </c>
      <c r="H1081" t="s">
        <v>8111</v>
      </c>
      <c r="L1081" t="s">
        <v>8108</v>
      </c>
      <c r="N1081" t="s">
        <v>8108</v>
      </c>
      <c r="O1081" t="s">
        <v>13</v>
      </c>
      <c r="P1081" t="s">
        <v>4392</v>
      </c>
      <c r="Q1081" t="s">
        <v>4398</v>
      </c>
      <c r="R1081" s="27" t="s">
        <v>8110</v>
      </c>
      <c r="S1081" t="s">
        <v>6280</v>
      </c>
      <c r="T1081" t="s">
        <v>119</v>
      </c>
    </row>
    <row r="1082" spans="1:20" ht="15" customHeight="1" x14ac:dyDescent="0.4">
      <c r="A1082" t="s">
        <v>4403</v>
      </c>
      <c r="B1082" t="s">
        <v>4403</v>
      </c>
      <c r="C1082" t="s">
        <v>151</v>
      </c>
      <c r="D1082" t="s">
        <v>81</v>
      </c>
      <c r="E1082" t="s">
        <v>4408</v>
      </c>
      <c r="F1082" t="s">
        <v>8112</v>
      </c>
      <c r="G1082" t="s">
        <v>8104</v>
      </c>
      <c r="H1082" t="s">
        <v>4401</v>
      </c>
      <c r="I1082" t="s">
        <v>31</v>
      </c>
      <c r="K1082" t="s">
        <v>31</v>
      </c>
      <c r="L1082" t="s">
        <v>8112</v>
      </c>
      <c r="M1082" t="s">
        <v>8112</v>
      </c>
      <c r="O1082" t="s">
        <v>14</v>
      </c>
      <c r="P1082" t="s">
        <v>4404</v>
      </c>
      <c r="Q1082" t="s">
        <v>4405</v>
      </c>
      <c r="R1082" t="s">
        <v>6279</v>
      </c>
      <c r="S1082" t="s">
        <v>6280</v>
      </c>
      <c r="T1082" t="s">
        <v>96</v>
      </c>
    </row>
    <row r="1083" spans="1:20" ht="15" customHeight="1" x14ac:dyDescent="0.4">
      <c r="A1083" t="s">
        <v>4410</v>
      </c>
      <c r="B1083" t="s">
        <v>4410</v>
      </c>
      <c r="C1083" t="s">
        <v>151</v>
      </c>
      <c r="D1083" t="s">
        <v>81</v>
      </c>
      <c r="E1083" t="s">
        <v>4408</v>
      </c>
      <c r="F1083" t="s">
        <v>8113</v>
      </c>
      <c r="G1083" t="s">
        <v>8104</v>
      </c>
      <c r="H1083" t="s">
        <v>4409</v>
      </c>
      <c r="I1083" t="s">
        <v>31</v>
      </c>
      <c r="K1083" t="s">
        <v>31</v>
      </c>
      <c r="L1083" t="s">
        <v>8113</v>
      </c>
      <c r="M1083" t="s">
        <v>8113</v>
      </c>
      <c r="O1083" t="s">
        <v>14</v>
      </c>
      <c r="P1083" t="s">
        <v>4411</v>
      </c>
      <c r="Q1083" t="s">
        <v>4412</v>
      </c>
      <c r="R1083" t="s">
        <v>6279</v>
      </c>
      <c r="S1083" t="s">
        <v>6280</v>
      </c>
      <c r="T1083" t="s">
        <v>96</v>
      </c>
    </row>
    <row r="1084" spans="1:20" ht="15" customHeight="1" x14ac:dyDescent="0.4">
      <c r="A1084" t="s">
        <v>4415</v>
      </c>
      <c r="B1084" t="s">
        <v>4415</v>
      </c>
      <c r="C1084" t="s">
        <v>151</v>
      </c>
      <c r="D1084" t="s">
        <v>81</v>
      </c>
      <c r="E1084" t="s">
        <v>4408</v>
      </c>
      <c r="F1084" t="s">
        <v>8114</v>
      </c>
      <c r="G1084" t="s">
        <v>8104</v>
      </c>
      <c r="H1084" t="s">
        <v>4414</v>
      </c>
      <c r="I1084" t="s">
        <v>31</v>
      </c>
      <c r="K1084" t="s">
        <v>31</v>
      </c>
      <c r="L1084" t="s">
        <v>8114</v>
      </c>
      <c r="M1084" t="s">
        <v>8114</v>
      </c>
      <c r="O1084" t="s">
        <v>14</v>
      </c>
      <c r="P1084" t="s">
        <v>4416</v>
      </c>
      <c r="Q1084" t="s">
        <v>4417</v>
      </c>
      <c r="R1084" t="s">
        <v>6279</v>
      </c>
      <c r="S1084" t="s">
        <v>6280</v>
      </c>
      <c r="T1084" t="s">
        <v>96</v>
      </c>
    </row>
    <row r="1085" spans="1:20" ht="15" customHeight="1" x14ac:dyDescent="0.4">
      <c r="A1085" t="s">
        <v>4420</v>
      </c>
      <c r="B1085" t="s">
        <v>4420</v>
      </c>
      <c r="C1085" t="s">
        <v>151</v>
      </c>
      <c r="D1085" t="s">
        <v>81</v>
      </c>
      <c r="E1085" t="s">
        <v>4408</v>
      </c>
      <c r="F1085" t="s">
        <v>8115</v>
      </c>
      <c r="G1085" t="s">
        <v>8104</v>
      </c>
      <c r="H1085" t="s">
        <v>4419</v>
      </c>
      <c r="I1085" t="s">
        <v>31</v>
      </c>
      <c r="K1085" t="s">
        <v>31</v>
      </c>
      <c r="L1085" t="s">
        <v>8115</v>
      </c>
      <c r="M1085" t="s">
        <v>8115</v>
      </c>
      <c r="O1085" t="s">
        <v>14</v>
      </c>
      <c r="P1085" t="s">
        <v>4421</v>
      </c>
      <c r="Q1085" t="s">
        <v>4422</v>
      </c>
      <c r="R1085" t="s">
        <v>6279</v>
      </c>
      <c r="S1085" t="s">
        <v>6280</v>
      </c>
      <c r="T1085" t="s">
        <v>96</v>
      </c>
    </row>
    <row r="1086" spans="1:20" ht="15" customHeight="1" x14ac:dyDescent="0.4">
      <c r="A1086" t="s">
        <v>4425</v>
      </c>
      <c r="B1086" t="s">
        <v>4425</v>
      </c>
      <c r="C1086" t="s">
        <v>151</v>
      </c>
      <c r="D1086" t="s">
        <v>81</v>
      </c>
      <c r="E1086" t="s">
        <v>4408</v>
      </c>
      <c r="F1086" t="s">
        <v>8116</v>
      </c>
      <c r="G1086" t="s">
        <v>8104</v>
      </c>
      <c r="H1086" t="s">
        <v>4424</v>
      </c>
      <c r="I1086" t="s">
        <v>31</v>
      </c>
      <c r="K1086" t="s">
        <v>31</v>
      </c>
      <c r="L1086" t="s">
        <v>8116</v>
      </c>
      <c r="M1086" t="s">
        <v>8116</v>
      </c>
      <c r="O1086" t="s">
        <v>14</v>
      </c>
      <c r="P1086" t="s">
        <v>4426</v>
      </c>
      <c r="Q1086" t="s">
        <v>4427</v>
      </c>
      <c r="R1086" t="s">
        <v>6279</v>
      </c>
      <c r="S1086" t="s">
        <v>6280</v>
      </c>
      <c r="T1086" t="s">
        <v>96</v>
      </c>
    </row>
    <row r="1087" spans="1:20" ht="15" customHeight="1" x14ac:dyDescent="0.4">
      <c r="A1087" t="s">
        <v>4430</v>
      </c>
      <c r="B1087" t="s">
        <v>4430</v>
      </c>
      <c r="C1087" t="s">
        <v>151</v>
      </c>
      <c r="D1087" t="s">
        <v>81</v>
      </c>
      <c r="E1087" t="s">
        <v>4408</v>
      </c>
      <c r="F1087" t="s">
        <v>8117</v>
      </c>
      <c r="G1087" t="s">
        <v>8104</v>
      </c>
      <c r="H1087" t="s">
        <v>4429</v>
      </c>
      <c r="I1087" t="s">
        <v>31</v>
      </c>
      <c r="K1087" t="s">
        <v>31</v>
      </c>
      <c r="L1087" t="s">
        <v>8117</v>
      </c>
      <c r="M1087" t="s">
        <v>8117</v>
      </c>
      <c r="O1087" t="s">
        <v>14</v>
      </c>
      <c r="P1087" t="s">
        <v>4431</v>
      </c>
      <c r="Q1087" t="s">
        <v>4432</v>
      </c>
      <c r="R1087" t="s">
        <v>6279</v>
      </c>
      <c r="S1087" t="s">
        <v>6280</v>
      </c>
      <c r="T1087" t="s">
        <v>96</v>
      </c>
    </row>
    <row r="1088" spans="1:20" ht="15" customHeight="1" x14ac:dyDescent="0.4">
      <c r="A1088" t="s">
        <v>4435</v>
      </c>
      <c r="B1088" t="s">
        <v>4435</v>
      </c>
      <c r="C1088" t="s">
        <v>151</v>
      </c>
      <c r="D1088" t="s">
        <v>81</v>
      </c>
      <c r="E1088" t="s">
        <v>4408</v>
      </c>
      <c r="F1088" t="s">
        <v>8118</v>
      </c>
      <c r="G1088" t="s">
        <v>8104</v>
      </c>
      <c r="H1088" t="s">
        <v>4434</v>
      </c>
      <c r="I1088" t="s">
        <v>31</v>
      </c>
      <c r="K1088" t="s">
        <v>31</v>
      </c>
      <c r="L1088" t="s">
        <v>8118</v>
      </c>
      <c r="M1088" t="s">
        <v>8118</v>
      </c>
      <c r="O1088" t="s">
        <v>14</v>
      </c>
      <c r="P1088" t="s">
        <v>4436</v>
      </c>
      <c r="Q1088" t="s">
        <v>4437</v>
      </c>
      <c r="R1088" t="s">
        <v>6279</v>
      </c>
      <c r="S1088" t="s">
        <v>6280</v>
      </c>
      <c r="T1088" t="s">
        <v>96</v>
      </c>
    </row>
    <row r="1089" spans="1:20" ht="15" customHeight="1" x14ac:dyDescent="0.4">
      <c r="A1089" t="s">
        <v>4440</v>
      </c>
      <c r="B1089" t="s">
        <v>4440</v>
      </c>
      <c r="C1089" t="s">
        <v>151</v>
      </c>
      <c r="D1089" t="s">
        <v>81</v>
      </c>
      <c r="E1089" t="s">
        <v>4408</v>
      </c>
      <c r="F1089" t="s">
        <v>8119</v>
      </c>
      <c r="G1089" t="s">
        <v>8104</v>
      </c>
      <c r="H1089" t="s">
        <v>4439</v>
      </c>
      <c r="I1089" t="s">
        <v>31</v>
      </c>
      <c r="K1089" t="s">
        <v>31</v>
      </c>
      <c r="L1089" t="s">
        <v>8119</v>
      </c>
      <c r="M1089" t="s">
        <v>8119</v>
      </c>
      <c r="O1089" t="s">
        <v>14</v>
      </c>
      <c r="P1089" t="s">
        <v>4441</v>
      </c>
      <c r="Q1089" t="s">
        <v>4442</v>
      </c>
      <c r="R1089" t="s">
        <v>6279</v>
      </c>
      <c r="S1089" t="s">
        <v>6280</v>
      </c>
      <c r="T1089" t="s">
        <v>96</v>
      </c>
    </row>
    <row r="1090" spans="1:20" ht="15" customHeight="1" x14ac:dyDescent="0.4">
      <c r="A1090" t="s">
        <v>4445</v>
      </c>
      <c r="B1090" t="s">
        <v>4445</v>
      </c>
      <c r="C1090" t="s">
        <v>151</v>
      </c>
      <c r="D1090" t="s">
        <v>81</v>
      </c>
      <c r="E1090" t="s">
        <v>4408</v>
      </c>
      <c r="F1090" t="s">
        <v>8120</v>
      </c>
      <c r="G1090" t="s">
        <v>8104</v>
      </c>
      <c r="H1090" t="s">
        <v>4444</v>
      </c>
      <c r="I1090" t="s">
        <v>31</v>
      </c>
      <c r="K1090" t="s">
        <v>31</v>
      </c>
      <c r="L1090" t="s">
        <v>8120</v>
      </c>
      <c r="M1090" t="s">
        <v>8120</v>
      </c>
      <c r="O1090" t="s">
        <v>14</v>
      </c>
      <c r="P1090" t="s">
        <v>4446</v>
      </c>
      <c r="Q1090" t="s">
        <v>4447</v>
      </c>
      <c r="R1090" t="s">
        <v>6279</v>
      </c>
      <c r="S1090" t="s">
        <v>6280</v>
      </c>
      <c r="T1090" t="s">
        <v>96</v>
      </c>
    </row>
    <row r="1091" spans="1:20" ht="15" customHeight="1" x14ac:dyDescent="0.4">
      <c r="A1091" t="s">
        <v>4450</v>
      </c>
      <c r="B1091" t="s">
        <v>4450</v>
      </c>
      <c r="C1091" t="s">
        <v>151</v>
      </c>
      <c r="D1091" t="s">
        <v>81</v>
      </c>
      <c r="E1091" t="s">
        <v>4408</v>
      </c>
      <c r="F1091" t="s">
        <v>8121</v>
      </c>
      <c r="G1091" t="s">
        <v>8104</v>
      </c>
      <c r="H1091" t="s">
        <v>4449</v>
      </c>
      <c r="I1091" t="s">
        <v>31</v>
      </c>
      <c r="K1091" t="s">
        <v>31</v>
      </c>
      <c r="L1091" t="s">
        <v>8121</v>
      </c>
      <c r="M1091" t="s">
        <v>8121</v>
      </c>
      <c r="O1091" t="s">
        <v>14</v>
      </c>
      <c r="P1091" t="s">
        <v>4451</v>
      </c>
      <c r="Q1091" t="s">
        <v>4452</v>
      </c>
      <c r="R1091" t="s">
        <v>6279</v>
      </c>
      <c r="S1091" t="s">
        <v>6280</v>
      </c>
      <c r="T1091" t="s">
        <v>96</v>
      </c>
    </row>
    <row r="1092" spans="1:20" ht="15" customHeight="1" x14ac:dyDescent="0.4">
      <c r="A1092" t="s">
        <v>4455</v>
      </c>
      <c r="B1092" t="s">
        <v>4455</v>
      </c>
      <c r="C1092" t="s">
        <v>151</v>
      </c>
      <c r="D1092" t="s">
        <v>81</v>
      </c>
      <c r="E1092" t="s">
        <v>4408</v>
      </c>
      <c r="F1092" t="s">
        <v>8122</v>
      </c>
      <c r="G1092" t="s">
        <v>8104</v>
      </c>
      <c r="H1092" t="s">
        <v>4454</v>
      </c>
      <c r="I1092" t="s">
        <v>31</v>
      </c>
      <c r="K1092" t="s">
        <v>31</v>
      </c>
      <c r="L1092" t="s">
        <v>8122</v>
      </c>
      <c r="M1092" t="s">
        <v>8122</v>
      </c>
      <c r="O1092" t="s">
        <v>14</v>
      </c>
      <c r="P1092" t="s">
        <v>4456</v>
      </c>
      <c r="Q1092" t="s">
        <v>4457</v>
      </c>
      <c r="R1092" t="s">
        <v>6279</v>
      </c>
      <c r="S1092" t="s">
        <v>6280</v>
      </c>
      <c r="T1092" t="s">
        <v>96</v>
      </c>
    </row>
    <row r="1093" spans="1:20" ht="15" customHeight="1" x14ac:dyDescent="0.4">
      <c r="A1093" t="s">
        <v>4460</v>
      </c>
      <c r="B1093" t="s">
        <v>4460</v>
      </c>
      <c r="C1093" t="s">
        <v>151</v>
      </c>
      <c r="D1093" t="s">
        <v>81</v>
      </c>
      <c r="E1093" t="s">
        <v>4408</v>
      </c>
      <c r="F1093" t="s">
        <v>8123</v>
      </c>
      <c r="G1093" t="s">
        <v>8104</v>
      </c>
      <c r="H1093" t="s">
        <v>4459</v>
      </c>
      <c r="I1093" t="s">
        <v>31</v>
      </c>
      <c r="K1093" t="s">
        <v>31</v>
      </c>
      <c r="L1093" t="s">
        <v>8123</v>
      </c>
      <c r="M1093" t="s">
        <v>8123</v>
      </c>
      <c r="O1093" t="s">
        <v>14</v>
      </c>
      <c r="P1093" t="s">
        <v>4461</v>
      </c>
      <c r="Q1093" t="s">
        <v>4462</v>
      </c>
      <c r="R1093" t="s">
        <v>6279</v>
      </c>
      <c r="S1093" t="s">
        <v>6280</v>
      </c>
      <c r="T1093" t="s">
        <v>96</v>
      </c>
    </row>
    <row r="1094" spans="1:20" ht="15" customHeight="1" x14ac:dyDescent="0.4">
      <c r="A1094" t="s">
        <v>4465</v>
      </c>
      <c r="B1094" t="s">
        <v>4465</v>
      </c>
      <c r="C1094" t="s">
        <v>151</v>
      </c>
      <c r="D1094" t="s">
        <v>81</v>
      </c>
      <c r="E1094" t="s">
        <v>4408</v>
      </c>
      <c r="F1094" t="s">
        <v>8124</v>
      </c>
      <c r="G1094" t="s">
        <v>8104</v>
      </c>
      <c r="H1094" t="s">
        <v>4464</v>
      </c>
      <c r="I1094" t="s">
        <v>31</v>
      </c>
      <c r="K1094" t="s">
        <v>31</v>
      </c>
      <c r="L1094" t="s">
        <v>8124</v>
      </c>
      <c r="M1094" t="s">
        <v>8124</v>
      </c>
      <c r="O1094" t="s">
        <v>14</v>
      </c>
      <c r="P1094" t="s">
        <v>4466</v>
      </c>
      <c r="Q1094" t="s">
        <v>4467</v>
      </c>
      <c r="R1094" t="s">
        <v>6279</v>
      </c>
      <c r="S1094" t="s">
        <v>6280</v>
      </c>
      <c r="T1094" t="s">
        <v>96</v>
      </c>
    </row>
    <row r="1095" spans="1:20" ht="15" customHeight="1" x14ac:dyDescent="0.4">
      <c r="A1095" t="s">
        <v>4470</v>
      </c>
      <c r="B1095" t="s">
        <v>4470</v>
      </c>
      <c r="C1095" t="s">
        <v>151</v>
      </c>
      <c r="D1095" t="s">
        <v>81</v>
      </c>
      <c r="E1095" t="s">
        <v>4408</v>
      </c>
      <c r="F1095" t="s">
        <v>8125</v>
      </c>
      <c r="G1095" t="s">
        <v>8104</v>
      </c>
      <c r="H1095" t="s">
        <v>4469</v>
      </c>
      <c r="I1095" t="s">
        <v>31</v>
      </c>
      <c r="K1095" t="s">
        <v>31</v>
      </c>
      <c r="L1095" t="s">
        <v>8125</v>
      </c>
      <c r="M1095" t="s">
        <v>8125</v>
      </c>
      <c r="O1095" t="s">
        <v>14</v>
      </c>
      <c r="P1095" t="s">
        <v>4471</v>
      </c>
      <c r="Q1095" t="s">
        <v>4472</v>
      </c>
      <c r="R1095" t="s">
        <v>6279</v>
      </c>
      <c r="S1095" t="s">
        <v>6280</v>
      </c>
      <c r="T1095" t="s">
        <v>96</v>
      </c>
    </row>
    <row r="1096" spans="1:20" ht="15" customHeight="1" x14ac:dyDescent="0.4">
      <c r="A1096" t="s">
        <v>4475</v>
      </c>
      <c r="B1096" t="s">
        <v>4475</v>
      </c>
      <c r="C1096" t="s">
        <v>151</v>
      </c>
      <c r="D1096" t="s">
        <v>81</v>
      </c>
      <c r="E1096" t="s">
        <v>4408</v>
      </c>
      <c r="F1096" t="s">
        <v>8126</v>
      </c>
      <c r="G1096" t="s">
        <v>8104</v>
      </c>
      <c r="H1096" t="s">
        <v>4474</v>
      </c>
      <c r="I1096" t="s">
        <v>31</v>
      </c>
      <c r="K1096" t="s">
        <v>31</v>
      </c>
      <c r="L1096" t="s">
        <v>8126</v>
      </c>
      <c r="M1096" t="s">
        <v>8126</v>
      </c>
      <c r="O1096" t="s">
        <v>14</v>
      </c>
      <c r="P1096" t="s">
        <v>4476</v>
      </c>
      <c r="Q1096" t="s">
        <v>4477</v>
      </c>
      <c r="R1096" t="s">
        <v>6279</v>
      </c>
      <c r="S1096" t="s">
        <v>6280</v>
      </c>
      <c r="T1096" t="s">
        <v>96</v>
      </c>
    </row>
    <row r="1097" spans="1:20" ht="15" customHeight="1" x14ac:dyDescent="0.4">
      <c r="A1097" t="s">
        <v>4480</v>
      </c>
      <c r="B1097" t="s">
        <v>4480</v>
      </c>
      <c r="C1097" t="s">
        <v>151</v>
      </c>
      <c r="D1097" t="s">
        <v>81</v>
      </c>
      <c r="E1097" t="s">
        <v>4408</v>
      </c>
      <c r="F1097" t="s">
        <v>8127</v>
      </c>
      <c r="G1097" t="s">
        <v>8104</v>
      </c>
      <c r="H1097" t="s">
        <v>4479</v>
      </c>
      <c r="I1097" t="s">
        <v>31</v>
      </c>
      <c r="K1097" t="s">
        <v>31</v>
      </c>
      <c r="L1097" t="s">
        <v>8127</v>
      </c>
      <c r="M1097" t="s">
        <v>8127</v>
      </c>
      <c r="O1097" t="s">
        <v>14</v>
      </c>
      <c r="P1097" t="s">
        <v>4481</v>
      </c>
      <c r="Q1097" t="s">
        <v>4482</v>
      </c>
      <c r="R1097" t="s">
        <v>6279</v>
      </c>
      <c r="S1097" t="s">
        <v>6280</v>
      </c>
      <c r="T1097" t="s">
        <v>96</v>
      </c>
    </row>
    <row r="1098" spans="1:20" ht="15" customHeight="1" x14ac:dyDescent="0.4">
      <c r="A1098" t="s">
        <v>4485</v>
      </c>
      <c r="B1098" t="s">
        <v>4485</v>
      </c>
      <c r="C1098" t="s">
        <v>151</v>
      </c>
      <c r="D1098" t="s">
        <v>81</v>
      </c>
      <c r="E1098" t="s">
        <v>4408</v>
      </c>
      <c r="F1098" t="s">
        <v>8128</v>
      </c>
      <c r="G1098" t="s">
        <v>8104</v>
      </c>
      <c r="H1098" t="s">
        <v>4484</v>
      </c>
      <c r="I1098" t="s">
        <v>31</v>
      </c>
      <c r="K1098" t="s">
        <v>31</v>
      </c>
      <c r="L1098" t="s">
        <v>8128</v>
      </c>
      <c r="M1098" t="s">
        <v>8128</v>
      </c>
      <c r="O1098" t="s">
        <v>14</v>
      </c>
      <c r="P1098" t="s">
        <v>4486</v>
      </c>
      <c r="Q1098" t="s">
        <v>4487</v>
      </c>
      <c r="R1098" t="s">
        <v>6279</v>
      </c>
      <c r="S1098" t="s">
        <v>6280</v>
      </c>
      <c r="T1098" t="s">
        <v>96</v>
      </c>
    </row>
    <row r="1099" spans="1:20" ht="15" customHeight="1" x14ac:dyDescent="0.4">
      <c r="A1099" t="s">
        <v>4490</v>
      </c>
      <c r="B1099" t="s">
        <v>4490</v>
      </c>
      <c r="C1099" t="s">
        <v>151</v>
      </c>
      <c r="D1099" t="s">
        <v>81</v>
      </c>
      <c r="E1099" t="s">
        <v>4408</v>
      </c>
      <c r="F1099" t="s">
        <v>8129</v>
      </c>
      <c r="G1099" t="s">
        <v>8104</v>
      </c>
      <c r="H1099" t="s">
        <v>4489</v>
      </c>
      <c r="I1099" t="s">
        <v>31</v>
      </c>
      <c r="K1099" t="s">
        <v>31</v>
      </c>
      <c r="L1099" t="s">
        <v>8129</v>
      </c>
      <c r="M1099" t="s">
        <v>8129</v>
      </c>
      <c r="O1099" t="s">
        <v>14</v>
      </c>
      <c r="P1099" t="s">
        <v>4491</v>
      </c>
      <c r="Q1099" t="s">
        <v>4492</v>
      </c>
      <c r="R1099" t="s">
        <v>6279</v>
      </c>
      <c r="S1099" t="s">
        <v>6280</v>
      </c>
      <c r="T1099" t="s">
        <v>96</v>
      </c>
    </row>
    <row r="1100" spans="1:20" ht="15" customHeight="1" x14ac:dyDescent="0.4">
      <c r="A1100" t="s">
        <v>4495</v>
      </c>
      <c r="B1100" t="s">
        <v>4495</v>
      </c>
      <c r="C1100" t="s">
        <v>151</v>
      </c>
      <c r="D1100" t="s">
        <v>81</v>
      </c>
      <c r="E1100" t="s">
        <v>4408</v>
      </c>
      <c r="F1100" t="s">
        <v>8130</v>
      </c>
      <c r="G1100" t="s">
        <v>8104</v>
      </c>
      <c r="H1100" t="s">
        <v>4494</v>
      </c>
      <c r="I1100" t="s">
        <v>31</v>
      </c>
      <c r="K1100" t="s">
        <v>31</v>
      </c>
      <c r="L1100" t="s">
        <v>8130</v>
      </c>
      <c r="M1100" t="s">
        <v>8130</v>
      </c>
      <c r="O1100" t="s">
        <v>14</v>
      </c>
      <c r="P1100" t="s">
        <v>4496</v>
      </c>
      <c r="Q1100" t="s">
        <v>4497</v>
      </c>
      <c r="R1100" t="s">
        <v>6279</v>
      </c>
      <c r="S1100" t="s">
        <v>6280</v>
      </c>
      <c r="T1100" t="s">
        <v>96</v>
      </c>
    </row>
    <row r="1101" spans="1:20" ht="15" customHeight="1" x14ac:dyDescent="0.4">
      <c r="A1101" t="s">
        <v>4500</v>
      </c>
      <c r="B1101" t="s">
        <v>4500</v>
      </c>
      <c r="C1101" t="s">
        <v>151</v>
      </c>
      <c r="D1101" t="s">
        <v>81</v>
      </c>
      <c r="E1101" t="s">
        <v>4408</v>
      </c>
      <c r="F1101" t="s">
        <v>8131</v>
      </c>
      <c r="G1101" t="s">
        <v>8104</v>
      </c>
      <c r="H1101" t="s">
        <v>4499</v>
      </c>
      <c r="I1101" t="s">
        <v>31</v>
      </c>
      <c r="K1101" t="s">
        <v>31</v>
      </c>
      <c r="L1101" t="s">
        <v>8131</v>
      </c>
      <c r="M1101" t="s">
        <v>8131</v>
      </c>
      <c r="O1101" t="s">
        <v>14</v>
      </c>
      <c r="P1101" t="s">
        <v>4501</v>
      </c>
      <c r="Q1101" t="s">
        <v>4502</v>
      </c>
      <c r="R1101" t="s">
        <v>6279</v>
      </c>
      <c r="S1101" t="s">
        <v>6280</v>
      </c>
      <c r="T1101" t="s">
        <v>96</v>
      </c>
    </row>
    <row r="1102" spans="1:20" ht="15" customHeight="1" x14ac:dyDescent="0.4">
      <c r="A1102" t="s">
        <v>4505</v>
      </c>
      <c r="B1102" t="s">
        <v>4505</v>
      </c>
      <c r="C1102" t="s">
        <v>151</v>
      </c>
      <c r="D1102" t="s">
        <v>81</v>
      </c>
      <c r="E1102" t="s">
        <v>4408</v>
      </c>
      <c r="F1102" t="s">
        <v>8132</v>
      </c>
      <c r="G1102" t="s">
        <v>8104</v>
      </c>
      <c r="H1102" t="s">
        <v>4504</v>
      </c>
      <c r="I1102" t="s">
        <v>31</v>
      </c>
      <c r="K1102" t="s">
        <v>31</v>
      </c>
      <c r="L1102" t="s">
        <v>8132</v>
      </c>
      <c r="M1102" t="s">
        <v>8132</v>
      </c>
      <c r="O1102" t="s">
        <v>14</v>
      </c>
      <c r="P1102" t="s">
        <v>4506</v>
      </c>
      <c r="Q1102" t="s">
        <v>4507</v>
      </c>
      <c r="R1102" t="s">
        <v>6279</v>
      </c>
      <c r="S1102" t="s">
        <v>6280</v>
      </c>
      <c r="T1102" t="s">
        <v>96</v>
      </c>
    </row>
    <row r="1103" spans="1:20" ht="15" customHeight="1" x14ac:dyDescent="0.4">
      <c r="A1103" t="s">
        <v>4510</v>
      </c>
      <c r="B1103" t="s">
        <v>4510</v>
      </c>
      <c r="C1103" t="s">
        <v>151</v>
      </c>
      <c r="D1103" t="s">
        <v>81</v>
      </c>
      <c r="E1103" t="s">
        <v>4408</v>
      </c>
      <c r="F1103" t="s">
        <v>8133</v>
      </c>
      <c r="G1103" t="s">
        <v>8104</v>
      </c>
      <c r="H1103" t="s">
        <v>4509</v>
      </c>
      <c r="I1103" t="s">
        <v>31</v>
      </c>
      <c r="K1103" t="s">
        <v>31</v>
      </c>
      <c r="L1103" t="s">
        <v>8133</v>
      </c>
      <c r="M1103" t="s">
        <v>8133</v>
      </c>
      <c r="O1103" t="s">
        <v>14</v>
      </c>
      <c r="P1103" t="s">
        <v>4511</v>
      </c>
      <c r="Q1103" t="s">
        <v>4512</v>
      </c>
      <c r="R1103" t="s">
        <v>6279</v>
      </c>
      <c r="S1103" t="s">
        <v>6280</v>
      </c>
      <c r="T1103" t="s">
        <v>96</v>
      </c>
    </row>
    <row r="1104" spans="1:20" ht="15" customHeight="1" x14ac:dyDescent="0.4">
      <c r="A1104" t="s">
        <v>4516</v>
      </c>
      <c r="B1104" t="s">
        <v>4516</v>
      </c>
      <c r="C1104" t="s">
        <v>151</v>
      </c>
      <c r="D1104" t="s">
        <v>81</v>
      </c>
      <c r="E1104" t="s">
        <v>4408</v>
      </c>
      <c r="F1104" t="s">
        <v>8134</v>
      </c>
      <c r="G1104" t="s">
        <v>8104</v>
      </c>
      <c r="H1104" t="s">
        <v>4514</v>
      </c>
      <c r="I1104" t="s">
        <v>31</v>
      </c>
      <c r="K1104" t="s">
        <v>31</v>
      </c>
      <c r="L1104" t="s">
        <v>8134</v>
      </c>
      <c r="M1104" t="s">
        <v>8134</v>
      </c>
      <c r="O1104" t="s">
        <v>14</v>
      </c>
      <c r="P1104" t="s">
        <v>4517</v>
      </c>
      <c r="Q1104" t="s">
        <v>4518</v>
      </c>
      <c r="R1104" t="s">
        <v>6279</v>
      </c>
      <c r="S1104" t="s">
        <v>6280</v>
      </c>
      <c r="T1104" t="s">
        <v>96</v>
      </c>
    </row>
    <row r="1105" spans="1:20" ht="15" customHeight="1" x14ac:dyDescent="0.4">
      <c r="A1105" t="s">
        <v>4522</v>
      </c>
      <c r="B1105" t="s">
        <v>4522</v>
      </c>
      <c r="C1105" t="s">
        <v>151</v>
      </c>
      <c r="D1105" t="s">
        <v>81</v>
      </c>
      <c r="E1105" t="s">
        <v>4408</v>
      </c>
      <c r="F1105" t="s">
        <v>8135</v>
      </c>
      <c r="G1105" t="s">
        <v>8104</v>
      </c>
      <c r="H1105" t="s">
        <v>4521</v>
      </c>
      <c r="I1105" t="s">
        <v>31</v>
      </c>
      <c r="K1105" t="s">
        <v>31</v>
      </c>
      <c r="L1105" t="s">
        <v>8135</v>
      </c>
      <c r="M1105" t="s">
        <v>8135</v>
      </c>
      <c r="O1105" t="s">
        <v>14</v>
      </c>
      <c r="P1105" t="s">
        <v>4523</v>
      </c>
      <c r="Q1105" t="s">
        <v>4524</v>
      </c>
      <c r="R1105" t="s">
        <v>6279</v>
      </c>
      <c r="S1105" t="s">
        <v>6280</v>
      </c>
      <c r="T1105" t="s">
        <v>96</v>
      </c>
    </row>
    <row r="1106" spans="1:20" ht="15" customHeight="1" x14ac:dyDescent="0.4">
      <c r="A1106" t="s">
        <v>4527</v>
      </c>
      <c r="B1106" t="s">
        <v>4527</v>
      </c>
      <c r="C1106" t="s">
        <v>151</v>
      </c>
      <c r="D1106" t="s">
        <v>81</v>
      </c>
      <c r="E1106" t="s">
        <v>4408</v>
      </c>
      <c r="F1106" t="s">
        <v>8136</v>
      </c>
      <c r="G1106" t="s">
        <v>8104</v>
      </c>
      <c r="H1106" t="s">
        <v>4526</v>
      </c>
      <c r="I1106" t="s">
        <v>31</v>
      </c>
      <c r="K1106" t="s">
        <v>31</v>
      </c>
      <c r="L1106" t="s">
        <v>8136</v>
      </c>
      <c r="M1106" t="s">
        <v>8136</v>
      </c>
      <c r="O1106" t="s">
        <v>14</v>
      </c>
      <c r="P1106" t="s">
        <v>4528</v>
      </c>
      <c r="Q1106" t="s">
        <v>4529</v>
      </c>
      <c r="R1106" t="s">
        <v>6279</v>
      </c>
      <c r="S1106" t="s">
        <v>6280</v>
      </c>
      <c r="T1106" t="s">
        <v>96</v>
      </c>
    </row>
    <row r="1107" spans="1:20" ht="15" customHeight="1" x14ac:dyDescent="0.4">
      <c r="A1107" t="s">
        <v>4532</v>
      </c>
      <c r="B1107" t="s">
        <v>4532</v>
      </c>
      <c r="C1107" t="s">
        <v>151</v>
      </c>
      <c r="D1107" t="s">
        <v>81</v>
      </c>
      <c r="E1107" t="s">
        <v>4408</v>
      </c>
      <c r="F1107" t="s">
        <v>8137</v>
      </c>
      <c r="G1107" t="s">
        <v>8104</v>
      </c>
      <c r="H1107" t="s">
        <v>4531</v>
      </c>
      <c r="I1107" t="s">
        <v>31</v>
      </c>
      <c r="K1107" t="s">
        <v>31</v>
      </c>
      <c r="L1107" t="s">
        <v>8137</v>
      </c>
      <c r="M1107" t="s">
        <v>8137</v>
      </c>
      <c r="O1107" t="s">
        <v>14</v>
      </c>
      <c r="P1107" t="s">
        <v>4533</v>
      </c>
      <c r="Q1107" t="s">
        <v>4534</v>
      </c>
      <c r="R1107" t="s">
        <v>6279</v>
      </c>
      <c r="S1107" t="s">
        <v>6280</v>
      </c>
      <c r="T1107" t="s">
        <v>96</v>
      </c>
    </row>
    <row r="1108" spans="1:20" ht="15" customHeight="1" x14ac:dyDescent="0.4">
      <c r="A1108" t="s">
        <v>4537</v>
      </c>
      <c r="B1108" t="s">
        <v>4537</v>
      </c>
      <c r="C1108" t="s">
        <v>151</v>
      </c>
      <c r="D1108" t="s">
        <v>81</v>
      </c>
      <c r="E1108" t="s">
        <v>4408</v>
      </c>
      <c r="F1108" t="s">
        <v>8138</v>
      </c>
      <c r="G1108" t="s">
        <v>8104</v>
      </c>
      <c r="H1108" t="s">
        <v>4536</v>
      </c>
      <c r="I1108" t="s">
        <v>31</v>
      </c>
      <c r="K1108" t="s">
        <v>31</v>
      </c>
      <c r="L1108" t="s">
        <v>8138</v>
      </c>
      <c r="M1108" t="s">
        <v>8138</v>
      </c>
      <c r="O1108" t="s">
        <v>14</v>
      </c>
      <c r="P1108" t="s">
        <v>4538</v>
      </c>
      <c r="Q1108" t="s">
        <v>4539</v>
      </c>
      <c r="R1108" t="s">
        <v>6279</v>
      </c>
      <c r="S1108" t="s">
        <v>6280</v>
      </c>
      <c r="T1108" t="s">
        <v>96</v>
      </c>
    </row>
    <row r="1109" spans="1:20" ht="15" customHeight="1" x14ac:dyDescent="0.4">
      <c r="A1109" t="s">
        <v>4542</v>
      </c>
      <c r="B1109" t="s">
        <v>4542</v>
      </c>
      <c r="C1109" t="s">
        <v>151</v>
      </c>
      <c r="D1109" t="s">
        <v>81</v>
      </c>
      <c r="E1109" t="s">
        <v>4408</v>
      </c>
      <c r="F1109" t="s">
        <v>8139</v>
      </c>
      <c r="G1109" t="s">
        <v>8104</v>
      </c>
      <c r="H1109" t="s">
        <v>4541</v>
      </c>
      <c r="I1109" t="s">
        <v>31</v>
      </c>
      <c r="K1109" t="s">
        <v>31</v>
      </c>
      <c r="L1109" t="s">
        <v>8139</v>
      </c>
      <c r="M1109" t="s">
        <v>8139</v>
      </c>
      <c r="O1109" t="s">
        <v>14</v>
      </c>
      <c r="P1109" t="s">
        <v>4543</v>
      </c>
      <c r="Q1109" t="s">
        <v>4544</v>
      </c>
      <c r="R1109" t="s">
        <v>6279</v>
      </c>
      <c r="S1109" t="s">
        <v>6280</v>
      </c>
      <c r="T1109" t="s">
        <v>96</v>
      </c>
    </row>
    <row r="1110" spans="1:20" ht="15" customHeight="1" x14ac:dyDescent="0.4">
      <c r="A1110" t="s">
        <v>4547</v>
      </c>
      <c r="B1110" t="s">
        <v>4547</v>
      </c>
      <c r="C1110" t="s">
        <v>151</v>
      </c>
      <c r="D1110" t="s">
        <v>81</v>
      </c>
      <c r="E1110" t="s">
        <v>4408</v>
      </c>
      <c r="F1110" t="s">
        <v>8140</v>
      </c>
      <c r="G1110" t="s">
        <v>8104</v>
      </c>
      <c r="H1110" t="s">
        <v>4546</v>
      </c>
      <c r="I1110" t="s">
        <v>31</v>
      </c>
      <c r="K1110" t="s">
        <v>31</v>
      </c>
      <c r="L1110" t="s">
        <v>8140</v>
      </c>
      <c r="M1110" t="s">
        <v>8140</v>
      </c>
      <c r="O1110" t="s">
        <v>14</v>
      </c>
      <c r="P1110" t="s">
        <v>4548</v>
      </c>
      <c r="Q1110" t="s">
        <v>4549</v>
      </c>
      <c r="R1110" t="s">
        <v>6279</v>
      </c>
      <c r="S1110" t="s">
        <v>6280</v>
      </c>
      <c r="T1110" t="s">
        <v>96</v>
      </c>
    </row>
    <row r="1111" spans="1:20" ht="15" customHeight="1" x14ac:dyDescent="0.4">
      <c r="A1111" t="s">
        <v>4552</v>
      </c>
      <c r="B1111" t="s">
        <v>4552</v>
      </c>
      <c r="C1111" t="s">
        <v>151</v>
      </c>
      <c r="D1111" t="s">
        <v>81</v>
      </c>
      <c r="E1111" t="s">
        <v>4408</v>
      </c>
      <c r="F1111" t="s">
        <v>8141</v>
      </c>
      <c r="G1111" t="s">
        <v>8104</v>
      </c>
      <c r="H1111" t="s">
        <v>4551</v>
      </c>
      <c r="I1111" t="s">
        <v>31</v>
      </c>
      <c r="K1111" t="s">
        <v>31</v>
      </c>
      <c r="L1111" t="s">
        <v>8141</v>
      </c>
      <c r="M1111" t="s">
        <v>8141</v>
      </c>
      <c r="O1111" t="s">
        <v>14</v>
      </c>
      <c r="P1111" t="s">
        <v>4553</v>
      </c>
      <c r="Q1111" t="s">
        <v>4554</v>
      </c>
      <c r="R1111" t="s">
        <v>6279</v>
      </c>
      <c r="S1111" t="s">
        <v>6280</v>
      </c>
      <c r="T1111" t="s">
        <v>96</v>
      </c>
    </row>
    <row r="1112" spans="1:20" ht="15" customHeight="1" x14ac:dyDescent="0.4">
      <c r="A1112" t="s">
        <v>4557</v>
      </c>
      <c r="B1112" t="s">
        <v>4557</v>
      </c>
      <c r="C1112" t="s">
        <v>151</v>
      </c>
      <c r="D1112" t="s">
        <v>81</v>
      </c>
      <c r="E1112" t="s">
        <v>4408</v>
      </c>
      <c r="F1112" t="s">
        <v>8142</v>
      </c>
      <c r="G1112" t="s">
        <v>8104</v>
      </c>
      <c r="H1112" t="s">
        <v>4556</v>
      </c>
      <c r="I1112" t="s">
        <v>31</v>
      </c>
      <c r="K1112" t="s">
        <v>31</v>
      </c>
      <c r="L1112" t="s">
        <v>8142</v>
      </c>
      <c r="M1112" t="s">
        <v>8142</v>
      </c>
      <c r="O1112" t="s">
        <v>14</v>
      </c>
      <c r="P1112" t="s">
        <v>4558</v>
      </c>
      <c r="Q1112" t="s">
        <v>4559</v>
      </c>
      <c r="R1112" t="s">
        <v>6279</v>
      </c>
      <c r="S1112" t="s">
        <v>6280</v>
      </c>
      <c r="T1112" t="s">
        <v>96</v>
      </c>
    </row>
    <row r="1113" spans="1:20" ht="15" customHeight="1" x14ac:dyDescent="0.4">
      <c r="A1113" t="s">
        <v>4562</v>
      </c>
      <c r="B1113" t="s">
        <v>4562</v>
      </c>
      <c r="C1113" t="s">
        <v>151</v>
      </c>
      <c r="D1113" t="s">
        <v>81</v>
      </c>
      <c r="E1113" t="s">
        <v>4408</v>
      </c>
      <c r="F1113" t="s">
        <v>8143</v>
      </c>
      <c r="G1113" t="s">
        <v>8104</v>
      </c>
      <c r="H1113" t="s">
        <v>4561</v>
      </c>
      <c r="I1113" t="s">
        <v>31</v>
      </c>
      <c r="K1113" t="s">
        <v>31</v>
      </c>
      <c r="L1113" t="s">
        <v>8143</v>
      </c>
      <c r="M1113" t="s">
        <v>8143</v>
      </c>
      <c r="O1113" t="s">
        <v>14</v>
      </c>
      <c r="P1113" t="s">
        <v>4563</v>
      </c>
      <c r="Q1113" t="s">
        <v>4564</v>
      </c>
      <c r="R1113" t="s">
        <v>6279</v>
      </c>
      <c r="S1113" t="s">
        <v>6280</v>
      </c>
      <c r="T1113" t="s">
        <v>96</v>
      </c>
    </row>
    <row r="1114" spans="1:20" ht="15" customHeight="1" x14ac:dyDescent="0.4">
      <c r="A1114" t="s">
        <v>4567</v>
      </c>
      <c r="B1114" t="s">
        <v>4567</v>
      </c>
      <c r="C1114" t="s">
        <v>151</v>
      </c>
      <c r="D1114" t="s">
        <v>81</v>
      </c>
      <c r="E1114" t="s">
        <v>4408</v>
      </c>
      <c r="F1114" t="s">
        <v>8144</v>
      </c>
      <c r="G1114" t="s">
        <v>8104</v>
      </c>
      <c r="H1114" t="s">
        <v>4566</v>
      </c>
      <c r="I1114" t="s">
        <v>31</v>
      </c>
      <c r="K1114" t="s">
        <v>31</v>
      </c>
      <c r="L1114" t="s">
        <v>8144</v>
      </c>
      <c r="M1114" t="s">
        <v>8144</v>
      </c>
      <c r="O1114" t="s">
        <v>14</v>
      </c>
      <c r="P1114" t="s">
        <v>4568</v>
      </c>
      <c r="Q1114" t="s">
        <v>4569</v>
      </c>
      <c r="R1114" t="s">
        <v>6279</v>
      </c>
      <c r="S1114" t="s">
        <v>6280</v>
      </c>
      <c r="T1114" t="s">
        <v>96</v>
      </c>
    </row>
    <row r="1115" spans="1:20" ht="15" customHeight="1" x14ac:dyDescent="0.4">
      <c r="A1115" t="s">
        <v>4572</v>
      </c>
      <c r="B1115" t="s">
        <v>4572</v>
      </c>
      <c r="C1115" t="s">
        <v>151</v>
      </c>
      <c r="D1115" t="s">
        <v>81</v>
      </c>
      <c r="E1115" t="s">
        <v>4408</v>
      </c>
      <c r="F1115" t="s">
        <v>8145</v>
      </c>
      <c r="G1115" t="s">
        <v>8104</v>
      </c>
      <c r="H1115" t="s">
        <v>4571</v>
      </c>
      <c r="I1115" t="s">
        <v>31</v>
      </c>
      <c r="K1115" t="s">
        <v>31</v>
      </c>
      <c r="L1115" t="s">
        <v>8145</v>
      </c>
      <c r="M1115" t="s">
        <v>8145</v>
      </c>
      <c r="O1115" t="s">
        <v>14</v>
      </c>
      <c r="P1115" t="s">
        <v>4573</v>
      </c>
      <c r="Q1115" t="s">
        <v>4574</v>
      </c>
      <c r="R1115" t="s">
        <v>6279</v>
      </c>
      <c r="S1115" t="s">
        <v>6280</v>
      </c>
      <c r="T1115" t="s">
        <v>96</v>
      </c>
    </row>
    <row r="1116" spans="1:20" ht="15" customHeight="1" x14ac:dyDescent="0.4">
      <c r="A1116" t="s">
        <v>4577</v>
      </c>
      <c r="B1116" t="s">
        <v>4577</v>
      </c>
      <c r="C1116" t="s">
        <v>151</v>
      </c>
      <c r="D1116" t="s">
        <v>81</v>
      </c>
      <c r="E1116" t="s">
        <v>4408</v>
      </c>
      <c r="F1116" t="s">
        <v>8146</v>
      </c>
      <c r="G1116" t="s">
        <v>8104</v>
      </c>
      <c r="H1116" t="s">
        <v>4576</v>
      </c>
      <c r="I1116" t="s">
        <v>31</v>
      </c>
      <c r="K1116" t="s">
        <v>31</v>
      </c>
      <c r="L1116" t="s">
        <v>8146</v>
      </c>
      <c r="M1116" t="s">
        <v>8146</v>
      </c>
      <c r="O1116" t="s">
        <v>14</v>
      </c>
      <c r="P1116" t="s">
        <v>4578</v>
      </c>
      <c r="Q1116" t="s">
        <v>4579</v>
      </c>
      <c r="R1116" t="s">
        <v>6279</v>
      </c>
      <c r="S1116" t="s">
        <v>6280</v>
      </c>
      <c r="T1116" t="s">
        <v>96</v>
      </c>
    </row>
    <row r="1117" spans="1:20" ht="15" customHeight="1" x14ac:dyDescent="0.4">
      <c r="A1117" t="s">
        <v>4582</v>
      </c>
      <c r="B1117" t="s">
        <v>4582</v>
      </c>
      <c r="C1117" t="s">
        <v>151</v>
      </c>
      <c r="D1117" t="s">
        <v>81</v>
      </c>
      <c r="E1117" t="s">
        <v>4408</v>
      </c>
      <c r="F1117" t="s">
        <v>8147</v>
      </c>
      <c r="G1117" t="s">
        <v>8104</v>
      </c>
      <c r="H1117" t="s">
        <v>4581</v>
      </c>
      <c r="I1117" t="s">
        <v>31</v>
      </c>
      <c r="K1117" t="s">
        <v>31</v>
      </c>
      <c r="L1117" t="s">
        <v>8147</v>
      </c>
      <c r="M1117" t="s">
        <v>8147</v>
      </c>
      <c r="O1117" t="s">
        <v>14</v>
      </c>
      <c r="P1117" t="s">
        <v>4583</v>
      </c>
      <c r="Q1117" t="s">
        <v>4584</v>
      </c>
      <c r="R1117" t="s">
        <v>6279</v>
      </c>
      <c r="S1117" t="s">
        <v>6280</v>
      </c>
      <c r="T1117" t="s">
        <v>96</v>
      </c>
    </row>
    <row r="1118" spans="1:20" ht="15" customHeight="1" x14ac:dyDescent="0.4">
      <c r="A1118" t="s">
        <v>4587</v>
      </c>
      <c r="B1118" t="s">
        <v>4587</v>
      </c>
      <c r="C1118" t="s">
        <v>151</v>
      </c>
      <c r="D1118" t="s">
        <v>81</v>
      </c>
      <c r="E1118" t="s">
        <v>4408</v>
      </c>
      <c r="F1118" t="s">
        <v>8148</v>
      </c>
      <c r="G1118" t="s">
        <v>8104</v>
      </c>
      <c r="H1118" t="s">
        <v>4586</v>
      </c>
      <c r="I1118" t="s">
        <v>31</v>
      </c>
      <c r="K1118" t="s">
        <v>31</v>
      </c>
      <c r="L1118" t="s">
        <v>8148</v>
      </c>
      <c r="M1118" t="s">
        <v>8148</v>
      </c>
      <c r="O1118" t="s">
        <v>14</v>
      </c>
      <c r="P1118" t="s">
        <v>4588</v>
      </c>
      <c r="Q1118" t="s">
        <v>4589</v>
      </c>
      <c r="R1118" t="s">
        <v>6279</v>
      </c>
      <c r="S1118" t="s">
        <v>6280</v>
      </c>
      <c r="T1118" t="s">
        <v>96</v>
      </c>
    </row>
    <row r="1119" spans="1:20" ht="15" customHeight="1" x14ac:dyDescent="0.4">
      <c r="A1119" t="s">
        <v>4592</v>
      </c>
      <c r="B1119" t="s">
        <v>4592</v>
      </c>
      <c r="C1119" t="s">
        <v>151</v>
      </c>
      <c r="D1119" t="s">
        <v>81</v>
      </c>
      <c r="E1119" t="s">
        <v>4408</v>
      </c>
      <c r="F1119" t="s">
        <v>8149</v>
      </c>
      <c r="G1119" t="s">
        <v>8104</v>
      </c>
      <c r="H1119" t="s">
        <v>4591</v>
      </c>
      <c r="I1119" t="s">
        <v>31</v>
      </c>
      <c r="K1119" t="s">
        <v>31</v>
      </c>
      <c r="L1119" t="s">
        <v>8149</v>
      </c>
      <c r="M1119" t="s">
        <v>8149</v>
      </c>
      <c r="O1119" t="s">
        <v>14</v>
      </c>
      <c r="P1119" t="s">
        <v>4593</v>
      </c>
      <c r="Q1119" t="s">
        <v>4594</v>
      </c>
      <c r="R1119" t="s">
        <v>6279</v>
      </c>
      <c r="S1119" t="s">
        <v>6280</v>
      </c>
      <c r="T1119" t="s">
        <v>96</v>
      </c>
    </row>
    <row r="1120" spans="1:20" ht="15" customHeight="1" x14ac:dyDescent="0.4">
      <c r="A1120" t="s">
        <v>4597</v>
      </c>
      <c r="B1120" t="s">
        <v>4597</v>
      </c>
      <c r="C1120" t="s">
        <v>151</v>
      </c>
      <c r="D1120" t="s">
        <v>81</v>
      </c>
      <c r="E1120" t="s">
        <v>4408</v>
      </c>
      <c r="F1120" t="s">
        <v>8150</v>
      </c>
      <c r="G1120" t="s">
        <v>8104</v>
      </c>
      <c r="H1120" t="s">
        <v>4596</v>
      </c>
      <c r="I1120" t="s">
        <v>31</v>
      </c>
      <c r="K1120" t="s">
        <v>31</v>
      </c>
      <c r="L1120" t="s">
        <v>8150</v>
      </c>
      <c r="M1120" t="s">
        <v>8150</v>
      </c>
      <c r="O1120" t="s">
        <v>14</v>
      </c>
      <c r="P1120" t="s">
        <v>4598</v>
      </c>
      <c r="Q1120" t="s">
        <v>4599</v>
      </c>
      <c r="R1120" t="s">
        <v>6279</v>
      </c>
      <c r="S1120" t="s">
        <v>6280</v>
      </c>
      <c r="T1120" t="s">
        <v>96</v>
      </c>
    </row>
    <row r="1121" spans="1:20" ht="15" customHeight="1" x14ac:dyDescent="0.4">
      <c r="A1121" t="s">
        <v>4602</v>
      </c>
      <c r="B1121" t="s">
        <v>4602</v>
      </c>
      <c r="C1121" t="s">
        <v>151</v>
      </c>
      <c r="D1121" t="s">
        <v>81</v>
      </c>
      <c r="E1121" t="s">
        <v>4408</v>
      </c>
      <c r="F1121" t="s">
        <v>8151</v>
      </c>
      <c r="G1121" t="s">
        <v>8104</v>
      </c>
      <c r="H1121" t="s">
        <v>4601</v>
      </c>
      <c r="I1121" t="s">
        <v>31</v>
      </c>
      <c r="K1121" t="s">
        <v>31</v>
      </c>
      <c r="L1121" t="s">
        <v>8151</v>
      </c>
      <c r="M1121" t="s">
        <v>8151</v>
      </c>
      <c r="O1121" t="s">
        <v>14</v>
      </c>
      <c r="P1121" t="s">
        <v>4603</v>
      </c>
      <c r="Q1121" t="s">
        <v>4604</v>
      </c>
      <c r="R1121" t="s">
        <v>6279</v>
      </c>
      <c r="S1121" t="s">
        <v>6280</v>
      </c>
      <c r="T1121" t="s">
        <v>96</v>
      </c>
    </row>
    <row r="1122" spans="1:20" ht="15" customHeight="1" x14ac:dyDescent="0.4">
      <c r="A1122" t="s">
        <v>4607</v>
      </c>
      <c r="B1122" t="s">
        <v>4607</v>
      </c>
      <c r="C1122" t="s">
        <v>151</v>
      </c>
      <c r="D1122" t="s">
        <v>81</v>
      </c>
      <c r="E1122" t="s">
        <v>4408</v>
      </c>
      <c r="F1122" t="s">
        <v>8152</v>
      </c>
      <c r="G1122" t="s">
        <v>8104</v>
      </c>
      <c r="H1122" t="s">
        <v>4606</v>
      </c>
      <c r="I1122" t="s">
        <v>31</v>
      </c>
      <c r="K1122" t="s">
        <v>31</v>
      </c>
      <c r="L1122" t="s">
        <v>8152</v>
      </c>
      <c r="M1122" t="s">
        <v>8152</v>
      </c>
      <c r="O1122" t="s">
        <v>14</v>
      </c>
      <c r="P1122" t="s">
        <v>4608</v>
      </c>
      <c r="Q1122" t="s">
        <v>4609</v>
      </c>
      <c r="R1122" t="s">
        <v>6279</v>
      </c>
      <c r="S1122" t="s">
        <v>6280</v>
      </c>
      <c r="T1122" t="s">
        <v>96</v>
      </c>
    </row>
    <row r="1123" spans="1:20" ht="15" customHeight="1" x14ac:dyDescent="0.4">
      <c r="A1123" t="s">
        <v>4612</v>
      </c>
      <c r="B1123" t="s">
        <v>4612</v>
      </c>
      <c r="C1123" t="s">
        <v>151</v>
      </c>
      <c r="D1123" t="s">
        <v>81</v>
      </c>
      <c r="E1123" t="s">
        <v>4408</v>
      </c>
      <c r="F1123" t="s">
        <v>8153</v>
      </c>
      <c r="G1123" t="s">
        <v>8104</v>
      </c>
      <c r="H1123" t="s">
        <v>4611</v>
      </c>
      <c r="I1123" t="s">
        <v>31</v>
      </c>
      <c r="K1123" t="s">
        <v>31</v>
      </c>
      <c r="L1123" t="s">
        <v>8153</v>
      </c>
      <c r="M1123" t="s">
        <v>8153</v>
      </c>
      <c r="O1123" t="s">
        <v>14</v>
      </c>
      <c r="P1123" t="s">
        <v>4613</v>
      </c>
      <c r="Q1123" t="s">
        <v>4614</v>
      </c>
      <c r="R1123" t="s">
        <v>6279</v>
      </c>
      <c r="S1123" t="s">
        <v>6280</v>
      </c>
      <c r="T1123" t="s">
        <v>96</v>
      </c>
    </row>
    <row r="1124" spans="1:20" ht="15" customHeight="1" x14ac:dyDescent="0.4">
      <c r="A1124" t="s">
        <v>4617</v>
      </c>
      <c r="B1124" t="s">
        <v>4617</v>
      </c>
      <c r="C1124" t="s">
        <v>151</v>
      </c>
      <c r="D1124" t="s">
        <v>81</v>
      </c>
      <c r="E1124" t="s">
        <v>4408</v>
      </c>
      <c r="F1124" t="s">
        <v>8154</v>
      </c>
      <c r="G1124" t="s">
        <v>8104</v>
      </c>
      <c r="H1124" t="s">
        <v>4616</v>
      </c>
      <c r="I1124" t="s">
        <v>31</v>
      </c>
      <c r="K1124" t="s">
        <v>31</v>
      </c>
      <c r="L1124" t="s">
        <v>8154</v>
      </c>
      <c r="M1124" t="s">
        <v>8154</v>
      </c>
      <c r="O1124" t="s">
        <v>14</v>
      </c>
      <c r="P1124" t="s">
        <v>4618</v>
      </c>
      <c r="Q1124" t="s">
        <v>4619</v>
      </c>
      <c r="R1124" t="s">
        <v>6279</v>
      </c>
      <c r="S1124" t="s">
        <v>6280</v>
      </c>
      <c r="T1124" t="s">
        <v>96</v>
      </c>
    </row>
    <row r="1125" spans="1:20" ht="15" customHeight="1" x14ac:dyDescent="0.4">
      <c r="A1125" t="s">
        <v>4622</v>
      </c>
      <c r="B1125" t="s">
        <v>4622</v>
      </c>
      <c r="C1125" t="s">
        <v>151</v>
      </c>
      <c r="D1125" t="s">
        <v>81</v>
      </c>
      <c r="E1125" t="s">
        <v>4408</v>
      </c>
      <c r="F1125" t="s">
        <v>8155</v>
      </c>
      <c r="G1125" t="s">
        <v>8104</v>
      </c>
      <c r="H1125" t="s">
        <v>4621</v>
      </c>
      <c r="I1125" t="s">
        <v>31</v>
      </c>
      <c r="K1125" t="s">
        <v>31</v>
      </c>
      <c r="L1125" t="s">
        <v>8155</v>
      </c>
      <c r="M1125" t="s">
        <v>8155</v>
      </c>
      <c r="O1125" t="s">
        <v>14</v>
      </c>
      <c r="P1125" t="s">
        <v>4623</v>
      </c>
      <c r="Q1125" t="s">
        <v>4624</v>
      </c>
      <c r="R1125" t="s">
        <v>6279</v>
      </c>
      <c r="S1125" t="s">
        <v>6280</v>
      </c>
      <c r="T1125" t="s">
        <v>96</v>
      </c>
    </row>
    <row r="1126" spans="1:20" ht="15" customHeight="1" x14ac:dyDescent="0.4">
      <c r="A1126" t="s">
        <v>4628</v>
      </c>
      <c r="B1126" t="s">
        <v>4628</v>
      </c>
      <c r="C1126" t="s">
        <v>151</v>
      </c>
      <c r="D1126" t="s">
        <v>81</v>
      </c>
      <c r="E1126" t="s">
        <v>4408</v>
      </c>
      <c r="F1126" t="s">
        <v>8156</v>
      </c>
      <c r="G1126" t="s">
        <v>8104</v>
      </c>
      <c r="H1126" t="s">
        <v>4626</v>
      </c>
      <c r="I1126" t="s">
        <v>31</v>
      </c>
      <c r="L1126" t="s">
        <v>8156</v>
      </c>
      <c r="M1126" t="s">
        <v>8156</v>
      </c>
      <c r="O1126" t="s">
        <v>14</v>
      </c>
      <c r="P1126" t="s">
        <v>4629</v>
      </c>
      <c r="Q1126" t="s">
        <v>4630</v>
      </c>
      <c r="R1126" t="s">
        <v>6279</v>
      </c>
      <c r="S1126" t="s">
        <v>6280</v>
      </c>
      <c r="T1126" t="s">
        <v>119</v>
      </c>
    </row>
    <row r="1127" spans="1:20" ht="15" customHeight="1" x14ac:dyDescent="0.4">
      <c r="A1127" t="s">
        <v>4632</v>
      </c>
      <c r="B1127" t="s">
        <v>4632</v>
      </c>
      <c r="C1127" t="s">
        <v>151</v>
      </c>
      <c r="D1127" t="s">
        <v>81</v>
      </c>
      <c r="E1127" t="s">
        <v>4408</v>
      </c>
      <c r="F1127" t="s">
        <v>8157</v>
      </c>
      <c r="G1127" t="s">
        <v>8104</v>
      </c>
      <c r="H1127" t="s">
        <v>4631</v>
      </c>
      <c r="I1127" t="s">
        <v>31</v>
      </c>
      <c r="K1127" t="s">
        <v>31</v>
      </c>
      <c r="L1127" t="s">
        <v>8157</v>
      </c>
      <c r="M1127" t="s">
        <v>8157</v>
      </c>
      <c r="O1127" t="s">
        <v>14</v>
      </c>
      <c r="P1127" t="s">
        <v>4633</v>
      </c>
      <c r="Q1127" t="s">
        <v>4634</v>
      </c>
      <c r="R1127" t="s">
        <v>6279</v>
      </c>
      <c r="S1127" t="s">
        <v>6280</v>
      </c>
      <c r="T1127" t="s">
        <v>96</v>
      </c>
    </row>
    <row r="1128" spans="1:20" ht="15" customHeight="1" x14ac:dyDescent="0.4">
      <c r="A1128" t="s">
        <v>4637</v>
      </c>
      <c r="B1128" t="s">
        <v>4637</v>
      </c>
      <c r="C1128" t="s">
        <v>151</v>
      </c>
      <c r="D1128" t="s">
        <v>81</v>
      </c>
      <c r="E1128" t="s">
        <v>4408</v>
      </c>
      <c r="F1128" t="s">
        <v>8158</v>
      </c>
      <c r="G1128" t="s">
        <v>8104</v>
      </c>
      <c r="H1128" t="s">
        <v>4636</v>
      </c>
      <c r="I1128" t="s">
        <v>31</v>
      </c>
      <c r="K1128" t="s">
        <v>31</v>
      </c>
      <c r="L1128" t="s">
        <v>8158</v>
      </c>
      <c r="M1128" t="s">
        <v>8158</v>
      </c>
      <c r="O1128" t="s">
        <v>14</v>
      </c>
      <c r="P1128" t="s">
        <v>4638</v>
      </c>
      <c r="Q1128" t="s">
        <v>4639</v>
      </c>
      <c r="R1128" t="s">
        <v>6279</v>
      </c>
      <c r="S1128" t="s">
        <v>6280</v>
      </c>
      <c r="T1128" t="s">
        <v>96</v>
      </c>
    </row>
    <row r="1129" spans="1:20" ht="15" customHeight="1" x14ac:dyDescent="0.4">
      <c r="A1129" t="s">
        <v>4642</v>
      </c>
      <c r="B1129" t="s">
        <v>4642</v>
      </c>
      <c r="C1129" t="s">
        <v>151</v>
      </c>
      <c r="D1129" t="s">
        <v>81</v>
      </c>
      <c r="E1129" t="s">
        <v>4408</v>
      </c>
      <c r="F1129" t="s">
        <v>8159</v>
      </c>
      <c r="G1129" t="s">
        <v>8104</v>
      </c>
      <c r="H1129" t="s">
        <v>4641</v>
      </c>
      <c r="I1129" t="s">
        <v>31</v>
      </c>
      <c r="K1129" t="s">
        <v>31</v>
      </c>
      <c r="L1129" t="s">
        <v>8159</v>
      </c>
      <c r="M1129" t="s">
        <v>8159</v>
      </c>
      <c r="O1129" t="s">
        <v>14</v>
      </c>
      <c r="P1129" t="s">
        <v>4643</v>
      </c>
      <c r="Q1129" t="s">
        <v>4644</v>
      </c>
      <c r="R1129" t="s">
        <v>6279</v>
      </c>
      <c r="S1129" t="s">
        <v>6280</v>
      </c>
      <c r="T1129" t="s">
        <v>96</v>
      </c>
    </row>
    <row r="1130" spans="1:20" ht="15" customHeight="1" x14ac:dyDescent="0.4">
      <c r="A1130" t="s">
        <v>4647</v>
      </c>
      <c r="B1130" t="s">
        <v>4647</v>
      </c>
      <c r="C1130" t="s">
        <v>151</v>
      </c>
      <c r="D1130" t="s">
        <v>81</v>
      </c>
      <c r="E1130" t="s">
        <v>4408</v>
      </c>
      <c r="F1130" t="s">
        <v>8160</v>
      </c>
      <c r="G1130" t="s">
        <v>8104</v>
      </c>
      <c r="H1130" t="s">
        <v>4646</v>
      </c>
      <c r="I1130" t="s">
        <v>31</v>
      </c>
      <c r="K1130" t="s">
        <v>31</v>
      </c>
      <c r="L1130" t="s">
        <v>8160</v>
      </c>
      <c r="M1130" t="s">
        <v>8160</v>
      </c>
      <c r="O1130" t="s">
        <v>14</v>
      </c>
      <c r="P1130" t="s">
        <v>4648</v>
      </c>
      <c r="Q1130" t="s">
        <v>4649</v>
      </c>
      <c r="R1130" t="s">
        <v>6279</v>
      </c>
      <c r="S1130" t="s">
        <v>6280</v>
      </c>
      <c r="T1130" t="s">
        <v>96</v>
      </c>
    </row>
    <row r="1131" spans="1:20" ht="15" customHeight="1" x14ac:dyDescent="0.4">
      <c r="A1131" t="s">
        <v>4652</v>
      </c>
      <c r="B1131" t="s">
        <v>4652</v>
      </c>
      <c r="C1131" t="s">
        <v>151</v>
      </c>
      <c r="D1131" t="s">
        <v>81</v>
      </c>
      <c r="E1131" t="s">
        <v>4408</v>
      </c>
      <c r="F1131" t="s">
        <v>8161</v>
      </c>
      <c r="G1131" t="s">
        <v>8104</v>
      </c>
      <c r="H1131" t="s">
        <v>4651</v>
      </c>
      <c r="I1131" t="s">
        <v>31</v>
      </c>
      <c r="K1131" t="s">
        <v>31</v>
      </c>
      <c r="L1131" t="s">
        <v>8161</v>
      </c>
      <c r="M1131" t="s">
        <v>8161</v>
      </c>
      <c r="O1131" t="s">
        <v>14</v>
      </c>
      <c r="P1131" t="s">
        <v>4653</v>
      </c>
      <c r="Q1131" t="s">
        <v>4654</v>
      </c>
      <c r="R1131" t="s">
        <v>6279</v>
      </c>
      <c r="S1131" t="s">
        <v>6280</v>
      </c>
      <c r="T1131" t="s">
        <v>96</v>
      </c>
    </row>
    <row r="1132" spans="1:20" ht="15" customHeight="1" x14ac:dyDescent="0.4">
      <c r="A1132" t="s">
        <v>4657</v>
      </c>
      <c r="B1132" t="s">
        <v>4657</v>
      </c>
      <c r="C1132" t="s">
        <v>151</v>
      </c>
      <c r="D1132" t="s">
        <v>81</v>
      </c>
      <c r="E1132" t="s">
        <v>4408</v>
      </c>
      <c r="F1132" t="s">
        <v>8162</v>
      </c>
      <c r="G1132" t="s">
        <v>8104</v>
      </c>
      <c r="H1132" t="s">
        <v>4656</v>
      </c>
      <c r="I1132" t="s">
        <v>31</v>
      </c>
      <c r="K1132" t="s">
        <v>31</v>
      </c>
      <c r="L1132" t="s">
        <v>8162</v>
      </c>
      <c r="M1132" t="s">
        <v>8162</v>
      </c>
      <c r="O1132" t="s">
        <v>14</v>
      </c>
      <c r="P1132" t="s">
        <v>4658</v>
      </c>
      <c r="Q1132" t="s">
        <v>4659</v>
      </c>
      <c r="R1132" t="s">
        <v>6279</v>
      </c>
      <c r="S1132" t="s">
        <v>6280</v>
      </c>
      <c r="T1132" t="s">
        <v>96</v>
      </c>
    </row>
    <row r="1133" spans="1:20" ht="15" customHeight="1" x14ac:dyDescent="0.4">
      <c r="A1133" t="s">
        <v>4662</v>
      </c>
      <c r="B1133" t="s">
        <v>4662</v>
      </c>
      <c r="C1133" t="s">
        <v>151</v>
      </c>
      <c r="D1133" t="s">
        <v>81</v>
      </c>
      <c r="E1133" t="s">
        <v>4408</v>
      </c>
      <c r="F1133" t="s">
        <v>8163</v>
      </c>
      <c r="G1133" t="s">
        <v>8104</v>
      </c>
      <c r="H1133" t="s">
        <v>4661</v>
      </c>
      <c r="I1133" t="s">
        <v>31</v>
      </c>
      <c r="K1133" t="s">
        <v>31</v>
      </c>
      <c r="L1133" t="s">
        <v>8163</v>
      </c>
      <c r="M1133" t="s">
        <v>8163</v>
      </c>
      <c r="O1133" t="s">
        <v>14</v>
      </c>
      <c r="P1133" t="s">
        <v>4663</v>
      </c>
      <c r="Q1133" t="s">
        <v>4664</v>
      </c>
      <c r="R1133" t="s">
        <v>6279</v>
      </c>
      <c r="S1133" t="s">
        <v>6280</v>
      </c>
      <c r="T1133" t="s">
        <v>96</v>
      </c>
    </row>
    <row r="1134" spans="1:20" ht="15" customHeight="1" x14ac:dyDescent="0.4">
      <c r="A1134" t="s">
        <v>4667</v>
      </c>
      <c r="B1134" t="s">
        <v>4667</v>
      </c>
      <c r="C1134" t="s">
        <v>151</v>
      </c>
      <c r="D1134" t="s">
        <v>81</v>
      </c>
      <c r="E1134" t="s">
        <v>4408</v>
      </c>
      <c r="F1134" t="s">
        <v>8164</v>
      </c>
      <c r="G1134" t="s">
        <v>8104</v>
      </c>
      <c r="H1134" t="s">
        <v>4666</v>
      </c>
      <c r="I1134" t="s">
        <v>31</v>
      </c>
      <c r="K1134" t="s">
        <v>31</v>
      </c>
      <c r="L1134" t="s">
        <v>8164</v>
      </c>
      <c r="M1134" t="s">
        <v>8164</v>
      </c>
      <c r="O1134" t="s">
        <v>14</v>
      </c>
      <c r="P1134" t="s">
        <v>4668</v>
      </c>
      <c r="Q1134" t="s">
        <v>4669</v>
      </c>
      <c r="R1134" t="s">
        <v>6279</v>
      </c>
      <c r="S1134" t="s">
        <v>6280</v>
      </c>
      <c r="T1134" t="s">
        <v>96</v>
      </c>
    </row>
    <row r="1135" spans="1:20" ht="15" customHeight="1" x14ac:dyDescent="0.4">
      <c r="A1135" t="s">
        <v>4672</v>
      </c>
      <c r="B1135" t="s">
        <v>4672</v>
      </c>
      <c r="C1135" t="s">
        <v>151</v>
      </c>
      <c r="D1135" t="s">
        <v>81</v>
      </c>
      <c r="E1135" t="s">
        <v>4408</v>
      </c>
      <c r="F1135" t="s">
        <v>8165</v>
      </c>
      <c r="G1135" t="s">
        <v>8104</v>
      </c>
      <c r="H1135" t="s">
        <v>4671</v>
      </c>
      <c r="I1135" t="s">
        <v>31</v>
      </c>
      <c r="K1135" t="s">
        <v>31</v>
      </c>
      <c r="L1135" t="s">
        <v>8165</v>
      </c>
      <c r="M1135" t="s">
        <v>8165</v>
      </c>
      <c r="O1135" t="s">
        <v>14</v>
      </c>
      <c r="P1135" t="s">
        <v>4673</v>
      </c>
      <c r="Q1135" t="s">
        <v>4674</v>
      </c>
      <c r="R1135" t="s">
        <v>6279</v>
      </c>
      <c r="S1135" t="s">
        <v>6280</v>
      </c>
      <c r="T1135" t="s">
        <v>96</v>
      </c>
    </row>
    <row r="1136" spans="1:20" ht="15" customHeight="1" x14ac:dyDescent="0.4">
      <c r="A1136" t="s">
        <v>4677</v>
      </c>
      <c r="B1136" t="s">
        <v>4677</v>
      </c>
      <c r="C1136" t="s">
        <v>151</v>
      </c>
      <c r="D1136" t="s">
        <v>81</v>
      </c>
      <c r="E1136" t="s">
        <v>4408</v>
      </c>
      <c r="F1136" t="s">
        <v>8166</v>
      </c>
      <c r="G1136" t="s">
        <v>8104</v>
      </c>
      <c r="H1136" t="s">
        <v>4676</v>
      </c>
      <c r="I1136" t="s">
        <v>31</v>
      </c>
      <c r="K1136" t="s">
        <v>31</v>
      </c>
      <c r="L1136" t="s">
        <v>8166</v>
      </c>
      <c r="M1136" t="s">
        <v>8166</v>
      </c>
      <c r="O1136" t="s">
        <v>14</v>
      </c>
      <c r="P1136" t="s">
        <v>4678</v>
      </c>
      <c r="Q1136" t="s">
        <v>4679</v>
      </c>
      <c r="R1136" t="s">
        <v>6279</v>
      </c>
      <c r="S1136" t="s">
        <v>6280</v>
      </c>
      <c r="T1136" t="s">
        <v>96</v>
      </c>
    </row>
    <row r="1137" spans="1:20" ht="15" customHeight="1" x14ac:dyDescent="0.4">
      <c r="A1137" t="s">
        <v>4682</v>
      </c>
      <c r="B1137" t="s">
        <v>4682</v>
      </c>
      <c r="C1137" t="s">
        <v>151</v>
      </c>
      <c r="D1137" t="s">
        <v>81</v>
      </c>
      <c r="E1137" t="s">
        <v>4408</v>
      </c>
      <c r="F1137" t="s">
        <v>8167</v>
      </c>
      <c r="G1137" t="s">
        <v>8104</v>
      </c>
      <c r="H1137" t="s">
        <v>4681</v>
      </c>
      <c r="I1137" t="s">
        <v>31</v>
      </c>
      <c r="K1137" t="s">
        <v>31</v>
      </c>
      <c r="L1137" t="s">
        <v>8167</v>
      </c>
      <c r="M1137" t="s">
        <v>8167</v>
      </c>
      <c r="O1137" t="s">
        <v>14</v>
      </c>
      <c r="P1137" t="s">
        <v>4683</v>
      </c>
      <c r="Q1137" t="s">
        <v>4684</v>
      </c>
      <c r="R1137" t="s">
        <v>6279</v>
      </c>
      <c r="S1137" t="s">
        <v>6280</v>
      </c>
      <c r="T1137" t="s">
        <v>96</v>
      </c>
    </row>
    <row r="1138" spans="1:20" ht="15" customHeight="1" x14ac:dyDescent="0.4">
      <c r="A1138" t="s">
        <v>4687</v>
      </c>
      <c r="B1138" t="s">
        <v>4687</v>
      </c>
      <c r="C1138" t="s">
        <v>151</v>
      </c>
      <c r="D1138" t="s">
        <v>81</v>
      </c>
      <c r="E1138" t="s">
        <v>4408</v>
      </c>
      <c r="F1138" t="s">
        <v>8168</v>
      </c>
      <c r="G1138" t="s">
        <v>8104</v>
      </c>
      <c r="H1138" t="s">
        <v>4686</v>
      </c>
      <c r="I1138" t="s">
        <v>31</v>
      </c>
      <c r="K1138" t="s">
        <v>31</v>
      </c>
      <c r="L1138" t="s">
        <v>8168</v>
      </c>
      <c r="M1138" t="s">
        <v>8168</v>
      </c>
      <c r="O1138" t="s">
        <v>14</v>
      </c>
      <c r="P1138" t="s">
        <v>4688</v>
      </c>
      <c r="Q1138" t="s">
        <v>4689</v>
      </c>
      <c r="R1138" t="s">
        <v>6279</v>
      </c>
      <c r="S1138" t="s">
        <v>6280</v>
      </c>
      <c r="T1138" t="s">
        <v>96</v>
      </c>
    </row>
    <row r="1139" spans="1:20" ht="15" customHeight="1" x14ac:dyDescent="0.4">
      <c r="A1139" t="s">
        <v>4692</v>
      </c>
      <c r="B1139" t="s">
        <v>4692</v>
      </c>
      <c r="C1139" t="s">
        <v>151</v>
      </c>
      <c r="D1139" t="s">
        <v>81</v>
      </c>
      <c r="E1139" t="s">
        <v>4408</v>
      </c>
      <c r="F1139" t="s">
        <v>8169</v>
      </c>
      <c r="G1139" t="s">
        <v>8104</v>
      </c>
      <c r="H1139" t="s">
        <v>4691</v>
      </c>
      <c r="I1139" t="s">
        <v>31</v>
      </c>
      <c r="K1139" t="s">
        <v>31</v>
      </c>
      <c r="L1139" t="s">
        <v>8169</v>
      </c>
      <c r="M1139" t="s">
        <v>8169</v>
      </c>
      <c r="O1139" t="s">
        <v>14</v>
      </c>
      <c r="P1139" t="s">
        <v>4693</v>
      </c>
      <c r="Q1139" t="s">
        <v>4694</v>
      </c>
      <c r="R1139" t="s">
        <v>6279</v>
      </c>
      <c r="S1139" t="s">
        <v>6280</v>
      </c>
      <c r="T1139" t="s">
        <v>96</v>
      </c>
    </row>
    <row r="1140" spans="1:20" ht="15" customHeight="1" x14ac:dyDescent="0.4">
      <c r="A1140" t="s">
        <v>4697</v>
      </c>
      <c r="B1140" t="s">
        <v>4697</v>
      </c>
      <c r="C1140" t="s">
        <v>151</v>
      </c>
      <c r="D1140" t="s">
        <v>81</v>
      </c>
      <c r="E1140" t="s">
        <v>4408</v>
      </c>
      <c r="F1140" t="s">
        <v>8170</v>
      </c>
      <c r="G1140" t="s">
        <v>8104</v>
      </c>
      <c r="H1140" t="s">
        <v>4696</v>
      </c>
      <c r="I1140" t="s">
        <v>31</v>
      </c>
      <c r="K1140" t="s">
        <v>31</v>
      </c>
      <c r="L1140" t="s">
        <v>8170</v>
      </c>
      <c r="M1140" t="s">
        <v>8170</v>
      </c>
      <c r="O1140" t="s">
        <v>14</v>
      </c>
      <c r="P1140" t="s">
        <v>4698</v>
      </c>
      <c r="Q1140" t="s">
        <v>4699</v>
      </c>
      <c r="R1140" t="s">
        <v>6279</v>
      </c>
      <c r="S1140" t="s">
        <v>6280</v>
      </c>
      <c r="T1140" t="s">
        <v>96</v>
      </c>
    </row>
    <row r="1141" spans="1:20" ht="15" customHeight="1" x14ac:dyDescent="0.4">
      <c r="A1141" t="s">
        <v>4702</v>
      </c>
      <c r="B1141" t="s">
        <v>4702</v>
      </c>
      <c r="C1141" t="s">
        <v>151</v>
      </c>
      <c r="D1141" t="s">
        <v>81</v>
      </c>
      <c r="E1141" t="s">
        <v>4408</v>
      </c>
      <c r="F1141" t="s">
        <v>8171</v>
      </c>
      <c r="G1141" t="s">
        <v>8104</v>
      </c>
      <c r="H1141" t="s">
        <v>4701</v>
      </c>
      <c r="I1141" t="s">
        <v>31</v>
      </c>
      <c r="K1141" t="s">
        <v>31</v>
      </c>
      <c r="L1141" t="s">
        <v>8171</v>
      </c>
      <c r="M1141" t="s">
        <v>8171</v>
      </c>
      <c r="O1141" t="s">
        <v>14</v>
      </c>
      <c r="P1141" t="s">
        <v>4703</v>
      </c>
      <c r="Q1141" t="s">
        <v>4704</v>
      </c>
      <c r="R1141" t="s">
        <v>6279</v>
      </c>
      <c r="S1141" t="s">
        <v>6280</v>
      </c>
      <c r="T1141" t="s">
        <v>96</v>
      </c>
    </row>
    <row r="1142" spans="1:20" ht="15" customHeight="1" x14ac:dyDescent="0.4">
      <c r="A1142" t="s">
        <v>4707</v>
      </c>
      <c r="B1142" t="s">
        <v>4707</v>
      </c>
      <c r="C1142" t="s">
        <v>151</v>
      </c>
      <c r="D1142" t="s">
        <v>81</v>
      </c>
      <c r="E1142" t="s">
        <v>4408</v>
      </c>
      <c r="F1142" t="s">
        <v>8172</v>
      </c>
      <c r="G1142" t="s">
        <v>8104</v>
      </c>
      <c r="H1142" t="s">
        <v>4706</v>
      </c>
      <c r="I1142" t="s">
        <v>31</v>
      </c>
      <c r="K1142" t="s">
        <v>31</v>
      </c>
      <c r="L1142" t="s">
        <v>8172</v>
      </c>
      <c r="M1142" t="s">
        <v>8172</v>
      </c>
      <c r="O1142" t="s">
        <v>14</v>
      </c>
      <c r="P1142" t="s">
        <v>4708</v>
      </c>
      <c r="Q1142" t="s">
        <v>4709</v>
      </c>
      <c r="R1142" t="s">
        <v>6279</v>
      </c>
      <c r="S1142" t="s">
        <v>6280</v>
      </c>
      <c r="T1142" t="s">
        <v>96</v>
      </c>
    </row>
    <row r="1143" spans="1:20" ht="15" customHeight="1" x14ac:dyDescent="0.4">
      <c r="A1143" t="s">
        <v>4712</v>
      </c>
      <c r="B1143" t="s">
        <v>4712</v>
      </c>
      <c r="C1143" t="s">
        <v>151</v>
      </c>
      <c r="D1143" t="s">
        <v>81</v>
      </c>
      <c r="E1143" t="s">
        <v>4408</v>
      </c>
      <c r="F1143" t="s">
        <v>8173</v>
      </c>
      <c r="G1143" t="s">
        <v>8104</v>
      </c>
      <c r="H1143" t="s">
        <v>4711</v>
      </c>
      <c r="I1143" t="s">
        <v>31</v>
      </c>
      <c r="K1143" t="s">
        <v>31</v>
      </c>
      <c r="L1143" t="s">
        <v>8173</v>
      </c>
      <c r="M1143" t="s">
        <v>8173</v>
      </c>
      <c r="O1143" t="s">
        <v>14</v>
      </c>
      <c r="P1143" t="s">
        <v>4713</v>
      </c>
      <c r="Q1143" t="s">
        <v>4714</v>
      </c>
      <c r="R1143" t="s">
        <v>6279</v>
      </c>
      <c r="S1143" t="s">
        <v>6280</v>
      </c>
      <c r="T1143" t="s">
        <v>96</v>
      </c>
    </row>
    <row r="1144" spans="1:20" ht="15" customHeight="1" x14ac:dyDescent="0.4">
      <c r="A1144" t="s">
        <v>4717</v>
      </c>
      <c r="B1144" t="s">
        <v>4717</v>
      </c>
      <c r="C1144" t="s">
        <v>151</v>
      </c>
      <c r="D1144" t="s">
        <v>81</v>
      </c>
      <c r="E1144" t="s">
        <v>4408</v>
      </c>
      <c r="F1144" t="s">
        <v>8174</v>
      </c>
      <c r="G1144" t="s">
        <v>8104</v>
      </c>
      <c r="H1144" t="s">
        <v>4716</v>
      </c>
      <c r="I1144" t="s">
        <v>31</v>
      </c>
      <c r="K1144" t="s">
        <v>31</v>
      </c>
      <c r="L1144" t="s">
        <v>8174</v>
      </c>
      <c r="M1144" t="s">
        <v>8174</v>
      </c>
      <c r="O1144" t="s">
        <v>14</v>
      </c>
      <c r="P1144" t="s">
        <v>4718</v>
      </c>
      <c r="Q1144" t="s">
        <v>4719</v>
      </c>
      <c r="R1144" t="s">
        <v>6279</v>
      </c>
      <c r="S1144" t="s">
        <v>6280</v>
      </c>
      <c r="T1144" t="s">
        <v>96</v>
      </c>
    </row>
    <row r="1145" spans="1:20" ht="15" customHeight="1" x14ac:dyDescent="0.4">
      <c r="A1145" t="s">
        <v>4722</v>
      </c>
      <c r="B1145" t="s">
        <v>4722</v>
      </c>
      <c r="C1145" t="s">
        <v>151</v>
      </c>
      <c r="D1145" t="s">
        <v>81</v>
      </c>
      <c r="E1145" t="s">
        <v>4408</v>
      </c>
      <c r="F1145" t="s">
        <v>8175</v>
      </c>
      <c r="G1145" t="s">
        <v>8104</v>
      </c>
      <c r="H1145" t="s">
        <v>4721</v>
      </c>
      <c r="I1145" t="s">
        <v>31</v>
      </c>
      <c r="K1145" t="s">
        <v>31</v>
      </c>
      <c r="L1145" t="s">
        <v>8175</v>
      </c>
      <c r="M1145" t="s">
        <v>8175</v>
      </c>
      <c r="O1145" t="s">
        <v>14</v>
      </c>
      <c r="P1145" t="s">
        <v>4723</v>
      </c>
      <c r="Q1145" t="s">
        <v>4724</v>
      </c>
      <c r="R1145" t="s">
        <v>6279</v>
      </c>
      <c r="S1145" t="s">
        <v>6280</v>
      </c>
      <c r="T1145" t="s">
        <v>96</v>
      </c>
    </row>
    <row r="1146" spans="1:20" ht="15" customHeight="1" x14ac:dyDescent="0.4">
      <c r="A1146" t="s">
        <v>4727</v>
      </c>
      <c r="B1146" t="s">
        <v>4727</v>
      </c>
      <c r="C1146" t="s">
        <v>151</v>
      </c>
      <c r="D1146" t="s">
        <v>81</v>
      </c>
      <c r="E1146" t="s">
        <v>4408</v>
      </c>
      <c r="F1146" t="s">
        <v>8176</v>
      </c>
      <c r="G1146" t="s">
        <v>8104</v>
      </c>
      <c r="H1146" t="s">
        <v>4726</v>
      </c>
      <c r="I1146" t="s">
        <v>31</v>
      </c>
      <c r="K1146" t="s">
        <v>31</v>
      </c>
      <c r="L1146" t="s">
        <v>8176</v>
      </c>
      <c r="M1146" t="s">
        <v>8176</v>
      </c>
      <c r="O1146" t="s">
        <v>14</v>
      </c>
      <c r="P1146" t="s">
        <v>4728</v>
      </c>
      <c r="Q1146" t="s">
        <v>4729</v>
      </c>
      <c r="R1146" t="s">
        <v>6279</v>
      </c>
      <c r="S1146" t="s">
        <v>6280</v>
      </c>
      <c r="T1146" t="s">
        <v>96</v>
      </c>
    </row>
    <row r="1147" spans="1:20" ht="15" customHeight="1" x14ac:dyDescent="0.4">
      <c r="A1147" t="s">
        <v>4732</v>
      </c>
      <c r="B1147" t="s">
        <v>4732</v>
      </c>
      <c r="C1147" t="s">
        <v>151</v>
      </c>
      <c r="D1147" t="s">
        <v>81</v>
      </c>
      <c r="E1147" t="s">
        <v>4408</v>
      </c>
      <c r="F1147" t="s">
        <v>8177</v>
      </c>
      <c r="G1147" t="s">
        <v>8104</v>
      </c>
      <c r="H1147" t="s">
        <v>4731</v>
      </c>
      <c r="I1147" t="s">
        <v>31</v>
      </c>
      <c r="K1147" t="s">
        <v>31</v>
      </c>
      <c r="L1147" t="s">
        <v>8177</v>
      </c>
      <c r="M1147" t="s">
        <v>8177</v>
      </c>
      <c r="O1147" t="s">
        <v>14</v>
      </c>
      <c r="P1147" t="s">
        <v>4733</v>
      </c>
      <c r="Q1147" t="s">
        <v>4734</v>
      </c>
      <c r="R1147" t="s">
        <v>6279</v>
      </c>
      <c r="S1147" t="s">
        <v>6280</v>
      </c>
      <c r="T1147" t="s">
        <v>96</v>
      </c>
    </row>
    <row r="1148" spans="1:20" ht="15" customHeight="1" x14ac:dyDescent="0.4">
      <c r="A1148" t="s">
        <v>4737</v>
      </c>
      <c r="B1148" t="s">
        <v>4737</v>
      </c>
      <c r="C1148" t="s">
        <v>151</v>
      </c>
      <c r="D1148" t="s">
        <v>81</v>
      </c>
      <c r="E1148" t="s">
        <v>4408</v>
      </c>
      <c r="F1148" t="s">
        <v>8178</v>
      </c>
      <c r="G1148" t="s">
        <v>8104</v>
      </c>
      <c r="H1148" t="s">
        <v>4736</v>
      </c>
      <c r="I1148" t="s">
        <v>31</v>
      </c>
      <c r="K1148" t="s">
        <v>31</v>
      </c>
      <c r="L1148" t="s">
        <v>8178</v>
      </c>
      <c r="M1148" t="s">
        <v>8178</v>
      </c>
      <c r="O1148" t="s">
        <v>14</v>
      </c>
      <c r="P1148" t="s">
        <v>4738</v>
      </c>
      <c r="Q1148" t="s">
        <v>4739</v>
      </c>
      <c r="R1148" t="s">
        <v>6279</v>
      </c>
      <c r="S1148" t="s">
        <v>6280</v>
      </c>
      <c r="T1148" t="s">
        <v>96</v>
      </c>
    </row>
    <row r="1149" spans="1:20" ht="15" customHeight="1" x14ac:dyDescent="0.4">
      <c r="A1149" t="s">
        <v>4742</v>
      </c>
      <c r="B1149" t="s">
        <v>4742</v>
      </c>
      <c r="C1149" t="s">
        <v>151</v>
      </c>
      <c r="D1149" t="s">
        <v>81</v>
      </c>
      <c r="E1149" t="s">
        <v>4408</v>
      </c>
      <c r="F1149" t="s">
        <v>8179</v>
      </c>
      <c r="G1149" t="s">
        <v>8104</v>
      </c>
      <c r="H1149" t="s">
        <v>8180</v>
      </c>
      <c r="L1149" t="s">
        <v>8179</v>
      </c>
      <c r="M1149" t="s">
        <v>8179</v>
      </c>
      <c r="O1149" t="s">
        <v>14</v>
      </c>
      <c r="P1149" t="s">
        <v>4743</v>
      </c>
      <c r="Q1149" t="s">
        <v>4744</v>
      </c>
      <c r="R1149" t="s">
        <v>6279</v>
      </c>
      <c r="S1149" t="s">
        <v>6280</v>
      </c>
      <c r="T1149" t="s">
        <v>119</v>
      </c>
    </row>
    <row r="1150" spans="1:20" ht="15" customHeight="1" x14ac:dyDescent="0.4">
      <c r="A1150" t="s">
        <v>4746</v>
      </c>
      <c r="B1150" t="s">
        <v>4746</v>
      </c>
      <c r="C1150" t="s">
        <v>151</v>
      </c>
      <c r="D1150" t="s">
        <v>81</v>
      </c>
      <c r="E1150" t="s">
        <v>4408</v>
      </c>
      <c r="F1150" t="s">
        <v>8181</v>
      </c>
      <c r="G1150" t="s">
        <v>8104</v>
      </c>
      <c r="H1150" t="s">
        <v>8182</v>
      </c>
      <c r="L1150" t="s">
        <v>8181</v>
      </c>
      <c r="M1150" t="s">
        <v>8181</v>
      </c>
      <c r="O1150" t="s">
        <v>14</v>
      </c>
      <c r="P1150" t="s">
        <v>4747</v>
      </c>
      <c r="Q1150" t="s">
        <v>4748</v>
      </c>
      <c r="R1150" t="s">
        <v>6279</v>
      </c>
      <c r="S1150" t="s">
        <v>6280</v>
      </c>
      <c r="T1150" t="s">
        <v>119</v>
      </c>
    </row>
    <row r="1151" spans="1:20" ht="15" customHeight="1" x14ac:dyDescent="0.4">
      <c r="A1151" t="s">
        <v>4750</v>
      </c>
      <c r="B1151" t="s">
        <v>4750</v>
      </c>
      <c r="C1151" t="s">
        <v>151</v>
      </c>
      <c r="D1151" t="s">
        <v>81</v>
      </c>
      <c r="E1151" t="s">
        <v>4408</v>
      </c>
      <c r="F1151" t="s">
        <v>8183</v>
      </c>
      <c r="G1151" t="s">
        <v>8104</v>
      </c>
      <c r="H1151" t="s">
        <v>4749</v>
      </c>
      <c r="I1151" t="s">
        <v>31</v>
      </c>
      <c r="K1151" t="s">
        <v>31</v>
      </c>
      <c r="L1151" t="s">
        <v>8183</v>
      </c>
      <c r="M1151" t="s">
        <v>8183</v>
      </c>
      <c r="O1151" t="s">
        <v>14</v>
      </c>
      <c r="P1151" t="s">
        <v>4751</v>
      </c>
      <c r="Q1151" t="s">
        <v>4752</v>
      </c>
      <c r="R1151" t="s">
        <v>6279</v>
      </c>
      <c r="S1151" t="s">
        <v>6280</v>
      </c>
      <c r="T1151" t="s">
        <v>96</v>
      </c>
    </row>
    <row r="1152" spans="1:20" ht="15" customHeight="1" x14ac:dyDescent="0.4">
      <c r="A1152" t="s">
        <v>4755</v>
      </c>
      <c r="B1152" t="s">
        <v>4755</v>
      </c>
      <c r="C1152" t="s">
        <v>151</v>
      </c>
      <c r="D1152" t="s">
        <v>81</v>
      </c>
      <c r="E1152" t="s">
        <v>4408</v>
      </c>
      <c r="F1152" t="s">
        <v>8184</v>
      </c>
      <c r="G1152" t="s">
        <v>8104</v>
      </c>
      <c r="H1152" t="s">
        <v>4754</v>
      </c>
      <c r="I1152" t="s">
        <v>31</v>
      </c>
      <c r="K1152" t="s">
        <v>31</v>
      </c>
      <c r="L1152" t="s">
        <v>8184</v>
      </c>
      <c r="M1152" t="s">
        <v>8184</v>
      </c>
      <c r="O1152" t="s">
        <v>14</v>
      </c>
      <c r="P1152" t="s">
        <v>4756</v>
      </c>
      <c r="Q1152" t="s">
        <v>4757</v>
      </c>
      <c r="R1152" t="s">
        <v>6279</v>
      </c>
      <c r="S1152" t="s">
        <v>6280</v>
      </c>
      <c r="T1152" t="s">
        <v>96</v>
      </c>
    </row>
    <row r="1153" spans="1:20" ht="15" customHeight="1" x14ac:dyDescent="0.4">
      <c r="A1153" t="s">
        <v>4760</v>
      </c>
      <c r="B1153" t="s">
        <v>4760</v>
      </c>
      <c r="C1153" t="s">
        <v>151</v>
      </c>
      <c r="D1153" t="s">
        <v>81</v>
      </c>
      <c r="E1153" t="s">
        <v>4408</v>
      </c>
      <c r="F1153" t="s">
        <v>8185</v>
      </c>
      <c r="G1153" t="s">
        <v>8104</v>
      </c>
      <c r="H1153" t="s">
        <v>4759</v>
      </c>
      <c r="I1153" t="s">
        <v>31</v>
      </c>
      <c r="K1153" t="s">
        <v>31</v>
      </c>
      <c r="L1153" t="s">
        <v>8185</v>
      </c>
      <c r="M1153" t="s">
        <v>8185</v>
      </c>
      <c r="O1153" t="s">
        <v>14</v>
      </c>
      <c r="P1153" t="s">
        <v>4761</v>
      </c>
      <c r="Q1153" t="s">
        <v>4762</v>
      </c>
      <c r="R1153" t="s">
        <v>6279</v>
      </c>
      <c r="S1153" t="s">
        <v>6280</v>
      </c>
      <c r="T1153" t="s">
        <v>96</v>
      </c>
    </row>
    <row r="1154" spans="1:20" ht="15" customHeight="1" x14ac:dyDescent="0.4">
      <c r="A1154" t="s">
        <v>4765</v>
      </c>
      <c r="B1154" t="s">
        <v>4765</v>
      </c>
      <c r="C1154" t="s">
        <v>151</v>
      </c>
      <c r="D1154" t="s">
        <v>81</v>
      </c>
      <c r="E1154" t="s">
        <v>4408</v>
      </c>
      <c r="F1154" t="s">
        <v>8186</v>
      </c>
      <c r="G1154" t="s">
        <v>8104</v>
      </c>
      <c r="H1154" t="s">
        <v>4764</v>
      </c>
      <c r="I1154" t="s">
        <v>31</v>
      </c>
      <c r="K1154" t="s">
        <v>31</v>
      </c>
      <c r="L1154" t="s">
        <v>8186</v>
      </c>
      <c r="M1154" t="s">
        <v>8186</v>
      </c>
      <c r="O1154" t="s">
        <v>14</v>
      </c>
      <c r="P1154" t="s">
        <v>4766</v>
      </c>
      <c r="Q1154" t="s">
        <v>4767</v>
      </c>
      <c r="R1154" t="s">
        <v>6279</v>
      </c>
      <c r="S1154" t="s">
        <v>6280</v>
      </c>
      <c r="T1154" t="s">
        <v>96</v>
      </c>
    </row>
    <row r="1155" spans="1:20" ht="15" customHeight="1" x14ac:dyDescent="0.4">
      <c r="A1155" t="s">
        <v>4770</v>
      </c>
      <c r="B1155" t="s">
        <v>4770</v>
      </c>
      <c r="C1155" t="s">
        <v>151</v>
      </c>
      <c r="D1155" t="s">
        <v>81</v>
      </c>
      <c r="E1155" t="s">
        <v>4408</v>
      </c>
      <c r="F1155" t="s">
        <v>8187</v>
      </c>
      <c r="G1155" t="s">
        <v>8104</v>
      </c>
      <c r="H1155" t="s">
        <v>4769</v>
      </c>
      <c r="I1155" t="s">
        <v>31</v>
      </c>
      <c r="K1155" t="s">
        <v>31</v>
      </c>
      <c r="L1155" t="s">
        <v>8187</v>
      </c>
      <c r="M1155" t="s">
        <v>8187</v>
      </c>
      <c r="O1155" t="s">
        <v>14</v>
      </c>
      <c r="P1155" t="s">
        <v>4771</v>
      </c>
      <c r="Q1155" t="s">
        <v>4772</v>
      </c>
      <c r="R1155" t="s">
        <v>6279</v>
      </c>
      <c r="S1155" t="s">
        <v>6280</v>
      </c>
      <c r="T1155" t="s">
        <v>96</v>
      </c>
    </row>
    <row r="1156" spans="1:20" ht="15" customHeight="1" x14ac:dyDescent="0.4">
      <c r="A1156" t="s">
        <v>4775</v>
      </c>
      <c r="B1156" t="s">
        <v>4775</v>
      </c>
      <c r="C1156" t="s">
        <v>151</v>
      </c>
      <c r="D1156" t="s">
        <v>81</v>
      </c>
      <c r="E1156" t="s">
        <v>4408</v>
      </c>
      <c r="F1156" t="s">
        <v>8188</v>
      </c>
      <c r="G1156" t="s">
        <v>8104</v>
      </c>
      <c r="H1156" t="s">
        <v>4774</v>
      </c>
      <c r="I1156" t="s">
        <v>31</v>
      </c>
      <c r="K1156" t="s">
        <v>31</v>
      </c>
      <c r="L1156" t="s">
        <v>8188</v>
      </c>
      <c r="M1156" t="s">
        <v>8188</v>
      </c>
      <c r="O1156" t="s">
        <v>14</v>
      </c>
      <c r="P1156" t="s">
        <v>4776</v>
      </c>
      <c r="Q1156" t="s">
        <v>4777</v>
      </c>
      <c r="R1156" t="s">
        <v>6279</v>
      </c>
      <c r="S1156" t="s">
        <v>6280</v>
      </c>
      <c r="T1156" t="s">
        <v>96</v>
      </c>
    </row>
    <row r="1157" spans="1:20" ht="15" customHeight="1" x14ac:dyDescent="0.4">
      <c r="A1157" t="s">
        <v>4780</v>
      </c>
      <c r="B1157" t="s">
        <v>4780</v>
      </c>
      <c r="C1157" t="s">
        <v>151</v>
      </c>
      <c r="D1157" t="s">
        <v>81</v>
      </c>
      <c r="E1157" t="s">
        <v>4408</v>
      </c>
      <c r="F1157" t="s">
        <v>8189</v>
      </c>
      <c r="G1157" t="s">
        <v>8104</v>
      </c>
      <c r="H1157" t="s">
        <v>4779</v>
      </c>
      <c r="I1157" t="s">
        <v>31</v>
      </c>
      <c r="K1157" t="s">
        <v>31</v>
      </c>
      <c r="L1157" t="s">
        <v>8189</v>
      </c>
      <c r="M1157" t="s">
        <v>8189</v>
      </c>
      <c r="O1157" t="s">
        <v>14</v>
      </c>
      <c r="P1157" t="s">
        <v>4781</v>
      </c>
      <c r="Q1157" t="s">
        <v>4782</v>
      </c>
      <c r="R1157" t="s">
        <v>6279</v>
      </c>
      <c r="S1157" t="s">
        <v>6280</v>
      </c>
      <c r="T1157" t="s">
        <v>96</v>
      </c>
    </row>
    <row r="1158" spans="1:20" ht="15" customHeight="1" x14ac:dyDescent="0.4">
      <c r="A1158" t="s">
        <v>4785</v>
      </c>
      <c r="B1158" t="s">
        <v>4785</v>
      </c>
      <c r="C1158" t="s">
        <v>151</v>
      </c>
      <c r="D1158" t="s">
        <v>81</v>
      </c>
      <c r="E1158" t="s">
        <v>4408</v>
      </c>
      <c r="F1158" t="s">
        <v>8190</v>
      </c>
      <c r="G1158" t="s">
        <v>8104</v>
      </c>
      <c r="H1158" t="s">
        <v>4784</v>
      </c>
      <c r="I1158" t="s">
        <v>31</v>
      </c>
      <c r="K1158" t="s">
        <v>31</v>
      </c>
      <c r="L1158" t="s">
        <v>8190</v>
      </c>
      <c r="M1158" t="s">
        <v>8190</v>
      </c>
      <c r="O1158" t="s">
        <v>14</v>
      </c>
      <c r="P1158" t="s">
        <v>4786</v>
      </c>
      <c r="Q1158" t="s">
        <v>4787</v>
      </c>
      <c r="R1158" t="s">
        <v>6279</v>
      </c>
      <c r="S1158" t="s">
        <v>6280</v>
      </c>
      <c r="T1158" t="s">
        <v>96</v>
      </c>
    </row>
    <row r="1159" spans="1:20" ht="15" customHeight="1" x14ac:dyDescent="0.4">
      <c r="A1159" t="s">
        <v>4790</v>
      </c>
      <c r="B1159" t="s">
        <v>4790</v>
      </c>
      <c r="C1159" t="s">
        <v>151</v>
      </c>
      <c r="D1159" t="s">
        <v>81</v>
      </c>
      <c r="E1159" t="s">
        <v>4408</v>
      </c>
      <c r="F1159" t="s">
        <v>8191</v>
      </c>
      <c r="G1159" t="s">
        <v>8104</v>
      </c>
      <c r="H1159" t="s">
        <v>4789</v>
      </c>
      <c r="I1159" t="s">
        <v>31</v>
      </c>
      <c r="K1159" t="s">
        <v>31</v>
      </c>
      <c r="L1159" t="s">
        <v>8191</v>
      </c>
      <c r="M1159" t="s">
        <v>8191</v>
      </c>
      <c r="O1159" t="s">
        <v>14</v>
      </c>
      <c r="P1159" t="s">
        <v>4791</v>
      </c>
      <c r="Q1159" t="s">
        <v>4792</v>
      </c>
      <c r="R1159" t="s">
        <v>6279</v>
      </c>
      <c r="S1159" t="s">
        <v>6280</v>
      </c>
      <c r="T1159" t="s">
        <v>96</v>
      </c>
    </row>
    <row r="1160" spans="1:20" ht="15" customHeight="1" x14ac:dyDescent="0.4">
      <c r="A1160" t="s">
        <v>4795</v>
      </c>
      <c r="B1160" t="s">
        <v>4795</v>
      </c>
      <c r="C1160" t="s">
        <v>151</v>
      </c>
      <c r="D1160" t="s">
        <v>81</v>
      </c>
      <c r="E1160" t="s">
        <v>4408</v>
      </c>
      <c r="F1160" t="s">
        <v>8192</v>
      </c>
      <c r="G1160" t="s">
        <v>8104</v>
      </c>
      <c r="H1160" t="s">
        <v>4794</v>
      </c>
      <c r="I1160" t="s">
        <v>31</v>
      </c>
      <c r="K1160" t="s">
        <v>31</v>
      </c>
      <c r="L1160" t="s">
        <v>8192</v>
      </c>
      <c r="M1160" t="s">
        <v>8192</v>
      </c>
      <c r="O1160" t="s">
        <v>14</v>
      </c>
      <c r="P1160" t="s">
        <v>4796</v>
      </c>
      <c r="Q1160" t="s">
        <v>4797</v>
      </c>
      <c r="R1160" t="s">
        <v>6279</v>
      </c>
      <c r="S1160" t="s">
        <v>6280</v>
      </c>
      <c r="T1160" t="s">
        <v>96</v>
      </c>
    </row>
    <row r="1161" spans="1:20" ht="15" customHeight="1" x14ac:dyDescent="0.4">
      <c r="A1161" t="s">
        <v>4800</v>
      </c>
      <c r="B1161" t="s">
        <v>4800</v>
      </c>
      <c r="C1161" t="s">
        <v>151</v>
      </c>
      <c r="D1161" t="s">
        <v>81</v>
      </c>
      <c r="E1161" t="s">
        <v>4408</v>
      </c>
      <c r="F1161" t="s">
        <v>8193</v>
      </c>
      <c r="G1161" t="s">
        <v>8104</v>
      </c>
      <c r="H1161" t="s">
        <v>4799</v>
      </c>
      <c r="I1161" t="s">
        <v>31</v>
      </c>
      <c r="K1161" t="s">
        <v>31</v>
      </c>
      <c r="L1161" t="s">
        <v>8193</v>
      </c>
      <c r="M1161" t="s">
        <v>8193</v>
      </c>
      <c r="O1161" t="s">
        <v>14</v>
      </c>
      <c r="P1161" t="s">
        <v>4801</v>
      </c>
      <c r="Q1161" t="s">
        <v>4802</v>
      </c>
      <c r="R1161" t="s">
        <v>6279</v>
      </c>
      <c r="S1161" t="s">
        <v>6280</v>
      </c>
      <c r="T1161" t="s">
        <v>96</v>
      </c>
    </row>
    <row r="1162" spans="1:20" ht="15" customHeight="1" x14ac:dyDescent="0.4">
      <c r="A1162" t="s">
        <v>4805</v>
      </c>
      <c r="B1162" t="s">
        <v>4805</v>
      </c>
      <c r="C1162" t="s">
        <v>151</v>
      </c>
      <c r="D1162" t="s">
        <v>81</v>
      </c>
      <c r="E1162" t="s">
        <v>4408</v>
      </c>
      <c r="F1162" t="s">
        <v>8194</v>
      </c>
      <c r="G1162" t="s">
        <v>8104</v>
      </c>
      <c r="H1162" t="s">
        <v>4804</v>
      </c>
      <c r="I1162" t="s">
        <v>31</v>
      </c>
      <c r="K1162" t="s">
        <v>31</v>
      </c>
      <c r="L1162" t="s">
        <v>8194</v>
      </c>
      <c r="M1162" t="s">
        <v>8194</v>
      </c>
      <c r="O1162" t="s">
        <v>14</v>
      </c>
      <c r="P1162" t="s">
        <v>4806</v>
      </c>
      <c r="Q1162" t="s">
        <v>4807</v>
      </c>
      <c r="R1162" t="s">
        <v>6279</v>
      </c>
      <c r="S1162" t="s">
        <v>6280</v>
      </c>
      <c r="T1162" t="s">
        <v>96</v>
      </c>
    </row>
    <row r="1163" spans="1:20" ht="15" customHeight="1" x14ac:dyDescent="0.4">
      <c r="A1163" t="s">
        <v>4810</v>
      </c>
      <c r="B1163" t="s">
        <v>4810</v>
      </c>
      <c r="C1163" t="s">
        <v>151</v>
      </c>
      <c r="D1163" t="s">
        <v>81</v>
      </c>
      <c r="E1163" t="s">
        <v>4408</v>
      </c>
      <c r="F1163" t="s">
        <v>8195</v>
      </c>
      <c r="G1163" t="s">
        <v>8104</v>
      </c>
      <c r="H1163" t="s">
        <v>4809</v>
      </c>
      <c r="I1163" t="s">
        <v>31</v>
      </c>
      <c r="K1163" t="s">
        <v>31</v>
      </c>
      <c r="L1163" t="s">
        <v>8195</v>
      </c>
      <c r="M1163" t="s">
        <v>8195</v>
      </c>
      <c r="O1163" t="s">
        <v>14</v>
      </c>
      <c r="P1163" t="s">
        <v>4811</v>
      </c>
      <c r="Q1163" t="s">
        <v>4812</v>
      </c>
      <c r="R1163" t="s">
        <v>6279</v>
      </c>
      <c r="S1163" t="s">
        <v>6280</v>
      </c>
      <c r="T1163" t="s">
        <v>96</v>
      </c>
    </row>
    <row r="1164" spans="1:20" ht="15" customHeight="1" x14ac:dyDescent="0.4">
      <c r="A1164" t="s">
        <v>4815</v>
      </c>
      <c r="B1164" t="s">
        <v>4815</v>
      </c>
      <c r="C1164" t="s">
        <v>151</v>
      </c>
      <c r="D1164" t="s">
        <v>81</v>
      </c>
      <c r="E1164" t="s">
        <v>4408</v>
      </c>
      <c r="F1164" t="s">
        <v>8196</v>
      </c>
      <c r="G1164" t="s">
        <v>8104</v>
      </c>
      <c r="H1164" t="s">
        <v>4814</v>
      </c>
      <c r="I1164" t="s">
        <v>31</v>
      </c>
      <c r="K1164" t="s">
        <v>31</v>
      </c>
      <c r="L1164" t="s">
        <v>8196</v>
      </c>
      <c r="M1164" t="s">
        <v>8196</v>
      </c>
      <c r="O1164" t="s">
        <v>14</v>
      </c>
      <c r="P1164" t="s">
        <v>4816</v>
      </c>
      <c r="Q1164" t="s">
        <v>4817</v>
      </c>
      <c r="R1164" t="s">
        <v>6279</v>
      </c>
      <c r="S1164" t="s">
        <v>6280</v>
      </c>
      <c r="T1164" t="s">
        <v>96</v>
      </c>
    </row>
    <row r="1165" spans="1:20" ht="15" customHeight="1" x14ac:dyDescent="0.4">
      <c r="A1165" t="s">
        <v>4820</v>
      </c>
      <c r="B1165" t="s">
        <v>4820</v>
      </c>
      <c r="C1165" t="s">
        <v>151</v>
      </c>
      <c r="D1165" t="s">
        <v>81</v>
      </c>
      <c r="E1165" t="s">
        <v>4408</v>
      </c>
      <c r="F1165" t="s">
        <v>8197</v>
      </c>
      <c r="G1165" t="s">
        <v>8104</v>
      </c>
      <c r="H1165" t="s">
        <v>4819</v>
      </c>
      <c r="I1165" t="s">
        <v>31</v>
      </c>
      <c r="K1165" t="s">
        <v>31</v>
      </c>
      <c r="L1165" t="s">
        <v>8197</v>
      </c>
      <c r="M1165" t="s">
        <v>8197</v>
      </c>
      <c r="O1165" t="s">
        <v>14</v>
      </c>
      <c r="P1165" t="s">
        <v>4821</v>
      </c>
      <c r="Q1165" t="s">
        <v>4822</v>
      </c>
      <c r="R1165" t="s">
        <v>6279</v>
      </c>
      <c r="S1165" t="s">
        <v>6280</v>
      </c>
      <c r="T1165" t="s">
        <v>96</v>
      </c>
    </row>
    <row r="1166" spans="1:20" ht="15" customHeight="1" x14ac:dyDescent="0.4">
      <c r="A1166" t="s">
        <v>4825</v>
      </c>
      <c r="B1166" t="s">
        <v>4825</v>
      </c>
      <c r="C1166" t="s">
        <v>151</v>
      </c>
      <c r="D1166" t="s">
        <v>81</v>
      </c>
      <c r="E1166" t="s">
        <v>4408</v>
      </c>
      <c r="F1166" t="s">
        <v>8198</v>
      </c>
      <c r="G1166" t="s">
        <v>8104</v>
      </c>
      <c r="H1166" t="s">
        <v>4824</v>
      </c>
      <c r="I1166" t="s">
        <v>31</v>
      </c>
      <c r="K1166" t="s">
        <v>31</v>
      </c>
      <c r="L1166" t="s">
        <v>8198</v>
      </c>
      <c r="M1166" t="s">
        <v>8198</v>
      </c>
      <c r="O1166" t="s">
        <v>14</v>
      </c>
      <c r="P1166" t="s">
        <v>4826</v>
      </c>
      <c r="Q1166" t="s">
        <v>4827</v>
      </c>
      <c r="R1166" t="s">
        <v>6279</v>
      </c>
      <c r="S1166" t="s">
        <v>6280</v>
      </c>
      <c r="T1166" t="s">
        <v>96</v>
      </c>
    </row>
    <row r="1167" spans="1:20" ht="15" customHeight="1" x14ac:dyDescent="0.4">
      <c r="A1167" t="s">
        <v>4830</v>
      </c>
      <c r="B1167" t="s">
        <v>4830</v>
      </c>
      <c r="C1167" t="s">
        <v>151</v>
      </c>
      <c r="D1167" t="s">
        <v>81</v>
      </c>
      <c r="E1167" t="s">
        <v>4408</v>
      </c>
      <c r="F1167" t="s">
        <v>8199</v>
      </c>
      <c r="G1167" t="s">
        <v>8104</v>
      </c>
      <c r="H1167" t="s">
        <v>4829</v>
      </c>
      <c r="I1167" t="s">
        <v>31</v>
      </c>
      <c r="K1167" t="s">
        <v>31</v>
      </c>
      <c r="L1167" t="s">
        <v>8199</v>
      </c>
      <c r="M1167" t="s">
        <v>8199</v>
      </c>
      <c r="O1167" t="s">
        <v>14</v>
      </c>
      <c r="P1167" t="s">
        <v>4831</v>
      </c>
      <c r="Q1167" t="s">
        <v>4832</v>
      </c>
      <c r="R1167" t="s">
        <v>6279</v>
      </c>
      <c r="S1167" t="s">
        <v>6280</v>
      </c>
      <c r="T1167" t="s">
        <v>96</v>
      </c>
    </row>
    <row r="1168" spans="1:20" ht="15" customHeight="1" x14ac:dyDescent="0.4">
      <c r="A1168" t="s">
        <v>4835</v>
      </c>
      <c r="B1168" t="s">
        <v>4835</v>
      </c>
      <c r="C1168" t="s">
        <v>151</v>
      </c>
      <c r="D1168" t="s">
        <v>81</v>
      </c>
      <c r="E1168" t="s">
        <v>4408</v>
      </c>
      <c r="F1168" t="s">
        <v>8200</v>
      </c>
      <c r="G1168" t="s">
        <v>8104</v>
      </c>
      <c r="H1168" t="s">
        <v>4834</v>
      </c>
      <c r="I1168" t="s">
        <v>31</v>
      </c>
      <c r="K1168" t="s">
        <v>31</v>
      </c>
      <c r="L1168" t="s">
        <v>8200</v>
      </c>
      <c r="M1168" t="s">
        <v>8200</v>
      </c>
      <c r="O1168" t="s">
        <v>14</v>
      </c>
      <c r="P1168" t="s">
        <v>4836</v>
      </c>
      <c r="Q1168" t="s">
        <v>4837</v>
      </c>
      <c r="R1168" t="s">
        <v>6279</v>
      </c>
      <c r="S1168" t="s">
        <v>6280</v>
      </c>
      <c r="T1168" t="s">
        <v>96</v>
      </c>
    </row>
    <row r="1169" spans="1:20" ht="15" customHeight="1" x14ac:dyDescent="0.4">
      <c r="A1169" t="s">
        <v>4840</v>
      </c>
      <c r="B1169" t="s">
        <v>4840</v>
      </c>
      <c r="C1169" t="s">
        <v>151</v>
      </c>
      <c r="D1169" t="s">
        <v>81</v>
      </c>
      <c r="E1169" t="s">
        <v>4408</v>
      </c>
      <c r="F1169" t="s">
        <v>8201</v>
      </c>
      <c r="G1169" t="s">
        <v>8104</v>
      </c>
      <c r="H1169" t="s">
        <v>4839</v>
      </c>
      <c r="I1169" t="s">
        <v>31</v>
      </c>
      <c r="K1169" t="s">
        <v>31</v>
      </c>
      <c r="L1169" t="s">
        <v>8201</v>
      </c>
      <c r="M1169" t="s">
        <v>8201</v>
      </c>
      <c r="O1169" t="s">
        <v>14</v>
      </c>
      <c r="P1169" t="s">
        <v>4841</v>
      </c>
      <c r="Q1169" t="s">
        <v>4842</v>
      </c>
      <c r="R1169" t="s">
        <v>6279</v>
      </c>
      <c r="S1169" t="s">
        <v>6280</v>
      </c>
      <c r="T1169" t="s">
        <v>96</v>
      </c>
    </row>
    <row r="1170" spans="1:20" ht="15" customHeight="1" x14ac:dyDescent="0.4">
      <c r="A1170" t="s">
        <v>4845</v>
      </c>
      <c r="B1170" t="s">
        <v>4845</v>
      </c>
      <c r="C1170" t="s">
        <v>151</v>
      </c>
      <c r="D1170" t="s">
        <v>81</v>
      </c>
      <c r="E1170" t="s">
        <v>4408</v>
      </c>
      <c r="F1170" t="s">
        <v>8202</v>
      </c>
      <c r="G1170" t="s">
        <v>8104</v>
      </c>
      <c r="H1170" t="s">
        <v>4844</v>
      </c>
      <c r="I1170" t="s">
        <v>31</v>
      </c>
      <c r="K1170" t="s">
        <v>31</v>
      </c>
      <c r="L1170" t="s">
        <v>8202</v>
      </c>
      <c r="M1170" t="s">
        <v>8202</v>
      </c>
      <c r="O1170" t="s">
        <v>14</v>
      </c>
      <c r="P1170" t="s">
        <v>4846</v>
      </c>
      <c r="Q1170" t="s">
        <v>4847</v>
      </c>
      <c r="R1170" t="s">
        <v>6279</v>
      </c>
      <c r="S1170" t="s">
        <v>6280</v>
      </c>
      <c r="T1170" t="s">
        <v>96</v>
      </c>
    </row>
    <row r="1171" spans="1:20" ht="15" customHeight="1" x14ac:dyDescent="0.4">
      <c r="A1171" t="s">
        <v>4850</v>
      </c>
      <c r="B1171" t="s">
        <v>4850</v>
      </c>
      <c r="C1171" t="s">
        <v>151</v>
      </c>
      <c r="D1171" t="s">
        <v>81</v>
      </c>
      <c r="E1171" t="s">
        <v>4408</v>
      </c>
      <c r="F1171" t="s">
        <v>8203</v>
      </c>
      <c r="G1171" t="s">
        <v>8104</v>
      </c>
      <c r="H1171" t="s">
        <v>4849</v>
      </c>
      <c r="I1171" t="s">
        <v>31</v>
      </c>
      <c r="K1171" t="s">
        <v>31</v>
      </c>
      <c r="L1171" t="s">
        <v>8203</v>
      </c>
      <c r="M1171" t="s">
        <v>8203</v>
      </c>
      <c r="O1171" t="s">
        <v>14</v>
      </c>
      <c r="P1171" t="s">
        <v>4851</v>
      </c>
      <c r="Q1171" t="s">
        <v>4852</v>
      </c>
      <c r="R1171" t="s">
        <v>6279</v>
      </c>
      <c r="S1171" t="s">
        <v>6280</v>
      </c>
      <c r="T1171" t="s">
        <v>96</v>
      </c>
    </row>
    <row r="1172" spans="1:20" ht="15" customHeight="1" x14ac:dyDescent="0.4">
      <c r="A1172" t="s">
        <v>4855</v>
      </c>
      <c r="B1172" t="s">
        <v>4855</v>
      </c>
      <c r="C1172" t="s">
        <v>151</v>
      </c>
      <c r="D1172" t="s">
        <v>81</v>
      </c>
      <c r="E1172" t="s">
        <v>4408</v>
      </c>
      <c r="F1172" t="s">
        <v>8204</v>
      </c>
      <c r="G1172" t="s">
        <v>8104</v>
      </c>
      <c r="H1172" t="s">
        <v>4854</v>
      </c>
      <c r="I1172" t="s">
        <v>31</v>
      </c>
      <c r="K1172" t="s">
        <v>31</v>
      </c>
      <c r="L1172" t="s">
        <v>8204</v>
      </c>
      <c r="M1172" t="s">
        <v>8204</v>
      </c>
      <c r="O1172" t="s">
        <v>14</v>
      </c>
      <c r="P1172" t="s">
        <v>4856</v>
      </c>
      <c r="Q1172" t="s">
        <v>4857</v>
      </c>
      <c r="R1172" t="s">
        <v>6279</v>
      </c>
      <c r="S1172" t="s">
        <v>6280</v>
      </c>
      <c r="T1172" t="s">
        <v>96</v>
      </c>
    </row>
    <row r="1173" spans="1:20" ht="15" customHeight="1" x14ac:dyDescent="0.4">
      <c r="A1173" t="s">
        <v>4861</v>
      </c>
      <c r="B1173" t="s">
        <v>4861</v>
      </c>
      <c r="C1173" t="s">
        <v>151</v>
      </c>
      <c r="D1173" t="s">
        <v>81</v>
      </c>
      <c r="E1173" t="s">
        <v>4408</v>
      </c>
      <c r="F1173" t="s">
        <v>8205</v>
      </c>
      <c r="G1173" t="s">
        <v>8104</v>
      </c>
      <c r="H1173" t="s">
        <v>4859</v>
      </c>
      <c r="I1173" t="s">
        <v>31</v>
      </c>
      <c r="K1173" t="s">
        <v>31</v>
      </c>
      <c r="L1173" t="s">
        <v>8205</v>
      </c>
      <c r="M1173" t="s">
        <v>8205</v>
      </c>
      <c r="O1173" t="s">
        <v>14</v>
      </c>
      <c r="P1173" t="s">
        <v>4862</v>
      </c>
      <c r="Q1173" t="s">
        <v>4863</v>
      </c>
      <c r="R1173" t="s">
        <v>6279</v>
      </c>
      <c r="S1173" t="s">
        <v>6280</v>
      </c>
      <c r="T1173" t="s">
        <v>96</v>
      </c>
    </row>
    <row r="1174" spans="1:20" ht="15" customHeight="1" x14ac:dyDescent="0.4">
      <c r="A1174" t="s">
        <v>4866</v>
      </c>
      <c r="B1174" t="s">
        <v>4866</v>
      </c>
      <c r="C1174" t="s">
        <v>151</v>
      </c>
      <c r="D1174" t="s">
        <v>81</v>
      </c>
      <c r="E1174" t="s">
        <v>4408</v>
      </c>
      <c r="F1174" t="s">
        <v>8206</v>
      </c>
      <c r="G1174" t="s">
        <v>8104</v>
      </c>
      <c r="H1174" t="s">
        <v>4865</v>
      </c>
      <c r="I1174" t="s">
        <v>31</v>
      </c>
      <c r="K1174" t="s">
        <v>31</v>
      </c>
      <c r="L1174" t="s">
        <v>8206</v>
      </c>
      <c r="M1174" t="s">
        <v>8206</v>
      </c>
      <c r="O1174" t="s">
        <v>14</v>
      </c>
      <c r="P1174" t="s">
        <v>4867</v>
      </c>
      <c r="Q1174" t="s">
        <v>4868</v>
      </c>
      <c r="R1174" t="s">
        <v>6279</v>
      </c>
      <c r="S1174" t="s">
        <v>6280</v>
      </c>
      <c r="T1174" t="s">
        <v>96</v>
      </c>
    </row>
    <row r="1175" spans="1:20" ht="15" customHeight="1" x14ac:dyDescent="0.4">
      <c r="A1175" t="s">
        <v>4871</v>
      </c>
      <c r="B1175" t="s">
        <v>4871</v>
      </c>
      <c r="C1175" t="s">
        <v>151</v>
      </c>
      <c r="D1175" t="s">
        <v>81</v>
      </c>
      <c r="E1175" t="s">
        <v>4408</v>
      </c>
      <c r="F1175" t="s">
        <v>8207</v>
      </c>
      <c r="G1175" t="s">
        <v>8104</v>
      </c>
      <c r="H1175" t="s">
        <v>4870</v>
      </c>
      <c r="I1175" t="s">
        <v>31</v>
      </c>
      <c r="K1175" t="s">
        <v>31</v>
      </c>
      <c r="L1175" t="s">
        <v>8207</v>
      </c>
      <c r="M1175" t="s">
        <v>8207</v>
      </c>
      <c r="O1175" t="s">
        <v>14</v>
      </c>
      <c r="P1175" t="s">
        <v>4872</v>
      </c>
      <c r="Q1175" t="s">
        <v>4873</v>
      </c>
      <c r="R1175" t="s">
        <v>6279</v>
      </c>
      <c r="S1175" t="s">
        <v>6280</v>
      </c>
      <c r="T1175" t="s">
        <v>96</v>
      </c>
    </row>
    <row r="1176" spans="1:20" ht="15" customHeight="1" x14ac:dyDescent="0.4">
      <c r="A1176" t="s">
        <v>4876</v>
      </c>
      <c r="B1176" t="s">
        <v>4876</v>
      </c>
      <c r="C1176" t="s">
        <v>151</v>
      </c>
      <c r="D1176" t="s">
        <v>81</v>
      </c>
      <c r="E1176" t="s">
        <v>4408</v>
      </c>
      <c r="F1176" t="s">
        <v>8208</v>
      </c>
      <c r="G1176" t="s">
        <v>8104</v>
      </c>
      <c r="H1176" t="s">
        <v>4875</v>
      </c>
      <c r="I1176" t="s">
        <v>31</v>
      </c>
      <c r="K1176" t="s">
        <v>31</v>
      </c>
      <c r="L1176" t="s">
        <v>8208</v>
      </c>
      <c r="M1176" t="s">
        <v>8208</v>
      </c>
      <c r="O1176" t="s">
        <v>14</v>
      </c>
      <c r="P1176" t="s">
        <v>4877</v>
      </c>
      <c r="Q1176" t="s">
        <v>4878</v>
      </c>
      <c r="R1176" t="s">
        <v>6279</v>
      </c>
      <c r="S1176" t="s">
        <v>6280</v>
      </c>
      <c r="T1176" t="s">
        <v>96</v>
      </c>
    </row>
    <row r="1177" spans="1:20" ht="15" customHeight="1" x14ac:dyDescent="0.4">
      <c r="A1177" t="s">
        <v>4881</v>
      </c>
      <c r="B1177" t="s">
        <v>4881</v>
      </c>
      <c r="C1177" t="s">
        <v>151</v>
      </c>
      <c r="D1177" t="s">
        <v>81</v>
      </c>
      <c r="E1177" t="s">
        <v>4408</v>
      </c>
      <c r="F1177" t="s">
        <v>8209</v>
      </c>
      <c r="G1177" t="s">
        <v>8104</v>
      </c>
      <c r="H1177" t="s">
        <v>4880</v>
      </c>
      <c r="I1177" t="s">
        <v>31</v>
      </c>
      <c r="K1177" t="s">
        <v>31</v>
      </c>
      <c r="L1177" t="s">
        <v>8209</v>
      </c>
      <c r="M1177" t="s">
        <v>8209</v>
      </c>
      <c r="O1177" t="s">
        <v>14</v>
      </c>
      <c r="P1177" t="s">
        <v>4882</v>
      </c>
      <c r="Q1177" t="s">
        <v>4883</v>
      </c>
      <c r="R1177" t="s">
        <v>6279</v>
      </c>
      <c r="S1177" t="s">
        <v>6280</v>
      </c>
      <c r="T1177" t="s">
        <v>96</v>
      </c>
    </row>
    <row r="1178" spans="1:20" ht="15" customHeight="1" x14ac:dyDescent="0.4">
      <c r="A1178" t="s">
        <v>4886</v>
      </c>
      <c r="B1178" t="s">
        <v>4886</v>
      </c>
      <c r="C1178" t="s">
        <v>151</v>
      </c>
      <c r="D1178" t="s">
        <v>81</v>
      </c>
      <c r="E1178" t="s">
        <v>4408</v>
      </c>
      <c r="F1178" t="s">
        <v>8210</v>
      </c>
      <c r="G1178" t="s">
        <v>8104</v>
      </c>
      <c r="H1178" t="s">
        <v>4885</v>
      </c>
      <c r="I1178" t="s">
        <v>31</v>
      </c>
      <c r="K1178" t="s">
        <v>31</v>
      </c>
      <c r="L1178" t="s">
        <v>8210</v>
      </c>
      <c r="M1178" t="s">
        <v>8210</v>
      </c>
      <c r="O1178" t="s">
        <v>14</v>
      </c>
      <c r="P1178" t="s">
        <v>4887</v>
      </c>
      <c r="Q1178" t="s">
        <v>4888</v>
      </c>
      <c r="R1178" t="s">
        <v>6279</v>
      </c>
      <c r="S1178" t="s">
        <v>6280</v>
      </c>
      <c r="T1178" t="s">
        <v>96</v>
      </c>
    </row>
    <row r="1179" spans="1:20" ht="15" customHeight="1" x14ac:dyDescent="0.4">
      <c r="A1179" t="s">
        <v>4891</v>
      </c>
      <c r="B1179" t="s">
        <v>4891</v>
      </c>
      <c r="C1179" t="s">
        <v>151</v>
      </c>
      <c r="D1179" t="s">
        <v>81</v>
      </c>
      <c r="E1179" t="s">
        <v>4408</v>
      </c>
      <c r="F1179" t="s">
        <v>8211</v>
      </c>
      <c r="G1179" t="s">
        <v>8104</v>
      </c>
      <c r="H1179" t="s">
        <v>4890</v>
      </c>
      <c r="I1179" t="s">
        <v>31</v>
      </c>
      <c r="K1179" t="s">
        <v>31</v>
      </c>
      <c r="L1179" t="s">
        <v>8211</v>
      </c>
      <c r="M1179" t="s">
        <v>8211</v>
      </c>
      <c r="O1179" t="s">
        <v>14</v>
      </c>
      <c r="P1179" t="s">
        <v>4892</v>
      </c>
      <c r="Q1179" t="s">
        <v>4893</v>
      </c>
      <c r="R1179" t="s">
        <v>6279</v>
      </c>
      <c r="S1179" t="s">
        <v>6280</v>
      </c>
      <c r="T1179" t="s">
        <v>96</v>
      </c>
    </row>
    <row r="1180" spans="1:20" ht="15" customHeight="1" x14ac:dyDescent="0.4">
      <c r="A1180" t="s">
        <v>4896</v>
      </c>
      <c r="B1180" t="s">
        <v>4896</v>
      </c>
      <c r="C1180" t="s">
        <v>151</v>
      </c>
      <c r="D1180" t="s">
        <v>81</v>
      </c>
      <c r="E1180" t="s">
        <v>4408</v>
      </c>
      <c r="F1180" t="s">
        <v>8212</v>
      </c>
      <c r="G1180" t="s">
        <v>8104</v>
      </c>
      <c r="H1180" t="s">
        <v>4895</v>
      </c>
      <c r="I1180" t="s">
        <v>31</v>
      </c>
      <c r="K1180" t="s">
        <v>31</v>
      </c>
      <c r="L1180" t="s">
        <v>8212</v>
      </c>
      <c r="M1180" t="s">
        <v>8212</v>
      </c>
      <c r="O1180" t="s">
        <v>14</v>
      </c>
      <c r="P1180" t="s">
        <v>4897</v>
      </c>
      <c r="Q1180" t="s">
        <v>4898</v>
      </c>
      <c r="R1180" t="s">
        <v>6279</v>
      </c>
      <c r="S1180" t="s">
        <v>6280</v>
      </c>
      <c r="T1180" t="s">
        <v>96</v>
      </c>
    </row>
    <row r="1181" spans="1:20" ht="15" customHeight="1" x14ac:dyDescent="0.4">
      <c r="A1181" t="s">
        <v>4901</v>
      </c>
      <c r="B1181" t="s">
        <v>4901</v>
      </c>
      <c r="C1181" t="s">
        <v>151</v>
      </c>
      <c r="D1181" t="s">
        <v>81</v>
      </c>
      <c r="E1181" t="s">
        <v>4408</v>
      </c>
      <c r="F1181" t="s">
        <v>8213</v>
      </c>
      <c r="G1181" t="s">
        <v>8104</v>
      </c>
      <c r="H1181" t="s">
        <v>4900</v>
      </c>
      <c r="I1181" t="s">
        <v>31</v>
      </c>
      <c r="K1181" t="s">
        <v>31</v>
      </c>
      <c r="L1181" t="s">
        <v>8213</v>
      </c>
      <c r="M1181" t="s">
        <v>8213</v>
      </c>
      <c r="O1181" t="s">
        <v>14</v>
      </c>
      <c r="P1181" t="s">
        <v>4902</v>
      </c>
      <c r="Q1181" t="s">
        <v>4903</v>
      </c>
      <c r="R1181" t="s">
        <v>6279</v>
      </c>
      <c r="S1181" t="s">
        <v>6280</v>
      </c>
      <c r="T1181" t="s">
        <v>96</v>
      </c>
    </row>
    <row r="1182" spans="1:20" ht="15" customHeight="1" x14ac:dyDescent="0.4">
      <c r="A1182" t="s">
        <v>4906</v>
      </c>
      <c r="B1182" t="s">
        <v>4906</v>
      </c>
      <c r="C1182" t="s">
        <v>151</v>
      </c>
      <c r="D1182" t="s">
        <v>81</v>
      </c>
      <c r="E1182" t="s">
        <v>4408</v>
      </c>
      <c r="F1182" t="s">
        <v>8214</v>
      </c>
      <c r="G1182" t="s">
        <v>8104</v>
      </c>
      <c r="H1182" t="s">
        <v>4905</v>
      </c>
      <c r="I1182" t="s">
        <v>31</v>
      </c>
      <c r="K1182" t="s">
        <v>31</v>
      </c>
      <c r="L1182" t="s">
        <v>8214</v>
      </c>
      <c r="M1182" t="s">
        <v>8214</v>
      </c>
      <c r="O1182" t="s">
        <v>14</v>
      </c>
      <c r="P1182" t="s">
        <v>4907</v>
      </c>
      <c r="Q1182" t="s">
        <v>4908</v>
      </c>
      <c r="R1182" t="s">
        <v>6279</v>
      </c>
      <c r="S1182" t="s">
        <v>6280</v>
      </c>
      <c r="T1182" t="s">
        <v>96</v>
      </c>
    </row>
    <row r="1183" spans="1:20" ht="15" customHeight="1" x14ac:dyDescent="0.4">
      <c r="A1183" t="s">
        <v>4911</v>
      </c>
      <c r="B1183" t="s">
        <v>4911</v>
      </c>
      <c r="C1183" t="s">
        <v>151</v>
      </c>
      <c r="D1183" t="s">
        <v>81</v>
      </c>
      <c r="E1183" t="s">
        <v>4408</v>
      </c>
      <c r="F1183" t="s">
        <v>8215</v>
      </c>
      <c r="G1183" t="s">
        <v>8104</v>
      </c>
      <c r="H1183" t="s">
        <v>4910</v>
      </c>
      <c r="I1183" t="s">
        <v>31</v>
      </c>
      <c r="K1183" t="s">
        <v>31</v>
      </c>
      <c r="L1183" t="s">
        <v>8215</v>
      </c>
      <c r="M1183" t="s">
        <v>8215</v>
      </c>
      <c r="O1183" t="s">
        <v>14</v>
      </c>
      <c r="P1183" t="s">
        <v>4912</v>
      </c>
      <c r="Q1183" t="s">
        <v>4913</v>
      </c>
      <c r="R1183" t="s">
        <v>6279</v>
      </c>
      <c r="S1183" t="s">
        <v>6280</v>
      </c>
      <c r="T1183" t="s">
        <v>96</v>
      </c>
    </row>
    <row r="1184" spans="1:20" ht="15" customHeight="1" x14ac:dyDescent="0.4">
      <c r="A1184" t="s">
        <v>4916</v>
      </c>
      <c r="B1184" t="s">
        <v>4916</v>
      </c>
      <c r="C1184" t="s">
        <v>151</v>
      </c>
      <c r="D1184" t="s">
        <v>81</v>
      </c>
      <c r="E1184" t="s">
        <v>4408</v>
      </c>
      <c r="F1184" t="s">
        <v>8216</v>
      </c>
      <c r="G1184" t="s">
        <v>8104</v>
      </c>
      <c r="H1184" t="s">
        <v>4915</v>
      </c>
      <c r="I1184" t="s">
        <v>31</v>
      </c>
      <c r="K1184" t="s">
        <v>31</v>
      </c>
      <c r="L1184" t="s">
        <v>8216</v>
      </c>
      <c r="M1184" t="s">
        <v>8216</v>
      </c>
      <c r="O1184" t="s">
        <v>14</v>
      </c>
      <c r="P1184" t="s">
        <v>4917</v>
      </c>
      <c r="Q1184" t="s">
        <v>4918</v>
      </c>
      <c r="R1184" t="s">
        <v>6279</v>
      </c>
      <c r="S1184" t="s">
        <v>6280</v>
      </c>
      <c r="T1184" t="s">
        <v>96</v>
      </c>
    </row>
    <row r="1185" spans="1:20" ht="15" customHeight="1" x14ac:dyDescent="0.4">
      <c r="A1185" t="s">
        <v>4921</v>
      </c>
      <c r="B1185" t="s">
        <v>4921</v>
      </c>
      <c r="C1185" t="s">
        <v>151</v>
      </c>
      <c r="D1185" t="s">
        <v>81</v>
      </c>
      <c r="E1185" t="s">
        <v>4408</v>
      </c>
      <c r="F1185" t="s">
        <v>8217</v>
      </c>
      <c r="G1185" t="s">
        <v>8104</v>
      </c>
      <c r="H1185" t="s">
        <v>4920</v>
      </c>
      <c r="I1185" t="s">
        <v>31</v>
      </c>
      <c r="K1185" t="s">
        <v>31</v>
      </c>
      <c r="L1185" t="s">
        <v>8217</v>
      </c>
      <c r="M1185" t="s">
        <v>8217</v>
      </c>
      <c r="O1185" t="s">
        <v>14</v>
      </c>
      <c r="P1185" t="s">
        <v>4922</v>
      </c>
      <c r="Q1185" t="s">
        <v>4923</v>
      </c>
      <c r="R1185" t="s">
        <v>6279</v>
      </c>
      <c r="S1185" t="s">
        <v>6280</v>
      </c>
      <c r="T1185" t="s">
        <v>96</v>
      </c>
    </row>
    <row r="1186" spans="1:20" ht="15" customHeight="1" x14ac:dyDescent="0.4">
      <c r="A1186" t="s">
        <v>4926</v>
      </c>
      <c r="B1186" t="s">
        <v>4926</v>
      </c>
      <c r="C1186" t="s">
        <v>151</v>
      </c>
      <c r="D1186" t="s">
        <v>81</v>
      </c>
      <c r="E1186" t="s">
        <v>4408</v>
      </c>
      <c r="F1186" t="s">
        <v>8218</v>
      </c>
      <c r="G1186" t="s">
        <v>8104</v>
      </c>
      <c r="H1186" t="s">
        <v>4925</v>
      </c>
      <c r="I1186" t="s">
        <v>31</v>
      </c>
      <c r="K1186" t="s">
        <v>31</v>
      </c>
      <c r="L1186" t="s">
        <v>8218</v>
      </c>
      <c r="M1186" t="s">
        <v>8218</v>
      </c>
      <c r="O1186" t="s">
        <v>14</v>
      </c>
      <c r="P1186" t="s">
        <v>4927</v>
      </c>
      <c r="Q1186" t="s">
        <v>4928</v>
      </c>
      <c r="R1186" t="s">
        <v>6279</v>
      </c>
      <c r="S1186" t="s">
        <v>6280</v>
      </c>
      <c r="T1186" t="s">
        <v>96</v>
      </c>
    </row>
    <row r="1187" spans="1:20" ht="15" customHeight="1" x14ac:dyDescent="0.4">
      <c r="A1187" t="s">
        <v>4931</v>
      </c>
      <c r="B1187" t="s">
        <v>4931</v>
      </c>
      <c r="C1187" t="s">
        <v>151</v>
      </c>
      <c r="D1187" t="s">
        <v>81</v>
      </c>
      <c r="E1187" t="s">
        <v>4408</v>
      </c>
      <c r="F1187" t="s">
        <v>8219</v>
      </c>
      <c r="G1187" t="s">
        <v>8104</v>
      </c>
      <c r="H1187" t="s">
        <v>4930</v>
      </c>
      <c r="I1187" t="s">
        <v>31</v>
      </c>
      <c r="K1187" t="s">
        <v>31</v>
      </c>
      <c r="L1187" t="s">
        <v>8219</v>
      </c>
      <c r="M1187" t="s">
        <v>8219</v>
      </c>
      <c r="O1187" t="s">
        <v>14</v>
      </c>
      <c r="P1187" t="s">
        <v>4932</v>
      </c>
      <c r="Q1187" t="s">
        <v>4933</v>
      </c>
      <c r="R1187" t="s">
        <v>6279</v>
      </c>
      <c r="S1187" t="s">
        <v>6280</v>
      </c>
      <c r="T1187" t="s">
        <v>96</v>
      </c>
    </row>
    <row r="1188" spans="1:20" ht="15" customHeight="1" x14ac:dyDescent="0.4">
      <c r="A1188" t="s">
        <v>4936</v>
      </c>
      <c r="B1188" t="s">
        <v>4936</v>
      </c>
      <c r="C1188" t="s">
        <v>151</v>
      </c>
      <c r="D1188" t="s">
        <v>81</v>
      </c>
      <c r="E1188" t="s">
        <v>4408</v>
      </c>
      <c r="F1188" t="s">
        <v>8220</v>
      </c>
      <c r="G1188" t="s">
        <v>8104</v>
      </c>
      <c r="H1188" t="s">
        <v>4935</v>
      </c>
      <c r="I1188" t="s">
        <v>31</v>
      </c>
      <c r="K1188" t="s">
        <v>31</v>
      </c>
      <c r="L1188" t="s">
        <v>8220</v>
      </c>
      <c r="M1188" t="s">
        <v>8220</v>
      </c>
      <c r="O1188" t="s">
        <v>14</v>
      </c>
      <c r="P1188" t="s">
        <v>4937</v>
      </c>
      <c r="Q1188" t="s">
        <v>4938</v>
      </c>
      <c r="R1188" t="s">
        <v>6279</v>
      </c>
      <c r="S1188" t="s">
        <v>6280</v>
      </c>
      <c r="T1188" t="s">
        <v>96</v>
      </c>
    </row>
    <row r="1189" spans="1:20" ht="15" customHeight="1" x14ac:dyDescent="0.4">
      <c r="A1189" t="s">
        <v>4941</v>
      </c>
      <c r="B1189" t="s">
        <v>4941</v>
      </c>
      <c r="C1189" t="s">
        <v>151</v>
      </c>
      <c r="D1189" t="s">
        <v>81</v>
      </c>
      <c r="E1189" t="s">
        <v>4408</v>
      </c>
      <c r="F1189" t="s">
        <v>8221</v>
      </c>
      <c r="G1189" t="s">
        <v>8104</v>
      </c>
      <c r="H1189" t="s">
        <v>4940</v>
      </c>
      <c r="I1189" t="s">
        <v>31</v>
      </c>
      <c r="K1189" t="s">
        <v>31</v>
      </c>
      <c r="L1189" t="s">
        <v>8221</v>
      </c>
      <c r="M1189" t="s">
        <v>8221</v>
      </c>
      <c r="O1189" t="s">
        <v>14</v>
      </c>
      <c r="P1189" t="s">
        <v>4942</v>
      </c>
      <c r="Q1189" t="s">
        <v>4943</v>
      </c>
      <c r="R1189" t="s">
        <v>6279</v>
      </c>
      <c r="S1189" t="s">
        <v>6280</v>
      </c>
      <c r="T1189" t="s">
        <v>96</v>
      </c>
    </row>
    <row r="1190" spans="1:20" ht="15" customHeight="1" x14ac:dyDescent="0.4">
      <c r="A1190" t="s">
        <v>4946</v>
      </c>
      <c r="B1190" t="s">
        <v>4946</v>
      </c>
      <c r="C1190" t="s">
        <v>151</v>
      </c>
      <c r="D1190" t="s">
        <v>81</v>
      </c>
      <c r="E1190" t="s">
        <v>4408</v>
      </c>
      <c r="F1190" t="s">
        <v>8222</v>
      </c>
      <c r="G1190" t="s">
        <v>8104</v>
      </c>
      <c r="H1190" t="s">
        <v>4945</v>
      </c>
      <c r="I1190" t="s">
        <v>31</v>
      </c>
      <c r="K1190" t="s">
        <v>31</v>
      </c>
      <c r="L1190" t="s">
        <v>8222</v>
      </c>
      <c r="M1190" t="s">
        <v>8222</v>
      </c>
      <c r="O1190" t="s">
        <v>14</v>
      </c>
      <c r="P1190" t="s">
        <v>4947</v>
      </c>
      <c r="Q1190" t="s">
        <v>4948</v>
      </c>
      <c r="R1190" t="s">
        <v>6279</v>
      </c>
      <c r="S1190" t="s">
        <v>6280</v>
      </c>
      <c r="T1190" t="s">
        <v>96</v>
      </c>
    </row>
    <row r="1191" spans="1:20" ht="15" customHeight="1" x14ac:dyDescent="0.4">
      <c r="A1191" t="s">
        <v>4951</v>
      </c>
      <c r="B1191" t="s">
        <v>4951</v>
      </c>
      <c r="C1191" t="s">
        <v>151</v>
      </c>
      <c r="D1191" t="s">
        <v>81</v>
      </c>
      <c r="E1191" t="s">
        <v>4408</v>
      </c>
      <c r="F1191" t="s">
        <v>8223</v>
      </c>
      <c r="G1191" t="s">
        <v>8104</v>
      </c>
      <c r="H1191" t="s">
        <v>4950</v>
      </c>
      <c r="I1191" t="s">
        <v>31</v>
      </c>
      <c r="K1191" t="s">
        <v>31</v>
      </c>
      <c r="L1191" t="s">
        <v>8223</v>
      </c>
      <c r="M1191" t="s">
        <v>8223</v>
      </c>
      <c r="O1191" t="s">
        <v>14</v>
      </c>
      <c r="P1191" t="s">
        <v>4952</v>
      </c>
      <c r="Q1191" t="s">
        <v>4953</v>
      </c>
      <c r="R1191" t="s">
        <v>6279</v>
      </c>
      <c r="S1191" t="s">
        <v>6280</v>
      </c>
      <c r="T1191" t="s">
        <v>96</v>
      </c>
    </row>
    <row r="1192" spans="1:20" ht="15" customHeight="1" x14ac:dyDescent="0.4">
      <c r="A1192" t="s">
        <v>4956</v>
      </c>
      <c r="B1192" t="s">
        <v>4956</v>
      </c>
      <c r="C1192" t="s">
        <v>151</v>
      </c>
      <c r="D1192" t="s">
        <v>81</v>
      </c>
      <c r="E1192" t="s">
        <v>4408</v>
      </c>
      <c r="F1192" t="s">
        <v>8224</v>
      </c>
      <c r="G1192" t="s">
        <v>8104</v>
      </c>
      <c r="H1192" t="s">
        <v>4955</v>
      </c>
      <c r="I1192" t="s">
        <v>31</v>
      </c>
      <c r="K1192" t="s">
        <v>31</v>
      </c>
      <c r="L1192" t="s">
        <v>8224</v>
      </c>
      <c r="M1192" t="s">
        <v>8224</v>
      </c>
      <c r="O1192" t="s">
        <v>14</v>
      </c>
      <c r="P1192" t="s">
        <v>4957</v>
      </c>
      <c r="Q1192" t="s">
        <v>4958</v>
      </c>
      <c r="R1192" t="s">
        <v>6279</v>
      </c>
      <c r="S1192" t="s">
        <v>6280</v>
      </c>
      <c r="T1192" t="s">
        <v>96</v>
      </c>
    </row>
    <row r="1193" spans="1:20" ht="15" customHeight="1" x14ac:dyDescent="0.4">
      <c r="A1193" t="s">
        <v>4961</v>
      </c>
      <c r="B1193" t="s">
        <v>4961</v>
      </c>
      <c r="C1193" t="s">
        <v>151</v>
      </c>
      <c r="D1193" t="s">
        <v>81</v>
      </c>
      <c r="E1193" t="s">
        <v>4408</v>
      </c>
      <c r="F1193" t="s">
        <v>8225</v>
      </c>
      <c r="G1193" t="s">
        <v>8104</v>
      </c>
      <c r="H1193" t="s">
        <v>4960</v>
      </c>
      <c r="I1193" t="s">
        <v>31</v>
      </c>
      <c r="K1193" t="s">
        <v>31</v>
      </c>
      <c r="L1193" t="s">
        <v>8225</v>
      </c>
      <c r="M1193" t="s">
        <v>8225</v>
      </c>
      <c r="O1193" t="s">
        <v>14</v>
      </c>
      <c r="P1193" t="s">
        <v>4962</v>
      </c>
      <c r="Q1193" t="s">
        <v>4963</v>
      </c>
      <c r="R1193" t="s">
        <v>6279</v>
      </c>
      <c r="S1193" t="s">
        <v>6280</v>
      </c>
      <c r="T1193" t="s">
        <v>96</v>
      </c>
    </row>
    <row r="1194" spans="1:20" ht="15" customHeight="1" x14ac:dyDescent="0.4">
      <c r="A1194" t="s">
        <v>4966</v>
      </c>
      <c r="B1194" t="s">
        <v>4966</v>
      </c>
      <c r="C1194" t="s">
        <v>151</v>
      </c>
      <c r="D1194" t="s">
        <v>81</v>
      </c>
      <c r="E1194" t="s">
        <v>4408</v>
      </c>
      <c r="F1194" t="s">
        <v>8226</v>
      </c>
      <c r="G1194" t="s">
        <v>8104</v>
      </c>
      <c r="H1194" t="s">
        <v>4965</v>
      </c>
      <c r="I1194" t="s">
        <v>31</v>
      </c>
      <c r="K1194" t="s">
        <v>31</v>
      </c>
      <c r="L1194" t="s">
        <v>8226</v>
      </c>
      <c r="M1194" t="s">
        <v>8226</v>
      </c>
      <c r="O1194" t="s">
        <v>14</v>
      </c>
      <c r="P1194" t="s">
        <v>4967</v>
      </c>
      <c r="Q1194" t="s">
        <v>4968</v>
      </c>
      <c r="R1194" t="s">
        <v>6279</v>
      </c>
      <c r="S1194" t="s">
        <v>6280</v>
      </c>
      <c r="T1194" t="s">
        <v>96</v>
      </c>
    </row>
    <row r="1195" spans="1:20" ht="15" customHeight="1" x14ac:dyDescent="0.4">
      <c r="A1195" t="s">
        <v>4972</v>
      </c>
      <c r="B1195" t="s">
        <v>4972</v>
      </c>
      <c r="C1195" t="s">
        <v>151</v>
      </c>
      <c r="D1195" t="s">
        <v>81</v>
      </c>
      <c r="E1195" t="s">
        <v>4408</v>
      </c>
      <c r="F1195" t="s">
        <v>8227</v>
      </c>
      <c r="G1195" t="s">
        <v>8104</v>
      </c>
      <c r="H1195" t="s">
        <v>4970</v>
      </c>
      <c r="I1195" t="s">
        <v>31</v>
      </c>
      <c r="L1195" t="s">
        <v>8227</v>
      </c>
      <c r="M1195" t="s">
        <v>8227</v>
      </c>
      <c r="O1195" t="s">
        <v>14</v>
      </c>
      <c r="P1195" t="s">
        <v>4973</v>
      </c>
      <c r="Q1195" t="s">
        <v>4974</v>
      </c>
      <c r="R1195" t="s">
        <v>6279</v>
      </c>
      <c r="S1195" t="s">
        <v>6280</v>
      </c>
      <c r="T1195" t="s">
        <v>119</v>
      </c>
    </row>
    <row r="1196" spans="1:20" ht="15" customHeight="1" x14ac:dyDescent="0.4">
      <c r="A1196" t="s">
        <v>4979</v>
      </c>
      <c r="B1196" t="s">
        <v>4979</v>
      </c>
      <c r="C1196" t="s">
        <v>151</v>
      </c>
      <c r="D1196" t="s">
        <v>81</v>
      </c>
      <c r="E1196" t="s">
        <v>4408</v>
      </c>
      <c r="F1196" t="s">
        <v>8228</v>
      </c>
      <c r="G1196" t="s">
        <v>8104</v>
      </c>
      <c r="H1196" t="s">
        <v>4977</v>
      </c>
      <c r="I1196" t="s">
        <v>31</v>
      </c>
      <c r="K1196" t="s">
        <v>31</v>
      </c>
      <c r="L1196" t="s">
        <v>8228</v>
      </c>
      <c r="M1196" t="s">
        <v>8228</v>
      </c>
      <c r="O1196" t="s">
        <v>14</v>
      </c>
      <c r="P1196" t="s">
        <v>4980</v>
      </c>
      <c r="Q1196" t="s">
        <v>4981</v>
      </c>
      <c r="R1196" t="s">
        <v>6279</v>
      </c>
      <c r="S1196" t="s">
        <v>6280</v>
      </c>
      <c r="T1196" t="s">
        <v>119</v>
      </c>
    </row>
    <row r="1197" spans="1:20" ht="15" customHeight="1" x14ac:dyDescent="0.4">
      <c r="A1197" t="s">
        <v>4984</v>
      </c>
      <c r="B1197" t="s">
        <v>4984</v>
      </c>
      <c r="C1197" t="s">
        <v>151</v>
      </c>
      <c r="D1197" t="s">
        <v>81</v>
      </c>
      <c r="E1197" t="s">
        <v>4408</v>
      </c>
      <c r="F1197" t="s">
        <v>8229</v>
      </c>
      <c r="G1197" t="s">
        <v>8104</v>
      </c>
      <c r="H1197" t="s">
        <v>4983</v>
      </c>
      <c r="I1197" t="s">
        <v>31</v>
      </c>
      <c r="K1197" t="s">
        <v>31</v>
      </c>
      <c r="L1197" t="s">
        <v>8229</v>
      </c>
      <c r="M1197" t="s">
        <v>8229</v>
      </c>
      <c r="O1197" t="s">
        <v>14</v>
      </c>
      <c r="P1197" t="s">
        <v>4985</v>
      </c>
      <c r="Q1197" t="s">
        <v>4986</v>
      </c>
      <c r="R1197" t="s">
        <v>6279</v>
      </c>
      <c r="S1197" t="s">
        <v>6280</v>
      </c>
      <c r="T1197" t="s">
        <v>96</v>
      </c>
    </row>
    <row r="1198" spans="1:20" ht="15" customHeight="1" x14ac:dyDescent="0.4">
      <c r="A1198" t="s">
        <v>4989</v>
      </c>
      <c r="B1198" t="s">
        <v>4989</v>
      </c>
      <c r="C1198" t="s">
        <v>151</v>
      </c>
      <c r="D1198" t="s">
        <v>81</v>
      </c>
      <c r="E1198" t="s">
        <v>4408</v>
      </c>
      <c r="F1198" t="s">
        <v>8230</v>
      </c>
      <c r="G1198" t="s">
        <v>8104</v>
      </c>
      <c r="H1198" t="s">
        <v>4988</v>
      </c>
      <c r="I1198" t="s">
        <v>31</v>
      </c>
      <c r="K1198" t="s">
        <v>31</v>
      </c>
      <c r="L1198" t="s">
        <v>8230</v>
      </c>
      <c r="M1198" t="s">
        <v>8230</v>
      </c>
      <c r="O1198" t="s">
        <v>14</v>
      </c>
      <c r="P1198" t="s">
        <v>4990</v>
      </c>
      <c r="Q1198" t="s">
        <v>4991</v>
      </c>
      <c r="R1198" t="s">
        <v>6279</v>
      </c>
      <c r="S1198" t="s">
        <v>6280</v>
      </c>
      <c r="T1198" t="s">
        <v>96</v>
      </c>
    </row>
    <row r="1199" spans="1:20" ht="15" customHeight="1" x14ac:dyDescent="0.4">
      <c r="A1199" t="s">
        <v>4994</v>
      </c>
      <c r="B1199" t="s">
        <v>4994</v>
      </c>
      <c r="C1199" t="s">
        <v>151</v>
      </c>
      <c r="D1199" t="s">
        <v>81</v>
      </c>
      <c r="E1199" t="s">
        <v>4408</v>
      </c>
      <c r="F1199" t="s">
        <v>8231</v>
      </c>
      <c r="G1199" t="s">
        <v>8104</v>
      </c>
      <c r="H1199" t="s">
        <v>4993</v>
      </c>
      <c r="I1199" t="s">
        <v>31</v>
      </c>
      <c r="K1199" t="s">
        <v>31</v>
      </c>
      <c r="L1199" t="s">
        <v>8231</v>
      </c>
      <c r="M1199" t="s">
        <v>8231</v>
      </c>
      <c r="O1199" t="s">
        <v>14</v>
      </c>
      <c r="P1199" t="s">
        <v>4995</v>
      </c>
      <c r="Q1199" t="s">
        <v>4996</v>
      </c>
      <c r="R1199" t="s">
        <v>6279</v>
      </c>
      <c r="S1199" t="s">
        <v>6280</v>
      </c>
      <c r="T1199" t="s">
        <v>96</v>
      </c>
    </row>
    <row r="1200" spans="1:20" ht="15" customHeight="1" x14ac:dyDescent="0.4">
      <c r="A1200" t="s">
        <v>4999</v>
      </c>
      <c r="B1200" t="s">
        <v>4999</v>
      </c>
      <c r="C1200" t="s">
        <v>151</v>
      </c>
      <c r="D1200" t="s">
        <v>81</v>
      </c>
      <c r="E1200" t="s">
        <v>4408</v>
      </c>
      <c r="F1200" t="s">
        <v>8232</v>
      </c>
      <c r="G1200" t="s">
        <v>8104</v>
      </c>
      <c r="H1200" t="s">
        <v>4998</v>
      </c>
      <c r="I1200" t="s">
        <v>31</v>
      </c>
      <c r="K1200" t="s">
        <v>31</v>
      </c>
      <c r="L1200" t="s">
        <v>8232</v>
      </c>
      <c r="M1200" t="s">
        <v>8232</v>
      </c>
      <c r="O1200" t="s">
        <v>14</v>
      </c>
      <c r="P1200" t="s">
        <v>5000</v>
      </c>
      <c r="Q1200" t="s">
        <v>5001</v>
      </c>
      <c r="R1200" t="s">
        <v>6279</v>
      </c>
      <c r="S1200" t="s">
        <v>6280</v>
      </c>
      <c r="T1200" t="s">
        <v>96</v>
      </c>
    </row>
    <row r="1201" spans="1:20" ht="15" customHeight="1" x14ac:dyDescent="0.4">
      <c r="A1201" t="s">
        <v>5004</v>
      </c>
      <c r="B1201" t="s">
        <v>5004</v>
      </c>
      <c r="C1201" t="s">
        <v>151</v>
      </c>
      <c r="D1201" t="s">
        <v>81</v>
      </c>
      <c r="E1201" t="s">
        <v>4408</v>
      </c>
      <c r="F1201" t="s">
        <v>8233</v>
      </c>
      <c r="G1201" t="s">
        <v>8104</v>
      </c>
      <c r="H1201" t="s">
        <v>5003</v>
      </c>
      <c r="I1201" t="s">
        <v>31</v>
      </c>
      <c r="K1201" t="s">
        <v>31</v>
      </c>
      <c r="L1201" t="s">
        <v>8233</v>
      </c>
      <c r="M1201" t="s">
        <v>8233</v>
      </c>
      <c r="O1201" t="s">
        <v>14</v>
      </c>
      <c r="P1201" t="s">
        <v>5005</v>
      </c>
      <c r="Q1201" t="s">
        <v>5006</v>
      </c>
      <c r="R1201" t="s">
        <v>6279</v>
      </c>
      <c r="S1201" t="s">
        <v>6280</v>
      </c>
      <c r="T1201" t="s">
        <v>96</v>
      </c>
    </row>
    <row r="1202" spans="1:20" ht="15" customHeight="1" x14ac:dyDescent="0.4">
      <c r="A1202" t="s">
        <v>5009</v>
      </c>
      <c r="B1202" t="s">
        <v>5009</v>
      </c>
      <c r="C1202" t="s">
        <v>151</v>
      </c>
      <c r="D1202" t="s">
        <v>81</v>
      </c>
      <c r="E1202" t="s">
        <v>4408</v>
      </c>
      <c r="F1202" t="s">
        <v>8234</v>
      </c>
      <c r="G1202" t="s">
        <v>8104</v>
      </c>
      <c r="H1202" t="s">
        <v>5008</v>
      </c>
      <c r="I1202" t="s">
        <v>31</v>
      </c>
      <c r="K1202" t="s">
        <v>31</v>
      </c>
      <c r="L1202" t="s">
        <v>8234</v>
      </c>
      <c r="M1202" t="s">
        <v>8234</v>
      </c>
      <c r="O1202" t="s">
        <v>14</v>
      </c>
      <c r="P1202" t="s">
        <v>5010</v>
      </c>
      <c r="Q1202" t="s">
        <v>5011</v>
      </c>
      <c r="R1202" t="s">
        <v>6279</v>
      </c>
      <c r="S1202" t="s">
        <v>6280</v>
      </c>
      <c r="T1202" t="s">
        <v>96</v>
      </c>
    </row>
    <row r="1203" spans="1:20" ht="15" customHeight="1" x14ac:dyDescent="0.4">
      <c r="A1203" t="s">
        <v>5014</v>
      </c>
      <c r="B1203" t="s">
        <v>5014</v>
      </c>
      <c r="C1203" t="s">
        <v>151</v>
      </c>
      <c r="D1203" t="s">
        <v>81</v>
      </c>
      <c r="E1203" t="s">
        <v>4408</v>
      </c>
      <c r="F1203" t="s">
        <v>8235</v>
      </c>
      <c r="G1203" t="s">
        <v>8104</v>
      </c>
      <c r="H1203" t="s">
        <v>5013</v>
      </c>
      <c r="I1203" t="s">
        <v>31</v>
      </c>
      <c r="K1203" t="s">
        <v>31</v>
      </c>
      <c r="L1203" t="s">
        <v>8235</v>
      </c>
      <c r="M1203" t="s">
        <v>8235</v>
      </c>
      <c r="O1203" t="s">
        <v>14</v>
      </c>
      <c r="P1203" t="s">
        <v>5015</v>
      </c>
      <c r="Q1203" t="s">
        <v>5016</v>
      </c>
      <c r="R1203" t="s">
        <v>6279</v>
      </c>
      <c r="S1203" t="s">
        <v>6280</v>
      </c>
      <c r="T1203" t="s">
        <v>96</v>
      </c>
    </row>
    <row r="1204" spans="1:20" ht="15" customHeight="1" x14ac:dyDescent="0.4">
      <c r="A1204" t="s">
        <v>5019</v>
      </c>
      <c r="B1204" t="s">
        <v>5019</v>
      </c>
      <c r="C1204" t="s">
        <v>151</v>
      </c>
      <c r="D1204" t="s">
        <v>81</v>
      </c>
      <c r="E1204" t="s">
        <v>4408</v>
      </c>
      <c r="F1204" t="s">
        <v>8236</v>
      </c>
      <c r="G1204" t="s">
        <v>8104</v>
      </c>
      <c r="H1204" t="s">
        <v>5018</v>
      </c>
      <c r="I1204" t="s">
        <v>31</v>
      </c>
      <c r="K1204" t="s">
        <v>31</v>
      </c>
      <c r="L1204" t="s">
        <v>8236</v>
      </c>
      <c r="M1204" t="s">
        <v>8236</v>
      </c>
      <c r="O1204" t="s">
        <v>14</v>
      </c>
      <c r="P1204" t="s">
        <v>5020</v>
      </c>
      <c r="Q1204" t="s">
        <v>5021</v>
      </c>
      <c r="R1204" t="s">
        <v>6279</v>
      </c>
      <c r="S1204" t="s">
        <v>6280</v>
      </c>
      <c r="T1204" t="s">
        <v>96</v>
      </c>
    </row>
    <row r="1205" spans="1:20" ht="15" customHeight="1" x14ac:dyDescent="0.4">
      <c r="A1205" t="s">
        <v>5024</v>
      </c>
      <c r="B1205" t="s">
        <v>5024</v>
      </c>
      <c r="C1205" t="s">
        <v>151</v>
      </c>
      <c r="D1205" t="s">
        <v>81</v>
      </c>
      <c r="E1205" t="s">
        <v>4408</v>
      </c>
      <c r="F1205" t="s">
        <v>8237</v>
      </c>
      <c r="G1205" t="s">
        <v>8104</v>
      </c>
      <c r="H1205" t="s">
        <v>5023</v>
      </c>
      <c r="I1205" t="s">
        <v>31</v>
      </c>
      <c r="K1205" t="s">
        <v>31</v>
      </c>
      <c r="L1205" t="s">
        <v>8237</v>
      </c>
      <c r="M1205" t="s">
        <v>8237</v>
      </c>
      <c r="O1205" t="s">
        <v>14</v>
      </c>
      <c r="P1205" t="s">
        <v>5025</v>
      </c>
      <c r="Q1205" t="s">
        <v>5026</v>
      </c>
      <c r="R1205" t="s">
        <v>6279</v>
      </c>
      <c r="S1205" t="s">
        <v>6280</v>
      </c>
      <c r="T1205" t="s">
        <v>96</v>
      </c>
    </row>
    <row r="1206" spans="1:20" ht="15" customHeight="1" x14ac:dyDescent="0.4">
      <c r="A1206" t="s">
        <v>5029</v>
      </c>
      <c r="B1206" t="s">
        <v>5029</v>
      </c>
      <c r="C1206" t="s">
        <v>151</v>
      </c>
      <c r="D1206" t="s">
        <v>81</v>
      </c>
      <c r="E1206" t="s">
        <v>4408</v>
      </c>
      <c r="F1206" t="s">
        <v>8238</v>
      </c>
      <c r="G1206" t="s">
        <v>8104</v>
      </c>
      <c r="H1206" t="s">
        <v>5028</v>
      </c>
      <c r="I1206" t="s">
        <v>31</v>
      </c>
      <c r="K1206" t="s">
        <v>31</v>
      </c>
      <c r="L1206" t="s">
        <v>8238</v>
      </c>
      <c r="M1206" t="s">
        <v>8238</v>
      </c>
      <c r="O1206" t="s">
        <v>14</v>
      </c>
      <c r="P1206" t="s">
        <v>5030</v>
      </c>
      <c r="Q1206" t="s">
        <v>5031</v>
      </c>
      <c r="R1206" t="s">
        <v>6279</v>
      </c>
      <c r="S1206" t="s">
        <v>6280</v>
      </c>
      <c r="T1206" t="s">
        <v>96</v>
      </c>
    </row>
    <row r="1207" spans="1:20" ht="15" customHeight="1" x14ac:dyDescent="0.4">
      <c r="A1207" t="s">
        <v>5034</v>
      </c>
      <c r="B1207" t="s">
        <v>5034</v>
      </c>
      <c r="C1207" t="s">
        <v>151</v>
      </c>
      <c r="D1207" t="s">
        <v>81</v>
      </c>
      <c r="E1207" t="s">
        <v>4408</v>
      </c>
      <c r="F1207" t="s">
        <v>8239</v>
      </c>
      <c r="G1207" t="s">
        <v>8104</v>
      </c>
      <c r="H1207" t="s">
        <v>5033</v>
      </c>
      <c r="I1207" t="s">
        <v>31</v>
      </c>
      <c r="K1207" t="s">
        <v>31</v>
      </c>
      <c r="L1207" t="s">
        <v>8239</v>
      </c>
      <c r="M1207" t="s">
        <v>8239</v>
      </c>
      <c r="O1207" t="s">
        <v>14</v>
      </c>
      <c r="P1207" t="s">
        <v>5035</v>
      </c>
      <c r="Q1207" t="s">
        <v>5036</v>
      </c>
      <c r="R1207" t="s">
        <v>6279</v>
      </c>
      <c r="S1207" t="s">
        <v>6280</v>
      </c>
      <c r="T1207" t="s">
        <v>96</v>
      </c>
    </row>
    <row r="1208" spans="1:20" ht="15" customHeight="1" x14ac:dyDescent="0.4">
      <c r="A1208" t="s">
        <v>5039</v>
      </c>
      <c r="B1208" t="s">
        <v>5039</v>
      </c>
      <c r="C1208" t="s">
        <v>151</v>
      </c>
      <c r="D1208" t="s">
        <v>81</v>
      </c>
      <c r="E1208" t="s">
        <v>4408</v>
      </c>
      <c r="F1208" t="s">
        <v>8240</v>
      </c>
      <c r="G1208" t="s">
        <v>8104</v>
      </c>
      <c r="H1208" t="s">
        <v>5038</v>
      </c>
      <c r="I1208" t="s">
        <v>31</v>
      </c>
      <c r="K1208" t="s">
        <v>31</v>
      </c>
      <c r="L1208" t="s">
        <v>8240</v>
      </c>
      <c r="M1208" t="s">
        <v>8240</v>
      </c>
      <c r="O1208" t="s">
        <v>14</v>
      </c>
      <c r="P1208" t="s">
        <v>5040</v>
      </c>
      <c r="Q1208" t="s">
        <v>5041</v>
      </c>
      <c r="R1208" t="s">
        <v>6279</v>
      </c>
      <c r="S1208" t="s">
        <v>6280</v>
      </c>
      <c r="T1208" t="s">
        <v>96</v>
      </c>
    </row>
    <row r="1209" spans="1:20" ht="15" customHeight="1" x14ac:dyDescent="0.4">
      <c r="A1209" t="s">
        <v>5044</v>
      </c>
      <c r="B1209" t="s">
        <v>5044</v>
      </c>
      <c r="C1209" t="s">
        <v>151</v>
      </c>
      <c r="D1209" t="s">
        <v>81</v>
      </c>
      <c r="E1209" t="s">
        <v>4408</v>
      </c>
      <c r="F1209" t="s">
        <v>8241</v>
      </c>
      <c r="G1209" t="s">
        <v>8104</v>
      </c>
      <c r="H1209" t="s">
        <v>5043</v>
      </c>
      <c r="I1209" t="s">
        <v>31</v>
      </c>
      <c r="K1209" t="s">
        <v>31</v>
      </c>
      <c r="L1209" t="s">
        <v>8241</v>
      </c>
      <c r="M1209" t="s">
        <v>8241</v>
      </c>
      <c r="O1209" t="s">
        <v>14</v>
      </c>
      <c r="P1209" t="s">
        <v>5045</v>
      </c>
      <c r="Q1209" t="s">
        <v>5046</v>
      </c>
      <c r="R1209" t="s">
        <v>6279</v>
      </c>
      <c r="S1209" t="s">
        <v>6280</v>
      </c>
      <c r="T1209" t="s">
        <v>96</v>
      </c>
    </row>
    <row r="1210" spans="1:20" ht="15" customHeight="1" x14ac:dyDescent="0.4">
      <c r="A1210" t="s">
        <v>5049</v>
      </c>
      <c r="B1210" t="s">
        <v>5049</v>
      </c>
      <c r="C1210" t="s">
        <v>151</v>
      </c>
      <c r="D1210" t="s">
        <v>81</v>
      </c>
      <c r="E1210" t="s">
        <v>4408</v>
      </c>
      <c r="F1210" t="s">
        <v>8242</v>
      </c>
      <c r="G1210" t="s">
        <v>8104</v>
      </c>
      <c r="H1210" t="s">
        <v>5048</v>
      </c>
      <c r="I1210" t="s">
        <v>31</v>
      </c>
      <c r="K1210" t="s">
        <v>31</v>
      </c>
      <c r="L1210" t="s">
        <v>8242</v>
      </c>
      <c r="M1210" t="s">
        <v>8242</v>
      </c>
      <c r="O1210" t="s">
        <v>14</v>
      </c>
      <c r="P1210" t="s">
        <v>5050</v>
      </c>
      <c r="Q1210" t="s">
        <v>5051</v>
      </c>
      <c r="R1210" t="s">
        <v>6279</v>
      </c>
      <c r="S1210" t="s">
        <v>6280</v>
      </c>
      <c r="T1210" t="s">
        <v>96</v>
      </c>
    </row>
    <row r="1211" spans="1:20" ht="15" customHeight="1" x14ac:dyDescent="0.4">
      <c r="A1211" t="s">
        <v>5054</v>
      </c>
      <c r="B1211" t="s">
        <v>5054</v>
      </c>
      <c r="C1211" t="s">
        <v>151</v>
      </c>
      <c r="D1211" t="s">
        <v>81</v>
      </c>
      <c r="E1211" t="s">
        <v>4408</v>
      </c>
      <c r="F1211" t="s">
        <v>8243</v>
      </c>
      <c r="G1211" t="s">
        <v>8104</v>
      </c>
      <c r="H1211" t="s">
        <v>5053</v>
      </c>
      <c r="I1211" t="s">
        <v>31</v>
      </c>
      <c r="K1211" t="s">
        <v>31</v>
      </c>
      <c r="L1211" t="s">
        <v>8243</v>
      </c>
      <c r="M1211" t="s">
        <v>8243</v>
      </c>
      <c r="O1211" t="s">
        <v>14</v>
      </c>
      <c r="P1211" t="s">
        <v>5055</v>
      </c>
      <c r="Q1211" t="s">
        <v>5056</v>
      </c>
      <c r="R1211" t="s">
        <v>6279</v>
      </c>
      <c r="S1211" t="s">
        <v>6280</v>
      </c>
      <c r="T1211" t="s">
        <v>96</v>
      </c>
    </row>
    <row r="1212" spans="1:20" ht="15" customHeight="1" x14ac:dyDescent="0.4">
      <c r="A1212" t="s">
        <v>5059</v>
      </c>
      <c r="B1212" t="s">
        <v>5059</v>
      </c>
      <c r="C1212" t="s">
        <v>151</v>
      </c>
      <c r="D1212" t="s">
        <v>81</v>
      </c>
      <c r="E1212" t="s">
        <v>4408</v>
      </c>
      <c r="F1212" t="s">
        <v>8244</v>
      </c>
      <c r="G1212" t="s">
        <v>8104</v>
      </c>
      <c r="H1212" t="s">
        <v>5058</v>
      </c>
      <c r="I1212" t="s">
        <v>31</v>
      </c>
      <c r="K1212" t="s">
        <v>31</v>
      </c>
      <c r="L1212" t="s">
        <v>8244</v>
      </c>
      <c r="M1212" t="s">
        <v>8244</v>
      </c>
      <c r="O1212" t="s">
        <v>14</v>
      </c>
      <c r="P1212" t="s">
        <v>5060</v>
      </c>
      <c r="Q1212" t="s">
        <v>5061</v>
      </c>
      <c r="R1212" t="s">
        <v>6279</v>
      </c>
      <c r="S1212" t="s">
        <v>6280</v>
      </c>
      <c r="T1212" t="s">
        <v>96</v>
      </c>
    </row>
    <row r="1213" spans="1:20" ht="15" customHeight="1" x14ac:dyDescent="0.4">
      <c r="A1213" t="s">
        <v>5064</v>
      </c>
      <c r="B1213" t="s">
        <v>5064</v>
      </c>
      <c r="C1213" t="s">
        <v>151</v>
      </c>
      <c r="D1213" t="s">
        <v>81</v>
      </c>
      <c r="E1213" t="s">
        <v>4408</v>
      </c>
      <c r="F1213" t="s">
        <v>8245</v>
      </c>
      <c r="G1213" t="s">
        <v>8104</v>
      </c>
      <c r="H1213" t="s">
        <v>5063</v>
      </c>
      <c r="I1213" t="s">
        <v>31</v>
      </c>
      <c r="K1213" t="s">
        <v>31</v>
      </c>
      <c r="L1213" t="s">
        <v>8245</v>
      </c>
      <c r="M1213" t="s">
        <v>8245</v>
      </c>
      <c r="O1213" t="s">
        <v>14</v>
      </c>
      <c r="P1213" t="s">
        <v>5065</v>
      </c>
      <c r="Q1213" t="s">
        <v>5066</v>
      </c>
      <c r="R1213" t="s">
        <v>6279</v>
      </c>
      <c r="S1213" t="s">
        <v>6280</v>
      </c>
      <c r="T1213" t="s">
        <v>96</v>
      </c>
    </row>
    <row r="1214" spans="1:20" ht="15" customHeight="1" x14ac:dyDescent="0.4">
      <c r="A1214" t="s">
        <v>5069</v>
      </c>
      <c r="B1214" t="s">
        <v>5069</v>
      </c>
      <c r="C1214" t="s">
        <v>151</v>
      </c>
      <c r="D1214" t="s">
        <v>81</v>
      </c>
      <c r="E1214" t="s">
        <v>4408</v>
      </c>
      <c r="F1214" t="s">
        <v>8246</v>
      </c>
      <c r="G1214" t="s">
        <v>8104</v>
      </c>
      <c r="H1214" t="s">
        <v>5068</v>
      </c>
      <c r="I1214" t="s">
        <v>31</v>
      </c>
      <c r="K1214" t="s">
        <v>31</v>
      </c>
      <c r="L1214" t="s">
        <v>8246</v>
      </c>
      <c r="M1214" t="s">
        <v>8246</v>
      </c>
      <c r="O1214" t="s">
        <v>14</v>
      </c>
      <c r="P1214" t="s">
        <v>5070</v>
      </c>
      <c r="Q1214" t="s">
        <v>5071</v>
      </c>
      <c r="R1214" t="s">
        <v>6279</v>
      </c>
      <c r="S1214" t="s">
        <v>6280</v>
      </c>
      <c r="T1214" t="s">
        <v>96</v>
      </c>
    </row>
    <row r="1215" spans="1:20" ht="15" customHeight="1" x14ac:dyDescent="0.4">
      <c r="A1215" t="s">
        <v>5074</v>
      </c>
      <c r="B1215" t="s">
        <v>5074</v>
      </c>
      <c r="C1215" t="s">
        <v>151</v>
      </c>
      <c r="D1215" t="s">
        <v>81</v>
      </c>
      <c r="E1215" t="s">
        <v>4408</v>
      </c>
      <c r="F1215" t="s">
        <v>8247</v>
      </c>
      <c r="G1215" t="s">
        <v>8104</v>
      </c>
      <c r="H1215" t="s">
        <v>5073</v>
      </c>
      <c r="I1215" t="s">
        <v>31</v>
      </c>
      <c r="K1215" t="s">
        <v>31</v>
      </c>
      <c r="L1215" t="s">
        <v>8247</v>
      </c>
      <c r="M1215" t="s">
        <v>8247</v>
      </c>
      <c r="O1215" t="s">
        <v>14</v>
      </c>
      <c r="P1215" t="s">
        <v>5075</v>
      </c>
      <c r="Q1215" t="s">
        <v>5076</v>
      </c>
      <c r="R1215" t="s">
        <v>6279</v>
      </c>
      <c r="S1215" t="s">
        <v>6280</v>
      </c>
      <c r="T1215" t="s">
        <v>96</v>
      </c>
    </row>
    <row r="1216" spans="1:20" ht="15" customHeight="1" x14ac:dyDescent="0.4">
      <c r="A1216" t="s">
        <v>5079</v>
      </c>
      <c r="B1216" t="s">
        <v>5079</v>
      </c>
      <c r="C1216" t="s">
        <v>151</v>
      </c>
      <c r="D1216" t="s">
        <v>81</v>
      </c>
      <c r="E1216" t="s">
        <v>4408</v>
      </c>
      <c r="F1216" t="s">
        <v>8248</v>
      </c>
      <c r="G1216" t="s">
        <v>8104</v>
      </c>
      <c r="H1216" t="s">
        <v>5078</v>
      </c>
      <c r="I1216" t="s">
        <v>31</v>
      </c>
      <c r="K1216" t="s">
        <v>31</v>
      </c>
      <c r="L1216" t="s">
        <v>8248</v>
      </c>
      <c r="M1216" t="s">
        <v>8248</v>
      </c>
      <c r="O1216" t="s">
        <v>14</v>
      </c>
      <c r="P1216" t="s">
        <v>5080</v>
      </c>
      <c r="Q1216" t="s">
        <v>5081</v>
      </c>
      <c r="R1216" t="s">
        <v>6279</v>
      </c>
      <c r="S1216" t="s">
        <v>6280</v>
      </c>
      <c r="T1216" t="s">
        <v>96</v>
      </c>
    </row>
    <row r="1217" spans="1:20" ht="15" customHeight="1" x14ac:dyDescent="0.4">
      <c r="A1217" t="s">
        <v>5084</v>
      </c>
      <c r="B1217" t="s">
        <v>5084</v>
      </c>
      <c r="C1217" t="s">
        <v>151</v>
      </c>
      <c r="D1217" t="s">
        <v>81</v>
      </c>
      <c r="E1217" t="s">
        <v>4408</v>
      </c>
      <c r="F1217" t="s">
        <v>8249</v>
      </c>
      <c r="G1217" t="s">
        <v>8104</v>
      </c>
      <c r="H1217" t="s">
        <v>5083</v>
      </c>
      <c r="I1217" t="s">
        <v>31</v>
      </c>
      <c r="K1217" t="s">
        <v>31</v>
      </c>
      <c r="L1217" t="s">
        <v>8249</v>
      </c>
      <c r="M1217" t="s">
        <v>8249</v>
      </c>
      <c r="O1217" t="s">
        <v>14</v>
      </c>
      <c r="P1217" t="s">
        <v>5085</v>
      </c>
      <c r="Q1217" t="s">
        <v>5086</v>
      </c>
      <c r="R1217" t="s">
        <v>6279</v>
      </c>
      <c r="S1217" t="s">
        <v>6280</v>
      </c>
      <c r="T1217" t="s">
        <v>96</v>
      </c>
    </row>
    <row r="1218" spans="1:20" ht="15" customHeight="1" x14ac:dyDescent="0.4">
      <c r="A1218" t="s">
        <v>5089</v>
      </c>
      <c r="B1218" t="s">
        <v>5089</v>
      </c>
      <c r="C1218" t="s">
        <v>151</v>
      </c>
      <c r="D1218" t="s">
        <v>81</v>
      </c>
      <c r="E1218" t="s">
        <v>4408</v>
      </c>
      <c r="F1218" t="s">
        <v>8250</v>
      </c>
      <c r="G1218" t="s">
        <v>8104</v>
      </c>
      <c r="H1218" t="s">
        <v>5088</v>
      </c>
      <c r="I1218" t="s">
        <v>31</v>
      </c>
      <c r="K1218" t="s">
        <v>31</v>
      </c>
      <c r="L1218" t="s">
        <v>8250</v>
      </c>
      <c r="M1218" t="s">
        <v>8250</v>
      </c>
      <c r="O1218" t="s">
        <v>14</v>
      </c>
      <c r="P1218" t="s">
        <v>5090</v>
      </c>
      <c r="Q1218" t="s">
        <v>5091</v>
      </c>
      <c r="R1218" t="s">
        <v>6279</v>
      </c>
      <c r="S1218" t="s">
        <v>6280</v>
      </c>
      <c r="T1218" t="s">
        <v>96</v>
      </c>
    </row>
    <row r="1219" spans="1:20" ht="15" customHeight="1" x14ac:dyDescent="0.4">
      <c r="A1219" t="s">
        <v>5094</v>
      </c>
      <c r="B1219" t="s">
        <v>5094</v>
      </c>
      <c r="C1219" t="s">
        <v>151</v>
      </c>
      <c r="D1219" t="s">
        <v>81</v>
      </c>
      <c r="E1219" t="s">
        <v>5098</v>
      </c>
      <c r="F1219" t="s">
        <v>8251</v>
      </c>
      <c r="G1219" t="s">
        <v>8021</v>
      </c>
      <c r="H1219" t="s">
        <v>8252</v>
      </c>
      <c r="L1219" t="s">
        <v>8251</v>
      </c>
      <c r="N1219" t="s">
        <v>8251</v>
      </c>
      <c r="O1219" t="s">
        <v>15</v>
      </c>
      <c r="P1219" t="s">
        <v>5095</v>
      </c>
      <c r="Q1219" t="s">
        <v>5096</v>
      </c>
      <c r="R1219" t="s">
        <v>7834</v>
      </c>
      <c r="S1219" t="s">
        <v>6280</v>
      </c>
      <c r="T1219" t="s">
        <v>119</v>
      </c>
    </row>
    <row r="1220" spans="1:20" ht="15" customHeight="1" x14ac:dyDescent="0.4">
      <c r="A1220" t="s">
        <v>5102</v>
      </c>
      <c r="B1220" t="s">
        <v>5102</v>
      </c>
      <c r="C1220" t="s">
        <v>151</v>
      </c>
      <c r="D1220" t="s">
        <v>81</v>
      </c>
      <c r="E1220" t="s">
        <v>5107</v>
      </c>
      <c r="F1220" t="s">
        <v>8253</v>
      </c>
      <c r="G1220" t="s">
        <v>8104</v>
      </c>
      <c r="H1220" t="s">
        <v>5100</v>
      </c>
      <c r="I1220" t="s">
        <v>31</v>
      </c>
      <c r="L1220" t="s">
        <v>8253</v>
      </c>
      <c r="M1220" t="s">
        <v>8253</v>
      </c>
      <c r="O1220" t="s">
        <v>16</v>
      </c>
      <c r="P1220" t="s">
        <v>5103</v>
      </c>
      <c r="Q1220" t="s">
        <v>5104</v>
      </c>
      <c r="R1220" t="s">
        <v>6279</v>
      </c>
      <c r="S1220" t="s">
        <v>6280</v>
      </c>
      <c r="T1220" t="s">
        <v>119</v>
      </c>
    </row>
    <row r="1221" spans="1:20" ht="15" customHeight="1" x14ac:dyDescent="0.4">
      <c r="A1221" t="s">
        <v>5111</v>
      </c>
      <c r="B1221" t="s">
        <v>5111</v>
      </c>
      <c r="C1221" t="s">
        <v>151</v>
      </c>
      <c r="D1221" t="s">
        <v>81</v>
      </c>
      <c r="E1221" t="s">
        <v>5107</v>
      </c>
      <c r="F1221" t="s">
        <v>8254</v>
      </c>
      <c r="G1221" t="s">
        <v>8104</v>
      </c>
      <c r="H1221" t="s">
        <v>5109</v>
      </c>
      <c r="L1221" t="s">
        <v>8254</v>
      </c>
      <c r="M1221" t="s">
        <v>8254</v>
      </c>
      <c r="O1221" t="s">
        <v>16</v>
      </c>
      <c r="P1221" t="s">
        <v>5112</v>
      </c>
      <c r="Q1221" t="s">
        <v>5113</v>
      </c>
      <c r="R1221" t="s">
        <v>6279</v>
      </c>
      <c r="S1221" t="s">
        <v>6280</v>
      </c>
      <c r="T1221" t="s">
        <v>119</v>
      </c>
    </row>
    <row r="1222" spans="1:20" ht="15" customHeight="1" x14ac:dyDescent="0.4">
      <c r="A1222" t="s">
        <v>5118</v>
      </c>
      <c r="B1222" t="s">
        <v>5118</v>
      </c>
      <c r="C1222" t="s">
        <v>151</v>
      </c>
      <c r="D1222" t="s">
        <v>81</v>
      </c>
      <c r="E1222" t="s">
        <v>5123</v>
      </c>
      <c r="F1222" t="s">
        <v>8255</v>
      </c>
      <c r="G1222" t="s">
        <v>8104</v>
      </c>
      <c r="H1222" t="s">
        <v>5116</v>
      </c>
      <c r="I1222" t="s">
        <v>31</v>
      </c>
      <c r="L1222" t="s">
        <v>8255</v>
      </c>
      <c r="M1222" t="s">
        <v>8255</v>
      </c>
      <c r="O1222" t="s">
        <v>17</v>
      </c>
      <c r="P1222" t="s">
        <v>5119</v>
      </c>
      <c r="Q1222" t="s">
        <v>5120</v>
      </c>
      <c r="R1222" t="s">
        <v>6279</v>
      </c>
      <c r="S1222" t="s">
        <v>6280</v>
      </c>
      <c r="T1222" t="s">
        <v>119</v>
      </c>
    </row>
    <row r="1223" spans="1:20" ht="15" customHeight="1" x14ac:dyDescent="0.4">
      <c r="A1223" t="s">
        <v>5126</v>
      </c>
      <c r="B1223" t="s">
        <v>5126</v>
      </c>
      <c r="C1223" t="s">
        <v>151</v>
      </c>
      <c r="D1223" t="s">
        <v>81</v>
      </c>
      <c r="E1223" t="s">
        <v>5123</v>
      </c>
      <c r="F1223" t="s">
        <v>8256</v>
      </c>
      <c r="G1223" t="s">
        <v>8104</v>
      </c>
      <c r="H1223" t="s">
        <v>5125</v>
      </c>
      <c r="L1223" t="s">
        <v>8256</v>
      </c>
      <c r="M1223" t="s">
        <v>8256</v>
      </c>
      <c r="O1223" t="s">
        <v>17</v>
      </c>
      <c r="P1223" t="s">
        <v>5127</v>
      </c>
      <c r="Q1223" t="s">
        <v>5128</v>
      </c>
      <c r="R1223" t="s">
        <v>6279</v>
      </c>
      <c r="S1223" t="s">
        <v>6280</v>
      </c>
      <c r="T1223" t="s">
        <v>119</v>
      </c>
    </row>
    <row r="1224" spans="1:20" ht="15" customHeight="1" x14ac:dyDescent="0.4">
      <c r="A1224" t="s">
        <v>5131</v>
      </c>
      <c r="B1224" t="s">
        <v>5131</v>
      </c>
      <c r="C1224" t="s">
        <v>151</v>
      </c>
      <c r="D1224" t="s">
        <v>81</v>
      </c>
      <c r="E1224" t="s">
        <v>5123</v>
      </c>
      <c r="F1224" t="s">
        <v>8257</v>
      </c>
      <c r="G1224" t="s">
        <v>8104</v>
      </c>
      <c r="H1224" t="s">
        <v>5130</v>
      </c>
      <c r="L1224" t="s">
        <v>8257</v>
      </c>
      <c r="M1224" t="s">
        <v>8257</v>
      </c>
      <c r="O1224" t="s">
        <v>17</v>
      </c>
      <c r="P1224" t="s">
        <v>5132</v>
      </c>
      <c r="Q1224" t="s">
        <v>5133</v>
      </c>
      <c r="R1224" t="s">
        <v>6279</v>
      </c>
      <c r="S1224" t="s">
        <v>6280</v>
      </c>
      <c r="T1224" t="s">
        <v>119</v>
      </c>
    </row>
    <row r="1225" spans="1:20" ht="15" customHeight="1" x14ac:dyDescent="0.4">
      <c r="A1225" t="s">
        <v>5136</v>
      </c>
      <c r="B1225" t="s">
        <v>5136</v>
      </c>
      <c r="C1225" t="s">
        <v>151</v>
      </c>
      <c r="D1225" t="s">
        <v>81</v>
      </c>
      <c r="E1225" t="s">
        <v>5123</v>
      </c>
      <c r="F1225" t="s">
        <v>8258</v>
      </c>
      <c r="G1225" t="s">
        <v>8104</v>
      </c>
      <c r="H1225" t="s">
        <v>5135</v>
      </c>
      <c r="L1225" t="s">
        <v>8258</v>
      </c>
      <c r="M1225" t="s">
        <v>8258</v>
      </c>
      <c r="O1225" t="s">
        <v>17</v>
      </c>
      <c r="P1225" t="s">
        <v>5137</v>
      </c>
      <c r="Q1225" t="s">
        <v>5138</v>
      </c>
      <c r="R1225" t="s">
        <v>6279</v>
      </c>
      <c r="S1225" t="s">
        <v>6280</v>
      </c>
      <c r="T1225" t="s">
        <v>119</v>
      </c>
    </row>
    <row r="1226" spans="1:20" ht="15" customHeight="1" x14ac:dyDescent="0.4">
      <c r="A1226" t="s">
        <v>5140</v>
      </c>
      <c r="B1226" t="s">
        <v>5140</v>
      </c>
      <c r="C1226" t="s">
        <v>151</v>
      </c>
      <c r="D1226" t="s">
        <v>81</v>
      </c>
      <c r="E1226" t="s">
        <v>5123</v>
      </c>
      <c r="F1226" t="s">
        <v>8259</v>
      </c>
      <c r="G1226" t="s">
        <v>8104</v>
      </c>
      <c r="H1226" t="s">
        <v>5139</v>
      </c>
      <c r="L1226" t="s">
        <v>8259</v>
      </c>
      <c r="M1226" t="s">
        <v>8259</v>
      </c>
      <c r="O1226" t="s">
        <v>17</v>
      </c>
      <c r="P1226" t="s">
        <v>5141</v>
      </c>
      <c r="Q1226" t="s">
        <v>5142</v>
      </c>
      <c r="R1226" t="s">
        <v>6279</v>
      </c>
      <c r="S1226" t="s">
        <v>6280</v>
      </c>
      <c r="T1226" t="s">
        <v>119</v>
      </c>
    </row>
    <row r="1227" spans="1:20" ht="15" customHeight="1" x14ac:dyDescent="0.4">
      <c r="A1227" t="s">
        <v>5144</v>
      </c>
      <c r="B1227" t="s">
        <v>5144</v>
      </c>
      <c r="C1227" t="s">
        <v>151</v>
      </c>
      <c r="D1227" t="s">
        <v>81</v>
      </c>
      <c r="E1227" t="s">
        <v>5123</v>
      </c>
      <c r="F1227" t="s">
        <v>8260</v>
      </c>
      <c r="G1227" t="s">
        <v>8104</v>
      </c>
      <c r="H1227" t="s">
        <v>5143</v>
      </c>
      <c r="L1227" t="s">
        <v>8260</v>
      </c>
      <c r="M1227" t="s">
        <v>8260</v>
      </c>
      <c r="O1227" t="s">
        <v>17</v>
      </c>
      <c r="P1227" t="s">
        <v>5145</v>
      </c>
      <c r="Q1227" t="s">
        <v>5146</v>
      </c>
      <c r="R1227" t="s">
        <v>6279</v>
      </c>
      <c r="S1227" t="s">
        <v>6280</v>
      </c>
      <c r="T1227" t="s">
        <v>119</v>
      </c>
    </row>
    <row r="1228" spans="1:20" ht="15" customHeight="1" x14ac:dyDescent="0.4">
      <c r="A1228" t="s">
        <v>5148</v>
      </c>
      <c r="B1228" t="s">
        <v>5148</v>
      </c>
      <c r="C1228" t="s">
        <v>151</v>
      </c>
      <c r="D1228" t="s">
        <v>81</v>
      </c>
      <c r="E1228" t="s">
        <v>5123</v>
      </c>
      <c r="F1228" t="s">
        <v>8261</v>
      </c>
      <c r="G1228" t="s">
        <v>8104</v>
      </c>
      <c r="H1228" t="s">
        <v>5147</v>
      </c>
      <c r="L1228" t="s">
        <v>8261</v>
      </c>
      <c r="M1228" t="s">
        <v>8261</v>
      </c>
      <c r="O1228" t="s">
        <v>17</v>
      </c>
      <c r="P1228" t="s">
        <v>5149</v>
      </c>
      <c r="Q1228" t="s">
        <v>5150</v>
      </c>
      <c r="R1228" t="s">
        <v>6279</v>
      </c>
      <c r="S1228" t="s">
        <v>6280</v>
      </c>
      <c r="T1228" t="s">
        <v>119</v>
      </c>
    </row>
    <row r="1229" spans="1:20" ht="15" customHeight="1" x14ac:dyDescent="0.4">
      <c r="A1229" t="s">
        <v>5152</v>
      </c>
      <c r="B1229" t="s">
        <v>5152</v>
      </c>
      <c r="C1229" t="s">
        <v>151</v>
      </c>
      <c r="D1229" t="s">
        <v>81</v>
      </c>
      <c r="E1229" t="s">
        <v>5123</v>
      </c>
      <c r="F1229" t="s">
        <v>8262</v>
      </c>
      <c r="G1229" t="s">
        <v>8104</v>
      </c>
      <c r="H1229" t="s">
        <v>5151</v>
      </c>
      <c r="L1229" t="s">
        <v>8262</v>
      </c>
      <c r="M1229" t="s">
        <v>8262</v>
      </c>
      <c r="O1229" t="s">
        <v>17</v>
      </c>
      <c r="P1229" t="s">
        <v>5153</v>
      </c>
      <c r="Q1229" t="s">
        <v>5154</v>
      </c>
      <c r="R1229" t="s">
        <v>6279</v>
      </c>
      <c r="S1229" t="s">
        <v>6280</v>
      </c>
      <c r="T1229" t="s">
        <v>119</v>
      </c>
    </row>
    <row r="1230" spans="1:20" ht="15" customHeight="1" x14ac:dyDescent="0.4">
      <c r="A1230" t="s">
        <v>5156</v>
      </c>
      <c r="B1230" t="s">
        <v>5156</v>
      </c>
      <c r="C1230" t="s">
        <v>151</v>
      </c>
      <c r="D1230" t="s">
        <v>81</v>
      </c>
      <c r="E1230" t="s">
        <v>5123</v>
      </c>
      <c r="F1230" t="s">
        <v>8263</v>
      </c>
      <c r="G1230" t="s">
        <v>8104</v>
      </c>
      <c r="H1230" t="s">
        <v>5155</v>
      </c>
      <c r="L1230" t="s">
        <v>8263</v>
      </c>
      <c r="M1230" t="s">
        <v>8263</v>
      </c>
      <c r="O1230" t="s">
        <v>17</v>
      </c>
      <c r="P1230" t="s">
        <v>5157</v>
      </c>
      <c r="Q1230" t="s">
        <v>5158</v>
      </c>
      <c r="R1230" t="s">
        <v>6279</v>
      </c>
      <c r="S1230" t="s">
        <v>6280</v>
      </c>
      <c r="T1230" t="s">
        <v>119</v>
      </c>
    </row>
    <row r="1231" spans="1:20" ht="15" customHeight="1" x14ac:dyDescent="0.4">
      <c r="A1231" t="s">
        <v>5160</v>
      </c>
      <c r="B1231" t="s">
        <v>5160</v>
      </c>
      <c r="C1231" t="s">
        <v>151</v>
      </c>
      <c r="D1231" t="s">
        <v>81</v>
      </c>
      <c r="E1231" t="s">
        <v>5123</v>
      </c>
      <c r="F1231" t="s">
        <v>8264</v>
      </c>
      <c r="G1231" t="s">
        <v>8104</v>
      </c>
      <c r="H1231" t="s">
        <v>5159</v>
      </c>
      <c r="L1231" t="s">
        <v>8264</v>
      </c>
      <c r="M1231" t="s">
        <v>8264</v>
      </c>
      <c r="O1231" t="s">
        <v>17</v>
      </c>
      <c r="P1231" t="s">
        <v>5161</v>
      </c>
      <c r="Q1231" t="s">
        <v>5162</v>
      </c>
      <c r="R1231" t="s">
        <v>6279</v>
      </c>
      <c r="S1231" t="s">
        <v>6280</v>
      </c>
      <c r="T1231" t="s">
        <v>119</v>
      </c>
    </row>
    <row r="1232" spans="1:20" ht="15" customHeight="1" x14ac:dyDescent="0.4">
      <c r="A1232" t="s">
        <v>5164</v>
      </c>
      <c r="B1232" t="s">
        <v>5164</v>
      </c>
      <c r="C1232" t="s">
        <v>151</v>
      </c>
      <c r="D1232" t="s">
        <v>81</v>
      </c>
      <c r="E1232" t="s">
        <v>5123</v>
      </c>
      <c r="F1232" t="s">
        <v>8265</v>
      </c>
      <c r="G1232" t="s">
        <v>8104</v>
      </c>
      <c r="H1232" t="s">
        <v>5163</v>
      </c>
      <c r="L1232" t="s">
        <v>8265</v>
      </c>
      <c r="M1232" t="s">
        <v>8265</v>
      </c>
      <c r="O1232" t="s">
        <v>17</v>
      </c>
      <c r="P1232" t="s">
        <v>5165</v>
      </c>
      <c r="Q1232" t="s">
        <v>5166</v>
      </c>
      <c r="R1232" t="s">
        <v>6279</v>
      </c>
      <c r="S1232" t="s">
        <v>6280</v>
      </c>
      <c r="T1232" t="s">
        <v>119</v>
      </c>
    </row>
    <row r="1233" spans="1:20" ht="15" customHeight="1" x14ac:dyDescent="0.4">
      <c r="A1233" t="s">
        <v>5168</v>
      </c>
      <c r="B1233" t="s">
        <v>5168</v>
      </c>
      <c r="C1233" t="s">
        <v>151</v>
      </c>
      <c r="D1233" t="s">
        <v>81</v>
      </c>
      <c r="E1233" t="s">
        <v>5123</v>
      </c>
      <c r="F1233" t="s">
        <v>8266</v>
      </c>
      <c r="G1233" t="s">
        <v>8104</v>
      </c>
      <c r="H1233" t="s">
        <v>5167</v>
      </c>
      <c r="L1233" t="s">
        <v>8266</v>
      </c>
      <c r="M1233" t="s">
        <v>8266</v>
      </c>
      <c r="O1233" t="s">
        <v>17</v>
      </c>
      <c r="P1233" t="s">
        <v>5169</v>
      </c>
      <c r="Q1233" t="s">
        <v>5170</v>
      </c>
      <c r="R1233" t="s">
        <v>6279</v>
      </c>
      <c r="S1233" t="s">
        <v>6280</v>
      </c>
      <c r="T1233" t="s">
        <v>119</v>
      </c>
    </row>
    <row r="1234" spans="1:20" ht="15" customHeight="1" x14ac:dyDescent="0.4">
      <c r="A1234" t="s">
        <v>5172</v>
      </c>
      <c r="B1234" t="s">
        <v>5172</v>
      </c>
      <c r="C1234" t="s">
        <v>151</v>
      </c>
      <c r="D1234" t="s">
        <v>81</v>
      </c>
      <c r="E1234" t="s">
        <v>5123</v>
      </c>
      <c r="F1234" t="s">
        <v>8267</v>
      </c>
      <c r="G1234" t="s">
        <v>8104</v>
      </c>
      <c r="H1234" t="s">
        <v>5171</v>
      </c>
      <c r="L1234" t="s">
        <v>8267</v>
      </c>
      <c r="M1234" t="s">
        <v>8267</v>
      </c>
      <c r="O1234" t="s">
        <v>17</v>
      </c>
      <c r="P1234" t="s">
        <v>5173</v>
      </c>
      <c r="Q1234" t="s">
        <v>5174</v>
      </c>
      <c r="R1234" t="s">
        <v>6279</v>
      </c>
      <c r="S1234" t="s">
        <v>6280</v>
      </c>
      <c r="T1234" t="s">
        <v>119</v>
      </c>
    </row>
    <row r="1235" spans="1:20" ht="15" customHeight="1" x14ac:dyDescent="0.4">
      <c r="A1235" t="s">
        <v>5176</v>
      </c>
      <c r="B1235" t="s">
        <v>5176</v>
      </c>
      <c r="C1235" t="s">
        <v>151</v>
      </c>
      <c r="D1235" t="s">
        <v>81</v>
      </c>
      <c r="E1235" t="s">
        <v>5123</v>
      </c>
      <c r="F1235" t="s">
        <v>8268</v>
      </c>
      <c r="G1235" t="s">
        <v>8104</v>
      </c>
      <c r="H1235" t="s">
        <v>5175</v>
      </c>
      <c r="L1235" t="s">
        <v>8268</v>
      </c>
      <c r="M1235" t="s">
        <v>8268</v>
      </c>
      <c r="O1235" t="s">
        <v>17</v>
      </c>
      <c r="P1235" t="s">
        <v>5177</v>
      </c>
      <c r="Q1235" t="s">
        <v>5178</v>
      </c>
      <c r="R1235" t="s">
        <v>6279</v>
      </c>
      <c r="S1235" t="s">
        <v>6280</v>
      </c>
      <c r="T1235" t="s">
        <v>119</v>
      </c>
    </row>
    <row r="1236" spans="1:20" ht="15" customHeight="1" x14ac:dyDescent="0.4">
      <c r="A1236" t="s">
        <v>5180</v>
      </c>
      <c r="B1236" t="s">
        <v>5180</v>
      </c>
      <c r="C1236" t="s">
        <v>151</v>
      </c>
      <c r="D1236" t="s">
        <v>81</v>
      </c>
      <c r="E1236" t="s">
        <v>5123</v>
      </c>
      <c r="F1236" t="s">
        <v>8269</v>
      </c>
      <c r="G1236" t="s">
        <v>8104</v>
      </c>
      <c r="H1236" t="s">
        <v>5179</v>
      </c>
      <c r="L1236" t="s">
        <v>8269</v>
      </c>
      <c r="M1236" t="s">
        <v>8269</v>
      </c>
      <c r="O1236" t="s">
        <v>17</v>
      </c>
      <c r="P1236" t="s">
        <v>5181</v>
      </c>
      <c r="Q1236" t="s">
        <v>5182</v>
      </c>
      <c r="R1236" t="s">
        <v>6279</v>
      </c>
      <c r="S1236" t="s">
        <v>6280</v>
      </c>
      <c r="T1236" t="s">
        <v>119</v>
      </c>
    </row>
    <row r="1237" spans="1:20" ht="15" customHeight="1" x14ac:dyDescent="0.4">
      <c r="A1237" t="s">
        <v>5184</v>
      </c>
      <c r="B1237" t="s">
        <v>5184</v>
      </c>
      <c r="C1237" t="s">
        <v>151</v>
      </c>
      <c r="D1237" t="s">
        <v>81</v>
      </c>
      <c r="E1237" t="s">
        <v>5123</v>
      </c>
      <c r="F1237" t="s">
        <v>8270</v>
      </c>
      <c r="G1237" t="s">
        <v>8104</v>
      </c>
      <c r="H1237" t="s">
        <v>5183</v>
      </c>
      <c r="L1237" t="s">
        <v>8270</v>
      </c>
      <c r="M1237" t="s">
        <v>8270</v>
      </c>
      <c r="O1237" t="s">
        <v>17</v>
      </c>
      <c r="P1237" t="s">
        <v>5185</v>
      </c>
      <c r="Q1237" t="s">
        <v>5186</v>
      </c>
      <c r="R1237" t="s">
        <v>6279</v>
      </c>
      <c r="S1237" t="s">
        <v>6280</v>
      </c>
      <c r="T1237" t="s">
        <v>119</v>
      </c>
    </row>
    <row r="1238" spans="1:20" ht="15" customHeight="1" x14ac:dyDescent="0.4">
      <c r="A1238" t="s">
        <v>5188</v>
      </c>
      <c r="B1238" t="s">
        <v>5188</v>
      </c>
      <c r="C1238" t="s">
        <v>151</v>
      </c>
      <c r="D1238" t="s">
        <v>81</v>
      </c>
      <c r="E1238" t="s">
        <v>5123</v>
      </c>
      <c r="F1238" t="s">
        <v>8271</v>
      </c>
      <c r="G1238" t="s">
        <v>8104</v>
      </c>
      <c r="H1238" t="s">
        <v>5187</v>
      </c>
      <c r="L1238" t="s">
        <v>8271</v>
      </c>
      <c r="M1238" t="s">
        <v>8271</v>
      </c>
      <c r="O1238" t="s">
        <v>17</v>
      </c>
      <c r="P1238" t="s">
        <v>5189</v>
      </c>
      <c r="Q1238" t="s">
        <v>5190</v>
      </c>
      <c r="R1238" t="s">
        <v>6279</v>
      </c>
      <c r="S1238" t="s">
        <v>6280</v>
      </c>
      <c r="T1238" t="s">
        <v>119</v>
      </c>
    </row>
    <row r="1239" spans="1:20" ht="15" customHeight="1" x14ac:dyDescent="0.4">
      <c r="A1239" t="s">
        <v>5192</v>
      </c>
      <c r="B1239" t="s">
        <v>5192</v>
      </c>
      <c r="C1239" t="s">
        <v>151</v>
      </c>
      <c r="D1239" t="s">
        <v>81</v>
      </c>
      <c r="E1239" t="s">
        <v>5123</v>
      </c>
      <c r="F1239" t="s">
        <v>8272</v>
      </c>
      <c r="G1239" t="s">
        <v>8104</v>
      </c>
      <c r="H1239" t="s">
        <v>5191</v>
      </c>
      <c r="L1239" t="s">
        <v>8272</v>
      </c>
      <c r="M1239" t="s">
        <v>8272</v>
      </c>
      <c r="O1239" t="s">
        <v>17</v>
      </c>
      <c r="P1239" t="s">
        <v>5193</v>
      </c>
      <c r="Q1239" t="s">
        <v>5194</v>
      </c>
      <c r="R1239" t="s">
        <v>6279</v>
      </c>
      <c r="S1239" t="s">
        <v>6280</v>
      </c>
      <c r="T1239" t="s">
        <v>119</v>
      </c>
    </row>
    <row r="1240" spans="1:20" ht="15" customHeight="1" x14ac:dyDescent="0.4">
      <c r="A1240" t="s">
        <v>5196</v>
      </c>
      <c r="B1240" t="s">
        <v>5196</v>
      </c>
      <c r="C1240" t="s">
        <v>151</v>
      </c>
      <c r="D1240" t="s">
        <v>81</v>
      </c>
      <c r="E1240" t="s">
        <v>5123</v>
      </c>
      <c r="F1240" t="s">
        <v>8273</v>
      </c>
      <c r="G1240" t="s">
        <v>8104</v>
      </c>
      <c r="H1240" t="s">
        <v>5195</v>
      </c>
      <c r="L1240" t="s">
        <v>8273</v>
      </c>
      <c r="M1240" t="s">
        <v>8273</v>
      </c>
      <c r="O1240" t="s">
        <v>17</v>
      </c>
      <c r="P1240" t="s">
        <v>5197</v>
      </c>
      <c r="Q1240" t="s">
        <v>5198</v>
      </c>
      <c r="R1240" t="s">
        <v>6279</v>
      </c>
      <c r="S1240" t="s">
        <v>6280</v>
      </c>
      <c r="T1240" t="s">
        <v>119</v>
      </c>
    </row>
    <row r="1241" spans="1:20" ht="15" customHeight="1" x14ac:dyDescent="0.4">
      <c r="A1241" t="s">
        <v>5200</v>
      </c>
      <c r="B1241" t="s">
        <v>5200</v>
      </c>
      <c r="C1241" t="s">
        <v>151</v>
      </c>
      <c r="D1241" t="s">
        <v>81</v>
      </c>
      <c r="E1241" t="s">
        <v>5123</v>
      </c>
      <c r="F1241" t="s">
        <v>8274</v>
      </c>
      <c r="G1241" t="s">
        <v>8104</v>
      </c>
      <c r="H1241" t="s">
        <v>5199</v>
      </c>
      <c r="L1241" t="s">
        <v>8274</v>
      </c>
      <c r="M1241" t="s">
        <v>8274</v>
      </c>
      <c r="O1241" t="s">
        <v>17</v>
      </c>
      <c r="P1241" t="s">
        <v>5201</v>
      </c>
      <c r="Q1241" t="s">
        <v>5202</v>
      </c>
      <c r="R1241" t="s">
        <v>6279</v>
      </c>
      <c r="S1241" t="s">
        <v>6280</v>
      </c>
      <c r="T1241" t="s">
        <v>119</v>
      </c>
    </row>
    <row r="1242" spans="1:20" ht="15" customHeight="1" x14ac:dyDescent="0.4">
      <c r="A1242" t="s">
        <v>5204</v>
      </c>
      <c r="B1242" t="s">
        <v>5204</v>
      </c>
      <c r="C1242" t="s">
        <v>151</v>
      </c>
      <c r="D1242" t="s">
        <v>81</v>
      </c>
      <c r="E1242" t="s">
        <v>5123</v>
      </c>
      <c r="F1242" t="s">
        <v>8275</v>
      </c>
      <c r="G1242" t="s">
        <v>8104</v>
      </c>
      <c r="H1242" t="s">
        <v>5203</v>
      </c>
      <c r="L1242" t="s">
        <v>8275</v>
      </c>
      <c r="M1242" t="s">
        <v>8275</v>
      </c>
      <c r="O1242" t="s">
        <v>17</v>
      </c>
      <c r="P1242" t="s">
        <v>5205</v>
      </c>
      <c r="Q1242" t="s">
        <v>5206</v>
      </c>
      <c r="R1242" t="s">
        <v>6279</v>
      </c>
      <c r="S1242" t="s">
        <v>6280</v>
      </c>
      <c r="T1242" t="s">
        <v>119</v>
      </c>
    </row>
    <row r="1243" spans="1:20" ht="15" customHeight="1" x14ac:dyDescent="0.4">
      <c r="A1243" t="s">
        <v>5208</v>
      </c>
      <c r="B1243" t="s">
        <v>5208</v>
      </c>
      <c r="C1243" t="s">
        <v>151</v>
      </c>
      <c r="D1243" t="s">
        <v>81</v>
      </c>
      <c r="E1243" t="s">
        <v>5123</v>
      </c>
      <c r="F1243" t="s">
        <v>8276</v>
      </c>
      <c r="G1243" t="s">
        <v>8104</v>
      </c>
      <c r="H1243" t="s">
        <v>5207</v>
      </c>
      <c r="L1243" t="s">
        <v>8276</v>
      </c>
      <c r="M1243" t="s">
        <v>8276</v>
      </c>
      <c r="O1243" t="s">
        <v>17</v>
      </c>
      <c r="P1243" t="s">
        <v>5209</v>
      </c>
      <c r="Q1243" t="s">
        <v>5210</v>
      </c>
      <c r="R1243" t="s">
        <v>6279</v>
      </c>
      <c r="S1243" t="s">
        <v>6280</v>
      </c>
      <c r="T1243" t="s">
        <v>119</v>
      </c>
    </row>
    <row r="1244" spans="1:20" ht="15" customHeight="1" x14ac:dyDescent="0.4">
      <c r="A1244" t="s">
        <v>5212</v>
      </c>
      <c r="B1244" t="s">
        <v>5212</v>
      </c>
      <c r="C1244" t="s">
        <v>151</v>
      </c>
      <c r="D1244" t="s">
        <v>81</v>
      </c>
      <c r="E1244" t="s">
        <v>5123</v>
      </c>
      <c r="F1244" t="s">
        <v>8277</v>
      </c>
      <c r="G1244" t="s">
        <v>8104</v>
      </c>
      <c r="H1244" t="s">
        <v>5211</v>
      </c>
      <c r="L1244" t="s">
        <v>8277</v>
      </c>
      <c r="M1244" t="s">
        <v>8277</v>
      </c>
      <c r="O1244" t="s">
        <v>17</v>
      </c>
      <c r="P1244" t="s">
        <v>5213</v>
      </c>
      <c r="Q1244" t="s">
        <v>5214</v>
      </c>
      <c r="R1244" t="s">
        <v>6279</v>
      </c>
      <c r="S1244" t="s">
        <v>6280</v>
      </c>
      <c r="T1244" t="s">
        <v>119</v>
      </c>
    </row>
    <row r="1245" spans="1:20" ht="15" customHeight="1" x14ac:dyDescent="0.4">
      <c r="A1245" t="s">
        <v>5216</v>
      </c>
      <c r="B1245" t="s">
        <v>5216</v>
      </c>
      <c r="C1245" t="s">
        <v>151</v>
      </c>
      <c r="D1245" t="s">
        <v>81</v>
      </c>
      <c r="E1245" t="s">
        <v>5123</v>
      </c>
      <c r="F1245" t="s">
        <v>8278</v>
      </c>
      <c r="G1245" t="s">
        <v>8104</v>
      </c>
      <c r="H1245" t="s">
        <v>5215</v>
      </c>
      <c r="L1245" t="s">
        <v>8278</v>
      </c>
      <c r="M1245" t="s">
        <v>8278</v>
      </c>
      <c r="O1245" t="s">
        <v>17</v>
      </c>
      <c r="P1245" t="s">
        <v>5217</v>
      </c>
      <c r="Q1245" t="s">
        <v>5218</v>
      </c>
      <c r="R1245" t="s">
        <v>6279</v>
      </c>
      <c r="S1245" t="s">
        <v>6280</v>
      </c>
      <c r="T1245" t="s">
        <v>119</v>
      </c>
    </row>
    <row r="1246" spans="1:20" ht="15" customHeight="1" x14ac:dyDescent="0.4">
      <c r="A1246" t="s">
        <v>5220</v>
      </c>
      <c r="B1246" t="s">
        <v>5220</v>
      </c>
      <c r="C1246" t="s">
        <v>151</v>
      </c>
      <c r="D1246" t="s">
        <v>81</v>
      </c>
      <c r="E1246" t="s">
        <v>5123</v>
      </c>
      <c r="F1246" t="s">
        <v>8279</v>
      </c>
      <c r="G1246" t="s">
        <v>8104</v>
      </c>
      <c r="H1246" t="s">
        <v>5219</v>
      </c>
      <c r="L1246" t="s">
        <v>8279</v>
      </c>
      <c r="M1246" t="s">
        <v>8279</v>
      </c>
      <c r="O1246" t="s">
        <v>17</v>
      </c>
      <c r="P1246" t="s">
        <v>5221</v>
      </c>
      <c r="Q1246" t="s">
        <v>5222</v>
      </c>
      <c r="R1246" t="s">
        <v>6279</v>
      </c>
      <c r="S1246" t="s">
        <v>6280</v>
      </c>
      <c r="T1246" t="s">
        <v>119</v>
      </c>
    </row>
    <row r="1247" spans="1:20" ht="15" customHeight="1" x14ac:dyDescent="0.4">
      <c r="A1247" t="s">
        <v>5224</v>
      </c>
      <c r="B1247" t="s">
        <v>5224</v>
      </c>
      <c r="C1247" t="s">
        <v>151</v>
      </c>
      <c r="D1247" t="s">
        <v>81</v>
      </c>
      <c r="E1247" t="s">
        <v>5123</v>
      </c>
      <c r="F1247" t="s">
        <v>8280</v>
      </c>
      <c r="G1247" t="s">
        <v>8104</v>
      </c>
      <c r="H1247" t="s">
        <v>5223</v>
      </c>
      <c r="L1247" t="s">
        <v>8280</v>
      </c>
      <c r="M1247" t="s">
        <v>8280</v>
      </c>
      <c r="O1247" t="s">
        <v>17</v>
      </c>
      <c r="P1247" t="s">
        <v>5225</v>
      </c>
      <c r="Q1247" t="s">
        <v>5226</v>
      </c>
      <c r="R1247" t="s">
        <v>6279</v>
      </c>
      <c r="S1247" t="s">
        <v>6280</v>
      </c>
      <c r="T1247" t="s">
        <v>119</v>
      </c>
    </row>
    <row r="1248" spans="1:20" ht="15" customHeight="1" x14ac:dyDescent="0.4">
      <c r="A1248" t="s">
        <v>5228</v>
      </c>
      <c r="B1248" t="s">
        <v>5228</v>
      </c>
      <c r="C1248" t="s">
        <v>151</v>
      </c>
      <c r="D1248" t="s">
        <v>81</v>
      </c>
      <c r="E1248" t="s">
        <v>5123</v>
      </c>
      <c r="F1248" t="s">
        <v>8281</v>
      </c>
      <c r="G1248" t="s">
        <v>8104</v>
      </c>
      <c r="H1248" t="s">
        <v>5227</v>
      </c>
      <c r="L1248" t="s">
        <v>8281</v>
      </c>
      <c r="M1248" t="s">
        <v>8281</v>
      </c>
      <c r="O1248" t="s">
        <v>17</v>
      </c>
      <c r="P1248" t="s">
        <v>5229</v>
      </c>
      <c r="Q1248" t="s">
        <v>5230</v>
      </c>
      <c r="R1248" t="s">
        <v>6279</v>
      </c>
      <c r="S1248" t="s">
        <v>6280</v>
      </c>
      <c r="T1248" t="s">
        <v>119</v>
      </c>
    </row>
    <row r="1249" spans="1:20" ht="15" customHeight="1" x14ac:dyDescent="0.4">
      <c r="A1249" t="s">
        <v>5232</v>
      </c>
      <c r="B1249" t="s">
        <v>5232</v>
      </c>
      <c r="C1249" t="s">
        <v>151</v>
      </c>
      <c r="D1249" t="s">
        <v>81</v>
      </c>
      <c r="E1249" t="s">
        <v>5123</v>
      </c>
      <c r="F1249" t="s">
        <v>8282</v>
      </c>
      <c r="G1249" t="s">
        <v>8104</v>
      </c>
      <c r="H1249" t="s">
        <v>5231</v>
      </c>
      <c r="L1249" t="s">
        <v>8282</v>
      </c>
      <c r="M1249" t="s">
        <v>8282</v>
      </c>
      <c r="O1249" t="s">
        <v>17</v>
      </c>
      <c r="P1249" t="s">
        <v>5233</v>
      </c>
      <c r="Q1249" t="s">
        <v>5234</v>
      </c>
      <c r="R1249" t="s">
        <v>6279</v>
      </c>
      <c r="S1249" t="s">
        <v>6280</v>
      </c>
      <c r="T1249" t="s">
        <v>119</v>
      </c>
    </row>
    <row r="1250" spans="1:20" ht="15" customHeight="1" x14ac:dyDescent="0.4">
      <c r="A1250" t="s">
        <v>5236</v>
      </c>
      <c r="B1250" t="s">
        <v>5236</v>
      </c>
      <c r="C1250" t="s">
        <v>151</v>
      </c>
      <c r="D1250" t="s">
        <v>81</v>
      </c>
      <c r="E1250" t="s">
        <v>5123</v>
      </c>
      <c r="F1250" t="s">
        <v>8283</v>
      </c>
      <c r="G1250" t="s">
        <v>8104</v>
      </c>
      <c r="H1250" t="s">
        <v>5235</v>
      </c>
      <c r="L1250" t="s">
        <v>8283</v>
      </c>
      <c r="M1250" t="s">
        <v>8283</v>
      </c>
      <c r="O1250" t="s">
        <v>17</v>
      </c>
      <c r="P1250" t="s">
        <v>5237</v>
      </c>
      <c r="Q1250" t="s">
        <v>5238</v>
      </c>
      <c r="R1250" t="s">
        <v>6279</v>
      </c>
      <c r="S1250" t="s">
        <v>6280</v>
      </c>
      <c r="T1250" t="s">
        <v>119</v>
      </c>
    </row>
    <row r="1251" spans="1:20" ht="15" customHeight="1" x14ac:dyDescent="0.4">
      <c r="A1251" t="s">
        <v>5240</v>
      </c>
      <c r="B1251" t="s">
        <v>5240</v>
      </c>
      <c r="C1251" t="s">
        <v>151</v>
      </c>
      <c r="D1251" t="s">
        <v>81</v>
      </c>
      <c r="E1251" t="s">
        <v>5123</v>
      </c>
      <c r="F1251" t="s">
        <v>8284</v>
      </c>
      <c r="G1251" t="s">
        <v>8104</v>
      </c>
      <c r="H1251" t="s">
        <v>5239</v>
      </c>
      <c r="L1251" t="s">
        <v>8284</v>
      </c>
      <c r="M1251" t="s">
        <v>8284</v>
      </c>
      <c r="O1251" t="s">
        <v>17</v>
      </c>
      <c r="P1251" t="s">
        <v>5241</v>
      </c>
      <c r="Q1251" t="s">
        <v>5242</v>
      </c>
      <c r="R1251" t="s">
        <v>6279</v>
      </c>
      <c r="S1251" t="s">
        <v>6280</v>
      </c>
      <c r="T1251" t="s">
        <v>119</v>
      </c>
    </row>
    <row r="1252" spans="1:20" ht="15" customHeight="1" x14ac:dyDescent="0.4">
      <c r="A1252" t="s">
        <v>5244</v>
      </c>
      <c r="B1252" t="s">
        <v>5244</v>
      </c>
      <c r="C1252" t="s">
        <v>151</v>
      </c>
      <c r="D1252" t="s">
        <v>81</v>
      </c>
      <c r="E1252" t="s">
        <v>5123</v>
      </c>
      <c r="F1252" t="s">
        <v>8285</v>
      </c>
      <c r="G1252" t="s">
        <v>8104</v>
      </c>
      <c r="H1252" t="s">
        <v>5243</v>
      </c>
      <c r="L1252" t="s">
        <v>8285</v>
      </c>
      <c r="M1252" t="s">
        <v>8285</v>
      </c>
      <c r="O1252" t="s">
        <v>17</v>
      </c>
      <c r="P1252" t="s">
        <v>5245</v>
      </c>
      <c r="Q1252" t="s">
        <v>5246</v>
      </c>
      <c r="R1252" t="s">
        <v>6279</v>
      </c>
      <c r="S1252" t="s">
        <v>6280</v>
      </c>
      <c r="T1252" t="s">
        <v>119</v>
      </c>
    </row>
    <row r="1253" spans="1:20" ht="15" customHeight="1" x14ac:dyDescent="0.4">
      <c r="A1253" t="s">
        <v>5248</v>
      </c>
      <c r="B1253" t="s">
        <v>5248</v>
      </c>
      <c r="C1253" t="s">
        <v>151</v>
      </c>
      <c r="D1253" t="s">
        <v>81</v>
      </c>
      <c r="E1253" t="s">
        <v>5123</v>
      </c>
      <c r="F1253" t="s">
        <v>8286</v>
      </c>
      <c r="G1253" t="s">
        <v>8104</v>
      </c>
      <c r="H1253" t="s">
        <v>5247</v>
      </c>
      <c r="L1253" t="s">
        <v>8286</v>
      </c>
      <c r="M1253" t="s">
        <v>8286</v>
      </c>
      <c r="O1253" t="s">
        <v>17</v>
      </c>
      <c r="P1253" t="s">
        <v>5249</v>
      </c>
      <c r="Q1253" t="s">
        <v>5250</v>
      </c>
      <c r="R1253" t="s">
        <v>6279</v>
      </c>
      <c r="S1253" t="s">
        <v>6280</v>
      </c>
      <c r="T1253" t="s">
        <v>119</v>
      </c>
    </row>
    <row r="1254" spans="1:20" ht="15" customHeight="1" x14ac:dyDescent="0.4">
      <c r="A1254" t="s">
        <v>5252</v>
      </c>
      <c r="B1254" t="s">
        <v>5252</v>
      </c>
      <c r="C1254" t="s">
        <v>151</v>
      </c>
      <c r="D1254" t="s">
        <v>81</v>
      </c>
      <c r="E1254" t="s">
        <v>5123</v>
      </c>
      <c r="F1254" t="s">
        <v>8287</v>
      </c>
      <c r="G1254" t="s">
        <v>8104</v>
      </c>
      <c r="H1254" t="s">
        <v>5251</v>
      </c>
      <c r="L1254" t="s">
        <v>8287</v>
      </c>
      <c r="M1254" t="s">
        <v>8287</v>
      </c>
      <c r="O1254" t="s">
        <v>17</v>
      </c>
      <c r="P1254" t="s">
        <v>5253</v>
      </c>
      <c r="Q1254" t="s">
        <v>5254</v>
      </c>
      <c r="R1254" t="s">
        <v>6279</v>
      </c>
      <c r="S1254" t="s">
        <v>6280</v>
      </c>
      <c r="T1254" t="s">
        <v>119</v>
      </c>
    </row>
    <row r="1255" spans="1:20" ht="15" customHeight="1" x14ac:dyDescent="0.4">
      <c r="A1255" t="s">
        <v>5256</v>
      </c>
      <c r="B1255" t="s">
        <v>5256</v>
      </c>
      <c r="C1255" t="s">
        <v>151</v>
      </c>
      <c r="D1255" t="s">
        <v>81</v>
      </c>
      <c r="E1255" t="s">
        <v>5123</v>
      </c>
      <c r="F1255" t="s">
        <v>8288</v>
      </c>
      <c r="G1255" t="s">
        <v>8104</v>
      </c>
      <c r="H1255" t="s">
        <v>5255</v>
      </c>
      <c r="L1255" t="s">
        <v>8288</v>
      </c>
      <c r="M1255" t="s">
        <v>8288</v>
      </c>
      <c r="O1255" t="s">
        <v>17</v>
      </c>
      <c r="P1255" t="s">
        <v>5257</v>
      </c>
      <c r="Q1255" t="s">
        <v>5258</v>
      </c>
      <c r="R1255" t="s">
        <v>6279</v>
      </c>
      <c r="S1255" t="s">
        <v>6280</v>
      </c>
      <c r="T1255" t="s">
        <v>119</v>
      </c>
    </row>
    <row r="1256" spans="1:20" ht="15" customHeight="1" x14ac:dyDescent="0.4">
      <c r="A1256" t="s">
        <v>5260</v>
      </c>
      <c r="B1256" t="s">
        <v>5260</v>
      </c>
      <c r="C1256" t="s">
        <v>151</v>
      </c>
      <c r="D1256" t="s">
        <v>81</v>
      </c>
      <c r="E1256" t="s">
        <v>5123</v>
      </c>
      <c r="F1256" t="s">
        <v>8289</v>
      </c>
      <c r="G1256" t="s">
        <v>8104</v>
      </c>
      <c r="H1256" t="s">
        <v>5259</v>
      </c>
      <c r="L1256" t="s">
        <v>8289</v>
      </c>
      <c r="M1256" t="s">
        <v>8289</v>
      </c>
      <c r="O1256" t="s">
        <v>17</v>
      </c>
      <c r="P1256" t="s">
        <v>5261</v>
      </c>
      <c r="Q1256" t="s">
        <v>5262</v>
      </c>
      <c r="R1256" t="s">
        <v>6279</v>
      </c>
      <c r="S1256" t="s">
        <v>6280</v>
      </c>
      <c r="T1256" t="s">
        <v>119</v>
      </c>
    </row>
    <row r="1257" spans="1:20" ht="15" customHeight="1" x14ac:dyDescent="0.4">
      <c r="A1257" t="s">
        <v>5264</v>
      </c>
      <c r="B1257" t="s">
        <v>5264</v>
      </c>
      <c r="C1257" t="s">
        <v>151</v>
      </c>
      <c r="D1257" t="s">
        <v>81</v>
      </c>
      <c r="E1257" t="s">
        <v>5123</v>
      </c>
      <c r="F1257" t="s">
        <v>8290</v>
      </c>
      <c r="G1257" t="s">
        <v>8104</v>
      </c>
      <c r="H1257" t="s">
        <v>5263</v>
      </c>
      <c r="L1257" t="s">
        <v>8290</v>
      </c>
      <c r="M1257" t="s">
        <v>8290</v>
      </c>
      <c r="O1257" t="s">
        <v>17</v>
      </c>
      <c r="P1257" t="s">
        <v>5265</v>
      </c>
      <c r="Q1257" t="s">
        <v>5266</v>
      </c>
      <c r="R1257" t="s">
        <v>6279</v>
      </c>
      <c r="S1257" t="s">
        <v>6280</v>
      </c>
      <c r="T1257" t="s">
        <v>119</v>
      </c>
    </row>
    <row r="1258" spans="1:20" ht="15" customHeight="1" x14ac:dyDescent="0.4">
      <c r="A1258" t="s">
        <v>5268</v>
      </c>
      <c r="B1258" t="s">
        <v>5268</v>
      </c>
      <c r="C1258" t="s">
        <v>151</v>
      </c>
      <c r="D1258" t="s">
        <v>81</v>
      </c>
      <c r="E1258" t="s">
        <v>5123</v>
      </c>
      <c r="F1258" t="s">
        <v>8291</v>
      </c>
      <c r="G1258" t="s">
        <v>8104</v>
      </c>
      <c r="H1258" t="s">
        <v>5267</v>
      </c>
      <c r="L1258" t="s">
        <v>8291</v>
      </c>
      <c r="M1258" t="s">
        <v>8291</v>
      </c>
      <c r="O1258" t="s">
        <v>17</v>
      </c>
      <c r="P1258" t="s">
        <v>5269</v>
      </c>
      <c r="Q1258" t="s">
        <v>5270</v>
      </c>
      <c r="R1258" t="s">
        <v>6279</v>
      </c>
      <c r="S1258" t="s">
        <v>6280</v>
      </c>
      <c r="T1258" t="s">
        <v>119</v>
      </c>
    </row>
    <row r="1259" spans="1:20" ht="15" customHeight="1" x14ac:dyDescent="0.4">
      <c r="A1259" t="s">
        <v>5272</v>
      </c>
      <c r="B1259" t="s">
        <v>5272</v>
      </c>
      <c r="C1259" t="s">
        <v>151</v>
      </c>
      <c r="D1259" t="s">
        <v>81</v>
      </c>
      <c r="E1259" t="s">
        <v>5123</v>
      </c>
      <c r="F1259" t="s">
        <v>8292</v>
      </c>
      <c r="G1259" t="s">
        <v>8104</v>
      </c>
      <c r="H1259" t="s">
        <v>5271</v>
      </c>
      <c r="L1259" t="s">
        <v>8292</v>
      </c>
      <c r="M1259" t="s">
        <v>8292</v>
      </c>
      <c r="O1259" t="s">
        <v>17</v>
      </c>
      <c r="P1259" t="s">
        <v>5273</v>
      </c>
      <c r="Q1259" t="s">
        <v>5274</v>
      </c>
      <c r="R1259" t="s">
        <v>6279</v>
      </c>
      <c r="S1259" t="s">
        <v>6280</v>
      </c>
      <c r="T1259" t="s">
        <v>119</v>
      </c>
    </row>
    <row r="1260" spans="1:20" ht="15" customHeight="1" x14ac:dyDescent="0.4">
      <c r="A1260" t="s">
        <v>5276</v>
      </c>
      <c r="B1260" t="s">
        <v>5276</v>
      </c>
      <c r="C1260" t="s">
        <v>151</v>
      </c>
      <c r="D1260" t="s">
        <v>81</v>
      </c>
      <c r="E1260" t="s">
        <v>5123</v>
      </c>
      <c r="F1260" t="s">
        <v>8293</v>
      </c>
      <c r="G1260" t="s">
        <v>8104</v>
      </c>
      <c r="H1260" t="s">
        <v>5275</v>
      </c>
      <c r="L1260" t="s">
        <v>8293</v>
      </c>
      <c r="M1260" t="s">
        <v>8293</v>
      </c>
      <c r="O1260" t="s">
        <v>17</v>
      </c>
      <c r="P1260" t="s">
        <v>5277</v>
      </c>
      <c r="Q1260" t="s">
        <v>5278</v>
      </c>
      <c r="R1260" t="s">
        <v>6279</v>
      </c>
      <c r="S1260" t="s">
        <v>6280</v>
      </c>
      <c r="T1260" t="s">
        <v>119</v>
      </c>
    </row>
    <row r="1261" spans="1:20" ht="15" customHeight="1" x14ac:dyDescent="0.4">
      <c r="A1261" t="s">
        <v>5280</v>
      </c>
      <c r="B1261" t="s">
        <v>5280</v>
      </c>
      <c r="C1261" t="s">
        <v>151</v>
      </c>
      <c r="D1261" t="s">
        <v>81</v>
      </c>
      <c r="E1261" t="s">
        <v>5123</v>
      </c>
      <c r="F1261" t="s">
        <v>8294</v>
      </c>
      <c r="G1261" t="s">
        <v>8104</v>
      </c>
      <c r="H1261" t="s">
        <v>5279</v>
      </c>
      <c r="L1261" t="s">
        <v>8294</v>
      </c>
      <c r="M1261" t="s">
        <v>8294</v>
      </c>
      <c r="O1261" t="s">
        <v>17</v>
      </c>
      <c r="P1261" t="s">
        <v>5281</v>
      </c>
      <c r="Q1261" t="s">
        <v>5282</v>
      </c>
      <c r="R1261" t="s">
        <v>6279</v>
      </c>
      <c r="S1261" t="s">
        <v>6280</v>
      </c>
      <c r="T1261" t="s">
        <v>119</v>
      </c>
    </row>
    <row r="1262" spans="1:20" ht="15" customHeight="1" x14ac:dyDescent="0.4">
      <c r="A1262" t="s">
        <v>5284</v>
      </c>
      <c r="B1262" t="s">
        <v>5284</v>
      </c>
      <c r="C1262" t="s">
        <v>151</v>
      </c>
      <c r="D1262" t="s">
        <v>81</v>
      </c>
      <c r="E1262" t="s">
        <v>5123</v>
      </c>
      <c r="F1262" t="s">
        <v>8295</v>
      </c>
      <c r="G1262" t="s">
        <v>8104</v>
      </c>
      <c r="H1262" t="s">
        <v>5283</v>
      </c>
      <c r="L1262" t="s">
        <v>8295</v>
      </c>
      <c r="M1262" t="s">
        <v>8295</v>
      </c>
      <c r="O1262" t="s">
        <v>17</v>
      </c>
      <c r="P1262" t="s">
        <v>5285</v>
      </c>
      <c r="Q1262" t="s">
        <v>5286</v>
      </c>
      <c r="R1262" t="s">
        <v>6279</v>
      </c>
      <c r="S1262" t="s">
        <v>6280</v>
      </c>
      <c r="T1262" t="s">
        <v>119</v>
      </c>
    </row>
    <row r="1263" spans="1:20" ht="15" customHeight="1" x14ac:dyDescent="0.4">
      <c r="A1263" t="s">
        <v>5288</v>
      </c>
      <c r="B1263" t="s">
        <v>5288</v>
      </c>
      <c r="C1263" t="s">
        <v>151</v>
      </c>
      <c r="D1263" t="s">
        <v>81</v>
      </c>
      <c r="E1263" t="s">
        <v>5123</v>
      </c>
      <c r="F1263" t="s">
        <v>8296</v>
      </c>
      <c r="G1263" t="s">
        <v>8104</v>
      </c>
      <c r="H1263" t="s">
        <v>5287</v>
      </c>
      <c r="L1263" t="s">
        <v>8296</v>
      </c>
      <c r="M1263" t="s">
        <v>8296</v>
      </c>
      <c r="O1263" t="s">
        <v>17</v>
      </c>
      <c r="P1263" t="s">
        <v>5289</v>
      </c>
      <c r="Q1263" t="s">
        <v>5290</v>
      </c>
      <c r="R1263" t="s">
        <v>6279</v>
      </c>
      <c r="S1263" t="s">
        <v>6280</v>
      </c>
      <c r="T1263" t="s">
        <v>119</v>
      </c>
    </row>
    <row r="1264" spans="1:20" ht="15" customHeight="1" x14ac:dyDescent="0.4">
      <c r="A1264" t="s">
        <v>5292</v>
      </c>
      <c r="B1264" t="s">
        <v>5292</v>
      </c>
      <c r="C1264" t="s">
        <v>151</v>
      </c>
      <c r="D1264" t="s">
        <v>81</v>
      </c>
      <c r="E1264" t="s">
        <v>5123</v>
      </c>
      <c r="F1264" t="s">
        <v>8297</v>
      </c>
      <c r="G1264" t="s">
        <v>8104</v>
      </c>
      <c r="H1264" t="s">
        <v>5291</v>
      </c>
      <c r="L1264" t="s">
        <v>8297</v>
      </c>
      <c r="M1264" t="s">
        <v>8297</v>
      </c>
      <c r="O1264" t="s">
        <v>17</v>
      </c>
      <c r="P1264" t="s">
        <v>5293</v>
      </c>
      <c r="Q1264" t="s">
        <v>5294</v>
      </c>
      <c r="R1264" t="s">
        <v>6279</v>
      </c>
      <c r="S1264" t="s">
        <v>6280</v>
      </c>
      <c r="T1264" t="s">
        <v>119</v>
      </c>
    </row>
    <row r="1265" spans="1:20" ht="15" customHeight="1" x14ac:dyDescent="0.4">
      <c r="A1265" t="s">
        <v>5296</v>
      </c>
      <c r="B1265" t="s">
        <v>5296</v>
      </c>
      <c r="C1265" t="s">
        <v>151</v>
      </c>
      <c r="D1265" t="s">
        <v>81</v>
      </c>
      <c r="E1265" t="s">
        <v>5123</v>
      </c>
      <c r="F1265" t="s">
        <v>8298</v>
      </c>
      <c r="G1265" t="s">
        <v>8104</v>
      </c>
      <c r="H1265" t="s">
        <v>5295</v>
      </c>
      <c r="L1265" t="s">
        <v>8298</v>
      </c>
      <c r="M1265" t="s">
        <v>8298</v>
      </c>
      <c r="O1265" t="s">
        <v>17</v>
      </c>
      <c r="P1265" t="s">
        <v>5297</v>
      </c>
      <c r="Q1265" t="s">
        <v>5298</v>
      </c>
      <c r="R1265" t="s">
        <v>6279</v>
      </c>
      <c r="S1265" t="s">
        <v>6280</v>
      </c>
      <c r="T1265" t="s">
        <v>119</v>
      </c>
    </row>
    <row r="1266" spans="1:20" ht="15" customHeight="1" x14ac:dyDescent="0.4">
      <c r="A1266" t="s">
        <v>5300</v>
      </c>
      <c r="B1266" t="s">
        <v>5300</v>
      </c>
      <c r="C1266" t="s">
        <v>151</v>
      </c>
      <c r="D1266" t="s">
        <v>81</v>
      </c>
      <c r="E1266" t="s">
        <v>5123</v>
      </c>
      <c r="F1266" t="s">
        <v>8299</v>
      </c>
      <c r="G1266" t="s">
        <v>8104</v>
      </c>
      <c r="H1266" t="s">
        <v>5299</v>
      </c>
      <c r="L1266" t="s">
        <v>8299</v>
      </c>
      <c r="M1266" t="s">
        <v>8299</v>
      </c>
      <c r="O1266" t="s">
        <v>17</v>
      </c>
      <c r="P1266" t="s">
        <v>5301</v>
      </c>
      <c r="Q1266" t="s">
        <v>5302</v>
      </c>
      <c r="R1266" t="s">
        <v>6279</v>
      </c>
      <c r="S1266" t="s">
        <v>6280</v>
      </c>
      <c r="T1266" t="s">
        <v>119</v>
      </c>
    </row>
    <row r="1267" spans="1:20" ht="15" customHeight="1" x14ac:dyDescent="0.4">
      <c r="A1267" t="s">
        <v>5304</v>
      </c>
      <c r="B1267" t="s">
        <v>5304</v>
      </c>
      <c r="C1267" t="s">
        <v>151</v>
      </c>
      <c r="D1267" t="s">
        <v>81</v>
      </c>
      <c r="E1267" t="s">
        <v>5123</v>
      </c>
      <c r="F1267" t="s">
        <v>8300</v>
      </c>
      <c r="G1267" t="s">
        <v>8104</v>
      </c>
      <c r="H1267" t="s">
        <v>5303</v>
      </c>
      <c r="L1267" t="s">
        <v>8300</v>
      </c>
      <c r="M1267" t="s">
        <v>8300</v>
      </c>
      <c r="O1267" t="s">
        <v>17</v>
      </c>
      <c r="P1267" t="s">
        <v>5305</v>
      </c>
      <c r="Q1267" t="s">
        <v>5306</v>
      </c>
      <c r="R1267" t="s">
        <v>6279</v>
      </c>
      <c r="S1267" t="s">
        <v>6280</v>
      </c>
      <c r="T1267" t="s">
        <v>119</v>
      </c>
    </row>
    <row r="1268" spans="1:20" ht="15" customHeight="1" x14ac:dyDescent="0.4">
      <c r="A1268" t="s">
        <v>5308</v>
      </c>
      <c r="B1268" t="s">
        <v>5308</v>
      </c>
      <c r="C1268" t="s">
        <v>151</v>
      </c>
      <c r="D1268" t="s">
        <v>81</v>
      </c>
      <c r="E1268" t="s">
        <v>5123</v>
      </c>
      <c r="F1268" t="s">
        <v>8301</v>
      </c>
      <c r="G1268" t="s">
        <v>8104</v>
      </c>
      <c r="H1268" t="s">
        <v>5307</v>
      </c>
      <c r="L1268" t="s">
        <v>8301</v>
      </c>
      <c r="M1268" t="s">
        <v>8301</v>
      </c>
      <c r="O1268" t="s">
        <v>17</v>
      </c>
      <c r="P1268" t="s">
        <v>5309</v>
      </c>
      <c r="Q1268" t="s">
        <v>5310</v>
      </c>
      <c r="R1268" t="s">
        <v>6279</v>
      </c>
      <c r="S1268" t="s">
        <v>6280</v>
      </c>
      <c r="T1268" t="s">
        <v>119</v>
      </c>
    </row>
    <row r="1269" spans="1:20" ht="15" customHeight="1" x14ac:dyDescent="0.4">
      <c r="A1269" t="s">
        <v>5313</v>
      </c>
      <c r="B1269" t="s">
        <v>5313</v>
      </c>
      <c r="C1269" t="s">
        <v>151</v>
      </c>
      <c r="D1269" t="s">
        <v>81</v>
      </c>
      <c r="E1269" t="s">
        <v>5123</v>
      </c>
      <c r="F1269" t="s">
        <v>8302</v>
      </c>
      <c r="G1269" t="s">
        <v>8104</v>
      </c>
      <c r="H1269" t="s">
        <v>5311</v>
      </c>
      <c r="I1269" t="s">
        <v>31</v>
      </c>
      <c r="K1269" t="s">
        <v>31</v>
      </c>
      <c r="L1269" t="s">
        <v>8302</v>
      </c>
      <c r="M1269" t="s">
        <v>8302</v>
      </c>
      <c r="O1269" t="s">
        <v>17</v>
      </c>
      <c r="P1269" t="s">
        <v>5314</v>
      </c>
      <c r="Q1269" t="s">
        <v>5315</v>
      </c>
      <c r="R1269" t="s">
        <v>6279</v>
      </c>
      <c r="S1269" t="s">
        <v>6280</v>
      </c>
      <c r="T1269" t="s">
        <v>96</v>
      </c>
    </row>
    <row r="1270" spans="1:20" ht="15" customHeight="1" x14ac:dyDescent="0.4">
      <c r="A1270" t="s">
        <v>5319</v>
      </c>
      <c r="B1270" t="s">
        <v>5319</v>
      </c>
      <c r="C1270" t="s">
        <v>151</v>
      </c>
      <c r="D1270" t="s">
        <v>81</v>
      </c>
      <c r="E1270" t="s">
        <v>5123</v>
      </c>
      <c r="F1270" t="s">
        <v>8303</v>
      </c>
      <c r="G1270" t="s">
        <v>8104</v>
      </c>
      <c r="H1270" t="s">
        <v>5318</v>
      </c>
      <c r="I1270" t="s">
        <v>31</v>
      </c>
      <c r="K1270" t="s">
        <v>31</v>
      </c>
      <c r="L1270" t="s">
        <v>8303</v>
      </c>
      <c r="M1270" t="s">
        <v>8303</v>
      </c>
      <c r="O1270" t="s">
        <v>17</v>
      </c>
      <c r="P1270" t="s">
        <v>5320</v>
      </c>
      <c r="Q1270" t="s">
        <v>5321</v>
      </c>
      <c r="R1270" t="s">
        <v>6279</v>
      </c>
      <c r="S1270" t="s">
        <v>6280</v>
      </c>
      <c r="T1270" t="s">
        <v>96</v>
      </c>
    </row>
    <row r="1271" spans="1:20" ht="15" customHeight="1" x14ac:dyDescent="0.4">
      <c r="A1271" t="s">
        <v>5324</v>
      </c>
      <c r="B1271" t="s">
        <v>5324</v>
      </c>
      <c r="C1271" t="s">
        <v>151</v>
      </c>
      <c r="D1271" t="s">
        <v>81</v>
      </c>
      <c r="E1271" t="s">
        <v>5123</v>
      </c>
      <c r="F1271" t="s">
        <v>8304</v>
      </c>
      <c r="G1271" t="s">
        <v>8104</v>
      </c>
      <c r="H1271" t="s">
        <v>5323</v>
      </c>
      <c r="I1271" t="s">
        <v>31</v>
      </c>
      <c r="K1271" t="s">
        <v>31</v>
      </c>
      <c r="L1271" t="s">
        <v>8304</v>
      </c>
      <c r="M1271" t="s">
        <v>8304</v>
      </c>
      <c r="O1271" t="s">
        <v>17</v>
      </c>
      <c r="P1271" t="s">
        <v>5325</v>
      </c>
      <c r="Q1271" t="s">
        <v>5326</v>
      </c>
      <c r="R1271" t="s">
        <v>6279</v>
      </c>
      <c r="S1271" t="s">
        <v>6280</v>
      </c>
      <c r="T1271" t="s">
        <v>96</v>
      </c>
    </row>
    <row r="1272" spans="1:20" ht="15" customHeight="1" x14ac:dyDescent="0.4">
      <c r="A1272" t="s">
        <v>5329</v>
      </c>
      <c r="B1272" t="s">
        <v>5329</v>
      </c>
      <c r="C1272" t="s">
        <v>151</v>
      </c>
      <c r="D1272" t="s">
        <v>81</v>
      </c>
      <c r="E1272" t="s">
        <v>5123</v>
      </c>
      <c r="F1272" t="s">
        <v>8305</v>
      </c>
      <c r="G1272" t="s">
        <v>8104</v>
      </c>
      <c r="H1272" t="s">
        <v>5328</v>
      </c>
      <c r="I1272" t="s">
        <v>31</v>
      </c>
      <c r="K1272" t="s">
        <v>31</v>
      </c>
      <c r="L1272" t="s">
        <v>8305</v>
      </c>
      <c r="M1272" t="s">
        <v>8305</v>
      </c>
      <c r="O1272" t="s">
        <v>17</v>
      </c>
      <c r="P1272" t="s">
        <v>5330</v>
      </c>
      <c r="Q1272" t="s">
        <v>5331</v>
      </c>
      <c r="R1272" t="s">
        <v>6279</v>
      </c>
      <c r="S1272" t="s">
        <v>6280</v>
      </c>
      <c r="T1272" t="s">
        <v>96</v>
      </c>
    </row>
    <row r="1273" spans="1:20" ht="15" customHeight="1" x14ac:dyDescent="0.4">
      <c r="A1273" t="s">
        <v>5334</v>
      </c>
      <c r="B1273" t="s">
        <v>5334</v>
      </c>
      <c r="C1273" t="s">
        <v>151</v>
      </c>
      <c r="D1273" t="s">
        <v>81</v>
      </c>
      <c r="E1273" t="s">
        <v>5123</v>
      </c>
      <c r="F1273" t="s">
        <v>8306</v>
      </c>
      <c r="G1273" t="s">
        <v>8104</v>
      </c>
      <c r="H1273" t="s">
        <v>5333</v>
      </c>
      <c r="I1273" t="s">
        <v>31</v>
      </c>
      <c r="K1273" t="s">
        <v>31</v>
      </c>
      <c r="L1273" t="s">
        <v>8306</v>
      </c>
      <c r="M1273" t="s">
        <v>8306</v>
      </c>
      <c r="O1273" t="s">
        <v>17</v>
      </c>
      <c r="P1273" t="s">
        <v>5335</v>
      </c>
      <c r="Q1273" t="s">
        <v>5336</v>
      </c>
      <c r="R1273" t="s">
        <v>6279</v>
      </c>
      <c r="S1273" t="s">
        <v>6280</v>
      </c>
      <c r="T1273" t="s">
        <v>96</v>
      </c>
    </row>
    <row r="1274" spans="1:20" ht="15" customHeight="1" x14ac:dyDescent="0.4">
      <c r="A1274" t="s">
        <v>5339</v>
      </c>
      <c r="B1274" t="s">
        <v>5339</v>
      </c>
      <c r="C1274" t="s">
        <v>151</v>
      </c>
      <c r="D1274" t="s">
        <v>81</v>
      </c>
      <c r="E1274" t="s">
        <v>5123</v>
      </c>
      <c r="F1274" t="s">
        <v>8307</v>
      </c>
      <c r="G1274" t="s">
        <v>8104</v>
      </c>
      <c r="H1274" t="s">
        <v>5338</v>
      </c>
      <c r="I1274" t="s">
        <v>31</v>
      </c>
      <c r="K1274" t="s">
        <v>31</v>
      </c>
      <c r="L1274" t="s">
        <v>8307</v>
      </c>
      <c r="M1274" t="s">
        <v>8307</v>
      </c>
      <c r="O1274" t="s">
        <v>17</v>
      </c>
      <c r="P1274" t="s">
        <v>5340</v>
      </c>
      <c r="Q1274" t="s">
        <v>5341</v>
      </c>
      <c r="R1274" t="s">
        <v>6279</v>
      </c>
      <c r="S1274" t="s">
        <v>6280</v>
      </c>
      <c r="T1274" t="s">
        <v>96</v>
      </c>
    </row>
    <row r="1275" spans="1:20" ht="15" customHeight="1" x14ac:dyDescent="0.4">
      <c r="A1275" t="s">
        <v>5344</v>
      </c>
      <c r="B1275" t="s">
        <v>5344</v>
      </c>
      <c r="C1275" t="s">
        <v>151</v>
      </c>
      <c r="D1275" t="s">
        <v>81</v>
      </c>
      <c r="E1275" t="s">
        <v>5123</v>
      </c>
      <c r="F1275" t="s">
        <v>8308</v>
      </c>
      <c r="G1275" t="s">
        <v>8104</v>
      </c>
      <c r="H1275" t="s">
        <v>5343</v>
      </c>
      <c r="I1275" t="s">
        <v>31</v>
      </c>
      <c r="K1275" t="s">
        <v>31</v>
      </c>
      <c r="L1275" t="s">
        <v>8308</v>
      </c>
      <c r="M1275" t="s">
        <v>8308</v>
      </c>
      <c r="O1275" t="s">
        <v>17</v>
      </c>
      <c r="P1275" t="s">
        <v>5345</v>
      </c>
      <c r="Q1275" t="s">
        <v>5346</v>
      </c>
      <c r="R1275" t="s">
        <v>6279</v>
      </c>
      <c r="S1275" t="s">
        <v>6280</v>
      </c>
      <c r="T1275" t="s">
        <v>96</v>
      </c>
    </row>
    <row r="1276" spans="1:20" ht="15" customHeight="1" x14ac:dyDescent="0.4">
      <c r="A1276" t="s">
        <v>5349</v>
      </c>
      <c r="B1276" t="s">
        <v>5349</v>
      </c>
      <c r="C1276" t="s">
        <v>151</v>
      </c>
      <c r="D1276" t="s">
        <v>81</v>
      </c>
      <c r="E1276" t="s">
        <v>5123</v>
      </c>
      <c r="F1276" t="s">
        <v>8309</v>
      </c>
      <c r="G1276" t="s">
        <v>8104</v>
      </c>
      <c r="H1276" t="s">
        <v>5348</v>
      </c>
      <c r="I1276" t="s">
        <v>31</v>
      </c>
      <c r="K1276" t="s">
        <v>31</v>
      </c>
      <c r="L1276" t="s">
        <v>8309</v>
      </c>
      <c r="M1276" t="s">
        <v>8309</v>
      </c>
      <c r="O1276" t="s">
        <v>17</v>
      </c>
      <c r="P1276" t="s">
        <v>5350</v>
      </c>
      <c r="Q1276" t="s">
        <v>5351</v>
      </c>
      <c r="R1276" t="s">
        <v>6279</v>
      </c>
      <c r="S1276" t="s">
        <v>6280</v>
      </c>
      <c r="T1276" t="s">
        <v>96</v>
      </c>
    </row>
    <row r="1277" spans="1:20" ht="15" customHeight="1" x14ac:dyDescent="0.4">
      <c r="A1277" t="s">
        <v>5354</v>
      </c>
      <c r="B1277" t="s">
        <v>5354</v>
      </c>
      <c r="C1277" t="s">
        <v>151</v>
      </c>
      <c r="D1277" t="s">
        <v>81</v>
      </c>
      <c r="E1277" t="s">
        <v>5123</v>
      </c>
      <c r="F1277" t="s">
        <v>8310</v>
      </c>
      <c r="G1277" t="s">
        <v>8104</v>
      </c>
      <c r="H1277" t="s">
        <v>5353</v>
      </c>
      <c r="I1277" t="s">
        <v>31</v>
      </c>
      <c r="K1277" t="s">
        <v>31</v>
      </c>
      <c r="L1277" t="s">
        <v>8310</v>
      </c>
      <c r="M1277" t="s">
        <v>8310</v>
      </c>
      <c r="O1277" t="s">
        <v>17</v>
      </c>
      <c r="P1277" t="s">
        <v>5355</v>
      </c>
      <c r="Q1277" t="s">
        <v>5356</v>
      </c>
      <c r="R1277" t="s">
        <v>6279</v>
      </c>
      <c r="S1277" t="s">
        <v>6280</v>
      </c>
      <c r="T1277" t="s">
        <v>96</v>
      </c>
    </row>
    <row r="1278" spans="1:20" ht="15" customHeight="1" x14ac:dyDescent="0.4">
      <c r="A1278" t="s">
        <v>5359</v>
      </c>
      <c r="B1278" t="s">
        <v>5359</v>
      </c>
      <c r="C1278" t="s">
        <v>151</v>
      </c>
      <c r="D1278" t="s">
        <v>81</v>
      </c>
      <c r="E1278" t="s">
        <v>5123</v>
      </c>
      <c r="F1278" t="s">
        <v>8311</v>
      </c>
      <c r="G1278" t="s">
        <v>8104</v>
      </c>
      <c r="H1278" t="s">
        <v>5358</v>
      </c>
      <c r="I1278" t="s">
        <v>31</v>
      </c>
      <c r="K1278" t="s">
        <v>31</v>
      </c>
      <c r="L1278" t="s">
        <v>8311</v>
      </c>
      <c r="M1278" t="s">
        <v>8311</v>
      </c>
      <c r="O1278" t="s">
        <v>17</v>
      </c>
      <c r="P1278" t="s">
        <v>5360</v>
      </c>
      <c r="Q1278" t="s">
        <v>5361</v>
      </c>
      <c r="R1278" t="s">
        <v>6279</v>
      </c>
      <c r="S1278" t="s">
        <v>6280</v>
      </c>
      <c r="T1278" t="s">
        <v>96</v>
      </c>
    </row>
    <row r="1279" spans="1:20" ht="15" customHeight="1" x14ac:dyDescent="0.4">
      <c r="A1279" t="s">
        <v>5364</v>
      </c>
      <c r="B1279" t="s">
        <v>5364</v>
      </c>
      <c r="C1279" t="s">
        <v>151</v>
      </c>
      <c r="D1279" t="s">
        <v>81</v>
      </c>
      <c r="E1279" t="s">
        <v>5123</v>
      </c>
      <c r="F1279" t="s">
        <v>8312</v>
      </c>
      <c r="G1279" t="s">
        <v>8104</v>
      </c>
      <c r="H1279" t="s">
        <v>5363</v>
      </c>
      <c r="I1279" t="s">
        <v>31</v>
      </c>
      <c r="K1279" t="s">
        <v>31</v>
      </c>
      <c r="L1279" t="s">
        <v>8312</v>
      </c>
      <c r="M1279" t="s">
        <v>8312</v>
      </c>
      <c r="O1279" t="s">
        <v>17</v>
      </c>
      <c r="P1279" t="s">
        <v>5365</v>
      </c>
      <c r="Q1279" t="s">
        <v>5366</v>
      </c>
      <c r="R1279" t="s">
        <v>6279</v>
      </c>
      <c r="S1279" t="s">
        <v>6280</v>
      </c>
      <c r="T1279" t="s">
        <v>96</v>
      </c>
    </row>
    <row r="1280" spans="1:20" ht="15" customHeight="1" x14ac:dyDescent="0.4">
      <c r="A1280" t="s">
        <v>5369</v>
      </c>
      <c r="B1280" t="s">
        <v>5369</v>
      </c>
      <c r="C1280" t="s">
        <v>151</v>
      </c>
      <c r="D1280" t="s">
        <v>81</v>
      </c>
      <c r="E1280" t="s">
        <v>5123</v>
      </c>
      <c r="F1280" t="s">
        <v>8313</v>
      </c>
      <c r="G1280" t="s">
        <v>8104</v>
      </c>
      <c r="H1280" t="s">
        <v>5368</v>
      </c>
      <c r="I1280" t="s">
        <v>31</v>
      </c>
      <c r="K1280" t="s">
        <v>31</v>
      </c>
      <c r="L1280" t="s">
        <v>8313</v>
      </c>
      <c r="M1280" t="s">
        <v>8313</v>
      </c>
      <c r="O1280" t="s">
        <v>17</v>
      </c>
      <c r="P1280" t="s">
        <v>5370</v>
      </c>
      <c r="Q1280" t="s">
        <v>5371</v>
      </c>
      <c r="R1280" t="s">
        <v>6279</v>
      </c>
      <c r="S1280" t="s">
        <v>6280</v>
      </c>
      <c r="T1280" t="s">
        <v>96</v>
      </c>
    </row>
    <row r="1281" spans="1:20" ht="15" customHeight="1" x14ac:dyDescent="0.4">
      <c r="A1281" t="s">
        <v>5374</v>
      </c>
      <c r="B1281" t="s">
        <v>5374</v>
      </c>
      <c r="C1281" t="s">
        <v>151</v>
      </c>
      <c r="D1281" t="s">
        <v>81</v>
      </c>
      <c r="E1281" t="s">
        <v>5123</v>
      </c>
      <c r="F1281" t="s">
        <v>8314</v>
      </c>
      <c r="G1281" t="s">
        <v>8104</v>
      </c>
      <c r="H1281" t="s">
        <v>5373</v>
      </c>
      <c r="I1281" t="s">
        <v>31</v>
      </c>
      <c r="K1281" t="s">
        <v>31</v>
      </c>
      <c r="L1281" t="s">
        <v>8314</v>
      </c>
      <c r="M1281" t="s">
        <v>8314</v>
      </c>
      <c r="O1281" t="s">
        <v>17</v>
      </c>
      <c r="P1281" t="s">
        <v>5375</v>
      </c>
      <c r="Q1281" t="s">
        <v>5376</v>
      </c>
      <c r="R1281" t="s">
        <v>6279</v>
      </c>
      <c r="S1281" t="s">
        <v>6280</v>
      </c>
      <c r="T1281" t="s">
        <v>96</v>
      </c>
    </row>
    <row r="1282" spans="1:20" ht="15" customHeight="1" x14ac:dyDescent="0.4">
      <c r="A1282" t="s">
        <v>5379</v>
      </c>
      <c r="B1282" t="s">
        <v>5379</v>
      </c>
      <c r="C1282" t="s">
        <v>151</v>
      </c>
      <c r="D1282" t="s">
        <v>81</v>
      </c>
      <c r="E1282" t="s">
        <v>5123</v>
      </c>
      <c r="F1282" t="s">
        <v>8315</v>
      </c>
      <c r="G1282" t="s">
        <v>8104</v>
      </c>
      <c r="H1282" t="s">
        <v>5378</v>
      </c>
      <c r="I1282" t="s">
        <v>31</v>
      </c>
      <c r="K1282" t="s">
        <v>31</v>
      </c>
      <c r="L1282" t="s">
        <v>8315</v>
      </c>
      <c r="M1282" t="s">
        <v>8315</v>
      </c>
      <c r="O1282" t="s">
        <v>17</v>
      </c>
      <c r="P1282" t="s">
        <v>5380</v>
      </c>
      <c r="Q1282" t="s">
        <v>5381</v>
      </c>
      <c r="R1282" t="s">
        <v>6279</v>
      </c>
      <c r="S1282" t="s">
        <v>6280</v>
      </c>
      <c r="T1282" t="s">
        <v>96</v>
      </c>
    </row>
    <row r="1283" spans="1:20" ht="15" customHeight="1" x14ac:dyDescent="0.4">
      <c r="A1283" t="s">
        <v>5384</v>
      </c>
      <c r="B1283" t="s">
        <v>5384</v>
      </c>
      <c r="C1283" t="s">
        <v>151</v>
      </c>
      <c r="D1283" t="s">
        <v>81</v>
      </c>
      <c r="E1283" t="s">
        <v>5123</v>
      </c>
      <c r="F1283" t="s">
        <v>8316</v>
      </c>
      <c r="G1283" t="s">
        <v>8104</v>
      </c>
      <c r="H1283" t="s">
        <v>5383</v>
      </c>
      <c r="I1283" t="s">
        <v>31</v>
      </c>
      <c r="K1283" t="s">
        <v>31</v>
      </c>
      <c r="L1283" t="s">
        <v>8316</v>
      </c>
      <c r="M1283" t="s">
        <v>8316</v>
      </c>
      <c r="O1283" t="s">
        <v>17</v>
      </c>
      <c r="P1283" t="s">
        <v>5385</v>
      </c>
      <c r="Q1283" t="s">
        <v>5386</v>
      </c>
      <c r="R1283" t="s">
        <v>6279</v>
      </c>
      <c r="S1283" t="s">
        <v>6280</v>
      </c>
      <c r="T1283" t="s">
        <v>96</v>
      </c>
    </row>
    <row r="1284" spans="1:20" ht="15" customHeight="1" x14ac:dyDescent="0.4">
      <c r="A1284" t="s">
        <v>5389</v>
      </c>
      <c r="B1284" t="s">
        <v>5389</v>
      </c>
      <c r="C1284" t="s">
        <v>151</v>
      </c>
      <c r="D1284" t="s">
        <v>81</v>
      </c>
      <c r="E1284" t="s">
        <v>5123</v>
      </c>
      <c r="F1284" t="s">
        <v>8317</v>
      </c>
      <c r="G1284" t="s">
        <v>8104</v>
      </c>
      <c r="H1284" t="s">
        <v>5388</v>
      </c>
      <c r="I1284" t="s">
        <v>31</v>
      </c>
      <c r="K1284" t="s">
        <v>31</v>
      </c>
      <c r="L1284" t="s">
        <v>8317</v>
      </c>
      <c r="M1284" t="s">
        <v>8317</v>
      </c>
      <c r="O1284" t="s">
        <v>17</v>
      </c>
      <c r="P1284" t="s">
        <v>5390</v>
      </c>
      <c r="Q1284" t="s">
        <v>5391</v>
      </c>
      <c r="R1284" t="s">
        <v>6279</v>
      </c>
      <c r="S1284" t="s">
        <v>6280</v>
      </c>
      <c r="T1284" t="s">
        <v>96</v>
      </c>
    </row>
    <row r="1285" spans="1:20" ht="15" customHeight="1" x14ac:dyDescent="0.4">
      <c r="A1285" t="s">
        <v>5394</v>
      </c>
      <c r="B1285" t="s">
        <v>5394</v>
      </c>
      <c r="C1285" t="s">
        <v>151</v>
      </c>
      <c r="D1285" t="s">
        <v>81</v>
      </c>
      <c r="E1285" t="s">
        <v>5123</v>
      </c>
      <c r="F1285" t="s">
        <v>8318</v>
      </c>
      <c r="G1285" t="s">
        <v>8104</v>
      </c>
      <c r="H1285" t="s">
        <v>5393</v>
      </c>
      <c r="I1285" t="s">
        <v>31</v>
      </c>
      <c r="K1285" t="s">
        <v>31</v>
      </c>
      <c r="L1285" t="s">
        <v>8318</v>
      </c>
      <c r="M1285" t="s">
        <v>8318</v>
      </c>
      <c r="O1285" t="s">
        <v>17</v>
      </c>
      <c r="P1285" t="s">
        <v>5395</v>
      </c>
      <c r="Q1285" t="s">
        <v>5396</v>
      </c>
      <c r="R1285" t="s">
        <v>6279</v>
      </c>
      <c r="S1285" t="s">
        <v>6280</v>
      </c>
      <c r="T1285" t="s">
        <v>96</v>
      </c>
    </row>
    <row r="1286" spans="1:20" ht="15" customHeight="1" x14ac:dyDescent="0.4">
      <c r="A1286" t="s">
        <v>5399</v>
      </c>
      <c r="B1286" t="s">
        <v>5399</v>
      </c>
      <c r="C1286" t="s">
        <v>151</v>
      </c>
      <c r="D1286" t="s">
        <v>81</v>
      </c>
      <c r="E1286" t="s">
        <v>5123</v>
      </c>
      <c r="F1286" t="s">
        <v>8319</v>
      </c>
      <c r="G1286" t="s">
        <v>8104</v>
      </c>
      <c r="H1286" t="s">
        <v>5398</v>
      </c>
      <c r="I1286" t="s">
        <v>31</v>
      </c>
      <c r="K1286" t="s">
        <v>31</v>
      </c>
      <c r="L1286" t="s">
        <v>8319</v>
      </c>
      <c r="M1286" t="s">
        <v>8319</v>
      </c>
      <c r="O1286" t="s">
        <v>17</v>
      </c>
      <c r="P1286" t="s">
        <v>5400</v>
      </c>
      <c r="Q1286" t="s">
        <v>5401</v>
      </c>
      <c r="R1286" t="s">
        <v>6279</v>
      </c>
      <c r="S1286" t="s">
        <v>6280</v>
      </c>
      <c r="T1286" t="s">
        <v>96</v>
      </c>
    </row>
    <row r="1287" spans="1:20" ht="15" customHeight="1" x14ac:dyDescent="0.4">
      <c r="A1287" t="s">
        <v>5404</v>
      </c>
      <c r="B1287" t="s">
        <v>5404</v>
      </c>
      <c r="C1287" t="s">
        <v>151</v>
      </c>
      <c r="D1287" t="s">
        <v>81</v>
      </c>
      <c r="E1287" t="s">
        <v>5123</v>
      </c>
      <c r="F1287" t="s">
        <v>8320</v>
      </c>
      <c r="G1287" t="s">
        <v>8104</v>
      </c>
      <c r="H1287" t="s">
        <v>5403</v>
      </c>
      <c r="I1287" t="s">
        <v>31</v>
      </c>
      <c r="K1287" t="s">
        <v>31</v>
      </c>
      <c r="L1287" t="s">
        <v>8320</v>
      </c>
      <c r="M1287" t="s">
        <v>8320</v>
      </c>
      <c r="O1287" t="s">
        <v>17</v>
      </c>
      <c r="P1287" t="s">
        <v>5405</v>
      </c>
      <c r="Q1287" t="s">
        <v>5406</v>
      </c>
      <c r="R1287" t="s">
        <v>6279</v>
      </c>
      <c r="S1287" t="s">
        <v>6280</v>
      </c>
      <c r="T1287" t="s">
        <v>96</v>
      </c>
    </row>
    <row r="1288" spans="1:20" ht="15" customHeight="1" x14ac:dyDescent="0.4">
      <c r="A1288" t="s">
        <v>5409</v>
      </c>
      <c r="B1288" t="s">
        <v>5409</v>
      </c>
      <c r="C1288" t="s">
        <v>151</v>
      </c>
      <c r="D1288" t="s">
        <v>81</v>
      </c>
      <c r="E1288" t="s">
        <v>5123</v>
      </c>
      <c r="F1288" t="s">
        <v>8321</v>
      </c>
      <c r="G1288" t="s">
        <v>8104</v>
      </c>
      <c r="H1288" t="s">
        <v>5408</v>
      </c>
      <c r="I1288" t="s">
        <v>31</v>
      </c>
      <c r="K1288" t="s">
        <v>31</v>
      </c>
      <c r="L1288" t="s">
        <v>8321</v>
      </c>
      <c r="M1288" t="s">
        <v>8321</v>
      </c>
      <c r="O1288" t="s">
        <v>17</v>
      </c>
      <c r="P1288" t="s">
        <v>5410</v>
      </c>
      <c r="Q1288" t="s">
        <v>5411</v>
      </c>
      <c r="R1288" t="s">
        <v>6279</v>
      </c>
      <c r="S1288" t="s">
        <v>6280</v>
      </c>
      <c r="T1288" t="s">
        <v>96</v>
      </c>
    </row>
    <row r="1289" spans="1:20" ht="15" customHeight="1" x14ac:dyDescent="0.4">
      <c r="A1289" t="s">
        <v>5414</v>
      </c>
      <c r="B1289" t="s">
        <v>5414</v>
      </c>
      <c r="C1289" t="s">
        <v>151</v>
      </c>
      <c r="D1289" t="s">
        <v>81</v>
      </c>
      <c r="E1289" t="s">
        <v>5123</v>
      </c>
      <c r="F1289" t="s">
        <v>8322</v>
      </c>
      <c r="G1289" t="s">
        <v>8104</v>
      </c>
      <c r="H1289" t="s">
        <v>5413</v>
      </c>
      <c r="I1289" t="s">
        <v>31</v>
      </c>
      <c r="K1289" t="s">
        <v>31</v>
      </c>
      <c r="L1289" t="s">
        <v>8322</v>
      </c>
      <c r="M1289" t="s">
        <v>8322</v>
      </c>
      <c r="O1289" t="s">
        <v>17</v>
      </c>
      <c r="P1289" t="s">
        <v>5415</v>
      </c>
      <c r="Q1289" t="s">
        <v>5416</v>
      </c>
      <c r="R1289" t="s">
        <v>6279</v>
      </c>
      <c r="S1289" t="s">
        <v>6280</v>
      </c>
      <c r="T1289" t="s">
        <v>96</v>
      </c>
    </row>
    <row r="1290" spans="1:20" ht="15" customHeight="1" x14ac:dyDescent="0.4">
      <c r="A1290" t="s">
        <v>5419</v>
      </c>
      <c r="B1290" t="s">
        <v>5419</v>
      </c>
      <c r="C1290" t="s">
        <v>151</v>
      </c>
      <c r="D1290" t="s">
        <v>81</v>
      </c>
      <c r="E1290" t="s">
        <v>5123</v>
      </c>
      <c r="F1290" t="s">
        <v>8323</v>
      </c>
      <c r="G1290" t="s">
        <v>8104</v>
      </c>
      <c r="H1290" t="s">
        <v>5418</v>
      </c>
      <c r="I1290" t="s">
        <v>31</v>
      </c>
      <c r="K1290" t="s">
        <v>31</v>
      </c>
      <c r="L1290" t="s">
        <v>8323</v>
      </c>
      <c r="M1290" t="s">
        <v>8323</v>
      </c>
      <c r="O1290" t="s">
        <v>17</v>
      </c>
      <c r="P1290" t="s">
        <v>5420</v>
      </c>
      <c r="Q1290" t="s">
        <v>5421</v>
      </c>
      <c r="R1290" t="s">
        <v>6279</v>
      </c>
      <c r="S1290" t="s">
        <v>6280</v>
      </c>
      <c r="T1290" t="s">
        <v>96</v>
      </c>
    </row>
    <row r="1291" spans="1:20" ht="15" customHeight="1" x14ac:dyDescent="0.4">
      <c r="A1291" t="s">
        <v>5424</v>
      </c>
      <c r="B1291" t="s">
        <v>5424</v>
      </c>
      <c r="C1291" t="s">
        <v>151</v>
      </c>
      <c r="D1291" t="s">
        <v>81</v>
      </c>
      <c r="E1291" t="s">
        <v>5123</v>
      </c>
      <c r="F1291" t="s">
        <v>8324</v>
      </c>
      <c r="G1291" t="s">
        <v>8104</v>
      </c>
      <c r="H1291" t="s">
        <v>5423</v>
      </c>
      <c r="I1291" t="s">
        <v>31</v>
      </c>
      <c r="K1291" t="s">
        <v>31</v>
      </c>
      <c r="L1291" t="s">
        <v>8324</v>
      </c>
      <c r="M1291" t="s">
        <v>8324</v>
      </c>
      <c r="O1291" t="s">
        <v>17</v>
      </c>
      <c r="P1291" t="s">
        <v>5425</v>
      </c>
      <c r="Q1291" t="s">
        <v>5426</v>
      </c>
      <c r="R1291" t="s">
        <v>6279</v>
      </c>
      <c r="S1291" t="s">
        <v>6280</v>
      </c>
      <c r="T1291" t="s">
        <v>96</v>
      </c>
    </row>
    <row r="1292" spans="1:20" ht="15" customHeight="1" x14ac:dyDescent="0.4">
      <c r="A1292" t="s">
        <v>5429</v>
      </c>
      <c r="B1292" t="s">
        <v>5429</v>
      </c>
      <c r="C1292" t="s">
        <v>151</v>
      </c>
      <c r="D1292" t="s">
        <v>81</v>
      </c>
      <c r="E1292" t="s">
        <v>5123</v>
      </c>
      <c r="F1292" t="s">
        <v>8325</v>
      </c>
      <c r="G1292" t="s">
        <v>8104</v>
      </c>
      <c r="H1292" t="s">
        <v>5428</v>
      </c>
      <c r="I1292" t="s">
        <v>31</v>
      </c>
      <c r="K1292" t="s">
        <v>31</v>
      </c>
      <c r="L1292" t="s">
        <v>8325</v>
      </c>
      <c r="M1292" t="s">
        <v>8325</v>
      </c>
      <c r="O1292" t="s">
        <v>17</v>
      </c>
      <c r="P1292" t="s">
        <v>5430</v>
      </c>
      <c r="Q1292" t="s">
        <v>5431</v>
      </c>
      <c r="R1292" t="s">
        <v>6279</v>
      </c>
      <c r="S1292" t="s">
        <v>6280</v>
      </c>
      <c r="T1292" t="s">
        <v>96</v>
      </c>
    </row>
    <row r="1293" spans="1:20" ht="15" customHeight="1" x14ac:dyDescent="0.4">
      <c r="A1293" t="s">
        <v>5434</v>
      </c>
      <c r="B1293" t="s">
        <v>5434</v>
      </c>
      <c r="C1293" t="s">
        <v>151</v>
      </c>
      <c r="D1293" t="s">
        <v>81</v>
      </c>
      <c r="E1293" t="s">
        <v>5123</v>
      </c>
      <c r="F1293" t="s">
        <v>8326</v>
      </c>
      <c r="G1293" t="s">
        <v>8104</v>
      </c>
      <c r="H1293" t="s">
        <v>5433</v>
      </c>
      <c r="I1293" t="s">
        <v>31</v>
      </c>
      <c r="K1293" t="s">
        <v>31</v>
      </c>
      <c r="L1293" t="s">
        <v>8326</v>
      </c>
      <c r="M1293" t="s">
        <v>8326</v>
      </c>
      <c r="O1293" t="s">
        <v>17</v>
      </c>
      <c r="P1293" t="s">
        <v>5435</v>
      </c>
      <c r="Q1293" t="s">
        <v>5436</v>
      </c>
      <c r="R1293" t="s">
        <v>6279</v>
      </c>
      <c r="S1293" t="s">
        <v>6280</v>
      </c>
      <c r="T1293" t="s">
        <v>96</v>
      </c>
    </row>
    <row r="1294" spans="1:20" ht="15" customHeight="1" x14ac:dyDescent="0.4">
      <c r="A1294" t="s">
        <v>5439</v>
      </c>
      <c r="B1294" t="s">
        <v>5439</v>
      </c>
      <c r="C1294" t="s">
        <v>151</v>
      </c>
      <c r="D1294" t="s">
        <v>81</v>
      </c>
      <c r="E1294" t="s">
        <v>5123</v>
      </c>
      <c r="F1294" t="s">
        <v>8327</v>
      </c>
      <c r="G1294" t="s">
        <v>8104</v>
      </c>
      <c r="H1294" t="s">
        <v>5438</v>
      </c>
      <c r="I1294" t="s">
        <v>31</v>
      </c>
      <c r="K1294" t="s">
        <v>31</v>
      </c>
      <c r="L1294" t="s">
        <v>8327</v>
      </c>
      <c r="M1294" t="s">
        <v>8327</v>
      </c>
      <c r="O1294" t="s">
        <v>17</v>
      </c>
      <c r="P1294" t="s">
        <v>5440</v>
      </c>
      <c r="Q1294" t="s">
        <v>5441</v>
      </c>
      <c r="R1294" t="s">
        <v>6279</v>
      </c>
      <c r="S1294" t="s">
        <v>6280</v>
      </c>
      <c r="T1294" t="s">
        <v>96</v>
      </c>
    </row>
    <row r="1295" spans="1:20" ht="15" customHeight="1" x14ac:dyDescent="0.4">
      <c r="A1295" t="s">
        <v>5444</v>
      </c>
      <c r="B1295" t="s">
        <v>5444</v>
      </c>
      <c r="C1295" t="s">
        <v>151</v>
      </c>
      <c r="D1295" t="s">
        <v>81</v>
      </c>
      <c r="E1295" t="s">
        <v>5123</v>
      </c>
      <c r="F1295" t="s">
        <v>8328</v>
      </c>
      <c r="G1295" t="s">
        <v>8104</v>
      </c>
      <c r="H1295" t="s">
        <v>5443</v>
      </c>
      <c r="I1295" t="s">
        <v>31</v>
      </c>
      <c r="K1295" t="s">
        <v>31</v>
      </c>
      <c r="L1295" t="s">
        <v>8328</v>
      </c>
      <c r="M1295" t="s">
        <v>8328</v>
      </c>
      <c r="O1295" t="s">
        <v>17</v>
      </c>
      <c r="P1295" t="s">
        <v>5445</v>
      </c>
      <c r="Q1295" t="s">
        <v>5446</v>
      </c>
      <c r="R1295" t="s">
        <v>6279</v>
      </c>
      <c r="S1295" t="s">
        <v>6280</v>
      </c>
      <c r="T1295" t="s">
        <v>96</v>
      </c>
    </row>
    <row r="1296" spans="1:20" ht="15" customHeight="1" x14ac:dyDescent="0.4">
      <c r="A1296" t="s">
        <v>5449</v>
      </c>
      <c r="B1296" t="s">
        <v>5449</v>
      </c>
      <c r="C1296" t="s">
        <v>151</v>
      </c>
      <c r="D1296" t="s">
        <v>81</v>
      </c>
      <c r="E1296" t="s">
        <v>5123</v>
      </c>
      <c r="F1296" t="s">
        <v>8329</v>
      </c>
      <c r="G1296" t="s">
        <v>8104</v>
      </c>
      <c r="H1296" t="s">
        <v>5448</v>
      </c>
      <c r="I1296" t="s">
        <v>31</v>
      </c>
      <c r="K1296" t="s">
        <v>31</v>
      </c>
      <c r="L1296" t="s">
        <v>8329</v>
      </c>
      <c r="M1296" t="s">
        <v>8329</v>
      </c>
      <c r="O1296" t="s">
        <v>17</v>
      </c>
      <c r="P1296" t="s">
        <v>5450</v>
      </c>
      <c r="Q1296" t="s">
        <v>5451</v>
      </c>
      <c r="R1296" t="s">
        <v>6279</v>
      </c>
      <c r="S1296" t="s">
        <v>6280</v>
      </c>
      <c r="T1296" t="s">
        <v>96</v>
      </c>
    </row>
    <row r="1297" spans="1:20" ht="15" customHeight="1" x14ac:dyDescent="0.4">
      <c r="A1297" t="s">
        <v>5454</v>
      </c>
      <c r="B1297" t="s">
        <v>5454</v>
      </c>
      <c r="C1297" t="s">
        <v>151</v>
      </c>
      <c r="D1297" t="s">
        <v>81</v>
      </c>
      <c r="E1297" t="s">
        <v>5123</v>
      </c>
      <c r="F1297" t="s">
        <v>8330</v>
      </c>
      <c r="G1297" t="s">
        <v>8104</v>
      </c>
      <c r="H1297" t="s">
        <v>5453</v>
      </c>
      <c r="I1297" t="s">
        <v>31</v>
      </c>
      <c r="K1297" t="s">
        <v>31</v>
      </c>
      <c r="L1297" t="s">
        <v>8330</v>
      </c>
      <c r="M1297" t="s">
        <v>8330</v>
      </c>
      <c r="O1297" t="s">
        <v>17</v>
      </c>
      <c r="P1297" t="s">
        <v>5455</v>
      </c>
      <c r="Q1297" t="s">
        <v>5456</v>
      </c>
      <c r="R1297" t="s">
        <v>6279</v>
      </c>
      <c r="S1297" t="s">
        <v>6280</v>
      </c>
      <c r="T1297" t="s">
        <v>96</v>
      </c>
    </row>
    <row r="1298" spans="1:20" ht="15" customHeight="1" x14ac:dyDescent="0.4">
      <c r="A1298" t="s">
        <v>5459</v>
      </c>
      <c r="B1298" t="s">
        <v>5459</v>
      </c>
      <c r="C1298" t="s">
        <v>151</v>
      </c>
      <c r="D1298" t="s">
        <v>81</v>
      </c>
      <c r="E1298" t="s">
        <v>5123</v>
      </c>
      <c r="F1298" t="s">
        <v>8331</v>
      </c>
      <c r="G1298" t="s">
        <v>8104</v>
      </c>
      <c r="H1298" t="s">
        <v>5458</v>
      </c>
      <c r="I1298" t="s">
        <v>31</v>
      </c>
      <c r="K1298" t="s">
        <v>31</v>
      </c>
      <c r="L1298" t="s">
        <v>8331</v>
      </c>
      <c r="M1298" t="s">
        <v>8331</v>
      </c>
      <c r="O1298" t="s">
        <v>17</v>
      </c>
      <c r="P1298" t="s">
        <v>5460</v>
      </c>
      <c r="Q1298" t="s">
        <v>5461</v>
      </c>
      <c r="R1298" t="s">
        <v>6279</v>
      </c>
      <c r="S1298" t="s">
        <v>6280</v>
      </c>
      <c r="T1298" t="s">
        <v>96</v>
      </c>
    </row>
    <row r="1299" spans="1:20" ht="15" customHeight="1" x14ac:dyDescent="0.4">
      <c r="A1299" t="s">
        <v>5464</v>
      </c>
      <c r="B1299" t="s">
        <v>5464</v>
      </c>
      <c r="C1299" t="s">
        <v>151</v>
      </c>
      <c r="D1299" t="s">
        <v>81</v>
      </c>
      <c r="E1299" t="s">
        <v>5123</v>
      </c>
      <c r="F1299" t="s">
        <v>8332</v>
      </c>
      <c r="G1299" t="s">
        <v>8104</v>
      </c>
      <c r="H1299" t="s">
        <v>5463</v>
      </c>
      <c r="I1299" t="s">
        <v>31</v>
      </c>
      <c r="K1299" t="s">
        <v>31</v>
      </c>
      <c r="L1299" t="s">
        <v>8332</v>
      </c>
      <c r="M1299" t="s">
        <v>8332</v>
      </c>
      <c r="O1299" t="s">
        <v>17</v>
      </c>
      <c r="P1299" t="s">
        <v>5465</v>
      </c>
      <c r="Q1299" t="s">
        <v>5466</v>
      </c>
      <c r="R1299" t="s">
        <v>6279</v>
      </c>
      <c r="S1299" t="s">
        <v>6280</v>
      </c>
      <c r="T1299" t="s">
        <v>96</v>
      </c>
    </row>
    <row r="1300" spans="1:20" ht="15" customHeight="1" x14ac:dyDescent="0.4">
      <c r="A1300" t="s">
        <v>5469</v>
      </c>
      <c r="B1300" t="s">
        <v>5469</v>
      </c>
      <c r="C1300" t="s">
        <v>151</v>
      </c>
      <c r="D1300" t="s">
        <v>81</v>
      </c>
      <c r="E1300" t="s">
        <v>5123</v>
      </c>
      <c r="F1300" t="s">
        <v>8333</v>
      </c>
      <c r="G1300" t="s">
        <v>8104</v>
      </c>
      <c r="H1300" t="s">
        <v>5468</v>
      </c>
      <c r="I1300" t="s">
        <v>31</v>
      </c>
      <c r="K1300" t="s">
        <v>31</v>
      </c>
      <c r="L1300" t="s">
        <v>8333</v>
      </c>
      <c r="M1300" t="s">
        <v>8333</v>
      </c>
      <c r="O1300" t="s">
        <v>17</v>
      </c>
      <c r="P1300" t="s">
        <v>5470</v>
      </c>
      <c r="Q1300" t="s">
        <v>5471</v>
      </c>
      <c r="R1300" t="s">
        <v>6279</v>
      </c>
      <c r="S1300" t="s">
        <v>6280</v>
      </c>
      <c r="T1300" t="s">
        <v>96</v>
      </c>
    </row>
    <row r="1301" spans="1:20" ht="15" customHeight="1" x14ac:dyDescent="0.4">
      <c r="A1301" t="s">
        <v>5474</v>
      </c>
      <c r="B1301" t="s">
        <v>5474</v>
      </c>
      <c r="C1301" t="s">
        <v>151</v>
      </c>
      <c r="D1301" t="s">
        <v>81</v>
      </c>
      <c r="E1301" t="s">
        <v>5123</v>
      </c>
      <c r="F1301" t="s">
        <v>8334</v>
      </c>
      <c r="G1301" t="s">
        <v>8104</v>
      </c>
      <c r="H1301" t="s">
        <v>5473</v>
      </c>
      <c r="I1301" t="s">
        <v>31</v>
      </c>
      <c r="K1301" t="s">
        <v>31</v>
      </c>
      <c r="L1301" t="s">
        <v>8334</v>
      </c>
      <c r="M1301" t="s">
        <v>8334</v>
      </c>
      <c r="O1301" t="s">
        <v>17</v>
      </c>
      <c r="P1301" t="s">
        <v>5475</v>
      </c>
      <c r="Q1301" t="s">
        <v>5476</v>
      </c>
      <c r="R1301" t="s">
        <v>6279</v>
      </c>
      <c r="S1301" t="s">
        <v>6280</v>
      </c>
      <c r="T1301" t="s">
        <v>96</v>
      </c>
    </row>
    <row r="1302" spans="1:20" ht="15" customHeight="1" x14ac:dyDescent="0.4">
      <c r="A1302" t="s">
        <v>5479</v>
      </c>
      <c r="B1302" t="s">
        <v>5479</v>
      </c>
      <c r="C1302" t="s">
        <v>151</v>
      </c>
      <c r="D1302" t="s">
        <v>81</v>
      </c>
      <c r="E1302" t="s">
        <v>5123</v>
      </c>
      <c r="F1302" t="s">
        <v>8335</v>
      </c>
      <c r="G1302" t="s">
        <v>8104</v>
      </c>
      <c r="H1302" t="s">
        <v>5478</v>
      </c>
      <c r="I1302" t="s">
        <v>31</v>
      </c>
      <c r="K1302" t="s">
        <v>31</v>
      </c>
      <c r="L1302" t="s">
        <v>8335</v>
      </c>
      <c r="M1302" t="s">
        <v>8335</v>
      </c>
      <c r="O1302" t="s">
        <v>17</v>
      </c>
      <c r="P1302" t="s">
        <v>5480</v>
      </c>
      <c r="Q1302" t="s">
        <v>5481</v>
      </c>
      <c r="R1302" t="s">
        <v>6279</v>
      </c>
      <c r="S1302" t="s">
        <v>6280</v>
      </c>
      <c r="T1302" t="s">
        <v>96</v>
      </c>
    </row>
    <row r="1303" spans="1:20" ht="15" customHeight="1" x14ac:dyDescent="0.4">
      <c r="A1303" t="s">
        <v>5484</v>
      </c>
      <c r="B1303" t="s">
        <v>5484</v>
      </c>
      <c r="C1303" t="s">
        <v>151</v>
      </c>
      <c r="D1303" t="s">
        <v>81</v>
      </c>
      <c r="E1303" t="s">
        <v>5123</v>
      </c>
      <c r="F1303" t="s">
        <v>8336</v>
      </c>
      <c r="G1303" t="s">
        <v>8104</v>
      </c>
      <c r="H1303" t="s">
        <v>5483</v>
      </c>
      <c r="I1303" t="s">
        <v>31</v>
      </c>
      <c r="K1303" t="s">
        <v>31</v>
      </c>
      <c r="L1303" t="s">
        <v>8336</v>
      </c>
      <c r="M1303" t="s">
        <v>8336</v>
      </c>
      <c r="O1303" t="s">
        <v>17</v>
      </c>
      <c r="P1303" t="s">
        <v>5485</v>
      </c>
      <c r="Q1303" t="s">
        <v>5486</v>
      </c>
      <c r="R1303" t="s">
        <v>6279</v>
      </c>
      <c r="S1303" t="s">
        <v>6280</v>
      </c>
      <c r="T1303" t="s">
        <v>96</v>
      </c>
    </row>
    <row r="1304" spans="1:20" ht="15" customHeight="1" x14ac:dyDescent="0.4">
      <c r="A1304" t="s">
        <v>5489</v>
      </c>
      <c r="B1304" t="s">
        <v>5489</v>
      </c>
      <c r="C1304" t="s">
        <v>151</v>
      </c>
      <c r="D1304" t="s">
        <v>81</v>
      </c>
      <c r="E1304" t="s">
        <v>5123</v>
      </c>
      <c r="F1304" t="s">
        <v>8337</v>
      </c>
      <c r="G1304" t="s">
        <v>8104</v>
      </c>
      <c r="H1304" t="s">
        <v>5488</v>
      </c>
      <c r="I1304" t="s">
        <v>31</v>
      </c>
      <c r="K1304" t="s">
        <v>31</v>
      </c>
      <c r="L1304" t="s">
        <v>8337</v>
      </c>
      <c r="M1304" t="s">
        <v>8337</v>
      </c>
      <c r="O1304" t="s">
        <v>17</v>
      </c>
      <c r="P1304" t="s">
        <v>5490</v>
      </c>
      <c r="Q1304" t="s">
        <v>5491</v>
      </c>
      <c r="R1304" t="s">
        <v>6279</v>
      </c>
      <c r="S1304" t="s">
        <v>6280</v>
      </c>
      <c r="T1304" t="s">
        <v>96</v>
      </c>
    </row>
    <row r="1305" spans="1:20" ht="15" customHeight="1" x14ac:dyDescent="0.4">
      <c r="A1305" t="s">
        <v>5494</v>
      </c>
      <c r="B1305" t="s">
        <v>5494</v>
      </c>
      <c r="C1305" t="s">
        <v>151</v>
      </c>
      <c r="D1305" t="s">
        <v>81</v>
      </c>
      <c r="E1305" t="s">
        <v>5123</v>
      </c>
      <c r="F1305" t="s">
        <v>8338</v>
      </c>
      <c r="G1305" t="s">
        <v>8104</v>
      </c>
      <c r="H1305" t="s">
        <v>5493</v>
      </c>
      <c r="I1305" t="s">
        <v>31</v>
      </c>
      <c r="K1305" t="s">
        <v>31</v>
      </c>
      <c r="L1305" t="s">
        <v>8338</v>
      </c>
      <c r="M1305" t="s">
        <v>8338</v>
      </c>
      <c r="O1305" t="s">
        <v>17</v>
      </c>
      <c r="P1305" t="s">
        <v>5495</v>
      </c>
      <c r="Q1305" t="s">
        <v>5496</v>
      </c>
      <c r="R1305" t="s">
        <v>6279</v>
      </c>
      <c r="S1305" t="s">
        <v>6280</v>
      </c>
      <c r="T1305" t="s">
        <v>96</v>
      </c>
    </row>
    <row r="1306" spans="1:20" ht="15" customHeight="1" x14ac:dyDescent="0.4">
      <c r="A1306" t="s">
        <v>5499</v>
      </c>
      <c r="B1306" t="s">
        <v>5499</v>
      </c>
      <c r="C1306" t="s">
        <v>151</v>
      </c>
      <c r="D1306" t="s">
        <v>81</v>
      </c>
      <c r="E1306" t="s">
        <v>5123</v>
      </c>
      <c r="F1306" t="s">
        <v>8339</v>
      </c>
      <c r="G1306" t="s">
        <v>8104</v>
      </c>
      <c r="H1306" t="s">
        <v>5498</v>
      </c>
      <c r="I1306" t="s">
        <v>31</v>
      </c>
      <c r="K1306" t="s">
        <v>31</v>
      </c>
      <c r="L1306" t="s">
        <v>8339</v>
      </c>
      <c r="M1306" t="s">
        <v>8339</v>
      </c>
      <c r="O1306" t="s">
        <v>17</v>
      </c>
      <c r="P1306" t="s">
        <v>5500</v>
      </c>
      <c r="Q1306" t="s">
        <v>5501</v>
      </c>
      <c r="R1306" t="s">
        <v>6279</v>
      </c>
      <c r="S1306" t="s">
        <v>6280</v>
      </c>
      <c r="T1306" t="s">
        <v>96</v>
      </c>
    </row>
    <row r="1307" spans="1:20" ht="15" customHeight="1" x14ac:dyDescent="0.4">
      <c r="A1307" t="s">
        <v>5504</v>
      </c>
      <c r="B1307" t="s">
        <v>5504</v>
      </c>
      <c r="C1307" t="s">
        <v>151</v>
      </c>
      <c r="D1307" t="s">
        <v>81</v>
      </c>
      <c r="E1307" t="s">
        <v>5123</v>
      </c>
      <c r="F1307" t="s">
        <v>8340</v>
      </c>
      <c r="G1307" t="s">
        <v>8104</v>
      </c>
      <c r="H1307" t="s">
        <v>5503</v>
      </c>
      <c r="I1307" t="s">
        <v>31</v>
      </c>
      <c r="K1307" t="s">
        <v>31</v>
      </c>
      <c r="L1307" t="s">
        <v>8340</v>
      </c>
      <c r="M1307" t="s">
        <v>8340</v>
      </c>
      <c r="O1307" t="s">
        <v>17</v>
      </c>
      <c r="P1307" t="s">
        <v>5505</v>
      </c>
      <c r="Q1307" t="s">
        <v>5506</v>
      </c>
      <c r="R1307" t="s">
        <v>6279</v>
      </c>
      <c r="S1307" t="s">
        <v>6280</v>
      </c>
      <c r="T1307" t="s">
        <v>96</v>
      </c>
    </row>
    <row r="1308" spans="1:20" ht="15" customHeight="1" x14ac:dyDescent="0.4">
      <c r="A1308" t="s">
        <v>5509</v>
      </c>
      <c r="B1308" t="s">
        <v>5509</v>
      </c>
      <c r="C1308" t="s">
        <v>151</v>
      </c>
      <c r="D1308" t="s">
        <v>81</v>
      </c>
      <c r="E1308" t="s">
        <v>5123</v>
      </c>
      <c r="F1308" t="s">
        <v>8341</v>
      </c>
      <c r="G1308" t="s">
        <v>8104</v>
      </c>
      <c r="H1308" t="s">
        <v>5508</v>
      </c>
      <c r="I1308" t="s">
        <v>31</v>
      </c>
      <c r="K1308" t="s">
        <v>31</v>
      </c>
      <c r="L1308" t="s">
        <v>8341</v>
      </c>
      <c r="M1308" t="s">
        <v>8341</v>
      </c>
      <c r="O1308" t="s">
        <v>17</v>
      </c>
      <c r="P1308" t="s">
        <v>5510</v>
      </c>
      <c r="Q1308" t="s">
        <v>5511</v>
      </c>
      <c r="R1308" t="s">
        <v>6279</v>
      </c>
      <c r="S1308" t="s">
        <v>6280</v>
      </c>
      <c r="T1308" t="s">
        <v>96</v>
      </c>
    </row>
    <row r="1309" spans="1:20" ht="15" customHeight="1" x14ac:dyDescent="0.4">
      <c r="A1309" t="s">
        <v>5514</v>
      </c>
      <c r="B1309" t="s">
        <v>5514</v>
      </c>
      <c r="C1309" t="s">
        <v>151</v>
      </c>
      <c r="D1309" t="s">
        <v>81</v>
      </c>
      <c r="E1309" t="s">
        <v>5123</v>
      </c>
      <c r="F1309" t="s">
        <v>8342</v>
      </c>
      <c r="G1309" t="s">
        <v>8104</v>
      </c>
      <c r="H1309" t="s">
        <v>5513</v>
      </c>
      <c r="I1309" t="s">
        <v>31</v>
      </c>
      <c r="K1309" t="s">
        <v>31</v>
      </c>
      <c r="L1309" t="s">
        <v>8342</v>
      </c>
      <c r="M1309" t="s">
        <v>8342</v>
      </c>
      <c r="O1309" t="s">
        <v>17</v>
      </c>
      <c r="P1309" t="s">
        <v>5515</v>
      </c>
      <c r="Q1309" t="s">
        <v>5516</v>
      </c>
      <c r="R1309" t="s">
        <v>6279</v>
      </c>
      <c r="S1309" t="s">
        <v>6280</v>
      </c>
      <c r="T1309" t="s">
        <v>96</v>
      </c>
    </row>
    <row r="1310" spans="1:20" ht="15" customHeight="1" x14ac:dyDescent="0.4">
      <c r="A1310" t="s">
        <v>5519</v>
      </c>
      <c r="B1310" t="s">
        <v>5519</v>
      </c>
      <c r="C1310" t="s">
        <v>151</v>
      </c>
      <c r="D1310" t="s">
        <v>81</v>
      </c>
      <c r="E1310" t="s">
        <v>5123</v>
      </c>
      <c r="F1310" t="s">
        <v>8343</v>
      </c>
      <c r="G1310" t="s">
        <v>8104</v>
      </c>
      <c r="H1310" t="s">
        <v>5518</v>
      </c>
      <c r="I1310" t="s">
        <v>31</v>
      </c>
      <c r="K1310" t="s">
        <v>31</v>
      </c>
      <c r="L1310" t="s">
        <v>8343</v>
      </c>
      <c r="M1310" t="s">
        <v>8343</v>
      </c>
      <c r="O1310" t="s">
        <v>17</v>
      </c>
      <c r="P1310" t="s">
        <v>5520</v>
      </c>
      <c r="Q1310" t="s">
        <v>5521</v>
      </c>
      <c r="R1310" t="s">
        <v>6279</v>
      </c>
      <c r="S1310" t="s">
        <v>6280</v>
      </c>
      <c r="T1310" t="s">
        <v>96</v>
      </c>
    </row>
    <row r="1311" spans="1:20" ht="15" customHeight="1" x14ac:dyDescent="0.4">
      <c r="A1311" t="s">
        <v>5524</v>
      </c>
      <c r="B1311" t="s">
        <v>5524</v>
      </c>
      <c r="C1311" t="s">
        <v>151</v>
      </c>
      <c r="D1311" t="s">
        <v>81</v>
      </c>
      <c r="E1311" t="s">
        <v>5123</v>
      </c>
      <c r="F1311" t="s">
        <v>8344</v>
      </c>
      <c r="G1311" t="s">
        <v>8104</v>
      </c>
      <c r="H1311" t="s">
        <v>5523</v>
      </c>
      <c r="I1311" t="s">
        <v>31</v>
      </c>
      <c r="K1311" t="s">
        <v>31</v>
      </c>
      <c r="L1311" t="s">
        <v>8344</v>
      </c>
      <c r="M1311" t="s">
        <v>8344</v>
      </c>
      <c r="O1311" t="s">
        <v>17</v>
      </c>
      <c r="P1311" t="s">
        <v>5525</v>
      </c>
      <c r="Q1311" t="s">
        <v>5526</v>
      </c>
      <c r="R1311" t="s">
        <v>6279</v>
      </c>
      <c r="S1311" t="s">
        <v>6280</v>
      </c>
      <c r="T1311" t="s">
        <v>96</v>
      </c>
    </row>
    <row r="1312" spans="1:20" ht="15" customHeight="1" x14ac:dyDescent="0.4">
      <c r="A1312" t="s">
        <v>5529</v>
      </c>
      <c r="B1312" t="s">
        <v>5529</v>
      </c>
      <c r="C1312" t="s">
        <v>151</v>
      </c>
      <c r="D1312" t="s">
        <v>81</v>
      </c>
      <c r="E1312" t="s">
        <v>5123</v>
      </c>
      <c r="F1312" t="s">
        <v>8345</v>
      </c>
      <c r="G1312" t="s">
        <v>8104</v>
      </c>
      <c r="H1312" t="s">
        <v>5528</v>
      </c>
      <c r="I1312" t="s">
        <v>31</v>
      </c>
      <c r="K1312" t="s">
        <v>31</v>
      </c>
      <c r="L1312" t="s">
        <v>8345</v>
      </c>
      <c r="M1312" t="s">
        <v>8345</v>
      </c>
      <c r="O1312" t="s">
        <v>17</v>
      </c>
      <c r="P1312" t="s">
        <v>5530</v>
      </c>
      <c r="Q1312" t="s">
        <v>5531</v>
      </c>
      <c r="R1312" t="s">
        <v>6279</v>
      </c>
      <c r="S1312" t="s">
        <v>6280</v>
      </c>
      <c r="T1312" t="s">
        <v>96</v>
      </c>
    </row>
    <row r="1313" spans="1:20" ht="15" customHeight="1" x14ac:dyDescent="0.4">
      <c r="A1313" t="s">
        <v>5535</v>
      </c>
      <c r="B1313" t="s">
        <v>5535</v>
      </c>
      <c r="C1313" t="s">
        <v>151</v>
      </c>
      <c r="D1313" t="s">
        <v>81</v>
      </c>
      <c r="E1313" t="s">
        <v>5123</v>
      </c>
      <c r="F1313" t="s">
        <v>8346</v>
      </c>
      <c r="G1313" t="s">
        <v>8104</v>
      </c>
      <c r="H1313" t="s">
        <v>5533</v>
      </c>
      <c r="I1313" t="s">
        <v>31</v>
      </c>
      <c r="L1313" t="s">
        <v>8346</v>
      </c>
      <c r="M1313" t="s">
        <v>8346</v>
      </c>
      <c r="O1313" t="s">
        <v>17</v>
      </c>
      <c r="P1313" t="s">
        <v>5536</v>
      </c>
      <c r="Q1313" t="s">
        <v>5537</v>
      </c>
      <c r="R1313" t="s">
        <v>6279</v>
      </c>
      <c r="S1313" t="s">
        <v>6280</v>
      </c>
      <c r="T1313" t="s">
        <v>119</v>
      </c>
    </row>
    <row r="1314" spans="1:20" ht="15" customHeight="1" x14ac:dyDescent="0.4">
      <c r="A1314" t="s">
        <v>5541</v>
      </c>
      <c r="B1314" t="s">
        <v>5541</v>
      </c>
      <c r="C1314" t="s">
        <v>151</v>
      </c>
      <c r="D1314" t="s">
        <v>81</v>
      </c>
      <c r="E1314" t="s">
        <v>5123</v>
      </c>
      <c r="F1314" t="s">
        <v>8347</v>
      </c>
      <c r="G1314" t="s">
        <v>8104</v>
      </c>
      <c r="H1314" t="s">
        <v>5539</v>
      </c>
      <c r="I1314" t="s">
        <v>31</v>
      </c>
      <c r="L1314" t="s">
        <v>8347</v>
      </c>
      <c r="M1314" t="s">
        <v>8347</v>
      </c>
      <c r="O1314" t="s">
        <v>17</v>
      </c>
      <c r="P1314" t="s">
        <v>5542</v>
      </c>
      <c r="Q1314" t="s">
        <v>5543</v>
      </c>
      <c r="R1314" t="s">
        <v>6279</v>
      </c>
      <c r="S1314" t="s">
        <v>6280</v>
      </c>
      <c r="T1314" t="s">
        <v>119</v>
      </c>
    </row>
    <row r="1315" spans="1:20" ht="15" customHeight="1" x14ac:dyDescent="0.4">
      <c r="A1315" t="s">
        <v>5547</v>
      </c>
      <c r="B1315" t="s">
        <v>5547</v>
      </c>
      <c r="C1315" t="s">
        <v>151</v>
      </c>
      <c r="D1315" t="s">
        <v>81</v>
      </c>
      <c r="E1315" t="s">
        <v>5123</v>
      </c>
      <c r="F1315" t="s">
        <v>8348</v>
      </c>
      <c r="G1315" t="s">
        <v>8104</v>
      </c>
      <c r="H1315" t="s">
        <v>5546</v>
      </c>
      <c r="I1315" t="s">
        <v>31</v>
      </c>
      <c r="L1315" t="s">
        <v>8348</v>
      </c>
      <c r="M1315" t="s">
        <v>8348</v>
      </c>
      <c r="O1315" t="s">
        <v>17</v>
      </c>
      <c r="P1315" t="s">
        <v>5548</v>
      </c>
      <c r="Q1315" t="s">
        <v>5549</v>
      </c>
      <c r="R1315" t="s">
        <v>6279</v>
      </c>
      <c r="S1315" t="s">
        <v>6280</v>
      </c>
      <c r="T1315" t="s">
        <v>119</v>
      </c>
    </row>
    <row r="1316" spans="1:20" ht="15" customHeight="1" x14ac:dyDescent="0.4">
      <c r="A1316" t="s">
        <v>5552</v>
      </c>
      <c r="B1316" t="s">
        <v>5552</v>
      </c>
      <c r="C1316" t="s">
        <v>151</v>
      </c>
      <c r="D1316" t="s">
        <v>81</v>
      </c>
      <c r="E1316" t="s">
        <v>5123</v>
      </c>
      <c r="F1316" t="s">
        <v>8349</v>
      </c>
      <c r="G1316" t="s">
        <v>8104</v>
      </c>
      <c r="H1316" t="s">
        <v>5551</v>
      </c>
      <c r="I1316" t="s">
        <v>31</v>
      </c>
      <c r="L1316" t="s">
        <v>8349</v>
      </c>
      <c r="M1316" t="s">
        <v>8349</v>
      </c>
      <c r="O1316" t="s">
        <v>17</v>
      </c>
      <c r="P1316" t="s">
        <v>5553</v>
      </c>
      <c r="Q1316" t="s">
        <v>5554</v>
      </c>
      <c r="R1316" t="s">
        <v>6279</v>
      </c>
      <c r="S1316" t="s">
        <v>6280</v>
      </c>
      <c r="T1316" t="s">
        <v>119</v>
      </c>
    </row>
    <row r="1317" spans="1:20" ht="15" customHeight="1" x14ac:dyDescent="0.4">
      <c r="A1317" t="s">
        <v>5557</v>
      </c>
      <c r="B1317" t="s">
        <v>5557</v>
      </c>
      <c r="C1317" t="s">
        <v>151</v>
      </c>
      <c r="D1317" t="s">
        <v>81</v>
      </c>
      <c r="E1317" t="s">
        <v>5123</v>
      </c>
      <c r="F1317" t="s">
        <v>8350</v>
      </c>
      <c r="G1317" t="s">
        <v>8104</v>
      </c>
      <c r="H1317" t="s">
        <v>5556</v>
      </c>
      <c r="I1317" t="s">
        <v>31</v>
      </c>
      <c r="L1317" t="s">
        <v>8350</v>
      </c>
      <c r="M1317" t="s">
        <v>8350</v>
      </c>
      <c r="O1317" t="s">
        <v>17</v>
      </c>
      <c r="P1317" t="s">
        <v>5558</v>
      </c>
      <c r="Q1317" t="s">
        <v>5559</v>
      </c>
      <c r="R1317" t="s">
        <v>6279</v>
      </c>
      <c r="S1317" t="s">
        <v>6280</v>
      </c>
      <c r="T1317" t="s">
        <v>119</v>
      </c>
    </row>
    <row r="1318" spans="1:20" ht="15" customHeight="1" x14ac:dyDescent="0.4">
      <c r="A1318" t="s">
        <v>5562</v>
      </c>
      <c r="B1318" t="s">
        <v>5562</v>
      </c>
      <c r="C1318" t="s">
        <v>151</v>
      </c>
      <c r="D1318" t="s">
        <v>81</v>
      </c>
      <c r="E1318" t="s">
        <v>5123</v>
      </c>
      <c r="F1318" t="s">
        <v>8351</v>
      </c>
      <c r="G1318" t="s">
        <v>8104</v>
      </c>
      <c r="H1318" t="s">
        <v>5561</v>
      </c>
      <c r="I1318" t="s">
        <v>31</v>
      </c>
      <c r="K1318" t="s">
        <v>31</v>
      </c>
      <c r="L1318" t="s">
        <v>8351</v>
      </c>
      <c r="M1318" t="s">
        <v>8351</v>
      </c>
      <c r="O1318" t="s">
        <v>17</v>
      </c>
      <c r="P1318" t="s">
        <v>5563</v>
      </c>
      <c r="Q1318" t="s">
        <v>5564</v>
      </c>
      <c r="R1318" t="s">
        <v>6279</v>
      </c>
      <c r="S1318" t="s">
        <v>6280</v>
      </c>
      <c r="T1318" t="s">
        <v>96</v>
      </c>
    </row>
    <row r="1319" spans="1:20" ht="15" customHeight="1" x14ac:dyDescent="0.4">
      <c r="A1319" t="s">
        <v>5568</v>
      </c>
      <c r="B1319" t="s">
        <v>5568</v>
      </c>
      <c r="C1319" t="s">
        <v>151</v>
      </c>
      <c r="D1319" t="s">
        <v>81</v>
      </c>
      <c r="E1319" t="s">
        <v>5123</v>
      </c>
      <c r="F1319" t="s">
        <v>8352</v>
      </c>
      <c r="G1319" t="s">
        <v>8104</v>
      </c>
      <c r="H1319" t="s">
        <v>5567</v>
      </c>
      <c r="I1319" t="s">
        <v>31</v>
      </c>
      <c r="K1319" t="s">
        <v>31</v>
      </c>
      <c r="L1319" t="s">
        <v>8352</v>
      </c>
      <c r="M1319" t="s">
        <v>8352</v>
      </c>
      <c r="O1319" t="s">
        <v>17</v>
      </c>
      <c r="P1319" t="s">
        <v>5569</v>
      </c>
      <c r="Q1319" t="s">
        <v>5570</v>
      </c>
      <c r="R1319" t="s">
        <v>6279</v>
      </c>
      <c r="S1319" t="s">
        <v>6280</v>
      </c>
      <c r="T1319" t="s">
        <v>96</v>
      </c>
    </row>
    <row r="1320" spans="1:20" ht="15" customHeight="1" x14ac:dyDescent="0.4">
      <c r="A1320" t="s">
        <v>5573</v>
      </c>
      <c r="B1320" t="s">
        <v>5573</v>
      </c>
      <c r="C1320" t="s">
        <v>151</v>
      </c>
      <c r="D1320" t="s">
        <v>81</v>
      </c>
      <c r="E1320" t="s">
        <v>5123</v>
      </c>
      <c r="F1320" t="s">
        <v>8353</v>
      </c>
      <c r="G1320" t="s">
        <v>8104</v>
      </c>
      <c r="H1320" t="s">
        <v>5572</v>
      </c>
      <c r="I1320" t="s">
        <v>31</v>
      </c>
      <c r="K1320" t="s">
        <v>31</v>
      </c>
      <c r="L1320" t="s">
        <v>8353</v>
      </c>
      <c r="M1320" t="s">
        <v>8353</v>
      </c>
      <c r="O1320" t="s">
        <v>17</v>
      </c>
      <c r="P1320" t="s">
        <v>5574</v>
      </c>
      <c r="Q1320" t="s">
        <v>5575</v>
      </c>
      <c r="R1320" t="s">
        <v>6279</v>
      </c>
      <c r="S1320" t="s">
        <v>6280</v>
      </c>
      <c r="T1320" t="s">
        <v>96</v>
      </c>
    </row>
    <row r="1321" spans="1:20" ht="15" customHeight="1" x14ac:dyDescent="0.4">
      <c r="A1321" t="s">
        <v>5578</v>
      </c>
      <c r="B1321" t="s">
        <v>5578</v>
      </c>
      <c r="C1321" t="s">
        <v>151</v>
      </c>
      <c r="D1321" t="s">
        <v>81</v>
      </c>
      <c r="E1321" t="s">
        <v>5123</v>
      </c>
      <c r="F1321" t="s">
        <v>8354</v>
      </c>
      <c r="G1321" t="s">
        <v>8104</v>
      </c>
      <c r="H1321" t="s">
        <v>5577</v>
      </c>
      <c r="I1321" t="s">
        <v>31</v>
      </c>
      <c r="K1321" t="s">
        <v>31</v>
      </c>
      <c r="L1321" t="s">
        <v>8354</v>
      </c>
      <c r="M1321" t="s">
        <v>8354</v>
      </c>
      <c r="O1321" t="s">
        <v>17</v>
      </c>
      <c r="P1321" t="s">
        <v>5579</v>
      </c>
      <c r="Q1321" t="s">
        <v>5580</v>
      </c>
      <c r="R1321" t="s">
        <v>6279</v>
      </c>
      <c r="S1321" t="s">
        <v>6280</v>
      </c>
      <c r="T1321" t="s">
        <v>96</v>
      </c>
    </row>
    <row r="1322" spans="1:20" ht="15" customHeight="1" x14ac:dyDescent="0.4">
      <c r="A1322" t="s">
        <v>5583</v>
      </c>
      <c r="B1322" t="s">
        <v>5583</v>
      </c>
      <c r="C1322" t="s">
        <v>151</v>
      </c>
      <c r="D1322" t="s">
        <v>81</v>
      </c>
      <c r="E1322" t="s">
        <v>5123</v>
      </c>
      <c r="F1322" t="s">
        <v>8355</v>
      </c>
      <c r="G1322" t="s">
        <v>8104</v>
      </c>
      <c r="H1322" t="s">
        <v>5582</v>
      </c>
      <c r="I1322" t="s">
        <v>31</v>
      </c>
      <c r="K1322" t="s">
        <v>31</v>
      </c>
      <c r="L1322" t="s">
        <v>8355</v>
      </c>
      <c r="M1322" t="s">
        <v>8355</v>
      </c>
      <c r="O1322" t="s">
        <v>17</v>
      </c>
      <c r="P1322" t="s">
        <v>5584</v>
      </c>
      <c r="Q1322" t="s">
        <v>5585</v>
      </c>
      <c r="R1322" t="s">
        <v>6279</v>
      </c>
      <c r="S1322" t="s">
        <v>6280</v>
      </c>
      <c r="T1322" t="s">
        <v>96</v>
      </c>
    </row>
    <row r="1323" spans="1:20" ht="15" customHeight="1" x14ac:dyDescent="0.4">
      <c r="A1323" t="s">
        <v>5588</v>
      </c>
      <c r="B1323" t="s">
        <v>5588</v>
      </c>
      <c r="C1323" t="s">
        <v>151</v>
      </c>
      <c r="D1323" t="s">
        <v>81</v>
      </c>
      <c r="E1323" t="s">
        <v>5123</v>
      </c>
      <c r="F1323" t="s">
        <v>8356</v>
      </c>
      <c r="G1323" t="s">
        <v>8104</v>
      </c>
      <c r="H1323" t="s">
        <v>5587</v>
      </c>
      <c r="I1323" t="s">
        <v>31</v>
      </c>
      <c r="K1323" t="s">
        <v>31</v>
      </c>
      <c r="L1323" t="s">
        <v>8356</v>
      </c>
      <c r="M1323" t="s">
        <v>8356</v>
      </c>
      <c r="O1323" t="s">
        <v>17</v>
      </c>
      <c r="P1323" t="s">
        <v>5589</v>
      </c>
      <c r="Q1323" t="s">
        <v>5590</v>
      </c>
      <c r="R1323" t="s">
        <v>6279</v>
      </c>
      <c r="S1323" t="s">
        <v>6280</v>
      </c>
      <c r="T1323" t="s">
        <v>96</v>
      </c>
    </row>
    <row r="1324" spans="1:20" ht="15" customHeight="1" x14ac:dyDescent="0.4">
      <c r="A1324" t="s">
        <v>5593</v>
      </c>
      <c r="B1324" t="s">
        <v>5593</v>
      </c>
      <c r="C1324" t="s">
        <v>151</v>
      </c>
      <c r="D1324" t="s">
        <v>81</v>
      </c>
      <c r="E1324" t="s">
        <v>5123</v>
      </c>
      <c r="F1324" t="s">
        <v>8357</v>
      </c>
      <c r="G1324" t="s">
        <v>8104</v>
      </c>
      <c r="H1324" t="s">
        <v>5592</v>
      </c>
      <c r="I1324" t="s">
        <v>31</v>
      </c>
      <c r="K1324" t="s">
        <v>31</v>
      </c>
      <c r="L1324" t="s">
        <v>8357</v>
      </c>
      <c r="M1324" t="s">
        <v>8357</v>
      </c>
      <c r="O1324" t="s">
        <v>17</v>
      </c>
      <c r="P1324" t="s">
        <v>5594</v>
      </c>
      <c r="Q1324" t="s">
        <v>5595</v>
      </c>
      <c r="R1324" t="s">
        <v>6279</v>
      </c>
      <c r="S1324" t="s">
        <v>6280</v>
      </c>
      <c r="T1324" t="s">
        <v>96</v>
      </c>
    </row>
    <row r="1325" spans="1:20" ht="15" customHeight="1" x14ac:dyDescent="0.4">
      <c r="A1325" t="s">
        <v>5598</v>
      </c>
      <c r="B1325" t="s">
        <v>5598</v>
      </c>
      <c r="C1325" t="s">
        <v>151</v>
      </c>
      <c r="D1325" t="s">
        <v>81</v>
      </c>
      <c r="E1325" t="s">
        <v>5123</v>
      </c>
      <c r="F1325" t="s">
        <v>8358</v>
      </c>
      <c r="G1325" t="s">
        <v>8104</v>
      </c>
      <c r="H1325" t="s">
        <v>5597</v>
      </c>
      <c r="I1325" t="s">
        <v>31</v>
      </c>
      <c r="K1325" t="s">
        <v>31</v>
      </c>
      <c r="L1325" t="s">
        <v>8358</v>
      </c>
      <c r="M1325" t="s">
        <v>8358</v>
      </c>
      <c r="O1325" t="s">
        <v>17</v>
      </c>
      <c r="P1325" t="s">
        <v>5599</v>
      </c>
      <c r="Q1325" t="s">
        <v>5600</v>
      </c>
      <c r="R1325" t="s">
        <v>6279</v>
      </c>
      <c r="S1325" t="s">
        <v>6280</v>
      </c>
      <c r="T1325" t="s">
        <v>96</v>
      </c>
    </row>
    <row r="1326" spans="1:20" ht="15" customHeight="1" x14ac:dyDescent="0.4">
      <c r="A1326" t="s">
        <v>5603</v>
      </c>
      <c r="B1326" t="s">
        <v>5603</v>
      </c>
      <c r="C1326" t="s">
        <v>151</v>
      </c>
      <c r="D1326" t="s">
        <v>81</v>
      </c>
      <c r="E1326" t="s">
        <v>5123</v>
      </c>
      <c r="F1326" t="s">
        <v>8359</v>
      </c>
      <c r="G1326" t="s">
        <v>8104</v>
      </c>
      <c r="H1326" t="s">
        <v>5602</v>
      </c>
      <c r="I1326" t="s">
        <v>31</v>
      </c>
      <c r="K1326" t="s">
        <v>31</v>
      </c>
      <c r="L1326" t="s">
        <v>8359</v>
      </c>
      <c r="M1326" t="s">
        <v>8359</v>
      </c>
      <c r="O1326" t="s">
        <v>17</v>
      </c>
      <c r="P1326" t="s">
        <v>5604</v>
      </c>
      <c r="Q1326" t="s">
        <v>5605</v>
      </c>
      <c r="R1326" t="s">
        <v>6279</v>
      </c>
      <c r="S1326" t="s">
        <v>6280</v>
      </c>
      <c r="T1326" t="s">
        <v>96</v>
      </c>
    </row>
    <row r="1327" spans="1:20" ht="15" customHeight="1" x14ac:dyDescent="0.4">
      <c r="A1327" t="s">
        <v>5608</v>
      </c>
      <c r="B1327" t="s">
        <v>5608</v>
      </c>
      <c r="C1327" t="s">
        <v>151</v>
      </c>
      <c r="D1327" t="s">
        <v>81</v>
      </c>
      <c r="E1327" t="s">
        <v>5123</v>
      </c>
      <c r="F1327" t="s">
        <v>8360</v>
      </c>
      <c r="G1327" t="s">
        <v>8104</v>
      </c>
      <c r="H1327" t="s">
        <v>5607</v>
      </c>
      <c r="I1327" t="s">
        <v>31</v>
      </c>
      <c r="K1327" t="s">
        <v>31</v>
      </c>
      <c r="L1327" t="s">
        <v>8360</v>
      </c>
      <c r="M1327" t="s">
        <v>8360</v>
      </c>
      <c r="O1327" t="s">
        <v>17</v>
      </c>
      <c r="P1327" t="s">
        <v>5609</v>
      </c>
      <c r="Q1327" t="s">
        <v>5610</v>
      </c>
      <c r="R1327" t="s">
        <v>6279</v>
      </c>
      <c r="S1327" t="s">
        <v>6280</v>
      </c>
      <c r="T1327" t="s">
        <v>96</v>
      </c>
    </row>
    <row r="1328" spans="1:20" ht="15" customHeight="1" x14ac:dyDescent="0.4">
      <c r="A1328" t="s">
        <v>5613</v>
      </c>
      <c r="B1328" t="s">
        <v>5613</v>
      </c>
      <c r="C1328" t="s">
        <v>151</v>
      </c>
      <c r="D1328" t="s">
        <v>81</v>
      </c>
      <c r="E1328" t="s">
        <v>5123</v>
      </c>
      <c r="F1328" t="s">
        <v>8361</v>
      </c>
      <c r="G1328" t="s">
        <v>8104</v>
      </c>
      <c r="H1328" t="s">
        <v>5612</v>
      </c>
      <c r="I1328" t="s">
        <v>31</v>
      </c>
      <c r="K1328" t="s">
        <v>31</v>
      </c>
      <c r="L1328" t="s">
        <v>8361</v>
      </c>
      <c r="M1328" t="s">
        <v>8361</v>
      </c>
      <c r="O1328" t="s">
        <v>17</v>
      </c>
      <c r="P1328" t="s">
        <v>5614</v>
      </c>
      <c r="Q1328" t="s">
        <v>5615</v>
      </c>
      <c r="R1328" t="s">
        <v>6279</v>
      </c>
      <c r="S1328" t="s">
        <v>6280</v>
      </c>
      <c r="T1328" t="s">
        <v>96</v>
      </c>
    </row>
    <row r="1329" spans="1:20" ht="15" customHeight="1" x14ac:dyDescent="0.4">
      <c r="A1329" t="s">
        <v>5618</v>
      </c>
      <c r="B1329" t="s">
        <v>5618</v>
      </c>
      <c r="C1329" t="s">
        <v>151</v>
      </c>
      <c r="D1329" t="s">
        <v>81</v>
      </c>
      <c r="E1329" t="s">
        <v>5123</v>
      </c>
      <c r="F1329" t="s">
        <v>8362</v>
      </c>
      <c r="G1329" t="s">
        <v>8104</v>
      </c>
      <c r="H1329" t="s">
        <v>5617</v>
      </c>
      <c r="I1329" t="s">
        <v>31</v>
      </c>
      <c r="K1329" t="s">
        <v>31</v>
      </c>
      <c r="L1329" t="s">
        <v>8362</v>
      </c>
      <c r="M1329" t="s">
        <v>8362</v>
      </c>
      <c r="O1329" t="s">
        <v>17</v>
      </c>
      <c r="P1329" t="s">
        <v>5619</v>
      </c>
      <c r="Q1329" t="s">
        <v>5620</v>
      </c>
      <c r="R1329" t="s">
        <v>6279</v>
      </c>
      <c r="S1329" t="s">
        <v>6280</v>
      </c>
      <c r="T1329" t="s">
        <v>96</v>
      </c>
    </row>
    <row r="1330" spans="1:20" ht="15" customHeight="1" x14ac:dyDescent="0.4">
      <c r="A1330" t="s">
        <v>5623</v>
      </c>
      <c r="B1330" t="s">
        <v>5623</v>
      </c>
      <c r="C1330" t="s">
        <v>151</v>
      </c>
      <c r="D1330" t="s">
        <v>81</v>
      </c>
      <c r="E1330" t="s">
        <v>5123</v>
      </c>
      <c r="F1330" t="s">
        <v>8363</v>
      </c>
      <c r="G1330" t="s">
        <v>8104</v>
      </c>
      <c r="H1330" t="s">
        <v>5622</v>
      </c>
      <c r="I1330" t="s">
        <v>31</v>
      </c>
      <c r="K1330" t="s">
        <v>31</v>
      </c>
      <c r="L1330" t="s">
        <v>8363</v>
      </c>
      <c r="M1330" t="s">
        <v>8363</v>
      </c>
      <c r="O1330" t="s">
        <v>17</v>
      </c>
      <c r="P1330" t="s">
        <v>5624</v>
      </c>
      <c r="Q1330" t="s">
        <v>5625</v>
      </c>
      <c r="R1330" t="s">
        <v>6279</v>
      </c>
      <c r="S1330" t="s">
        <v>6280</v>
      </c>
      <c r="T1330" t="s">
        <v>96</v>
      </c>
    </row>
    <row r="1331" spans="1:20" ht="15" customHeight="1" x14ac:dyDescent="0.4">
      <c r="A1331" t="s">
        <v>5628</v>
      </c>
      <c r="B1331" t="s">
        <v>5628</v>
      </c>
      <c r="C1331" t="s">
        <v>151</v>
      </c>
      <c r="D1331" t="s">
        <v>81</v>
      </c>
      <c r="E1331" t="s">
        <v>5123</v>
      </c>
      <c r="F1331" t="s">
        <v>8364</v>
      </c>
      <c r="G1331" t="s">
        <v>8104</v>
      </c>
      <c r="H1331" t="s">
        <v>5627</v>
      </c>
      <c r="I1331" t="s">
        <v>31</v>
      </c>
      <c r="K1331" t="s">
        <v>31</v>
      </c>
      <c r="L1331" t="s">
        <v>8364</v>
      </c>
      <c r="M1331" t="s">
        <v>8364</v>
      </c>
      <c r="O1331" t="s">
        <v>17</v>
      </c>
      <c r="P1331" t="s">
        <v>5629</v>
      </c>
      <c r="Q1331" t="s">
        <v>5630</v>
      </c>
      <c r="R1331" t="s">
        <v>6279</v>
      </c>
      <c r="S1331" t="s">
        <v>6280</v>
      </c>
      <c r="T1331" t="s">
        <v>96</v>
      </c>
    </row>
    <row r="1332" spans="1:20" ht="15" customHeight="1" x14ac:dyDescent="0.4">
      <c r="A1332" t="s">
        <v>5633</v>
      </c>
      <c r="B1332" t="s">
        <v>5633</v>
      </c>
      <c r="C1332" t="s">
        <v>151</v>
      </c>
      <c r="D1332" t="s">
        <v>81</v>
      </c>
      <c r="E1332" t="s">
        <v>5123</v>
      </c>
      <c r="F1332" t="s">
        <v>8365</v>
      </c>
      <c r="G1332" t="s">
        <v>8104</v>
      </c>
      <c r="H1332" t="s">
        <v>5632</v>
      </c>
      <c r="I1332" t="s">
        <v>31</v>
      </c>
      <c r="K1332" t="s">
        <v>31</v>
      </c>
      <c r="L1332" t="s">
        <v>8365</v>
      </c>
      <c r="M1332" t="s">
        <v>8365</v>
      </c>
      <c r="O1332" t="s">
        <v>17</v>
      </c>
      <c r="P1332" t="s">
        <v>5634</v>
      </c>
      <c r="Q1332" t="s">
        <v>5635</v>
      </c>
      <c r="R1332" t="s">
        <v>6279</v>
      </c>
      <c r="S1332" t="s">
        <v>6280</v>
      </c>
      <c r="T1332" t="s">
        <v>96</v>
      </c>
    </row>
    <row r="1333" spans="1:20" ht="15" customHeight="1" x14ac:dyDescent="0.4">
      <c r="A1333" t="s">
        <v>5638</v>
      </c>
      <c r="B1333" t="s">
        <v>5638</v>
      </c>
      <c r="C1333" t="s">
        <v>151</v>
      </c>
      <c r="D1333" t="s">
        <v>81</v>
      </c>
      <c r="E1333" t="s">
        <v>5123</v>
      </c>
      <c r="F1333" t="s">
        <v>8366</v>
      </c>
      <c r="G1333" t="s">
        <v>8104</v>
      </c>
      <c r="H1333" t="s">
        <v>5637</v>
      </c>
      <c r="I1333" t="s">
        <v>31</v>
      </c>
      <c r="K1333" t="s">
        <v>31</v>
      </c>
      <c r="L1333" t="s">
        <v>8366</v>
      </c>
      <c r="M1333" t="s">
        <v>8366</v>
      </c>
      <c r="O1333" t="s">
        <v>17</v>
      </c>
      <c r="P1333" t="s">
        <v>5639</v>
      </c>
      <c r="Q1333" t="s">
        <v>5640</v>
      </c>
      <c r="R1333" t="s">
        <v>6279</v>
      </c>
      <c r="S1333" t="s">
        <v>6280</v>
      </c>
      <c r="T1333" t="s">
        <v>96</v>
      </c>
    </row>
    <row r="1334" spans="1:20" ht="15" customHeight="1" x14ac:dyDescent="0.4">
      <c r="A1334" t="s">
        <v>5643</v>
      </c>
      <c r="B1334" t="s">
        <v>5643</v>
      </c>
      <c r="C1334" t="s">
        <v>151</v>
      </c>
      <c r="D1334" t="s">
        <v>81</v>
      </c>
      <c r="E1334" t="s">
        <v>5123</v>
      </c>
      <c r="F1334" t="s">
        <v>8367</v>
      </c>
      <c r="G1334" t="s">
        <v>8104</v>
      </c>
      <c r="H1334" t="s">
        <v>5642</v>
      </c>
      <c r="I1334" t="s">
        <v>31</v>
      </c>
      <c r="K1334" t="s">
        <v>31</v>
      </c>
      <c r="L1334" t="s">
        <v>8367</v>
      </c>
      <c r="M1334" t="s">
        <v>8367</v>
      </c>
      <c r="O1334" t="s">
        <v>17</v>
      </c>
      <c r="P1334" t="s">
        <v>5644</v>
      </c>
      <c r="Q1334" t="s">
        <v>5645</v>
      </c>
      <c r="R1334" t="s">
        <v>6279</v>
      </c>
      <c r="S1334" t="s">
        <v>6280</v>
      </c>
      <c r="T1334" t="s">
        <v>96</v>
      </c>
    </row>
    <row r="1335" spans="1:20" ht="15" customHeight="1" x14ac:dyDescent="0.4">
      <c r="A1335" t="s">
        <v>5648</v>
      </c>
      <c r="B1335" t="s">
        <v>5648</v>
      </c>
      <c r="C1335" t="s">
        <v>151</v>
      </c>
      <c r="D1335" t="s">
        <v>81</v>
      </c>
      <c r="E1335" t="s">
        <v>5123</v>
      </c>
      <c r="F1335" t="s">
        <v>8368</v>
      </c>
      <c r="G1335" t="s">
        <v>8104</v>
      </c>
      <c r="H1335" t="s">
        <v>5647</v>
      </c>
      <c r="I1335" t="s">
        <v>31</v>
      </c>
      <c r="K1335" t="s">
        <v>31</v>
      </c>
      <c r="L1335" t="s">
        <v>8368</v>
      </c>
      <c r="M1335" t="s">
        <v>8368</v>
      </c>
      <c r="O1335" t="s">
        <v>17</v>
      </c>
      <c r="P1335" t="s">
        <v>5649</v>
      </c>
      <c r="Q1335" t="s">
        <v>5650</v>
      </c>
      <c r="R1335" t="s">
        <v>6279</v>
      </c>
      <c r="S1335" t="s">
        <v>6280</v>
      </c>
      <c r="T1335" t="s">
        <v>96</v>
      </c>
    </row>
    <row r="1336" spans="1:20" ht="15" customHeight="1" x14ac:dyDescent="0.4">
      <c r="A1336" t="s">
        <v>5653</v>
      </c>
      <c r="B1336" t="s">
        <v>5653</v>
      </c>
      <c r="C1336" t="s">
        <v>151</v>
      </c>
      <c r="D1336" t="s">
        <v>81</v>
      </c>
      <c r="E1336" t="s">
        <v>5123</v>
      </c>
      <c r="F1336" t="s">
        <v>8369</v>
      </c>
      <c r="G1336" t="s">
        <v>8104</v>
      </c>
      <c r="H1336" t="s">
        <v>5652</v>
      </c>
      <c r="I1336" t="s">
        <v>31</v>
      </c>
      <c r="K1336" t="s">
        <v>31</v>
      </c>
      <c r="L1336" t="s">
        <v>8369</v>
      </c>
      <c r="M1336" t="s">
        <v>8369</v>
      </c>
      <c r="O1336" t="s">
        <v>17</v>
      </c>
      <c r="P1336" t="s">
        <v>5654</v>
      </c>
      <c r="Q1336" t="s">
        <v>5655</v>
      </c>
      <c r="R1336" t="s">
        <v>6279</v>
      </c>
      <c r="S1336" t="s">
        <v>6280</v>
      </c>
      <c r="T1336" t="s">
        <v>96</v>
      </c>
    </row>
    <row r="1337" spans="1:20" ht="15" customHeight="1" x14ac:dyDescent="0.4">
      <c r="A1337" t="s">
        <v>5658</v>
      </c>
      <c r="B1337" t="s">
        <v>5658</v>
      </c>
      <c r="C1337" t="s">
        <v>151</v>
      </c>
      <c r="D1337" t="s">
        <v>81</v>
      </c>
      <c r="E1337" t="s">
        <v>5123</v>
      </c>
      <c r="F1337" t="s">
        <v>8370</v>
      </c>
      <c r="G1337" t="s">
        <v>8104</v>
      </c>
      <c r="H1337" t="s">
        <v>5657</v>
      </c>
      <c r="I1337" t="s">
        <v>31</v>
      </c>
      <c r="K1337" t="s">
        <v>31</v>
      </c>
      <c r="L1337" t="s">
        <v>8370</v>
      </c>
      <c r="M1337" t="s">
        <v>8370</v>
      </c>
      <c r="O1337" t="s">
        <v>17</v>
      </c>
      <c r="P1337" t="s">
        <v>5659</v>
      </c>
      <c r="Q1337" t="s">
        <v>5660</v>
      </c>
      <c r="R1337" t="s">
        <v>6279</v>
      </c>
      <c r="S1337" t="s">
        <v>6280</v>
      </c>
      <c r="T1337" t="s">
        <v>96</v>
      </c>
    </row>
    <row r="1338" spans="1:20" ht="15" customHeight="1" x14ac:dyDescent="0.4">
      <c r="A1338" t="s">
        <v>5663</v>
      </c>
      <c r="B1338" t="s">
        <v>5663</v>
      </c>
      <c r="C1338" t="s">
        <v>151</v>
      </c>
      <c r="D1338" t="s">
        <v>81</v>
      </c>
      <c r="E1338" t="s">
        <v>5123</v>
      </c>
      <c r="F1338" t="s">
        <v>8371</v>
      </c>
      <c r="G1338" t="s">
        <v>8104</v>
      </c>
      <c r="H1338" t="s">
        <v>5662</v>
      </c>
      <c r="I1338" t="s">
        <v>31</v>
      </c>
      <c r="K1338" t="s">
        <v>31</v>
      </c>
      <c r="L1338" t="s">
        <v>8371</v>
      </c>
      <c r="M1338" t="s">
        <v>8371</v>
      </c>
      <c r="O1338" t="s">
        <v>17</v>
      </c>
      <c r="P1338" t="s">
        <v>5664</v>
      </c>
      <c r="Q1338" t="s">
        <v>5665</v>
      </c>
      <c r="R1338" t="s">
        <v>6279</v>
      </c>
      <c r="S1338" t="s">
        <v>6280</v>
      </c>
      <c r="T1338" t="s">
        <v>96</v>
      </c>
    </row>
    <row r="1339" spans="1:20" ht="15" customHeight="1" x14ac:dyDescent="0.4">
      <c r="A1339" t="s">
        <v>5668</v>
      </c>
      <c r="B1339" t="s">
        <v>5668</v>
      </c>
      <c r="C1339" t="s">
        <v>151</v>
      </c>
      <c r="D1339" t="s">
        <v>81</v>
      </c>
      <c r="E1339" t="s">
        <v>5123</v>
      </c>
      <c r="F1339" t="s">
        <v>8372</v>
      </c>
      <c r="G1339" t="s">
        <v>8104</v>
      </c>
      <c r="H1339" t="s">
        <v>5667</v>
      </c>
      <c r="I1339" t="s">
        <v>31</v>
      </c>
      <c r="K1339" t="s">
        <v>31</v>
      </c>
      <c r="L1339" t="s">
        <v>8372</v>
      </c>
      <c r="M1339" t="s">
        <v>8372</v>
      </c>
      <c r="O1339" t="s">
        <v>17</v>
      </c>
      <c r="P1339" t="s">
        <v>5669</v>
      </c>
      <c r="Q1339" t="s">
        <v>5670</v>
      </c>
      <c r="R1339" t="s">
        <v>6279</v>
      </c>
      <c r="S1339" t="s">
        <v>6280</v>
      </c>
      <c r="T1339" t="s">
        <v>96</v>
      </c>
    </row>
    <row r="1340" spans="1:20" ht="15" customHeight="1" x14ac:dyDescent="0.4">
      <c r="A1340" t="s">
        <v>5674</v>
      </c>
      <c r="B1340" t="s">
        <v>5674</v>
      </c>
      <c r="C1340" t="s">
        <v>151</v>
      </c>
      <c r="D1340" t="s">
        <v>81</v>
      </c>
      <c r="E1340" t="s">
        <v>5123</v>
      </c>
      <c r="F1340" t="s">
        <v>8373</v>
      </c>
      <c r="G1340" t="s">
        <v>8104</v>
      </c>
      <c r="H1340" t="s">
        <v>5672</v>
      </c>
      <c r="I1340" t="s">
        <v>31</v>
      </c>
      <c r="L1340" t="s">
        <v>8373</v>
      </c>
      <c r="M1340" t="s">
        <v>8373</v>
      </c>
      <c r="O1340" t="s">
        <v>17</v>
      </c>
      <c r="P1340" t="s">
        <v>5675</v>
      </c>
      <c r="Q1340" t="s">
        <v>5676</v>
      </c>
      <c r="R1340" t="s">
        <v>6279</v>
      </c>
      <c r="S1340" t="s">
        <v>6280</v>
      </c>
      <c r="T1340" t="s">
        <v>119</v>
      </c>
    </row>
    <row r="1341" spans="1:20" ht="15" customHeight="1" x14ac:dyDescent="0.4">
      <c r="A1341" t="s">
        <v>5679</v>
      </c>
      <c r="B1341" t="s">
        <v>5679</v>
      </c>
      <c r="C1341" t="s">
        <v>151</v>
      </c>
      <c r="D1341" t="s">
        <v>81</v>
      </c>
      <c r="E1341" t="s">
        <v>5123</v>
      </c>
      <c r="F1341" t="s">
        <v>8374</v>
      </c>
      <c r="G1341" t="s">
        <v>8104</v>
      </c>
      <c r="H1341" t="s">
        <v>5678</v>
      </c>
      <c r="I1341" t="s">
        <v>31</v>
      </c>
      <c r="L1341" t="s">
        <v>8374</v>
      </c>
      <c r="M1341" t="s">
        <v>8374</v>
      </c>
      <c r="O1341" t="s">
        <v>17</v>
      </c>
      <c r="P1341" t="s">
        <v>5680</v>
      </c>
      <c r="Q1341" t="s">
        <v>5681</v>
      </c>
      <c r="R1341" t="s">
        <v>6279</v>
      </c>
      <c r="S1341" t="s">
        <v>6280</v>
      </c>
      <c r="T1341" t="s">
        <v>119</v>
      </c>
    </row>
    <row r="1342" spans="1:20" ht="15" customHeight="1" x14ac:dyDescent="0.4">
      <c r="A1342" t="s">
        <v>5684</v>
      </c>
      <c r="B1342" t="s">
        <v>5684</v>
      </c>
      <c r="C1342" t="s">
        <v>151</v>
      </c>
      <c r="D1342" t="s">
        <v>81</v>
      </c>
      <c r="E1342" t="s">
        <v>5123</v>
      </c>
      <c r="F1342" t="s">
        <v>8375</v>
      </c>
      <c r="G1342" t="s">
        <v>8104</v>
      </c>
      <c r="H1342" t="s">
        <v>5683</v>
      </c>
      <c r="I1342" t="s">
        <v>31</v>
      </c>
      <c r="L1342" t="s">
        <v>8375</v>
      </c>
      <c r="M1342" t="s">
        <v>8375</v>
      </c>
      <c r="O1342" t="s">
        <v>17</v>
      </c>
      <c r="P1342" t="s">
        <v>5685</v>
      </c>
      <c r="Q1342" t="s">
        <v>5686</v>
      </c>
      <c r="R1342" t="s">
        <v>6279</v>
      </c>
      <c r="S1342" t="s">
        <v>6280</v>
      </c>
      <c r="T1342" t="s">
        <v>119</v>
      </c>
    </row>
    <row r="1343" spans="1:20" ht="15" customHeight="1" x14ac:dyDescent="0.4">
      <c r="A1343" t="s">
        <v>5689</v>
      </c>
      <c r="B1343" t="s">
        <v>5689</v>
      </c>
      <c r="C1343" t="s">
        <v>151</v>
      </c>
      <c r="D1343" t="s">
        <v>81</v>
      </c>
      <c r="E1343" t="s">
        <v>5123</v>
      </c>
      <c r="F1343" t="s">
        <v>8376</v>
      </c>
      <c r="G1343" t="s">
        <v>8104</v>
      </c>
      <c r="H1343" t="s">
        <v>5688</v>
      </c>
      <c r="I1343" t="s">
        <v>31</v>
      </c>
      <c r="L1343" t="s">
        <v>8376</v>
      </c>
      <c r="M1343" t="s">
        <v>8376</v>
      </c>
      <c r="O1343" t="s">
        <v>17</v>
      </c>
      <c r="P1343" t="s">
        <v>5690</v>
      </c>
      <c r="Q1343" t="s">
        <v>5691</v>
      </c>
      <c r="R1343" t="s">
        <v>6279</v>
      </c>
      <c r="S1343" t="s">
        <v>6280</v>
      </c>
      <c r="T1343" t="s">
        <v>119</v>
      </c>
    </row>
    <row r="1344" spans="1:20" ht="15" customHeight="1" x14ac:dyDescent="0.4">
      <c r="A1344" t="s">
        <v>5694</v>
      </c>
      <c r="B1344" t="s">
        <v>5694</v>
      </c>
      <c r="C1344" t="s">
        <v>151</v>
      </c>
      <c r="D1344" t="s">
        <v>81</v>
      </c>
      <c r="E1344" t="s">
        <v>5123</v>
      </c>
      <c r="F1344" t="s">
        <v>8377</v>
      </c>
      <c r="G1344" t="s">
        <v>8104</v>
      </c>
      <c r="H1344" t="s">
        <v>5693</v>
      </c>
      <c r="I1344" t="s">
        <v>31</v>
      </c>
      <c r="L1344" t="s">
        <v>8377</v>
      </c>
      <c r="M1344" t="s">
        <v>8377</v>
      </c>
      <c r="O1344" t="s">
        <v>17</v>
      </c>
      <c r="P1344" t="s">
        <v>5695</v>
      </c>
      <c r="Q1344" t="s">
        <v>5696</v>
      </c>
      <c r="R1344" t="s">
        <v>6279</v>
      </c>
      <c r="S1344" t="s">
        <v>6280</v>
      </c>
      <c r="T1344" t="s">
        <v>119</v>
      </c>
    </row>
    <row r="1345" spans="1:20" ht="15" customHeight="1" x14ac:dyDescent="0.4">
      <c r="A1345" t="s">
        <v>5699</v>
      </c>
      <c r="B1345" t="s">
        <v>5699</v>
      </c>
      <c r="C1345" t="s">
        <v>151</v>
      </c>
      <c r="D1345" t="s">
        <v>81</v>
      </c>
      <c r="E1345" t="s">
        <v>5123</v>
      </c>
      <c r="F1345" t="s">
        <v>8378</v>
      </c>
      <c r="G1345" t="s">
        <v>8104</v>
      </c>
      <c r="H1345" t="s">
        <v>5698</v>
      </c>
      <c r="I1345" t="s">
        <v>31</v>
      </c>
      <c r="L1345" t="s">
        <v>8378</v>
      </c>
      <c r="M1345" t="s">
        <v>8378</v>
      </c>
      <c r="O1345" t="s">
        <v>17</v>
      </c>
      <c r="P1345" t="s">
        <v>5700</v>
      </c>
      <c r="Q1345" t="s">
        <v>5701</v>
      </c>
      <c r="R1345" t="s">
        <v>6279</v>
      </c>
      <c r="S1345" t="s">
        <v>6280</v>
      </c>
      <c r="T1345" t="s">
        <v>119</v>
      </c>
    </row>
    <row r="1346" spans="1:20" ht="15" customHeight="1" x14ac:dyDescent="0.4">
      <c r="A1346" t="s">
        <v>5704</v>
      </c>
      <c r="B1346" t="s">
        <v>5704</v>
      </c>
      <c r="C1346" t="s">
        <v>151</v>
      </c>
      <c r="D1346" t="s">
        <v>81</v>
      </c>
      <c r="E1346" t="s">
        <v>5123</v>
      </c>
      <c r="F1346" t="s">
        <v>8379</v>
      </c>
      <c r="G1346" t="s">
        <v>8104</v>
      </c>
      <c r="H1346" t="s">
        <v>5703</v>
      </c>
      <c r="I1346" t="s">
        <v>31</v>
      </c>
      <c r="L1346" t="s">
        <v>8379</v>
      </c>
      <c r="M1346" t="s">
        <v>8379</v>
      </c>
      <c r="O1346" t="s">
        <v>17</v>
      </c>
      <c r="P1346" t="s">
        <v>5705</v>
      </c>
      <c r="Q1346" t="s">
        <v>5706</v>
      </c>
      <c r="R1346" t="s">
        <v>6279</v>
      </c>
      <c r="S1346" t="s">
        <v>6280</v>
      </c>
      <c r="T1346" t="s">
        <v>119</v>
      </c>
    </row>
    <row r="1347" spans="1:20" ht="15" customHeight="1" x14ac:dyDescent="0.4">
      <c r="A1347" t="s">
        <v>5709</v>
      </c>
      <c r="B1347" t="s">
        <v>5709</v>
      </c>
      <c r="C1347" t="s">
        <v>151</v>
      </c>
      <c r="D1347" t="s">
        <v>81</v>
      </c>
      <c r="E1347" t="s">
        <v>5123</v>
      </c>
      <c r="F1347" t="s">
        <v>8380</v>
      </c>
      <c r="G1347" t="s">
        <v>8104</v>
      </c>
      <c r="H1347" t="s">
        <v>5708</v>
      </c>
      <c r="I1347" t="s">
        <v>31</v>
      </c>
      <c r="L1347" t="s">
        <v>8380</v>
      </c>
      <c r="M1347" t="s">
        <v>8380</v>
      </c>
      <c r="O1347" t="s">
        <v>17</v>
      </c>
      <c r="P1347" t="s">
        <v>5710</v>
      </c>
      <c r="Q1347" t="s">
        <v>5711</v>
      </c>
      <c r="R1347" t="s">
        <v>6279</v>
      </c>
      <c r="S1347" t="s">
        <v>6280</v>
      </c>
      <c r="T1347" t="s">
        <v>119</v>
      </c>
    </row>
    <row r="1348" spans="1:20" ht="15" customHeight="1" x14ac:dyDescent="0.4">
      <c r="A1348" t="s">
        <v>5714</v>
      </c>
      <c r="B1348" t="s">
        <v>5714</v>
      </c>
      <c r="C1348" t="s">
        <v>151</v>
      </c>
      <c r="D1348" t="s">
        <v>81</v>
      </c>
      <c r="E1348" t="s">
        <v>5123</v>
      </c>
      <c r="F1348" t="s">
        <v>8381</v>
      </c>
      <c r="G1348" t="s">
        <v>8104</v>
      </c>
      <c r="H1348" t="s">
        <v>5713</v>
      </c>
      <c r="I1348" t="s">
        <v>31</v>
      </c>
      <c r="L1348" t="s">
        <v>8381</v>
      </c>
      <c r="M1348" t="s">
        <v>8381</v>
      </c>
      <c r="O1348" t="s">
        <v>17</v>
      </c>
      <c r="P1348" t="s">
        <v>5715</v>
      </c>
      <c r="Q1348" t="s">
        <v>5716</v>
      </c>
      <c r="R1348" t="s">
        <v>6279</v>
      </c>
      <c r="S1348" t="s">
        <v>6280</v>
      </c>
      <c r="T1348" t="s">
        <v>119</v>
      </c>
    </row>
    <row r="1349" spans="1:20" ht="15" customHeight="1" x14ac:dyDescent="0.4">
      <c r="A1349" t="s">
        <v>5719</v>
      </c>
      <c r="B1349" t="s">
        <v>5719</v>
      </c>
      <c r="C1349" t="s">
        <v>151</v>
      </c>
      <c r="D1349" t="s">
        <v>81</v>
      </c>
      <c r="E1349" t="s">
        <v>5123</v>
      </c>
      <c r="F1349" t="s">
        <v>8382</v>
      </c>
      <c r="G1349" t="s">
        <v>8104</v>
      </c>
      <c r="H1349" t="s">
        <v>5718</v>
      </c>
      <c r="I1349" t="s">
        <v>31</v>
      </c>
      <c r="L1349" t="s">
        <v>8382</v>
      </c>
      <c r="M1349" t="s">
        <v>8382</v>
      </c>
      <c r="O1349" t="s">
        <v>17</v>
      </c>
      <c r="P1349" t="s">
        <v>5720</v>
      </c>
      <c r="Q1349" t="s">
        <v>5721</v>
      </c>
      <c r="R1349" t="s">
        <v>6279</v>
      </c>
      <c r="S1349" t="s">
        <v>6280</v>
      </c>
      <c r="T1349" t="s">
        <v>119</v>
      </c>
    </row>
    <row r="1350" spans="1:20" ht="15" customHeight="1" x14ac:dyDescent="0.4">
      <c r="A1350" t="s">
        <v>5724</v>
      </c>
      <c r="B1350" t="s">
        <v>5724</v>
      </c>
      <c r="C1350" t="s">
        <v>151</v>
      </c>
      <c r="D1350" t="s">
        <v>81</v>
      </c>
      <c r="E1350" t="s">
        <v>5123</v>
      </c>
      <c r="F1350" t="s">
        <v>8383</v>
      </c>
      <c r="G1350" t="s">
        <v>8104</v>
      </c>
      <c r="H1350" t="s">
        <v>5723</v>
      </c>
      <c r="I1350" t="s">
        <v>31</v>
      </c>
      <c r="L1350" t="s">
        <v>8383</v>
      </c>
      <c r="M1350" t="s">
        <v>8383</v>
      </c>
      <c r="O1350" t="s">
        <v>17</v>
      </c>
      <c r="P1350" t="s">
        <v>5725</v>
      </c>
      <c r="Q1350" t="s">
        <v>5726</v>
      </c>
      <c r="R1350" t="s">
        <v>6279</v>
      </c>
      <c r="S1350" t="s">
        <v>6280</v>
      </c>
      <c r="T1350" t="s">
        <v>119</v>
      </c>
    </row>
    <row r="1351" spans="1:20" ht="15" customHeight="1" x14ac:dyDescent="0.4">
      <c r="A1351" t="s">
        <v>5729</v>
      </c>
      <c r="B1351" t="s">
        <v>5729</v>
      </c>
      <c r="C1351" t="s">
        <v>151</v>
      </c>
      <c r="D1351" t="s">
        <v>81</v>
      </c>
      <c r="E1351" t="s">
        <v>5123</v>
      </c>
      <c r="F1351" t="s">
        <v>8384</v>
      </c>
      <c r="G1351" t="s">
        <v>8104</v>
      </c>
      <c r="H1351" t="s">
        <v>5728</v>
      </c>
      <c r="I1351" t="s">
        <v>31</v>
      </c>
      <c r="L1351" t="s">
        <v>8384</v>
      </c>
      <c r="M1351" t="s">
        <v>8384</v>
      </c>
      <c r="O1351" t="s">
        <v>17</v>
      </c>
      <c r="P1351" t="s">
        <v>5730</v>
      </c>
      <c r="Q1351" t="s">
        <v>5731</v>
      </c>
      <c r="R1351" t="s">
        <v>6279</v>
      </c>
      <c r="S1351" t="s">
        <v>6280</v>
      </c>
      <c r="T1351" t="s">
        <v>119</v>
      </c>
    </row>
    <row r="1352" spans="1:20" ht="15" customHeight="1" x14ac:dyDescent="0.4">
      <c r="A1352" t="s">
        <v>5734</v>
      </c>
      <c r="B1352" t="s">
        <v>5734</v>
      </c>
      <c r="C1352" t="s">
        <v>151</v>
      </c>
      <c r="D1352" t="s">
        <v>81</v>
      </c>
      <c r="E1352" t="s">
        <v>5123</v>
      </c>
      <c r="F1352" t="s">
        <v>8385</v>
      </c>
      <c r="G1352" t="s">
        <v>8104</v>
      </c>
      <c r="H1352" t="s">
        <v>5733</v>
      </c>
      <c r="I1352" t="s">
        <v>31</v>
      </c>
      <c r="L1352" t="s">
        <v>8385</v>
      </c>
      <c r="M1352" t="s">
        <v>8385</v>
      </c>
      <c r="O1352" t="s">
        <v>17</v>
      </c>
      <c r="P1352" t="s">
        <v>5735</v>
      </c>
      <c r="Q1352" t="s">
        <v>5736</v>
      </c>
      <c r="R1352" t="s">
        <v>6279</v>
      </c>
      <c r="S1352" t="s">
        <v>6280</v>
      </c>
      <c r="T1352" t="s">
        <v>119</v>
      </c>
    </row>
    <row r="1353" spans="1:20" ht="15" customHeight="1" x14ac:dyDescent="0.4">
      <c r="A1353" t="s">
        <v>5739</v>
      </c>
      <c r="B1353" t="s">
        <v>5739</v>
      </c>
      <c r="C1353" t="s">
        <v>151</v>
      </c>
      <c r="D1353" t="s">
        <v>81</v>
      </c>
      <c r="E1353" t="s">
        <v>5123</v>
      </c>
      <c r="F1353" t="s">
        <v>8386</v>
      </c>
      <c r="G1353" t="s">
        <v>8104</v>
      </c>
      <c r="H1353" t="s">
        <v>5738</v>
      </c>
      <c r="I1353" t="s">
        <v>31</v>
      </c>
      <c r="L1353" t="s">
        <v>8386</v>
      </c>
      <c r="M1353" t="s">
        <v>8386</v>
      </c>
      <c r="O1353" t="s">
        <v>17</v>
      </c>
      <c r="P1353" t="s">
        <v>5740</v>
      </c>
      <c r="Q1353" t="s">
        <v>5741</v>
      </c>
      <c r="R1353" t="s">
        <v>6279</v>
      </c>
      <c r="S1353" t="s">
        <v>6280</v>
      </c>
      <c r="T1353" t="s">
        <v>119</v>
      </c>
    </row>
    <row r="1354" spans="1:20" ht="15" customHeight="1" x14ac:dyDescent="0.4">
      <c r="A1354" t="s">
        <v>5744</v>
      </c>
      <c r="B1354" t="s">
        <v>5744</v>
      </c>
      <c r="C1354" t="s">
        <v>151</v>
      </c>
      <c r="D1354" t="s">
        <v>81</v>
      </c>
      <c r="E1354" t="s">
        <v>5123</v>
      </c>
      <c r="F1354" t="s">
        <v>8387</v>
      </c>
      <c r="G1354" t="s">
        <v>8104</v>
      </c>
      <c r="H1354" t="s">
        <v>5743</v>
      </c>
      <c r="I1354" t="s">
        <v>31</v>
      </c>
      <c r="L1354" t="s">
        <v>8387</v>
      </c>
      <c r="M1354" t="s">
        <v>8387</v>
      </c>
      <c r="O1354" t="s">
        <v>17</v>
      </c>
      <c r="P1354" t="s">
        <v>5745</v>
      </c>
      <c r="Q1354" t="s">
        <v>5746</v>
      </c>
      <c r="R1354" t="s">
        <v>6279</v>
      </c>
      <c r="S1354" t="s">
        <v>6280</v>
      </c>
      <c r="T1354" t="s">
        <v>119</v>
      </c>
    </row>
    <row r="1355" spans="1:20" ht="15" customHeight="1" x14ac:dyDescent="0.4">
      <c r="A1355" t="s">
        <v>5749</v>
      </c>
      <c r="B1355" t="s">
        <v>5749</v>
      </c>
      <c r="C1355" t="s">
        <v>151</v>
      </c>
      <c r="D1355" t="s">
        <v>81</v>
      </c>
      <c r="E1355" t="s">
        <v>5123</v>
      </c>
      <c r="F1355" t="s">
        <v>8388</v>
      </c>
      <c r="G1355" t="s">
        <v>8104</v>
      </c>
      <c r="H1355" t="s">
        <v>5748</v>
      </c>
      <c r="I1355" t="s">
        <v>31</v>
      </c>
      <c r="L1355" t="s">
        <v>8388</v>
      </c>
      <c r="M1355" t="s">
        <v>8388</v>
      </c>
      <c r="O1355" t="s">
        <v>17</v>
      </c>
      <c r="P1355" t="s">
        <v>5750</v>
      </c>
      <c r="Q1355" t="s">
        <v>5751</v>
      </c>
      <c r="R1355" t="s">
        <v>6279</v>
      </c>
      <c r="S1355" t="s">
        <v>6280</v>
      </c>
      <c r="T1355" t="s">
        <v>119</v>
      </c>
    </row>
    <row r="1356" spans="1:20" ht="15" customHeight="1" x14ac:dyDescent="0.4">
      <c r="A1356" t="s">
        <v>5754</v>
      </c>
      <c r="B1356" t="s">
        <v>5754</v>
      </c>
      <c r="C1356" t="s">
        <v>151</v>
      </c>
      <c r="D1356" t="s">
        <v>81</v>
      </c>
      <c r="E1356" t="s">
        <v>5123</v>
      </c>
      <c r="F1356" t="s">
        <v>8389</v>
      </c>
      <c r="G1356" t="s">
        <v>8104</v>
      </c>
      <c r="H1356" t="s">
        <v>5753</v>
      </c>
      <c r="I1356" t="s">
        <v>31</v>
      </c>
      <c r="L1356" t="s">
        <v>8389</v>
      </c>
      <c r="M1356" t="s">
        <v>8389</v>
      </c>
      <c r="O1356" t="s">
        <v>17</v>
      </c>
      <c r="P1356" t="s">
        <v>5755</v>
      </c>
      <c r="Q1356" t="s">
        <v>5756</v>
      </c>
      <c r="R1356" t="s">
        <v>6279</v>
      </c>
      <c r="S1356" t="s">
        <v>6280</v>
      </c>
      <c r="T1356" t="s">
        <v>119</v>
      </c>
    </row>
    <row r="1357" spans="1:20" ht="15" customHeight="1" x14ac:dyDescent="0.4">
      <c r="A1357" t="s">
        <v>5759</v>
      </c>
      <c r="B1357" t="s">
        <v>5759</v>
      </c>
      <c r="C1357" t="s">
        <v>151</v>
      </c>
      <c r="D1357" t="s">
        <v>81</v>
      </c>
      <c r="E1357" t="s">
        <v>5123</v>
      </c>
      <c r="F1357" t="s">
        <v>8390</v>
      </c>
      <c r="G1357" t="s">
        <v>8104</v>
      </c>
      <c r="H1357" t="s">
        <v>5758</v>
      </c>
      <c r="I1357" t="s">
        <v>31</v>
      </c>
      <c r="L1357" t="s">
        <v>8390</v>
      </c>
      <c r="M1357" t="s">
        <v>8390</v>
      </c>
      <c r="O1357" t="s">
        <v>17</v>
      </c>
      <c r="P1357" t="s">
        <v>5760</v>
      </c>
      <c r="Q1357" t="s">
        <v>5761</v>
      </c>
      <c r="R1357" t="s">
        <v>6279</v>
      </c>
      <c r="S1357" t="s">
        <v>6280</v>
      </c>
      <c r="T1357" t="s">
        <v>119</v>
      </c>
    </row>
    <row r="1358" spans="1:20" ht="15" customHeight="1" x14ac:dyDescent="0.4">
      <c r="A1358" t="s">
        <v>5764</v>
      </c>
      <c r="B1358" t="s">
        <v>5764</v>
      </c>
      <c r="C1358" t="s">
        <v>151</v>
      </c>
      <c r="D1358" t="s">
        <v>81</v>
      </c>
      <c r="E1358" t="s">
        <v>5123</v>
      </c>
      <c r="F1358" t="s">
        <v>8391</v>
      </c>
      <c r="G1358" t="s">
        <v>8104</v>
      </c>
      <c r="H1358" t="s">
        <v>5763</v>
      </c>
      <c r="I1358" t="s">
        <v>31</v>
      </c>
      <c r="L1358" t="s">
        <v>8391</v>
      </c>
      <c r="M1358" t="s">
        <v>8391</v>
      </c>
      <c r="O1358" t="s">
        <v>17</v>
      </c>
      <c r="P1358" t="s">
        <v>5765</v>
      </c>
      <c r="Q1358" t="s">
        <v>5766</v>
      </c>
      <c r="R1358" t="s">
        <v>6279</v>
      </c>
      <c r="S1358" t="s">
        <v>6280</v>
      </c>
      <c r="T1358" t="s">
        <v>119</v>
      </c>
    </row>
    <row r="1359" spans="1:20" ht="15" customHeight="1" x14ac:dyDescent="0.4">
      <c r="A1359" t="s">
        <v>5769</v>
      </c>
      <c r="B1359" t="s">
        <v>5769</v>
      </c>
      <c r="C1359" t="s">
        <v>151</v>
      </c>
      <c r="D1359" t="s">
        <v>81</v>
      </c>
      <c r="E1359" t="s">
        <v>5123</v>
      </c>
      <c r="F1359" t="s">
        <v>8392</v>
      </c>
      <c r="G1359" t="s">
        <v>8104</v>
      </c>
      <c r="H1359" t="s">
        <v>5768</v>
      </c>
      <c r="I1359" t="s">
        <v>31</v>
      </c>
      <c r="L1359" t="s">
        <v>8392</v>
      </c>
      <c r="M1359" t="s">
        <v>8392</v>
      </c>
      <c r="O1359" t="s">
        <v>17</v>
      </c>
      <c r="P1359" t="s">
        <v>5770</v>
      </c>
      <c r="Q1359" t="s">
        <v>5771</v>
      </c>
      <c r="R1359" t="s">
        <v>6279</v>
      </c>
      <c r="S1359" t="s">
        <v>6280</v>
      </c>
      <c r="T1359" t="s">
        <v>119</v>
      </c>
    </row>
    <row r="1360" spans="1:20" ht="15" customHeight="1" x14ac:dyDescent="0.4">
      <c r="A1360" t="s">
        <v>5774</v>
      </c>
      <c r="B1360" t="s">
        <v>5774</v>
      </c>
      <c r="C1360" t="s">
        <v>151</v>
      </c>
      <c r="D1360" t="s">
        <v>81</v>
      </c>
      <c r="E1360" t="s">
        <v>5123</v>
      </c>
      <c r="F1360" t="s">
        <v>8393</v>
      </c>
      <c r="G1360" t="s">
        <v>8104</v>
      </c>
      <c r="H1360" t="s">
        <v>5773</v>
      </c>
      <c r="I1360" t="s">
        <v>31</v>
      </c>
      <c r="L1360" t="s">
        <v>8393</v>
      </c>
      <c r="M1360" t="s">
        <v>8393</v>
      </c>
      <c r="O1360" t="s">
        <v>17</v>
      </c>
      <c r="P1360" t="s">
        <v>5775</v>
      </c>
      <c r="Q1360" t="s">
        <v>5776</v>
      </c>
      <c r="R1360" t="s">
        <v>6279</v>
      </c>
      <c r="S1360" t="s">
        <v>6280</v>
      </c>
      <c r="T1360" t="s">
        <v>119</v>
      </c>
    </row>
    <row r="1361" spans="1:20" ht="15" customHeight="1" x14ac:dyDescent="0.4">
      <c r="A1361" t="s">
        <v>5779</v>
      </c>
      <c r="B1361" t="s">
        <v>5779</v>
      </c>
      <c r="C1361" t="s">
        <v>151</v>
      </c>
      <c r="D1361" t="s">
        <v>81</v>
      </c>
      <c r="E1361" t="s">
        <v>5123</v>
      </c>
      <c r="F1361" t="s">
        <v>8394</v>
      </c>
      <c r="G1361" t="s">
        <v>8104</v>
      </c>
      <c r="H1361" t="s">
        <v>5778</v>
      </c>
      <c r="I1361" t="s">
        <v>31</v>
      </c>
      <c r="L1361" t="s">
        <v>8394</v>
      </c>
      <c r="M1361" t="s">
        <v>8394</v>
      </c>
      <c r="O1361" t="s">
        <v>17</v>
      </c>
      <c r="P1361" t="s">
        <v>5780</v>
      </c>
      <c r="Q1361" t="s">
        <v>5781</v>
      </c>
      <c r="R1361" t="s">
        <v>6279</v>
      </c>
      <c r="S1361" t="s">
        <v>6280</v>
      </c>
      <c r="T1361" t="s">
        <v>119</v>
      </c>
    </row>
    <row r="1362" spans="1:20" ht="15" customHeight="1" x14ac:dyDescent="0.4">
      <c r="A1362" t="s">
        <v>5785</v>
      </c>
      <c r="B1362" t="s">
        <v>5785</v>
      </c>
      <c r="C1362" t="s">
        <v>151</v>
      </c>
      <c r="D1362" t="s">
        <v>81</v>
      </c>
      <c r="E1362" t="s">
        <v>5123</v>
      </c>
      <c r="F1362" t="s">
        <v>8395</v>
      </c>
      <c r="G1362" t="s">
        <v>8104</v>
      </c>
      <c r="H1362" t="s">
        <v>5783</v>
      </c>
      <c r="I1362" t="s">
        <v>31</v>
      </c>
      <c r="K1362" t="s">
        <v>31</v>
      </c>
      <c r="L1362" t="s">
        <v>8395</v>
      </c>
      <c r="M1362" t="s">
        <v>8395</v>
      </c>
      <c r="O1362" t="s">
        <v>17</v>
      </c>
      <c r="P1362" t="s">
        <v>5786</v>
      </c>
      <c r="Q1362" t="s">
        <v>5787</v>
      </c>
      <c r="R1362" t="s">
        <v>6279</v>
      </c>
      <c r="S1362" t="s">
        <v>6280</v>
      </c>
      <c r="T1362" t="s">
        <v>96</v>
      </c>
    </row>
    <row r="1363" spans="1:20" ht="15" customHeight="1" x14ac:dyDescent="0.4">
      <c r="A1363" t="s">
        <v>5791</v>
      </c>
      <c r="B1363" t="s">
        <v>5791</v>
      </c>
      <c r="C1363" t="s">
        <v>151</v>
      </c>
      <c r="D1363" t="s">
        <v>81</v>
      </c>
      <c r="E1363" t="s">
        <v>5123</v>
      </c>
      <c r="F1363" t="s">
        <v>8396</v>
      </c>
      <c r="G1363" t="s">
        <v>8104</v>
      </c>
      <c r="H1363" t="s">
        <v>5790</v>
      </c>
      <c r="I1363" t="s">
        <v>31</v>
      </c>
      <c r="K1363" t="s">
        <v>31</v>
      </c>
      <c r="L1363" t="s">
        <v>8396</v>
      </c>
      <c r="M1363" t="s">
        <v>8396</v>
      </c>
      <c r="O1363" t="s">
        <v>17</v>
      </c>
      <c r="P1363" t="s">
        <v>5792</v>
      </c>
      <c r="Q1363" t="s">
        <v>5793</v>
      </c>
      <c r="R1363" t="s">
        <v>6279</v>
      </c>
      <c r="S1363" t="s">
        <v>6280</v>
      </c>
      <c r="T1363" t="s">
        <v>96</v>
      </c>
    </row>
    <row r="1364" spans="1:20" ht="15" customHeight="1" x14ac:dyDescent="0.4">
      <c r="A1364" t="s">
        <v>5796</v>
      </c>
      <c r="B1364" t="s">
        <v>5796</v>
      </c>
      <c r="C1364" t="s">
        <v>151</v>
      </c>
      <c r="D1364" t="s">
        <v>81</v>
      </c>
      <c r="E1364" t="s">
        <v>5123</v>
      </c>
      <c r="F1364" t="s">
        <v>8397</v>
      </c>
      <c r="G1364" t="s">
        <v>8104</v>
      </c>
      <c r="H1364" t="s">
        <v>5795</v>
      </c>
      <c r="I1364" t="s">
        <v>31</v>
      </c>
      <c r="K1364" t="s">
        <v>31</v>
      </c>
      <c r="L1364" t="s">
        <v>8397</v>
      </c>
      <c r="M1364" t="s">
        <v>8397</v>
      </c>
      <c r="O1364" t="s">
        <v>17</v>
      </c>
      <c r="P1364" t="s">
        <v>5797</v>
      </c>
      <c r="Q1364" t="s">
        <v>5798</v>
      </c>
      <c r="R1364" t="s">
        <v>6279</v>
      </c>
      <c r="S1364" t="s">
        <v>6280</v>
      </c>
      <c r="T1364" t="s">
        <v>96</v>
      </c>
    </row>
    <row r="1365" spans="1:20" ht="15" customHeight="1" x14ac:dyDescent="0.4">
      <c r="A1365" t="s">
        <v>5801</v>
      </c>
      <c r="B1365" t="s">
        <v>5801</v>
      </c>
      <c r="C1365" t="s">
        <v>151</v>
      </c>
      <c r="D1365" t="s">
        <v>81</v>
      </c>
      <c r="E1365" t="s">
        <v>5123</v>
      </c>
      <c r="F1365" t="s">
        <v>8398</v>
      </c>
      <c r="G1365" t="s">
        <v>8104</v>
      </c>
      <c r="H1365" t="s">
        <v>5800</v>
      </c>
      <c r="I1365" t="s">
        <v>31</v>
      </c>
      <c r="K1365" t="s">
        <v>31</v>
      </c>
      <c r="L1365" t="s">
        <v>8398</v>
      </c>
      <c r="M1365" t="s">
        <v>8398</v>
      </c>
      <c r="O1365" t="s">
        <v>17</v>
      </c>
      <c r="P1365" t="s">
        <v>5802</v>
      </c>
      <c r="Q1365" t="s">
        <v>5803</v>
      </c>
      <c r="R1365" t="s">
        <v>6279</v>
      </c>
      <c r="S1365" t="s">
        <v>6280</v>
      </c>
      <c r="T1365" t="s">
        <v>96</v>
      </c>
    </row>
    <row r="1366" spans="1:20" ht="15" customHeight="1" x14ac:dyDescent="0.4">
      <c r="A1366" t="s">
        <v>5806</v>
      </c>
      <c r="B1366" t="s">
        <v>5806</v>
      </c>
      <c r="C1366" t="s">
        <v>151</v>
      </c>
      <c r="D1366" t="s">
        <v>81</v>
      </c>
      <c r="E1366" t="s">
        <v>5123</v>
      </c>
      <c r="F1366" t="s">
        <v>8399</v>
      </c>
      <c r="G1366" t="s">
        <v>8104</v>
      </c>
      <c r="H1366" t="s">
        <v>5805</v>
      </c>
      <c r="I1366" t="s">
        <v>31</v>
      </c>
      <c r="K1366" t="s">
        <v>31</v>
      </c>
      <c r="L1366" t="s">
        <v>8399</v>
      </c>
      <c r="M1366" t="s">
        <v>8399</v>
      </c>
      <c r="O1366" t="s">
        <v>17</v>
      </c>
      <c r="P1366" t="s">
        <v>5807</v>
      </c>
      <c r="Q1366" t="s">
        <v>5808</v>
      </c>
      <c r="R1366" t="s">
        <v>6279</v>
      </c>
      <c r="S1366" t="s">
        <v>6280</v>
      </c>
      <c r="T1366" t="s">
        <v>96</v>
      </c>
    </row>
    <row r="1367" spans="1:20" ht="15" customHeight="1" x14ac:dyDescent="0.4">
      <c r="A1367" t="s">
        <v>5811</v>
      </c>
      <c r="B1367" t="s">
        <v>5811</v>
      </c>
      <c r="C1367" t="s">
        <v>151</v>
      </c>
      <c r="D1367" t="s">
        <v>81</v>
      </c>
      <c r="E1367" t="s">
        <v>5123</v>
      </c>
      <c r="F1367" t="s">
        <v>8400</v>
      </c>
      <c r="G1367" t="s">
        <v>8104</v>
      </c>
      <c r="H1367" t="s">
        <v>5810</v>
      </c>
      <c r="I1367" t="s">
        <v>31</v>
      </c>
      <c r="K1367" t="s">
        <v>31</v>
      </c>
      <c r="L1367" t="s">
        <v>8400</v>
      </c>
      <c r="M1367" t="s">
        <v>8400</v>
      </c>
      <c r="O1367" t="s">
        <v>17</v>
      </c>
      <c r="P1367" t="s">
        <v>5812</v>
      </c>
      <c r="Q1367" t="s">
        <v>5813</v>
      </c>
      <c r="R1367" t="s">
        <v>6279</v>
      </c>
      <c r="S1367" t="s">
        <v>6280</v>
      </c>
      <c r="T1367" t="s">
        <v>96</v>
      </c>
    </row>
    <row r="1368" spans="1:20" ht="15" customHeight="1" x14ac:dyDescent="0.4">
      <c r="A1368" t="s">
        <v>5816</v>
      </c>
      <c r="B1368" t="s">
        <v>5816</v>
      </c>
      <c r="C1368" t="s">
        <v>151</v>
      </c>
      <c r="D1368" t="s">
        <v>81</v>
      </c>
      <c r="E1368" t="s">
        <v>5123</v>
      </c>
      <c r="F1368" t="s">
        <v>8401</v>
      </c>
      <c r="G1368" t="s">
        <v>8104</v>
      </c>
      <c r="H1368" t="s">
        <v>5815</v>
      </c>
      <c r="I1368" t="s">
        <v>31</v>
      </c>
      <c r="K1368" t="s">
        <v>31</v>
      </c>
      <c r="L1368" t="s">
        <v>8401</v>
      </c>
      <c r="M1368" t="s">
        <v>8401</v>
      </c>
      <c r="O1368" t="s">
        <v>17</v>
      </c>
      <c r="P1368" t="s">
        <v>5817</v>
      </c>
      <c r="Q1368" t="s">
        <v>5818</v>
      </c>
      <c r="R1368" t="s">
        <v>6279</v>
      </c>
      <c r="S1368" t="s">
        <v>6280</v>
      </c>
      <c r="T1368" t="s">
        <v>96</v>
      </c>
    </row>
    <row r="1369" spans="1:20" ht="15" customHeight="1" x14ac:dyDescent="0.4">
      <c r="A1369" t="s">
        <v>5821</v>
      </c>
      <c r="B1369" t="s">
        <v>5821</v>
      </c>
      <c r="C1369" t="s">
        <v>151</v>
      </c>
      <c r="D1369" t="s">
        <v>81</v>
      </c>
      <c r="E1369" t="s">
        <v>5123</v>
      </c>
      <c r="F1369" t="s">
        <v>8402</v>
      </c>
      <c r="G1369" t="s">
        <v>8104</v>
      </c>
      <c r="H1369" t="s">
        <v>5820</v>
      </c>
      <c r="I1369" t="s">
        <v>31</v>
      </c>
      <c r="K1369" t="s">
        <v>31</v>
      </c>
      <c r="L1369" t="s">
        <v>8402</v>
      </c>
      <c r="M1369" t="s">
        <v>8402</v>
      </c>
      <c r="O1369" t="s">
        <v>17</v>
      </c>
      <c r="P1369" t="s">
        <v>5822</v>
      </c>
      <c r="Q1369" t="s">
        <v>5823</v>
      </c>
      <c r="R1369" t="s">
        <v>6279</v>
      </c>
      <c r="S1369" t="s">
        <v>6280</v>
      </c>
      <c r="T1369" t="s">
        <v>96</v>
      </c>
    </row>
    <row r="1370" spans="1:20" ht="15" customHeight="1" x14ac:dyDescent="0.4">
      <c r="A1370" t="s">
        <v>5826</v>
      </c>
      <c r="B1370" t="s">
        <v>5826</v>
      </c>
      <c r="C1370" t="s">
        <v>151</v>
      </c>
      <c r="D1370" t="s">
        <v>81</v>
      </c>
      <c r="E1370" t="s">
        <v>5123</v>
      </c>
      <c r="F1370" t="s">
        <v>8403</v>
      </c>
      <c r="G1370" t="s">
        <v>8104</v>
      </c>
      <c r="H1370" t="s">
        <v>5825</v>
      </c>
      <c r="I1370" t="s">
        <v>31</v>
      </c>
      <c r="K1370" t="s">
        <v>31</v>
      </c>
      <c r="L1370" t="s">
        <v>8403</v>
      </c>
      <c r="M1370" t="s">
        <v>8403</v>
      </c>
      <c r="O1370" t="s">
        <v>17</v>
      </c>
      <c r="P1370" t="s">
        <v>5827</v>
      </c>
      <c r="Q1370" t="s">
        <v>5828</v>
      </c>
      <c r="R1370" t="s">
        <v>6279</v>
      </c>
      <c r="S1370" t="s">
        <v>6280</v>
      </c>
      <c r="T1370" t="s">
        <v>96</v>
      </c>
    </row>
    <row r="1371" spans="1:20" ht="15" customHeight="1" x14ac:dyDescent="0.4">
      <c r="A1371" t="s">
        <v>5831</v>
      </c>
      <c r="B1371" t="s">
        <v>5831</v>
      </c>
      <c r="C1371" t="s">
        <v>151</v>
      </c>
      <c r="D1371" t="s">
        <v>81</v>
      </c>
      <c r="E1371" t="s">
        <v>5123</v>
      </c>
      <c r="F1371" t="s">
        <v>8404</v>
      </c>
      <c r="G1371" t="s">
        <v>8104</v>
      </c>
      <c r="H1371" t="s">
        <v>5830</v>
      </c>
      <c r="I1371" t="s">
        <v>31</v>
      </c>
      <c r="K1371" t="s">
        <v>31</v>
      </c>
      <c r="L1371" t="s">
        <v>8404</v>
      </c>
      <c r="M1371" t="s">
        <v>8404</v>
      </c>
      <c r="O1371" t="s">
        <v>17</v>
      </c>
      <c r="P1371" t="s">
        <v>5832</v>
      </c>
      <c r="Q1371" t="s">
        <v>5833</v>
      </c>
      <c r="R1371" t="s">
        <v>6279</v>
      </c>
      <c r="S1371" t="s">
        <v>6280</v>
      </c>
      <c r="T1371" t="s">
        <v>96</v>
      </c>
    </row>
    <row r="1372" spans="1:20" ht="15" customHeight="1" x14ac:dyDescent="0.4">
      <c r="A1372" t="s">
        <v>5836</v>
      </c>
      <c r="B1372" t="s">
        <v>5836</v>
      </c>
      <c r="C1372" t="s">
        <v>151</v>
      </c>
      <c r="D1372" t="s">
        <v>81</v>
      </c>
      <c r="E1372" t="s">
        <v>5123</v>
      </c>
      <c r="F1372" t="s">
        <v>8405</v>
      </c>
      <c r="G1372" t="s">
        <v>8104</v>
      </c>
      <c r="H1372" t="s">
        <v>5835</v>
      </c>
      <c r="I1372" t="s">
        <v>31</v>
      </c>
      <c r="K1372" t="s">
        <v>31</v>
      </c>
      <c r="L1372" t="s">
        <v>8405</v>
      </c>
      <c r="M1372" t="s">
        <v>8405</v>
      </c>
      <c r="O1372" t="s">
        <v>17</v>
      </c>
      <c r="P1372" t="s">
        <v>5837</v>
      </c>
      <c r="Q1372" t="s">
        <v>5838</v>
      </c>
      <c r="R1372" t="s">
        <v>6279</v>
      </c>
      <c r="S1372" t="s">
        <v>6280</v>
      </c>
      <c r="T1372" t="s">
        <v>96</v>
      </c>
    </row>
    <row r="1373" spans="1:20" ht="15" customHeight="1" x14ac:dyDescent="0.4">
      <c r="A1373" t="s">
        <v>5841</v>
      </c>
      <c r="B1373" t="s">
        <v>5841</v>
      </c>
      <c r="C1373" t="s">
        <v>151</v>
      </c>
      <c r="D1373" t="s">
        <v>81</v>
      </c>
      <c r="E1373" t="s">
        <v>5123</v>
      </c>
      <c r="F1373" t="s">
        <v>8406</v>
      </c>
      <c r="G1373" t="s">
        <v>8104</v>
      </c>
      <c r="H1373" t="s">
        <v>5840</v>
      </c>
      <c r="I1373" t="s">
        <v>31</v>
      </c>
      <c r="K1373" t="s">
        <v>31</v>
      </c>
      <c r="L1373" t="s">
        <v>8406</v>
      </c>
      <c r="M1373" t="s">
        <v>8406</v>
      </c>
      <c r="O1373" t="s">
        <v>17</v>
      </c>
      <c r="P1373" t="s">
        <v>5842</v>
      </c>
      <c r="Q1373" t="s">
        <v>5843</v>
      </c>
      <c r="R1373" t="s">
        <v>6279</v>
      </c>
      <c r="S1373" t="s">
        <v>6280</v>
      </c>
      <c r="T1373" t="s">
        <v>96</v>
      </c>
    </row>
    <row r="1374" spans="1:20" ht="15" customHeight="1" x14ac:dyDescent="0.4">
      <c r="A1374" t="s">
        <v>5846</v>
      </c>
      <c r="B1374" t="s">
        <v>5846</v>
      </c>
      <c r="C1374" t="s">
        <v>151</v>
      </c>
      <c r="D1374" t="s">
        <v>81</v>
      </c>
      <c r="E1374" t="s">
        <v>5123</v>
      </c>
      <c r="F1374" t="s">
        <v>8407</v>
      </c>
      <c r="G1374" t="s">
        <v>8104</v>
      </c>
      <c r="H1374" t="s">
        <v>5845</v>
      </c>
      <c r="I1374" t="s">
        <v>31</v>
      </c>
      <c r="K1374" t="s">
        <v>31</v>
      </c>
      <c r="L1374" t="s">
        <v>8407</v>
      </c>
      <c r="M1374" t="s">
        <v>8407</v>
      </c>
      <c r="O1374" t="s">
        <v>17</v>
      </c>
      <c r="P1374" t="s">
        <v>5847</v>
      </c>
      <c r="Q1374" t="s">
        <v>5848</v>
      </c>
      <c r="R1374" t="s">
        <v>6279</v>
      </c>
      <c r="S1374" t="s">
        <v>6280</v>
      </c>
      <c r="T1374" t="s">
        <v>96</v>
      </c>
    </row>
    <row r="1375" spans="1:20" ht="15" customHeight="1" x14ac:dyDescent="0.4">
      <c r="A1375" t="s">
        <v>5851</v>
      </c>
      <c r="B1375" t="s">
        <v>5851</v>
      </c>
      <c r="C1375" t="s">
        <v>151</v>
      </c>
      <c r="D1375" t="s">
        <v>81</v>
      </c>
      <c r="E1375" t="s">
        <v>5123</v>
      </c>
      <c r="F1375" t="s">
        <v>8408</v>
      </c>
      <c r="G1375" t="s">
        <v>8104</v>
      </c>
      <c r="H1375" t="s">
        <v>5850</v>
      </c>
      <c r="I1375" t="s">
        <v>31</v>
      </c>
      <c r="K1375" t="s">
        <v>31</v>
      </c>
      <c r="L1375" t="s">
        <v>8408</v>
      </c>
      <c r="M1375" t="s">
        <v>8408</v>
      </c>
      <c r="O1375" t="s">
        <v>17</v>
      </c>
      <c r="P1375" t="s">
        <v>5852</v>
      </c>
      <c r="Q1375" t="s">
        <v>5853</v>
      </c>
      <c r="R1375" t="s">
        <v>6279</v>
      </c>
      <c r="S1375" t="s">
        <v>6280</v>
      </c>
      <c r="T1375" t="s">
        <v>96</v>
      </c>
    </row>
    <row r="1376" spans="1:20" ht="15" customHeight="1" x14ac:dyDescent="0.4">
      <c r="A1376" t="s">
        <v>5856</v>
      </c>
      <c r="B1376" t="s">
        <v>5856</v>
      </c>
      <c r="C1376" t="s">
        <v>151</v>
      </c>
      <c r="D1376" t="s">
        <v>81</v>
      </c>
      <c r="E1376" t="s">
        <v>5123</v>
      </c>
      <c r="F1376" t="s">
        <v>8409</v>
      </c>
      <c r="G1376" t="s">
        <v>8104</v>
      </c>
      <c r="H1376" t="s">
        <v>5855</v>
      </c>
      <c r="I1376" t="s">
        <v>31</v>
      </c>
      <c r="K1376" t="s">
        <v>31</v>
      </c>
      <c r="L1376" t="s">
        <v>8409</v>
      </c>
      <c r="M1376" t="s">
        <v>8409</v>
      </c>
      <c r="O1376" t="s">
        <v>17</v>
      </c>
      <c r="P1376" t="s">
        <v>5857</v>
      </c>
      <c r="Q1376" t="s">
        <v>5858</v>
      </c>
      <c r="R1376" t="s">
        <v>6279</v>
      </c>
      <c r="S1376" t="s">
        <v>6280</v>
      </c>
      <c r="T1376" t="s">
        <v>96</v>
      </c>
    </row>
    <row r="1377" spans="1:20" ht="15" customHeight="1" x14ac:dyDescent="0.4">
      <c r="A1377" t="s">
        <v>5861</v>
      </c>
      <c r="B1377" t="s">
        <v>5861</v>
      </c>
      <c r="C1377" t="s">
        <v>151</v>
      </c>
      <c r="D1377" t="s">
        <v>81</v>
      </c>
      <c r="E1377" t="s">
        <v>5123</v>
      </c>
      <c r="F1377" t="s">
        <v>8410</v>
      </c>
      <c r="G1377" t="s">
        <v>8104</v>
      </c>
      <c r="H1377" t="s">
        <v>5860</v>
      </c>
      <c r="I1377" t="s">
        <v>31</v>
      </c>
      <c r="K1377" t="s">
        <v>31</v>
      </c>
      <c r="L1377" t="s">
        <v>8410</v>
      </c>
      <c r="M1377" t="s">
        <v>8410</v>
      </c>
      <c r="O1377" t="s">
        <v>17</v>
      </c>
      <c r="P1377" t="s">
        <v>5862</v>
      </c>
      <c r="Q1377" t="s">
        <v>5863</v>
      </c>
      <c r="R1377" t="s">
        <v>6279</v>
      </c>
      <c r="S1377" t="s">
        <v>6280</v>
      </c>
      <c r="T1377" t="s">
        <v>96</v>
      </c>
    </row>
    <row r="1378" spans="1:20" ht="15" customHeight="1" x14ac:dyDescent="0.4">
      <c r="A1378" t="s">
        <v>5866</v>
      </c>
      <c r="B1378" t="s">
        <v>5866</v>
      </c>
      <c r="C1378" t="s">
        <v>151</v>
      </c>
      <c r="D1378" t="s">
        <v>81</v>
      </c>
      <c r="E1378" t="s">
        <v>5123</v>
      </c>
      <c r="F1378" t="s">
        <v>8411</v>
      </c>
      <c r="G1378" t="s">
        <v>8104</v>
      </c>
      <c r="H1378" t="s">
        <v>5865</v>
      </c>
      <c r="I1378" t="s">
        <v>31</v>
      </c>
      <c r="K1378" t="s">
        <v>31</v>
      </c>
      <c r="L1378" t="s">
        <v>8411</v>
      </c>
      <c r="M1378" t="s">
        <v>8411</v>
      </c>
      <c r="O1378" t="s">
        <v>17</v>
      </c>
      <c r="P1378" t="s">
        <v>5867</v>
      </c>
      <c r="Q1378" t="s">
        <v>5868</v>
      </c>
      <c r="R1378" t="s">
        <v>6279</v>
      </c>
      <c r="S1378" t="s">
        <v>6280</v>
      </c>
      <c r="T1378" t="s">
        <v>96</v>
      </c>
    </row>
    <row r="1379" spans="1:20" ht="15" customHeight="1" x14ac:dyDescent="0.4">
      <c r="A1379" t="s">
        <v>5871</v>
      </c>
      <c r="B1379" t="s">
        <v>5871</v>
      </c>
      <c r="C1379" t="s">
        <v>151</v>
      </c>
      <c r="D1379" t="s">
        <v>81</v>
      </c>
      <c r="E1379" t="s">
        <v>5123</v>
      </c>
      <c r="F1379" t="s">
        <v>8412</v>
      </c>
      <c r="G1379" t="s">
        <v>8104</v>
      </c>
      <c r="H1379" t="s">
        <v>5870</v>
      </c>
      <c r="I1379" t="s">
        <v>31</v>
      </c>
      <c r="K1379" t="s">
        <v>31</v>
      </c>
      <c r="L1379" t="s">
        <v>8412</v>
      </c>
      <c r="M1379" t="s">
        <v>8412</v>
      </c>
      <c r="O1379" t="s">
        <v>17</v>
      </c>
      <c r="P1379" t="s">
        <v>5872</v>
      </c>
      <c r="Q1379" t="s">
        <v>5873</v>
      </c>
      <c r="R1379" t="s">
        <v>6279</v>
      </c>
      <c r="S1379" t="s">
        <v>6280</v>
      </c>
      <c r="T1379" t="s">
        <v>96</v>
      </c>
    </row>
    <row r="1380" spans="1:20" ht="15" customHeight="1" x14ac:dyDescent="0.4">
      <c r="A1380" t="s">
        <v>5876</v>
      </c>
      <c r="B1380" t="s">
        <v>5876</v>
      </c>
      <c r="C1380" t="s">
        <v>151</v>
      </c>
      <c r="D1380" t="s">
        <v>81</v>
      </c>
      <c r="E1380" t="s">
        <v>5123</v>
      </c>
      <c r="F1380" t="s">
        <v>8413</v>
      </c>
      <c r="G1380" t="s">
        <v>8104</v>
      </c>
      <c r="H1380" t="s">
        <v>5875</v>
      </c>
      <c r="I1380" t="s">
        <v>31</v>
      </c>
      <c r="K1380" t="s">
        <v>31</v>
      </c>
      <c r="L1380" t="s">
        <v>8413</v>
      </c>
      <c r="M1380" t="s">
        <v>8413</v>
      </c>
      <c r="O1380" t="s">
        <v>17</v>
      </c>
      <c r="P1380" t="s">
        <v>5877</v>
      </c>
      <c r="Q1380" t="s">
        <v>5878</v>
      </c>
      <c r="R1380" t="s">
        <v>6279</v>
      </c>
      <c r="S1380" t="s">
        <v>6280</v>
      </c>
      <c r="T1380" t="s">
        <v>96</v>
      </c>
    </row>
    <row r="1381" spans="1:20" ht="15" customHeight="1" x14ac:dyDescent="0.4">
      <c r="A1381" t="s">
        <v>5881</v>
      </c>
      <c r="B1381" t="s">
        <v>5881</v>
      </c>
      <c r="C1381" t="s">
        <v>151</v>
      </c>
      <c r="D1381" t="s">
        <v>81</v>
      </c>
      <c r="E1381" t="s">
        <v>5123</v>
      </c>
      <c r="F1381" t="s">
        <v>8414</v>
      </c>
      <c r="G1381" t="s">
        <v>8104</v>
      </c>
      <c r="H1381" t="s">
        <v>5880</v>
      </c>
      <c r="I1381" t="s">
        <v>31</v>
      </c>
      <c r="K1381" t="s">
        <v>31</v>
      </c>
      <c r="L1381" t="s">
        <v>8414</v>
      </c>
      <c r="M1381" t="s">
        <v>8414</v>
      </c>
      <c r="O1381" t="s">
        <v>17</v>
      </c>
      <c r="P1381" t="s">
        <v>5882</v>
      </c>
      <c r="Q1381" t="s">
        <v>5883</v>
      </c>
      <c r="R1381" t="s">
        <v>6279</v>
      </c>
      <c r="S1381" t="s">
        <v>6280</v>
      </c>
      <c r="T1381" t="s">
        <v>96</v>
      </c>
    </row>
    <row r="1382" spans="1:20" ht="15" customHeight="1" x14ac:dyDescent="0.4">
      <c r="A1382" t="s">
        <v>5886</v>
      </c>
      <c r="B1382" t="s">
        <v>5886</v>
      </c>
      <c r="C1382" t="s">
        <v>151</v>
      </c>
      <c r="D1382" t="s">
        <v>81</v>
      </c>
      <c r="E1382" t="s">
        <v>5123</v>
      </c>
      <c r="F1382" t="s">
        <v>8415</v>
      </c>
      <c r="G1382" t="s">
        <v>8104</v>
      </c>
      <c r="H1382" t="s">
        <v>5885</v>
      </c>
      <c r="I1382" t="s">
        <v>31</v>
      </c>
      <c r="K1382" t="s">
        <v>31</v>
      </c>
      <c r="L1382" t="s">
        <v>8415</v>
      </c>
      <c r="M1382" t="s">
        <v>8415</v>
      </c>
      <c r="O1382" t="s">
        <v>17</v>
      </c>
      <c r="P1382" t="s">
        <v>5887</v>
      </c>
      <c r="Q1382" t="s">
        <v>5888</v>
      </c>
      <c r="R1382" t="s">
        <v>6279</v>
      </c>
      <c r="S1382" t="s">
        <v>6280</v>
      </c>
      <c r="T1382" t="s">
        <v>96</v>
      </c>
    </row>
    <row r="1383" spans="1:20" ht="15" customHeight="1" x14ac:dyDescent="0.4">
      <c r="A1383" t="s">
        <v>5891</v>
      </c>
      <c r="B1383" t="s">
        <v>5891</v>
      </c>
      <c r="C1383" t="s">
        <v>151</v>
      </c>
      <c r="D1383" t="s">
        <v>81</v>
      </c>
      <c r="E1383" t="s">
        <v>5123</v>
      </c>
      <c r="F1383" t="s">
        <v>8416</v>
      </c>
      <c r="G1383" t="s">
        <v>8104</v>
      </c>
      <c r="H1383" t="s">
        <v>5890</v>
      </c>
      <c r="I1383" t="s">
        <v>31</v>
      </c>
      <c r="K1383" t="s">
        <v>31</v>
      </c>
      <c r="L1383" t="s">
        <v>8416</v>
      </c>
      <c r="M1383" t="s">
        <v>8416</v>
      </c>
      <c r="O1383" t="s">
        <v>17</v>
      </c>
      <c r="P1383" t="s">
        <v>5892</v>
      </c>
      <c r="Q1383" t="s">
        <v>5893</v>
      </c>
      <c r="R1383" t="s">
        <v>6279</v>
      </c>
      <c r="S1383" t="s">
        <v>6280</v>
      </c>
      <c r="T1383" t="s">
        <v>96</v>
      </c>
    </row>
    <row r="1384" spans="1:20" ht="15" customHeight="1" x14ac:dyDescent="0.4">
      <c r="A1384" t="s">
        <v>5897</v>
      </c>
      <c r="B1384" t="s">
        <v>5897</v>
      </c>
      <c r="C1384" t="s">
        <v>151</v>
      </c>
      <c r="D1384" t="s">
        <v>81</v>
      </c>
      <c r="E1384" t="s">
        <v>5123</v>
      </c>
      <c r="F1384" t="s">
        <v>8417</v>
      </c>
      <c r="G1384" t="s">
        <v>8104</v>
      </c>
      <c r="H1384" t="s">
        <v>5895</v>
      </c>
      <c r="I1384" t="s">
        <v>31</v>
      </c>
      <c r="L1384" t="s">
        <v>8417</v>
      </c>
      <c r="M1384" t="s">
        <v>8417</v>
      </c>
      <c r="O1384" t="s">
        <v>17</v>
      </c>
      <c r="P1384" t="s">
        <v>5898</v>
      </c>
      <c r="Q1384" t="s">
        <v>5899</v>
      </c>
      <c r="R1384" t="s">
        <v>6279</v>
      </c>
      <c r="S1384" t="s">
        <v>6280</v>
      </c>
      <c r="T1384" t="s">
        <v>119</v>
      </c>
    </row>
    <row r="1385" spans="1:20" ht="15" customHeight="1" x14ac:dyDescent="0.4">
      <c r="A1385" t="s">
        <v>5902</v>
      </c>
      <c r="B1385" t="s">
        <v>5902</v>
      </c>
      <c r="C1385" t="s">
        <v>151</v>
      </c>
      <c r="D1385" t="s">
        <v>104</v>
      </c>
      <c r="E1385" t="s">
        <v>5123</v>
      </c>
      <c r="F1385" t="s">
        <v>8418</v>
      </c>
      <c r="G1385" t="s">
        <v>6285</v>
      </c>
      <c r="H1385" t="s">
        <v>5901</v>
      </c>
      <c r="L1385" t="s">
        <v>8418</v>
      </c>
      <c r="M1385" t="s">
        <v>8418</v>
      </c>
      <c r="O1385" t="s">
        <v>17</v>
      </c>
      <c r="P1385" t="s">
        <v>5903</v>
      </c>
      <c r="Q1385" t="s">
        <v>123</v>
      </c>
      <c r="R1385" t="s">
        <v>6279</v>
      </c>
      <c r="S1385" t="s">
        <v>6287</v>
      </c>
      <c r="T1385" t="s">
        <v>119</v>
      </c>
    </row>
    <row r="1386" spans="1:20" ht="15" customHeight="1" x14ac:dyDescent="0.4">
      <c r="A1386" t="s">
        <v>5905</v>
      </c>
      <c r="B1386" t="s">
        <v>5905</v>
      </c>
      <c r="C1386" t="s">
        <v>151</v>
      </c>
      <c r="D1386" t="s">
        <v>104</v>
      </c>
      <c r="E1386" t="s">
        <v>5123</v>
      </c>
      <c r="F1386" t="s">
        <v>8419</v>
      </c>
      <c r="G1386" t="s">
        <v>6285</v>
      </c>
      <c r="H1386" t="s">
        <v>5904</v>
      </c>
      <c r="L1386" t="s">
        <v>8419</v>
      </c>
      <c r="M1386" t="s">
        <v>8419</v>
      </c>
      <c r="O1386" t="s">
        <v>17</v>
      </c>
      <c r="P1386" t="s">
        <v>5906</v>
      </c>
      <c r="Q1386" t="s">
        <v>123</v>
      </c>
      <c r="R1386" t="s">
        <v>6279</v>
      </c>
      <c r="S1386" t="s">
        <v>6287</v>
      </c>
      <c r="T1386" t="s">
        <v>119</v>
      </c>
    </row>
    <row r="1387" spans="1:20" ht="15" customHeight="1" x14ac:dyDescent="0.4">
      <c r="A1387" t="s">
        <v>5908</v>
      </c>
      <c r="B1387" t="s">
        <v>5908</v>
      </c>
      <c r="C1387" t="s">
        <v>151</v>
      </c>
      <c r="D1387" t="s">
        <v>104</v>
      </c>
      <c r="E1387" t="s">
        <v>5123</v>
      </c>
      <c r="F1387" t="s">
        <v>8420</v>
      </c>
      <c r="G1387" t="s">
        <v>6285</v>
      </c>
      <c r="H1387" t="s">
        <v>5907</v>
      </c>
      <c r="L1387" t="s">
        <v>8420</v>
      </c>
      <c r="M1387" t="s">
        <v>8420</v>
      </c>
      <c r="O1387" t="s">
        <v>17</v>
      </c>
      <c r="P1387" t="s">
        <v>5909</v>
      </c>
      <c r="Q1387" t="s">
        <v>5910</v>
      </c>
      <c r="R1387" t="s">
        <v>6279</v>
      </c>
      <c r="S1387" t="s">
        <v>6287</v>
      </c>
      <c r="T1387" t="s">
        <v>119</v>
      </c>
    </row>
    <row r="1388" spans="1:20" ht="15" customHeight="1" x14ac:dyDescent="0.4">
      <c r="A1388" t="s">
        <v>5912</v>
      </c>
      <c r="B1388" t="s">
        <v>5912</v>
      </c>
      <c r="C1388" t="s">
        <v>151</v>
      </c>
      <c r="D1388" t="s">
        <v>104</v>
      </c>
      <c r="E1388" t="s">
        <v>5123</v>
      </c>
      <c r="F1388" t="s">
        <v>8421</v>
      </c>
      <c r="G1388" t="s">
        <v>6285</v>
      </c>
      <c r="H1388" t="s">
        <v>5911</v>
      </c>
      <c r="L1388" t="s">
        <v>8421</v>
      </c>
      <c r="M1388" t="s">
        <v>8421</v>
      </c>
      <c r="O1388" t="s">
        <v>17</v>
      </c>
      <c r="P1388" t="s">
        <v>5913</v>
      </c>
      <c r="Q1388" t="s">
        <v>5914</v>
      </c>
      <c r="R1388" t="s">
        <v>6279</v>
      </c>
      <c r="S1388" t="s">
        <v>6287</v>
      </c>
      <c r="T1388" t="s">
        <v>119</v>
      </c>
    </row>
    <row r="1389" spans="1:20" ht="15" customHeight="1" x14ac:dyDescent="0.4">
      <c r="A1389" t="s">
        <v>5916</v>
      </c>
      <c r="B1389" t="s">
        <v>5916</v>
      </c>
      <c r="C1389" t="s">
        <v>151</v>
      </c>
      <c r="D1389" t="s">
        <v>104</v>
      </c>
      <c r="E1389" t="s">
        <v>5123</v>
      </c>
      <c r="F1389" t="s">
        <v>8422</v>
      </c>
      <c r="G1389" t="s">
        <v>6285</v>
      </c>
      <c r="H1389" t="s">
        <v>5915</v>
      </c>
      <c r="L1389" t="s">
        <v>8422</v>
      </c>
      <c r="M1389" t="s">
        <v>8422</v>
      </c>
      <c r="O1389" t="s">
        <v>17</v>
      </c>
      <c r="P1389" t="s">
        <v>5917</v>
      </c>
      <c r="Q1389" t="s">
        <v>5918</v>
      </c>
      <c r="R1389" t="s">
        <v>6279</v>
      </c>
      <c r="S1389" t="s">
        <v>6287</v>
      </c>
      <c r="T1389" t="s">
        <v>119</v>
      </c>
    </row>
    <row r="1390" spans="1:20" ht="15" customHeight="1" x14ac:dyDescent="0.4">
      <c r="A1390" t="s">
        <v>5921</v>
      </c>
      <c r="B1390" t="s">
        <v>5921</v>
      </c>
      <c r="C1390" t="s">
        <v>151</v>
      </c>
      <c r="D1390" t="s">
        <v>81</v>
      </c>
      <c r="E1390" t="s">
        <v>5926</v>
      </c>
      <c r="F1390" t="s">
        <v>8423</v>
      </c>
      <c r="G1390" t="s">
        <v>8104</v>
      </c>
      <c r="H1390" t="s">
        <v>5919</v>
      </c>
      <c r="I1390" t="s">
        <v>31</v>
      </c>
      <c r="L1390" t="s">
        <v>8423</v>
      </c>
      <c r="M1390" t="s">
        <v>8423</v>
      </c>
      <c r="O1390" t="s">
        <v>18</v>
      </c>
      <c r="P1390" t="s">
        <v>5922</v>
      </c>
      <c r="Q1390" t="s">
        <v>5923</v>
      </c>
      <c r="R1390" t="s">
        <v>6279</v>
      </c>
      <c r="S1390" t="s">
        <v>6280</v>
      </c>
      <c r="T1390" t="s">
        <v>119</v>
      </c>
    </row>
    <row r="1391" spans="1:20" ht="15" customHeight="1" x14ac:dyDescent="0.4">
      <c r="A1391" t="s">
        <v>5929</v>
      </c>
      <c r="B1391" t="s">
        <v>5929</v>
      </c>
      <c r="C1391" t="s">
        <v>151</v>
      </c>
      <c r="D1391" t="s">
        <v>81</v>
      </c>
      <c r="E1391" t="s">
        <v>5926</v>
      </c>
      <c r="F1391" t="s">
        <v>8424</v>
      </c>
      <c r="G1391" t="s">
        <v>8104</v>
      </c>
      <c r="H1391" t="s">
        <v>5928</v>
      </c>
      <c r="I1391" t="s">
        <v>31</v>
      </c>
      <c r="L1391" t="s">
        <v>8424</v>
      </c>
      <c r="M1391" t="s">
        <v>8424</v>
      </c>
      <c r="O1391" t="s">
        <v>18</v>
      </c>
      <c r="P1391" t="s">
        <v>5930</v>
      </c>
      <c r="Q1391" t="s">
        <v>5931</v>
      </c>
      <c r="R1391" t="s">
        <v>6279</v>
      </c>
      <c r="S1391" t="s">
        <v>6280</v>
      </c>
      <c r="T1391" t="s">
        <v>119</v>
      </c>
    </row>
    <row r="1392" spans="1:20" ht="15" customHeight="1" x14ac:dyDescent="0.4">
      <c r="A1392" t="s">
        <v>5935</v>
      </c>
      <c r="B1392" t="s">
        <v>5935</v>
      </c>
      <c r="C1392" t="s">
        <v>151</v>
      </c>
      <c r="D1392" t="s">
        <v>81</v>
      </c>
      <c r="E1392" t="s">
        <v>5926</v>
      </c>
      <c r="F1392" t="s">
        <v>8425</v>
      </c>
      <c r="G1392" t="s">
        <v>8104</v>
      </c>
      <c r="H1392" t="s">
        <v>5933</v>
      </c>
      <c r="L1392" t="s">
        <v>8425</v>
      </c>
      <c r="M1392" t="s">
        <v>8425</v>
      </c>
      <c r="O1392" t="s">
        <v>18</v>
      </c>
      <c r="P1392" t="s">
        <v>5936</v>
      </c>
      <c r="Q1392" t="s">
        <v>5937</v>
      </c>
      <c r="R1392" t="s">
        <v>6279</v>
      </c>
      <c r="S1392" t="s">
        <v>6280</v>
      </c>
      <c r="T1392" t="s">
        <v>119</v>
      </c>
    </row>
    <row r="1393" spans="1:20" ht="15" customHeight="1" x14ac:dyDescent="0.4">
      <c r="A1393" t="s">
        <v>5941</v>
      </c>
      <c r="B1393" t="s">
        <v>5941</v>
      </c>
      <c r="C1393" t="s">
        <v>151</v>
      </c>
      <c r="D1393" t="s">
        <v>81</v>
      </c>
      <c r="E1393" t="s">
        <v>5945</v>
      </c>
      <c r="F1393" t="s">
        <v>8426</v>
      </c>
      <c r="G1393" t="s">
        <v>8021</v>
      </c>
      <c r="H1393" t="s">
        <v>8427</v>
      </c>
      <c r="L1393" t="s">
        <v>8428</v>
      </c>
      <c r="N1393" t="s">
        <v>8428</v>
      </c>
      <c r="O1393" t="s">
        <v>19</v>
      </c>
      <c r="P1393" t="s">
        <v>5942</v>
      </c>
      <c r="Q1393" t="s">
        <v>5943</v>
      </c>
      <c r="R1393" t="s">
        <v>6279</v>
      </c>
      <c r="S1393" t="s">
        <v>6280</v>
      </c>
      <c r="T1393" t="s">
        <v>119</v>
      </c>
    </row>
    <row r="1394" spans="1:20" ht="15" customHeight="1" x14ac:dyDescent="0.4">
      <c r="A1394" t="s">
        <v>5948</v>
      </c>
      <c r="B1394" t="s">
        <v>5948</v>
      </c>
      <c r="C1394" t="s">
        <v>151</v>
      </c>
      <c r="D1394" t="s">
        <v>81</v>
      </c>
      <c r="E1394" t="s">
        <v>5945</v>
      </c>
      <c r="F1394" t="s">
        <v>7880</v>
      </c>
      <c r="G1394" t="s">
        <v>8021</v>
      </c>
      <c r="H1394" t="s">
        <v>5947</v>
      </c>
      <c r="L1394" t="s">
        <v>7880</v>
      </c>
      <c r="N1394" t="s">
        <v>7880</v>
      </c>
      <c r="O1394" t="s">
        <v>19</v>
      </c>
      <c r="P1394" t="s">
        <v>19</v>
      </c>
      <c r="Q1394" t="s">
        <v>5949</v>
      </c>
      <c r="R1394" t="s">
        <v>7881</v>
      </c>
      <c r="T1394" t="s">
        <v>119</v>
      </c>
    </row>
    <row r="1395" spans="1:20" ht="15" customHeight="1" x14ac:dyDescent="0.4">
      <c r="A1395" t="s">
        <v>5952</v>
      </c>
      <c r="B1395" t="s">
        <v>5952</v>
      </c>
      <c r="C1395" t="s">
        <v>151</v>
      </c>
      <c r="D1395" t="s">
        <v>81</v>
      </c>
      <c r="E1395" t="s">
        <v>79</v>
      </c>
      <c r="F1395" t="s">
        <v>8429</v>
      </c>
      <c r="G1395" t="s">
        <v>8104</v>
      </c>
      <c r="H1395" t="s">
        <v>5950</v>
      </c>
      <c r="I1395" t="s">
        <v>31</v>
      </c>
      <c r="L1395" t="s">
        <v>8429</v>
      </c>
      <c r="M1395" t="s">
        <v>8429</v>
      </c>
      <c r="O1395" t="s">
        <v>20</v>
      </c>
      <c r="P1395" t="s">
        <v>5953</v>
      </c>
      <c r="Q1395" t="s">
        <v>5954</v>
      </c>
      <c r="R1395" t="s">
        <v>6279</v>
      </c>
      <c r="S1395" t="s">
        <v>6280</v>
      </c>
      <c r="T1395" t="s">
        <v>119</v>
      </c>
    </row>
    <row r="1396" spans="1:20" ht="15" customHeight="1" x14ac:dyDescent="0.4">
      <c r="A1396" t="s">
        <v>5960</v>
      </c>
      <c r="B1396" t="s">
        <v>5960</v>
      </c>
      <c r="C1396" t="s">
        <v>151</v>
      </c>
      <c r="D1396" t="s">
        <v>81</v>
      </c>
      <c r="E1396" t="s">
        <v>79</v>
      </c>
      <c r="F1396" t="s">
        <v>8430</v>
      </c>
      <c r="G1396" t="s">
        <v>8104</v>
      </c>
      <c r="H1396" t="s">
        <v>5958</v>
      </c>
      <c r="I1396" t="s">
        <v>31</v>
      </c>
      <c r="L1396" t="s">
        <v>8430</v>
      </c>
      <c r="M1396" t="s">
        <v>8430</v>
      </c>
      <c r="O1396" t="s">
        <v>20</v>
      </c>
      <c r="P1396" t="s">
        <v>5961</v>
      </c>
      <c r="Q1396" t="s">
        <v>5962</v>
      </c>
      <c r="R1396" t="s">
        <v>6279</v>
      </c>
      <c r="S1396" t="s">
        <v>6280</v>
      </c>
      <c r="T1396" t="s">
        <v>119</v>
      </c>
    </row>
    <row r="1397" spans="1:20" ht="15" customHeight="1" x14ac:dyDescent="0.4">
      <c r="A1397" t="s">
        <v>5965</v>
      </c>
      <c r="B1397" t="s">
        <v>5965</v>
      </c>
      <c r="C1397" t="s">
        <v>151</v>
      </c>
      <c r="D1397" t="s">
        <v>81</v>
      </c>
      <c r="E1397" t="s">
        <v>79</v>
      </c>
      <c r="F1397" t="s">
        <v>8431</v>
      </c>
      <c r="G1397" t="s">
        <v>8104</v>
      </c>
      <c r="H1397" t="s">
        <v>5964</v>
      </c>
      <c r="I1397" t="s">
        <v>31</v>
      </c>
      <c r="K1397" t="s">
        <v>31</v>
      </c>
      <c r="L1397" t="s">
        <v>8431</v>
      </c>
      <c r="M1397" t="s">
        <v>8431</v>
      </c>
      <c r="O1397" t="s">
        <v>20</v>
      </c>
      <c r="P1397" t="s">
        <v>5966</v>
      </c>
      <c r="Q1397" t="s">
        <v>5967</v>
      </c>
      <c r="R1397" t="s">
        <v>6279</v>
      </c>
      <c r="S1397" t="s">
        <v>6280</v>
      </c>
      <c r="T1397" t="s">
        <v>96</v>
      </c>
    </row>
    <row r="1398" spans="1:20" ht="15" customHeight="1" x14ac:dyDescent="0.4">
      <c r="A1398" t="s">
        <v>5971</v>
      </c>
      <c r="B1398" t="s">
        <v>5971</v>
      </c>
      <c r="C1398" t="s">
        <v>151</v>
      </c>
      <c r="D1398" t="s">
        <v>81</v>
      </c>
      <c r="E1398" t="s">
        <v>79</v>
      </c>
      <c r="F1398" t="s">
        <v>8432</v>
      </c>
      <c r="G1398" t="s">
        <v>8104</v>
      </c>
      <c r="H1398" t="s">
        <v>5970</v>
      </c>
      <c r="I1398" t="s">
        <v>31</v>
      </c>
      <c r="K1398" t="s">
        <v>31</v>
      </c>
      <c r="L1398" t="s">
        <v>8432</v>
      </c>
      <c r="M1398" t="s">
        <v>8432</v>
      </c>
      <c r="O1398" t="s">
        <v>20</v>
      </c>
      <c r="P1398" t="s">
        <v>5972</v>
      </c>
      <c r="Q1398" t="s">
        <v>5973</v>
      </c>
      <c r="R1398" t="s">
        <v>6279</v>
      </c>
      <c r="S1398" t="s">
        <v>6280</v>
      </c>
      <c r="T1398" t="s">
        <v>96</v>
      </c>
    </row>
    <row r="1399" spans="1:20" ht="15" customHeight="1" x14ac:dyDescent="0.4">
      <c r="A1399" t="s">
        <v>5976</v>
      </c>
      <c r="B1399" t="s">
        <v>5976</v>
      </c>
      <c r="C1399" t="s">
        <v>151</v>
      </c>
      <c r="D1399" t="s">
        <v>81</v>
      </c>
      <c r="E1399" t="s">
        <v>79</v>
      </c>
      <c r="F1399" t="s">
        <v>8433</v>
      </c>
      <c r="G1399" t="s">
        <v>8104</v>
      </c>
      <c r="H1399" t="s">
        <v>5975</v>
      </c>
      <c r="I1399" t="s">
        <v>31</v>
      </c>
      <c r="K1399" t="s">
        <v>31</v>
      </c>
      <c r="L1399" t="s">
        <v>8433</v>
      </c>
      <c r="M1399" t="s">
        <v>8433</v>
      </c>
      <c r="O1399" t="s">
        <v>20</v>
      </c>
      <c r="P1399" t="s">
        <v>5977</v>
      </c>
      <c r="Q1399" t="s">
        <v>5978</v>
      </c>
      <c r="R1399" t="s">
        <v>6279</v>
      </c>
      <c r="S1399" t="s">
        <v>6280</v>
      </c>
      <c r="T1399" t="s">
        <v>96</v>
      </c>
    </row>
    <row r="1400" spans="1:20" ht="15" customHeight="1" x14ac:dyDescent="0.4">
      <c r="A1400" t="s">
        <v>5981</v>
      </c>
      <c r="B1400" t="s">
        <v>5981</v>
      </c>
      <c r="C1400" t="s">
        <v>151</v>
      </c>
      <c r="D1400" t="s">
        <v>81</v>
      </c>
      <c r="E1400" t="s">
        <v>79</v>
      </c>
      <c r="F1400" t="s">
        <v>8434</v>
      </c>
      <c r="G1400" t="s">
        <v>8104</v>
      </c>
      <c r="H1400" t="s">
        <v>5980</v>
      </c>
      <c r="I1400" t="s">
        <v>31</v>
      </c>
      <c r="K1400" t="s">
        <v>31</v>
      </c>
      <c r="L1400" t="s">
        <v>8434</v>
      </c>
      <c r="M1400" t="s">
        <v>8434</v>
      </c>
      <c r="O1400" t="s">
        <v>20</v>
      </c>
      <c r="P1400" t="s">
        <v>5982</v>
      </c>
      <c r="Q1400" t="s">
        <v>5983</v>
      </c>
      <c r="R1400" t="s">
        <v>6279</v>
      </c>
      <c r="S1400" t="s">
        <v>6280</v>
      </c>
      <c r="T1400" t="s">
        <v>96</v>
      </c>
    </row>
    <row r="1401" spans="1:20" ht="15" customHeight="1" x14ac:dyDescent="0.4">
      <c r="A1401" t="s">
        <v>5986</v>
      </c>
      <c r="B1401" t="s">
        <v>5986</v>
      </c>
      <c r="C1401" t="s">
        <v>151</v>
      </c>
      <c r="D1401" t="s">
        <v>81</v>
      </c>
      <c r="E1401" t="s">
        <v>79</v>
      </c>
      <c r="F1401" t="s">
        <v>8435</v>
      </c>
      <c r="G1401" t="s">
        <v>8104</v>
      </c>
      <c r="H1401" t="s">
        <v>5985</v>
      </c>
      <c r="I1401" t="s">
        <v>31</v>
      </c>
      <c r="K1401" t="s">
        <v>31</v>
      </c>
      <c r="L1401" t="s">
        <v>8435</v>
      </c>
      <c r="M1401" t="s">
        <v>8435</v>
      </c>
      <c r="O1401" t="s">
        <v>20</v>
      </c>
      <c r="P1401" t="s">
        <v>5987</v>
      </c>
      <c r="Q1401" t="s">
        <v>5988</v>
      </c>
      <c r="R1401" t="s">
        <v>6279</v>
      </c>
      <c r="S1401" t="s">
        <v>6280</v>
      </c>
      <c r="T1401" t="s">
        <v>96</v>
      </c>
    </row>
    <row r="1402" spans="1:20" ht="15" customHeight="1" x14ac:dyDescent="0.4">
      <c r="A1402" t="s">
        <v>5991</v>
      </c>
      <c r="B1402" t="s">
        <v>5991</v>
      </c>
      <c r="C1402" t="s">
        <v>151</v>
      </c>
      <c r="D1402" t="s">
        <v>81</v>
      </c>
      <c r="E1402" t="s">
        <v>79</v>
      </c>
      <c r="F1402" t="s">
        <v>8436</v>
      </c>
      <c r="G1402" t="s">
        <v>8104</v>
      </c>
      <c r="H1402" t="s">
        <v>5990</v>
      </c>
      <c r="I1402" t="s">
        <v>31</v>
      </c>
      <c r="K1402" t="s">
        <v>31</v>
      </c>
      <c r="L1402" t="s">
        <v>8436</v>
      </c>
      <c r="M1402" t="s">
        <v>8436</v>
      </c>
      <c r="O1402" t="s">
        <v>20</v>
      </c>
      <c r="P1402" t="s">
        <v>5992</v>
      </c>
      <c r="Q1402" t="s">
        <v>5993</v>
      </c>
      <c r="R1402" t="s">
        <v>6279</v>
      </c>
      <c r="S1402" t="s">
        <v>6280</v>
      </c>
      <c r="T1402" t="s">
        <v>96</v>
      </c>
    </row>
    <row r="1403" spans="1:20" ht="15" customHeight="1" x14ac:dyDescent="0.4">
      <c r="A1403" t="s">
        <v>5996</v>
      </c>
      <c r="B1403" t="s">
        <v>5996</v>
      </c>
      <c r="C1403" t="s">
        <v>151</v>
      </c>
      <c r="D1403" t="s">
        <v>81</v>
      </c>
      <c r="E1403" t="s">
        <v>79</v>
      </c>
      <c r="F1403" t="s">
        <v>8437</v>
      </c>
      <c r="G1403" t="s">
        <v>8104</v>
      </c>
      <c r="H1403" t="s">
        <v>5995</v>
      </c>
      <c r="I1403" t="s">
        <v>31</v>
      </c>
      <c r="K1403" t="s">
        <v>31</v>
      </c>
      <c r="L1403" t="s">
        <v>8437</v>
      </c>
      <c r="M1403" t="s">
        <v>8437</v>
      </c>
      <c r="O1403" t="s">
        <v>20</v>
      </c>
      <c r="P1403" t="s">
        <v>5997</v>
      </c>
      <c r="Q1403" t="s">
        <v>5998</v>
      </c>
      <c r="R1403" t="s">
        <v>6279</v>
      </c>
      <c r="S1403" t="s">
        <v>6280</v>
      </c>
      <c r="T1403" t="s">
        <v>96</v>
      </c>
    </row>
    <row r="1404" spans="1:20" ht="15" customHeight="1" x14ac:dyDescent="0.4">
      <c r="A1404" t="s">
        <v>6001</v>
      </c>
      <c r="B1404" t="s">
        <v>6001</v>
      </c>
      <c r="C1404" t="s">
        <v>151</v>
      </c>
      <c r="D1404" t="s">
        <v>81</v>
      </c>
      <c r="E1404" t="s">
        <v>79</v>
      </c>
      <c r="F1404" t="s">
        <v>8438</v>
      </c>
      <c r="G1404" t="s">
        <v>8104</v>
      </c>
      <c r="H1404" t="s">
        <v>6000</v>
      </c>
      <c r="I1404" t="s">
        <v>31</v>
      </c>
      <c r="K1404" t="s">
        <v>31</v>
      </c>
      <c r="L1404" t="s">
        <v>8438</v>
      </c>
      <c r="M1404" t="s">
        <v>8438</v>
      </c>
      <c r="O1404" t="s">
        <v>20</v>
      </c>
      <c r="P1404" t="s">
        <v>6002</v>
      </c>
      <c r="Q1404" t="s">
        <v>6003</v>
      </c>
      <c r="R1404" t="s">
        <v>6279</v>
      </c>
      <c r="S1404" t="s">
        <v>6280</v>
      </c>
      <c r="T1404" t="s">
        <v>96</v>
      </c>
    </row>
    <row r="1405" spans="1:20" ht="15" customHeight="1" x14ac:dyDescent="0.4">
      <c r="A1405" t="s">
        <v>6006</v>
      </c>
      <c r="B1405" t="s">
        <v>6006</v>
      </c>
      <c r="C1405" t="s">
        <v>151</v>
      </c>
      <c r="D1405" t="s">
        <v>81</v>
      </c>
      <c r="E1405" t="s">
        <v>79</v>
      </c>
      <c r="F1405" t="s">
        <v>8439</v>
      </c>
      <c r="G1405" t="s">
        <v>8104</v>
      </c>
      <c r="H1405" t="s">
        <v>6005</v>
      </c>
      <c r="I1405" t="s">
        <v>31</v>
      </c>
      <c r="K1405" t="s">
        <v>31</v>
      </c>
      <c r="L1405" t="s">
        <v>8439</v>
      </c>
      <c r="M1405" t="s">
        <v>8439</v>
      </c>
      <c r="O1405" t="s">
        <v>20</v>
      </c>
      <c r="P1405" t="s">
        <v>6007</v>
      </c>
      <c r="Q1405" t="s">
        <v>6008</v>
      </c>
      <c r="R1405" t="s">
        <v>6279</v>
      </c>
      <c r="S1405" t="s">
        <v>6280</v>
      </c>
      <c r="T1405" t="s">
        <v>96</v>
      </c>
    </row>
    <row r="1406" spans="1:20" ht="15" customHeight="1" x14ac:dyDescent="0.4">
      <c r="A1406" t="s">
        <v>6011</v>
      </c>
      <c r="B1406" t="s">
        <v>6011</v>
      </c>
      <c r="C1406" t="s">
        <v>151</v>
      </c>
      <c r="D1406" t="s">
        <v>81</v>
      </c>
      <c r="E1406" t="s">
        <v>79</v>
      </c>
      <c r="F1406" t="s">
        <v>8440</v>
      </c>
      <c r="G1406" t="s">
        <v>8104</v>
      </c>
      <c r="H1406" t="s">
        <v>6010</v>
      </c>
      <c r="I1406" t="s">
        <v>31</v>
      </c>
      <c r="K1406" t="s">
        <v>31</v>
      </c>
      <c r="L1406" t="s">
        <v>8440</v>
      </c>
      <c r="M1406" t="s">
        <v>8440</v>
      </c>
      <c r="O1406" t="s">
        <v>20</v>
      </c>
      <c r="P1406" t="s">
        <v>6012</v>
      </c>
      <c r="Q1406" t="s">
        <v>6013</v>
      </c>
      <c r="R1406" t="s">
        <v>6279</v>
      </c>
      <c r="S1406" t="s">
        <v>6280</v>
      </c>
      <c r="T1406" t="s">
        <v>96</v>
      </c>
    </row>
    <row r="1407" spans="1:20" ht="15" customHeight="1" x14ac:dyDescent="0.4">
      <c r="A1407" t="s">
        <v>6016</v>
      </c>
      <c r="B1407" t="s">
        <v>6016</v>
      </c>
      <c r="C1407" t="s">
        <v>151</v>
      </c>
      <c r="D1407" t="s">
        <v>81</v>
      </c>
      <c r="E1407" t="s">
        <v>79</v>
      </c>
      <c r="F1407" t="s">
        <v>8441</v>
      </c>
      <c r="G1407" t="s">
        <v>8104</v>
      </c>
      <c r="H1407" t="s">
        <v>6015</v>
      </c>
      <c r="I1407" t="s">
        <v>31</v>
      </c>
      <c r="K1407" t="s">
        <v>31</v>
      </c>
      <c r="L1407" t="s">
        <v>8441</v>
      </c>
      <c r="M1407" t="s">
        <v>8441</v>
      </c>
      <c r="O1407" t="s">
        <v>20</v>
      </c>
      <c r="P1407" t="s">
        <v>6017</v>
      </c>
      <c r="Q1407" t="s">
        <v>6018</v>
      </c>
      <c r="R1407" t="s">
        <v>6279</v>
      </c>
      <c r="S1407" t="s">
        <v>6280</v>
      </c>
      <c r="T1407" t="s">
        <v>96</v>
      </c>
    </row>
    <row r="1408" spans="1:20" ht="15" customHeight="1" x14ac:dyDescent="0.4">
      <c r="A1408" t="s">
        <v>6021</v>
      </c>
      <c r="B1408" t="s">
        <v>6021</v>
      </c>
      <c r="C1408" t="s">
        <v>151</v>
      </c>
      <c r="D1408" t="s">
        <v>81</v>
      </c>
      <c r="E1408" t="s">
        <v>79</v>
      </c>
      <c r="F1408" t="s">
        <v>8442</v>
      </c>
      <c r="G1408" t="s">
        <v>8104</v>
      </c>
      <c r="H1408" t="s">
        <v>6020</v>
      </c>
      <c r="I1408" t="s">
        <v>31</v>
      </c>
      <c r="K1408" t="s">
        <v>31</v>
      </c>
      <c r="L1408" t="s">
        <v>8442</v>
      </c>
      <c r="M1408" t="s">
        <v>8442</v>
      </c>
      <c r="O1408" t="s">
        <v>20</v>
      </c>
      <c r="P1408" t="s">
        <v>6022</v>
      </c>
      <c r="Q1408" t="s">
        <v>6023</v>
      </c>
      <c r="R1408" t="s">
        <v>6279</v>
      </c>
      <c r="S1408" t="s">
        <v>6280</v>
      </c>
      <c r="T1408" t="s">
        <v>96</v>
      </c>
    </row>
    <row r="1409" spans="1:20" ht="15" customHeight="1" x14ac:dyDescent="0.4">
      <c r="A1409" t="s">
        <v>6026</v>
      </c>
      <c r="B1409" t="s">
        <v>6026</v>
      </c>
      <c r="C1409" t="s">
        <v>151</v>
      </c>
      <c r="D1409" t="s">
        <v>81</v>
      </c>
      <c r="E1409" t="s">
        <v>79</v>
      </c>
      <c r="F1409" t="s">
        <v>8443</v>
      </c>
      <c r="G1409" t="s">
        <v>8104</v>
      </c>
      <c r="H1409" t="s">
        <v>6025</v>
      </c>
      <c r="I1409" t="s">
        <v>31</v>
      </c>
      <c r="K1409" t="s">
        <v>31</v>
      </c>
      <c r="L1409" t="s">
        <v>8443</v>
      </c>
      <c r="M1409" t="s">
        <v>8443</v>
      </c>
      <c r="O1409" t="s">
        <v>20</v>
      </c>
      <c r="P1409" t="s">
        <v>6027</v>
      </c>
      <c r="Q1409" t="s">
        <v>6028</v>
      </c>
      <c r="R1409" t="s">
        <v>6279</v>
      </c>
      <c r="S1409" t="s">
        <v>6280</v>
      </c>
      <c r="T1409" t="s">
        <v>96</v>
      </c>
    </row>
    <row r="1410" spans="1:20" ht="15" customHeight="1" x14ac:dyDescent="0.4">
      <c r="A1410" t="s">
        <v>6031</v>
      </c>
      <c r="B1410" t="s">
        <v>6031</v>
      </c>
      <c r="C1410" t="s">
        <v>151</v>
      </c>
      <c r="D1410" t="s">
        <v>81</v>
      </c>
      <c r="E1410" t="s">
        <v>79</v>
      </c>
      <c r="F1410" t="s">
        <v>8444</v>
      </c>
      <c r="G1410" t="s">
        <v>8104</v>
      </c>
      <c r="H1410" t="s">
        <v>6030</v>
      </c>
      <c r="I1410" t="s">
        <v>31</v>
      </c>
      <c r="K1410" t="s">
        <v>31</v>
      </c>
      <c r="L1410" t="s">
        <v>8444</v>
      </c>
      <c r="M1410" t="s">
        <v>8444</v>
      </c>
      <c r="O1410" t="s">
        <v>20</v>
      </c>
      <c r="P1410" t="s">
        <v>6032</v>
      </c>
      <c r="Q1410" t="s">
        <v>6033</v>
      </c>
      <c r="R1410" t="s">
        <v>6279</v>
      </c>
      <c r="S1410" t="s">
        <v>6280</v>
      </c>
      <c r="T1410" t="s">
        <v>96</v>
      </c>
    </row>
    <row r="1411" spans="1:20" ht="15" customHeight="1" x14ac:dyDescent="0.4">
      <c r="A1411" t="s">
        <v>6036</v>
      </c>
      <c r="B1411" t="s">
        <v>6036</v>
      </c>
      <c r="C1411" t="s">
        <v>151</v>
      </c>
      <c r="D1411" t="s">
        <v>81</v>
      </c>
      <c r="E1411" t="s">
        <v>79</v>
      </c>
      <c r="F1411" t="s">
        <v>8445</v>
      </c>
      <c r="G1411" t="s">
        <v>8104</v>
      </c>
      <c r="H1411" t="s">
        <v>6035</v>
      </c>
      <c r="I1411" t="s">
        <v>31</v>
      </c>
      <c r="K1411" t="s">
        <v>31</v>
      </c>
      <c r="L1411" t="s">
        <v>8445</v>
      </c>
      <c r="M1411" t="s">
        <v>8445</v>
      </c>
      <c r="O1411" t="s">
        <v>20</v>
      </c>
      <c r="P1411" t="s">
        <v>6037</v>
      </c>
      <c r="Q1411" t="s">
        <v>6038</v>
      </c>
      <c r="R1411" t="s">
        <v>6279</v>
      </c>
      <c r="S1411" t="s">
        <v>6280</v>
      </c>
      <c r="T1411" t="s">
        <v>96</v>
      </c>
    </row>
    <row r="1412" spans="1:20" ht="15" customHeight="1" x14ac:dyDescent="0.4">
      <c r="A1412" t="s">
        <v>6041</v>
      </c>
      <c r="B1412" t="s">
        <v>6041</v>
      </c>
      <c r="C1412" t="s">
        <v>151</v>
      </c>
      <c r="D1412" t="s">
        <v>81</v>
      </c>
      <c r="E1412" t="s">
        <v>79</v>
      </c>
      <c r="F1412" t="s">
        <v>8446</v>
      </c>
      <c r="G1412" t="s">
        <v>8104</v>
      </c>
      <c r="H1412" t="s">
        <v>6040</v>
      </c>
      <c r="I1412" t="s">
        <v>31</v>
      </c>
      <c r="K1412" t="s">
        <v>31</v>
      </c>
      <c r="L1412" t="s">
        <v>8446</v>
      </c>
      <c r="M1412" t="s">
        <v>8446</v>
      </c>
      <c r="O1412" t="s">
        <v>20</v>
      </c>
      <c r="P1412" t="s">
        <v>6042</v>
      </c>
      <c r="Q1412" t="s">
        <v>6043</v>
      </c>
      <c r="R1412" t="s">
        <v>6279</v>
      </c>
      <c r="S1412" t="s">
        <v>6280</v>
      </c>
      <c r="T1412" t="s">
        <v>96</v>
      </c>
    </row>
    <row r="1413" spans="1:20" ht="15" customHeight="1" x14ac:dyDescent="0.4">
      <c r="A1413" t="s">
        <v>6046</v>
      </c>
      <c r="B1413" t="s">
        <v>6046</v>
      </c>
      <c r="C1413" t="s">
        <v>151</v>
      </c>
      <c r="D1413" t="s">
        <v>81</v>
      </c>
      <c r="E1413" t="s">
        <v>79</v>
      </c>
      <c r="F1413" t="s">
        <v>8447</v>
      </c>
      <c r="G1413" t="s">
        <v>8104</v>
      </c>
      <c r="H1413" t="s">
        <v>6045</v>
      </c>
      <c r="I1413" t="s">
        <v>31</v>
      </c>
      <c r="K1413" t="s">
        <v>31</v>
      </c>
      <c r="L1413" t="s">
        <v>8447</v>
      </c>
      <c r="M1413" t="s">
        <v>8447</v>
      </c>
      <c r="O1413" t="s">
        <v>20</v>
      </c>
      <c r="P1413" t="s">
        <v>6047</v>
      </c>
      <c r="Q1413" t="s">
        <v>6048</v>
      </c>
      <c r="R1413" t="s">
        <v>6279</v>
      </c>
      <c r="S1413" t="s">
        <v>6280</v>
      </c>
      <c r="T1413" t="s">
        <v>96</v>
      </c>
    </row>
    <row r="1414" spans="1:20" ht="15" customHeight="1" x14ac:dyDescent="0.4">
      <c r="A1414" t="s">
        <v>6051</v>
      </c>
      <c r="B1414" t="s">
        <v>6051</v>
      </c>
      <c r="C1414" t="s">
        <v>151</v>
      </c>
      <c r="D1414" t="s">
        <v>81</v>
      </c>
      <c r="E1414" t="s">
        <v>79</v>
      </c>
      <c r="F1414" t="s">
        <v>8448</v>
      </c>
      <c r="G1414" t="s">
        <v>8104</v>
      </c>
      <c r="H1414" t="s">
        <v>6050</v>
      </c>
      <c r="I1414" t="s">
        <v>31</v>
      </c>
      <c r="K1414" t="s">
        <v>31</v>
      </c>
      <c r="L1414" t="s">
        <v>8448</v>
      </c>
      <c r="M1414" t="s">
        <v>8448</v>
      </c>
      <c r="O1414" t="s">
        <v>20</v>
      </c>
      <c r="P1414" t="s">
        <v>6052</v>
      </c>
      <c r="Q1414" t="s">
        <v>6053</v>
      </c>
      <c r="R1414" t="s">
        <v>6279</v>
      </c>
      <c r="S1414" t="s">
        <v>6280</v>
      </c>
      <c r="T1414" t="s">
        <v>96</v>
      </c>
    </row>
    <row r="1415" spans="1:20" ht="15" customHeight="1" x14ac:dyDescent="0.4">
      <c r="A1415" t="s">
        <v>37</v>
      </c>
      <c r="B1415" t="s">
        <v>37</v>
      </c>
      <c r="C1415" t="s">
        <v>151</v>
      </c>
      <c r="D1415" t="s">
        <v>81</v>
      </c>
      <c r="E1415" t="s">
        <v>79</v>
      </c>
      <c r="F1415" t="s">
        <v>8449</v>
      </c>
      <c r="G1415" t="s">
        <v>8104</v>
      </c>
      <c r="H1415" t="s">
        <v>28</v>
      </c>
      <c r="I1415" t="s">
        <v>31</v>
      </c>
      <c r="K1415" t="s">
        <v>31</v>
      </c>
      <c r="L1415" t="s">
        <v>8449</v>
      </c>
      <c r="M1415" t="s">
        <v>8449</v>
      </c>
      <c r="O1415" t="s">
        <v>20</v>
      </c>
      <c r="P1415" t="s">
        <v>40</v>
      </c>
      <c r="Q1415" t="s">
        <v>6055</v>
      </c>
      <c r="R1415" t="s">
        <v>6279</v>
      </c>
      <c r="S1415" t="s">
        <v>6280</v>
      </c>
      <c r="T1415" t="s">
        <v>96</v>
      </c>
    </row>
    <row r="1416" spans="1:20" ht="15" customHeight="1" x14ac:dyDescent="0.4">
      <c r="A1416" t="s">
        <v>6058</v>
      </c>
      <c r="B1416" t="s">
        <v>6058</v>
      </c>
      <c r="C1416" t="s">
        <v>151</v>
      </c>
      <c r="D1416" t="s">
        <v>81</v>
      </c>
      <c r="E1416" t="s">
        <v>79</v>
      </c>
      <c r="F1416" t="s">
        <v>8450</v>
      </c>
      <c r="G1416" t="s">
        <v>8104</v>
      </c>
      <c r="H1416" t="s">
        <v>6057</v>
      </c>
      <c r="I1416" t="s">
        <v>31</v>
      </c>
      <c r="K1416" t="s">
        <v>31</v>
      </c>
      <c r="L1416" t="s">
        <v>8450</v>
      </c>
      <c r="M1416" t="s">
        <v>8450</v>
      </c>
      <c r="O1416" t="s">
        <v>20</v>
      </c>
      <c r="P1416" t="s">
        <v>6059</v>
      </c>
      <c r="Q1416" t="s">
        <v>6060</v>
      </c>
      <c r="R1416" t="s">
        <v>6279</v>
      </c>
      <c r="S1416" t="s">
        <v>6280</v>
      </c>
      <c r="T1416" t="s">
        <v>96</v>
      </c>
    </row>
    <row r="1417" spans="1:20" ht="15" customHeight="1" x14ac:dyDescent="0.4">
      <c r="A1417" t="s">
        <v>6063</v>
      </c>
      <c r="B1417" t="s">
        <v>6063</v>
      </c>
      <c r="C1417" t="s">
        <v>151</v>
      </c>
      <c r="D1417" t="s">
        <v>81</v>
      </c>
      <c r="E1417" t="s">
        <v>79</v>
      </c>
      <c r="F1417" t="s">
        <v>8451</v>
      </c>
      <c r="G1417" t="s">
        <v>8104</v>
      </c>
      <c r="H1417" t="s">
        <v>6062</v>
      </c>
      <c r="I1417" t="s">
        <v>31</v>
      </c>
      <c r="K1417" t="s">
        <v>31</v>
      </c>
      <c r="L1417" t="s">
        <v>8451</v>
      </c>
      <c r="M1417" t="s">
        <v>8451</v>
      </c>
      <c r="O1417" t="s">
        <v>20</v>
      </c>
      <c r="P1417" t="s">
        <v>6064</v>
      </c>
      <c r="Q1417" t="s">
        <v>6065</v>
      </c>
      <c r="R1417" t="s">
        <v>6279</v>
      </c>
      <c r="S1417" t="s">
        <v>6280</v>
      </c>
      <c r="T1417" t="s">
        <v>96</v>
      </c>
    </row>
    <row r="1418" spans="1:20" ht="15" customHeight="1" x14ac:dyDescent="0.4">
      <c r="A1418" t="s">
        <v>6068</v>
      </c>
      <c r="B1418" t="s">
        <v>6068</v>
      </c>
      <c r="C1418" t="s">
        <v>151</v>
      </c>
      <c r="D1418" t="s">
        <v>81</v>
      </c>
      <c r="E1418" t="s">
        <v>79</v>
      </c>
      <c r="F1418" t="s">
        <v>8452</v>
      </c>
      <c r="G1418" t="s">
        <v>8104</v>
      </c>
      <c r="H1418" t="s">
        <v>6067</v>
      </c>
      <c r="I1418" t="s">
        <v>31</v>
      </c>
      <c r="K1418" t="s">
        <v>31</v>
      </c>
      <c r="L1418" t="s">
        <v>8452</v>
      </c>
      <c r="M1418" t="s">
        <v>8452</v>
      </c>
      <c r="O1418" t="s">
        <v>20</v>
      </c>
      <c r="P1418" t="s">
        <v>6069</v>
      </c>
      <c r="Q1418" t="s">
        <v>6070</v>
      </c>
      <c r="R1418" t="s">
        <v>6279</v>
      </c>
      <c r="S1418" t="s">
        <v>6280</v>
      </c>
      <c r="T1418" t="s">
        <v>96</v>
      </c>
    </row>
    <row r="1419" spans="1:20" ht="15" customHeight="1" x14ac:dyDescent="0.4">
      <c r="A1419" t="s">
        <v>6074</v>
      </c>
      <c r="B1419" t="s">
        <v>6074</v>
      </c>
      <c r="C1419" t="s">
        <v>151</v>
      </c>
      <c r="D1419" t="s">
        <v>81</v>
      </c>
      <c r="E1419" t="s">
        <v>79</v>
      </c>
      <c r="F1419" t="s">
        <v>8453</v>
      </c>
      <c r="G1419" t="s">
        <v>8104</v>
      </c>
      <c r="H1419" t="s">
        <v>6072</v>
      </c>
      <c r="I1419" t="s">
        <v>31</v>
      </c>
      <c r="K1419" t="s">
        <v>31</v>
      </c>
      <c r="L1419" t="s">
        <v>8453</v>
      </c>
      <c r="M1419" t="s">
        <v>8453</v>
      </c>
      <c r="O1419" t="s">
        <v>20</v>
      </c>
      <c r="P1419" t="s">
        <v>6075</v>
      </c>
      <c r="Q1419" t="s">
        <v>6076</v>
      </c>
      <c r="R1419" t="s">
        <v>6279</v>
      </c>
      <c r="S1419" t="s">
        <v>6280</v>
      </c>
      <c r="T1419" t="s">
        <v>96</v>
      </c>
    </row>
    <row r="1420" spans="1:20" ht="15" customHeight="1" x14ac:dyDescent="0.4">
      <c r="A1420" t="s">
        <v>6080</v>
      </c>
      <c r="B1420" t="s">
        <v>6080</v>
      </c>
      <c r="C1420" t="s">
        <v>151</v>
      </c>
      <c r="D1420" t="s">
        <v>81</v>
      </c>
      <c r="E1420" t="s">
        <v>79</v>
      </c>
      <c r="F1420" t="s">
        <v>8454</v>
      </c>
      <c r="G1420" t="s">
        <v>8104</v>
      </c>
      <c r="H1420" t="s">
        <v>6079</v>
      </c>
      <c r="I1420" t="s">
        <v>31</v>
      </c>
      <c r="K1420" t="s">
        <v>31</v>
      </c>
      <c r="L1420" t="s">
        <v>8454</v>
      </c>
      <c r="M1420" t="s">
        <v>8454</v>
      </c>
      <c r="O1420" t="s">
        <v>20</v>
      </c>
      <c r="P1420" t="s">
        <v>6081</v>
      </c>
      <c r="Q1420" t="s">
        <v>6082</v>
      </c>
      <c r="R1420" t="s">
        <v>6279</v>
      </c>
      <c r="S1420" t="s">
        <v>6280</v>
      </c>
      <c r="T1420" t="s">
        <v>96</v>
      </c>
    </row>
    <row r="1421" spans="1:20" ht="15" customHeight="1" x14ac:dyDescent="0.4">
      <c r="A1421" t="s">
        <v>6085</v>
      </c>
      <c r="B1421" t="s">
        <v>6085</v>
      </c>
      <c r="C1421" t="s">
        <v>151</v>
      </c>
      <c r="D1421" t="s">
        <v>81</v>
      </c>
      <c r="E1421" t="s">
        <v>79</v>
      </c>
      <c r="F1421" t="s">
        <v>8455</v>
      </c>
      <c r="G1421" t="s">
        <v>8104</v>
      </c>
      <c r="H1421" t="s">
        <v>6084</v>
      </c>
      <c r="I1421" t="s">
        <v>31</v>
      </c>
      <c r="K1421" t="s">
        <v>31</v>
      </c>
      <c r="L1421" t="s">
        <v>8455</v>
      </c>
      <c r="M1421" t="s">
        <v>8455</v>
      </c>
      <c r="O1421" t="s">
        <v>20</v>
      </c>
      <c r="P1421" t="s">
        <v>6086</v>
      </c>
      <c r="Q1421" t="s">
        <v>6087</v>
      </c>
      <c r="R1421" t="s">
        <v>6279</v>
      </c>
      <c r="S1421" t="s">
        <v>6280</v>
      </c>
      <c r="T1421" t="s">
        <v>96</v>
      </c>
    </row>
    <row r="1422" spans="1:20" ht="15" customHeight="1" x14ac:dyDescent="0.4">
      <c r="A1422" t="s">
        <v>6090</v>
      </c>
      <c r="B1422" t="s">
        <v>6090</v>
      </c>
      <c r="C1422" t="s">
        <v>151</v>
      </c>
      <c r="D1422" t="s">
        <v>81</v>
      </c>
      <c r="E1422" t="s">
        <v>79</v>
      </c>
      <c r="F1422" t="s">
        <v>8456</v>
      </c>
      <c r="G1422" t="s">
        <v>8104</v>
      </c>
      <c r="H1422" t="s">
        <v>6089</v>
      </c>
      <c r="I1422" t="s">
        <v>31</v>
      </c>
      <c r="K1422" t="s">
        <v>31</v>
      </c>
      <c r="L1422" t="s">
        <v>8456</v>
      </c>
      <c r="M1422" t="s">
        <v>8456</v>
      </c>
      <c r="O1422" t="s">
        <v>20</v>
      </c>
      <c r="P1422" t="s">
        <v>6091</v>
      </c>
      <c r="Q1422" t="s">
        <v>6092</v>
      </c>
      <c r="R1422" t="s">
        <v>6279</v>
      </c>
      <c r="S1422" t="s">
        <v>6280</v>
      </c>
      <c r="T1422" t="s">
        <v>96</v>
      </c>
    </row>
    <row r="1423" spans="1:20" ht="15" customHeight="1" x14ac:dyDescent="0.4">
      <c r="A1423" t="s">
        <v>6095</v>
      </c>
      <c r="B1423" t="s">
        <v>6095</v>
      </c>
      <c r="C1423" t="s">
        <v>151</v>
      </c>
      <c r="D1423" t="s">
        <v>81</v>
      </c>
      <c r="E1423" t="s">
        <v>79</v>
      </c>
      <c r="F1423" t="s">
        <v>8457</v>
      </c>
      <c r="G1423" t="s">
        <v>8104</v>
      </c>
      <c r="H1423" t="s">
        <v>6094</v>
      </c>
      <c r="I1423" t="s">
        <v>31</v>
      </c>
      <c r="K1423" t="s">
        <v>31</v>
      </c>
      <c r="L1423" t="s">
        <v>8457</v>
      </c>
      <c r="M1423" t="s">
        <v>8457</v>
      </c>
      <c r="O1423" t="s">
        <v>20</v>
      </c>
      <c r="P1423" t="s">
        <v>6096</v>
      </c>
      <c r="Q1423" t="s">
        <v>6097</v>
      </c>
      <c r="R1423" t="s">
        <v>6279</v>
      </c>
      <c r="S1423" t="s">
        <v>6280</v>
      </c>
      <c r="T1423" t="s">
        <v>96</v>
      </c>
    </row>
    <row r="1424" spans="1:20" ht="15" customHeight="1" x14ac:dyDescent="0.4">
      <c r="A1424" t="s">
        <v>6100</v>
      </c>
      <c r="B1424" t="s">
        <v>6100</v>
      </c>
      <c r="C1424" t="s">
        <v>151</v>
      </c>
      <c r="D1424" t="s">
        <v>81</v>
      </c>
      <c r="E1424" t="s">
        <v>79</v>
      </c>
      <c r="F1424" t="s">
        <v>8458</v>
      </c>
      <c r="G1424" t="s">
        <v>8104</v>
      </c>
      <c r="H1424" t="s">
        <v>6099</v>
      </c>
      <c r="I1424" t="s">
        <v>31</v>
      </c>
      <c r="K1424" t="s">
        <v>31</v>
      </c>
      <c r="L1424" t="s">
        <v>8458</v>
      </c>
      <c r="M1424" t="s">
        <v>8458</v>
      </c>
      <c r="O1424" t="s">
        <v>20</v>
      </c>
      <c r="P1424" t="s">
        <v>6101</v>
      </c>
      <c r="Q1424" t="s">
        <v>6102</v>
      </c>
      <c r="R1424" t="s">
        <v>6279</v>
      </c>
      <c r="S1424" t="s">
        <v>6280</v>
      </c>
      <c r="T1424" t="s">
        <v>96</v>
      </c>
    </row>
    <row r="1425" spans="1:20" ht="15" customHeight="1" x14ac:dyDescent="0.4">
      <c r="A1425" t="s">
        <v>6105</v>
      </c>
      <c r="B1425" t="s">
        <v>6105</v>
      </c>
      <c r="C1425" t="s">
        <v>151</v>
      </c>
      <c r="D1425" t="s">
        <v>81</v>
      </c>
      <c r="E1425" t="s">
        <v>79</v>
      </c>
      <c r="F1425" t="s">
        <v>8459</v>
      </c>
      <c r="G1425" t="s">
        <v>8104</v>
      </c>
      <c r="H1425" t="s">
        <v>6104</v>
      </c>
      <c r="I1425" t="s">
        <v>31</v>
      </c>
      <c r="K1425" t="s">
        <v>31</v>
      </c>
      <c r="L1425" t="s">
        <v>8459</v>
      </c>
      <c r="M1425" t="s">
        <v>8459</v>
      </c>
      <c r="O1425" t="s">
        <v>20</v>
      </c>
      <c r="P1425" t="s">
        <v>6106</v>
      </c>
      <c r="Q1425" t="s">
        <v>6107</v>
      </c>
      <c r="R1425" t="s">
        <v>6279</v>
      </c>
      <c r="S1425" t="s">
        <v>6280</v>
      </c>
      <c r="T1425" t="s">
        <v>96</v>
      </c>
    </row>
    <row r="1426" spans="1:20" ht="15" customHeight="1" x14ac:dyDescent="0.4">
      <c r="A1426" t="s">
        <v>6110</v>
      </c>
      <c r="B1426" t="s">
        <v>6110</v>
      </c>
      <c r="C1426" t="s">
        <v>151</v>
      </c>
      <c r="D1426" t="s">
        <v>81</v>
      </c>
      <c r="E1426" t="s">
        <v>79</v>
      </c>
      <c r="F1426" t="s">
        <v>8460</v>
      </c>
      <c r="G1426" t="s">
        <v>8104</v>
      </c>
      <c r="H1426" t="s">
        <v>6109</v>
      </c>
      <c r="I1426" t="s">
        <v>31</v>
      </c>
      <c r="K1426" t="s">
        <v>31</v>
      </c>
      <c r="L1426" t="s">
        <v>8460</v>
      </c>
      <c r="M1426" t="s">
        <v>8460</v>
      </c>
      <c r="O1426" t="s">
        <v>20</v>
      </c>
      <c r="P1426" t="s">
        <v>6111</v>
      </c>
      <c r="Q1426" t="s">
        <v>6112</v>
      </c>
      <c r="R1426" t="s">
        <v>6279</v>
      </c>
      <c r="S1426" t="s">
        <v>6280</v>
      </c>
      <c r="T1426" t="s">
        <v>96</v>
      </c>
    </row>
    <row r="1427" spans="1:20" ht="15" customHeight="1" x14ac:dyDescent="0.4">
      <c r="A1427" t="s">
        <v>6115</v>
      </c>
      <c r="B1427" t="s">
        <v>6115</v>
      </c>
      <c r="C1427" t="s">
        <v>151</v>
      </c>
      <c r="D1427" t="s">
        <v>81</v>
      </c>
      <c r="E1427" t="s">
        <v>79</v>
      </c>
      <c r="F1427" t="s">
        <v>8461</v>
      </c>
      <c r="G1427" t="s">
        <v>8104</v>
      </c>
      <c r="H1427" t="s">
        <v>6114</v>
      </c>
      <c r="I1427" t="s">
        <v>31</v>
      </c>
      <c r="K1427" t="s">
        <v>31</v>
      </c>
      <c r="L1427" t="s">
        <v>8461</v>
      </c>
      <c r="M1427" t="s">
        <v>8461</v>
      </c>
      <c r="O1427" t="s">
        <v>20</v>
      </c>
      <c r="P1427" t="s">
        <v>6116</v>
      </c>
      <c r="Q1427" t="s">
        <v>6117</v>
      </c>
      <c r="R1427" t="s">
        <v>6279</v>
      </c>
      <c r="S1427" t="s">
        <v>6280</v>
      </c>
      <c r="T1427" t="s">
        <v>96</v>
      </c>
    </row>
    <row r="1428" spans="1:20" ht="15" customHeight="1" x14ac:dyDescent="0.4">
      <c r="A1428" t="s">
        <v>6120</v>
      </c>
      <c r="B1428" t="s">
        <v>6120</v>
      </c>
      <c r="C1428" t="s">
        <v>151</v>
      </c>
      <c r="D1428" t="s">
        <v>81</v>
      </c>
      <c r="E1428" t="s">
        <v>79</v>
      </c>
      <c r="F1428" t="s">
        <v>8462</v>
      </c>
      <c r="G1428" t="s">
        <v>8104</v>
      </c>
      <c r="H1428" t="s">
        <v>6119</v>
      </c>
      <c r="I1428" t="s">
        <v>31</v>
      </c>
      <c r="K1428" t="s">
        <v>31</v>
      </c>
      <c r="L1428" t="s">
        <v>8462</v>
      </c>
      <c r="M1428" t="s">
        <v>8462</v>
      </c>
      <c r="O1428" t="s">
        <v>20</v>
      </c>
      <c r="P1428" t="s">
        <v>6121</v>
      </c>
      <c r="Q1428" t="s">
        <v>6122</v>
      </c>
      <c r="R1428" t="s">
        <v>6279</v>
      </c>
      <c r="S1428" t="s">
        <v>6280</v>
      </c>
      <c r="T1428" t="s">
        <v>96</v>
      </c>
    </row>
    <row r="1429" spans="1:20" ht="15" customHeight="1" x14ac:dyDescent="0.4">
      <c r="A1429" t="s">
        <v>6125</v>
      </c>
      <c r="B1429" t="s">
        <v>6125</v>
      </c>
      <c r="C1429" t="s">
        <v>151</v>
      </c>
      <c r="D1429" t="s">
        <v>81</v>
      </c>
      <c r="E1429" t="s">
        <v>79</v>
      </c>
      <c r="F1429" t="s">
        <v>8463</v>
      </c>
      <c r="G1429" t="s">
        <v>8104</v>
      </c>
      <c r="H1429" t="s">
        <v>6124</v>
      </c>
      <c r="I1429" t="s">
        <v>31</v>
      </c>
      <c r="K1429" t="s">
        <v>31</v>
      </c>
      <c r="L1429" t="s">
        <v>8463</v>
      </c>
      <c r="M1429" t="s">
        <v>8463</v>
      </c>
      <c r="O1429" t="s">
        <v>20</v>
      </c>
      <c r="P1429" t="s">
        <v>6126</v>
      </c>
      <c r="Q1429" t="s">
        <v>6127</v>
      </c>
      <c r="R1429" t="s">
        <v>6279</v>
      </c>
      <c r="S1429" t="s">
        <v>6280</v>
      </c>
      <c r="T1429" t="s">
        <v>96</v>
      </c>
    </row>
    <row r="1430" spans="1:20" ht="15" customHeight="1" x14ac:dyDescent="0.4">
      <c r="A1430" t="s">
        <v>6130</v>
      </c>
      <c r="B1430" t="s">
        <v>6130</v>
      </c>
      <c r="C1430" t="s">
        <v>151</v>
      </c>
      <c r="D1430" t="s">
        <v>81</v>
      </c>
      <c r="E1430" t="s">
        <v>79</v>
      </c>
      <c r="F1430" t="s">
        <v>8464</v>
      </c>
      <c r="G1430" t="s">
        <v>8104</v>
      </c>
      <c r="H1430" t="s">
        <v>6129</v>
      </c>
      <c r="I1430" t="s">
        <v>31</v>
      </c>
      <c r="K1430" t="s">
        <v>31</v>
      </c>
      <c r="L1430" t="s">
        <v>8464</v>
      </c>
      <c r="M1430" t="s">
        <v>8464</v>
      </c>
      <c r="O1430" t="s">
        <v>20</v>
      </c>
      <c r="P1430" t="s">
        <v>6131</v>
      </c>
      <c r="Q1430" t="s">
        <v>6132</v>
      </c>
      <c r="R1430" t="s">
        <v>6279</v>
      </c>
      <c r="S1430" t="s">
        <v>6280</v>
      </c>
      <c r="T1430" t="s">
        <v>96</v>
      </c>
    </row>
    <row r="1431" spans="1:20" ht="15" customHeight="1" x14ac:dyDescent="0.4">
      <c r="A1431" t="s">
        <v>6135</v>
      </c>
      <c r="B1431" t="s">
        <v>6135</v>
      </c>
      <c r="C1431" t="s">
        <v>151</v>
      </c>
      <c r="D1431" t="s">
        <v>81</v>
      </c>
      <c r="E1431" t="s">
        <v>79</v>
      </c>
      <c r="F1431" t="s">
        <v>8465</v>
      </c>
      <c r="G1431" t="s">
        <v>8104</v>
      </c>
      <c r="H1431" t="s">
        <v>6134</v>
      </c>
      <c r="I1431" t="s">
        <v>31</v>
      </c>
      <c r="K1431" t="s">
        <v>31</v>
      </c>
      <c r="L1431" t="s">
        <v>8465</v>
      </c>
      <c r="M1431" t="s">
        <v>8465</v>
      </c>
      <c r="O1431" t="s">
        <v>20</v>
      </c>
      <c r="P1431" t="s">
        <v>6136</v>
      </c>
      <c r="Q1431" t="s">
        <v>6137</v>
      </c>
      <c r="R1431" t="s">
        <v>6279</v>
      </c>
      <c r="S1431" t="s">
        <v>6280</v>
      </c>
      <c r="T1431" t="s">
        <v>96</v>
      </c>
    </row>
    <row r="1432" spans="1:20" ht="15" customHeight="1" x14ac:dyDescent="0.4">
      <c r="A1432" t="s">
        <v>6140</v>
      </c>
      <c r="B1432" t="s">
        <v>6140</v>
      </c>
      <c r="C1432" t="s">
        <v>151</v>
      </c>
      <c r="D1432" t="s">
        <v>81</v>
      </c>
      <c r="E1432" t="s">
        <v>79</v>
      </c>
      <c r="F1432" t="s">
        <v>8466</v>
      </c>
      <c r="G1432" t="s">
        <v>8104</v>
      </c>
      <c r="H1432" t="s">
        <v>6139</v>
      </c>
      <c r="I1432" t="s">
        <v>31</v>
      </c>
      <c r="K1432" t="s">
        <v>31</v>
      </c>
      <c r="L1432" t="s">
        <v>8466</v>
      </c>
      <c r="M1432" t="s">
        <v>8466</v>
      </c>
      <c r="O1432" t="s">
        <v>20</v>
      </c>
      <c r="P1432" t="s">
        <v>6141</v>
      </c>
      <c r="Q1432" t="s">
        <v>6142</v>
      </c>
      <c r="R1432" t="s">
        <v>6279</v>
      </c>
      <c r="S1432" t="s">
        <v>6280</v>
      </c>
      <c r="T1432" t="s">
        <v>96</v>
      </c>
    </row>
    <row r="1433" spans="1:20" ht="15" customHeight="1" x14ac:dyDescent="0.4">
      <c r="A1433" t="s">
        <v>6145</v>
      </c>
      <c r="B1433" t="s">
        <v>6145</v>
      </c>
      <c r="C1433" t="s">
        <v>151</v>
      </c>
      <c r="D1433" t="s">
        <v>81</v>
      </c>
      <c r="E1433" t="s">
        <v>79</v>
      </c>
      <c r="F1433" t="s">
        <v>8467</v>
      </c>
      <c r="G1433" t="s">
        <v>8104</v>
      </c>
      <c r="H1433" t="s">
        <v>6144</v>
      </c>
      <c r="I1433" t="s">
        <v>31</v>
      </c>
      <c r="K1433" t="s">
        <v>31</v>
      </c>
      <c r="L1433" t="s">
        <v>8467</v>
      </c>
      <c r="M1433" t="s">
        <v>8467</v>
      </c>
      <c r="O1433" t="s">
        <v>20</v>
      </c>
      <c r="P1433" t="s">
        <v>6146</v>
      </c>
      <c r="Q1433" t="s">
        <v>6147</v>
      </c>
      <c r="R1433" t="s">
        <v>6279</v>
      </c>
      <c r="S1433" t="s">
        <v>6280</v>
      </c>
      <c r="T1433" t="s">
        <v>96</v>
      </c>
    </row>
    <row r="1434" spans="1:20" ht="15" customHeight="1" x14ac:dyDescent="0.4">
      <c r="A1434" t="s">
        <v>6150</v>
      </c>
      <c r="B1434" t="s">
        <v>6150</v>
      </c>
      <c r="C1434" t="s">
        <v>151</v>
      </c>
      <c r="D1434" t="s">
        <v>81</v>
      </c>
      <c r="E1434" t="s">
        <v>79</v>
      </c>
      <c r="F1434" t="s">
        <v>8468</v>
      </c>
      <c r="G1434" t="s">
        <v>8104</v>
      </c>
      <c r="H1434" t="s">
        <v>6149</v>
      </c>
      <c r="I1434" t="s">
        <v>31</v>
      </c>
      <c r="K1434" t="s">
        <v>31</v>
      </c>
      <c r="L1434" t="s">
        <v>8468</v>
      </c>
      <c r="M1434" t="s">
        <v>8468</v>
      </c>
      <c r="O1434" t="s">
        <v>20</v>
      </c>
      <c r="P1434" t="s">
        <v>6151</v>
      </c>
      <c r="Q1434" t="s">
        <v>6152</v>
      </c>
      <c r="R1434" t="s">
        <v>6279</v>
      </c>
      <c r="S1434" t="s">
        <v>6280</v>
      </c>
      <c r="T1434" t="s">
        <v>96</v>
      </c>
    </row>
    <row r="1435" spans="1:20" ht="15" customHeight="1" x14ac:dyDescent="0.4">
      <c r="A1435" t="s">
        <v>6155</v>
      </c>
      <c r="B1435" t="s">
        <v>6155</v>
      </c>
      <c r="C1435" t="s">
        <v>151</v>
      </c>
      <c r="D1435" t="s">
        <v>81</v>
      </c>
      <c r="E1435" t="s">
        <v>79</v>
      </c>
      <c r="F1435" t="s">
        <v>8469</v>
      </c>
      <c r="G1435" t="s">
        <v>8104</v>
      </c>
      <c r="H1435" t="s">
        <v>6154</v>
      </c>
      <c r="I1435" t="s">
        <v>31</v>
      </c>
      <c r="K1435" t="s">
        <v>31</v>
      </c>
      <c r="L1435" t="s">
        <v>8469</v>
      </c>
      <c r="M1435" t="s">
        <v>8469</v>
      </c>
      <c r="O1435" t="s">
        <v>20</v>
      </c>
      <c r="P1435" t="s">
        <v>6156</v>
      </c>
      <c r="Q1435" t="s">
        <v>6157</v>
      </c>
      <c r="R1435" t="s">
        <v>6279</v>
      </c>
      <c r="S1435" t="s">
        <v>6280</v>
      </c>
      <c r="T1435" t="s">
        <v>96</v>
      </c>
    </row>
    <row r="1436" spans="1:20" ht="15" customHeight="1" x14ac:dyDescent="0.4">
      <c r="A1436" t="s">
        <v>6160</v>
      </c>
      <c r="B1436" t="s">
        <v>6160</v>
      </c>
      <c r="C1436" t="s">
        <v>151</v>
      </c>
      <c r="D1436" t="s">
        <v>81</v>
      </c>
      <c r="E1436" t="s">
        <v>79</v>
      </c>
      <c r="F1436" t="s">
        <v>8470</v>
      </c>
      <c r="G1436" t="s">
        <v>8104</v>
      </c>
      <c r="H1436" t="s">
        <v>6159</v>
      </c>
      <c r="I1436" t="s">
        <v>31</v>
      </c>
      <c r="K1436" t="s">
        <v>31</v>
      </c>
      <c r="L1436" t="s">
        <v>8470</v>
      </c>
      <c r="M1436" t="s">
        <v>8470</v>
      </c>
      <c r="O1436" t="s">
        <v>20</v>
      </c>
      <c r="P1436" t="s">
        <v>6161</v>
      </c>
      <c r="Q1436" t="s">
        <v>6162</v>
      </c>
      <c r="R1436" t="s">
        <v>6279</v>
      </c>
      <c r="S1436" t="s">
        <v>6280</v>
      </c>
      <c r="T1436" t="s">
        <v>96</v>
      </c>
    </row>
    <row r="1437" spans="1:20" ht="15" customHeight="1" x14ac:dyDescent="0.4">
      <c r="A1437" t="s">
        <v>6165</v>
      </c>
      <c r="B1437" t="s">
        <v>6165</v>
      </c>
      <c r="C1437" t="s">
        <v>151</v>
      </c>
      <c r="D1437" t="s">
        <v>81</v>
      </c>
      <c r="E1437" t="s">
        <v>79</v>
      </c>
      <c r="F1437" t="s">
        <v>8471</v>
      </c>
      <c r="G1437" t="s">
        <v>8104</v>
      </c>
      <c r="H1437" t="s">
        <v>6164</v>
      </c>
      <c r="I1437" t="s">
        <v>31</v>
      </c>
      <c r="K1437" t="s">
        <v>31</v>
      </c>
      <c r="L1437" t="s">
        <v>8471</v>
      </c>
      <c r="M1437" t="s">
        <v>8471</v>
      </c>
      <c r="O1437" t="s">
        <v>20</v>
      </c>
      <c r="P1437" t="s">
        <v>6166</v>
      </c>
      <c r="Q1437" t="s">
        <v>6167</v>
      </c>
      <c r="R1437" t="s">
        <v>6279</v>
      </c>
      <c r="S1437" t="s">
        <v>6280</v>
      </c>
      <c r="T1437" t="s">
        <v>96</v>
      </c>
    </row>
    <row r="1438" spans="1:20" ht="15" customHeight="1" x14ac:dyDescent="0.4">
      <c r="A1438" t="s">
        <v>6170</v>
      </c>
      <c r="B1438" t="s">
        <v>6170</v>
      </c>
      <c r="C1438" t="s">
        <v>151</v>
      </c>
      <c r="D1438" t="s">
        <v>81</v>
      </c>
      <c r="E1438" t="s">
        <v>79</v>
      </c>
      <c r="F1438" t="s">
        <v>8472</v>
      </c>
      <c r="G1438" t="s">
        <v>8104</v>
      </c>
      <c r="H1438" t="s">
        <v>6169</v>
      </c>
      <c r="I1438" t="s">
        <v>31</v>
      </c>
      <c r="K1438" t="s">
        <v>31</v>
      </c>
      <c r="L1438" t="s">
        <v>8472</v>
      </c>
      <c r="M1438" t="s">
        <v>8472</v>
      </c>
      <c r="O1438" t="s">
        <v>20</v>
      </c>
      <c r="P1438" t="s">
        <v>6171</v>
      </c>
      <c r="Q1438" t="s">
        <v>6172</v>
      </c>
      <c r="R1438" t="s">
        <v>6279</v>
      </c>
      <c r="S1438" t="s">
        <v>6280</v>
      </c>
      <c r="T1438" t="s">
        <v>96</v>
      </c>
    </row>
    <row r="1439" spans="1:20" ht="15" customHeight="1" x14ac:dyDescent="0.4">
      <c r="A1439" t="s">
        <v>6175</v>
      </c>
      <c r="B1439" t="s">
        <v>6175</v>
      </c>
      <c r="C1439" t="s">
        <v>151</v>
      </c>
      <c r="D1439" t="s">
        <v>81</v>
      </c>
      <c r="E1439" t="s">
        <v>79</v>
      </c>
      <c r="F1439" t="s">
        <v>8473</v>
      </c>
      <c r="G1439" t="s">
        <v>8104</v>
      </c>
      <c r="H1439" t="s">
        <v>6174</v>
      </c>
      <c r="I1439" t="s">
        <v>31</v>
      </c>
      <c r="K1439" t="s">
        <v>31</v>
      </c>
      <c r="L1439" t="s">
        <v>8473</v>
      </c>
      <c r="M1439" t="s">
        <v>8473</v>
      </c>
      <c r="O1439" t="s">
        <v>20</v>
      </c>
      <c r="P1439" t="s">
        <v>6176</v>
      </c>
      <c r="Q1439" t="s">
        <v>6177</v>
      </c>
      <c r="R1439" t="s">
        <v>6279</v>
      </c>
      <c r="S1439" t="s">
        <v>6280</v>
      </c>
      <c r="T1439" t="s">
        <v>96</v>
      </c>
    </row>
    <row r="1440" spans="1:20" ht="15" customHeight="1" x14ac:dyDescent="0.4">
      <c r="A1440" t="s">
        <v>6180</v>
      </c>
      <c r="B1440" t="s">
        <v>6180</v>
      </c>
      <c r="C1440" t="s">
        <v>151</v>
      </c>
      <c r="D1440" t="s">
        <v>81</v>
      </c>
      <c r="E1440" t="s">
        <v>79</v>
      </c>
      <c r="F1440" t="s">
        <v>8474</v>
      </c>
      <c r="G1440" t="s">
        <v>8104</v>
      </c>
      <c r="H1440" t="s">
        <v>6179</v>
      </c>
      <c r="I1440" t="s">
        <v>31</v>
      </c>
      <c r="K1440" t="s">
        <v>31</v>
      </c>
      <c r="L1440" t="s">
        <v>8474</v>
      </c>
      <c r="M1440" t="s">
        <v>8474</v>
      </c>
      <c r="O1440" t="s">
        <v>20</v>
      </c>
      <c r="P1440" t="s">
        <v>6181</v>
      </c>
      <c r="Q1440" t="s">
        <v>6182</v>
      </c>
      <c r="R1440" t="s">
        <v>6279</v>
      </c>
      <c r="S1440" t="s">
        <v>6280</v>
      </c>
      <c r="T1440" t="s">
        <v>96</v>
      </c>
    </row>
    <row r="1441" spans="1:20" ht="15" customHeight="1" x14ac:dyDescent="0.4">
      <c r="A1441" t="s">
        <v>6185</v>
      </c>
      <c r="B1441" t="s">
        <v>6185</v>
      </c>
      <c r="C1441" t="s">
        <v>151</v>
      </c>
      <c r="D1441" t="s">
        <v>81</v>
      </c>
      <c r="E1441" t="s">
        <v>79</v>
      </c>
      <c r="F1441" t="s">
        <v>8475</v>
      </c>
      <c r="G1441" t="s">
        <v>8104</v>
      </c>
      <c r="H1441" t="s">
        <v>6184</v>
      </c>
      <c r="L1441" t="s">
        <v>8475</v>
      </c>
      <c r="M1441" t="s">
        <v>8475</v>
      </c>
      <c r="O1441" t="s">
        <v>20</v>
      </c>
      <c r="P1441" t="s">
        <v>6186</v>
      </c>
      <c r="Q1441" t="s">
        <v>6187</v>
      </c>
      <c r="R1441" t="s">
        <v>6279</v>
      </c>
      <c r="S1441" t="s">
        <v>6287</v>
      </c>
      <c r="T1441" t="s">
        <v>119</v>
      </c>
    </row>
    <row r="1442" spans="1:20" ht="15" customHeight="1" x14ac:dyDescent="0.4">
      <c r="A1442" t="s">
        <v>6190</v>
      </c>
      <c r="B1442" t="s">
        <v>6190</v>
      </c>
      <c r="C1442" t="s">
        <v>151</v>
      </c>
      <c r="D1442" t="s">
        <v>81</v>
      </c>
      <c r="E1442" t="s">
        <v>79</v>
      </c>
      <c r="F1442" t="s">
        <v>8476</v>
      </c>
      <c r="G1442" t="s">
        <v>8104</v>
      </c>
      <c r="H1442" t="s">
        <v>6189</v>
      </c>
      <c r="L1442" t="s">
        <v>8476</v>
      </c>
      <c r="M1442" t="s">
        <v>8476</v>
      </c>
      <c r="O1442" t="s">
        <v>20</v>
      </c>
      <c r="P1442" t="s">
        <v>6191</v>
      </c>
      <c r="Q1442" t="s">
        <v>6192</v>
      </c>
      <c r="R1442" t="s">
        <v>6279</v>
      </c>
      <c r="S1442" t="s">
        <v>6287</v>
      </c>
      <c r="T1442" t="s">
        <v>119</v>
      </c>
    </row>
    <row r="1443" spans="1:20" ht="15" customHeight="1" x14ac:dyDescent="0.4">
      <c r="A1443" t="s">
        <v>6194</v>
      </c>
      <c r="B1443" t="s">
        <v>6194</v>
      </c>
      <c r="C1443" t="s">
        <v>151</v>
      </c>
      <c r="D1443" t="s">
        <v>81</v>
      </c>
      <c r="E1443" t="s">
        <v>79</v>
      </c>
      <c r="F1443" t="s">
        <v>8477</v>
      </c>
      <c r="G1443" t="s">
        <v>8104</v>
      </c>
      <c r="H1443" t="s">
        <v>6193</v>
      </c>
      <c r="L1443" t="s">
        <v>8477</v>
      </c>
      <c r="M1443" t="s">
        <v>8477</v>
      </c>
      <c r="O1443" t="s">
        <v>20</v>
      </c>
      <c r="P1443" t="s">
        <v>6195</v>
      </c>
      <c r="Q1443" t="s">
        <v>6196</v>
      </c>
      <c r="R1443" t="s">
        <v>6279</v>
      </c>
      <c r="S1443" t="s">
        <v>6287</v>
      </c>
      <c r="T1443" t="s">
        <v>119</v>
      </c>
    </row>
  </sheetData>
  <phoneticPr fontId="13" type="noConversion"/>
  <pageMargins left="0.7" right="0.7" top="0.75" bottom="0.75" header="0.511811023622047" footer="0.511811023622047"/>
  <pageSetup paperSize="9"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24"/>
  <sheetViews>
    <sheetView topLeftCell="D1" zoomScale="75" zoomScaleNormal="75" workbookViewId="0">
      <selection activeCell="J12" sqref="J12"/>
    </sheetView>
  </sheetViews>
  <sheetFormatPr defaultColWidth="8.6328125" defaultRowHeight="17" x14ac:dyDescent="0.4"/>
  <cols>
    <col min="1" max="1" width="18.6328125" customWidth="1"/>
    <col min="2" max="2" width="40" customWidth="1"/>
    <col min="3" max="3" width="11.08984375" customWidth="1"/>
    <col min="4" max="4" width="13.6328125" customWidth="1"/>
    <col min="5" max="5" width="79.08984375" customWidth="1"/>
    <col min="6" max="6" width="42.453125" customWidth="1"/>
    <col min="7" max="7" width="41.08984375" customWidth="1"/>
    <col min="8" max="8" width="71.36328125" customWidth="1"/>
    <col min="9" max="9" width="13.6328125" customWidth="1"/>
    <col min="10" max="10" width="25.26953125" customWidth="1"/>
    <col min="11" max="11" width="21.08984375" customWidth="1"/>
    <col min="12" max="12" width="27.26953125" customWidth="1"/>
    <col min="13" max="13" width="24.6328125" customWidth="1"/>
  </cols>
  <sheetData>
    <row r="1" spans="1:12" ht="111" customHeight="1" x14ac:dyDescent="0.4">
      <c r="A1" s="56" t="s">
        <v>8478</v>
      </c>
      <c r="B1" s="56" t="s">
        <v>8479</v>
      </c>
      <c r="C1" s="29" t="s">
        <v>8480</v>
      </c>
      <c r="D1" s="29" t="s">
        <v>8481</v>
      </c>
      <c r="E1" s="29" t="s">
        <v>8482</v>
      </c>
      <c r="F1" s="92" t="s">
        <v>8483</v>
      </c>
      <c r="G1" s="56" t="s">
        <v>8484</v>
      </c>
      <c r="H1" s="29" t="s">
        <v>8485</v>
      </c>
      <c r="I1" s="29" t="s">
        <v>8486</v>
      </c>
      <c r="J1" s="56" t="s">
        <v>8487</v>
      </c>
      <c r="K1" s="56" t="s">
        <v>8488</v>
      </c>
      <c r="L1" s="56" t="s">
        <v>8489</v>
      </c>
    </row>
    <row r="2" spans="1:12" ht="16.5" customHeight="1" x14ac:dyDescent="0.4">
      <c r="A2" s="56">
        <f t="shared" ref="A2:A21" si="0">ROW()-1</f>
        <v>1</v>
      </c>
      <c r="B2" s="56" t="s">
        <v>35</v>
      </c>
      <c r="C2" s="56" t="s">
        <v>8490</v>
      </c>
      <c r="D2" s="56" t="s">
        <v>8490</v>
      </c>
      <c r="E2" s="56" t="s">
        <v>8491</v>
      </c>
      <c r="F2" s="93" t="s">
        <v>6202</v>
      </c>
      <c r="G2" s="56"/>
      <c r="H2" s="56"/>
      <c r="I2" s="56"/>
      <c r="J2" s="29"/>
      <c r="K2" s="56" t="s">
        <v>8492</v>
      </c>
      <c r="L2" s="56" t="s">
        <v>8493</v>
      </c>
    </row>
    <row r="3" spans="1:12" ht="48" customHeight="1" x14ac:dyDescent="0.4">
      <c r="A3" s="56">
        <f t="shared" si="0"/>
        <v>2</v>
      </c>
      <c r="B3" s="56" t="s">
        <v>6226</v>
      </c>
      <c r="C3" s="56" t="s">
        <v>8490</v>
      </c>
      <c r="D3" s="56" t="s">
        <v>8490</v>
      </c>
      <c r="E3" s="56" t="s">
        <v>8491</v>
      </c>
      <c r="F3" s="93" t="s">
        <v>6202</v>
      </c>
      <c r="G3" s="56"/>
      <c r="H3" s="56" t="s">
        <v>31</v>
      </c>
      <c r="I3" s="56" t="s">
        <v>31</v>
      </c>
      <c r="J3" s="29" t="s">
        <v>8494</v>
      </c>
      <c r="K3" s="56" t="s">
        <v>8492</v>
      </c>
      <c r="L3" s="56" t="s">
        <v>8495</v>
      </c>
    </row>
    <row r="4" spans="1:12" ht="79.5" customHeight="1" x14ac:dyDescent="0.4">
      <c r="A4" s="56">
        <f t="shared" si="0"/>
        <v>3</v>
      </c>
      <c r="B4" s="56" t="s">
        <v>6234</v>
      </c>
      <c r="C4" s="56" t="s">
        <v>8490</v>
      </c>
      <c r="D4" s="56" t="s">
        <v>8490</v>
      </c>
      <c r="E4" s="56" t="s">
        <v>8491</v>
      </c>
      <c r="F4" s="93" t="s">
        <v>6202</v>
      </c>
      <c r="G4" s="56"/>
      <c r="H4" s="56" t="s">
        <v>31</v>
      </c>
      <c r="I4" s="56" t="s">
        <v>31</v>
      </c>
      <c r="J4" s="29" t="s">
        <v>8496</v>
      </c>
      <c r="K4" s="56" t="s">
        <v>8492</v>
      </c>
      <c r="L4" s="56" t="s">
        <v>8497</v>
      </c>
    </row>
    <row r="5" spans="1:12" ht="16.5" customHeight="1" x14ac:dyDescent="0.4">
      <c r="A5" s="56">
        <f t="shared" si="0"/>
        <v>4</v>
      </c>
      <c r="B5" s="56" t="s">
        <v>6236</v>
      </c>
      <c r="C5" s="56" t="s">
        <v>8490</v>
      </c>
      <c r="D5" s="56" t="s">
        <v>8490</v>
      </c>
      <c r="E5" s="56" t="s">
        <v>8491</v>
      </c>
      <c r="F5" s="93" t="s">
        <v>6202</v>
      </c>
      <c r="G5" s="56"/>
      <c r="H5" s="56"/>
      <c r="I5" s="56" t="s">
        <v>31</v>
      </c>
      <c r="J5" s="29"/>
      <c r="K5" s="56" t="s">
        <v>8498</v>
      </c>
      <c r="L5" s="56" t="s">
        <v>8499</v>
      </c>
    </row>
    <row r="6" spans="1:12" ht="16.5" customHeight="1" x14ac:dyDescent="0.4">
      <c r="A6" s="56">
        <f t="shared" si="0"/>
        <v>5</v>
      </c>
      <c r="B6" s="56" t="s">
        <v>6239</v>
      </c>
      <c r="C6" s="56" t="s">
        <v>8490</v>
      </c>
      <c r="D6" s="56" t="s">
        <v>8490</v>
      </c>
      <c r="E6" s="56" t="s">
        <v>8491</v>
      </c>
      <c r="F6" s="93" t="s">
        <v>6202</v>
      </c>
      <c r="G6" s="56"/>
      <c r="H6" s="56"/>
      <c r="I6" s="56" t="s">
        <v>31</v>
      </c>
      <c r="J6" s="29"/>
      <c r="K6" s="56" t="s">
        <v>8492</v>
      </c>
      <c r="L6" s="57">
        <v>100</v>
      </c>
    </row>
    <row r="7" spans="1:12" ht="16.5" customHeight="1" x14ac:dyDescent="0.4">
      <c r="A7" s="56">
        <f t="shared" si="0"/>
        <v>6</v>
      </c>
      <c r="B7" s="56" t="s">
        <v>6242</v>
      </c>
      <c r="C7" s="56" t="s">
        <v>8490</v>
      </c>
      <c r="D7" s="56" t="s">
        <v>8490</v>
      </c>
      <c r="E7" s="56" t="s">
        <v>8491</v>
      </c>
      <c r="F7" s="93" t="s">
        <v>6202</v>
      </c>
      <c r="G7" s="56"/>
      <c r="H7" s="56"/>
      <c r="I7" s="56" t="s">
        <v>31</v>
      </c>
      <c r="J7" s="29"/>
      <c r="K7" s="56" t="s">
        <v>8500</v>
      </c>
      <c r="L7" s="56" t="s">
        <v>8499</v>
      </c>
    </row>
    <row r="8" spans="1:12" ht="32.25" customHeight="1" x14ac:dyDescent="0.4">
      <c r="A8" s="56">
        <f t="shared" si="0"/>
        <v>7</v>
      </c>
      <c r="B8" s="56" t="s">
        <v>58</v>
      </c>
      <c r="C8" s="56" t="s">
        <v>8490</v>
      </c>
      <c r="D8" s="56" t="s">
        <v>8490</v>
      </c>
      <c r="E8" s="56" t="s">
        <v>8491</v>
      </c>
      <c r="F8" s="93" t="s">
        <v>6202</v>
      </c>
      <c r="G8" s="56"/>
      <c r="H8" s="56"/>
      <c r="I8" s="56" t="s">
        <v>31</v>
      </c>
      <c r="J8" s="29" t="s">
        <v>8501</v>
      </c>
      <c r="K8" s="56" t="s">
        <v>8492</v>
      </c>
      <c r="L8" s="56" t="s">
        <v>8495</v>
      </c>
    </row>
    <row r="9" spans="1:12" ht="32.25" customHeight="1" x14ac:dyDescent="0.4">
      <c r="A9" s="56">
        <f t="shared" si="0"/>
        <v>8</v>
      </c>
      <c r="B9" s="56" t="s">
        <v>8502</v>
      </c>
      <c r="C9" s="56" t="s">
        <v>8490</v>
      </c>
      <c r="D9" s="56" t="s">
        <v>8490</v>
      </c>
      <c r="E9" s="93" t="s">
        <v>8503</v>
      </c>
      <c r="F9" s="92" t="s">
        <v>8504</v>
      </c>
      <c r="G9" s="56"/>
      <c r="H9" s="56"/>
      <c r="I9" s="56"/>
      <c r="J9" s="94" t="s">
        <v>8505</v>
      </c>
      <c r="K9" s="56" t="s">
        <v>8506</v>
      </c>
      <c r="L9" s="56" t="s">
        <v>8507</v>
      </c>
    </row>
    <row r="10" spans="1:12" ht="16.5" customHeight="1" x14ac:dyDescent="0.4">
      <c r="A10" s="56">
        <f t="shared" si="0"/>
        <v>9</v>
      </c>
      <c r="B10" s="56" t="s">
        <v>8508</v>
      </c>
      <c r="C10" s="56" t="s">
        <v>8490</v>
      </c>
      <c r="D10" s="56" t="s">
        <v>8490</v>
      </c>
      <c r="E10" s="56" t="s">
        <v>8491</v>
      </c>
      <c r="F10" s="93" t="s">
        <v>6202</v>
      </c>
      <c r="G10" s="56"/>
      <c r="H10" s="56"/>
      <c r="I10" s="56" t="s">
        <v>31</v>
      </c>
      <c r="J10" s="29"/>
      <c r="K10" s="56" t="s">
        <v>8492</v>
      </c>
      <c r="L10" s="56" t="s">
        <v>8499</v>
      </c>
    </row>
    <row r="11" spans="1:12" ht="16.5" customHeight="1" x14ac:dyDescent="0.4">
      <c r="A11" s="56">
        <f t="shared" si="0"/>
        <v>10</v>
      </c>
      <c r="B11" s="56" t="s">
        <v>6274</v>
      </c>
      <c r="C11" s="56" t="s">
        <v>8490</v>
      </c>
      <c r="D11" s="56" t="s">
        <v>8490</v>
      </c>
      <c r="E11" s="56" t="s">
        <v>8491</v>
      </c>
      <c r="F11" s="93" t="s">
        <v>6202</v>
      </c>
      <c r="G11" s="56" t="s">
        <v>8509</v>
      </c>
      <c r="H11" s="56" t="s">
        <v>31</v>
      </c>
      <c r="I11" s="56" t="s">
        <v>31</v>
      </c>
      <c r="J11" s="29"/>
      <c r="K11" s="56" t="s">
        <v>8492</v>
      </c>
      <c r="L11" s="56" t="s">
        <v>8493</v>
      </c>
    </row>
    <row r="12" spans="1:12" ht="48" customHeight="1" x14ac:dyDescent="0.4">
      <c r="A12" s="56">
        <f t="shared" si="0"/>
        <v>11</v>
      </c>
      <c r="B12" s="56" t="s">
        <v>8510</v>
      </c>
      <c r="C12" s="56" t="s">
        <v>8490</v>
      </c>
      <c r="D12" s="56" t="s">
        <v>8490</v>
      </c>
      <c r="E12" s="56" t="s">
        <v>8491</v>
      </c>
      <c r="F12" s="93" t="s">
        <v>6202</v>
      </c>
      <c r="G12" s="56"/>
      <c r="H12" s="56"/>
      <c r="I12" s="56" t="s">
        <v>31</v>
      </c>
      <c r="J12" s="29" t="s">
        <v>8511</v>
      </c>
      <c r="K12" s="56" t="s">
        <v>8492</v>
      </c>
      <c r="L12" s="56" t="s">
        <v>8512</v>
      </c>
    </row>
    <row r="13" spans="1:12" ht="16.5" customHeight="1" x14ac:dyDescent="0.4">
      <c r="A13" s="56">
        <f t="shared" si="0"/>
        <v>12</v>
      </c>
      <c r="B13" s="95" t="s">
        <v>8513</v>
      </c>
      <c r="C13" s="56" t="s">
        <v>8490</v>
      </c>
      <c r="D13" s="56" t="s">
        <v>8514</v>
      </c>
      <c r="E13" s="56" t="s">
        <v>8515</v>
      </c>
      <c r="F13" s="93" t="s">
        <v>6204</v>
      </c>
      <c r="G13" s="56" t="s">
        <v>8516</v>
      </c>
      <c r="H13" s="56" t="s">
        <v>31</v>
      </c>
      <c r="I13" s="56"/>
      <c r="J13" s="29" t="s">
        <v>8517</v>
      </c>
      <c r="K13" s="56" t="s">
        <v>8492</v>
      </c>
      <c r="L13" s="56" t="s">
        <v>8518</v>
      </c>
    </row>
    <row r="14" spans="1:12" ht="48" customHeight="1" x14ac:dyDescent="0.4">
      <c r="A14" s="56">
        <f t="shared" si="0"/>
        <v>13</v>
      </c>
      <c r="B14" s="95" t="s">
        <v>76</v>
      </c>
      <c r="C14" s="56" t="s">
        <v>8514</v>
      </c>
      <c r="D14" s="56" t="s">
        <v>8514</v>
      </c>
      <c r="E14" s="56" t="s">
        <v>8515</v>
      </c>
      <c r="F14" s="93" t="s">
        <v>6204</v>
      </c>
      <c r="G14" s="56" t="s">
        <v>8516</v>
      </c>
      <c r="H14" s="56" t="s">
        <v>31</v>
      </c>
      <c r="I14" s="56"/>
      <c r="J14" s="29" t="s">
        <v>8519</v>
      </c>
      <c r="K14" s="56" t="s">
        <v>8492</v>
      </c>
      <c r="L14" s="56" t="s">
        <v>8497</v>
      </c>
    </row>
    <row r="15" spans="1:12" ht="48" customHeight="1" x14ac:dyDescent="0.4">
      <c r="A15" s="56">
        <f t="shared" si="0"/>
        <v>14</v>
      </c>
      <c r="B15" s="56" t="s">
        <v>6253</v>
      </c>
      <c r="C15" s="56" t="s">
        <v>8490</v>
      </c>
      <c r="D15" s="56" t="s">
        <v>8490</v>
      </c>
      <c r="E15" s="56" t="s">
        <v>8515</v>
      </c>
      <c r="F15" s="93" t="s">
        <v>6204</v>
      </c>
      <c r="G15" s="56" t="s">
        <v>8516</v>
      </c>
      <c r="H15" s="56" t="s">
        <v>31</v>
      </c>
      <c r="I15" s="56"/>
      <c r="J15" s="94" t="s">
        <v>8520</v>
      </c>
      <c r="K15" s="56" t="s">
        <v>8521</v>
      </c>
      <c r="L15" s="56"/>
    </row>
    <row r="16" spans="1:12" ht="32.25" customHeight="1" x14ac:dyDescent="0.4">
      <c r="A16" s="56">
        <f t="shared" si="0"/>
        <v>15</v>
      </c>
      <c r="B16" s="56" t="s">
        <v>8522</v>
      </c>
      <c r="C16" s="56" t="s">
        <v>8490</v>
      </c>
      <c r="D16" s="56" t="s">
        <v>8490</v>
      </c>
      <c r="E16" s="93" t="s">
        <v>8515</v>
      </c>
      <c r="F16" s="93" t="s">
        <v>6204</v>
      </c>
      <c r="G16" s="56" t="s">
        <v>8516</v>
      </c>
      <c r="H16" s="56" t="s">
        <v>31</v>
      </c>
      <c r="I16" s="56"/>
      <c r="J16" s="92" t="s">
        <v>8523</v>
      </c>
      <c r="K16" s="56" t="s">
        <v>8492</v>
      </c>
      <c r="L16" s="56" t="s">
        <v>8518</v>
      </c>
    </row>
    <row r="17" spans="1:12" ht="63.75" customHeight="1" x14ac:dyDescent="0.4">
      <c r="A17" s="56">
        <f t="shared" si="0"/>
        <v>16</v>
      </c>
      <c r="B17" s="56" t="s">
        <v>80</v>
      </c>
      <c r="C17" s="56" t="s">
        <v>8490</v>
      </c>
      <c r="D17" s="56" t="s">
        <v>8490</v>
      </c>
      <c r="E17" s="93" t="s">
        <v>8524</v>
      </c>
      <c r="F17" s="93" t="s">
        <v>6204</v>
      </c>
      <c r="G17" s="56" t="s">
        <v>8516</v>
      </c>
      <c r="H17" s="56" t="s">
        <v>31</v>
      </c>
      <c r="I17" s="56"/>
      <c r="J17" s="92" t="s">
        <v>8525</v>
      </c>
      <c r="K17" s="56" t="s">
        <v>8492</v>
      </c>
      <c r="L17" s="56" t="s">
        <v>8526</v>
      </c>
    </row>
    <row r="18" spans="1:12" ht="32.25" customHeight="1" x14ac:dyDescent="0.4">
      <c r="A18" s="56">
        <f t="shared" si="0"/>
        <v>17</v>
      </c>
      <c r="B18" s="56" t="s">
        <v>8527</v>
      </c>
      <c r="C18" s="56" t="s">
        <v>8490</v>
      </c>
      <c r="D18" s="56" t="s">
        <v>8490</v>
      </c>
      <c r="E18" s="56" t="s">
        <v>8515</v>
      </c>
      <c r="F18" s="93" t="s">
        <v>6204</v>
      </c>
      <c r="G18" s="56" t="s">
        <v>8516</v>
      </c>
      <c r="H18" s="56" t="s">
        <v>31</v>
      </c>
      <c r="I18" s="56"/>
      <c r="J18" s="29" t="s">
        <v>8528</v>
      </c>
      <c r="K18" s="56" t="s">
        <v>8492</v>
      </c>
      <c r="L18" s="56" t="s">
        <v>8493</v>
      </c>
    </row>
    <row r="19" spans="1:12" ht="16.5" customHeight="1" x14ac:dyDescent="0.4">
      <c r="A19" s="56">
        <f t="shared" si="0"/>
        <v>18</v>
      </c>
      <c r="B19" s="56" t="s">
        <v>8529</v>
      </c>
      <c r="C19" s="56" t="s">
        <v>8490</v>
      </c>
      <c r="D19" s="56" t="s">
        <v>8490</v>
      </c>
      <c r="E19" s="56" t="s">
        <v>8515</v>
      </c>
      <c r="F19" s="93" t="s">
        <v>6204</v>
      </c>
      <c r="G19" s="56" t="s">
        <v>8516</v>
      </c>
      <c r="H19" s="56" t="s">
        <v>31</v>
      </c>
      <c r="I19" s="56"/>
      <c r="J19" s="92" t="s">
        <v>8530</v>
      </c>
      <c r="K19" s="56" t="s">
        <v>8531</v>
      </c>
      <c r="L19" s="56" t="s">
        <v>8532</v>
      </c>
    </row>
    <row r="20" spans="1:12" ht="63.75" customHeight="1" x14ac:dyDescent="0.4">
      <c r="A20" s="56">
        <f t="shared" si="0"/>
        <v>19</v>
      </c>
      <c r="B20" s="56" t="s">
        <v>8533</v>
      </c>
      <c r="C20" s="56" t="s">
        <v>8490</v>
      </c>
      <c r="D20" s="56" t="s">
        <v>8490</v>
      </c>
      <c r="E20" s="56" t="s">
        <v>8515</v>
      </c>
      <c r="F20" s="93" t="s">
        <v>6204</v>
      </c>
      <c r="G20" s="56" t="s">
        <v>8516</v>
      </c>
      <c r="H20" s="56" t="s">
        <v>31</v>
      </c>
      <c r="I20" s="56"/>
      <c r="J20" s="92" t="s">
        <v>8534</v>
      </c>
      <c r="K20" s="56" t="s">
        <v>8506</v>
      </c>
      <c r="L20" s="56" t="s">
        <v>8507</v>
      </c>
    </row>
    <row r="21" spans="1:12" ht="32.25" customHeight="1" x14ac:dyDescent="0.4">
      <c r="A21" s="56">
        <f t="shared" si="0"/>
        <v>20</v>
      </c>
      <c r="B21" s="56" t="s">
        <v>8535</v>
      </c>
      <c r="C21" s="56" t="s">
        <v>8490</v>
      </c>
      <c r="D21" s="56" t="s">
        <v>8490</v>
      </c>
      <c r="E21" s="56" t="s">
        <v>8536</v>
      </c>
      <c r="F21" s="93" t="s">
        <v>6204</v>
      </c>
      <c r="G21" s="56" t="s">
        <v>8537</v>
      </c>
      <c r="H21" s="56" t="s">
        <v>31</v>
      </c>
      <c r="I21" s="56"/>
      <c r="J21" s="29" t="s">
        <v>8538</v>
      </c>
      <c r="K21" s="56" t="s">
        <v>8492</v>
      </c>
      <c r="L21" s="56" t="s">
        <v>8497</v>
      </c>
    </row>
    <row r="22" spans="1:12" ht="28.5" customHeight="1" x14ac:dyDescent="0.4">
      <c r="A22" s="56">
        <v>21</v>
      </c>
      <c r="B22" s="56" t="s">
        <v>8539</v>
      </c>
      <c r="C22" s="56" t="s">
        <v>8514</v>
      </c>
      <c r="D22" s="56" t="s">
        <v>8514</v>
      </c>
      <c r="E22" s="56" t="s">
        <v>8515</v>
      </c>
      <c r="F22" s="93" t="s">
        <v>6204</v>
      </c>
      <c r="G22" s="56" t="s">
        <v>8516</v>
      </c>
      <c r="H22" s="56" t="s">
        <v>31</v>
      </c>
      <c r="I22" s="56"/>
      <c r="J22" s="92" t="s">
        <v>8540</v>
      </c>
      <c r="K22" s="56" t="s">
        <v>8492</v>
      </c>
      <c r="L22" s="56" t="s">
        <v>8541</v>
      </c>
    </row>
    <row r="24" spans="1:12" ht="48" customHeight="1" x14ac:dyDescent="0.4">
      <c r="B24" s="29" t="s">
        <v>8542</v>
      </c>
      <c r="F24" s="93" t="s">
        <v>8543</v>
      </c>
      <c r="H24" s="29" t="s">
        <v>8544</v>
      </c>
    </row>
  </sheetData>
  <phoneticPr fontId="13" type="noConversion"/>
  <pageMargins left="0.23611111111111099" right="0.23611111111111099" top="0.59027777777777801" bottom="0.74791666666666701" header="0.511811023622047" footer="0.511811023622047"/>
  <pageSetup paperSize="9" fitToHeight="0" orientation="landscape" horizontalDpi="300" verticalDpi="300"/>
  <legacy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F40"/>
  <sheetViews>
    <sheetView zoomScale="75" zoomScaleNormal="75" workbookViewId="0">
      <selection activeCell="B30" sqref="B30"/>
    </sheetView>
  </sheetViews>
  <sheetFormatPr defaultColWidth="8.6328125" defaultRowHeight="17" x14ac:dyDescent="0.4"/>
  <cols>
    <col min="1" max="1" width="9.7265625" customWidth="1"/>
    <col min="2" max="2" width="38.7265625" customWidth="1"/>
    <col min="3" max="4" width="22.7265625" customWidth="1"/>
    <col min="5" max="5" width="11.90625" customWidth="1"/>
    <col min="6" max="6" width="27.7265625" customWidth="1"/>
  </cols>
  <sheetData>
    <row r="1" spans="1:6" ht="16.5" customHeight="1" x14ac:dyDescent="0.4">
      <c r="A1" s="56" t="s">
        <v>8545</v>
      </c>
      <c r="B1" s="56" t="s">
        <v>8546</v>
      </c>
      <c r="C1" s="56"/>
      <c r="D1" s="56"/>
    </row>
    <row r="2" spans="1:6" ht="16.5" customHeight="1" x14ac:dyDescent="0.4">
      <c r="A2" s="56"/>
      <c r="B2" s="56" t="s">
        <v>8547</v>
      </c>
      <c r="C2" s="56"/>
      <c r="D2" s="56"/>
    </row>
    <row r="3" spans="1:6" ht="16.5" customHeight="1" x14ac:dyDescent="0.4">
      <c r="A3" s="56"/>
      <c r="B3" s="56" t="s">
        <v>8548</v>
      </c>
      <c r="C3" s="56"/>
      <c r="D3" s="56"/>
    </row>
    <row r="4" spans="1:6" ht="16.5" customHeight="1" x14ac:dyDescent="0.4">
      <c r="A4" s="56"/>
      <c r="B4" s="56" t="s">
        <v>8549</v>
      </c>
      <c r="C4" s="56"/>
      <c r="D4" s="56"/>
    </row>
    <row r="5" spans="1:6" ht="16.5" customHeight="1" x14ac:dyDescent="0.4">
      <c r="A5" s="56"/>
      <c r="B5" s="56" t="s">
        <v>8550</v>
      </c>
      <c r="C5" s="56"/>
      <c r="D5" s="56"/>
      <c r="F5" s="56" t="s">
        <v>8551</v>
      </c>
    </row>
    <row r="6" spans="1:6" ht="16.5" customHeight="1" x14ac:dyDescent="0.4">
      <c r="A6" s="56"/>
      <c r="B6" s="56"/>
      <c r="C6" s="56"/>
      <c r="D6" s="56"/>
    </row>
    <row r="30" spans="2:6" ht="16.5" customHeight="1" x14ac:dyDescent="0.4">
      <c r="B30" s="56"/>
      <c r="C30" s="56"/>
      <c r="E30" s="56"/>
      <c r="F30" s="56"/>
    </row>
    <row r="31" spans="2:6" ht="16.5" customHeight="1" x14ac:dyDescent="0.4">
      <c r="B31" s="56"/>
      <c r="C31" s="56"/>
      <c r="E31" s="56"/>
      <c r="F31" s="56"/>
    </row>
    <row r="32" spans="2:6" ht="16.5" customHeight="1" x14ac:dyDescent="0.4">
      <c r="B32" s="56"/>
      <c r="C32" s="56"/>
      <c r="E32" s="56"/>
      <c r="F32" s="56"/>
    </row>
    <row r="33" spans="2:6" ht="16.5" customHeight="1" x14ac:dyDescent="0.4">
      <c r="B33" s="56"/>
      <c r="C33" s="56"/>
      <c r="E33" s="56"/>
      <c r="F33" s="56"/>
    </row>
    <row r="34" spans="2:6" ht="16.5" customHeight="1" x14ac:dyDescent="0.4">
      <c r="B34" s="56"/>
      <c r="C34" s="56"/>
      <c r="E34" s="56"/>
      <c r="F34" s="56"/>
    </row>
    <row r="35" spans="2:6" ht="16.5" customHeight="1" x14ac:dyDescent="0.4">
      <c r="B35" s="56"/>
      <c r="C35" s="56"/>
      <c r="E35" s="56"/>
      <c r="F35" s="56"/>
    </row>
    <row r="36" spans="2:6" ht="16.5" customHeight="1" x14ac:dyDescent="0.4">
      <c r="B36" s="56"/>
      <c r="C36" s="56"/>
      <c r="E36" s="56"/>
      <c r="F36" s="56"/>
    </row>
    <row r="37" spans="2:6" ht="16.5" customHeight="1" x14ac:dyDescent="0.4">
      <c r="B37" s="56"/>
      <c r="C37" s="56"/>
      <c r="E37" s="56"/>
      <c r="F37" s="56"/>
    </row>
    <row r="38" spans="2:6" ht="16.5" customHeight="1" x14ac:dyDescent="0.4">
      <c r="B38" s="56"/>
      <c r="C38" s="56"/>
      <c r="E38" s="56"/>
      <c r="F38" s="56"/>
    </row>
    <row r="39" spans="2:6" ht="16.5" customHeight="1" x14ac:dyDescent="0.4">
      <c r="B39" s="56"/>
      <c r="C39" s="56"/>
      <c r="E39" s="56"/>
      <c r="F39" s="56"/>
    </row>
    <row r="40" spans="2:6" ht="16.5" customHeight="1" x14ac:dyDescent="0.4">
      <c r="B40" s="56"/>
      <c r="C40" s="56"/>
      <c r="E40" s="56"/>
      <c r="F40" s="56"/>
    </row>
  </sheetData>
  <phoneticPr fontId="13" type="noConversion"/>
  <conditionalFormatting sqref="B30:C40">
    <cfRule type="duplicateValues" dxfId="0" priority="2"/>
  </conditionalFormatting>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欄位及範例_0715</vt:lpstr>
      <vt:lpstr>子系統填寫_空白</vt:lpstr>
      <vt:lpstr>欄位及範例</vt:lpstr>
      <vt:lpstr>參考0_網路服務資訊上架規劃</vt:lpstr>
      <vt:lpstr>服務類別</vt:lpstr>
      <vt:lpstr>參考1_回傳schem資訊及相關內容</vt:lpstr>
      <vt:lpstr>參考2_服務標準對照</vt:lpstr>
      <vt:lpstr>參考3_Swagger Editor驗證說明</vt:lpstr>
      <vt:lpstr>工作表2</vt:lpstr>
      <vt:lpstr>API清冊0707</vt:lpstr>
      <vt:lpstr>服務資訊欄位_0609版</vt:lpstr>
      <vt:lpstr>資拓給的檔案參考</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劉嘉頴</dc:creator>
  <cp:lastModifiedBy>顏吉男(Randy Yen)</cp:lastModifiedBy>
  <cp:revision>39</cp:revision>
  <cp:lastPrinted>2026-06-08T01:50:21Z</cp:lastPrinted>
  <dcterms:created xsi:type="dcterms:W3CDTF">2026-04-29T05:46:11Z</dcterms:created>
  <dcterms:modified xsi:type="dcterms:W3CDTF">2026-10-02T01:35:39Z</dcterms:modified>
  <dc:language>zh-TW</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1e43920-ae8e-42a0-9a5c-464554aa03b2_ActionId">
    <vt:lpwstr>5f182e48-678a-4fca-be41-1823fcdde30b</vt:lpwstr>
  </property>
  <property fmtid="{D5CDD505-2E9C-101B-9397-08002B2CF9AE}" pid="3" name="MSIP_Label_01e43920-ae8e-42a0-9a5c-464554aa03b2_ContentBits">
    <vt:lpwstr>0</vt:lpwstr>
  </property>
  <property fmtid="{D5CDD505-2E9C-101B-9397-08002B2CF9AE}" pid="4" name="MSIP_Label_01e43920-ae8e-42a0-9a5c-464554aa03b2_Enabled">
    <vt:lpwstr>true</vt:lpwstr>
  </property>
  <property fmtid="{D5CDD505-2E9C-101B-9397-08002B2CF9AE}" pid="5" name="MSIP_Label_01e43920-ae8e-42a0-9a5c-464554aa03b2_Method">
    <vt:lpwstr>Standard</vt:lpwstr>
  </property>
  <property fmtid="{D5CDD505-2E9C-101B-9397-08002B2CF9AE}" pid="6" name="MSIP_Label_01e43920-ae8e-42a0-9a5c-464554aa03b2_Name">
    <vt:lpwstr>IISIGroup - 普通文件</vt:lpwstr>
  </property>
  <property fmtid="{D5CDD505-2E9C-101B-9397-08002B2CF9AE}" pid="7" name="MSIP_Label_01e43920-ae8e-42a0-9a5c-464554aa03b2_SetDate">
    <vt:lpwstr>2026-05-06T06:54:20Z</vt:lpwstr>
  </property>
  <property fmtid="{D5CDD505-2E9C-101B-9397-08002B2CF9AE}" pid="8" name="MSIP_Label_01e43920-ae8e-42a0-9a5c-464554aa03b2_SiteId">
    <vt:lpwstr>54aa2fea-ecb3-4c71-80b3-de9a356e77c1</vt:lpwstr>
  </property>
  <property fmtid="{D5CDD505-2E9C-101B-9397-08002B2CF9AE}" pid="9" name="MSIP_Label_01e43920-ae8e-42a0-9a5c-464554aa03b2_Tag">
    <vt:lpwstr>10, 3, 0, 1</vt:lpwstr>
  </property>
  <property fmtid="{D5CDD505-2E9C-101B-9397-08002B2CF9AE}" pid="10" name="WorkbookGuid">
    <vt:lpwstr>58ace15f-bd12-4a5f-a729-ad39707e1d17</vt:lpwstr>
  </property>
</Properties>
</file>